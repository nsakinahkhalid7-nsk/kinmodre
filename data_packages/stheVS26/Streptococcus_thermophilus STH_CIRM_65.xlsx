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data_packages\stheVS26\"/>
    </mc:Choice>
  </mc:AlternateContent>
  <xr:revisionPtr revIDLastSave="0" documentId="13_ncr:1_{F96EB4C4-1AF1-424B-AAE4-1229AF6F7C55}" xr6:coauthVersionLast="47" xr6:coauthVersionMax="47" xr10:uidLastSave="{00000000-0000-0000-0000-000000000000}"/>
  <bookViews>
    <workbookView xWindow="-110" yWindow="-110" windowWidth="19420" windowHeight="11500" activeTab="5" xr2:uid="{EE6B86DE-A98A-9E4E-A150-00D764584B80}"/>
  </bookViews>
  <sheets>
    <sheet name="Introduction" sheetId="1" r:id="rId1"/>
    <sheet name="Peptide" sheetId="4" r:id="rId2"/>
    <sheet name="EC number" sheetId="2" r:id="rId3"/>
    <sheet name="Metabolites" sheetId="5" r:id="rId4"/>
    <sheet name="Enzyme" sheetId="6" r:id="rId5"/>
    <sheet name="Reactions" sheetId="7" r:id="rId6"/>
  </sheets>
  <definedNames>
    <definedName name="_xlnm._FilterDatabase" localSheetId="2" hidden="1">'EC number'!$A$1:$G$1</definedName>
    <definedName name="_xlnm._FilterDatabase" localSheetId="4" hidden="1">Enzyme!$B$1:$B$401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5" l="1"/>
  <c r="C69" i="5"/>
  <c r="C58" i="5"/>
  <c r="C45" i="5"/>
  <c r="C44" i="5"/>
  <c r="C43" i="5"/>
  <c r="C35" i="5"/>
  <c r="C36" i="5"/>
  <c r="C34" i="5"/>
  <c r="C30" i="5"/>
  <c r="C28" i="5"/>
  <c r="C24" i="5"/>
  <c r="C20" i="5"/>
  <c r="C3" i="5"/>
  <c r="C2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1" i="5"/>
  <c r="C22" i="5"/>
  <c r="C23" i="5"/>
  <c r="C25" i="5"/>
  <c r="C26" i="5"/>
  <c r="C27" i="5"/>
  <c r="C29" i="5"/>
  <c r="C31" i="5"/>
  <c r="C32" i="5"/>
  <c r="C33" i="5"/>
  <c r="C37" i="5"/>
  <c r="C38" i="5"/>
  <c r="C39" i="5"/>
  <c r="C40" i="5"/>
  <c r="C41" i="5"/>
  <c r="C42" i="5"/>
  <c r="C46" i="5"/>
  <c r="C47" i="5"/>
  <c r="C48" i="5"/>
  <c r="C49" i="5"/>
  <c r="C50" i="5"/>
  <c r="C51" i="5"/>
  <c r="C52" i="5"/>
  <c r="C53" i="5"/>
  <c r="C54" i="5"/>
  <c r="C55" i="5"/>
  <c r="C56" i="5"/>
  <c r="C57" i="5"/>
  <c r="C59" i="5"/>
  <c r="C60" i="5"/>
  <c r="C61" i="5"/>
  <c r="C62" i="5"/>
  <c r="C63" i="5"/>
  <c r="C64" i="5"/>
  <c r="C65" i="5"/>
  <c r="C66" i="5"/>
  <c r="C67" i="5"/>
  <c r="C68" i="5"/>
  <c r="C70" i="5"/>
  <c r="C71" i="5"/>
  <c r="C72" i="5"/>
  <c r="C73" i="5"/>
  <c r="C74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2" i="5"/>
  <c r="E311" i="7" l="1"/>
  <c r="J311" i="7" s="1"/>
  <c r="K311" i="7" s="1"/>
  <c r="E312" i="7"/>
  <c r="J312" i="7" s="1"/>
  <c r="K312" i="7" s="1"/>
  <c r="E313" i="7"/>
  <c r="J313" i="7" s="1"/>
  <c r="K313" i="7" s="1"/>
  <c r="E314" i="7"/>
  <c r="J314" i="7" s="1"/>
  <c r="K314" i="7" s="1"/>
  <c r="E315" i="7"/>
  <c r="J315" i="7" s="1"/>
  <c r="K315" i="7" s="1"/>
  <c r="E316" i="7"/>
  <c r="J316" i="7" s="1"/>
  <c r="K316" i="7" s="1"/>
  <c r="E317" i="7"/>
  <c r="J317" i="7" s="1"/>
  <c r="K317" i="7" s="1"/>
  <c r="E318" i="7"/>
  <c r="J318" i="7" s="1"/>
  <c r="K318" i="7" s="1"/>
  <c r="E319" i="7"/>
  <c r="J319" i="7" s="1"/>
  <c r="K319" i="7" s="1"/>
  <c r="E320" i="7"/>
  <c r="J320" i="7" s="1"/>
  <c r="K320" i="7" s="1"/>
  <c r="E321" i="7"/>
  <c r="J321" i="7" s="1"/>
  <c r="K321" i="7" s="1"/>
  <c r="E322" i="7"/>
  <c r="J322" i="7" s="1"/>
  <c r="K322" i="7" s="1"/>
  <c r="E323" i="7"/>
  <c r="J323" i="7" s="1"/>
  <c r="K323" i="7" s="1"/>
  <c r="E324" i="7"/>
  <c r="J324" i="7" s="1"/>
  <c r="K324" i="7" s="1"/>
  <c r="E325" i="7"/>
  <c r="J325" i="7" s="1"/>
  <c r="K325" i="7" s="1"/>
  <c r="E326" i="7"/>
  <c r="J326" i="7" s="1"/>
  <c r="K326" i="7" s="1"/>
  <c r="E327" i="7"/>
  <c r="J327" i="7" s="1"/>
  <c r="K327" i="7" s="1"/>
  <c r="E328" i="7"/>
  <c r="J328" i="7" s="1"/>
  <c r="K328" i="7" s="1"/>
  <c r="E329" i="7"/>
  <c r="J329" i="7" s="1"/>
  <c r="K329" i="7" s="1"/>
  <c r="E330" i="7"/>
  <c r="J330" i="7" s="1"/>
  <c r="K330" i="7" s="1"/>
  <c r="E331" i="7"/>
  <c r="J331" i="7" s="1"/>
  <c r="K331" i="7" s="1"/>
  <c r="E332" i="7"/>
  <c r="J332" i="7" s="1"/>
  <c r="K332" i="7" s="1"/>
  <c r="E333" i="7"/>
  <c r="J333" i="7" s="1"/>
  <c r="K333" i="7" s="1"/>
  <c r="E334" i="7"/>
  <c r="J334" i="7" s="1"/>
  <c r="K334" i="7" s="1"/>
  <c r="E304" i="7"/>
  <c r="J304" i="7" s="1"/>
  <c r="K304" i="7" s="1"/>
  <c r="E305" i="7"/>
  <c r="J305" i="7" s="1"/>
  <c r="K305" i="7" s="1"/>
  <c r="E306" i="7"/>
  <c r="J306" i="7" s="1"/>
  <c r="K306" i="7" s="1"/>
  <c r="E307" i="7"/>
  <c r="J307" i="7" s="1"/>
  <c r="K307" i="7" s="1"/>
  <c r="E308" i="7"/>
  <c r="J308" i="7" s="1"/>
  <c r="K308" i="7" s="1"/>
  <c r="E309" i="7"/>
  <c r="J309" i="7" s="1"/>
  <c r="K309" i="7" s="1"/>
  <c r="E299" i="7"/>
  <c r="J299" i="7" s="1"/>
  <c r="K299" i="7" s="1"/>
  <c r="E300" i="7"/>
  <c r="J300" i="7" s="1"/>
  <c r="K300" i="7" s="1"/>
  <c r="E301" i="7"/>
  <c r="J301" i="7" s="1"/>
  <c r="K301" i="7" s="1"/>
  <c r="E302" i="7"/>
  <c r="J302" i="7" s="1"/>
  <c r="K302" i="7" s="1"/>
  <c r="E292" i="7"/>
  <c r="J292" i="7" s="1"/>
  <c r="K292" i="7" s="1"/>
  <c r="E270" i="7"/>
  <c r="J270" i="7" s="1"/>
  <c r="K270" i="7" s="1"/>
  <c r="E271" i="7"/>
  <c r="J271" i="7" s="1"/>
  <c r="K271" i="7" s="1"/>
  <c r="E272" i="7"/>
  <c r="J272" i="7" s="1"/>
  <c r="K272" i="7" s="1"/>
  <c r="E273" i="7"/>
  <c r="J273" i="7" s="1"/>
  <c r="K273" i="7" s="1"/>
  <c r="E274" i="7"/>
  <c r="J274" i="7" s="1"/>
  <c r="K274" i="7" s="1"/>
  <c r="E275" i="7"/>
  <c r="J275" i="7" s="1"/>
  <c r="K275" i="7" s="1"/>
  <c r="E276" i="7"/>
  <c r="J276" i="7" s="1"/>
  <c r="K276" i="7" s="1"/>
  <c r="E277" i="7"/>
  <c r="J277" i="7" s="1"/>
  <c r="K277" i="7" s="1"/>
  <c r="E278" i="7"/>
  <c r="J278" i="7" s="1"/>
  <c r="K278" i="7" s="1"/>
  <c r="E279" i="7"/>
  <c r="J279" i="7" s="1"/>
  <c r="K279" i="7" s="1"/>
  <c r="E280" i="7"/>
  <c r="J280" i="7" s="1"/>
  <c r="K280" i="7" s="1"/>
  <c r="E268" i="7"/>
  <c r="J268" i="7" s="1"/>
  <c r="K268" i="7" s="1"/>
  <c r="E250" i="7"/>
  <c r="J250" i="7" s="1"/>
  <c r="K250" i="7" s="1"/>
  <c r="E251" i="7"/>
  <c r="J251" i="7" s="1"/>
  <c r="K251" i="7" s="1"/>
  <c r="E252" i="7"/>
  <c r="J252" i="7" s="1"/>
  <c r="K252" i="7" s="1"/>
  <c r="E253" i="7"/>
  <c r="J253" i="7" s="1"/>
  <c r="K253" i="7" s="1"/>
  <c r="E254" i="7"/>
  <c r="J254" i="7" s="1"/>
  <c r="K254" i="7" s="1"/>
  <c r="E255" i="7"/>
  <c r="J255" i="7" s="1"/>
  <c r="K255" i="7" s="1"/>
  <c r="E256" i="7"/>
  <c r="J256" i="7" s="1"/>
  <c r="K256" i="7" s="1"/>
  <c r="E257" i="7"/>
  <c r="J257" i="7" s="1"/>
  <c r="K257" i="7" s="1"/>
  <c r="E258" i="7"/>
  <c r="J258" i="7" s="1"/>
  <c r="K258" i="7" s="1"/>
  <c r="E259" i="7"/>
  <c r="J259" i="7" s="1"/>
  <c r="K259" i="7" s="1"/>
  <c r="E260" i="7"/>
  <c r="J260" i="7" s="1"/>
  <c r="K260" i="7" s="1"/>
  <c r="E261" i="7"/>
  <c r="J261" i="7" s="1"/>
  <c r="K261" i="7" s="1"/>
  <c r="E262" i="7"/>
  <c r="J262" i="7" s="1"/>
  <c r="K262" i="7" s="1"/>
  <c r="E263" i="7"/>
  <c r="J263" i="7" s="1"/>
  <c r="K263" i="7" s="1"/>
  <c r="E264" i="7"/>
  <c r="J264" i="7" s="1"/>
  <c r="K264" i="7" s="1"/>
  <c r="E265" i="7"/>
  <c r="J265" i="7" s="1"/>
  <c r="K265" i="7" s="1"/>
  <c r="E266" i="7"/>
  <c r="J266" i="7" s="1"/>
  <c r="K266" i="7" s="1"/>
  <c r="E267" i="7"/>
  <c r="J267" i="7" s="1"/>
  <c r="K267" i="7" s="1"/>
  <c r="E245" i="7"/>
  <c r="J245" i="7" s="1"/>
  <c r="K245" i="7" s="1"/>
  <c r="E240" i="7"/>
  <c r="J240" i="7" s="1"/>
  <c r="K240" i="7" s="1"/>
  <c r="E241" i="7"/>
  <c r="J241" i="7" s="1"/>
  <c r="K241" i="7" s="1"/>
  <c r="E237" i="7"/>
  <c r="J237" i="7" s="1"/>
  <c r="K237" i="7" s="1"/>
  <c r="E216" i="7"/>
  <c r="J216" i="7" s="1"/>
  <c r="K216" i="7" s="1"/>
  <c r="E198" i="7"/>
  <c r="J198" i="7" s="1"/>
  <c r="K198" i="7" s="1"/>
  <c r="E199" i="7"/>
  <c r="J199" i="7" s="1"/>
  <c r="K199" i="7" s="1"/>
  <c r="E195" i="7"/>
  <c r="J195" i="7" s="1"/>
  <c r="K195" i="7" s="1"/>
  <c r="E196" i="7"/>
  <c r="J196" i="7" s="1"/>
  <c r="K196" i="7" s="1"/>
  <c r="E172" i="7"/>
  <c r="J172" i="7" s="1"/>
  <c r="K172" i="7" s="1"/>
  <c r="E173" i="7"/>
  <c r="J173" i="7" s="1"/>
  <c r="K173" i="7" s="1"/>
  <c r="E174" i="7"/>
  <c r="J174" i="7" s="1"/>
  <c r="K174" i="7" s="1"/>
  <c r="E175" i="7"/>
  <c r="J175" i="7" s="1"/>
  <c r="K175" i="7" s="1"/>
  <c r="E176" i="7"/>
  <c r="J176" i="7" s="1"/>
  <c r="K176" i="7" s="1"/>
  <c r="E177" i="7"/>
  <c r="J177" i="7" s="1"/>
  <c r="K177" i="7" s="1"/>
  <c r="E167" i="7"/>
  <c r="J167" i="7" s="1"/>
  <c r="K167" i="7" s="1"/>
  <c r="E159" i="7"/>
  <c r="J159" i="7" s="1"/>
  <c r="K159" i="7" s="1"/>
  <c r="E151" i="7"/>
  <c r="J151" i="7" s="1"/>
  <c r="K151" i="7" s="1"/>
  <c r="E149" i="7"/>
  <c r="J149" i="7" s="1"/>
  <c r="K149" i="7" s="1"/>
  <c r="E119" i="7"/>
  <c r="J119" i="7" s="1"/>
  <c r="K119" i="7" s="1"/>
  <c r="E120" i="7"/>
  <c r="J120" i="7" s="1"/>
  <c r="K120" i="7" s="1"/>
  <c r="E121" i="7"/>
  <c r="J121" i="7" s="1"/>
  <c r="K121" i="7" s="1"/>
  <c r="E122" i="7"/>
  <c r="J122" i="7" s="1"/>
  <c r="K122" i="7" s="1"/>
  <c r="E123" i="7"/>
  <c r="J123" i="7" s="1"/>
  <c r="K123" i="7" s="1"/>
  <c r="E124" i="7"/>
  <c r="J124" i="7" s="1"/>
  <c r="K124" i="7" s="1"/>
  <c r="E125" i="7"/>
  <c r="J125" i="7" s="1"/>
  <c r="K125" i="7" s="1"/>
  <c r="E126" i="7"/>
  <c r="J126" i="7" s="1"/>
  <c r="K126" i="7" s="1"/>
  <c r="E127" i="7"/>
  <c r="J127" i="7" s="1"/>
  <c r="K127" i="7" s="1"/>
  <c r="E128" i="7"/>
  <c r="J128" i="7" s="1"/>
  <c r="K128" i="7" s="1"/>
  <c r="E129" i="7"/>
  <c r="J129" i="7" s="1"/>
  <c r="K129" i="7" s="1"/>
  <c r="E130" i="7"/>
  <c r="J130" i="7" s="1"/>
  <c r="K130" i="7" s="1"/>
  <c r="E131" i="7"/>
  <c r="J131" i="7" s="1"/>
  <c r="K131" i="7" s="1"/>
  <c r="E106" i="7"/>
  <c r="J106" i="7" s="1"/>
  <c r="K106" i="7" s="1"/>
  <c r="E107" i="7"/>
  <c r="J107" i="7" s="1"/>
  <c r="K107" i="7" s="1"/>
  <c r="E108" i="7"/>
  <c r="J108" i="7" s="1"/>
  <c r="K108" i="7" s="1"/>
  <c r="E109" i="7"/>
  <c r="J109" i="7" s="1"/>
  <c r="K109" i="7" s="1"/>
  <c r="E110" i="7"/>
  <c r="J110" i="7" s="1"/>
  <c r="K110" i="7" s="1"/>
  <c r="E100" i="7"/>
  <c r="J100" i="7" s="1"/>
  <c r="K100" i="7" s="1"/>
  <c r="E101" i="7"/>
  <c r="J101" i="7" s="1"/>
  <c r="K101" i="7" s="1"/>
  <c r="E76" i="7"/>
  <c r="J76" i="7" s="1"/>
  <c r="K76" i="7" s="1"/>
  <c r="E77" i="7"/>
  <c r="J77" i="7" s="1"/>
  <c r="K77" i="7" s="1"/>
  <c r="E78" i="7"/>
  <c r="J78" i="7" s="1"/>
  <c r="K78" i="7" s="1"/>
  <c r="E79" i="7"/>
  <c r="J79" i="7" s="1"/>
  <c r="K79" i="7" s="1"/>
  <c r="E80" i="7"/>
  <c r="J80" i="7" s="1"/>
  <c r="K80" i="7" s="1"/>
  <c r="E81" i="7"/>
  <c r="J81" i="7" s="1"/>
  <c r="K81" i="7" s="1"/>
  <c r="E82" i="7"/>
  <c r="J82" i="7" s="1"/>
  <c r="K82" i="7" s="1"/>
  <c r="E83" i="7"/>
  <c r="J83" i="7" s="1"/>
  <c r="K83" i="7" s="1"/>
  <c r="E74" i="7"/>
  <c r="J74" i="7" s="1"/>
  <c r="K74" i="7" s="1"/>
  <c r="E75" i="7"/>
  <c r="J75" i="7" s="1"/>
  <c r="K75" i="7" s="1"/>
  <c r="E72" i="7"/>
  <c r="J72" i="7" s="1"/>
  <c r="K72" i="7" s="1"/>
  <c r="E60" i="7"/>
  <c r="J60" i="7" s="1"/>
  <c r="K60" i="7" s="1"/>
  <c r="E61" i="7"/>
  <c r="J61" i="7" s="1"/>
  <c r="K61" i="7" s="1"/>
  <c r="E62" i="7"/>
  <c r="J62" i="7" s="1"/>
  <c r="K62" i="7" s="1"/>
  <c r="E63" i="7"/>
  <c r="J63" i="7" s="1"/>
  <c r="K63" i="7" s="1"/>
  <c r="E64" i="7"/>
  <c r="J64" i="7" s="1"/>
  <c r="K64" i="7" s="1"/>
  <c r="E65" i="7"/>
  <c r="J65" i="7" s="1"/>
  <c r="K65" i="7" s="1"/>
  <c r="E66" i="7"/>
  <c r="J66" i="7" s="1"/>
  <c r="K66" i="7" s="1"/>
  <c r="E67" i="7"/>
  <c r="J67" i="7" s="1"/>
  <c r="K67" i="7" s="1"/>
  <c r="E68" i="7"/>
  <c r="J68" i="7" s="1"/>
  <c r="K68" i="7" s="1"/>
  <c r="E52" i="7"/>
  <c r="J52" i="7" s="1"/>
  <c r="K52" i="7" s="1"/>
  <c r="E53" i="7"/>
  <c r="J53" i="7" s="1"/>
  <c r="K53" i="7" s="1"/>
  <c r="E41" i="7"/>
  <c r="J41" i="7" s="1"/>
  <c r="K41" i="7" s="1"/>
  <c r="E29" i="7"/>
  <c r="J29" i="7" s="1"/>
  <c r="K29" i="7" s="1"/>
  <c r="E26" i="7"/>
  <c r="J26" i="7" s="1"/>
  <c r="K26" i="7" s="1"/>
  <c r="E27" i="7"/>
  <c r="J27" i="7" s="1"/>
  <c r="K27" i="7" s="1"/>
  <c r="E2" i="7"/>
  <c r="J2" i="7" s="1"/>
  <c r="K2" i="7" s="1"/>
  <c r="E3" i="7"/>
  <c r="J3" i="7" s="1"/>
  <c r="K3" i="7" s="1"/>
  <c r="E4" i="7"/>
  <c r="J4" i="7" s="1"/>
  <c r="K4" i="7" s="1"/>
  <c r="E5" i="7"/>
  <c r="J5" i="7" s="1"/>
  <c r="K5" i="7" s="1"/>
  <c r="E6" i="7"/>
  <c r="J6" i="7" s="1"/>
  <c r="K6" i="7" s="1"/>
  <c r="E7" i="7"/>
  <c r="J7" i="7" s="1"/>
  <c r="K7" i="7" s="1"/>
  <c r="E8" i="7"/>
  <c r="J8" i="7" s="1"/>
  <c r="K8" i="7" s="1"/>
  <c r="E9" i="7"/>
  <c r="J9" i="7" s="1"/>
  <c r="K9" i="7" s="1"/>
  <c r="E10" i="7"/>
  <c r="J10" i="7" s="1"/>
  <c r="K10" i="7" s="1"/>
  <c r="E11" i="7"/>
  <c r="J11" i="7" s="1"/>
  <c r="K11" i="7" s="1"/>
  <c r="E12" i="7"/>
  <c r="J12" i="7" s="1"/>
  <c r="K12" i="7" s="1"/>
  <c r="E13" i="7"/>
  <c r="J13" i="7" s="1"/>
  <c r="K13" i="7" s="1"/>
  <c r="E14" i="7"/>
  <c r="J14" i="7" s="1"/>
  <c r="K14" i="7" s="1"/>
  <c r="E15" i="7"/>
  <c r="J15" i="7" s="1"/>
  <c r="K15" i="7" s="1"/>
  <c r="E16" i="7"/>
  <c r="J16" i="7" s="1"/>
  <c r="K16" i="7" s="1"/>
  <c r="E17" i="7"/>
  <c r="J17" i="7" s="1"/>
  <c r="K17" i="7" s="1"/>
  <c r="E18" i="7"/>
  <c r="J18" i="7" s="1"/>
  <c r="K18" i="7" s="1"/>
  <c r="E19" i="7"/>
  <c r="J19" i="7" s="1"/>
  <c r="K19" i="7" s="1"/>
  <c r="E20" i="7"/>
  <c r="J20" i="7" s="1"/>
  <c r="K20" i="7" s="1"/>
  <c r="E21" i="7"/>
  <c r="J21" i="7" s="1"/>
  <c r="K21" i="7" s="1"/>
  <c r="E22" i="7"/>
  <c r="J22" i="7" s="1"/>
  <c r="K22" i="7" s="1"/>
  <c r="E23" i="7"/>
  <c r="J23" i="7" s="1"/>
  <c r="K23" i="7" s="1"/>
  <c r="E24" i="7"/>
  <c r="J24" i="7" s="1"/>
  <c r="K24" i="7" s="1"/>
  <c r="E25" i="7"/>
  <c r="J25" i="7" s="1"/>
  <c r="K25" i="7" s="1"/>
  <c r="E28" i="7"/>
  <c r="J28" i="7" s="1"/>
  <c r="K28" i="7" s="1"/>
  <c r="E30" i="7"/>
  <c r="J30" i="7" s="1"/>
  <c r="K30" i="7" s="1"/>
  <c r="E31" i="7"/>
  <c r="J31" i="7" s="1"/>
  <c r="K31" i="7" s="1"/>
  <c r="E32" i="7"/>
  <c r="J32" i="7" s="1"/>
  <c r="K32" i="7" s="1"/>
  <c r="E33" i="7"/>
  <c r="J33" i="7" s="1"/>
  <c r="K33" i="7" s="1"/>
  <c r="E34" i="7"/>
  <c r="J34" i="7" s="1"/>
  <c r="K34" i="7" s="1"/>
  <c r="E35" i="7"/>
  <c r="J35" i="7" s="1"/>
  <c r="K35" i="7" s="1"/>
  <c r="E36" i="7"/>
  <c r="J36" i="7" s="1"/>
  <c r="K36" i="7" s="1"/>
  <c r="E37" i="7"/>
  <c r="J37" i="7" s="1"/>
  <c r="K37" i="7" s="1"/>
  <c r="E38" i="7"/>
  <c r="J38" i="7" s="1"/>
  <c r="K38" i="7" s="1"/>
  <c r="E39" i="7"/>
  <c r="J39" i="7" s="1"/>
  <c r="K39" i="7" s="1"/>
  <c r="E40" i="7"/>
  <c r="J40" i="7" s="1"/>
  <c r="K40" i="7" s="1"/>
  <c r="E42" i="7"/>
  <c r="J42" i="7" s="1"/>
  <c r="K42" i="7" s="1"/>
  <c r="E43" i="7"/>
  <c r="J43" i="7" s="1"/>
  <c r="K43" i="7" s="1"/>
  <c r="E44" i="7"/>
  <c r="J44" i="7" s="1"/>
  <c r="K44" i="7" s="1"/>
  <c r="E45" i="7"/>
  <c r="J45" i="7" s="1"/>
  <c r="K45" i="7" s="1"/>
  <c r="E46" i="7"/>
  <c r="J46" i="7" s="1"/>
  <c r="K46" i="7" s="1"/>
  <c r="E47" i="7"/>
  <c r="J47" i="7" s="1"/>
  <c r="K47" i="7" s="1"/>
  <c r="E48" i="7"/>
  <c r="J48" i="7" s="1"/>
  <c r="K48" i="7" s="1"/>
  <c r="E49" i="7"/>
  <c r="J49" i="7" s="1"/>
  <c r="K49" i="7" s="1"/>
  <c r="E50" i="7"/>
  <c r="J50" i="7" s="1"/>
  <c r="K50" i="7" s="1"/>
  <c r="E51" i="7"/>
  <c r="J51" i="7" s="1"/>
  <c r="K51" i="7" s="1"/>
  <c r="E54" i="7"/>
  <c r="J54" i="7" s="1"/>
  <c r="K54" i="7" s="1"/>
  <c r="E55" i="7"/>
  <c r="J55" i="7" s="1"/>
  <c r="K55" i="7" s="1"/>
  <c r="E56" i="7"/>
  <c r="J56" i="7" s="1"/>
  <c r="K56" i="7" s="1"/>
  <c r="E57" i="7"/>
  <c r="J57" i="7" s="1"/>
  <c r="K57" i="7" s="1"/>
  <c r="E58" i="7"/>
  <c r="J58" i="7" s="1"/>
  <c r="K58" i="7" s="1"/>
  <c r="E59" i="7"/>
  <c r="J59" i="7" s="1"/>
  <c r="K59" i="7" s="1"/>
  <c r="E69" i="7"/>
  <c r="J69" i="7" s="1"/>
  <c r="K69" i="7" s="1"/>
  <c r="E70" i="7"/>
  <c r="J70" i="7" s="1"/>
  <c r="K70" i="7" s="1"/>
  <c r="E71" i="7"/>
  <c r="J71" i="7" s="1"/>
  <c r="K71" i="7" s="1"/>
  <c r="E73" i="7"/>
  <c r="J73" i="7" s="1"/>
  <c r="K73" i="7" s="1"/>
  <c r="E84" i="7"/>
  <c r="J84" i="7" s="1"/>
  <c r="K84" i="7" s="1"/>
  <c r="E85" i="7"/>
  <c r="J85" i="7" s="1"/>
  <c r="K85" i="7" s="1"/>
  <c r="E86" i="7"/>
  <c r="J86" i="7" s="1"/>
  <c r="K86" i="7" s="1"/>
  <c r="E87" i="7"/>
  <c r="J87" i="7" s="1"/>
  <c r="K87" i="7" s="1"/>
  <c r="E88" i="7"/>
  <c r="J88" i="7" s="1"/>
  <c r="K88" i="7" s="1"/>
  <c r="E89" i="7"/>
  <c r="J89" i="7" s="1"/>
  <c r="K89" i="7" s="1"/>
  <c r="E90" i="7"/>
  <c r="J90" i="7" s="1"/>
  <c r="K90" i="7" s="1"/>
  <c r="E91" i="7"/>
  <c r="J91" i="7" s="1"/>
  <c r="K91" i="7" s="1"/>
  <c r="E92" i="7"/>
  <c r="J92" i="7" s="1"/>
  <c r="K92" i="7" s="1"/>
  <c r="E93" i="7"/>
  <c r="J93" i="7" s="1"/>
  <c r="K93" i="7" s="1"/>
  <c r="E94" i="7"/>
  <c r="J94" i="7" s="1"/>
  <c r="K94" i="7" s="1"/>
  <c r="E95" i="7"/>
  <c r="J95" i="7" s="1"/>
  <c r="K95" i="7" s="1"/>
  <c r="E96" i="7"/>
  <c r="J96" i="7" s="1"/>
  <c r="K96" i="7" s="1"/>
  <c r="E97" i="7"/>
  <c r="J97" i="7" s="1"/>
  <c r="K97" i="7" s="1"/>
  <c r="E98" i="7"/>
  <c r="J98" i="7" s="1"/>
  <c r="K98" i="7" s="1"/>
  <c r="E99" i="7"/>
  <c r="J99" i="7" s="1"/>
  <c r="K99" i="7" s="1"/>
  <c r="E102" i="7"/>
  <c r="J102" i="7" s="1"/>
  <c r="K102" i="7" s="1"/>
  <c r="E103" i="7"/>
  <c r="J103" i="7" s="1"/>
  <c r="K103" i="7" s="1"/>
  <c r="E104" i="7"/>
  <c r="J104" i="7" s="1"/>
  <c r="K104" i="7" s="1"/>
  <c r="E105" i="7"/>
  <c r="J105" i="7" s="1"/>
  <c r="K105" i="7" s="1"/>
  <c r="E111" i="7"/>
  <c r="J111" i="7" s="1"/>
  <c r="K111" i="7" s="1"/>
  <c r="E112" i="7"/>
  <c r="J112" i="7" s="1"/>
  <c r="K112" i="7" s="1"/>
  <c r="E113" i="7"/>
  <c r="J113" i="7" s="1"/>
  <c r="K113" i="7" s="1"/>
  <c r="E114" i="7"/>
  <c r="J114" i="7" s="1"/>
  <c r="K114" i="7" s="1"/>
  <c r="E115" i="7"/>
  <c r="J115" i="7" s="1"/>
  <c r="K115" i="7" s="1"/>
  <c r="E116" i="7"/>
  <c r="J116" i="7" s="1"/>
  <c r="K116" i="7" s="1"/>
  <c r="E117" i="7"/>
  <c r="J117" i="7" s="1"/>
  <c r="K117" i="7" s="1"/>
  <c r="E118" i="7"/>
  <c r="J118" i="7" s="1"/>
  <c r="K118" i="7" s="1"/>
  <c r="E132" i="7"/>
  <c r="J132" i="7" s="1"/>
  <c r="K132" i="7" s="1"/>
  <c r="E133" i="7"/>
  <c r="J133" i="7" s="1"/>
  <c r="K133" i="7" s="1"/>
  <c r="E134" i="7"/>
  <c r="J134" i="7" s="1"/>
  <c r="K134" i="7" s="1"/>
  <c r="E135" i="7"/>
  <c r="J135" i="7" s="1"/>
  <c r="K135" i="7" s="1"/>
  <c r="E136" i="7"/>
  <c r="J136" i="7" s="1"/>
  <c r="K136" i="7" s="1"/>
  <c r="E137" i="7"/>
  <c r="J137" i="7" s="1"/>
  <c r="K137" i="7" s="1"/>
  <c r="E138" i="7"/>
  <c r="J138" i="7" s="1"/>
  <c r="K138" i="7" s="1"/>
  <c r="E139" i="7"/>
  <c r="J139" i="7" s="1"/>
  <c r="K139" i="7" s="1"/>
  <c r="E140" i="7"/>
  <c r="J140" i="7" s="1"/>
  <c r="K140" i="7" s="1"/>
  <c r="E141" i="7"/>
  <c r="J141" i="7" s="1"/>
  <c r="K141" i="7" s="1"/>
  <c r="E142" i="7"/>
  <c r="J142" i="7" s="1"/>
  <c r="K142" i="7" s="1"/>
  <c r="E143" i="7"/>
  <c r="J143" i="7" s="1"/>
  <c r="K143" i="7" s="1"/>
  <c r="E144" i="7"/>
  <c r="J144" i="7" s="1"/>
  <c r="K144" i="7" s="1"/>
  <c r="E145" i="7"/>
  <c r="J145" i="7" s="1"/>
  <c r="K145" i="7" s="1"/>
  <c r="E146" i="7"/>
  <c r="J146" i="7" s="1"/>
  <c r="K146" i="7" s="1"/>
  <c r="E147" i="7"/>
  <c r="J147" i="7" s="1"/>
  <c r="K147" i="7" s="1"/>
  <c r="E148" i="7"/>
  <c r="J148" i="7" s="1"/>
  <c r="K148" i="7" s="1"/>
  <c r="E150" i="7"/>
  <c r="J150" i="7" s="1"/>
  <c r="K150" i="7" s="1"/>
  <c r="E152" i="7"/>
  <c r="J152" i="7" s="1"/>
  <c r="K152" i="7" s="1"/>
  <c r="E153" i="7"/>
  <c r="J153" i="7" s="1"/>
  <c r="K153" i="7" s="1"/>
  <c r="E154" i="7"/>
  <c r="J154" i="7" s="1"/>
  <c r="K154" i="7" s="1"/>
  <c r="E155" i="7"/>
  <c r="J155" i="7" s="1"/>
  <c r="K155" i="7" s="1"/>
  <c r="E156" i="7"/>
  <c r="J156" i="7" s="1"/>
  <c r="K156" i="7" s="1"/>
  <c r="E157" i="7"/>
  <c r="J157" i="7" s="1"/>
  <c r="K157" i="7" s="1"/>
  <c r="E158" i="7"/>
  <c r="J158" i="7" s="1"/>
  <c r="K158" i="7" s="1"/>
  <c r="E160" i="7"/>
  <c r="J160" i="7" s="1"/>
  <c r="K160" i="7" s="1"/>
  <c r="E161" i="7"/>
  <c r="J161" i="7" s="1"/>
  <c r="K161" i="7" s="1"/>
  <c r="E162" i="7"/>
  <c r="J162" i="7" s="1"/>
  <c r="K162" i="7" s="1"/>
  <c r="E163" i="7"/>
  <c r="J163" i="7" s="1"/>
  <c r="K163" i="7" s="1"/>
  <c r="E164" i="7"/>
  <c r="J164" i="7" s="1"/>
  <c r="K164" i="7" s="1"/>
  <c r="E165" i="7"/>
  <c r="J165" i="7" s="1"/>
  <c r="K165" i="7" s="1"/>
  <c r="E166" i="7"/>
  <c r="J166" i="7" s="1"/>
  <c r="K166" i="7" s="1"/>
  <c r="E168" i="7"/>
  <c r="J168" i="7" s="1"/>
  <c r="K168" i="7" s="1"/>
  <c r="E169" i="7"/>
  <c r="J169" i="7" s="1"/>
  <c r="K169" i="7" s="1"/>
  <c r="E170" i="7"/>
  <c r="J170" i="7" s="1"/>
  <c r="K170" i="7" s="1"/>
  <c r="E171" i="7"/>
  <c r="J171" i="7" s="1"/>
  <c r="K171" i="7" s="1"/>
  <c r="E178" i="7"/>
  <c r="J178" i="7" s="1"/>
  <c r="K178" i="7" s="1"/>
  <c r="E179" i="7"/>
  <c r="J179" i="7" s="1"/>
  <c r="K179" i="7" s="1"/>
  <c r="E180" i="7"/>
  <c r="J180" i="7" s="1"/>
  <c r="K180" i="7" s="1"/>
  <c r="E181" i="7"/>
  <c r="J181" i="7" s="1"/>
  <c r="K181" i="7" s="1"/>
  <c r="E182" i="7"/>
  <c r="J182" i="7" s="1"/>
  <c r="K182" i="7" s="1"/>
  <c r="E183" i="7"/>
  <c r="J183" i="7" s="1"/>
  <c r="K183" i="7" s="1"/>
  <c r="E184" i="7"/>
  <c r="J184" i="7" s="1"/>
  <c r="K184" i="7" s="1"/>
  <c r="E185" i="7"/>
  <c r="J185" i="7" s="1"/>
  <c r="K185" i="7" s="1"/>
  <c r="E186" i="7"/>
  <c r="J186" i="7" s="1"/>
  <c r="K186" i="7" s="1"/>
  <c r="E187" i="7"/>
  <c r="J187" i="7" s="1"/>
  <c r="K187" i="7" s="1"/>
  <c r="E188" i="7"/>
  <c r="J188" i="7" s="1"/>
  <c r="K188" i="7" s="1"/>
  <c r="E189" i="7"/>
  <c r="J189" i="7" s="1"/>
  <c r="K189" i="7" s="1"/>
  <c r="E190" i="7"/>
  <c r="J190" i="7" s="1"/>
  <c r="K190" i="7" s="1"/>
  <c r="E191" i="7"/>
  <c r="J191" i="7" s="1"/>
  <c r="K191" i="7" s="1"/>
  <c r="E192" i="7"/>
  <c r="J192" i="7" s="1"/>
  <c r="K192" i="7" s="1"/>
  <c r="E193" i="7"/>
  <c r="J193" i="7" s="1"/>
  <c r="K193" i="7" s="1"/>
  <c r="E194" i="7"/>
  <c r="J194" i="7" s="1"/>
  <c r="K194" i="7" s="1"/>
  <c r="E197" i="7"/>
  <c r="J197" i="7" s="1"/>
  <c r="K197" i="7" s="1"/>
  <c r="E200" i="7"/>
  <c r="J200" i="7" s="1"/>
  <c r="K200" i="7" s="1"/>
  <c r="E201" i="7"/>
  <c r="J201" i="7" s="1"/>
  <c r="K201" i="7" s="1"/>
  <c r="E202" i="7"/>
  <c r="J202" i="7" s="1"/>
  <c r="K202" i="7" s="1"/>
  <c r="E203" i="7"/>
  <c r="J203" i="7" s="1"/>
  <c r="K203" i="7" s="1"/>
  <c r="E204" i="7"/>
  <c r="J204" i="7" s="1"/>
  <c r="K204" i="7" s="1"/>
  <c r="E205" i="7"/>
  <c r="J205" i="7" s="1"/>
  <c r="K205" i="7" s="1"/>
  <c r="E206" i="7"/>
  <c r="J206" i="7" s="1"/>
  <c r="K206" i="7" s="1"/>
  <c r="E207" i="7"/>
  <c r="J207" i="7" s="1"/>
  <c r="K207" i="7" s="1"/>
  <c r="E208" i="7"/>
  <c r="J208" i="7" s="1"/>
  <c r="K208" i="7" s="1"/>
  <c r="E209" i="7"/>
  <c r="J209" i="7" s="1"/>
  <c r="K209" i="7" s="1"/>
  <c r="E210" i="7"/>
  <c r="J210" i="7" s="1"/>
  <c r="K210" i="7" s="1"/>
  <c r="E211" i="7"/>
  <c r="J211" i="7" s="1"/>
  <c r="K211" i="7" s="1"/>
  <c r="E212" i="7"/>
  <c r="J212" i="7" s="1"/>
  <c r="K212" i="7" s="1"/>
  <c r="E213" i="7"/>
  <c r="J213" i="7" s="1"/>
  <c r="K213" i="7" s="1"/>
  <c r="E214" i="7"/>
  <c r="J214" i="7" s="1"/>
  <c r="K214" i="7" s="1"/>
  <c r="E215" i="7"/>
  <c r="J215" i="7" s="1"/>
  <c r="K215" i="7" s="1"/>
  <c r="E217" i="7"/>
  <c r="J217" i="7" s="1"/>
  <c r="K217" i="7" s="1"/>
  <c r="E218" i="7"/>
  <c r="J218" i="7" s="1"/>
  <c r="K218" i="7" s="1"/>
  <c r="E219" i="7"/>
  <c r="J219" i="7" s="1"/>
  <c r="K219" i="7" s="1"/>
  <c r="E220" i="7"/>
  <c r="J220" i="7" s="1"/>
  <c r="K220" i="7" s="1"/>
  <c r="E221" i="7"/>
  <c r="J221" i="7" s="1"/>
  <c r="K221" i="7" s="1"/>
  <c r="E222" i="7"/>
  <c r="J222" i="7" s="1"/>
  <c r="K222" i="7" s="1"/>
  <c r="E223" i="7"/>
  <c r="J223" i="7" s="1"/>
  <c r="K223" i="7" s="1"/>
  <c r="E224" i="7"/>
  <c r="J224" i="7" s="1"/>
  <c r="K224" i="7" s="1"/>
  <c r="E225" i="7"/>
  <c r="J225" i="7" s="1"/>
  <c r="K225" i="7" s="1"/>
  <c r="E226" i="7"/>
  <c r="J226" i="7" s="1"/>
  <c r="K226" i="7" s="1"/>
  <c r="E227" i="7"/>
  <c r="J227" i="7" s="1"/>
  <c r="K227" i="7" s="1"/>
  <c r="E228" i="7"/>
  <c r="J228" i="7" s="1"/>
  <c r="K228" i="7" s="1"/>
  <c r="E229" i="7"/>
  <c r="J229" i="7" s="1"/>
  <c r="K229" i="7" s="1"/>
  <c r="E230" i="7"/>
  <c r="J230" i="7" s="1"/>
  <c r="K230" i="7" s="1"/>
  <c r="E231" i="7"/>
  <c r="J231" i="7" s="1"/>
  <c r="K231" i="7" s="1"/>
  <c r="E232" i="7"/>
  <c r="J232" i="7" s="1"/>
  <c r="K232" i="7" s="1"/>
  <c r="E233" i="7"/>
  <c r="J233" i="7" s="1"/>
  <c r="K233" i="7" s="1"/>
  <c r="E234" i="7"/>
  <c r="J234" i="7" s="1"/>
  <c r="K234" i="7" s="1"/>
  <c r="E235" i="7"/>
  <c r="J235" i="7" s="1"/>
  <c r="K235" i="7" s="1"/>
  <c r="E236" i="7"/>
  <c r="J236" i="7" s="1"/>
  <c r="K236" i="7" s="1"/>
  <c r="E238" i="7"/>
  <c r="J238" i="7" s="1"/>
  <c r="K238" i="7" s="1"/>
  <c r="E239" i="7"/>
  <c r="J239" i="7" s="1"/>
  <c r="K239" i="7" s="1"/>
  <c r="E242" i="7"/>
  <c r="J242" i="7" s="1"/>
  <c r="K242" i="7" s="1"/>
  <c r="E243" i="7"/>
  <c r="J243" i="7" s="1"/>
  <c r="K243" i="7" s="1"/>
  <c r="E244" i="7"/>
  <c r="J244" i="7" s="1"/>
  <c r="K244" i="7" s="1"/>
  <c r="E246" i="7"/>
  <c r="J246" i="7" s="1"/>
  <c r="K246" i="7" s="1"/>
  <c r="E247" i="7"/>
  <c r="J247" i="7" s="1"/>
  <c r="K247" i="7" s="1"/>
  <c r="E248" i="7"/>
  <c r="J248" i="7" s="1"/>
  <c r="K248" i="7" s="1"/>
  <c r="E249" i="7"/>
  <c r="J249" i="7" s="1"/>
  <c r="K249" i="7" s="1"/>
  <c r="E269" i="7"/>
  <c r="J269" i="7" s="1"/>
  <c r="K269" i="7" s="1"/>
  <c r="E281" i="7"/>
  <c r="J281" i="7" s="1"/>
  <c r="K281" i="7" s="1"/>
  <c r="E282" i="7"/>
  <c r="J282" i="7" s="1"/>
  <c r="K282" i="7" s="1"/>
  <c r="E283" i="7"/>
  <c r="J283" i="7" s="1"/>
  <c r="K283" i="7" s="1"/>
  <c r="E284" i="7"/>
  <c r="J284" i="7" s="1"/>
  <c r="K284" i="7" s="1"/>
  <c r="E285" i="7"/>
  <c r="J285" i="7" s="1"/>
  <c r="K285" i="7" s="1"/>
  <c r="E286" i="7"/>
  <c r="J286" i="7" s="1"/>
  <c r="K286" i="7" s="1"/>
  <c r="E287" i="7"/>
  <c r="J287" i="7" s="1"/>
  <c r="K287" i="7" s="1"/>
  <c r="E288" i="7"/>
  <c r="J288" i="7" s="1"/>
  <c r="K288" i="7" s="1"/>
  <c r="E289" i="7"/>
  <c r="J289" i="7" s="1"/>
  <c r="K289" i="7" s="1"/>
  <c r="E290" i="7"/>
  <c r="J290" i="7" s="1"/>
  <c r="K290" i="7" s="1"/>
  <c r="E291" i="7"/>
  <c r="J291" i="7" s="1"/>
  <c r="K291" i="7" s="1"/>
  <c r="E293" i="7"/>
  <c r="J293" i="7" s="1"/>
  <c r="K293" i="7" s="1"/>
  <c r="E294" i="7"/>
  <c r="J294" i="7" s="1"/>
  <c r="K294" i="7" s="1"/>
  <c r="E295" i="7"/>
  <c r="J295" i="7" s="1"/>
  <c r="K295" i="7" s="1"/>
  <c r="E296" i="7"/>
  <c r="J296" i="7" s="1"/>
  <c r="K296" i="7" s="1"/>
  <c r="E297" i="7"/>
  <c r="J297" i="7" s="1"/>
  <c r="K297" i="7" s="1"/>
  <c r="E298" i="7"/>
  <c r="J298" i="7" s="1"/>
  <c r="K298" i="7" s="1"/>
  <c r="E303" i="7"/>
  <c r="J303" i="7" s="1"/>
  <c r="K303" i="7" s="1"/>
  <c r="E310" i="7"/>
  <c r="J310" i="7" s="1"/>
  <c r="K310" i="7" s="1"/>
  <c r="E335" i="7"/>
  <c r="J335" i="7" s="1"/>
  <c r="K335" i="7" s="1"/>
  <c r="E336" i="7"/>
  <c r="J336" i="7" s="1"/>
  <c r="K336" i="7" s="1"/>
  <c r="E337" i="7"/>
  <c r="J337" i="7" s="1"/>
  <c r="K337" i="7" s="1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2" i="6"/>
  <c r="C2" i="6" s="1"/>
  <c r="E2" i="6"/>
</calcChain>
</file>

<file path=xl/sharedStrings.xml><?xml version="1.0" encoding="utf-8"?>
<sst xmlns="http://schemas.openxmlformats.org/spreadsheetml/2006/main" count="24225" uniqueCount="11655">
  <si>
    <t>URL</t>
  </si>
  <si>
    <t>NCBI RefSeq assembly</t>
  </si>
  <si>
    <t>BioSampleID</t>
  </si>
  <si>
    <t>Sample name</t>
  </si>
  <si>
    <t>Assembly number</t>
  </si>
  <si>
    <t>Chromosome ref seq</t>
  </si>
  <si>
    <t>Ref Seq</t>
  </si>
  <si>
    <t>GenBank</t>
  </si>
  <si>
    <t>Genome size</t>
  </si>
  <si>
    <t>total ungapped length</t>
  </si>
  <si>
    <t>number of chromosomes</t>
  </si>
  <si>
    <t>number of scaffolds</t>
  </si>
  <si>
    <t>scaffold N50</t>
  </si>
  <si>
    <t>scaffold L50</t>
  </si>
  <si>
    <t>Assembly level</t>
  </si>
  <si>
    <t>Genes</t>
  </si>
  <si>
    <t>Protein-coding</t>
  </si>
  <si>
    <t>Chromosome</t>
  </si>
  <si>
    <t>Number of contigs</t>
  </si>
  <si>
    <t>Contig N50</t>
  </si>
  <si>
    <t>GC%</t>
  </si>
  <si>
    <t>CheckM analysis</t>
  </si>
  <si>
    <t>Completeness</t>
  </si>
  <si>
    <t>Contamination</t>
  </si>
  <si>
    <t>https://www.ncbi.nlm.nih.gov/datasets/genome/GCF_903886475.1/</t>
  </si>
  <si>
    <t>GCF_903886475.1</t>
  </si>
  <si>
    <t>SAMEA6957296</t>
  </si>
  <si>
    <t>STH_CIRM_65</t>
  </si>
  <si>
    <t>1.8Mb</t>
  </si>
  <si>
    <t>Contig L50</t>
  </si>
  <si>
    <t>Complete genome</t>
  </si>
  <si>
    <t>LR822015.1</t>
  </si>
  <si>
    <t>NZ_LR822015.1</t>
  </si>
  <si>
    <t>protein accesion</t>
  </si>
  <si>
    <t>locus tag</t>
  </si>
  <si>
    <t>EC no.</t>
  </si>
  <si>
    <t>KEGG Enzyme URL</t>
  </si>
  <si>
    <t>Reactants</t>
  </si>
  <si>
    <t>Products</t>
  </si>
  <si>
    <t>Accession</t>
  </si>
  <si>
    <t>Begin</t>
  </si>
  <si>
    <t>End</t>
  </si>
  <si>
    <t>Orientation</t>
  </si>
  <si>
    <t>Name</t>
  </si>
  <si>
    <t>Symbol</t>
  </si>
  <si>
    <t>Gene ID</t>
  </si>
  <si>
    <t>Gene Type</t>
  </si>
  <si>
    <t>Transcripts accession</t>
  </si>
  <si>
    <t>Transcript name</t>
  </si>
  <si>
    <t>Protein accession</t>
  </si>
  <si>
    <t>Protein name</t>
  </si>
  <si>
    <t>Protein length</t>
  </si>
  <si>
    <t>Locus tag</t>
  </si>
  <si>
    <t>plus</t>
  </si>
  <si>
    <t>dnaA</t>
  </si>
  <si>
    <t>protein-coding</t>
  </si>
  <si>
    <t>WP_002948584.1</t>
  </si>
  <si>
    <t>dnaN</t>
  </si>
  <si>
    <t>WP_002948931.1</t>
  </si>
  <si>
    <t>WP_002886272.1</t>
  </si>
  <si>
    <t>WP_002948588.1</t>
  </si>
  <si>
    <t>pth</t>
  </si>
  <si>
    <t>WP_002948591.1</t>
  </si>
  <si>
    <t>transcription-repair coupling factor</t>
  </si>
  <si>
    <t>mfd</t>
  </si>
  <si>
    <t>WP_011225239.1</t>
  </si>
  <si>
    <t>WP_002948594.1</t>
  </si>
  <si>
    <t>WP_011225240.1</t>
  </si>
  <si>
    <t>WP_002948953.1</t>
  </si>
  <si>
    <t>WP_011225241.1</t>
  </si>
  <si>
    <t>tilS</t>
  </si>
  <si>
    <t>WP_179971689.1</t>
  </si>
  <si>
    <t>WP_002948598.1</t>
  </si>
  <si>
    <t>ftsH</t>
  </si>
  <si>
    <t>WP_011225243.1</t>
  </si>
  <si>
    <t>minus</t>
  </si>
  <si>
    <t>WP_179971555.1</t>
  </si>
  <si>
    <t>WP_011225251.1</t>
  </si>
  <si>
    <t>WP_041826936.1</t>
  </si>
  <si>
    <t>WP_179971690.1</t>
  </si>
  <si>
    <t>WP_011680585.1</t>
  </si>
  <si>
    <t>WP_011680586.1</t>
  </si>
  <si>
    <t>DNA repair protein RecO</t>
  </si>
  <si>
    <t>recO</t>
  </si>
  <si>
    <t>WP_002946256.1</t>
  </si>
  <si>
    <t>plsX</t>
  </si>
  <si>
    <t>WP_011225258.1</t>
  </si>
  <si>
    <t>WP_002949008.1</t>
  </si>
  <si>
    <t>purC</t>
  </si>
  <si>
    <t>WP_011225260.1</t>
  </si>
  <si>
    <t>WP_041828091.1</t>
  </si>
  <si>
    <t>purF</t>
  </si>
  <si>
    <t>WP_002946865.1</t>
  </si>
  <si>
    <t>purM</t>
  </si>
  <si>
    <t>WP_288577255.1</t>
  </si>
  <si>
    <t>phosphoribosylglycinamide formyltransferase</t>
  </si>
  <si>
    <t>purN</t>
  </si>
  <si>
    <t>WP_011225263.1</t>
  </si>
  <si>
    <t>purH</t>
  </si>
  <si>
    <t>WP_002949016.1</t>
  </si>
  <si>
    <t>WP_011225268.1</t>
  </si>
  <si>
    <t>purD</t>
  </si>
  <si>
    <t>WP_011225269.1</t>
  </si>
  <si>
    <t>purE</t>
  </si>
  <si>
    <t>WP_041828093.1</t>
  </si>
  <si>
    <t>purK</t>
  </si>
  <si>
    <t>WP_011225271.1</t>
  </si>
  <si>
    <t>adenylosuccinate lyase</t>
  </si>
  <si>
    <t>purB</t>
  </si>
  <si>
    <t>WP_002948159.1</t>
  </si>
  <si>
    <t>WP_041826943.1</t>
  </si>
  <si>
    <t>argS</t>
  </si>
  <si>
    <t>WP_011225275.1</t>
  </si>
  <si>
    <t>argR</t>
  </si>
  <si>
    <t>WP_024704313.1</t>
  </si>
  <si>
    <t>WP_011225277.1</t>
  </si>
  <si>
    <t>mutS</t>
  </si>
  <si>
    <t>WP_011225278.1</t>
  </si>
  <si>
    <t>WP_011225281.1</t>
  </si>
  <si>
    <t>mutL</t>
  </si>
  <si>
    <t>WP_011225282.1</t>
  </si>
  <si>
    <t>WP_041826940.1</t>
  </si>
  <si>
    <t>ruvA</t>
  </si>
  <si>
    <t>WP_002949053.1</t>
  </si>
  <si>
    <t>WP_011225284.1</t>
  </si>
  <si>
    <t>WP_011225285.1</t>
  </si>
  <si>
    <t>recA</t>
  </si>
  <si>
    <t>WP_002949056.1</t>
  </si>
  <si>
    <t>WP_002949058.1</t>
  </si>
  <si>
    <t>WP_011226747.1</t>
  </si>
  <si>
    <t>aminopeptidase</t>
  </si>
  <si>
    <t>WP_011225287.1</t>
  </si>
  <si>
    <t>WP_002886331.1</t>
  </si>
  <si>
    <t>WP_011225289.1</t>
  </si>
  <si>
    <t>WP_011225293.1</t>
  </si>
  <si>
    <t>rpsB</t>
  </si>
  <si>
    <t>WP_002944541.1</t>
  </si>
  <si>
    <t>tsf</t>
  </si>
  <si>
    <t>WP_002949105.1</t>
  </si>
  <si>
    <t>WP_011225296.1</t>
  </si>
  <si>
    <t>WP_011225297.1</t>
  </si>
  <si>
    <t>WP_011225298.1</t>
  </si>
  <si>
    <t>WP_041828096.1</t>
  </si>
  <si>
    <t>WP_011225302.1</t>
  </si>
  <si>
    <t>WP_011225303.1</t>
  </si>
  <si>
    <t>WP_002948444.1</t>
  </si>
  <si>
    <t>cysS</t>
  </si>
  <si>
    <t>WP_011225305.1</t>
  </si>
  <si>
    <t>WP_002948449.1</t>
  </si>
  <si>
    <t>WP_002948458.1</t>
  </si>
  <si>
    <t>WP_011225306.1</t>
  </si>
  <si>
    <t>WP_011225307.1</t>
  </si>
  <si>
    <t>WP_002948464.1</t>
  </si>
  <si>
    <t>DegV family protein</t>
  </si>
  <si>
    <t>WP_011225308.1</t>
  </si>
  <si>
    <t>WP_011225309.1</t>
  </si>
  <si>
    <t>WP_011225310.1</t>
  </si>
  <si>
    <t>rplM</t>
  </si>
  <si>
    <t>WP_002886374.1</t>
  </si>
  <si>
    <t>rpsI</t>
  </si>
  <si>
    <t>WP_002947796.1</t>
  </si>
  <si>
    <t>WP_011225312.1</t>
  </si>
  <si>
    <t>WP_011225313.1</t>
  </si>
  <si>
    <t>WP_179971691.1</t>
  </si>
  <si>
    <t>WP_011225317.1</t>
  </si>
  <si>
    <t>WP_014607861.1</t>
  </si>
  <si>
    <t>WP_011225318.1</t>
  </si>
  <si>
    <t>WP_041828098.1</t>
  </si>
  <si>
    <t>WP_002949160.1</t>
  </si>
  <si>
    <t>WP_011680644.1</t>
  </si>
  <si>
    <t>WP_011225326.1</t>
  </si>
  <si>
    <t>WP_011225327.1</t>
  </si>
  <si>
    <t>hrcA</t>
  </si>
  <si>
    <t>WP_011225328.1</t>
  </si>
  <si>
    <t>grpE</t>
  </si>
  <si>
    <t>WP_041828100.1</t>
  </si>
  <si>
    <t>dnaK</t>
  </si>
  <si>
    <t>WP_011226783.1</t>
  </si>
  <si>
    <t>dnaJ</t>
  </si>
  <si>
    <t>WP_002946937.1</t>
  </si>
  <si>
    <t>truA</t>
  </si>
  <si>
    <t>WP_002946941.1</t>
  </si>
  <si>
    <t>WP_011225331.1</t>
  </si>
  <si>
    <t>WP_041826946.1</t>
  </si>
  <si>
    <t>WP_011225333.1</t>
  </si>
  <si>
    <t>WP_002948904.1</t>
  </si>
  <si>
    <t>WP_014607875.1</t>
  </si>
  <si>
    <t>WP_041828102.1</t>
  </si>
  <si>
    <t>WP_002949220.1</t>
  </si>
  <si>
    <t>WP_011225338.1</t>
  </si>
  <si>
    <t>tig</t>
  </si>
  <si>
    <t>WP_011225339.1</t>
  </si>
  <si>
    <t>rpoE</t>
  </si>
  <si>
    <t>WP_011225340.1</t>
  </si>
  <si>
    <t>WP_002949230.1</t>
  </si>
  <si>
    <t>WP_011225341.1</t>
  </si>
  <si>
    <t>WP_087009629.1</t>
  </si>
  <si>
    <t>prmA</t>
  </si>
  <si>
    <t>WP_011225343.1</t>
  </si>
  <si>
    <t>WP_011225344.1</t>
  </si>
  <si>
    <t>WP_041826949.1</t>
  </si>
  <si>
    <t>WP_011225351.1</t>
  </si>
  <si>
    <t>dtd</t>
  </si>
  <si>
    <t>WP_004197391.1</t>
  </si>
  <si>
    <t>WP_011225352.1</t>
  </si>
  <si>
    <t>WP_041828106.1</t>
  </si>
  <si>
    <t>WP_011225354.1</t>
  </si>
  <si>
    <t>ilvA</t>
  </si>
  <si>
    <t>WP_011225355.1</t>
  </si>
  <si>
    <t>def</t>
  </si>
  <si>
    <t>WP_011225356.1</t>
  </si>
  <si>
    <t>WP_011226800.1</t>
  </si>
  <si>
    <t>MFS transporter</t>
  </si>
  <si>
    <t>WP_179971558.1</t>
  </si>
  <si>
    <t>rpsO</t>
  </si>
  <si>
    <t>WP_002949247.1</t>
  </si>
  <si>
    <t>WP_011225359.1</t>
  </si>
  <si>
    <t>WP_011225360.1</t>
  </si>
  <si>
    <t>WP_011225361.1</t>
  </si>
  <si>
    <t>WP_002949253.1</t>
  </si>
  <si>
    <t>WP_011225362.1</t>
  </si>
  <si>
    <t>WP_041828107.1</t>
  </si>
  <si>
    <t>WP_011225364.1</t>
  </si>
  <si>
    <t>mecA</t>
  </si>
  <si>
    <t>WP_011225365.1</t>
  </si>
  <si>
    <t>WP_002947632.1</t>
  </si>
  <si>
    <t>sufC</t>
  </si>
  <si>
    <t>WP_002947634.1</t>
  </si>
  <si>
    <t>Fe-S cluster assembly protein SufD</t>
  </si>
  <si>
    <t>sufD</t>
  </si>
  <si>
    <t>WP_002947640.1</t>
  </si>
  <si>
    <t>cysteine desulfurase</t>
  </si>
  <si>
    <t>WP_011225367.1</t>
  </si>
  <si>
    <t>sufU</t>
  </si>
  <si>
    <t>WP_041828109.1</t>
  </si>
  <si>
    <t>sufB</t>
  </si>
  <si>
    <t>WP_011225369.1</t>
  </si>
  <si>
    <t>ABC transporter ATP-binding protein</t>
  </si>
  <si>
    <t>WP_011225378.1</t>
  </si>
  <si>
    <t>WP_011225379.1</t>
  </si>
  <si>
    <t>hslO</t>
  </si>
  <si>
    <t>WP_041828113.1</t>
  </si>
  <si>
    <t>dusB</t>
  </si>
  <si>
    <t>WP_041828115.1</t>
  </si>
  <si>
    <t>WP_011226821.1</t>
  </si>
  <si>
    <t>WP_011225383.1</t>
  </si>
  <si>
    <t>WP_011225384.1</t>
  </si>
  <si>
    <t>WP_014607905.1</t>
  </si>
  <si>
    <t>WP_011225386.1</t>
  </si>
  <si>
    <t>WP_041828117.1</t>
  </si>
  <si>
    <t>WP_011225388.1</t>
  </si>
  <si>
    <t>WP_041826957.1</t>
  </si>
  <si>
    <t>glucose-6-phosphate isomerase</t>
  </si>
  <si>
    <t>WP_011680683.1</t>
  </si>
  <si>
    <t>WP_002949309.1</t>
  </si>
  <si>
    <t>WP_011225395.1</t>
  </si>
  <si>
    <t>WP_002949314.1</t>
  </si>
  <si>
    <t>WP_002949317.1</t>
  </si>
  <si>
    <t>WP_011225396.1</t>
  </si>
  <si>
    <t>WP_011225397.1</t>
  </si>
  <si>
    <t>WP_041828121.1</t>
  </si>
  <si>
    <t>WP_002949330.1</t>
  </si>
  <si>
    <t>groES</t>
  </si>
  <si>
    <t>WP_002949332.1</t>
  </si>
  <si>
    <t>WP_011225399.1</t>
  </si>
  <si>
    <t>WP_011680689.1</t>
  </si>
  <si>
    <t>WP_011225404.1</t>
  </si>
  <si>
    <t>WP_011225406.1</t>
  </si>
  <si>
    <t>WP_011225407.1</t>
  </si>
  <si>
    <t>WP_002946904.1</t>
  </si>
  <si>
    <t>WP_011225408.1</t>
  </si>
  <si>
    <t>nusG</t>
  </si>
  <si>
    <t>WP_002883644.1</t>
  </si>
  <si>
    <t>WP_179971560.1</t>
  </si>
  <si>
    <t>WP_002947935.1</t>
  </si>
  <si>
    <t>leuS</t>
  </si>
  <si>
    <t>WP_002947934.1</t>
  </si>
  <si>
    <t>nicotinate phosphoribosyltransferase</t>
  </si>
  <si>
    <t>WP_011225415.1</t>
  </si>
  <si>
    <t>nadE</t>
  </si>
  <si>
    <t>WP_002949400.1</t>
  </si>
  <si>
    <t>WP_011225416.1</t>
  </si>
  <si>
    <t>pepC</t>
  </si>
  <si>
    <t>WP_011225417.1</t>
  </si>
  <si>
    <t>WP_011225418.1</t>
  </si>
  <si>
    <t>recU</t>
  </si>
  <si>
    <t>WP_002949408.1</t>
  </si>
  <si>
    <t>WP_011225419.1</t>
  </si>
  <si>
    <t>gpsB</t>
  </si>
  <si>
    <t>WP_011225420.1</t>
  </si>
  <si>
    <t>WP_041826961.1</t>
  </si>
  <si>
    <t>WP_011225422.1</t>
  </si>
  <si>
    <t>WP_011225423.1</t>
  </si>
  <si>
    <t>WP_011225424.1</t>
  </si>
  <si>
    <t>murC</t>
  </si>
  <si>
    <t>WP_002947741.1</t>
  </si>
  <si>
    <t>WP_011225426.1</t>
  </si>
  <si>
    <t>WP_011225427.1</t>
  </si>
  <si>
    <t>greA</t>
  </si>
  <si>
    <t>WP_002947730.1</t>
  </si>
  <si>
    <t>yidC</t>
  </si>
  <si>
    <t>WP_002949461.1</t>
  </si>
  <si>
    <t>WP_011225430.1</t>
  </si>
  <si>
    <t>WP_011225431.1</t>
  </si>
  <si>
    <t>WP_002949468.1</t>
  </si>
  <si>
    <t>WP_011225432.1</t>
  </si>
  <si>
    <t>WP_041828125.1</t>
  </si>
  <si>
    <t>WP_011225434.1</t>
  </si>
  <si>
    <t>WP_014607943.1</t>
  </si>
  <si>
    <t>WP_011225435.1</t>
  </si>
  <si>
    <t>WP_002949478.1</t>
  </si>
  <si>
    <t>glutamate racemase</t>
  </si>
  <si>
    <t>WP_011225436.1</t>
  </si>
  <si>
    <t>WP_370869437.1</t>
  </si>
  <si>
    <t>WP_011225437.1</t>
  </si>
  <si>
    <t>WP_011225438.1</t>
  </si>
  <si>
    <t>WP_011225439.1</t>
  </si>
  <si>
    <t>WP_011225440.1</t>
  </si>
  <si>
    <t>WP_011225441.1</t>
  </si>
  <si>
    <t>WP_002949498.1</t>
  </si>
  <si>
    <t>WP_011225443.1</t>
  </si>
  <si>
    <t>WP_002949500.1</t>
  </si>
  <si>
    <t>WP_011225444.1</t>
  </si>
  <si>
    <t>tRNA (cytidine(34)-2'-O)-methyltransferase</t>
  </si>
  <si>
    <t>WP_372585740.1</t>
  </si>
  <si>
    <t>WP_002949523.1</t>
  </si>
  <si>
    <t>WP_011225447.1</t>
  </si>
  <si>
    <t>WP_011225448.1</t>
  </si>
  <si>
    <t>WP_011225454.1</t>
  </si>
  <si>
    <t>WP_232087240.1</t>
  </si>
  <si>
    <t>WP_002949547.1</t>
  </si>
  <si>
    <t>WP_002886558.1</t>
  </si>
  <si>
    <t>WP_002886559.1</t>
  </si>
  <si>
    <t>ureC</t>
  </si>
  <si>
    <t>WP_002949548.1</t>
  </si>
  <si>
    <t>ureE</t>
  </si>
  <si>
    <t>WP_002949549.1</t>
  </si>
  <si>
    <t>WP_002946398.1</t>
  </si>
  <si>
    <t>ureG</t>
  </si>
  <si>
    <t>WP_002889928.1</t>
  </si>
  <si>
    <t>WP_179971563.1</t>
  </si>
  <si>
    <t>WP_179971564.1</t>
  </si>
  <si>
    <t>WP_011226863.1</t>
  </si>
  <si>
    <t>WP_011225459.1</t>
  </si>
  <si>
    <t>WP_179971692.1</t>
  </si>
  <si>
    <t>WP_011225462.1</t>
  </si>
  <si>
    <t>WP_011225463.1</t>
  </si>
  <si>
    <t>WP_011225465.1</t>
  </si>
  <si>
    <t>WP_002949597.1</t>
  </si>
  <si>
    <t>WP_011225469.1</t>
  </si>
  <si>
    <t>WP_002949605.1</t>
  </si>
  <si>
    <t>sstT</t>
  </si>
  <si>
    <t>WP_011225470.1</t>
  </si>
  <si>
    <t>transketolase</t>
  </si>
  <si>
    <t>WP_179971565.1</t>
  </si>
  <si>
    <t>WP_179971566.1</t>
  </si>
  <si>
    <t>WP_269149568.1</t>
  </si>
  <si>
    <t>rsmG</t>
  </si>
  <si>
    <t>WP_002946490.1</t>
  </si>
  <si>
    <t>WP_041826965.1</t>
  </si>
  <si>
    <t>WP_002949638.1</t>
  </si>
  <si>
    <t>WP_002949640.1</t>
  </si>
  <si>
    <t>nrdR</t>
  </si>
  <si>
    <t>WP_002949642.1</t>
  </si>
  <si>
    <t>WP_011225482.1</t>
  </si>
  <si>
    <t>WP_002946786.1</t>
  </si>
  <si>
    <t>der</t>
  </si>
  <si>
    <t>WP_011225483.1</t>
  </si>
  <si>
    <t>WP_002946796.1</t>
  </si>
  <si>
    <t>WP_232085766.1</t>
  </si>
  <si>
    <t>WP_041828132.1</t>
  </si>
  <si>
    <t>serS</t>
  </si>
  <si>
    <t>WP_011225487.1</t>
  </si>
  <si>
    <t>WP_011225488.1</t>
  </si>
  <si>
    <t>WP_002946511.1</t>
  </si>
  <si>
    <t>WP_011225489.1</t>
  </si>
  <si>
    <t>WP_011225490.1</t>
  </si>
  <si>
    <t>WP_011225491.1</t>
  </si>
  <si>
    <t>WP_011680752.1</t>
  </si>
  <si>
    <t>WP_011225493.1</t>
  </si>
  <si>
    <t>tsaE</t>
  </si>
  <si>
    <t>WP_002949675.1</t>
  </si>
  <si>
    <t>WP_011225494.1</t>
  </si>
  <si>
    <t>brpA</t>
  </si>
  <si>
    <t>WP_002949682.1</t>
  </si>
  <si>
    <t>rimP</t>
  </si>
  <si>
    <t>WP_011680755.1</t>
  </si>
  <si>
    <t>nusA</t>
  </si>
  <si>
    <t>WP_011225496.1</t>
  </si>
  <si>
    <t>WP_002947461.1</t>
  </si>
  <si>
    <t>WP_002947460.1</t>
  </si>
  <si>
    <t>translation initiation factor IF-2</t>
  </si>
  <si>
    <t>infB</t>
  </si>
  <si>
    <t>WP_179971569.1</t>
  </si>
  <si>
    <t>rbfA</t>
  </si>
  <si>
    <t>WP_002949692.1</t>
  </si>
  <si>
    <t>WP_011225499.1</t>
  </si>
  <si>
    <t>WP_011225500.1</t>
  </si>
  <si>
    <t>WP_179971570.1</t>
  </si>
  <si>
    <t>UDP-N-acetylmuramoyl-L-alanyl-D-glutamate--L-lysine ligase</t>
  </si>
  <si>
    <t>WP_179971571.1</t>
  </si>
  <si>
    <t>WP_179971572.1</t>
  </si>
  <si>
    <t>WP_002946733.1</t>
  </si>
  <si>
    <t>WP_011680761.1</t>
  </si>
  <si>
    <t>WP_041828136.1</t>
  </si>
  <si>
    <t>WP_014607987.1</t>
  </si>
  <si>
    <t>uracil phosphoribosyltransferase</t>
  </si>
  <si>
    <t>upp</t>
  </si>
  <si>
    <t>WP_002946740.1</t>
  </si>
  <si>
    <t>WP_002949732.1</t>
  </si>
  <si>
    <t>WP_011225507.1</t>
  </si>
  <si>
    <t>WP_002949736.1</t>
  </si>
  <si>
    <t>ABC transporter substrate-binding protein</t>
  </si>
  <si>
    <t>WP_011225508.1</t>
  </si>
  <si>
    <t>WP_011225509.1</t>
  </si>
  <si>
    <t>WP_011225510.1</t>
  </si>
  <si>
    <t>WP_011225511.1</t>
  </si>
  <si>
    <t>WP_002947183.1</t>
  </si>
  <si>
    <t>cysK</t>
  </si>
  <si>
    <t>WP_002947179.1</t>
  </si>
  <si>
    <t>WP_011225515.1</t>
  </si>
  <si>
    <t>WP_011225516.1</t>
  </si>
  <si>
    <t>WP_002949747.1</t>
  </si>
  <si>
    <t>hpf</t>
  </si>
  <si>
    <t>WP_011225518.1</t>
  </si>
  <si>
    <t>WP_011225519.1</t>
  </si>
  <si>
    <t>WP_011225520.1</t>
  </si>
  <si>
    <t>WP_002949762.1</t>
  </si>
  <si>
    <t>recX</t>
  </si>
  <si>
    <t>WP_002949763.1</t>
  </si>
  <si>
    <t>WP_011225521.1</t>
  </si>
  <si>
    <t>asnA</t>
  </si>
  <si>
    <t>WP_011225522.1</t>
  </si>
  <si>
    <t>WP_011225523.1</t>
  </si>
  <si>
    <t>WP_179971574.1</t>
  </si>
  <si>
    <t>WP_002949770.1</t>
  </si>
  <si>
    <t>WP_011225525.1</t>
  </si>
  <si>
    <t>WP_002949773.1</t>
  </si>
  <si>
    <t>acyl carrier protein</t>
  </si>
  <si>
    <t>WP_002885495.1</t>
  </si>
  <si>
    <t>WP_011225527.1</t>
  </si>
  <si>
    <t>fabD</t>
  </si>
  <si>
    <t>WP_011680781.1</t>
  </si>
  <si>
    <t>fabG</t>
  </si>
  <si>
    <t>WP_011225529.1</t>
  </si>
  <si>
    <t>fabF</t>
  </si>
  <si>
    <t>WP_011225530.1</t>
  </si>
  <si>
    <t>accB</t>
  </si>
  <si>
    <t>WP_011225531.1</t>
  </si>
  <si>
    <t>fabZ</t>
  </si>
  <si>
    <t>WP_002885470.1</t>
  </si>
  <si>
    <t>WP_002949788.1</t>
  </si>
  <si>
    <t>accD</t>
  </si>
  <si>
    <t>WP_002946040.1</t>
  </si>
  <si>
    <t>WP_011225532.1</t>
  </si>
  <si>
    <t>S-ribosylhomocysteine lyase</t>
  </si>
  <si>
    <t>WP_002885585.1</t>
  </si>
  <si>
    <t>WP_011225534.1</t>
  </si>
  <si>
    <t>WP_011225535.1</t>
  </si>
  <si>
    <t>WP_011225537.1</t>
  </si>
  <si>
    <t>WP_011225538.1</t>
  </si>
  <si>
    <t>WP_011225543.1</t>
  </si>
  <si>
    <t>WP_011225544.1</t>
  </si>
  <si>
    <t>WP_011225545.1</t>
  </si>
  <si>
    <t>WP_002949814.1</t>
  </si>
  <si>
    <t>WP_179971575.1</t>
  </si>
  <si>
    <t>gtfA</t>
  </si>
  <si>
    <t>WP_011225547.1</t>
  </si>
  <si>
    <t>gtfB</t>
  </si>
  <si>
    <t>WP_011225548.1</t>
  </si>
  <si>
    <t>rplU</t>
  </si>
  <si>
    <t>WP_002885597.1</t>
  </si>
  <si>
    <t>rpmA</t>
  </si>
  <si>
    <t>WP_002885483.1</t>
  </si>
  <si>
    <t>WP_011225552.1</t>
  </si>
  <si>
    <t>dapB</t>
  </si>
  <si>
    <t>WP_004197279.1</t>
  </si>
  <si>
    <t>WP_004197277.1</t>
  </si>
  <si>
    <t>WP_011225554.1</t>
  </si>
  <si>
    <t>WP_011680800.1</t>
  </si>
  <si>
    <t>WP_011225557.1</t>
  </si>
  <si>
    <t>gdhA</t>
  </si>
  <si>
    <t>WP_011680803.1</t>
  </si>
  <si>
    <t>WP_011225559.1</t>
  </si>
  <si>
    <t>WP_002945408.1</t>
  </si>
  <si>
    <t>WP_011225560.1</t>
  </si>
  <si>
    <t>WP_011225561.1</t>
  </si>
  <si>
    <t>WP_011225562.1</t>
  </si>
  <si>
    <t>pyrH</t>
  </si>
  <si>
    <t>WP_002949867.1</t>
  </si>
  <si>
    <t>ribosome recycling factor</t>
  </si>
  <si>
    <t>frr</t>
  </si>
  <si>
    <t>WP_011225565.1</t>
  </si>
  <si>
    <t>WP_041827129.1</t>
  </si>
  <si>
    <t>WP_002944188.1</t>
  </si>
  <si>
    <t>WP_011225567.1</t>
  </si>
  <si>
    <t>WP_179971694.1</t>
  </si>
  <si>
    <t>WP_179971695.1</t>
  </si>
  <si>
    <t>WP_002948129.1</t>
  </si>
  <si>
    <t>WP_041828145.1</t>
  </si>
  <si>
    <t>WP_002948125.1</t>
  </si>
  <si>
    <t>WP_002948122.1</t>
  </si>
  <si>
    <t>WP_179971696.1</t>
  </si>
  <si>
    <t>WP_041828150.1</t>
  </si>
  <si>
    <t>oligoendopeptidase F</t>
  </si>
  <si>
    <t>pepF</t>
  </si>
  <si>
    <t>WP_011225572.1</t>
  </si>
  <si>
    <t>WP_002946027.1</t>
  </si>
  <si>
    <t>WP_011225573.1</t>
  </si>
  <si>
    <t>alaS</t>
  </si>
  <si>
    <t>WP_011225574.1</t>
  </si>
  <si>
    <t>WP_011225579.1</t>
  </si>
  <si>
    <t>WP_011225580.1</t>
  </si>
  <si>
    <t>argC</t>
  </si>
  <si>
    <t>WP_011225581.1</t>
  </si>
  <si>
    <t>argJ</t>
  </si>
  <si>
    <t>WP_002949910.1</t>
  </si>
  <si>
    <t>argB</t>
  </si>
  <si>
    <t>WP_011226928.1</t>
  </si>
  <si>
    <t>WP_002949912.1</t>
  </si>
  <si>
    <t>WP_309252054.1</t>
  </si>
  <si>
    <t>WP_002949921.1</t>
  </si>
  <si>
    <t>homoserine kinase</t>
  </si>
  <si>
    <t>thrB</t>
  </si>
  <si>
    <t>WP_179971577.1</t>
  </si>
  <si>
    <t>WP_022096930.1</t>
  </si>
  <si>
    <t>WP_011680832.1</t>
  </si>
  <si>
    <t>WP_002949930.1</t>
  </si>
  <si>
    <t>WP_179971578.1</t>
  </si>
  <si>
    <t>WP_004229660.1</t>
  </si>
  <si>
    <t>atpB</t>
  </si>
  <si>
    <t>WP_011225593.1</t>
  </si>
  <si>
    <t>atpF</t>
  </si>
  <si>
    <t>WP_011225594.1</t>
  </si>
  <si>
    <t>WP_011225595.1</t>
  </si>
  <si>
    <t>atpA</t>
  </si>
  <si>
    <t>WP_011225596.1</t>
  </si>
  <si>
    <t>WP_002949964.1</t>
  </si>
  <si>
    <t>atpD</t>
  </si>
  <si>
    <t>WP_011226937.1</t>
  </si>
  <si>
    <t>WP_011226938.1</t>
  </si>
  <si>
    <t>ftsW</t>
  </si>
  <si>
    <t>WP_041827132.1</t>
  </si>
  <si>
    <t>elongation factor Tu</t>
  </si>
  <si>
    <t>WP_002949971.1</t>
  </si>
  <si>
    <t>tpiA</t>
  </si>
  <si>
    <t>WP_002946314.1</t>
  </si>
  <si>
    <t>tmk</t>
  </si>
  <si>
    <t>WP_002946312.1</t>
  </si>
  <si>
    <t>WP_011225600.1</t>
  </si>
  <si>
    <t>ricT</t>
  </si>
  <si>
    <t>WP_011680838.1</t>
  </si>
  <si>
    <t>WP_002946304.1</t>
  </si>
  <si>
    <t>rsmI</t>
  </si>
  <si>
    <t>WP_002949974.1</t>
  </si>
  <si>
    <t>ammonium transporter</t>
  </si>
  <si>
    <t>WP_041826977.1</t>
  </si>
  <si>
    <t>WP_041826978.1</t>
  </si>
  <si>
    <t>WP_011225604.1</t>
  </si>
  <si>
    <t>WP_022096938.1</t>
  </si>
  <si>
    <t>WP_231108751.1</t>
  </si>
  <si>
    <t>WP_011226945.1</t>
  </si>
  <si>
    <t>N-acetylglucosamine-6-phosphate deacetylase</t>
  </si>
  <si>
    <t>WP_059257447.1</t>
  </si>
  <si>
    <t>WP_231108750.1</t>
  </si>
  <si>
    <t>WP_231108749.1</t>
  </si>
  <si>
    <t>WP_232085793.1</t>
  </si>
  <si>
    <t>WP_049749292.1</t>
  </si>
  <si>
    <t>glyQ</t>
  </si>
  <si>
    <t>WP_002949990.1</t>
  </si>
  <si>
    <t>glyS</t>
  </si>
  <si>
    <t>WP_011226950.1</t>
  </si>
  <si>
    <t>WP_002949992.1</t>
  </si>
  <si>
    <t>WP_179971697.1</t>
  </si>
  <si>
    <t>WP_011226952.1</t>
  </si>
  <si>
    <t>WP_011226955.1</t>
  </si>
  <si>
    <t>WP_011226956.1</t>
  </si>
  <si>
    <t>WP_002946089.1</t>
  </si>
  <si>
    <t>WP_011226957.1</t>
  </si>
  <si>
    <t>WP_002946085.1</t>
  </si>
  <si>
    <t>WP_041826981.1</t>
  </si>
  <si>
    <t>signal peptidase II</t>
  </si>
  <si>
    <t>lspA</t>
  </si>
  <si>
    <t>WP_002946082.1</t>
  </si>
  <si>
    <t>WP_011225623.1</t>
  </si>
  <si>
    <t>pyrR</t>
  </si>
  <si>
    <t>WP_179971698.1</t>
  </si>
  <si>
    <t>WP_041826982.1</t>
  </si>
  <si>
    <t>WP_002947266.1</t>
  </si>
  <si>
    <t>WP_002947268.1</t>
  </si>
  <si>
    <t>WP_011225627.1</t>
  </si>
  <si>
    <t>WP_011225628.1</t>
  </si>
  <si>
    <t>WP_049749293.1</t>
  </si>
  <si>
    <t>WP_011226962.1</t>
  </si>
  <si>
    <t>rplJ</t>
  </si>
  <si>
    <t>WP_011225635.1</t>
  </si>
  <si>
    <t>rplL</t>
  </si>
  <si>
    <t>WP_011225636.1</t>
  </si>
  <si>
    <t>WP_011226967.1</t>
  </si>
  <si>
    <t>WP_011225638.1</t>
  </si>
  <si>
    <t>queA</t>
  </si>
  <si>
    <t>WP_011226968.1</t>
  </si>
  <si>
    <t>WP_041826983.1</t>
  </si>
  <si>
    <t>WP_011680875.1</t>
  </si>
  <si>
    <t>WP_004197213.1</t>
  </si>
  <si>
    <t>WP_041828159.1</t>
  </si>
  <si>
    <t>WP_041826984.1</t>
  </si>
  <si>
    <t>ABC transporter permease</t>
  </si>
  <si>
    <t>WP_002952657.1</t>
  </si>
  <si>
    <t>WP_011226972.1</t>
  </si>
  <si>
    <t>WP_041826985.1</t>
  </si>
  <si>
    <t>WP_011226973.1</t>
  </si>
  <si>
    <t>WP_179971580.1</t>
  </si>
  <si>
    <t>WP_011225649.1</t>
  </si>
  <si>
    <t>WP_011225650.1</t>
  </si>
  <si>
    <t>WP_011225651.1</t>
  </si>
  <si>
    <t>WP_011225652.1</t>
  </si>
  <si>
    <t>WP_002950091.1</t>
  </si>
  <si>
    <t>WP_011225654.1</t>
  </si>
  <si>
    <t>WP_011225655.1</t>
  </si>
  <si>
    <t>WP_002947985.1</t>
  </si>
  <si>
    <t>WP_011225656.1</t>
  </si>
  <si>
    <t>fni</t>
  </si>
  <si>
    <t>WP_011225657.1</t>
  </si>
  <si>
    <t>glmU</t>
  </si>
  <si>
    <t>WP_011225658.1</t>
  </si>
  <si>
    <t>WP_011225659.1</t>
  </si>
  <si>
    <t>WP_002947977.1</t>
  </si>
  <si>
    <t>WP_002947976.1</t>
  </si>
  <si>
    <t>WP_011225660.1</t>
  </si>
  <si>
    <t>WP_011225661.1</t>
  </si>
  <si>
    <t>WP_002947973.1</t>
  </si>
  <si>
    <t>WP_011225663.1</t>
  </si>
  <si>
    <t>thrS</t>
  </si>
  <si>
    <t>WP_002950123.1</t>
  </si>
  <si>
    <t>WP_011225665.1</t>
  </si>
  <si>
    <t>WP_011226989.1</t>
  </si>
  <si>
    <t>WP_002950127.1</t>
  </si>
  <si>
    <t>WP_011225667.1</t>
  </si>
  <si>
    <t>WP_011225668.1</t>
  </si>
  <si>
    <t>WP_011680902.1</t>
  </si>
  <si>
    <t>WP_002950145.1</t>
  </si>
  <si>
    <t>WP_011225671.1</t>
  </si>
  <si>
    <t>WP_002886174.1</t>
  </si>
  <si>
    <t>clpX</t>
  </si>
  <si>
    <t>WP_002950151.1</t>
  </si>
  <si>
    <t>WP_002950154.1</t>
  </si>
  <si>
    <t>WP_179971582.1</t>
  </si>
  <si>
    <t>WP_041828170.1</t>
  </si>
  <si>
    <t>WP_002950164.1</t>
  </si>
  <si>
    <t>WP_002950165.1</t>
  </si>
  <si>
    <t>plsY</t>
  </si>
  <si>
    <t>WP_002950167.1</t>
  </si>
  <si>
    <t>parE</t>
  </si>
  <si>
    <t>WP_011225674.1</t>
  </si>
  <si>
    <t>parC</t>
  </si>
  <si>
    <t>WP_014608111.1</t>
  </si>
  <si>
    <t>WP_011225677.1</t>
  </si>
  <si>
    <t>rpsA</t>
  </si>
  <si>
    <t>WP_011225678.1</t>
  </si>
  <si>
    <t>WP_232085760.1</t>
  </si>
  <si>
    <t>WP_011225681.1</t>
  </si>
  <si>
    <t>WP_179971699.1</t>
  </si>
  <si>
    <t>WP_002947303.1</t>
  </si>
  <si>
    <t>WP_002947302.1</t>
  </si>
  <si>
    <t>WP_011225684.1</t>
  </si>
  <si>
    <t>argF</t>
  </si>
  <si>
    <t>WP_041826989.1</t>
  </si>
  <si>
    <t>WP_011225686.1</t>
  </si>
  <si>
    <t>WP_014608117.1</t>
  </si>
  <si>
    <t>WP_011225688.1</t>
  </si>
  <si>
    <t>WP_011225689.1</t>
  </si>
  <si>
    <t>WP_002946712.1</t>
  </si>
  <si>
    <t>WP_014621348.1</t>
  </si>
  <si>
    <t>WP_011680924.1</t>
  </si>
  <si>
    <t>WP_002950214.1</t>
  </si>
  <si>
    <t>WP_002946708.1</t>
  </si>
  <si>
    <t>WP_011225692.1</t>
  </si>
  <si>
    <t>WP_059257348.1</t>
  </si>
  <si>
    <t>recR</t>
  </si>
  <si>
    <t>WP_011225694.1</t>
  </si>
  <si>
    <t>WP_002950224.1</t>
  </si>
  <si>
    <t>WP_011225697.1</t>
  </si>
  <si>
    <t>era</t>
  </si>
  <si>
    <t>WP_002950226.1</t>
  </si>
  <si>
    <t>mutM</t>
  </si>
  <si>
    <t>WP_011225698.1</t>
  </si>
  <si>
    <t>coaE</t>
  </si>
  <si>
    <t>WP_014621355.1</t>
  </si>
  <si>
    <t>WP_282634664.1</t>
  </si>
  <si>
    <t>WP_002950233.1</t>
  </si>
  <si>
    <t>WP_002950236.1</t>
  </si>
  <si>
    <t>ribonuclease R</t>
  </si>
  <si>
    <t>rnr</t>
  </si>
  <si>
    <t>WP_011225701.1</t>
  </si>
  <si>
    <t>smpB</t>
  </si>
  <si>
    <t>WP_002950240.1</t>
  </si>
  <si>
    <t>WP_011225702.1</t>
  </si>
  <si>
    <t>WP_002950243.1</t>
  </si>
  <si>
    <t>WP_011225703.1</t>
  </si>
  <si>
    <t>ccpA</t>
  </si>
  <si>
    <t>WP_002950245.1</t>
  </si>
  <si>
    <t>WP_011225705.1</t>
  </si>
  <si>
    <t>WP_011225706.1</t>
  </si>
  <si>
    <t>WP_011225707.1</t>
  </si>
  <si>
    <t>WP_002950250.1</t>
  </si>
  <si>
    <t>eno</t>
  </si>
  <si>
    <t>WP_011225708.1</t>
  </si>
  <si>
    <t>WP_179971585.1</t>
  </si>
  <si>
    <t>WP_002950251.1</t>
  </si>
  <si>
    <t>aroD</t>
  </si>
  <si>
    <t>WP_011225709.1</t>
  </si>
  <si>
    <t>WP_011225710.1</t>
  </si>
  <si>
    <t>3-dehydroquinate synthase</t>
  </si>
  <si>
    <t>aroB</t>
  </si>
  <si>
    <t>WP_011225711.1</t>
  </si>
  <si>
    <t>chorismate synthase</t>
  </si>
  <si>
    <t>WP_011225712.1</t>
  </si>
  <si>
    <t>prephenate dehydrogenase</t>
  </si>
  <si>
    <t>WP_011227017.1</t>
  </si>
  <si>
    <t>WP_002947244.1</t>
  </si>
  <si>
    <t>L-lactate dehydrogenase</t>
  </si>
  <si>
    <t>WP_011227018.1</t>
  </si>
  <si>
    <t>aroA</t>
  </si>
  <si>
    <t>WP_011227019.1</t>
  </si>
  <si>
    <t>WP_011225716.1</t>
  </si>
  <si>
    <t>pheA</t>
  </si>
  <si>
    <t>WP_002950266.1</t>
  </si>
  <si>
    <t>WP_059257347.1</t>
  </si>
  <si>
    <t>WP_011225719.1</t>
  </si>
  <si>
    <t>WP_011227023.1</t>
  </si>
  <si>
    <t>WP_011227024.1</t>
  </si>
  <si>
    <t>WP_011680955.1</t>
  </si>
  <si>
    <t>WP_011227026.1</t>
  </si>
  <si>
    <t>WP_231108747.1</t>
  </si>
  <si>
    <t>WP_059257346.1</t>
  </si>
  <si>
    <t>cas9</t>
  </si>
  <si>
    <t>WP_059257345.1</t>
  </si>
  <si>
    <t>cas1</t>
  </si>
  <si>
    <t>WP_011227029.1</t>
  </si>
  <si>
    <t>cas2</t>
  </si>
  <si>
    <t>WP_011225727.1</t>
  </si>
  <si>
    <t>WP_011225728.1</t>
  </si>
  <si>
    <t>WP_011225729.1</t>
  </si>
  <si>
    <t>WP_011225730.1</t>
  </si>
  <si>
    <t>WP_002952698.1</t>
  </si>
  <si>
    <t>WP_011225731.1</t>
  </si>
  <si>
    <t>WP_002946099.1</t>
  </si>
  <si>
    <t>WP_011225732.1</t>
  </si>
  <si>
    <t>hprK</t>
  </si>
  <si>
    <t>WP_011227035.1</t>
  </si>
  <si>
    <t>lgt</t>
  </si>
  <si>
    <t>WP_059257343.1</t>
  </si>
  <si>
    <t>WP_022096784.1</t>
  </si>
  <si>
    <t>WP_011225736.1</t>
  </si>
  <si>
    <t>WP_179971700.1</t>
  </si>
  <si>
    <t>WP_002952720.1</t>
  </si>
  <si>
    <t>WP_002945995.1</t>
  </si>
  <si>
    <t>WP_011225738.1</t>
  </si>
  <si>
    <t>WP_014608146.1</t>
  </si>
  <si>
    <t>WP_002886106.1</t>
  </si>
  <si>
    <t>WP_022096788.1</t>
  </si>
  <si>
    <t>WP_011227041.1</t>
  </si>
  <si>
    <t>WP_041826993.1</t>
  </si>
  <si>
    <t>lysS</t>
  </si>
  <si>
    <t>WP_041828189.1</t>
  </si>
  <si>
    <t>WP_002952755.1</t>
  </si>
  <si>
    <t>WP_011225749.1</t>
  </si>
  <si>
    <t>WP_002950327.1</t>
  </si>
  <si>
    <t>WP_002950328.1</t>
  </si>
  <si>
    <t>WP_011225750.1</t>
  </si>
  <si>
    <t>WP_002948103.1</t>
  </si>
  <si>
    <t>WP_002948102.1</t>
  </si>
  <si>
    <t>WP_011225751.1</t>
  </si>
  <si>
    <t>WP_156703469.1</t>
  </si>
  <si>
    <t>WP_024009832.1</t>
  </si>
  <si>
    <t>WP_041828191.1</t>
  </si>
  <si>
    <t>WP_014608160.1</t>
  </si>
  <si>
    <t>WP_011225753.1</t>
  </si>
  <si>
    <t>WP_232085758.1</t>
  </si>
  <si>
    <t>WP_011225755.1</t>
  </si>
  <si>
    <t>WP_011225756.1</t>
  </si>
  <si>
    <t>WP_011225757.1</t>
  </si>
  <si>
    <t>WP_011225758.1</t>
  </si>
  <si>
    <t>WP_011225759.1</t>
  </si>
  <si>
    <t>WP_011225761.1</t>
  </si>
  <si>
    <t>WP_011227063.1</t>
  </si>
  <si>
    <t>htpX</t>
  </si>
  <si>
    <t>WP_179971590.1</t>
  </si>
  <si>
    <t>membrane protein</t>
  </si>
  <si>
    <t>WP_011227065.1</t>
  </si>
  <si>
    <t>WP_002950368.1</t>
  </si>
  <si>
    <t>ppc</t>
  </si>
  <si>
    <t>WP_011225765.1</t>
  </si>
  <si>
    <t>WP_002946639.1</t>
  </si>
  <si>
    <t>sodA</t>
  </si>
  <si>
    <t>WP_011680996.1</t>
  </si>
  <si>
    <t>WP_011225767.1</t>
  </si>
  <si>
    <t>WP_002950388.1</t>
  </si>
  <si>
    <t>WP_011225768.1</t>
  </si>
  <si>
    <t>WP_011225769.1</t>
  </si>
  <si>
    <t>WP_002950395.1</t>
  </si>
  <si>
    <t>WP_011225772.1</t>
  </si>
  <si>
    <t>WP_011225773.1</t>
  </si>
  <si>
    <t>WP_002950398.1</t>
  </si>
  <si>
    <t>murD</t>
  </si>
  <si>
    <t>WP_011225774.1</t>
  </si>
  <si>
    <t>UDP-N-acetylglucosamine--N-acetylmuramyl-(pentapeptide) pyrophosphoryl-undecaprenol N-acetylglucosamine transferase</t>
  </si>
  <si>
    <t>WP_011225775.1</t>
  </si>
  <si>
    <t>WP_011225776.1</t>
  </si>
  <si>
    <t>ftsA</t>
  </si>
  <si>
    <t>WP_011225777.1</t>
  </si>
  <si>
    <t>WP_011225779.1</t>
  </si>
  <si>
    <t>WP_011225780.1</t>
  </si>
  <si>
    <t>WP_011225781.1</t>
  </si>
  <si>
    <t>WP_002946448.1</t>
  </si>
  <si>
    <t>WP_002946449.1</t>
  </si>
  <si>
    <t>ileS</t>
  </si>
  <si>
    <t>WP_002946450.1</t>
  </si>
  <si>
    <t>WP_179971594.1</t>
  </si>
  <si>
    <t>WP_002945948.1</t>
  </si>
  <si>
    <t>FAD:protein FMN transferase</t>
  </si>
  <si>
    <t>WP_002945950.1</t>
  </si>
  <si>
    <t>WP_002950416.1</t>
  </si>
  <si>
    <t>yghU</t>
  </si>
  <si>
    <t>WP_022096812.1</t>
  </si>
  <si>
    <t>add</t>
  </si>
  <si>
    <t>WP_011225786.1</t>
  </si>
  <si>
    <t>WP_011225787.1</t>
  </si>
  <si>
    <t>peptide chain release factor 1</t>
  </si>
  <si>
    <t>prfA</t>
  </si>
  <si>
    <t>WP_002948472.1</t>
  </si>
  <si>
    <t>prmC</t>
  </si>
  <si>
    <t>WP_011225788.1</t>
  </si>
  <si>
    <t>WP_011225789.1</t>
  </si>
  <si>
    <t>serine hydroxymethyltransferase</t>
  </si>
  <si>
    <t>glyA</t>
  </si>
  <si>
    <t>WP_011225790.1</t>
  </si>
  <si>
    <t>WP_011225791.1</t>
  </si>
  <si>
    <t>WP_041827001.1</t>
  </si>
  <si>
    <t>WP_011225793.1</t>
  </si>
  <si>
    <t>WP_041828198.1</t>
  </si>
  <si>
    <t>WP_002885174.1</t>
  </si>
  <si>
    <t>dltA</t>
  </si>
  <si>
    <t>WP_011225796.1</t>
  </si>
  <si>
    <t>dltB</t>
  </si>
  <si>
    <t>WP_002950436.1</t>
  </si>
  <si>
    <t>dltC</t>
  </si>
  <si>
    <t>WP_002950439.1</t>
  </si>
  <si>
    <t>WP_011225797.1</t>
  </si>
  <si>
    <t>WP_011225803.1</t>
  </si>
  <si>
    <t>WP_011225804.1</t>
  </si>
  <si>
    <t>WP_011227093.1</t>
  </si>
  <si>
    <t>WP_011227094.1</t>
  </si>
  <si>
    <t>WP_011227095.1</t>
  </si>
  <si>
    <t>WP_011227096.1</t>
  </si>
  <si>
    <t>WP_011227097.1</t>
  </si>
  <si>
    <t>WP_011227098.1</t>
  </si>
  <si>
    <t>WP_011227099.1</t>
  </si>
  <si>
    <t>WP_011227100.1</t>
  </si>
  <si>
    <t>WP_014608198.1</t>
  </si>
  <si>
    <t>WP_041827004.1</t>
  </si>
  <si>
    <t>WP_041827005.1</t>
  </si>
  <si>
    <t>WP_065429493.1</t>
  </si>
  <si>
    <t>WP_011227104.1</t>
  </si>
  <si>
    <t>WP_011225805.1</t>
  </si>
  <si>
    <t>5-methyltetrahydropteroyltriglutamate--homocysteine S-methyltransferase</t>
  </si>
  <si>
    <t>metE</t>
  </si>
  <si>
    <t>WP_002950451.1</t>
  </si>
  <si>
    <t>WP_002950455.1</t>
  </si>
  <si>
    <t>WP_011225808.1</t>
  </si>
  <si>
    <t>WP_041828200.1</t>
  </si>
  <si>
    <t>coaC</t>
  </si>
  <si>
    <t>WP_014608202.1</t>
  </si>
  <si>
    <t>WP_002948206.1</t>
  </si>
  <si>
    <t>WP_011225811.1</t>
  </si>
  <si>
    <t>WP_087009847.1</t>
  </si>
  <si>
    <t>30S ribosomal protein S20</t>
  </si>
  <si>
    <t>rpsT</t>
  </si>
  <si>
    <t>WP_002947597.1</t>
  </si>
  <si>
    <t>coaA</t>
  </si>
  <si>
    <t>WP_002947590.1</t>
  </si>
  <si>
    <t>WP_041827007.1</t>
  </si>
  <si>
    <t>WP_179970534.1</t>
  </si>
  <si>
    <t>WP_041827009.1</t>
  </si>
  <si>
    <t>WP_011227112.1</t>
  </si>
  <si>
    <t>WP_179971701.1</t>
  </si>
  <si>
    <t>WP_011227113.1</t>
  </si>
  <si>
    <t>WP_011227114.1</t>
  </si>
  <si>
    <t>WP_022096455.1</t>
  </si>
  <si>
    <t>WP_011227116.1</t>
  </si>
  <si>
    <t>asnS</t>
  </si>
  <si>
    <t>WP_011227117.1</t>
  </si>
  <si>
    <t>WP_002948564.1</t>
  </si>
  <si>
    <t>WP_002950526.1</t>
  </si>
  <si>
    <t>queC</t>
  </si>
  <si>
    <t>WP_002946194.1</t>
  </si>
  <si>
    <t>WP_002950528.1</t>
  </si>
  <si>
    <t>queE</t>
  </si>
  <si>
    <t>WP_011225834.1</t>
  </si>
  <si>
    <t>queF</t>
  </si>
  <si>
    <t>WP_002946191.1</t>
  </si>
  <si>
    <t>WP_011225836.1</t>
  </si>
  <si>
    <t>WP_011227118.1</t>
  </si>
  <si>
    <t>WP_011225838.1</t>
  </si>
  <si>
    <t>WP_011227120.1</t>
  </si>
  <si>
    <t>whiA</t>
  </si>
  <si>
    <t>WP_002945081.1</t>
  </si>
  <si>
    <t>WP_080998416.1</t>
  </si>
  <si>
    <t>cold-shock protein</t>
  </si>
  <si>
    <t>WP_002944716.1</t>
  </si>
  <si>
    <t>WP_011681063.1</t>
  </si>
  <si>
    <t>WP_179971600.1</t>
  </si>
  <si>
    <t>WP_041827013.1</t>
  </si>
  <si>
    <t>WP_059257326.1</t>
  </si>
  <si>
    <t>WP_011225850.1</t>
  </si>
  <si>
    <t>WP_011227128.1</t>
  </si>
  <si>
    <t>WP_323851092.1</t>
  </si>
  <si>
    <t>WP_041828207.1</t>
  </si>
  <si>
    <t>WP_326024854.1</t>
  </si>
  <si>
    <t>WP_002947829.1</t>
  </si>
  <si>
    <t>WP_011225855.1</t>
  </si>
  <si>
    <t>WP_011225856.1</t>
  </si>
  <si>
    <t>WP_011225859.1</t>
  </si>
  <si>
    <t>WP_011225860.1</t>
  </si>
  <si>
    <t>WP_011225865.1</t>
  </si>
  <si>
    <t>WP_002950570.1</t>
  </si>
  <si>
    <t>glmS</t>
  </si>
  <si>
    <t>WP_011225869.1</t>
  </si>
  <si>
    <t>WP_011225870.1</t>
  </si>
  <si>
    <t>WP_011225871.1</t>
  </si>
  <si>
    <t>WP_011225872.1</t>
  </si>
  <si>
    <t>WP_011225873.1</t>
  </si>
  <si>
    <t>WP_041827015.1</t>
  </si>
  <si>
    <t>WP_011225878.1</t>
  </si>
  <si>
    <t>WP_179971702.1</t>
  </si>
  <si>
    <t>guaA</t>
  </si>
  <si>
    <t>WP_179971604.1</t>
  </si>
  <si>
    <t>WP_011225881.1</t>
  </si>
  <si>
    <t>WP_002950594.1</t>
  </si>
  <si>
    <t>ffh</t>
  </si>
  <si>
    <t>WP_011225882.1</t>
  </si>
  <si>
    <t>WP_041827017.1</t>
  </si>
  <si>
    <t>WP_179971605.1</t>
  </si>
  <si>
    <t>WP_011225885.1</t>
  </si>
  <si>
    <t>WP_002950602.1</t>
  </si>
  <si>
    <t>ribonuclease HII</t>
  </si>
  <si>
    <t>WP_002950603.1</t>
  </si>
  <si>
    <t>WP_002950604.1</t>
  </si>
  <si>
    <t>dprA</t>
  </si>
  <si>
    <t>WP_011225887.1</t>
  </si>
  <si>
    <t>topA</t>
  </si>
  <si>
    <t>WP_011227156.1</t>
  </si>
  <si>
    <t>WP_011227157.1</t>
  </si>
  <si>
    <t>WP_011227158.1</t>
  </si>
  <si>
    <t>WP_179971667.1</t>
  </si>
  <si>
    <t>trmFO</t>
  </si>
  <si>
    <t>WP_011227160.1</t>
  </si>
  <si>
    <t>ndk</t>
  </si>
  <si>
    <t>WP_002947909.1</t>
  </si>
  <si>
    <t>WP_011227162.1</t>
  </si>
  <si>
    <t>WP_011227163.1</t>
  </si>
  <si>
    <t>lepA</t>
  </si>
  <si>
    <t>WP_011227164.1</t>
  </si>
  <si>
    <t>WP_011227165.1</t>
  </si>
  <si>
    <t>WP_011227167.1</t>
  </si>
  <si>
    <t>WP_002947901.1</t>
  </si>
  <si>
    <t>WP_179971606.1</t>
  </si>
  <si>
    <t>Fe-S oxidoreductase</t>
  </si>
  <si>
    <t>WP_011225902.1</t>
  </si>
  <si>
    <t>WP_002947897.1</t>
  </si>
  <si>
    <t>WP_232087247.1</t>
  </si>
  <si>
    <t>WP_011225905.1</t>
  </si>
  <si>
    <t>WP_011681092.1</t>
  </si>
  <si>
    <t>alsS</t>
  </si>
  <si>
    <t>WP_002950643.1</t>
  </si>
  <si>
    <t>WP_011227170.1</t>
  </si>
  <si>
    <t>WP_179971607.1</t>
  </si>
  <si>
    <t>WP_011225915.1</t>
  </si>
  <si>
    <t>WP_011225916.1</t>
  </si>
  <si>
    <t>WP_011225921.1</t>
  </si>
  <si>
    <t>WP_011225922.1</t>
  </si>
  <si>
    <t>WP_041827025.1</t>
  </si>
  <si>
    <t>WP_231107196.1</t>
  </si>
  <si>
    <t>WP_002950673.1</t>
  </si>
  <si>
    <t>WP_002948383.1</t>
  </si>
  <si>
    <t>WP_231108760.1</t>
  </si>
  <si>
    <t>WP_224102972.1</t>
  </si>
  <si>
    <t>WP_011225930.1</t>
  </si>
  <si>
    <t>WP_041827027.1</t>
  </si>
  <si>
    <t>WP_011225932.1</t>
  </si>
  <si>
    <t>CRISPR-associated endonuclease Cas1</t>
  </si>
  <si>
    <t>WP_011225933.1</t>
  </si>
  <si>
    <t>WP_250635921.1</t>
  </si>
  <si>
    <t>WP_011225935.1</t>
  </si>
  <si>
    <t>CRISPR-associated endoribonuclease Cas6</t>
  </si>
  <si>
    <t>WP_011225936.1</t>
  </si>
  <si>
    <t>WP_011225937.1</t>
  </si>
  <si>
    <t>WP_002946668.1</t>
  </si>
  <si>
    <t>WP_156703488.1</t>
  </si>
  <si>
    <t>WP_011227185.1</t>
  </si>
  <si>
    <t>WP_014608284.1</t>
  </si>
  <si>
    <t>WP_232085850.1</t>
  </si>
  <si>
    <t>pyrF</t>
  </si>
  <si>
    <t>WP_002946679.1</t>
  </si>
  <si>
    <t>orotate phosphoribosyltransferase</t>
  </si>
  <si>
    <t>pyrE</t>
  </si>
  <si>
    <t>WP_002950692.1</t>
  </si>
  <si>
    <t>WP_011225943.1</t>
  </si>
  <si>
    <t>mnmE</t>
  </si>
  <si>
    <t>WP_011225954.1</t>
  </si>
  <si>
    <t>WP_011681123.1</t>
  </si>
  <si>
    <t>pcrA</t>
  </si>
  <si>
    <t>WP_041828221.1</t>
  </si>
  <si>
    <t>WP_041827139.1</t>
  </si>
  <si>
    <t>tpx</t>
  </si>
  <si>
    <t>WP_011225960.1</t>
  </si>
  <si>
    <t>WP_011225961.1</t>
  </si>
  <si>
    <t>WP_231108768.1</t>
  </si>
  <si>
    <t>truB</t>
  </si>
  <si>
    <t>WP_004197018.1</t>
  </si>
  <si>
    <t>WP_011225965.1</t>
  </si>
  <si>
    <t>WP_179971609.1</t>
  </si>
  <si>
    <t>WP_002943735.1</t>
  </si>
  <si>
    <t>WP_011225966.1</t>
  </si>
  <si>
    <t>WP_179971610.1</t>
  </si>
  <si>
    <t>WP_041827031.1</t>
  </si>
  <si>
    <t>pstC</t>
  </si>
  <si>
    <t>WP_011225969.1</t>
  </si>
  <si>
    <t>pstA</t>
  </si>
  <si>
    <t>WP_002952978.1</t>
  </si>
  <si>
    <t>WP_002950744.1</t>
  </si>
  <si>
    <t>WP_011225971.1</t>
  </si>
  <si>
    <t>WP_041827032.1</t>
  </si>
  <si>
    <t>WP_011225973.1</t>
  </si>
  <si>
    <t>xerS</t>
  </si>
  <si>
    <t>WP_011227204.1</t>
  </si>
  <si>
    <t>WP_002950753.1</t>
  </si>
  <si>
    <t>WP_011225975.1</t>
  </si>
  <si>
    <t>WP_156703473.1</t>
  </si>
  <si>
    <t>WP_011227206.1</t>
  </si>
  <si>
    <t>4-alpha-glucanotransferase</t>
  </si>
  <si>
    <t>malQ</t>
  </si>
  <si>
    <t>WP_011227207.1</t>
  </si>
  <si>
    <t>WP_041828370.1</t>
  </si>
  <si>
    <t>WP_225433545.1</t>
  </si>
  <si>
    <t>WP_002947363.1</t>
  </si>
  <si>
    <t>WP_011225982.1</t>
  </si>
  <si>
    <t>WP_041828231.1</t>
  </si>
  <si>
    <t>efeB</t>
  </si>
  <si>
    <t>WP_011225984.1</t>
  </si>
  <si>
    <t>WP_041828233.1</t>
  </si>
  <si>
    <t>WP_011225986.1</t>
  </si>
  <si>
    <t>WP_011225987.1</t>
  </si>
  <si>
    <t>WP_041827036.1</t>
  </si>
  <si>
    <t>WP_041827037.1</t>
  </si>
  <si>
    <t>WP_232085784.1</t>
  </si>
  <si>
    <t>WP_041828235.1</t>
  </si>
  <si>
    <t>WP_011225997.1</t>
  </si>
  <si>
    <t>tyrS</t>
  </si>
  <si>
    <t>WP_002948690.1</t>
  </si>
  <si>
    <t>WP_141327321.1</t>
  </si>
  <si>
    <t>WP_011225998.1</t>
  </si>
  <si>
    <t>WP_011225999.1</t>
  </si>
  <si>
    <t>WP_011226000.1</t>
  </si>
  <si>
    <t>WP_002948702.1</t>
  </si>
  <si>
    <t>WP_011226001.1</t>
  </si>
  <si>
    <t>WP_002950819.1</t>
  </si>
  <si>
    <t>WP_002950820.1</t>
  </si>
  <si>
    <t>WP_011226003.1</t>
  </si>
  <si>
    <t>WP_011226004.1</t>
  </si>
  <si>
    <t>WP_011226005.1</t>
  </si>
  <si>
    <t>uracil-DNA glycosylase</t>
  </si>
  <si>
    <t>WP_002950823.1</t>
  </si>
  <si>
    <t>WP_011226007.1</t>
  </si>
  <si>
    <t>WP_011226011.1</t>
  </si>
  <si>
    <t>WP_011226013.1</t>
  </si>
  <si>
    <t>WP_041827038.1</t>
  </si>
  <si>
    <t>WP_022096663.1</t>
  </si>
  <si>
    <t>WP_179971620.1</t>
  </si>
  <si>
    <t>WP_179971621.1</t>
  </si>
  <si>
    <t>WP_179971622.1</t>
  </si>
  <si>
    <t>glf</t>
  </si>
  <si>
    <t>WP_179971623.1</t>
  </si>
  <si>
    <t>WP_179971624.1</t>
  </si>
  <si>
    <t>WP_179971625.1</t>
  </si>
  <si>
    <t>WP_179971673.1</t>
  </si>
  <si>
    <t>deoD</t>
  </si>
  <si>
    <t>WP_059257438.1</t>
  </si>
  <si>
    <t>WP_059257437.1</t>
  </si>
  <si>
    <t>WP_059257436.1</t>
  </si>
  <si>
    <t>WP_002948787.1</t>
  </si>
  <si>
    <t>rpiA</t>
  </si>
  <si>
    <t>WP_002950867.1</t>
  </si>
  <si>
    <t>WP_224103669.1</t>
  </si>
  <si>
    <t>WP_155561948.1</t>
  </si>
  <si>
    <t>WP_375708570.1</t>
  </si>
  <si>
    <t>WP_041827045.1</t>
  </si>
  <si>
    <t>pepV</t>
  </si>
  <si>
    <t>WP_011227258.1</t>
  </si>
  <si>
    <t>WP_002950885.1</t>
  </si>
  <si>
    <t>WP_011227259.1</t>
  </si>
  <si>
    <t>rplT</t>
  </si>
  <si>
    <t>WP_002885090.1</t>
  </si>
  <si>
    <t>rpmI</t>
  </si>
  <si>
    <t>WP_002950904.1</t>
  </si>
  <si>
    <t>infC</t>
  </si>
  <si>
    <t>WP_002950905.1</t>
  </si>
  <si>
    <t>cmk</t>
  </si>
  <si>
    <t>WP_002950906.1</t>
  </si>
  <si>
    <t>WP_011227262.1</t>
  </si>
  <si>
    <t>WP_011226067.1</t>
  </si>
  <si>
    <t>WP_002945978.1</t>
  </si>
  <si>
    <t>pepT</t>
  </si>
  <si>
    <t>WP_011226068.1</t>
  </si>
  <si>
    <t>lepB</t>
  </si>
  <si>
    <t>WP_002953084.1</t>
  </si>
  <si>
    <t>WP_002953086.1</t>
  </si>
  <si>
    <t>WP_011227264.1</t>
  </si>
  <si>
    <t>8-oxo-dGTP diphosphatase</t>
  </si>
  <si>
    <t>WP_011226072.1</t>
  </si>
  <si>
    <t>ftsX</t>
  </si>
  <si>
    <t>WP_011681194.1</t>
  </si>
  <si>
    <t>ftsE</t>
  </si>
  <si>
    <t>WP_041827149.1</t>
  </si>
  <si>
    <t>prfB</t>
  </si>
  <si>
    <t>WP_096811488.1</t>
  </si>
  <si>
    <t>queG</t>
  </si>
  <si>
    <t>WP_059257434.1</t>
  </si>
  <si>
    <t>WP_023909690.1</t>
  </si>
  <si>
    <t>NADPH-dependent oxidoreductase</t>
  </si>
  <si>
    <t>WP_002953106.1</t>
  </si>
  <si>
    <t>WP_011227269.1</t>
  </si>
  <si>
    <t>WP_002953113.1</t>
  </si>
  <si>
    <t>WP_011226081.1</t>
  </si>
  <si>
    <t>WP_179971674.1</t>
  </si>
  <si>
    <t>WP_011681204.1</t>
  </si>
  <si>
    <t>WP_011226083.1</t>
  </si>
  <si>
    <t>WP_011227274.1</t>
  </si>
  <si>
    <t>WP_011227275.1</t>
  </si>
  <si>
    <t>WP_011227276.1</t>
  </si>
  <si>
    <t>WP_011226087.1</t>
  </si>
  <si>
    <t>WP_011226088.1</t>
  </si>
  <si>
    <t>WP_011226089.1</t>
  </si>
  <si>
    <t>WP_011226090.1</t>
  </si>
  <si>
    <t>UDP-N-acetylglucosamine 1-carboxyvinyltransferase</t>
  </si>
  <si>
    <t>WP_041828250.1</t>
  </si>
  <si>
    <t>WP_179971627.1</t>
  </si>
  <si>
    <t>galE</t>
  </si>
  <si>
    <t>WP_011227279.1</t>
  </si>
  <si>
    <t>WP_041827047.1</t>
  </si>
  <si>
    <t>metK</t>
  </si>
  <si>
    <t>WP_011226094.1</t>
  </si>
  <si>
    <t>birA</t>
  </si>
  <si>
    <t>WP_011226095.1</t>
  </si>
  <si>
    <t>WP_011681224.1</t>
  </si>
  <si>
    <t>DNA polymerase III subunit gamma/tau</t>
  </si>
  <si>
    <t>dnaX</t>
  </si>
  <si>
    <t>WP_011226096.1</t>
  </si>
  <si>
    <t>WP_300975758.1</t>
  </si>
  <si>
    <t>miaA</t>
  </si>
  <si>
    <t>WP_041828380.1</t>
  </si>
  <si>
    <t>WP_002944829.1</t>
  </si>
  <si>
    <t>rplS</t>
  </si>
  <si>
    <t>WP_002950935.1</t>
  </si>
  <si>
    <t>WP_011226100.1</t>
  </si>
  <si>
    <t>WP_011226101.1</t>
  </si>
  <si>
    <t>WP_011226102.1</t>
  </si>
  <si>
    <t>WP_002950942.1</t>
  </si>
  <si>
    <t>WP_011226105.1</t>
  </si>
  <si>
    <t>WP_011226106.1</t>
  </si>
  <si>
    <t>WP_011226107.1</t>
  </si>
  <si>
    <t>WP_002946104.1</t>
  </si>
  <si>
    <t>WP_002946103.1</t>
  </si>
  <si>
    <t>WP_011226108.1</t>
  </si>
  <si>
    <t>WP_002950961.1</t>
  </si>
  <si>
    <t>WP_041827048.1</t>
  </si>
  <si>
    <t>WP_011226110.1</t>
  </si>
  <si>
    <t>WP_011226111.1</t>
  </si>
  <si>
    <t>WP_041827151.1</t>
  </si>
  <si>
    <t>WP_081004992.1</t>
  </si>
  <si>
    <t>pyruvate kinase</t>
  </si>
  <si>
    <t>pyk</t>
  </si>
  <si>
    <t>WP_002945628.1</t>
  </si>
  <si>
    <t>6-phosphofructokinase</t>
  </si>
  <si>
    <t>pfkA</t>
  </si>
  <si>
    <t>WP_011681243.1</t>
  </si>
  <si>
    <t>DNA polymerase III subunit alpha</t>
  </si>
  <si>
    <t>WP_011226114.1</t>
  </si>
  <si>
    <t>WP_002950974.1</t>
  </si>
  <si>
    <t>leuD</t>
  </si>
  <si>
    <t>WP_011226115.1</t>
  </si>
  <si>
    <t>leuC</t>
  </si>
  <si>
    <t>WP_041828253.1</t>
  </si>
  <si>
    <t>WP_041828255.1</t>
  </si>
  <si>
    <t>3-isopropylmalate dehydrogenase</t>
  </si>
  <si>
    <t>leuB</t>
  </si>
  <si>
    <t>WP_011681247.1</t>
  </si>
  <si>
    <t>2-isopropylmalate synthase</t>
  </si>
  <si>
    <t>WP_041828257.1</t>
  </si>
  <si>
    <t>WP_011226119.1</t>
  </si>
  <si>
    <t>WP_002950994.1</t>
  </si>
  <si>
    <t>WP_002950995.1</t>
  </si>
  <si>
    <t>WP_002950996.1</t>
  </si>
  <si>
    <t>WP_011226122.1</t>
  </si>
  <si>
    <t>WP_041828260.1</t>
  </si>
  <si>
    <t>WP_011226124.1</t>
  </si>
  <si>
    <t>recN</t>
  </si>
  <si>
    <t>WP_002953185.1</t>
  </si>
  <si>
    <t>WP_011226126.1</t>
  </si>
  <si>
    <t>WP_011226127.1</t>
  </si>
  <si>
    <t>WP_011226128.1</t>
  </si>
  <si>
    <t>WP_002951008.1</t>
  </si>
  <si>
    <t>xseA</t>
  </si>
  <si>
    <t>WP_011226129.1</t>
  </si>
  <si>
    <t>WP_011226130.1</t>
  </si>
  <si>
    <t>nth</t>
  </si>
  <si>
    <t>WP_011681255.1</t>
  </si>
  <si>
    <t>WP_002947201.1</t>
  </si>
  <si>
    <t>WP_011226132.1</t>
  </si>
  <si>
    <t>adenine phosphoribosyltransferase</t>
  </si>
  <si>
    <t>WP_002947203.1</t>
  </si>
  <si>
    <t>WP_011226133.1</t>
  </si>
  <si>
    <t>WP_011226134.1</t>
  </si>
  <si>
    <t>ribonuclease Z</t>
  </si>
  <si>
    <t>rnz</t>
  </si>
  <si>
    <t>WP_011226135.1</t>
  </si>
  <si>
    <t>WP_011226136.1</t>
  </si>
  <si>
    <t>GTPase HflX</t>
  </si>
  <si>
    <t>hflX</t>
  </si>
  <si>
    <t>WP_011226137.1</t>
  </si>
  <si>
    <t>WP_041828381.1</t>
  </si>
  <si>
    <t>WP_041827056.1</t>
  </si>
  <si>
    <t>WP_011226143.1</t>
  </si>
  <si>
    <t>WP_002951038.1</t>
  </si>
  <si>
    <t>hemW</t>
  </si>
  <si>
    <t>WP_011226144.1</t>
  </si>
  <si>
    <t>WP_164177825.1</t>
  </si>
  <si>
    <t>WP_011226147.1</t>
  </si>
  <si>
    <t>WP_002953188.1</t>
  </si>
  <si>
    <t>WP_011226148.1</t>
  </si>
  <si>
    <t>dTDP-glucose 4,6-dehydratase</t>
  </si>
  <si>
    <t>WP_002947383.1</t>
  </si>
  <si>
    <t>WP_011226149.1</t>
  </si>
  <si>
    <t>WP_011226150.1</t>
  </si>
  <si>
    <t>WP_022096730.1</t>
  </si>
  <si>
    <t>WP_011226154.1</t>
  </si>
  <si>
    <t>WP_002951069.1</t>
  </si>
  <si>
    <t>WP_002951076.1</t>
  </si>
  <si>
    <t>phosphoglucosamine mutase</t>
  </si>
  <si>
    <t>glmM</t>
  </si>
  <si>
    <t>WP_011226155.1</t>
  </si>
  <si>
    <t>WP_011226156.1</t>
  </si>
  <si>
    <t>cdaA</t>
  </si>
  <si>
    <t>WP_002951083.1</t>
  </si>
  <si>
    <t>murT</t>
  </si>
  <si>
    <t>WP_011227315.1</t>
  </si>
  <si>
    <t>gatD</t>
  </si>
  <si>
    <t>WP_011226159.1</t>
  </si>
  <si>
    <t>WP_179971675.1</t>
  </si>
  <si>
    <t>WP_011226161.1</t>
  </si>
  <si>
    <t>WP_011226162.1</t>
  </si>
  <si>
    <t>uridine kinase</t>
  </si>
  <si>
    <t>udk</t>
  </si>
  <si>
    <t>WP_002946476.1</t>
  </si>
  <si>
    <t>WP_011226163.1</t>
  </si>
  <si>
    <t>NADP-dependent glyceraldehyde-3-phosphate dehydrogenase</t>
  </si>
  <si>
    <t>WP_002951091.1</t>
  </si>
  <si>
    <t>WP_011226164.1</t>
  </si>
  <si>
    <t>WP_002946351.1</t>
  </si>
  <si>
    <t>icd</t>
  </si>
  <si>
    <t>WP_011226165.1</t>
  </si>
  <si>
    <t>WP_011226166.1</t>
  </si>
  <si>
    <t>WP_011226167.1</t>
  </si>
  <si>
    <t>nrdH</t>
  </si>
  <si>
    <t>WP_003096895.1</t>
  </si>
  <si>
    <t>nrdE</t>
  </si>
  <si>
    <t>WP_011226168.1</t>
  </si>
  <si>
    <t>nrdF</t>
  </si>
  <si>
    <t>WP_002946459.1</t>
  </si>
  <si>
    <t>transposase</t>
  </si>
  <si>
    <t>WP_232087149.1</t>
  </si>
  <si>
    <t>WP_179971676.1</t>
  </si>
  <si>
    <t>WP_011226172.1</t>
  </si>
  <si>
    <t>gyrA</t>
  </si>
  <si>
    <t>WP_011226176.1</t>
  </si>
  <si>
    <t>WP_011226177.1</t>
  </si>
  <si>
    <t>WP_041827058.1</t>
  </si>
  <si>
    <t>WP_002946133.1</t>
  </si>
  <si>
    <t>WP_011226180.1</t>
  </si>
  <si>
    <t>WP_011226181.1</t>
  </si>
  <si>
    <t>WP_011226182.1</t>
  </si>
  <si>
    <t>WP_011227327.1</t>
  </si>
  <si>
    <t>WP_002947428.1</t>
  </si>
  <si>
    <t>WP_002947430.1</t>
  </si>
  <si>
    <t>pheT</t>
  </si>
  <si>
    <t>WP_041827153.1</t>
  </si>
  <si>
    <t>WP_011226187.1</t>
  </si>
  <si>
    <t>pheS</t>
  </si>
  <si>
    <t>WP_002947433.1</t>
  </si>
  <si>
    <t>smc</t>
  </si>
  <si>
    <t>WP_011226188.1</t>
  </si>
  <si>
    <t>ribonuclease III</t>
  </si>
  <si>
    <t>rnc</t>
  </si>
  <si>
    <t>WP_002951139.1</t>
  </si>
  <si>
    <t>4-hydroxy-tetrahydrodipicolinate synthase</t>
  </si>
  <si>
    <t>dapA</t>
  </si>
  <si>
    <t>WP_041828268.1</t>
  </si>
  <si>
    <t>aspartate-semialdehyde dehydrogenase</t>
  </si>
  <si>
    <t>WP_011227331.1</t>
  </si>
  <si>
    <t>WP_011226192.1</t>
  </si>
  <si>
    <t>WP_375708563.1</t>
  </si>
  <si>
    <t>WP_041828270.1</t>
  </si>
  <si>
    <t>WP_011225833.1</t>
  </si>
  <si>
    <t>WP_179971669.1</t>
  </si>
  <si>
    <t>uvrC</t>
  </si>
  <si>
    <t>WP_179971677.1</t>
  </si>
  <si>
    <t>WP_011226198.1</t>
  </si>
  <si>
    <t>WP_011226199.1</t>
  </si>
  <si>
    <t>WP_002948550.1</t>
  </si>
  <si>
    <t>WP_002948547.1</t>
  </si>
  <si>
    <t>WP_002948546.1</t>
  </si>
  <si>
    <t>WP_002948542.1</t>
  </si>
  <si>
    <t>WP_011226201.1</t>
  </si>
  <si>
    <t>WP_002948539.1</t>
  </si>
  <si>
    <t>WP_011226203.1</t>
  </si>
  <si>
    <t>sdaAB</t>
  </si>
  <si>
    <t>WP_041827062.1</t>
  </si>
  <si>
    <t>sdaAA</t>
  </si>
  <si>
    <t>WP_011226205.1</t>
  </si>
  <si>
    <t>WP_011226206.1</t>
  </si>
  <si>
    <t>WP_011226213.1</t>
  </si>
  <si>
    <t>WP_041827063.1</t>
  </si>
  <si>
    <t>WP_011227347.1</t>
  </si>
  <si>
    <t>WP_011226216.1</t>
  </si>
  <si>
    <t>WP_014608476.1</t>
  </si>
  <si>
    <t>WP_011226217.1</t>
  </si>
  <si>
    <t>WP_011226218.1</t>
  </si>
  <si>
    <t>WP_011226219.1</t>
  </si>
  <si>
    <t>WP_011226221.1</t>
  </si>
  <si>
    <t>WP_011226222.1</t>
  </si>
  <si>
    <t>WP_011226223.1</t>
  </si>
  <si>
    <t>WP_011226224.1</t>
  </si>
  <si>
    <t>WP_087010026.1</t>
  </si>
  <si>
    <t>WP_041828276.1</t>
  </si>
  <si>
    <t>WP_148148898.1</t>
  </si>
  <si>
    <t>WP_011226232.1</t>
  </si>
  <si>
    <t>WP_002951308.1</t>
  </si>
  <si>
    <t>WP_002951311.1</t>
  </si>
  <si>
    <t>WP_011227375.1</t>
  </si>
  <si>
    <t>WP_011226239.1</t>
  </si>
  <si>
    <t>WP_011226240.1</t>
  </si>
  <si>
    <t>WP_059257412.1</t>
  </si>
  <si>
    <t>WP_059257411.1</t>
  </si>
  <si>
    <t>WP_041827068.1</t>
  </si>
  <si>
    <t>WP_041827069.1</t>
  </si>
  <si>
    <t>WP_156703441.1</t>
  </si>
  <si>
    <t>WP_011226247.1</t>
  </si>
  <si>
    <t>WP_011226248.1</t>
  </si>
  <si>
    <t>WP_011226249.1</t>
  </si>
  <si>
    <t>WP_011226250.1</t>
  </si>
  <si>
    <t>WP_224103622.1</t>
  </si>
  <si>
    <t>WP_011226255.1</t>
  </si>
  <si>
    <t>WP_179971636.1</t>
  </si>
  <si>
    <t>WP_059257405.1</t>
  </si>
  <si>
    <t>WP_011226258.1</t>
  </si>
  <si>
    <t>WP_153300733.1</t>
  </si>
  <si>
    <t>WP_011226259.1</t>
  </si>
  <si>
    <t>WP_011226260.1</t>
  </si>
  <si>
    <t>WP_179971678.1</t>
  </si>
  <si>
    <t>WP_059257403.1</t>
  </si>
  <si>
    <t>WP_059257401.1</t>
  </si>
  <si>
    <t>WP_014608518.1</t>
  </si>
  <si>
    <t>WP_011226267.1</t>
  </si>
  <si>
    <t>WP_011226268.1</t>
  </si>
  <si>
    <t>galM</t>
  </si>
  <si>
    <t>WP_011227393.1</t>
  </si>
  <si>
    <t>WP_011227394.1</t>
  </si>
  <si>
    <t>galT</t>
  </si>
  <si>
    <t>WP_041827071.1</t>
  </si>
  <si>
    <t>galactokinase</t>
  </si>
  <si>
    <t>WP_011226272.1</t>
  </si>
  <si>
    <t>WP_011226273.1</t>
  </si>
  <si>
    <t>gshAB</t>
  </si>
  <si>
    <t>WP_011227399.1</t>
  </si>
  <si>
    <t>DNA translocase FtsK</t>
  </si>
  <si>
    <t>WP_011227400.1</t>
  </si>
  <si>
    <t>WP_011226284.1</t>
  </si>
  <si>
    <t>trmD</t>
  </si>
  <si>
    <t>WP_011227401.1</t>
  </si>
  <si>
    <t>rimM</t>
  </si>
  <si>
    <t>WP_011226286.1</t>
  </si>
  <si>
    <t>WP_002951384.1</t>
  </si>
  <si>
    <t>WP_011227402.1</t>
  </si>
  <si>
    <t>WP_011226289.1</t>
  </si>
  <si>
    <t>WP_011226290.1</t>
  </si>
  <si>
    <t>WP_011226292.1</t>
  </si>
  <si>
    <t>WP_002946881.1</t>
  </si>
  <si>
    <t>rsmB</t>
  </si>
  <si>
    <t>WP_014608533.1</t>
  </si>
  <si>
    <t>methionyl-tRNA formyltransferase</t>
  </si>
  <si>
    <t>fmt</t>
  </si>
  <si>
    <t>WP_002951411.1</t>
  </si>
  <si>
    <t>WP_011226295.1</t>
  </si>
  <si>
    <t>DNA-directed RNA polymerase subunit omega</t>
  </si>
  <si>
    <t>rpoZ</t>
  </si>
  <si>
    <t>WP_002951415.1</t>
  </si>
  <si>
    <t>guanylate kinase</t>
  </si>
  <si>
    <t>gmk</t>
  </si>
  <si>
    <t>WP_011226296.1</t>
  </si>
  <si>
    <t>ftsY</t>
  </si>
  <si>
    <t>WP_011226297.1</t>
  </si>
  <si>
    <t>WP_011227405.1</t>
  </si>
  <si>
    <t>WP_059257398.1</t>
  </si>
  <si>
    <t>WP_011226300.1</t>
  </si>
  <si>
    <t>WP_011226301.1</t>
  </si>
  <si>
    <t>WP_002951425.1</t>
  </si>
  <si>
    <t>WP_002951426.1</t>
  </si>
  <si>
    <t>WP_011226304.1</t>
  </si>
  <si>
    <t>WP_002946409.1</t>
  </si>
  <si>
    <t>WP_011227407.1</t>
  </si>
  <si>
    <t>WP_179971679.1</t>
  </si>
  <si>
    <t>WP_011227415.1</t>
  </si>
  <si>
    <t>pta</t>
  </si>
  <si>
    <t>WP_011226315.1</t>
  </si>
  <si>
    <t>WP_011226316.1</t>
  </si>
  <si>
    <t>WP_041827075.1</t>
  </si>
  <si>
    <t>WP_002951443.1</t>
  </si>
  <si>
    <t>WP_002951444.1</t>
  </si>
  <si>
    <t>WP_002951446.1</t>
  </si>
  <si>
    <t>WP_002948029.1</t>
  </si>
  <si>
    <t>WP_011226321.1</t>
  </si>
  <si>
    <t>WP_041828288.1</t>
  </si>
  <si>
    <t>WP_011226323.1</t>
  </si>
  <si>
    <t>DNA repair protein RadC</t>
  </si>
  <si>
    <t>WP_011226324.1</t>
  </si>
  <si>
    <t>WP_011226325.1</t>
  </si>
  <si>
    <t>WP_179971680.1</t>
  </si>
  <si>
    <t>WP_011226326.1</t>
  </si>
  <si>
    <t>WP_002948020.1</t>
  </si>
  <si>
    <t>WP_011226328.1</t>
  </si>
  <si>
    <t>WP_041828290.1</t>
  </si>
  <si>
    <t>WP_011226330.1</t>
  </si>
  <si>
    <t>WP_011226331.1</t>
  </si>
  <si>
    <t>WP_011226332.1</t>
  </si>
  <si>
    <t>WP_173940715.1</t>
  </si>
  <si>
    <t>WP_014621820.1</t>
  </si>
  <si>
    <t>WP_041828293.1</t>
  </si>
  <si>
    <t>WP_002946425.1</t>
  </si>
  <si>
    <t>WP_096811580.1</t>
  </si>
  <si>
    <t>WP_002891474.1</t>
  </si>
  <si>
    <t>WP_011226338.1</t>
  </si>
  <si>
    <t>DNA primase</t>
  </si>
  <si>
    <t>dnaG</t>
  </si>
  <si>
    <t>WP_011226339.1</t>
  </si>
  <si>
    <t>rpsU</t>
  </si>
  <si>
    <t>WP_011226340.1</t>
  </si>
  <si>
    <t>WP_011226341.1</t>
  </si>
  <si>
    <t>WP_041828295.1</t>
  </si>
  <si>
    <t>WP_011226343.1</t>
  </si>
  <si>
    <t>WP_041828297.1</t>
  </si>
  <si>
    <t>WP_011226345.1</t>
  </si>
  <si>
    <t>uvrB</t>
  </si>
  <si>
    <t>WP_002953358.1</t>
  </si>
  <si>
    <t>WP_002945131.1</t>
  </si>
  <si>
    <t>WP_002953361.1</t>
  </si>
  <si>
    <t>obgE</t>
  </si>
  <si>
    <t>WP_011681460.1</t>
  </si>
  <si>
    <t>WP_002953363.1</t>
  </si>
  <si>
    <t>WP_011226351.1</t>
  </si>
  <si>
    <t>WP_011226352.1</t>
  </si>
  <si>
    <t>WP_231779860.1</t>
  </si>
  <si>
    <t>WP_011226355.1</t>
  </si>
  <si>
    <t>WP_011226356.1</t>
  </si>
  <si>
    <t>WP_373867014.1</t>
  </si>
  <si>
    <t>WP_011226357.1</t>
  </si>
  <si>
    <t>WP_011226358.1</t>
  </si>
  <si>
    <t>WP_179971639.1</t>
  </si>
  <si>
    <t>WP_232085798.1</t>
  </si>
  <si>
    <t>WP_011226360.1</t>
  </si>
  <si>
    <t>WP_002951502.1</t>
  </si>
  <si>
    <t>WP_172642935.1</t>
  </si>
  <si>
    <t>WP_011226363.1</t>
  </si>
  <si>
    <t>serB</t>
  </si>
  <si>
    <t>WP_011227449.1</t>
  </si>
  <si>
    <t>ezrA</t>
  </si>
  <si>
    <t>WP_041828300.1</t>
  </si>
  <si>
    <t>gyrB</t>
  </si>
  <si>
    <t>WP_011226366.1</t>
  </si>
  <si>
    <t>WP_024703964.1</t>
  </si>
  <si>
    <t>WP_014608597.1</t>
  </si>
  <si>
    <t>WP_179971681.1</t>
  </si>
  <si>
    <t>WP_011227452.1</t>
  </si>
  <si>
    <t>WP_014608598.1</t>
  </si>
  <si>
    <t>WP_011227454.1</t>
  </si>
  <si>
    <t>GNAT family acetyltransferase</t>
  </si>
  <si>
    <t>WP_011226372.1</t>
  </si>
  <si>
    <t>serC</t>
  </si>
  <si>
    <t>WP_011227455.1</t>
  </si>
  <si>
    <t>WP_002951541.1</t>
  </si>
  <si>
    <t>WP_011681477.1</t>
  </si>
  <si>
    <t>WP_041828305.1</t>
  </si>
  <si>
    <t>WP_002951547.1</t>
  </si>
  <si>
    <t>WP_011226381.1</t>
  </si>
  <si>
    <t>murB</t>
  </si>
  <si>
    <t>WP_022097003.1</t>
  </si>
  <si>
    <t>folK</t>
  </si>
  <si>
    <t>WP_011226383.1</t>
  </si>
  <si>
    <t>dihydroneopterin aldolase</t>
  </si>
  <si>
    <t>folB</t>
  </si>
  <si>
    <t>WP_002953384.1</t>
  </si>
  <si>
    <t>WP_011681482.1</t>
  </si>
  <si>
    <t>dihydropteroate synthase</t>
  </si>
  <si>
    <t>folP</t>
  </si>
  <si>
    <t>WP_002953386.1</t>
  </si>
  <si>
    <t>WP_011226385.1</t>
  </si>
  <si>
    <t>WP_011226386.1</t>
  </si>
  <si>
    <t>WP_011226387.1</t>
  </si>
  <si>
    <t>WP_002951562.1</t>
  </si>
  <si>
    <t>rpsP</t>
  </si>
  <si>
    <t>WP_002884675.1</t>
  </si>
  <si>
    <t>tehB</t>
  </si>
  <si>
    <t>WP_011226388.1</t>
  </si>
  <si>
    <t>WP_179971642.1</t>
  </si>
  <si>
    <t>WP_011226389.1</t>
  </si>
  <si>
    <t>WP_011226390.1</t>
  </si>
  <si>
    <t>diacylglycerol kinase</t>
  </si>
  <si>
    <t>WP_011226392.1</t>
  </si>
  <si>
    <t>ligA</t>
  </si>
  <si>
    <t>WP_011226393.1</t>
  </si>
  <si>
    <t>WP_002946153.1</t>
  </si>
  <si>
    <t>WP_002946154.1</t>
  </si>
  <si>
    <t>WP_011226395.1</t>
  </si>
  <si>
    <t>WP_011227467.1</t>
  </si>
  <si>
    <t>WP_041828309.1</t>
  </si>
  <si>
    <t>WP_022096991.1</t>
  </si>
  <si>
    <t>WP_011227470.1</t>
  </si>
  <si>
    <t>WP_011226400.1</t>
  </si>
  <si>
    <t>1-acyl-sn-glycerol-3-phosphate acyltransferase</t>
  </si>
  <si>
    <t>WP_002948862.1</t>
  </si>
  <si>
    <t>WP_011226401.1</t>
  </si>
  <si>
    <t>WP_288576965.1</t>
  </si>
  <si>
    <t>tRNA1(Val) (adenine(37)-N6)-methyltransferase</t>
  </si>
  <si>
    <t>WP_011226403.1</t>
  </si>
  <si>
    <t>WP_011226404.1</t>
  </si>
  <si>
    <t>WP_011227471.1</t>
  </si>
  <si>
    <t>WP_011226406.1</t>
  </si>
  <si>
    <t>WP_002944579.1</t>
  </si>
  <si>
    <t>WP_011226407.1</t>
  </si>
  <si>
    <t>WP_011226408.1</t>
  </si>
  <si>
    <t>WP_011226409.1</t>
  </si>
  <si>
    <t>WP_011226410.1</t>
  </si>
  <si>
    <t>WP_011226411.1</t>
  </si>
  <si>
    <t>UDP-N-acetylmuramoyl-tripeptide--D-alanyl-D-alanine ligase</t>
  </si>
  <si>
    <t>murF</t>
  </si>
  <si>
    <t>WP_179971643.1</t>
  </si>
  <si>
    <t>WP_011226413.1</t>
  </si>
  <si>
    <t>WP_011226415.1</t>
  </si>
  <si>
    <t>WP_004197293.1</t>
  </si>
  <si>
    <t>WP_002951610.1</t>
  </si>
  <si>
    <t>WP_002951611.1</t>
  </si>
  <si>
    <t>D-alanine--D-alanine ligase</t>
  </si>
  <si>
    <t>WP_011226418.1</t>
  </si>
  <si>
    <t>WP_004197587.1</t>
  </si>
  <si>
    <t>WP_011226419.1</t>
  </si>
  <si>
    <t>WP_179971644.1</t>
  </si>
  <si>
    <t>trpA</t>
  </si>
  <si>
    <t>WP_002951616.1</t>
  </si>
  <si>
    <t>trpB</t>
  </si>
  <si>
    <t>WP_011226421.1</t>
  </si>
  <si>
    <t>WP_041828311.1</t>
  </si>
  <si>
    <t>trpC</t>
  </si>
  <si>
    <t>WP_011226423.1</t>
  </si>
  <si>
    <t>trpD</t>
  </si>
  <si>
    <t>WP_011226424.1</t>
  </si>
  <si>
    <t>WP_011226425.1</t>
  </si>
  <si>
    <t>trpE</t>
  </si>
  <si>
    <t>WP_041827086.1</t>
  </si>
  <si>
    <t>WP_041827087.1</t>
  </si>
  <si>
    <t>WP_011226428.1</t>
  </si>
  <si>
    <t>WP_041827159.1</t>
  </si>
  <si>
    <t>WP_002884818.1</t>
  </si>
  <si>
    <t>WP_041828313.1</t>
  </si>
  <si>
    <t>WP_002951643.1</t>
  </si>
  <si>
    <t>WP_002951646.1</t>
  </si>
  <si>
    <t>WP_011681528.1</t>
  </si>
  <si>
    <t>dihydroxy-acid dehydratase</t>
  </si>
  <si>
    <t>ilvD</t>
  </si>
  <si>
    <t>WP_011226435.1</t>
  </si>
  <si>
    <t>WP_002951656.1</t>
  </si>
  <si>
    <t>trmB</t>
  </si>
  <si>
    <t>WP_002947526.1</t>
  </si>
  <si>
    <t>WP_002951667.1</t>
  </si>
  <si>
    <t>WP_375708566.1</t>
  </si>
  <si>
    <t>WP_002951673.1</t>
  </si>
  <si>
    <t>WP_011226437.1</t>
  </si>
  <si>
    <t>WP_011226438.1</t>
  </si>
  <si>
    <t>WP_011226439.1</t>
  </si>
  <si>
    <t>WP_011226440.1</t>
  </si>
  <si>
    <t>WP_011681534.1</t>
  </si>
  <si>
    <t>WP_022096464.1</t>
  </si>
  <si>
    <t>WP_179971646.1</t>
  </si>
  <si>
    <t>WP_311316640.1</t>
  </si>
  <si>
    <t>rsfS</t>
  </si>
  <si>
    <t>WP_011226444.1</t>
  </si>
  <si>
    <t>WP_002951696.1</t>
  </si>
  <si>
    <t>nicotinate-nucleotide adenylyltransferase</t>
  </si>
  <si>
    <t>WP_011226445.1</t>
  </si>
  <si>
    <t>WP_002951701.1</t>
  </si>
  <si>
    <t>WP_011226446.1</t>
  </si>
  <si>
    <t>WP_002951705.1</t>
  </si>
  <si>
    <t>WP_011226447.1</t>
  </si>
  <si>
    <t>WP_011226448.1</t>
  </si>
  <si>
    <t>gatB</t>
  </si>
  <si>
    <t>WP_002946582.1</t>
  </si>
  <si>
    <t>gatA</t>
  </si>
  <si>
    <t>WP_002946584.1</t>
  </si>
  <si>
    <t>gatC</t>
  </si>
  <si>
    <t>WP_002884769.1</t>
  </si>
  <si>
    <t>WP_011226449.1</t>
  </si>
  <si>
    <t>WP_011226450.1</t>
  </si>
  <si>
    <t>msrA</t>
  </si>
  <si>
    <t>WP_002951714.1</t>
  </si>
  <si>
    <t>WP_041828318.1</t>
  </si>
  <si>
    <t>WP_179971648.1</t>
  </si>
  <si>
    <t>codY</t>
  </si>
  <si>
    <t>WP_002951720.1</t>
  </si>
  <si>
    <t>WP_011226456.1</t>
  </si>
  <si>
    <t>WP_002946987.1</t>
  </si>
  <si>
    <t>WP_011681546.1</t>
  </si>
  <si>
    <t>WP_041828320.1</t>
  </si>
  <si>
    <t>WP_002946980.1</t>
  </si>
  <si>
    <t>WP_232085774.1</t>
  </si>
  <si>
    <t>WP_002951727.1</t>
  </si>
  <si>
    <t>WP_011226459.1</t>
  </si>
  <si>
    <t>WP_011226460.1</t>
  </si>
  <si>
    <t>WP_011226461.1</t>
  </si>
  <si>
    <t>WP_011226462.1</t>
  </si>
  <si>
    <t>WP_011226463.1</t>
  </si>
  <si>
    <t>WP_179971649.1</t>
  </si>
  <si>
    <t>coaD</t>
  </si>
  <si>
    <t>WP_011226465.1</t>
  </si>
  <si>
    <t>trxB</t>
  </si>
  <si>
    <t>WP_255136104.1</t>
  </si>
  <si>
    <t>WP_011226468.1</t>
  </si>
  <si>
    <t>WP_011226469.1</t>
  </si>
  <si>
    <t>WP_095559509.1</t>
  </si>
  <si>
    <t>WP_041828322.1</t>
  </si>
  <si>
    <t>WP_002947030.1</t>
  </si>
  <si>
    <t>DNA polymerase IV</t>
  </si>
  <si>
    <t>dinB</t>
  </si>
  <si>
    <t>WP_011226472.1</t>
  </si>
  <si>
    <t>WP_011226473.1</t>
  </si>
  <si>
    <t>WP_011226474.1</t>
  </si>
  <si>
    <t>WP_041828324.1</t>
  </si>
  <si>
    <t>WP_232085773.1</t>
  </si>
  <si>
    <t>WP_011226480.1</t>
  </si>
  <si>
    <t>WP_011226481.1</t>
  </si>
  <si>
    <t>WP_011226482.1</t>
  </si>
  <si>
    <t>WP_002951776.1</t>
  </si>
  <si>
    <t>WP_179971651.1</t>
  </si>
  <si>
    <t>WP_232085772.1</t>
  </si>
  <si>
    <t>gla</t>
  </si>
  <si>
    <t>WP_002951781.1</t>
  </si>
  <si>
    <t>Xaa-Pro dipeptidyl-peptidase</t>
  </si>
  <si>
    <t>WP_011226486.1</t>
  </si>
  <si>
    <t>WP_002951783.1</t>
  </si>
  <si>
    <t>WP_002945924.1</t>
  </si>
  <si>
    <t>WP_011226487.1</t>
  </si>
  <si>
    <t>WP_041828328.1</t>
  </si>
  <si>
    <t>WP_011226490.1</t>
  </si>
  <si>
    <t>WP_011226494.1</t>
  </si>
  <si>
    <t>WP_011226495.1</t>
  </si>
  <si>
    <t>WP_224103634.1</t>
  </si>
  <si>
    <t>WP_011226496.1</t>
  </si>
  <si>
    <t>WP_041828330.1</t>
  </si>
  <si>
    <t>WP_011226501.1</t>
  </si>
  <si>
    <t>WP_011226502.1</t>
  </si>
  <si>
    <t>WP_002948879.1</t>
  </si>
  <si>
    <t>WP_011226503.1</t>
  </si>
  <si>
    <t>rlmN</t>
  </si>
  <si>
    <t>WP_011226504.1</t>
  </si>
  <si>
    <t>WP_011226505.1</t>
  </si>
  <si>
    <t>WP_011226506.1</t>
  </si>
  <si>
    <t>WP_041828333.1</t>
  </si>
  <si>
    <t>WP_002948888.1</t>
  </si>
  <si>
    <t>mraY</t>
  </si>
  <si>
    <t>WP_011226507.1</t>
  </si>
  <si>
    <t>WP_011226508.1</t>
  </si>
  <si>
    <t>WP_011226509.1</t>
  </si>
  <si>
    <t>rsmH</t>
  </si>
  <si>
    <t>WP_041828335.1</t>
  </si>
  <si>
    <t>WP_011226511.1</t>
  </si>
  <si>
    <t>WP_232087233.1</t>
  </si>
  <si>
    <t>WP_011226513.1</t>
  </si>
  <si>
    <t>WP_231108735.1</t>
  </si>
  <si>
    <t>WP_011226515.1</t>
  </si>
  <si>
    <t>proB</t>
  </si>
  <si>
    <t>WP_002948808.1</t>
  </si>
  <si>
    <t>WP_011226516.1</t>
  </si>
  <si>
    <t>addA</t>
  </si>
  <si>
    <t>WP_179971682.1</t>
  </si>
  <si>
    <t>rexB</t>
  </si>
  <si>
    <t>WP_011226521.1</t>
  </si>
  <si>
    <t>WP_011226524.1</t>
  </si>
  <si>
    <t>WP_167540730.1</t>
  </si>
  <si>
    <t>WP_311316641.1</t>
  </si>
  <si>
    <t>WP_011226527.1</t>
  </si>
  <si>
    <t>WP_041827163.1</t>
  </si>
  <si>
    <t>ATP-dependent DNA helicase RecG</t>
  </si>
  <si>
    <t>recG</t>
  </si>
  <si>
    <t>WP_011226529.1</t>
  </si>
  <si>
    <t>WP_011226530.1</t>
  </si>
  <si>
    <t>acpS</t>
  </si>
  <si>
    <t>WP_002951878.1</t>
  </si>
  <si>
    <t>WP_011226531.1</t>
  </si>
  <si>
    <t>WP_011226532.1</t>
  </si>
  <si>
    <t>secA</t>
  </si>
  <si>
    <t>WP_011226533.1</t>
  </si>
  <si>
    <t>WP_002947702.1</t>
  </si>
  <si>
    <t>manA</t>
  </si>
  <si>
    <t>WP_011226534.1</t>
  </si>
  <si>
    <t>WP_002947708.1</t>
  </si>
  <si>
    <t>WP_041828339.1</t>
  </si>
  <si>
    <t>WP_002951888.1</t>
  </si>
  <si>
    <t>WP_084829857.1</t>
  </si>
  <si>
    <t>nusB</t>
  </si>
  <si>
    <t>WP_002951890.1</t>
  </si>
  <si>
    <t>WP_041828342.1</t>
  </si>
  <si>
    <t>elongation factor P</t>
  </si>
  <si>
    <t>efp</t>
  </si>
  <si>
    <t>WP_011226539.1</t>
  </si>
  <si>
    <t>WP_002951893.1</t>
  </si>
  <si>
    <t>WP_011226541.1</t>
  </si>
  <si>
    <t>WP_011226542.1</t>
  </si>
  <si>
    <t>WP_232087235.1</t>
  </si>
  <si>
    <t>WP_011226544.1</t>
  </si>
  <si>
    <t>WP_311316631.1</t>
  </si>
  <si>
    <t>WP_002946571.1</t>
  </si>
  <si>
    <t>WP_002946573.1</t>
  </si>
  <si>
    <t>uvrA</t>
  </si>
  <si>
    <t>WP_011226545.1</t>
  </si>
  <si>
    <t>WP_002951901.1</t>
  </si>
  <si>
    <t>WP_011226546.1</t>
  </si>
  <si>
    <t>WP_011226547.1</t>
  </si>
  <si>
    <t>rpsR</t>
  </si>
  <si>
    <t>WP_002945024.1</t>
  </si>
  <si>
    <t>WP_002951905.1</t>
  </si>
  <si>
    <t>rpsF</t>
  </si>
  <si>
    <t>WP_002951906.1</t>
  </si>
  <si>
    <t>WP_011226548.1</t>
  </si>
  <si>
    <t>WP_231108733.1</t>
  </si>
  <si>
    <t>mutY</t>
  </si>
  <si>
    <t>WP_011226550.1</t>
  </si>
  <si>
    <t>WP_011226551.1</t>
  </si>
  <si>
    <t>WP_011226552.1</t>
  </si>
  <si>
    <t>WP_232085769.1</t>
  </si>
  <si>
    <t>DNA polymerase I</t>
  </si>
  <si>
    <t>polA</t>
  </si>
  <si>
    <t>WP_011226554.1</t>
  </si>
  <si>
    <t>WP_011226555.1</t>
  </si>
  <si>
    <t>WP_011226556.1</t>
  </si>
  <si>
    <t>WP_002947863.1</t>
  </si>
  <si>
    <t>ribonuclease HIII</t>
  </si>
  <si>
    <t>rnhC</t>
  </si>
  <si>
    <t>WP_179971683.1</t>
  </si>
  <si>
    <t>WP_002947854.1</t>
  </si>
  <si>
    <t>ATP-dependent RecD-like DNA helicase</t>
  </si>
  <si>
    <t>WP_011226558.1</t>
  </si>
  <si>
    <t>WP_011226559.1</t>
  </si>
  <si>
    <t>WP_011226560.1</t>
  </si>
  <si>
    <t>tsaD</t>
  </si>
  <si>
    <t>WP_002951922.1</t>
  </si>
  <si>
    <t>WP_014621963.1</t>
  </si>
  <si>
    <t>WP_002947108.1</t>
  </si>
  <si>
    <t>WP_002947111.1</t>
  </si>
  <si>
    <t>ribonuclease J1</t>
  </si>
  <si>
    <t>rnjA</t>
  </si>
  <si>
    <t>WP_002951926.1</t>
  </si>
  <si>
    <t>glnA</t>
  </si>
  <si>
    <t>WP_179971684.1</t>
  </si>
  <si>
    <t>WP_011226565.1</t>
  </si>
  <si>
    <t>WP_011226566.1</t>
  </si>
  <si>
    <t>phosphoglycerate kinase</t>
  </si>
  <si>
    <t>WP_011226568.1</t>
  </si>
  <si>
    <t>WP_041828347.1</t>
  </si>
  <si>
    <t>elongation factor G</t>
  </si>
  <si>
    <t>fusA</t>
  </si>
  <si>
    <t>WP_011226574.1</t>
  </si>
  <si>
    <t>rpsG</t>
  </si>
  <si>
    <t>WP_011226575.1</t>
  </si>
  <si>
    <t>rpsL</t>
  </si>
  <si>
    <t>WP_002884809.1</t>
  </si>
  <si>
    <t>purR</t>
  </si>
  <si>
    <t>WP_011226576.1</t>
  </si>
  <si>
    <t>WP_011681651.1</t>
  </si>
  <si>
    <t>rmuC</t>
  </si>
  <si>
    <t>WP_011226578.1</t>
  </si>
  <si>
    <t>WP_002946605.1</t>
  </si>
  <si>
    <t>rpe</t>
  </si>
  <si>
    <t>WP_002946609.1</t>
  </si>
  <si>
    <t>rsgA</t>
  </si>
  <si>
    <t>WP_011226580.1</t>
  </si>
  <si>
    <t>rsmA</t>
  </si>
  <si>
    <t>WP_011226581.1</t>
  </si>
  <si>
    <t>ribonuclease M5</t>
  </si>
  <si>
    <t>rnmV</t>
  </si>
  <si>
    <t>WP_002951966.1</t>
  </si>
  <si>
    <t>WP_011226582.1</t>
  </si>
  <si>
    <t>WP_022096510.1</t>
  </si>
  <si>
    <t>thioredoxin</t>
  </si>
  <si>
    <t>trxA</t>
  </si>
  <si>
    <t>WP_011226584.1</t>
  </si>
  <si>
    <t>WP_011226585.1</t>
  </si>
  <si>
    <t>WP_002951977.1</t>
  </si>
  <si>
    <t>WP_167540729.1</t>
  </si>
  <si>
    <t>tgt</t>
  </si>
  <si>
    <t>WP_011226586.1</t>
  </si>
  <si>
    <t>tnpA</t>
  </si>
  <si>
    <t>WP_082302328.1</t>
  </si>
  <si>
    <t>rpmH</t>
  </si>
  <si>
    <t>WP_002953513.1</t>
  </si>
  <si>
    <t>WP_011226588.1</t>
  </si>
  <si>
    <t>WP_002953525.1</t>
  </si>
  <si>
    <t>rnpA</t>
  </si>
  <si>
    <t>WP_002953528.1</t>
  </si>
  <si>
    <t>argininosuccinate lyase</t>
  </si>
  <si>
    <t>argH</t>
  </si>
  <si>
    <t>WP_002953530.1</t>
  </si>
  <si>
    <t>argininosuccinate synthase</t>
  </si>
  <si>
    <t>WP_002953531.1</t>
  </si>
  <si>
    <t>gltX</t>
  </si>
  <si>
    <t>WP_002953532.1</t>
  </si>
  <si>
    <t>rplA</t>
  </si>
  <si>
    <t>WP_002946412.1</t>
  </si>
  <si>
    <t>rplK</t>
  </si>
  <si>
    <t>WP_002953535.1</t>
  </si>
  <si>
    <t>WP_002953536.1</t>
  </si>
  <si>
    <t>WP_002947059.1</t>
  </si>
  <si>
    <t>radA</t>
  </si>
  <si>
    <t>WP_082302317.1</t>
  </si>
  <si>
    <t>WP_002947069.1</t>
  </si>
  <si>
    <t>WP_011226601.1</t>
  </si>
  <si>
    <t>WP_011226602.1</t>
  </si>
  <si>
    <t>WP_011226604.1</t>
  </si>
  <si>
    <t>5-formyltetrahydrofolate cyclo-ligase</t>
  </si>
  <si>
    <t>WP_011226605.1</t>
  </si>
  <si>
    <t>WP_002951995.1</t>
  </si>
  <si>
    <t>WP_002951996.1</t>
  </si>
  <si>
    <t>WP_011226608.1</t>
  </si>
  <si>
    <t>WP_002945733.1</t>
  </si>
  <si>
    <t>WP_011681674.1</t>
  </si>
  <si>
    <t>tadA</t>
  </si>
  <si>
    <t>WP_011226609.1</t>
  </si>
  <si>
    <t>WP_011226610.1</t>
  </si>
  <si>
    <t>WP_011226611.1</t>
  </si>
  <si>
    <t>WP_179971685.1</t>
  </si>
  <si>
    <t>ytpR</t>
  </si>
  <si>
    <t>WP_002952017.1</t>
  </si>
  <si>
    <t>WP_011226613.1</t>
  </si>
  <si>
    <t>WP_002952020.1</t>
  </si>
  <si>
    <t>WP_011226615.1</t>
  </si>
  <si>
    <t>proC</t>
  </si>
  <si>
    <t>WP_011226616.1</t>
  </si>
  <si>
    <t>WP_179971686.1</t>
  </si>
  <si>
    <t>WP_041827107.1</t>
  </si>
  <si>
    <t>WP_011681682.1</t>
  </si>
  <si>
    <t>acetate kinase</t>
  </si>
  <si>
    <t>WP_022096898.1</t>
  </si>
  <si>
    <t>WP_011226622.1</t>
  </si>
  <si>
    <t>WP_011226623.1</t>
  </si>
  <si>
    <t>WP_014608742.1</t>
  </si>
  <si>
    <t>WP_011226625.1</t>
  </si>
  <si>
    <t>WP_011226626.1</t>
  </si>
  <si>
    <t>WP_002946126.1</t>
  </si>
  <si>
    <t>WP_148148900.1</t>
  </si>
  <si>
    <t>WP_011226629.1</t>
  </si>
  <si>
    <t>WP_011226630.1</t>
  </si>
  <si>
    <t>rpoC</t>
  </si>
  <si>
    <t>WP_011226631.1</t>
  </si>
  <si>
    <t>rpoB</t>
  </si>
  <si>
    <t>WP_179971687.1</t>
  </si>
  <si>
    <t>WP_179971688.1</t>
  </si>
  <si>
    <t>WP_014608749.1</t>
  </si>
  <si>
    <t>ilvC</t>
  </si>
  <si>
    <t>WP_011226634.1</t>
  </si>
  <si>
    <t>WP_011226635.1</t>
  </si>
  <si>
    <t>WP_041828350.1</t>
  </si>
  <si>
    <t>WP_011226638.1</t>
  </si>
  <si>
    <t>WP_002952060.1</t>
  </si>
  <si>
    <t>WP_011226639.1</t>
  </si>
  <si>
    <t>WP_011227590.1</t>
  </si>
  <si>
    <t>WP_011226647.1</t>
  </si>
  <si>
    <t>WP_011226651.1</t>
  </si>
  <si>
    <t>WP_002948266.1</t>
  </si>
  <si>
    <t>WP_002948269.1</t>
  </si>
  <si>
    <t>WP_011226655.1</t>
  </si>
  <si>
    <t>WP_011227602.1</t>
  </si>
  <si>
    <t>rplQ</t>
  </si>
  <si>
    <t>WP_002952134.1</t>
  </si>
  <si>
    <t>WP_002952135.1</t>
  </si>
  <si>
    <t>rpsK</t>
  </si>
  <si>
    <t>WP_002887520.1</t>
  </si>
  <si>
    <t>rpsM</t>
  </si>
  <si>
    <t>WP_002885820.1</t>
  </si>
  <si>
    <t>WP_000868345.1</t>
  </si>
  <si>
    <t>infA</t>
  </si>
  <si>
    <t>WP_001040189.1</t>
  </si>
  <si>
    <t>adenylate kinase</t>
  </si>
  <si>
    <t>WP_002952136.1</t>
  </si>
  <si>
    <t>secY</t>
  </si>
  <si>
    <t>WP_164178340.1</t>
  </si>
  <si>
    <t>rplO</t>
  </si>
  <si>
    <t>WP_002952138.1</t>
  </si>
  <si>
    <t>rpmD</t>
  </si>
  <si>
    <t>WP_002946172.1</t>
  </si>
  <si>
    <t>rpsE</t>
  </si>
  <si>
    <t>WP_002946171.1</t>
  </si>
  <si>
    <t>rplR</t>
  </si>
  <si>
    <t>WP_002946169.1</t>
  </si>
  <si>
    <t>rplF</t>
  </si>
  <si>
    <t>WP_002946167.1</t>
  </si>
  <si>
    <t>rpsH</t>
  </si>
  <si>
    <t>WP_002952146.1</t>
  </si>
  <si>
    <t>WP_002946164.1</t>
  </si>
  <si>
    <t>rplE</t>
  </si>
  <si>
    <t>WP_002946163.1</t>
  </si>
  <si>
    <t>rplX</t>
  </si>
  <si>
    <t>WP_002946158.1</t>
  </si>
  <si>
    <t>WP_002952155.1</t>
  </si>
  <si>
    <t>rpsQ</t>
  </si>
  <si>
    <t>WP_002944482.1</t>
  </si>
  <si>
    <t>rpmC</t>
  </si>
  <si>
    <t>WP_002952156.1</t>
  </si>
  <si>
    <t>rplP</t>
  </si>
  <si>
    <t>WP_011226664.1</t>
  </si>
  <si>
    <t>rpsC</t>
  </si>
  <si>
    <t>WP_002952158.1</t>
  </si>
  <si>
    <t>rplV</t>
  </si>
  <si>
    <t>WP_002887063.1</t>
  </si>
  <si>
    <t>rpsS</t>
  </si>
  <si>
    <t>WP_000533765.1</t>
  </si>
  <si>
    <t>rplB</t>
  </si>
  <si>
    <t>WP_002952161.1</t>
  </si>
  <si>
    <t>WP_002887066.1</t>
  </si>
  <si>
    <t>rplD</t>
  </si>
  <si>
    <t>WP_002885795.1</t>
  </si>
  <si>
    <t>rplC</t>
  </si>
  <si>
    <t>WP_002952166.1</t>
  </si>
  <si>
    <t>rpsJ</t>
  </si>
  <si>
    <t>WP_002885653.1</t>
  </si>
  <si>
    <t>ruvB</t>
  </si>
  <si>
    <t>WP_002948618.1</t>
  </si>
  <si>
    <t>WP_011226665.1</t>
  </si>
  <si>
    <t>WP_002948620.1</t>
  </si>
  <si>
    <t>WP_002948621.1</t>
  </si>
  <si>
    <t>WP_002948622.1</t>
  </si>
  <si>
    <t>WP_002948623.1</t>
  </si>
  <si>
    <t>WP_002948624.1</t>
  </si>
  <si>
    <t>WP_041828352.1</t>
  </si>
  <si>
    <t>WP_002948637.1</t>
  </si>
  <si>
    <t>WP_011226668.1</t>
  </si>
  <si>
    <t>WP_232087145.1</t>
  </si>
  <si>
    <t>WP_231906181.1</t>
  </si>
  <si>
    <t>WP_014622048.1</t>
  </si>
  <si>
    <t>WP_002948651.1</t>
  </si>
  <si>
    <t>WP_041828353.1</t>
  </si>
  <si>
    <t>WP_011226670.1</t>
  </si>
  <si>
    <t>WP_000369785.1</t>
  </si>
  <si>
    <t>WP_011226671.1</t>
  </si>
  <si>
    <t>WP_002952183.1</t>
  </si>
  <si>
    <t>rpmB</t>
  </si>
  <si>
    <t>WP_002952184.1</t>
  </si>
  <si>
    <t>WP_002952186.1</t>
  </si>
  <si>
    <t>WP_002952187.1</t>
  </si>
  <si>
    <t>WP_011681733.1</t>
  </si>
  <si>
    <t>WP_011226673.1</t>
  </si>
  <si>
    <t>anaerobic ribonucleoside-triphosphate reductase</t>
  </si>
  <si>
    <t>nrdD</t>
  </si>
  <si>
    <t>WP_011226674.1</t>
  </si>
  <si>
    <t>WP_002885877.1</t>
  </si>
  <si>
    <t>WP_004300318.1</t>
  </si>
  <si>
    <t>WP_002952198.1</t>
  </si>
  <si>
    <t>WP_041828390.1</t>
  </si>
  <si>
    <t>WP_011226676.1</t>
  </si>
  <si>
    <t>aspS</t>
  </si>
  <si>
    <t>WP_011226677.1</t>
  </si>
  <si>
    <t>WP_002946366.1</t>
  </si>
  <si>
    <t>hisS</t>
  </si>
  <si>
    <t>WP_002946362.1</t>
  </si>
  <si>
    <t>50S ribosomal protein L32</t>
  </si>
  <si>
    <t>rpmF</t>
  </si>
  <si>
    <t>WP_002952208.1</t>
  </si>
  <si>
    <t>WP_002262412.1</t>
  </si>
  <si>
    <t>WP_011226680.1</t>
  </si>
  <si>
    <t>WP_011226681.1</t>
  </si>
  <si>
    <t>WP_011226685.1</t>
  </si>
  <si>
    <t>WP_002948040.1</t>
  </si>
  <si>
    <t>WP_002948041.1</t>
  </si>
  <si>
    <t>WP_002952225.1</t>
  </si>
  <si>
    <t>WP_002948043.1</t>
  </si>
  <si>
    <t>WP_011226686.1</t>
  </si>
  <si>
    <t>WP_011226689.1</t>
  </si>
  <si>
    <t>WP_179971672.1</t>
  </si>
  <si>
    <t>WP_011227623.1</t>
  </si>
  <si>
    <t>WP_002952253.1</t>
  </si>
  <si>
    <t>WP_011226693.1</t>
  </si>
  <si>
    <t>WP_011681752.1</t>
  </si>
  <si>
    <t>rpsD</t>
  </si>
  <si>
    <t>WP_002952258.1</t>
  </si>
  <si>
    <t>WP_002952260.1</t>
  </si>
  <si>
    <t>replicative DNA helicase</t>
  </si>
  <si>
    <t>WP_011226694.1</t>
  </si>
  <si>
    <t>rplI</t>
  </si>
  <si>
    <t>WP_011226695.1</t>
  </si>
  <si>
    <t>WP_011226696.1</t>
  </si>
  <si>
    <t>WP_041827119.1</t>
  </si>
  <si>
    <t>mnmA</t>
  </si>
  <si>
    <t>WP_011226698.1</t>
  </si>
  <si>
    <t>WP_041827169.1</t>
  </si>
  <si>
    <t>WP_011226700.1</t>
  </si>
  <si>
    <t>WP_011226701.1</t>
  </si>
  <si>
    <t>WP_011226702.1</t>
  </si>
  <si>
    <t>WP_002947774.1</t>
  </si>
  <si>
    <t>WP_002947776.1</t>
  </si>
  <si>
    <t>pgsA</t>
  </si>
  <si>
    <t>WP_002947777.1</t>
  </si>
  <si>
    <t>WP_011226703.1</t>
  </si>
  <si>
    <t>WP_011226704.1</t>
  </si>
  <si>
    <t>WP_011681762.1</t>
  </si>
  <si>
    <t>WP_002947785.1</t>
  </si>
  <si>
    <t>recF</t>
  </si>
  <si>
    <t>WP_011226706.1</t>
  </si>
  <si>
    <t>guaB</t>
  </si>
  <si>
    <t>WP_014608806.1</t>
  </si>
  <si>
    <t>trpS</t>
  </si>
  <si>
    <t>WP_002952292.1</t>
  </si>
  <si>
    <t>WP_064355694.1</t>
  </si>
  <si>
    <t>WP_011226709.1</t>
  </si>
  <si>
    <t>WP_011226710.1</t>
  </si>
  <si>
    <t>WP_011226711.1</t>
  </si>
  <si>
    <t>rlmH</t>
  </si>
  <si>
    <t>WP_011226712.1</t>
  </si>
  <si>
    <t>WP_011226713.1</t>
  </si>
  <si>
    <t>WP_011226714.1</t>
  </si>
  <si>
    <t>pSTHERMO</t>
  </si>
  <si>
    <t>WP_176452554.1</t>
  </si>
  <si>
    <t>WP_179971706.1</t>
  </si>
  <si>
    <t>WP_179971705.1</t>
  </si>
  <si>
    <t>chromosomal replication initiator informational ATPase</t>
  </si>
  <si>
    <t>CAD0135541.1</t>
  </si>
  <si>
    <t>STHERMO_0001</t>
  </si>
  <si>
    <t>Beta sliding clamp</t>
  </si>
  <si>
    <t>CAD0135543.1</t>
  </si>
  <si>
    <t>STHERMO_0002</t>
  </si>
  <si>
    <t>putative nucleic acid binding protein</t>
  </si>
  <si>
    <t>yyzM</t>
  </si>
  <si>
    <t>CAD0135545.1</t>
  </si>
  <si>
    <t>STHERMO_0003</t>
  </si>
  <si>
    <t>potassium-dependent informational ATPase interacting with 70S ribosome; ROS stress regulator</t>
  </si>
  <si>
    <t>engD</t>
  </si>
  <si>
    <t>CAD0135547.1</t>
  </si>
  <si>
    <t>STHERMO_0004</t>
  </si>
  <si>
    <t>peptidyl-tRNA hydrolase</t>
  </si>
  <si>
    <t>CAD0135549.1</t>
  </si>
  <si>
    <t>STHERMO_0005</t>
  </si>
  <si>
    <t>CAD0135552.1</t>
  </si>
  <si>
    <t>STHERMO_0006</t>
  </si>
  <si>
    <t>ribosomal RNA binding protein involved in 50S recycling; heat shock protein</t>
  </si>
  <si>
    <t>hslR</t>
  </si>
  <si>
    <t>CAD0135554.1</t>
  </si>
  <si>
    <t>STHERMO_0007</t>
  </si>
  <si>
    <t>Cell division protein DivIC</t>
  </si>
  <si>
    <t>CAD0135556.1</t>
  </si>
  <si>
    <t>STHERMO_0008</t>
  </si>
  <si>
    <t>Recombinase</t>
  </si>
  <si>
    <t>CAD0135558.1</t>
  </si>
  <si>
    <t>STHERMO_0009</t>
  </si>
  <si>
    <t>conserved exported protein of unknown function</t>
  </si>
  <si>
    <t>CAD0135560.1</t>
  </si>
  <si>
    <t>STHERMO_0010</t>
  </si>
  <si>
    <t>tRNA(Ile)-lysidine synthase</t>
  </si>
  <si>
    <t>CAD0135562.1</t>
  </si>
  <si>
    <t>STHERMO_0011</t>
  </si>
  <si>
    <t>hypoxanthine-guanine phosphoribosyltransferase</t>
  </si>
  <si>
    <t>hprT</t>
  </si>
  <si>
    <t>CAD0135564.1</t>
  </si>
  <si>
    <t>STHERMO_0012</t>
  </si>
  <si>
    <t>ATP-dependent cytoplasmic membrane protease</t>
  </si>
  <si>
    <t>CAD0135566.1</t>
  </si>
  <si>
    <t>STHERMO_0013</t>
  </si>
  <si>
    <t>CAD0135568.1</t>
  </si>
  <si>
    <t>STHERMO_0014</t>
  </si>
  <si>
    <t>CAD0135570.1</t>
  </si>
  <si>
    <t>STHERMO_0015</t>
  </si>
  <si>
    <t>protein of unknown function</t>
  </si>
  <si>
    <t>CAD0135572.1</t>
  </si>
  <si>
    <t>STHERMO_0016</t>
  </si>
  <si>
    <t>CAD0135574.1</t>
  </si>
  <si>
    <t>STHERMO_0017</t>
  </si>
  <si>
    <t>CAD0135576.1</t>
  </si>
  <si>
    <t>STHERMO_0018</t>
  </si>
  <si>
    <t>CAD0135578.1</t>
  </si>
  <si>
    <t>STHERMO_0019</t>
  </si>
  <si>
    <t>CAD0135580.1</t>
  </si>
  <si>
    <t>STHERMO_0020</t>
  </si>
  <si>
    <t>CAD0135582.1</t>
  </si>
  <si>
    <t>STHERMO_0021</t>
  </si>
  <si>
    <t>tnp</t>
  </si>
  <si>
    <t>CAD0135584.1</t>
  </si>
  <si>
    <t>STHERMO_0022</t>
  </si>
  <si>
    <t>CAD0135586.1</t>
  </si>
  <si>
    <t>STHERMO_0024</t>
  </si>
  <si>
    <t>CAD0135588.1</t>
  </si>
  <si>
    <t>STHERMO_0025</t>
  </si>
  <si>
    <t>Cell shape-determining protein MreC</t>
  </si>
  <si>
    <t>CAD0135590.1</t>
  </si>
  <si>
    <t>STHERMO_0026</t>
  </si>
  <si>
    <t>Rod shape-determining protein MreD</t>
  </si>
  <si>
    <t>CAD0135592.1</t>
  </si>
  <si>
    <t>STHERMO_0027</t>
  </si>
  <si>
    <t>PcsB protein</t>
  </si>
  <si>
    <t>CAD0135594.1</t>
  </si>
  <si>
    <t>STHERMO_0028</t>
  </si>
  <si>
    <t>phosphoribosylpyrophosphate synthetase</t>
  </si>
  <si>
    <t>prs</t>
  </si>
  <si>
    <t>CAD0135596.1</t>
  </si>
  <si>
    <t>STHERMO_0029</t>
  </si>
  <si>
    <t>CAD0135598.1</t>
  </si>
  <si>
    <t>STHERMO_0030</t>
  </si>
  <si>
    <t>conserved protein of unknown function</t>
  </si>
  <si>
    <t>CAD0135600.1</t>
  </si>
  <si>
    <t>STHERMO_0031</t>
  </si>
  <si>
    <t>CAD0135602.1</t>
  </si>
  <si>
    <t>STHERMO_0032</t>
  </si>
  <si>
    <t>putative N-acetyl-LL-diaminopimelate aminotransferase</t>
  </si>
  <si>
    <t>dapX</t>
  </si>
  <si>
    <t>CAD0135604.1</t>
  </si>
  <si>
    <t>STHERMO_0033</t>
  </si>
  <si>
    <t>CAD0135606.1</t>
  </si>
  <si>
    <t>STHERMO_0034</t>
  </si>
  <si>
    <t>phosphate:acyl-ACP acyltransferase</t>
  </si>
  <si>
    <t>CAD0135608.1</t>
  </si>
  <si>
    <t>STHERMO_0035</t>
  </si>
  <si>
    <t>Acyl carrier protein</t>
  </si>
  <si>
    <t>acpP</t>
  </si>
  <si>
    <t>CAD0135610.1</t>
  </si>
  <si>
    <t>STHERMO_0036</t>
  </si>
  <si>
    <t>phosphoribosylaminoimidazole succinocarboxamide synthetase</t>
  </si>
  <si>
    <t>CAD0135612.1</t>
  </si>
  <si>
    <t>STHERMO_0037</t>
  </si>
  <si>
    <t>Phosphoribosylformylglycinamidine synthase, synthetase subunit</t>
  </si>
  <si>
    <t>CAD0135614.1</t>
  </si>
  <si>
    <t>STHERMO_0038</t>
  </si>
  <si>
    <t>glutamine phosphoribosylpyrophosphate amidotransferase</t>
  </si>
  <si>
    <t>CAD0135616.1</t>
  </si>
  <si>
    <t>STHERMO_0039</t>
  </si>
  <si>
    <t>phosphoribosylaminoimidazole synthetase</t>
  </si>
  <si>
    <t>CAD0135618.1</t>
  </si>
  <si>
    <t>STHERMO_0040</t>
  </si>
  <si>
    <t>CAD0135620.1</t>
  </si>
  <si>
    <t>STHERMO_0041</t>
  </si>
  <si>
    <t>fused phosphoribosylaminoimidazole carboxy formyl formyltransferase; inosine-monophosphate cyclohydrolase</t>
  </si>
  <si>
    <t>CAD0135622.1</t>
  </si>
  <si>
    <t>STHERMO_0042</t>
  </si>
  <si>
    <t>CAD0135624.1</t>
  </si>
  <si>
    <t>STHERMO_0043</t>
  </si>
  <si>
    <t>CAD0135626.1</t>
  </si>
  <si>
    <t>STHERMO_0044</t>
  </si>
  <si>
    <t>CAD0135628.1</t>
  </si>
  <si>
    <t>STHERMO_0045</t>
  </si>
  <si>
    <t>putative choline binding protein</t>
  </si>
  <si>
    <t>CAD0135630.1</t>
  </si>
  <si>
    <t>STHERMO_0046</t>
  </si>
  <si>
    <t>phosphoribosylglycinamide synthetase</t>
  </si>
  <si>
    <t>CAD0135632.1</t>
  </si>
  <si>
    <t>STHERMO_0047</t>
  </si>
  <si>
    <t>N5-carboxyaminoimidazole ribonucleotide mutase</t>
  </si>
  <si>
    <t>CAD0135634.1</t>
  </si>
  <si>
    <t>STHERMO_0048</t>
  </si>
  <si>
    <t>N5-carboxyaminoimidazole ribonucleotide synthase</t>
  </si>
  <si>
    <t>CAD0135636.1</t>
  </si>
  <si>
    <t>STHERMO_0049</t>
  </si>
  <si>
    <t>CAD0135638.1</t>
  </si>
  <si>
    <t>STHERMO_0050</t>
  </si>
  <si>
    <t>CAD0135640.1</t>
  </si>
  <si>
    <t>STHERMO_0051</t>
  </si>
  <si>
    <t>CAD0135642.1</t>
  </si>
  <si>
    <t>STHERMO_0052</t>
  </si>
  <si>
    <t>CAD0135644.1</t>
  </si>
  <si>
    <t>STHERMO_0053</t>
  </si>
  <si>
    <t>CAD0135646.1</t>
  </si>
  <si>
    <t>STHERMO_0054</t>
  </si>
  <si>
    <t>CAD0135648.1</t>
  </si>
  <si>
    <t>STHERMO_0055</t>
  </si>
  <si>
    <t>Arginine--tRNA ligase</t>
  </si>
  <si>
    <t>CAD0135650.1</t>
  </si>
  <si>
    <t>STHERMO_0056</t>
  </si>
  <si>
    <t>Arginine repressor</t>
  </si>
  <si>
    <t>CAD0135652.1</t>
  </si>
  <si>
    <t>STHERMO_0057</t>
  </si>
  <si>
    <t>CAD0135654.1</t>
  </si>
  <si>
    <t>STHERMO_0058</t>
  </si>
  <si>
    <t>DNA mismatch repair recognition factor</t>
  </si>
  <si>
    <t>CAD0135656.1</t>
  </si>
  <si>
    <t>STHERMO_0059</t>
  </si>
  <si>
    <t>CAD0135658.1</t>
  </si>
  <si>
    <t>STHERMO_0060</t>
  </si>
  <si>
    <t>CAD0135660.1</t>
  </si>
  <si>
    <t>STHERMO_0061</t>
  </si>
  <si>
    <t>CAD0135662.1</t>
  </si>
  <si>
    <t>STHERMO_0062</t>
  </si>
  <si>
    <t>conserved membrane protein of unknown function</t>
  </si>
  <si>
    <t>CAD0135664.1</t>
  </si>
  <si>
    <t>STHERMO_0063</t>
  </si>
  <si>
    <t>DNA mismatch repair endonuclease</t>
  </si>
  <si>
    <t>CAD0135666.1</t>
  </si>
  <si>
    <t>STHERMO_0064</t>
  </si>
  <si>
    <t>CAD0135668.1</t>
  </si>
  <si>
    <t>STHERMO_0065</t>
  </si>
  <si>
    <t>Holliday junction ATP-dependent DNA helicase RuvA</t>
  </si>
  <si>
    <t>CAD0135670.1</t>
  </si>
  <si>
    <t>STHERMO_0066</t>
  </si>
  <si>
    <t>DNA-3-methyladenine glycosylase</t>
  </si>
  <si>
    <t>tag</t>
  </si>
  <si>
    <t>CAD0135672.1</t>
  </si>
  <si>
    <t>STHERMO_0067</t>
  </si>
  <si>
    <t>competence-damage inducible regulator</t>
  </si>
  <si>
    <t>cinA</t>
  </si>
  <si>
    <t>CAD0135674.1</t>
  </si>
  <si>
    <t>STHERMO_0068</t>
  </si>
  <si>
    <t>multifunctional SOS repair factor</t>
  </si>
  <si>
    <t>CAD0135676.1</t>
  </si>
  <si>
    <t>STHERMO_0069</t>
  </si>
  <si>
    <t>Regulatory protein Spx</t>
  </si>
  <si>
    <t>spxA</t>
  </si>
  <si>
    <t>CAD0135678.1</t>
  </si>
  <si>
    <t>STHERMO_0070</t>
  </si>
  <si>
    <t>CAD0135680.1</t>
  </si>
  <si>
    <t>STHERMO_0072</t>
  </si>
  <si>
    <t>DNA polymerase III (alpha subunit)</t>
  </si>
  <si>
    <t>polC</t>
  </si>
  <si>
    <t>CAD0135682.1</t>
  </si>
  <si>
    <t>STHERMO_0073</t>
  </si>
  <si>
    <t>ampS</t>
  </si>
  <si>
    <t>CAD0135684.1</t>
  </si>
  <si>
    <t>STHERMO_0074</t>
  </si>
  <si>
    <t>CAD0135686.1</t>
  </si>
  <si>
    <t>STHERMO_0075</t>
  </si>
  <si>
    <t>Transcriptional regulator, MarR family</t>
  </si>
  <si>
    <t>CAD0135688.1</t>
  </si>
  <si>
    <t>STHERMO_0076</t>
  </si>
  <si>
    <t>NADPH-dependent FMN reductase</t>
  </si>
  <si>
    <t>CAD0135690.1</t>
  </si>
  <si>
    <t>STHERMO_0077</t>
  </si>
  <si>
    <t>CAD0135692.1</t>
  </si>
  <si>
    <t>STHERMO_0078</t>
  </si>
  <si>
    <t>CAD0135694.1</t>
  </si>
  <si>
    <t>STHERMO_0079</t>
  </si>
  <si>
    <t>CAD0135696.1</t>
  </si>
  <si>
    <t>STHERMO_0080</t>
  </si>
  <si>
    <t>CAD0135698.1</t>
  </si>
  <si>
    <t>STHERMO_0081</t>
  </si>
  <si>
    <t>Microcin C7 self-immunity protein mccF</t>
  </si>
  <si>
    <t>CAD0135700.1</t>
  </si>
  <si>
    <t>STHERMO_0082</t>
  </si>
  <si>
    <t>CAD0135702.1</t>
  </si>
  <si>
    <t>STHERMO_0083</t>
  </si>
  <si>
    <t>CAD0135704.1</t>
  </si>
  <si>
    <t>STHERMO_0084</t>
  </si>
  <si>
    <t>ribosomal protein S2</t>
  </si>
  <si>
    <t>CAD0135706.1</t>
  </si>
  <si>
    <t>STHERMO_0085</t>
  </si>
  <si>
    <t>elongation factor Ts</t>
  </si>
  <si>
    <t>CAD0135708.1</t>
  </si>
  <si>
    <t>STHERMO_0086</t>
  </si>
  <si>
    <t>small multidrug export protein (qacE) homolog</t>
  </si>
  <si>
    <t>CAD0135710.1</t>
  </si>
  <si>
    <t>STHERMO_0087</t>
  </si>
  <si>
    <t>transcriptional regulator of class III stress genes</t>
  </si>
  <si>
    <t>ctsR</t>
  </si>
  <si>
    <t>CAD0135712.1</t>
  </si>
  <si>
    <t>STHERMO_0088</t>
  </si>
  <si>
    <t>class III stress response-related ATPase, AAA+ superfamily</t>
  </si>
  <si>
    <t>clpC</t>
  </si>
  <si>
    <t>CAD0135714.1</t>
  </si>
  <si>
    <t>STHERMO_0089</t>
  </si>
  <si>
    <t>CAD0135720.1</t>
  </si>
  <si>
    <t>STHERMO_0092</t>
  </si>
  <si>
    <t>D-alanyl-D-alanine carboxypeptidase</t>
  </si>
  <si>
    <t>CAD0135722.1</t>
  </si>
  <si>
    <t>STHERMO_0093</t>
  </si>
  <si>
    <t>polynucleotide phosphorylase (PNPase)</t>
  </si>
  <si>
    <t>pnpA</t>
  </si>
  <si>
    <t>CAD0135724.1</t>
  </si>
  <si>
    <t>STHERMO_0094</t>
  </si>
  <si>
    <t>CAD0135726.1</t>
  </si>
  <si>
    <t>STHERMO_0095</t>
  </si>
  <si>
    <t>Serine acetyltransferase</t>
  </si>
  <si>
    <t>CAD0135728.1</t>
  </si>
  <si>
    <t>STHERMO_0096</t>
  </si>
  <si>
    <t>dual cysteinyl-tRNA synthetase; cysteine persulfide synthase</t>
  </si>
  <si>
    <t>CAD0135730.1</t>
  </si>
  <si>
    <t>STHERMO_0097</t>
  </si>
  <si>
    <t>ribonuclease for 23S RNA maturation, mini-RNase III</t>
  </si>
  <si>
    <t>mrnC</t>
  </si>
  <si>
    <t>CAD0135732.1</t>
  </si>
  <si>
    <t>STHERMO_0098</t>
  </si>
  <si>
    <t>CAD0135734.1</t>
  </si>
  <si>
    <t>STHERMO_0099</t>
  </si>
  <si>
    <t>CAD0135736.1</t>
  </si>
  <si>
    <t>STHERMO_0100</t>
  </si>
  <si>
    <t>CAD0135738.1</t>
  </si>
  <si>
    <t>STHERMO_0101</t>
  </si>
  <si>
    <t>CAD0135740.1</t>
  </si>
  <si>
    <t>STHERMO_0102</t>
  </si>
  <si>
    <t>Putative TrmH family tRNA/rRNA methyltransferase</t>
  </si>
  <si>
    <t>CAD0135742.1</t>
  </si>
  <si>
    <t>STHERMO_0103</t>
  </si>
  <si>
    <t>ribosome-dependent mRNA endonuclease</t>
  </si>
  <si>
    <t>raeA</t>
  </si>
  <si>
    <t>CAD0135744.1</t>
  </si>
  <si>
    <t>STHERMO_0104</t>
  </si>
  <si>
    <t>DegV family protein in cluster with TrmH family tRNA/rRNA methyltransferase YacO</t>
  </si>
  <si>
    <t>CAD0135746.1</t>
  </si>
  <si>
    <t>STHERMO_0105</t>
  </si>
  <si>
    <t>CAD0135748.1</t>
  </si>
  <si>
    <t>STHERMO_0106</t>
  </si>
  <si>
    <t>2-dehydropantoate 2-reductase</t>
  </si>
  <si>
    <t>CAD0135750.1</t>
  </si>
  <si>
    <t>STHERMO_0107</t>
  </si>
  <si>
    <t>ribosomal protein L13</t>
  </si>
  <si>
    <t>CAD0135752.1</t>
  </si>
  <si>
    <t>STHERMO_0108</t>
  </si>
  <si>
    <t>ribosomal protein S9</t>
  </si>
  <si>
    <t>CAD0135754.1</t>
  </si>
  <si>
    <t>STHERMO_0109</t>
  </si>
  <si>
    <t>Integrase/recombinase, phage integrase family</t>
  </si>
  <si>
    <t>CAD0135756.1</t>
  </si>
  <si>
    <t>STHERMO_0110</t>
  </si>
  <si>
    <t>putative repressor protein</t>
  </si>
  <si>
    <t>CAD0135758.1</t>
  </si>
  <si>
    <t>STHERMO_0111</t>
  </si>
  <si>
    <t>Lantibiotic biosynthesis protein</t>
  </si>
  <si>
    <t>labB</t>
  </si>
  <si>
    <t>CAD0135760.1</t>
  </si>
  <si>
    <t>STHERMO_0112</t>
  </si>
  <si>
    <t>Lanthionine synthetase (Lantibiotic biosynthesis)</t>
  </si>
  <si>
    <t>CAD0135762.1</t>
  </si>
  <si>
    <t>STHERMO_0113</t>
  </si>
  <si>
    <t>putative Bacteriocin exporter</t>
  </si>
  <si>
    <t>labT</t>
  </si>
  <si>
    <t>CAD0135764.1</t>
  </si>
  <si>
    <t>STHERMO_0114</t>
  </si>
  <si>
    <t>CAD0135766.1</t>
  </si>
  <si>
    <t>STHERMO_0115</t>
  </si>
  <si>
    <t>CAD0135768.1</t>
  </si>
  <si>
    <t>STHERMO_0116</t>
  </si>
  <si>
    <t>int</t>
  </si>
  <si>
    <t>CAD0135770.1</t>
  </si>
  <si>
    <t>STHERMO_0117</t>
  </si>
  <si>
    <t>DNA-binding protein</t>
  </si>
  <si>
    <t>CAD0135772.1</t>
  </si>
  <si>
    <t>STHERMO_0118</t>
  </si>
  <si>
    <t>CAD0135774.1</t>
  </si>
  <si>
    <t>STHERMO_0119</t>
  </si>
  <si>
    <t>CAD0135776.1</t>
  </si>
  <si>
    <t>STHERMO_0120</t>
  </si>
  <si>
    <t>CAD0135778.1</t>
  </si>
  <si>
    <t>STHERMO_0121</t>
  </si>
  <si>
    <t>CAD0135780.1</t>
  </si>
  <si>
    <t>STHERMO_0122</t>
  </si>
  <si>
    <t>CAD0135782.1</t>
  </si>
  <si>
    <t>STHERMO_0123</t>
  </si>
  <si>
    <t>Metallophosphatase</t>
  </si>
  <si>
    <t>CAD0135784.1</t>
  </si>
  <si>
    <t>STHERMO_0124</t>
  </si>
  <si>
    <t>ACT domain containing transcriptional regulators, related to gcvR of E.coli</t>
  </si>
  <si>
    <t>CAD0135786.1</t>
  </si>
  <si>
    <t>STHERMO_0125</t>
  </si>
  <si>
    <t>Glycerol-3-phosphate dehydrogenase (NAD(P)+)</t>
  </si>
  <si>
    <t>CAD0135788.1</t>
  </si>
  <si>
    <t>STHERMO_0126</t>
  </si>
  <si>
    <t>CAD0135790.1</t>
  </si>
  <si>
    <t>STHERMO_0127</t>
  </si>
  <si>
    <t>CAD0135792.1</t>
  </si>
  <si>
    <t>STHERMO_0128</t>
  </si>
  <si>
    <t>CAD0135794.1</t>
  </si>
  <si>
    <t>STHERMO_0129</t>
  </si>
  <si>
    <t>putative N-acetyl-muramidase</t>
  </si>
  <si>
    <t>CAD0135796.1</t>
  </si>
  <si>
    <t>STHERMO_0130</t>
  </si>
  <si>
    <t>Heat-inducible transcription repressor HrcA</t>
  </si>
  <si>
    <t>CAD0135798.1</t>
  </si>
  <si>
    <t>STHERMO_0131</t>
  </si>
  <si>
    <t>nucleotide exchange factor for DnaK activity</t>
  </si>
  <si>
    <t>CAD0135800.1</t>
  </si>
  <si>
    <t>STHERMO_0132</t>
  </si>
  <si>
    <t>molecular chaperone, ATP-dependent</t>
  </si>
  <si>
    <t>CAD0135802.1</t>
  </si>
  <si>
    <t>STHERMO_0133</t>
  </si>
  <si>
    <t>co-factor of molecular chaperone</t>
  </si>
  <si>
    <t>CAD0135804.1</t>
  </si>
  <si>
    <t>STHERMO_0134</t>
  </si>
  <si>
    <t>tRNA pseudouridine synthase A</t>
  </si>
  <si>
    <t>CAD0135806.1</t>
  </si>
  <si>
    <t>STHERMO_0135</t>
  </si>
  <si>
    <t>Phosphomethylpyrimidine kinase</t>
  </si>
  <si>
    <t>CAD0135808.1</t>
  </si>
  <si>
    <t>STHERMO_0136</t>
  </si>
  <si>
    <t>CAD0135810.1</t>
  </si>
  <si>
    <t>STHERMO_0137</t>
  </si>
  <si>
    <t>Oligopeptide-binding protein AmiA</t>
  </si>
  <si>
    <t>amiA</t>
  </si>
  <si>
    <t>CAD0135812.1</t>
  </si>
  <si>
    <t>STHERMO_0140</t>
  </si>
  <si>
    <t>CAD0135814.1</t>
  </si>
  <si>
    <t>STHERMO_0141</t>
  </si>
  <si>
    <t>CAD0135816.1</t>
  </si>
  <si>
    <t>STHERMO_0142</t>
  </si>
  <si>
    <t>CAD0135818.1</t>
  </si>
  <si>
    <t>STHERMO_0143</t>
  </si>
  <si>
    <t>Peptidase</t>
  </si>
  <si>
    <t>amd</t>
  </si>
  <si>
    <t>CAD0135820.1</t>
  </si>
  <si>
    <t>STHERMO_0144</t>
  </si>
  <si>
    <t>Cyclopropane-fatty-acyl-phospholipid synthase</t>
  </si>
  <si>
    <t>CAD0135822.1</t>
  </si>
  <si>
    <t>STHERMO_0145</t>
  </si>
  <si>
    <t>CAD0135824.1</t>
  </si>
  <si>
    <t>STHERMO_0146</t>
  </si>
  <si>
    <t>CAD0135826.1</t>
  </si>
  <si>
    <t>STHERMO_0147</t>
  </si>
  <si>
    <t>Competence-specific sigma factor ComX</t>
  </si>
  <si>
    <t>CAD0135828.1</t>
  </si>
  <si>
    <t>STHERMO_0148</t>
  </si>
  <si>
    <t>Uncharacterized MscS family protein YkuT</t>
  </si>
  <si>
    <t>ykuT</t>
  </si>
  <si>
    <t>CAD0135830.1</t>
  </si>
  <si>
    <t>STHERMO_0149</t>
  </si>
  <si>
    <t>Trigger factor</t>
  </si>
  <si>
    <t>CAD0135832.1</t>
  </si>
  <si>
    <t>STHERMO_0150</t>
  </si>
  <si>
    <t>putative DNA-directed RNA polymerase subunit delta</t>
  </si>
  <si>
    <t>CAD0135834.1</t>
  </si>
  <si>
    <t>STHERMO_0151</t>
  </si>
  <si>
    <t>CTP synthetase</t>
  </si>
  <si>
    <t>pyrG</t>
  </si>
  <si>
    <t>CAD0135836.1</t>
  </si>
  <si>
    <t>STHERMO_0152</t>
  </si>
  <si>
    <t>CAD0135838.1</t>
  </si>
  <si>
    <t>STHERMO_0153</t>
  </si>
  <si>
    <t>MutT/nudix family protein</t>
  </si>
  <si>
    <t>CAD0135840.1</t>
  </si>
  <si>
    <t>STHERMO_0154</t>
  </si>
  <si>
    <t>ribosomal protein L11 methyltransferase</t>
  </si>
  <si>
    <t>CAD0135842.1</t>
  </si>
  <si>
    <t>STHERMO_0155</t>
  </si>
  <si>
    <t>methylase of U1498 in 16S rRNA</t>
  </si>
  <si>
    <t>rsmE</t>
  </si>
  <si>
    <t>CAD0135844.1</t>
  </si>
  <si>
    <t>STHERMO_0156</t>
  </si>
  <si>
    <t>5'-nucleotidase</t>
  </si>
  <si>
    <t>CAD0135846.1</t>
  </si>
  <si>
    <t>STHERMO_0157</t>
  </si>
  <si>
    <t>CAD0135854.1</t>
  </si>
  <si>
    <t>STHERMO_0161</t>
  </si>
  <si>
    <t>Putative NrdI-like protein</t>
  </si>
  <si>
    <t>CAD0135856.1</t>
  </si>
  <si>
    <t>STHERMO_0162</t>
  </si>
  <si>
    <t>GTP pyrophosphokinase (RelA/SpoT)</t>
  </si>
  <si>
    <t>rsh</t>
  </si>
  <si>
    <t>CAD0135858.1</t>
  </si>
  <si>
    <t>STHERMO_0163</t>
  </si>
  <si>
    <t>gly-tRNA(Ala) deacylase / D-Tyr-tRNATyr deacylase</t>
  </si>
  <si>
    <t>CAD0135860.1</t>
  </si>
  <si>
    <t>STHERMO_0164</t>
  </si>
  <si>
    <t>CAD0135862.1</t>
  </si>
  <si>
    <t>STHERMO_0165</t>
  </si>
  <si>
    <t>Dextranase precursor</t>
  </si>
  <si>
    <t>CAD0135864.1</t>
  </si>
  <si>
    <t>STHERMO_0166</t>
  </si>
  <si>
    <t>CAD0135866.1</t>
  </si>
  <si>
    <t>STHERMO_0167</t>
  </si>
  <si>
    <t>CAD0135868.1</t>
  </si>
  <si>
    <t>STHERMO_0168</t>
  </si>
  <si>
    <t>threonine dehydratase</t>
  </si>
  <si>
    <t>CAD0135870.1</t>
  </si>
  <si>
    <t>STHERMO_0169</t>
  </si>
  <si>
    <t>Peptide deformylase</t>
  </si>
  <si>
    <t>CAD0135872.1</t>
  </si>
  <si>
    <t>STHERMO_0170</t>
  </si>
  <si>
    <t>Predicted N-ribosylNicotinamide CRP-like regulator</t>
  </si>
  <si>
    <t>CAD0135874.1</t>
  </si>
  <si>
    <t>STHERMO_0171</t>
  </si>
  <si>
    <t>Major facilitator superfamily transporter-permease</t>
  </si>
  <si>
    <t>CAD0135876.1</t>
  </si>
  <si>
    <t>STHERMO_0172</t>
  </si>
  <si>
    <t>ribosomal protein S15 (BS18)</t>
  </si>
  <si>
    <t>CAD0135878.1</t>
  </si>
  <si>
    <t>STHERMO_0173</t>
  </si>
  <si>
    <t>Glycopeptide antibiotics resistance protein</t>
  </si>
  <si>
    <t>CAD0135880.1</t>
  </si>
  <si>
    <t>STHERMO_0174</t>
  </si>
  <si>
    <t>Lpxtg-motif cell wall anchor domain-containing protein</t>
  </si>
  <si>
    <t>CAD0135882.1</t>
  </si>
  <si>
    <t>STHERMO_0175</t>
  </si>
  <si>
    <t>CAD0135884.1</t>
  </si>
  <si>
    <t>STHERMO_0176</t>
  </si>
  <si>
    <t>high affinity arginine ABC transporter (ATP-binding protein)</t>
  </si>
  <si>
    <t>artR</t>
  </si>
  <si>
    <t>CAD0135886.1</t>
  </si>
  <si>
    <t>STHERMO_0177</t>
  </si>
  <si>
    <t>Amino acid ABC transporter, glutamine-binding protein/permease protein</t>
  </si>
  <si>
    <t>CAD0135888.1</t>
  </si>
  <si>
    <t>STHERMO_0178</t>
  </si>
  <si>
    <t>Undecaprenyl-diphosphatase</t>
  </si>
  <si>
    <t>uppP</t>
  </si>
  <si>
    <t>CAD0135890.1</t>
  </si>
  <si>
    <t>STHERMO_0179</t>
  </si>
  <si>
    <t>Adapter protein MecA</t>
  </si>
  <si>
    <t>CAD0135892.1</t>
  </si>
  <si>
    <t>STHERMO_0180</t>
  </si>
  <si>
    <t>Undecaprenyl-phosphate N-acetylglucosaminyl 1-phosphate transferase</t>
  </si>
  <si>
    <t>CAD0135894.1</t>
  </si>
  <si>
    <t>STHERMO_0181</t>
  </si>
  <si>
    <t>sulfur mobilizing ABC protein, ATPase</t>
  </si>
  <si>
    <t>CAD0135896.1</t>
  </si>
  <si>
    <t>STHERMO_0182</t>
  </si>
  <si>
    <t>CAD0135898.1</t>
  </si>
  <si>
    <t>STHERMO_0183</t>
  </si>
  <si>
    <t>sufS</t>
  </si>
  <si>
    <t>CAD0135900.1</t>
  </si>
  <si>
    <t>STHERMO_0184</t>
  </si>
  <si>
    <t>iron-sulfur cluster assembly sulfur-transfer protein [Zn(2+)-dependent]</t>
  </si>
  <si>
    <t>CAD0135902.1</t>
  </si>
  <si>
    <t>STHERMO_0185</t>
  </si>
  <si>
    <t>FeS cluster formation scaffold protein</t>
  </si>
  <si>
    <t>CAD0135904.1</t>
  </si>
  <si>
    <t>STHERMO_0186</t>
  </si>
  <si>
    <t>dipeptide/oligopeptide ABC transporter substrate binding protein, truncated</t>
  </si>
  <si>
    <t>CAD0135906.1</t>
  </si>
  <si>
    <t>STHERMO_0187</t>
  </si>
  <si>
    <t>CAD0135908.1</t>
  </si>
  <si>
    <t>STHERMO_0188</t>
  </si>
  <si>
    <t>Oligopeptide transport system permease protein oppB (TC 3.A.1.5.1)</t>
  </si>
  <si>
    <t>CAD0135910.1</t>
  </si>
  <si>
    <t>STHERMO_0189</t>
  </si>
  <si>
    <t>CAD0135912.1</t>
  </si>
  <si>
    <t>STHERMO_0190</t>
  </si>
  <si>
    <t>Oligopeptide transport system permease protein oppC (TC 3.A.1.5.1)</t>
  </si>
  <si>
    <t>CAD0135914.1</t>
  </si>
  <si>
    <t>STHERMO_0191</t>
  </si>
  <si>
    <t>CAD0135916.1</t>
  </si>
  <si>
    <t>STHERMO_0192</t>
  </si>
  <si>
    <t>Oligopeptide transport ATP-binding protein oppD (TC 3.A.1.5.1)</t>
  </si>
  <si>
    <t>CAD0135918.1</t>
  </si>
  <si>
    <t>STHERMO_0193</t>
  </si>
  <si>
    <t>CAD0135920.1</t>
  </si>
  <si>
    <t>STHERMO_0194</t>
  </si>
  <si>
    <t>CAD0135922.1</t>
  </si>
  <si>
    <t>STHERMO_0195</t>
  </si>
  <si>
    <t>CAD0135925.1</t>
  </si>
  <si>
    <t>STHERMO_0196</t>
  </si>
  <si>
    <t>oligopeptide ABC transporter (ATP-binding protein)</t>
  </si>
  <si>
    <t>oppF</t>
  </si>
  <si>
    <t>CAD0135927.1</t>
  </si>
  <si>
    <t>STHERMO_0197</t>
  </si>
  <si>
    <t>CAD0135929.1</t>
  </si>
  <si>
    <t>STHERMO_0198</t>
  </si>
  <si>
    <t>CAD0135931.1</t>
  </si>
  <si>
    <t>STHERMO_0199</t>
  </si>
  <si>
    <t>33 kDa chaperonin</t>
  </si>
  <si>
    <t>CAD0135933.1</t>
  </si>
  <si>
    <t>STHERMO_0200</t>
  </si>
  <si>
    <t>tRNA-dihydrouridine synthase B</t>
  </si>
  <si>
    <t>CAD0135935.1</t>
  </si>
  <si>
    <t>STHERMO_0201</t>
  </si>
  <si>
    <t>Positive transcriptional regulator, MutR family</t>
  </si>
  <si>
    <t>CAD0135937.1</t>
  </si>
  <si>
    <t>STHERMO_0202</t>
  </si>
  <si>
    <t>CAD0135939.1</t>
  </si>
  <si>
    <t>STHERMO_0203</t>
  </si>
  <si>
    <t>Macrolide-efflux protein</t>
  </si>
  <si>
    <t>CAD0135941.1</t>
  </si>
  <si>
    <t>STHERMO_0204</t>
  </si>
  <si>
    <t>Transcriptional regulator AdcR</t>
  </si>
  <si>
    <t>adcR</t>
  </si>
  <si>
    <t>CAD0135943.1</t>
  </si>
  <si>
    <t>STHERMO_0205</t>
  </si>
  <si>
    <t>Zn(II) transporter (ATP-binding protein)</t>
  </si>
  <si>
    <t>znuC</t>
  </si>
  <si>
    <t>CAD0135945.1</t>
  </si>
  <si>
    <t>STHERMO_0206</t>
  </si>
  <si>
    <t>high affinity Zn(II) ABC transporter (permease)</t>
  </si>
  <si>
    <t>znuB</t>
  </si>
  <si>
    <t>CAD0135947.1</t>
  </si>
  <si>
    <t>STHERMO_0207</t>
  </si>
  <si>
    <t>Malate transport protein</t>
  </si>
  <si>
    <t>CAD0135949.1</t>
  </si>
  <si>
    <t>STHERMO_0208</t>
  </si>
  <si>
    <t>PTS system, glucose-specific IIBC component</t>
  </si>
  <si>
    <t>CAD0135951.1</t>
  </si>
  <si>
    <t>STHERMO_0209</t>
  </si>
  <si>
    <t>PTS system, maltose and glucose-specific IIC component /</t>
  </si>
  <si>
    <t>CAD0135955.1</t>
  </si>
  <si>
    <t>STHERMO_0211</t>
  </si>
  <si>
    <t>Maltose 6'-phosphate phosphatase</t>
  </si>
  <si>
    <t>mapP</t>
  </si>
  <si>
    <t>CAD0135959.1</t>
  </si>
  <si>
    <t>STHERMO_0213</t>
  </si>
  <si>
    <t>pgi</t>
  </si>
  <si>
    <t>CAD0135961.1</t>
  </si>
  <si>
    <t>STHERMO_0214</t>
  </si>
  <si>
    <t>putative DNA integrase or transcriptional regulator</t>
  </si>
  <si>
    <t>yeeI</t>
  </si>
  <si>
    <t>CAD0135963.1</t>
  </si>
  <si>
    <t>STHERMO_0215</t>
  </si>
  <si>
    <t>Preprotein translocase subunit YajC (TC 3.A.5.1.1)</t>
  </si>
  <si>
    <t>CAD0135965.1</t>
  </si>
  <si>
    <t>STHERMO_0216</t>
  </si>
  <si>
    <t>undecaprenyl pyrophosphate synthase</t>
  </si>
  <si>
    <t>uppS</t>
  </si>
  <si>
    <t>CAD0135967.1</t>
  </si>
  <si>
    <t>STHERMO_0217</t>
  </si>
  <si>
    <t>phosphatidate cytidylyltransferase (CDP-diglyceride synthase)</t>
  </si>
  <si>
    <t>cdsA</t>
  </si>
  <si>
    <t>CAD0135969.1</t>
  </si>
  <si>
    <t>STHERMO_0218</t>
  </si>
  <si>
    <t>Putative zinc metalloprotease spyM18_2031</t>
  </si>
  <si>
    <t>CAD0135971.1</t>
  </si>
  <si>
    <t>STHERMO_0219</t>
  </si>
  <si>
    <t>prolyl-tRNA synthetase</t>
  </si>
  <si>
    <t>proS</t>
  </si>
  <si>
    <t>CAD0135973.1</t>
  </si>
  <si>
    <t>STHERMO_0220</t>
  </si>
  <si>
    <t>ABC transporter permease protein</t>
  </si>
  <si>
    <t>CAD0135975.1</t>
  </si>
  <si>
    <t>STHERMO_0221</t>
  </si>
  <si>
    <t>CAD0135977.1</t>
  </si>
  <si>
    <t>STHERMO_0222</t>
  </si>
  <si>
    <t>chaperonin small subunit</t>
  </si>
  <si>
    <t>CAD0135979.1</t>
  </si>
  <si>
    <t>STHERMO_0223</t>
  </si>
  <si>
    <t>chaperonin large subunit</t>
  </si>
  <si>
    <t>groEL</t>
  </si>
  <si>
    <t>CAD0135981.1</t>
  </si>
  <si>
    <t>STHERMO_0224</t>
  </si>
  <si>
    <t>CAD0135983.1</t>
  </si>
  <si>
    <t>STHERMO_0225</t>
  </si>
  <si>
    <t>CAD0135985.1</t>
  </si>
  <si>
    <t>STHERMO_0226</t>
  </si>
  <si>
    <t>CAD0135987.1</t>
  </si>
  <si>
    <t>STHERMO_0227</t>
  </si>
  <si>
    <t>CAD0135989.1</t>
  </si>
  <si>
    <t>STHERMO_0228</t>
  </si>
  <si>
    <t>CAD0135991.1</t>
  </si>
  <si>
    <t>STHERMO_0229</t>
  </si>
  <si>
    <t>CAD0135993.1</t>
  </si>
  <si>
    <t>STHERMO_0230</t>
  </si>
  <si>
    <t>CAD0135995.1</t>
  </si>
  <si>
    <t>STHERMO_0231</t>
  </si>
  <si>
    <t>CAD0135997.1</t>
  </si>
  <si>
    <t>STHERMO_0232</t>
  </si>
  <si>
    <t>Pseudouridine synthase</t>
  </si>
  <si>
    <t>CAD0135999.1</t>
  </si>
  <si>
    <t>STHERMO_0233</t>
  </si>
  <si>
    <t>Multimodular transpeptidase-transglycosylase</t>
  </si>
  <si>
    <t>CAD0136001.1</t>
  </si>
  <si>
    <t>STHERMO_0234</t>
  </si>
  <si>
    <t>Preprotein translocase subunit SecE (TC 3.A.5.1.1)</t>
  </si>
  <si>
    <t>CAD0136003.1</t>
  </si>
  <si>
    <t>STHERMO_0235</t>
  </si>
  <si>
    <t>RNA polymerase elongation pause factor</t>
  </si>
  <si>
    <t>CAD0136005.1</t>
  </si>
  <si>
    <t>STHERMO_0236</t>
  </si>
  <si>
    <t>Phosphatidylglycerophosphatase B</t>
  </si>
  <si>
    <t>CAD0136007.1</t>
  </si>
  <si>
    <t>STHERMO_0237</t>
  </si>
  <si>
    <t>Hydrolase, haloacid dehalogenase-like family</t>
  </si>
  <si>
    <t>CAD0136009.1</t>
  </si>
  <si>
    <t>STHERMO_0238</t>
  </si>
  <si>
    <t>CAD0136011.1</t>
  </si>
  <si>
    <t>STHERMO_0239</t>
  </si>
  <si>
    <t>CAD0136013.1</t>
  </si>
  <si>
    <t>STHERMO_0240</t>
  </si>
  <si>
    <t>Transcriptional repressor</t>
  </si>
  <si>
    <t>CAD0136015.1</t>
  </si>
  <si>
    <t>STHERMO_0241</t>
  </si>
  <si>
    <t>leucyl-tRNA synthetase</t>
  </si>
  <si>
    <t>CAD0136017.1</t>
  </si>
  <si>
    <t>STHERMO_0242</t>
  </si>
  <si>
    <t>CAD0136019.1</t>
  </si>
  <si>
    <t>STHERMO_0243</t>
  </si>
  <si>
    <t>CAD0136021.1</t>
  </si>
  <si>
    <t>STHERMO_0244</t>
  </si>
  <si>
    <t>acyl-CoA thioesterase 1, truncated</t>
  </si>
  <si>
    <t>CAD0136023.1</t>
  </si>
  <si>
    <t>STHERMO_0245</t>
  </si>
  <si>
    <t>Acyl-CoA thioesterase 1</t>
  </si>
  <si>
    <t>CAD0136025.1</t>
  </si>
  <si>
    <t>STHERMO_0246</t>
  </si>
  <si>
    <t>pncB</t>
  </si>
  <si>
    <t>CAD0136027.1</t>
  </si>
  <si>
    <t>STHERMO_0247</t>
  </si>
  <si>
    <t>ammonium-dependent NAD+ synthetase</t>
  </si>
  <si>
    <t>CAD0136029.1</t>
  </si>
  <si>
    <t>STHERMO_0248</t>
  </si>
  <si>
    <t>Transporter</t>
  </si>
  <si>
    <t>CAD0136031.1</t>
  </si>
  <si>
    <t>STHERMO_0249</t>
  </si>
  <si>
    <t>Aminopeptidase C</t>
  </si>
  <si>
    <t>CAD0136033.1</t>
  </si>
  <si>
    <t>STHERMO_0250</t>
  </si>
  <si>
    <t>Penicillin-insensitive transglycosylase / Penicillin-sensitive transpeptidase</t>
  </si>
  <si>
    <t>ponA</t>
  </si>
  <si>
    <t>CAD0136035.1</t>
  </si>
  <si>
    <t>STHERMO_0251</t>
  </si>
  <si>
    <t>Holliday junction resolvase</t>
  </si>
  <si>
    <t>CAD0136037.1</t>
  </si>
  <si>
    <t>STHERMO_0252</t>
  </si>
  <si>
    <t>CAD0136039.1</t>
  </si>
  <si>
    <t>STHERMO_0253</t>
  </si>
  <si>
    <t>cell cycle regulator (cytosolic adaptor for multiple cell wall enzymes)</t>
  </si>
  <si>
    <t>CAD0136041.1</t>
  </si>
  <si>
    <t>STHERMO_0254</t>
  </si>
  <si>
    <t>m(7)G2069 methylase of 23S rRNA</t>
  </si>
  <si>
    <t>rlmKB</t>
  </si>
  <si>
    <t>CAD0136043.1</t>
  </si>
  <si>
    <t>STHERMO_0255</t>
  </si>
  <si>
    <t>Mid-cell-anchored protein Z</t>
  </si>
  <si>
    <t>mapZ</t>
  </si>
  <si>
    <t>CAD0136045.1</t>
  </si>
  <si>
    <t>STHERMO_0256</t>
  </si>
  <si>
    <t>SWF/SNF family helicase</t>
  </si>
  <si>
    <t>CAD0136047.1</t>
  </si>
  <si>
    <t>STHERMO_0257</t>
  </si>
  <si>
    <t>CAD0136049.1</t>
  </si>
  <si>
    <t>STHERMO_0258</t>
  </si>
  <si>
    <t>UDP-N-acetyl muramate-alanine ligase</t>
  </si>
  <si>
    <t>CAD0136051.1</t>
  </si>
  <si>
    <t>STHERMO_0259</t>
  </si>
  <si>
    <t>Acetyltransferase, GNAT family</t>
  </si>
  <si>
    <t>CAD0136053.1</t>
  </si>
  <si>
    <t>STHERMO_0260</t>
  </si>
  <si>
    <t>Endolytic murein transglycosylase</t>
  </si>
  <si>
    <t>pabC</t>
  </si>
  <si>
    <t>CAD0136055.1</t>
  </si>
  <si>
    <t>STHERMO_0261</t>
  </si>
  <si>
    <t>transcription elongation factor resolving backtracking / stalling</t>
  </si>
  <si>
    <t>CAD0136057.1</t>
  </si>
  <si>
    <t>STHERMO_0262</t>
  </si>
  <si>
    <t>CAD0136059.1</t>
  </si>
  <si>
    <t>STHERMO_0263</t>
  </si>
  <si>
    <t>CAD0136061.1</t>
  </si>
  <si>
    <t>STHERMO_0264</t>
  </si>
  <si>
    <t>Membrane protein insertase YidC 2</t>
  </si>
  <si>
    <t>CAD0136063.1</t>
  </si>
  <si>
    <t>STHERMO_0265</t>
  </si>
  <si>
    <t>Acylphosphatase</t>
  </si>
  <si>
    <t>acyP</t>
  </si>
  <si>
    <t>CAD0136065.1</t>
  </si>
  <si>
    <t>STHERMO_0266</t>
  </si>
  <si>
    <t>Uncharacterized tRNA/rRNA methyltransferase YsgA</t>
  </si>
  <si>
    <t>ysgA</t>
  </si>
  <si>
    <t>CAD0136067.1</t>
  </si>
  <si>
    <t>STHERMO_0267</t>
  </si>
  <si>
    <t>HD family hydrolase, diverged</t>
  </si>
  <si>
    <t>CAD0136069.1</t>
  </si>
  <si>
    <t>STHERMO_0268</t>
  </si>
  <si>
    <t>CAD0136071.1</t>
  </si>
  <si>
    <t>STHERMO_0269</t>
  </si>
  <si>
    <t>CAD0136073.1</t>
  </si>
  <si>
    <t>STHERMO_0270</t>
  </si>
  <si>
    <t>CAD0136075.1</t>
  </si>
  <si>
    <t>STHERMO_0271</t>
  </si>
  <si>
    <t>Diaminopimelate decarboxylase</t>
  </si>
  <si>
    <t>CAD0136077.1</t>
  </si>
  <si>
    <t>STHERMO_0272</t>
  </si>
  <si>
    <t>Transcriptional regulator, TetR/AcrR family</t>
  </si>
  <si>
    <t>CAD0136079.1</t>
  </si>
  <si>
    <t>STHERMO_0273</t>
  </si>
  <si>
    <t>CAD0136081.1</t>
  </si>
  <si>
    <t>STHERMO_0274</t>
  </si>
  <si>
    <t>rcmE</t>
  </si>
  <si>
    <t>CAD0136083.1</t>
  </si>
  <si>
    <t>STHERMO_0275</t>
  </si>
  <si>
    <t>dITP/XTP pyrophosphatase</t>
  </si>
  <si>
    <t>CAD0136085.1</t>
  </si>
  <si>
    <t>STHERMO_0276</t>
  </si>
  <si>
    <t>Phosphoesterase</t>
  </si>
  <si>
    <t>CAD0136087.1</t>
  </si>
  <si>
    <t>STHERMO_0277</t>
  </si>
  <si>
    <t>CBS domain containing protein</t>
  </si>
  <si>
    <t>CAD0136089.1</t>
  </si>
  <si>
    <t>STHERMO_0278</t>
  </si>
  <si>
    <t>Tyrosine recombinase XerD-like</t>
  </si>
  <si>
    <t>CAD0136091.1</t>
  </si>
  <si>
    <t>STHERMO_0279</t>
  </si>
  <si>
    <t>Segregation and condensation protein A</t>
  </si>
  <si>
    <t>scpA</t>
  </si>
  <si>
    <t>CAD0136093.1</t>
  </si>
  <si>
    <t>STHERMO_0280</t>
  </si>
  <si>
    <t>chromosome condensation and segregation factor</t>
  </si>
  <si>
    <t>spcB</t>
  </si>
  <si>
    <t>CAD0136095.1</t>
  </si>
  <si>
    <t>STHERMO_0281</t>
  </si>
  <si>
    <t>23S rRNA pseudouridine 2633 (=2605 standard) pseudouridine synthase</t>
  </si>
  <si>
    <t>rluB</t>
  </si>
  <si>
    <t>CAD0136097.1</t>
  </si>
  <si>
    <t>STHERMO_0282</t>
  </si>
  <si>
    <t>membrane protein insertion efficiency factor</t>
  </si>
  <si>
    <t>ytjA</t>
  </si>
  <si>
    <t>CAD0136099.1</t>
  </si>
  <si>
    <t>STHERMO_0283</t>
  </si>
  <si>
    <t>Potassium uptake protein TrkH</t>
  </si>
  <si>
    <t>CAD0136101.1</t>
  </si>
  <si>
    <t>STHERMO_0284</t>
  </si>
  <si>
    <t>Trk system potassium uptake protein trkA</t>
  </si>
  <si>
    <t>CAD0136103.1</t>
  </si>
  <si>
    <t>STHERMO_0285</t>
  </si>
  <si>
    <t>trmL</t>
  </si>
  <si>
    <t>CAD0136105.1</t>
  </si>
  <si>
    <t>STHERMO_0286</t>
  </si>
  <si>
    <t>Riboflavin transporter RibU</t>
  </si>
  <si>
    <t>ribU</t>
  </si>
  <si>
    <t>CAD0136107.1</t>
  </si>
  <si>
    <t>STHERMO_0287</t>
  </si>
  <si>
    <t>Membrane-associated phospholipid phosphatase</t>
  </si>
  <si>
    <t>CAD0136109.1</t>
  </si>
  <si>
    <t>STHERMO_0288</t>
  </si>
  <si>
    <t>Transcriptional regulator</t>
  </si>
  <si>
    <t>CAD0136111.1</t>
  </si>
  <si>
    <t>STHERMO_0289</t>
  </si>
  <si>
    <t>ABC transporter</t>
  </si>
  <si>
    <t>CAD0136113.1</t>
  </si>
  <si>
    <t>STHERMO_0290</t>
  </si>
  <si>
    <t>Competence factor transporting permease/ATP-binding protein ComA</t>
  </si>
  <si>
    <t>CAD0136115.1</t>
  </si>
  <si>
    <t>STHERMO_0291</t>
  </si>
  <si>
    <t>CAD0136117.1</t>
  </si>
  <si>
    <t>STHERMO_0292</t>
  </si>
  <si>
    <t>Transport/processing ATP-binding protein comA</t>
  </si>
  <si>
    <t>CAD0136119.1</t>
  </si>
  <si>
    <t>STHERMO_0293</t>
  </si>
  <si>
    <t>CAD0136121.1</t>
  </si>
  <si>
    <t>STHERMO_0294</t>
  </si>
  <si>
    <t>Membrane protein</t>
  </si>
  <si>
    <t>CAD0136123.1</t>
  </si>
  <si>
    <t>STHERMO_0295</t>
  </si>
  <si>
    <t>membrane protein of unknown function</t>
  </si>
  <si>
    <t>CAD0136125.1</t>
  </si>
  <si>
    <t>STHERMO_0296</t>
  </si>
  <si>
    <t>CAD0136127.1</t>
  </si>
  <si>
    <t>STHERMO_0297</t>
  </si>
  <si>
    <t>Urease cluster proteind</t>
  </si>
  <si>
    <t>CAD0136129.1</t>
  </si>
  <si>
    <t>STHERMO_0298</t>
  </si>
  <si>
    <t>Acid-activated urea channel</t>
  </si>
  <si>
    <t>ureI</t>
  </si>
  <si>
    <t>CAD0136131.1</t>
  </si>
  <si>
    <t>STHERMO_0299</t>
  </si>
  <si>
    <t>urease (gamma subunit)</t>
  </si>
  <si>
    <t>ureA</t>
  </si>
  <si>
    <t>CAD0136133.1</t>
  </si>
  <si>
    <t>STHERMO_0300</t>
  </si>
  <si>
    <t>urease (beta subunit)</t>
  </si>
  <si>
    <t>ureB</t>
  </si>
  <si>
    <t>CAD0136135.1</t>
  </si>
  <si>
    <t>STHERMO_0301</t>
  </si>
  <si>
    <t>urease (alpha subunit)</t>
  </si>
  <si>
    <t>CAD0136137.1</t>
  </si>
  <si>
    <t>STHERMO_0302</t>
  </si>
  <si>
    <t>Urease accessory protein UreE</t>
  </si>
  <si>
    <t>CAD0136139.1</t>
  </si>
  <si>
    <t>STHERMO_0303</t>
  </si>
  <si>
    <t>Urease accessory protein UreF</t>
  </si>
  <si>
    <t>ureF</t>
  </si>
  <si>
    <t>CAD0136141.1</t>
  </si>
  <si>
    <t>STHERMO_0304</t>
  </si>
  <si>
    <t>Urease accessory protein UreG</t>
  </si>
  <si>
    <t>CAD0136143.1</t>
  </si>
  <si>
    <t>STHERMO_0305</t>
  </si>
  <si>
    <t>Urease accessory protein UreD</t>
  </si>
  <si>
    <t>ureD</t>
  </si>
  <si>
    <t>CAD0136145.1</t>
  </si>
  <si>
    <t>STHERMO_0306</t>
  </si>
  <si>
    <t>putative fused nickel transport protein LarMN</t>
  </si>
  <si>
    <t>larMN</t>
  </si>
  <si>
    <t>CAD0136147.1</t>
  </si>
  <si>
    <t>STHERMO_0307</t>
  </si>
  <si>
    <t>Transmembrane component NikQ of energizing module of nickel ECF transporter</t>
  </si>
  <si>
    <t>CAD0136149.1</t>
  </si>
  <si>
    <t>STHERMO_0308</t>
  </si>
  <si>
    <t>Putative ABC transporter ATP-binding protein CA_C0773</t>
  </si>
  <si>
    <t>CAD0136151.1</t>
  </si>
  <si>
    <t>STHERMO_0309</t>
  </si>
  <si>
    <t>CAD0136153.1</t>
  </si>
  <si>
    <t>STHERMO_0310</t>
  </si>
  <si>
    <t>CAD0136155.1</t>
  </si>
  <si>
    <t>STHERMO_0311</t>
  </si>
  <si>
    <t>CAD0136157.1</t>
  </si>
  <si>
    <t>STHERMO_0312</t>
  </si>
  <si>
    <t>Peptide synthetase</t>
  </si>
  <si>
    <t>CAD0136159.1</t>
  </si>
  <si>
    <t>STHERMO_0313</t>
  </si>
  <si>
    <t>Adenosylhomocysteinase</t>
  </si>
  <si>
    <t>CAD0136161.1</t>
  </si>
  <si>
    <t>STHERMO_0314</t>
  </si>
  <si>
    <t>Drug:H+ antiporter-3 (DHA3) family protein</t>
  </si>
  <si>
    <t>CAD0136163.1</t>
  </si>
  <si>
    <t>STHERMO_0315</t>
  </si>
  <si>
    <t>CAD0136165.1</t>
  </si>
  <si>
    <t>STHERMO_0316</t>
  </si>
  <si>
    <t>CAD0136167.1</t>
  </si>
  <si>
    <t>STHERMO_0317</t>
  </si>
  <si>
    <t>Polar amino acid ABC uptake transporter substrate binding protein</t>
  </si>
  <si>
    <t>CAD0136169.1</t>
  </si>
  <si>
    <t>STHERMO_0318</t>
  </si>
  <si>
    <t>Lipoprotein</t>
  </si>
  <si>
    <t>CAD0136171.1</t>
  </si>
  <si>
    <t>STHERMO_0319</t>
  </si>
  <si>
    <t>N-acyl-L-amino acid amidohydrolase</t>
  </si>
  <si>
    <t>CAD0136173.1</t>
  </si>
  <si>
    <t>STHERMO_0320</t>
  </si>
  <si>
    <t>CAD0136175.1</t>
  </si>
  <si>
    <t>STHERMO_0321</t>
  </si>
  <si>
    <t>CAD0136177.1</t>
  </si>
  <si>
    <t>STHERMO_0322</t>
  </si>
  <si>
    <t>methionine ABC transporter (ATP-binding protein)</t>
  </si>
  <si>
    <t>metN</t>
  </si>
  <si>
    <t>CAD0136179.1</t>
  </si>
  <si>
    <t>STHERMO_0323</t>
  </si>
  <si>
    <t>methionine ABC transporter, permease component</t>
  </si>
  <si>
    <t>metP</t>
  </si>
  <si>
    <t>CAD0136181.1</t>
  </si>
  <si>
    <t>STHERMO_0324</t>
  </si>
  <si>
    <t>sodium:serine/threonine symporter</t>
  </si>
  <si>
    <t>CAD0136183.1</t>
  </si>
  <si>
    <t>STHERMO_0325</t>
  </si>
  <si>
    <t>CAD0136185.1</t>
  </si>
  <si>
    <t>STHERMO_0326</t>
  </si>
  <si>
    <t>CAD0136187.1</t>
  </si>
  <si>
    <t>STHERMO_0327</t>
  </si>
  <si>
    <t>CAD0136189.1</t>
  </si>
  <si>
    <t>STHERMO_0328</t>
  </si>
  <si>
    <t>CAD0136191.1</t>
  </si>
  <si>
    <t>STHERMO_0329</t>
  </si>
  <si>
    <t>CAD0136193.1</t>
  </si>
  <si>
    <t>STHERMO_0330</t>
  </si>
  <si>
    <t>Putative ABC transporter ATP-binding protein SMU_1934c</t>
  </si>
  <si>
    <t>sdcBA</t>
  </si>
  <si>
    <t>CAD0136195.1</t>
  </si>
  <si>
    <t>STHERMO_0331</t>
  </si>
  <si>
    <t>CAD0136197.1</t>
  </si>
  <si>
    <t>STHERMO_0332</t>
  </si>
  <si>
    <t>CAD0136199.1</t>
  </si>
  <si>
    <t>STHERMO_0333</t>
  </si>
  <si>
    <t>CAD0136201.1</t>
  </si>
  <si>
    <t>STHERMO_0334</t>
  </si>
  <si>
    <t>tktA</t>
  </si>
  <si>
    <t>CAD0136203.1</t>
  </si>
  <si>
    <t>STHERMO_0335</t>
  </si>
  <si>
    <t>Potassium uptake protein, integral membrane component, KtrA</t>
  </si>
  <si>
    <t>CAD0136205.1</t>
  </si>
  <si>
    <t>STHERMO_0336</t>
  </si>
  <si>
    <t>Potassium uptake protein, integral membrane component, KtrB</t>
  </si>
  <si>
    <t>CAD0136207.1</t>
  </si>
  <si>
    <t>STHERMO_0337</t>
  </si>
  <si>
    <t>7-methylguanosine methyltransferase (16S rRNA, nucleotide G527)</t>
  </si>
  <si>
    <t>CAD0136209.1</t>
  </si>
  <si>
    <t>STHERMO_0338</t>
  </si>
  <si>
    <t>CAD0136211.1</t>
  </si>
  <si>
    <t>STHERMO_0339</t>
  </si>
  <si>
    <t>two-component response regulator [YkoH]</t>
  </si>
  <si>
    <t>ykoG</t>
  </si>
  <si>
    <t>CAD0136213.1</t>
  </si>
  <si>
    <t>STHERMO_0340</t>
  </si>
  <si>
    <t>Transmembrane histidine kinase CsrS</t>
  </si>
  <si>
    <t>CAD0136215.1</t>
  </si>
  <si>
    <t>STHERMO_0341</t>
  </si>
  <si>
    <t>negative regulator of transcription of ribonucleotide reductase nrd genes and operons</t>
  </si>
  <si>
    <t>CAD0136217.1</t>
  </si>
  <si>
    <t>STHERMO_0342</t>
  </si>
  <si>
    <t>Helicase loader DnaB</t>
  </si>
  <si>
    <t>CAD0136219.1</t>
  </si>
  <si>
    <t>STHERMO_0343</t>
  </si>
  <si>
    <t>Helicase loader DnaI</t>
  </si>
  <si>
    <t>CAD0136221.1</t>
  </si>
  <si>
    <t>STHERMO_0344</t>
  </si>
  <si>
    <t>GTPase essential for ribosome 50S subunit assembly (maturation of the 50S subunit central protoberance)</t>
  </si>
  <si>
    <t>CAD0136223.1</t>
  </si>
  <si>
    <t>STHERMO_0345</t>
  </si>
  <si>
    <t>ABC transporter, ATP-binding/permease protein</t>
  </si>
  <si>
    <t>CAD0136225.1</t>
  </si>
  <si>
    <t>STHERMO_0346</t>
  </si>
  <si>
    <t>CAD0136227.1</t>
  </si>
  <si>
    <t>STHERMO_0347</t>
  </si>
  <si>
    <t>tra</t>
  </si>
  <si>
    <t>CAD0136229.1</t>
  </si>
  <si>
    <t>STHERMO_0348</t>
  </si>
  <si>
    <t>CAD0136231.1</t>
  </si>
  <si>
    <t>STHERMO_0349</t>
  </si>
  <si>
    <t>seryl-tRNA synthetase</t>
  </si>
  <si>
    <t>CAD0136233.1</t>
  </si>
  <si>
    <t>STHERMO_0350</t>
  </si>
  <si>
    <t>Putative regulator of the mannose operon, ManO</t>
  </si>
  <si>
    <t>CAD0136235.1</t>
  </si>
  <si>
    <t>STHERMO_0351</t>
  </si>
  <si>
    <t>phosphotransferase system (PTS) fructose-specific enzyme IID component</t>
  </si>
  <si>
    <t>levG</t>
  </si>
  <si>
    <t>CAD0136237.1</t>
  </si>
  <si>
    <t>STHERMO_0352</t>
  </si>
  <si>
    <t>phosphotransferase system (PTS) fructose-specific enzyme IIC component</t>
  </si>
  <si>
    <t>levF</t>
  </si>
  <si>
    <t>CAD0136239.1</t>
  </si>
  <si>
    <t>STHERMO_0353</t>
  </si>
  <si>
    <t>Mannose-specific phosphotransferase enzyme IIA component / Mannose-specific phosphotransferase enzyme IIB component</t>
  </si>
  <si>
    <t>manX</t>
  </si>
  <si>
    <t>CAD0136241.1</t>
  </si>
  <si>
    <t>STHERMO_0354</t>
  </si>
  <si>
    <t>CAD0136243.1</t>
  </si>
  <si>
    <t>STHERMO_0355</t>
  </si>
  <si>
    <t>Metal-dependent hydrolase</t>
  </si>
  <si>
    <t>CAD0136245.1</t>
  </si>
  <si>
    <t>STHERMO_0356</t>
  </si>
  <si>
    <t>Hydrolase (HAD superfamily)</t>
  </si>
  <si>
    <t>CAD0136247.1</t>
  </si>
  <si>
    <t>STHERMO_0357</t>
  </si>
  <si>
    <t>Guanine-hypoxanthine permease</t>
  </si>
  <si>
    <t>CAD0136249.1</t>
  </si>
  <si>
    <t>STHERMO_0358</t>
  </si>
  <si>
    <t>tRNA threonylcarbamoyladenosine biosynthesis protein TsaE</t>
  </si>
  <si>
    <t>CAD0136251.1</t>
  </si>
  <si>
    <t>STHERMO_0359</t>
  </si>
  <si>
    <t>Acetyltransferase</t>
  </si>
  <si>
    <t>CAD0136253.1</t>
  </si>
  <si>
    <t>STHERMO_0360</t>
  </si>
  <si>
    <t>Biofilm regulatory protein A</t>
  </si>
  <si>
    <t>CAD0136255.1</t>
  </si>
  <si>
    <t>STHERMO_0361</t>
  </si>
  <si>
    <t>ribosome maturation factor</t>
  </si>
  <si>
    <t>CAD0136257.1</t>
  </si>
  <si>
    <t>STHERMO_0362</t>
  </si>
  <si>
    <t>transcription translation coupling factor involved in Rho-dependent transcription termination</t>
  </si>
  <si>
    <t>CAD0136259.1</t>
  </si>
  <si>
    <t>STHERMO_0363</t>
  </si>
  <si>
    <t>molecular ruler co-factor for RNA; new fold</t>
  </si>
  <si>
    <t>rulR</t>
  </si>
  <si>
    <t>CAD0136261.1</t>
  </si>
  <si>
    <t>STHERMO_0364</t>
  </si>
  <si>
    <t>K-turn RNA binding protein</t>
  </si>
  <si>
    <t>rulQ</t>
  </si>
  <si>
    <t>CAD0136263.1</t>
  </si>
  <si>
    <t>STHERMO_0365</t>
  </si>
  <si>
    <t>CAD0136265.1</t>
  </si>
  <si>
    <t>STHERMO_0366</t>
  </si>
  <si>
    <t>Ribosome-binding factor A</t>
  </si>
  <si>
    <t>CAD0136267.1</t>
  </si>
  <si>
    <t>STHERMO_0367</t>
  </si>
  <si>
    <t>CAD0136273.1</t>
  </si>
  <si>
    <t>STHERMO_0370</t>
  </si>
  <si>
    <t>CAD0136275.1</t>
  </si>
  <si>
    <t>STHERMO_0371</t>
  </si>
  <si>
    <t>putative Peptidoglycan branched peptide synthesis protein, alanine adding enzyme</t>
  </si>
  <si>
    <t>murO</t>
  </si>
  <si>
    <t>CAD0136277.1</t>
  </si>
  <si>
    <t>STHERMO_0372</t>
  </si>
  <si>
    <t>murE</t>
  </si>
  <si>
    <t>CAD0136279.1</t>
  </si>
  <si>
    <t>STHERMO_0373</t>
  </si>
  <si>
    <t>Membrane protein involved in the export of O-antigen, teichoic acid lipoteichoic acids</t>
  </si>
  <si>
    <t>CAD0136281.1</t>
  </si>
  <si>
    <t>STHERMO_0374</t>
  </si>
  <si>
    <t>Cation-transporting ATPase, E1-E2 family</t>
  </si>
  <si>
    <t>CAD0136283.1</t>
  </si>
  <si>
    <t>STHERMO_0375</t>
  </si>
  <si>
    <t>cystathionine gamma-synthase and O-acetylhomoserine thiolyase</t>
  </si>
  <si>
    <t>metI</t>
  </si>
  <si>
    <t>CAD0136285.1</t>
  </si>
  <si>
    <t>STHERMO_0376</t>
  </si>
  <si>
    <t>Aspartate aminotransferase</t>
  </si>
  <si>
    <t>CAD0136287.1</t>
  </si>
  <si>
    <t>STHERMO_0377</t>
  </si>
  <si>
    <t>Levansucrase</t>
  </si>
  <si>
    <t>CAD0136289.1</t>
  </si>
  <si>
    <t>STHERMO_0378</t>
  </si>
  <si>
    <t>CAD0136291.1</t>
  </si>
  <si>
    <t>STHERMO_0379</t>
  </si>
  <si>
    <t>CAD0136293.1</t>
  </si>
  <si>
    <t>STHERMO_0380</t>
  </si>
  <si>
    <t>ATP-dependent Clp protease proteolytic subunit; Maxwell's demon</t>
  </si>
  <si>
    <t>clpP</t>
  </si>
  <si>
    <t>CAD0136295.1</t>
  </si>
  <si>
    <t>STHERMO_0381</t>
  </si>
  <si>
    <t>CAD0136297.1</t>
  </si>
  <si>
    <t>STHERMO_0382</t>
  </si>
  <si>
    <t>CAD0136299.1</t>
  </si>
  <si>
    <t>STHERMO_0383</t>
  </si>
  <si>
    <t>Branched-chain amino acid ABC transporter, amino acid-binding protein (TC 3.A.1.4.1)</t>
  </si>
  <si>
    <t>CAD0136301.1</t>
  </si>
  <si>
    <t>STHERMO_0384</t>
  </si>
  <si>
    <t>leucine/isoleucine/valine transporter subunit; membrane component of ABC superfamily</t>
  </si>
  <si>
    <t>livH</t>
  </si>
  <si>
    <t>CAD0136303.1</t>
  </si>
  <si>
    <t>STHERMO_0385</t>
  </si>
  <si>
    <t>Branched-chain amino acid transport system permease protein livM (TC 3.A.1.4.1)</t>
  </si>
  <si>
    <t>CAD0136305.1</t>
  </si>
  <si>
    <t>STHERMO_0386</t>
  </si>
  <si>
    <t>leucine/isoleucine/valine transporter subunit; ATP-binding component of ABC superfamily</t>
  </si>
  <si>
    <t>livG</t>
  </si>
  <si>
    <t>CAD0136307.1</t>
  </si>
  <si>
    <t>STHERMO_0387</t>
  </si>
  <si>
    <t>livF</t>
  </si>
  <si>
    <t>CAD0136309.1</t>
  </si>
  <si>
    <t>STHERMO_0388</t>
  </si>
  <si>
    <t>Acetoin utilization acuB protein</t>
  </si>
  <si>
    <t>CAD0136311.1</t>
  </si>
  <si>
    <t>STHERMO_0389</t>
  </si>
  <si>
    <t>Acetoin utilization protein</t>
  </si>
  <si>
    <t>CAD0136313.1</t>
  </si>
  <si>
    <t>STHERMO_0390</t>
  </si>
  <si>
    <t>cysteine synthase</t>
  </si>
  <si>
    <t>CAD0136315.1</t>
  </si>
  <si>
    <t>STHERMO_0391</t>
  </si>
  <si>
    <t>putative translation regulator</t>
  </si>
  <si>
    <t>yvyE</t>
  </si>
  <si>
    <t>CAD0136317.1</t>
  </si>
  <si>
    <t>STHERMO_0392</t>
  </si>
  <si>
    <t>ComF operon protein A, DNA transporter ATPase</t>
  </si>
  <si>
    <t>CAD0136319.1</t>
  </si>
  <si>
    <t>STHERMO_0393</t>
  </si>
  <si>
    <t>ComF operon protein C</t>
  </si>
  <si>
    <t>CAD0136321.1</t>
  </si>
  <si>
    <t>STHERMO_0394</t>
  </si>
  <si>
    <t>Ribosome hibernation promotion factor</t>
  </si>
  <si>
    <t>CAD0136323.1</t>
  </si>
  <si>
    <t>STHERMO_0395</t>
  </si>
  <si>
    <t>inorganic pyrophosphatase (Mn2+-dependent)</t>
  </si>
  <si>
    <t>ppaC</t>
  </si>
  <si>
    <t>CAD0136325.1</t>
  </si>
  <si>
    <t>STHERMO_0397</t>
  </si>
  <si>
    <t>CAD0136327.1</t>
  </si>
  <si>
    <t>STHERMO_0398</t>
  </si>
  <si>
    <t>putative RNA binding factor</t>
  </si>
  <si>
    <t>ygaC</t>
  </si>
  <si>
    <t>CAD0136329.1</t>
  </si>
  <si>
    <t>STHERMO_0399</t>
  </si>
  <si>
    <t>Regulatory protein RecX</t>
  </si>
  <si>
    <t>CAD0136331.1</t>
  </si>
  <si>
    <t>STHERMO_0400</t>
  </si>
  <si>
    <t>RNA methyltransferase, TrmA family</t>
  </si>
  <si>
    <t>CAD0136333.1</t>
  </si>
  <si>
    <t>STHERMO_0401</t>
  </si>
  <si>
    <t>asparagine synthetase A</t>
  </si>
  <si>
    <t>CAD0136335.1</t>
  </si>
  <si>
    <t>STHERMO_0402</t>
  </si>
  <si>
    <t>aspartate kinase III</t>
  </si>
  <si>
    <t>thrD</t>
  </si>
  <si>
    <t>CAD0136337.1</t>
  </si>
  <si>
    <t>STHERMO_0403</t>
  </si>
  <si>
    <t>CAD0136339.1</t>
  </si>
  <si>
    <t>STHERMO_0404</t>
  </si>
  <si>
    <t>Trans-2-decenoyl-[acyl-carrier-protein] isomerase</t>
  </si>
  <si>
    <t>fabM</t>
  </si>
  <si>
    <t>CAD0136341.1</t>
  </si>
  <si>
    <t>STHERMO_0405</t>
  </si>
  <si>
    <t>Transcriptional regulator of fatty acid biosynthesis FabT</t>
  </si>
  <si>
    <t>CAD0136343.1</t>
  </si>
  <si>
    <t>STHERMO_0406</t>
  </si>
  <si>
    <t>3-oxoacyl-[acyl-carrier-protein] synthase 3</t>
  </si>
  <si>
    <t>fabH</t>
  </si>
  <si>
    <t>CAD0136345.1</t>
  </si>
  <si>
    <t>STHERMO_0407</t>
  </si>
  <si>
    <t>acpA</t>
  </si>
  <si>
    <t>CAD0136347.1</t>
  </si>
  <si>
    <t>STHERMO_0408</t>
  </si>
  <si>
    <t>Enoyl-(acyl-carrier-protein) reductase [FMN]</t>
  </si>
  <si>
    <t>CAD0136349.1</t>
  </si>
  <si>
    <t>STHERMO_0409</t>
  </si>
  <si>
    <t>malonyl CoA:acyl carrier protein transacylase</t>
  </si>
  <si>
    <t>CAD0136351.1</t>
  </si>
  <si>
    <t>STHERMO_0410</t>
  </si>
  <si>
    <t>beta-ketoacyl-acyl carrier protein reductase</t>
  </si>
  <si>
    <t>CAD0136353.1</t>
  </si>
  <si>
    <t>STHERMO_0411</t>
  </si>
  <si>
    <t>beta-ketoacyl-acyl carrier protein synthase II (involved in pimelate synthesis)</t>
  </si>
  <si>
    <t>CAD0136355.1</t>
  </si>
  <si>
    <t>STHERMO_0412</t>
  </si>
  <si>
    <t>acetyl-CoA carboxylase subunit (biotin carboxyl carrier subunit)</t>
  </si>
  <si>
    <t>CAD0136357.1</t>
  </si>
  <si>
    <t>STHERMO_0413</t>
  </si>
  <si>
    <t>beta-hydroxyacyl-[acyl carrier protein] dehydratase</t>
  </si>
  <si>
    <t>CAD0136359.1</t>
  </si>
  <si>
    <t>STHERMO_0414</t>
  </si>
  <si>
    <t>acetyl-CoA carboxylase subunit (biotin carboxylase subunit)</t>
  </si>
  <si>
    <t>accC</t>
  </si>
  <si>
    <t>CAD0136361.1</t>
  </si>
  <si>
    <t>STHERMO_0415</t>
  </si>
  <si>
    <t>acetyl-CoA carboxylase (carboxyltransferase beta subunit)</t>
  </si>
  <si>
    <t>CAD0136363.1</t>
  </si>
  <si>
    <t>STHERMO_0416</t>
  </si>
  <si>
    <t>Acetyl-coenzyme A carboxylase carboxyl transferase subunit alpha</t>
  </si>
  <si>
    <t>accA</t>
  </si>
  <si>
    <t>CAD0136365.1</t>
  </si>
  <si>
    <t>STHERMO_0417</t>
  </si>
  <si>
    <t>luxS</t>
  </si>
  <si>
    <t>CAD0136367.1</t>
  </si>
  <si>
    <t>STHERMO_0418</t>
  </si>
  <si>
    <t>type I restriction modification system specificity subunit, truncated</t>
  </si>
  <si>
    <t>CAD0136369.1</t>
  </si>
  <si>
    <t>STHERMO_0419</t>
  </si>
  <si>
    <t>CAD0136371.1</t>
  </si>
  <si>
    <t>STHERMO_0420</t>
  </si>
  <si>
    <t>endoribonuclease Y</t>
  </si>
  <si>
    <t>rny</t>
  </si>
  <si>
    <t>CAD0136373.1</t>
  </si>
  <si>
    <t>STHERMO_0421</t>
  </si>
  <si>
    <t>CAD0136375.1</t>
  </si>
  <si>
    <t>STHERMO_0422</t>
  </si>
  <si>
    <t>transcriptional regulator (DeoR family)</t>
  </si>
  <si>
    <t>fruR</t>
  </si>
  <si>
    <t>CAD0136377.1</t>
  </si>
  <si>
    <t>STHERMO_0423</t>
  </si>
  <si>
    <t>fructose-1-phosphate kinase</t>
  </si>
  <si>
    <t>fruK</t>
  </si>
  <si>
    <t>CAD0136379.1</t>
  </si>
  <si>
    <t>STHERMO_0424</t>
  </si>
  <si>
    <t>glutathione oxidoreductase</t>
  </si>
  <si>
    <t>gor</t>
  </si>
  <si>
    <t>CAD0136389.1</t>
  </si>
  <si>
    <t>STHERMO_0429</t>
  </si>
  <si>
    <t>Dihydrofolate synthase</t>
  </si>
  <si>
    <t>CAD0136391.1</t>
  </si>
  <si>
    <t>STHERMO_0430</t>
  </si>
  <si>
    <t>CAD0136393.1</t>
  </si>
  <si>
    <t>STHERMO_0431</t>
  </si>
  <si>
    <t>iscSB</t>
  </si>
  <si>
    <t>CAD0136395.1</t>
  </si>
  <si>
    <t>STHERMO_0432</t>
  </si>
  <si>
    <t>persulfide ATP pyrophosphatase involved in tRNA modification</t>
  </si>
  <si>
    <t>trmG</t>
  </si>
  <si>
    <t>CAD0136397.1</t>
  </si>
  <si>
    <t>STHERMO_0433</t>
  </si>
  <si>
    <t>UDP-N-acetylglucosamine--peptide N-acetylglucosaminyltransferase GtfA subunit</t>
  </si>
  <si>
    <t>CAD0136399.1</t>
  </si>
  <si>
    <t>STHERMO_0434</t>
  </si>
  <si>
    <t>UDP-N-acetylglucosamine--peptide N-acetylglucosaminyltransferase stabilizing protein GtfB</t>
  </si>
  <si>
    <t>CAD0136401.1</t>
  </si>
  <si>
    <t>STHERMO_0435</t>
  </si>
  <si>
    <t>CAD0136403.1</t>
  </si>
  <si>
    <t>STHERMO_0436</t>
  </si>
  <si>
    <t>CAD0136405.1</t>
  </si>
  <si>
    <t>STHERMO_0437</t>
  </si>
  <si>
    <t>ribosomal protein L21 (BL20)</t>
  </si>
  <si>
    <t>CAD0136407.1</t>
  </si>
  <si>
    <t>STHERMO_0438</t>
  </si>
  <si>
    <t>ribosomal protein L27 (BL24)</t>
  </si>
  <si>
    <t>CAD0136409.1</t>
  </si>
  <si>
    <t>STHERMO_0439</t>
  </si>
  <si>
    <t>CAD0136411.1</t>
  </si>
  <si>
    <t>STHERMO_0440</t>
  </si>
  <si>
    <t>CAD0136413.1</t>
  </si>
  <si>
    <t>STHERMO_0441</t>
  </si>
  <si>
    <t>CAD0136415.1</t>
  </si>
  <si>
    <t>STHERMO_0442</t>
  </si>
  <si>
    <t>CAD0136417.1</t>
  </si>
  <si>
    <t>STHERMO_0443</t>
  </si>
  <si>
    <t>CAD0136419.1</t>
  </si>
  <si>
    <t>STHERMO_0444</t>
  </si>
  <si>
    <t>(4S)-4-hydroxy-2,3,4, 5-tetrahydro-(2S)-dipicolinic acid (HTPA) dehydratase reductase</t>
  </si>
  <si>
    <t>CAD0136421.1</t>
  </si>
  <si>
    <t>STHERMO_0445</t>
  </si>
  <si>
    <t>CCA-adding enzyme</t>
  </si>
  <si>
    <t>cca</t>
  </si>
  <si>
    <t>CAD0136423.1</t>
  </si>
  <si>
    <t>STHERMO_0446</t>
  </si>
  <si>
    <t>Uncharacterized ABC transporter ATP-binding protein YfmR</t>
  </si>
  <si>
    <t>yfmR</t>
  </si>
  <si>
    <t>CAD0136425.1</t>
  </si>
  <si>
    <t>STHERMO_0447</t>
  </si>
  <si>
    <t>CAD0136427.1</t>
  </si>
  <si>
    <t>STHERMO_0448</t>
  </si>
  <si>
    <t>CAD0136429.1</t>
  </si>
  <si>
    <t>STHERMO_0449</t>
  </si>
  <si>
    <t>CAD0136431.1</t>
  </si>
  <si>
    <t>STHERMO_0450</t>
  </si>
  <si>
    <t>Nicotinamide-nucleotide adenylyltransferase, NadR family</t>
  </si>
  <si>
    <t>CAD0136433.1</t>
  </si>
  <si>
    <t>STHERMO_0451</t>
  </si>
  <si>
    <t>glutamate dehydrogenase, NADP-specific</t>
  </si>
  <si>
    <t>CAD0136435.1</t>
  </si>
  <si>
    <t>STHERMO_0452</t>
  </si>
  <si>
    <t>CAD0136437.1</t>
  </si>
  <si>
    <t>STHERMO_0453</t>
  </si>
  <si>
    <t>CAD0136439.1</t>
  </si>
  <si>
    <t>STHERMO_0454</t>
  </si>
  <si>
    <t>Multidrug ABC exporter (DrugE2) family, ATP binding/membrane-spanning protein</t>
  </si>
  <si>
    <t>lmrA</t>
  </si>
  <si>
    <t>CAD0136441.1</t>
  </si>
  <si>
    <t>STHERMO_0455</t>
  </si>
  <si>
    <t>ABC transporter ATP binding protein</t>
  </si>
  <si>
    <t>CAD0136443.1</t>
  </si>
  <si>
    <t>STHERMO_0456</t>
  </si>
  <si>
    <t>CAD0136445.1</t>
  </si>
  <si>
    <t>STHERMO_0457</t>
  </si>
  <si>
    <t>CAD0136447.1</t>
  </si>
  <si>
    <t>STHERMO_0458</t>
  </si>
  <si>
    <t>CAD0136449.1</t>
  </si>
  <si>
    <t>STHERMO_0459</t>
  </si>
  <si>
    <t>CAD0136451.1</t>
  </si>
  <si>
    <t>STHERMO_0460</t>
  </si>
  <si>
    <t>uridylate kinase</t>
  </si>
  <si>
    <t>CAD0136453.1</t>
  </si>
  <si>
    <t>STHERMO_0461</t>
  </si>
  <si>
    <t>CAD0136455.1</t>
  </si>
  <si>
    <t>STHERMO_0462</t>
  </si>
  <si>
    <t>S1 RNA binding domain</t>
  </si>
  <si>
    <t>CAD0136457.1</t>
  </si>
  <si>
    <t>STHERMO_0463</t>
  </si>
  <si>
    <t>CAD0136459.1</t>
  </si>
  <si>
    <t>STHERMO_0464</t>
  </si>
  <si>
    <t>Glucan-binding protein B</t>
  </si>
  <si>
    <t>CAD0136461.1</t>
  </si>
  <si>
    <t>STHERMO_0465</t>
  </si>
  <si>
    <t>Group B streptococcal surface immunogenic protein</t>
  </si>
  <si>
    <t>CAD0136463.1</t>
  </si>
  <si>
    <t>STHERMO_0466</t>
  </si>
  <si>
    <t>phosphate starvation-induced protein</t>
  </si>
  <si>
    <t>phoH</t>
  </si>
  <si>
    <t>CAD0136465.1</t>
  </si>
  <si>
    <t>STHERMO_0467</t>
  </si>
  <si>
    <t>CAD0136467.1</t>
  </si>
  <si>
    <t>STHERMO_0468</t>
  </si>
  <si>
    <t>CAD0136469.1</t>
  </si>
  <si>
    <t>STHERMO_0469</t>
  </si>
  <si>
    <t>CAD0136471.1</t>
  </si>
  <si>
    <t>STHERMO_0470</t>
  </si>
  <si>
    <t>CAD0136473.1</t>
  </si>
  <si>
    <t>STHERMO_0471</t>
  </si>
  <si>
    <t>methionyl-tRNA synthetase</t>
  </si>
  <si>
    <t>metS</t>
  </si>
  <si>
    <t>CAD0136475.1</t>
  </si>
  <si>
    <t>STHERMO_0472</t>
  </si>
  <si>
    <t>Transcriptional regulators, LysR family</t>
  </si>
  <si>
    <t>CAD0136477.1</t>
  </si>
  <si>
    <t>STHERMO_0473</t>
  </si>
  <si>
    <t>Competence protein CoiA</t>
  </si>
  <si>
    <t>CAD0136479.1</t>
  </si>
  <si>
    <t>STHERMO_0474</t>
  </si>
  <si>
    <t>CAD0136481.1</t>
  </si>
  <si>
    <t>STHERMO_0475</t>
  </si>
  <si>
    <t>O-methyltransferase family protein (C1)</t>
  </si>
  <si>
    <t>CAD0136483.1</t>
  </si>
  <si>
    <t>STHERMO_0476</t>
  </si>
  <si>
    <t>Foldase protein PrsA precursor</t>
  </si>
  <si>
    <t>CAD0136485.1</t>
  </si>
  <si>
    <t>STHERMO_0477</t>
  </si>
  <si>
    <t>alanyl-tRNA synthetase</t>
  </si>
  <si>
    <t>CAD0136487.1</t>
  </si>
  <si>
    <t>STHERMO_0478</t>
  </si>
  <si>
    <t>CAD0136489.1</t>
  </si>
  <si>
    <t>STHERMO_0479</t>
  </si>
  <si>
    <t>CAD0136491.1</t>
  </si>
  <si>
    <t>STHERMO_0480</t>
  </si>
  <si>
    <t>CAD0136493.1</t>
  </si>
  <si>
    <t>STHERMO_0481</t>
  </si>
  <si>
    <t>Cell wall protein, similar to choline binding protein</t>
  </si>
  <si>
    <t>cbpD</t>
  </si>
  <si>
    <t>CAD0136495.1</t>
  </si>
  <si>
    <t>STHERMO_0482</t>
  </si>
  <si>
    <t>ketoglutaramate omega-amidase</t>
  </si>
  <si>
    <t>mtnU</t>
  </si>
  <si>
    <t>CAD0136497.1</t>
  </si>
  <si>
    <t>STHERMO_0483</t>
  </si>
  <si>
    <t>methionine-glutamine aminotransferase</t>
  </si>
  <si>
    <t>mtnE</t>
  </si>
  <si>
    <t>CAD0136499.1</t>
  </si>
  <si>
    <t>STHERMO_0484</t>
  </si>
  <si>
    <t>N-acetylglutamate gamma-semialdehyde dehydrogenase</t>
  </si>
  <si>
    <t>CAD0136501.1</t>
  </si>
  <si>
    <t>STHERMO_0485</t>
  </si>
  <si>
    <t>ornithine acetyltransferase; amino-acid acetyltransferase</t>
  </si>
  <si>
    <t>CAD0136503.1</t>
  </si>
  <si>
    <t>STHERMO_0486</t>
  </si>
  <si>
    <t>Acetylglutamate kinase</t>
  </si>
  <si>
    <t>CAD0136505.1</t>
  </si>
  <si>
    <t>STHERMO_0487</t>
  </si>
  <si>
    <t>N-acetylornithine aminotransferase</t>
  </si>
  <si>
    <t>argD</t>
  </si>
  <si>
    <t>CAD0136507.1</t>
  </si>
  <si>
    <t>STHERMO_0488</t>
  </si>
  <si>
    <t>Polysaccharide deacetylase</t>
  </si>
  <si>
    <t>CAD0136509.1</t>
  </si>
  <si>
    <t>STHERMO_0489</t>
  </si>
  <si>
    <t>Homoserine dehydrogenase</t>
  </si>
  <si>
    <t>hom</t>
  </si>
  <si>
    <t>CAD0136511.1</t>
  </si>
  <si>
    <t>STHERMO_0490</t>
  </si>
  <si>
    <t>CAD0136513.1</t>
  </si>
  <si>
    <t>STHERMO_0491</t>
  </si>
  <si>
    <t>RarD protein</t>
  </si>
  <si>
    <t>CAD0136515.1</t>
  </si>
  <si>
    <t>STHERMO_0492</t>
  </si>
  <si>
    <t>Peptidase propeptide and YPEB domain protein</t>
  </si>
  <si>
    <t>CAD0136517.1</t>
  </si>
  <si>
    <t>STHERMO_0493</t>
  </si>
  <si>
    <t>CAD0136519.1</t>
  </si>
  <si>
    <t>STHERMO_0494</t>
  </si>
  <si>
    <t>CAD0136521.1</t>
  </si>
  <si>
    <t>STHERMO_0495</t>
  </si>
  <si>
    <t>CAD0136523.1</t>
  </si>
  <si>
    <t>STHERMO_0496</t>
  </si>
  <si>
    <t>CAD0136525.1</t>
  </si>
  <si>
    <t>STHERMO_0497</t>
  </si>
  <si>
    <t>CAD0136527.1</t>
  </si>
  <si>
    <t>STHERMO_0498</t>
  </si>
  <si>
    <t>CAD0136529.1</t>
  </si>
  <si>
    <t>STHERMO_0499</t>
  </si>
  <si>
    <t>valyl-tRNA synthetase</t>
  </si>
  <si>
    <t>valS</t>
  </si>
  <si>
    <t>CAD0136531.1</t>
  </si>
  <si>
    <t>STHERMO_0500</t>
  </si>
  <si>
    <t>ATP synthase subunit c</t>
  </si>
  <si>
    <t>atpE</t>
  </si>
  <si>
    <t>CAD0136533.1</t>
  </si>
  <si>
    <t>STHERMO_0501</t>
  </si>
  <si>
    <t>ATP synthase subunit a</t>
  </si>
  <si>
    <t>CAD0136535.1</t>
  </si>
  <si>
    <t>STHERMO_0502</t>
  </si>
  <si>
    <t>ATP synthase subunit b</t>
  </si>
  <si>
    <t>CAD0136537.1</t>
  </si>
  <si>
    <t>STHERMO_0503</t>
  </si>
  <si>
    <t>ATP synthase subunit delta</t>
  </si>
  <si>
    <t>atpH</t>
  </si>
  <si>
    <t>CAD0136539.1</t>
  </si>
  <si>
    <t>STHERMO_0504</t>
  </si>
  <si>
    <t>ATP synthase (subunit alpha, component F1)</t>
  </si>
  <si>
    <t>CAD0136541.1</t>
  </si>
  <si>
    <t>STHERMO_0505</t>
  </si>
  <si>
    <t>ATP synthase (subunit gamma, component F1)</t>
  </si>
  <si>
    <t>atpG</t>
  </si>
  <si>
    <t>CAD0136543.1</t>
  </si>
  <si>
    <t>STHERMO_0506</t>
  </si>
  <si>
    <t>ATP synthase (subunit beta, component F1)</t>
  </si>
  <si>
    <t>CAD0136545.1</t>
  </si>
  <si>
    <t>STHERMO_0507</t>
  </si>
  <si>
    <t>ATP synthase epsilon chain</t>
  </si>
  <si>
    <t>atpC</t>
  </si>
  <si>
    <t>CAD0136547.1</t>
  </si>
  <si>
    <t>STHERMO_0508</t>
  </si>
  <si>
    <t>putative peptidoglycan glycosyltransferase FtsW</t>
  </si>
  <si>
    <t>CAD0136549.1</t>
  </si>
  <si>
    <t>STHERMO_0509</t>
  </si>
  <si>
    <t>tufA</t>
  </si>
  <si>
    <t>CAD0136551.1</t>
  </si>
  <si>
    <t>STHERMO_0510</t>
  </si>
  <si>
    <t>triose phosphate isomerase</t>
  </si>
  <si>
    <t>CAD0136553.1</t>
  </si>
  <si>
    <t>STHERMO_0511</t>
  </si>
  <si>
    <t>thymidylate kinase</t>
  </si>
  <si>
    <t>CAD0136555.1</t>
  </si>
  <si>
    <t>STHERMO_0512</t>
  </si>
  <si>
    <t>DNA polymerase III delta prime subunit</t>
  </si>
  <si>
    <t>CAD0136557.1</t>
  </si>
  <si>
    <t>STHERMO_0513</t>
  </si>
  <si>
    <t>subunit of a sporulation, competence and biofilm formation regulatory complex of RNaseY (RicAFT complex / FAD / two [4Fe-4S]2+)</t>
  </si>
  <si>
    <t>CAD0136559.1</t>
  </si>
  <si>
    <t>STHERMO_0514</t>
  </si>
  <si>
    <t>Initiation-control protein YabA</t>
  </si>
  <si>
    <t>CAD0136561.1</t>
  </si>
  <si>
    <t>STHERMO_0515</t>
  </si>
  <si>
    <t>16S rRNA 2'-O-ribose C1402 methyltransferase</t>
  </si>
  <si>
    <t>CAD0136563.1</t>
  </si>
  <si>
    <t>STHERMO_0516</t>
  </si>
  <si>
    <t>amtB</t>
  </si>
  <si>
    <t>CAD0136565.1</t>
  </si>
  <si>
    <t>STHERMO_0517</t>
  </si>
  <si>
    <t>nitrogen-regulated PII-like regulator protein</t>
  </si>
  <si>
    <t>glnK</t>
  </si>
  <si>
    <t>CAD0136567.1</t>
  </si>
  <si>
    <t>STHERMO_0518</t>
  </si>
  <si>
    <t>Peptidoglycan hydrolase</t>
  </si>
  <si>
    <t>mur</t>
  </si>
  <si>
    <t>CAD0136570.1</t>
  </si>
  <si>
    <t>STHERMO_0519</t>
  </si>
  <si>
    <t>CAD0136572.1</t>
  </si>
  <si>
    <t>STHERMO_0520</t>
  </si>
  <si>
    <t>CAD0136574.1</t>
  </si>
  <si>
    <t>STHERMO_0521</t>
  </si>
  <si>
    <t>CAD0136576.1</t>
  </si>
  <si>
    <t>STHERMO_0522</t>
  </si>
  <si>
    <t>CAD0136578.1</t>
  </si>
  <si>
    <t>STHERMO_0523</t>
  </si>
  <si>
    <t>manD</t>
  </si>
  <si>
    <t>CAD0136580.1</t>
  </si>
  <si>
    <t>STHERMO_0524</t>
  </si>
  <si>
    <t>Putative membrane protein</t>
  </si>
  <si>
    <t>CAD0136582.1</t>
  </si>
  <si>
    <t>STHERMO_0525</t>
  </si>
  <si>
    <t>Uncharacterized membrane protein</t>
  </si>
  <si>
    <t>CAD0136584.1</t>
  </si>
  <si>
    <t>STHERMO_0526</t>
  </si>
  <si>
    <t>CAD0136586.1</t>
  </si>
  <si>
    <t>STHERMO_0527</t>
  </si>
  <si>
    <t>CAD0136588.1</t>
  </si>
  <si>
    <t>STHERMO_0528</t>
  </si>
  <si>
    <t>CAD0136590.1</t>
  </si>
  <si>
    <t>STHERMO_0529</t>
  </si>
  <si>
    <t>glycyl-tRNA synthetase (alpha subunit)</t>
  </si>
  <si>
    <t>CAD0136592.1</t>
  </si>
  <si>
    <t>STHERMO_0530</t>
  </si>
  <si>
    <t>glycyl-tRNA synthetase (beta subunit)</t>
  </si>
  <si>
    <t>CAD0136594.1</t>
  </si>
  <si>
    <t>STHERMO_0531</t>
  </si>
  <si>
    <t>CAD0136596.1</t>
  </si>
  <si>
    <t>STHERMO_0532</t>
  </si>
  <si>
    <t>DL-alanine permease SerP2</t>
  </si>
  <si>
    <t>serP</t>
  </si>
  <si>
    <t>CAD0136598.1</t>
  </si>
  <si>
    <t>STHERMO_0533</t>
  </si>
  <si>
    <t>CAD0136600.1</t>
  </si>
  <si>
    <t>STHERMO_0534</t>
  </si>
  <si>
    <t>Peptidyl-prolyl cis-trans isomerase</t>
  </si>
  <si>
    <t>CAD0136612.1</t>
  </si>
  <si>
    <t>STHERMO_0540</t>
  </si>
  <si>
    <t>Putative cytosolic protein</t>
  </si>
  <si>
    <t>CAD0136614.1</t>
  </si>
  <si>
    <t>STHERMO_0541</t>
  </si>
  <si>
    <t>CAD0136616.1</t>
  </si>
  <si>
    <t>STHERMO_0542</t>
  </si>
  <si>
    <t>CAD0136618.1</t>
  </si>
  <si>
    <t>STHERMO_0543</t>
  </si>
  <si>
    <t>CAD0136620.1</t>
  </si>
  <si>
    <t>STHERMO_0544</t>
  </si>
  <si>
    <t>CAD0136622.1</t>
  </si>
  <si>
    <t>STHERMO_0545</t>
  </si>
  <si>
    <t>CAD0136624.1</t>
  </si>
  <si>
    <t>STHERMO_0546</t>
  </si>
  <si>
    <t>pseudouridylate synthase</t>
  </si>
  <si>
    <t>rluD</t>
  </si>
  <si>
    <t>CAD0136626.1</t>
  </si>
  <si>
    <t>STHERMO_0547</t>
  </si>
  <si>
    <t>transcriptional attenuator and uracil phosphoribosyltransferase activity</t>
  </si>
  <si>
    <t>CAD0136628.1</t>
  </si>
  <si>
    <t>STHERMO_0548</t>
  </si>
  <si>
    <t>uracil permease</t>
  </si>
  <si>
    <t>pyrP</t>
  </si>
  <si>
    <t>CAD0136630.1</t>
  </si>
  <si>
    <t>STHERMO_0549</t>
  </si>
  <si>
    <t>aspartate carbamoyltransferase</t>
  </si>
  <si>
    <t>pyrB</t>
  </si>
  <si>
    <t>CAD0136632.1</t>
  </si>
  <si>
    <t>STHERMO_0550</t>
  </si>
  <si>
    <t>pyrimidine-specific carbamoyl-phosphate synthetase (small subunit, glutaminase subunit)</t>
  </si>
  <si>
    <t>pyrAA</t>
  </si>
  <si>
    <t>CAD0136634.1</t>
  </si>
  <si>
    <t>STHERMO_0551</t>
  </si>
  <si>
    <t>pyrimidine-specific carbamoyl-phosphate synthetase (large subunit)</t>
  </si>
  <si>
    <t>pyrAB</t>
  </si>
  <si>
    <t>CAD0136636.1</t>
  </si>
  <si>
    <t>STHERMO_0552</t>
  </si>
  <si>
    <t>Protein-L-isoD(D-D) O-methyltransferase</t>
  </si>
  <si>
    <t>CAD0136638.1</t>
  </si>
  <si>
    <t>STHERMO_0553</t>
  </si>
  <si>
    <t>CAD0136640.1</t>
  </si>
  <si>
    <t>STHERMO_0554</t>
  </si>
  <si>
    <t>CAD0136642.1</t>
  </si>
  <si>
    <t>STHERMO_0555</t>
  </si>
  <si>
    <t>Efflux RND transporter periplasmic adaptor subunit</t>
  </si>
  <si>
    <t>CAD0136644.1</t>
  </si>
  <si>
    <t>STHERMO_0556</t>
  </si>
  <si>
    <t>CAD0136646.1</t>
  </si>
  <si>
    <t>STHERMO_0557</t>
  </si>
  <si>
    <t>CAD0136648.1</t>
  </si>
  <si>
    <t>STHERMO_0558</t>
  </si>
  <si>
    <t>ribosomal protein L10 (BL5)</t>
  </si>
  <si>
    <t>CAD0136654.1</t>
  </si>
  <si>
    <t>STHERMO_0561</t>
  </si>
  <si>
    <t>ribosomal protein L12 (BL9)</t>
  </si>
  <si>
    <t>CAD0136656.1</t>
  </si>
  <si>
    <t>STHERMO_0562</t>
  </si>
  <si>
    <t>CAD0136658.1</t>
  </si>
  <si>
    <t>STHERMO_0563</t>
  </si>
  <si>
    <t>Lipid/multidrug/protein-type ABC exporter, ATP binding/membrane-spanning protein</t>
  </si>
  <si>
    <t>CAD0136660.1</t>
  </si>
  <si>
    <t>STHERMO_0564</t>
  </si>
  <si>
    <t>CAD0136662.1</t>
  </si>
  <si>
    <t>STHERMO_0565</t>
  </si>
  <si>
    <t>S-adenosylmethionine tRNA ribosyltransferase-isomerase</t>
  </si>
  <si>
    <t>CAD0136664.1</t>
  </si>
  <si>
    <t>STHERMO_0566</t>
  </si>
  <si>
    <t>Glucosamine-6-phosphate deaminase</t>
  </si>
  <si>
    <t>nagB</t>
  </si>
  <si>
    <t>CAD0136666.1</t>
  </si>
  <si>
    <t>STHERMO_0567</t>
  </si>
  <si>
    <t>Sensor histidine kinase</t>
  </si>
  <si>
    <t>CAD0136668.1</t>
  </si>
  <si>
    <t>STHERMO_0568</t>
  </si>
  <si>
    <t>Quorum sensing two-component response regulator</t>
  </si>
  <si>
    <t>CAD0136670.1</t>
  </si>
  <si>
    <t>STHERMO_0569</t>
  </si>
  <si>
    <t>HesA/MoeB/ThiF family protein</t>
  </si>
  <si>
    <t>CAD0136672.1</t>
  </si>
  <si>
    <t>STHERMO_0570</t>
  </si>
  <si>
    <t>CAD0136674.1</t>
  </si>
  <si>
    <t>STHERMO_0571</t>
  </si>
  <si>
    <t>CAD0136676.1</t>
  </si>
  <si>
    <t>STHERMO_0572</t>
  </si>
  <si>
    <t>putative enzyme with rhodanese domain</t>
  </si>
  <si>
    <t>ybfQ</t>
  </si>
  <si>
    <t>CAD0136678.1</t>
  </si>
  <si>
    <t>STHERMO_0573</t>
  </si>
  <si>
    <t>CAD0136680.1</t>
  </si>
  <si>
    <t>STHERMO_0574</t>
  </si>
  <si>
    <t>CAD0136682.1</t>
  </si>
  <si>
    <t>STHERMO_0575</t>
  </si>
  <si>
    <t>Uridine phosphorylase</t>
  </si>
  <si>
    <t>CAD0136684.1</t>
  </si>
  <si>
    <t>STHERMO_0576</t>
  </si>
  <si>
    <t>CAD0136686.1</t>
  </si>
  <si>
    <t>STHERMO_0577</t>
  </si>
  <si>
    <t>Uncharacterized RNA pseudouridine synthase YtzG</t>
  </si>
  <si>
    <t>ytzG</t>
  </si>
  <si>
    <t>CAD0136688.1</t>
  </si>
  <si>
    <t>STHERMO_0578</t>
  </si>
  <si>
    <t>Uncharacterized hydrolase YtnL</t>
  </si>
  <si>
    <t>ytnL</t>
  </si>
  <si>
    <t>CAD0136690.1</t>
  </si>
  <si>
    <t>STHERMO_0579</t>
  </si>
  <si>
    <t>putative pyridine nucleotide-disulfide oxidoreductase RclA</t>
  </si>
  <si>
    <t>rclA</t>
  </si>
  <si>
    <t>CAD0136696.1</t>
  </si>
  <si>
    <t>STHERMO_0582</t>
  </si>
  <si>
    <t>CAD0136698.1</t>
  </si>
  <si>
    <t>STHERMO_0583</t>
  </si>
  <si>
    <t>Mevalonate kinase</t>
  </si>
  <si>
    <t>CAD0136700.1</t>
  </si>
  <si>
    <t>STHERMO_0584</t>
  </si>
  <si>
    <t>Diphosphomevalonate decarboxylase</t>
  </si>
  <si>
    <t>CAD0136702.1</t>
  </si>
  <si>
    <t>STHERMO_0585</t>
  </si>
  <si>
    <t>Phosphomevalonate kinase</t>
  </si>
  <si>
    <t>CAD0136704.1</t>
  </si>
  <si>
    <t>STHERMO_0586</t>
  </si>
  <si>
    <t>Isopentenyl-diphosphate delta-isomerase</t>
  </si>
  <si>
    <t>CAD0136706.1</t>
  </si>
  <si>
    <t>STHERMO_0587</t>
  </si>
  <si>
    <t>CAD0136708.1</t>
  </si>
  <si>
    <t>STHERMO_0588</t>
  </si>
  <si>
    <t>bifunctional glucosamine-1-phosphate N-acetyltransferase/UDP-N-acetylglucosamine pyrophosphorylase</t>
  </si>
  <si>
    <t>CAD0136710.1</t>
  </si>
  <si>
    <t>STHERMO_0589</t>
  </si>
  <si>
    <t>isopentenyl pyrophosphate and dimethylallyl pyrophosphate diphosphatase (moonlighting ADP-ribose pyrophosphatase)</t>
  </si>
  <si>
    <t>nudF</t>
  </si>
  <si>
    <t>CAD0136712.1</t>
  </si>
  <si>
    <t>STHERMO_0590</t>
  </si>
  <si>
    <t>Putative membrane associated protein</t>
  </si>
  <si>
    <t>CAD0136714.1</t>
  </si>
  <si>
    <t>STHERMO_0591</t>
  </si>
  <si>
    <t>5'-methylthioadenosine/S-adenosylhomocysteine nucleosidase</t>
  </si>
  <si>
    <t>mtnN</t>
  </si>
  <si>
    <t>CAD0136716.1</t>
  </si>
  <si>
    <t>STHERMO_0592</t>
  </si>
  <si>
    <t>CAD0136718.1</t>
  </si>
  <si>
    <t>STHERMO_0593</t>
  </si>
  <si>
    <t>CAD0136720.1</t>
  </si>
  <si>
    <t>STHERMO_0594</t>
  </si>
  <si>
    <t>CAD0136722.1</t>
  </si>
  <si>
    <t>STHERMO_0595</t>
  </si>
  <si>
    <t>CAD0136724.1</t>
  </si>
  <si>
    <t>STHERMO_0596</t>
  </si>
  <si>
    <t>Processive diacylglycerol alpha-glucosyltransferase</t>
  </si>
  <si>
    <t>dgs</t>
  </si>
  <si>
    <t>CAD0136726.1</t>
  </si>
  <si>
    <t>STHERMO_0597</t>
  </si>
  <si>
    <t>Alpha-monoglucosyldiacylglycerol synthase</t>
  </si>
  <si>
    <t>CAD0136728.1</t>
  </si>
  <si>
    <t>STHERMO_0598</t>
  </si>
  <si>
    <t>CAD0136730.1</t>
  </si>
  <si>
    <t>STHERMO_0599</t>
  </si>
  <si>
    <t>threonyl-tRNA synthetase</t>
  </si>
  <si>
    <t>CAD0136732.1</t>
  </si>
  <si>
    <t>STHERMO_0600</t>
  </si>
  <si>
    <t>CAD0136734.1</t>
  </si>
  <si>
    <t>STHERMO_0601</t>
  </si>
  <si>
    <t>CAD0136736.1</t>
  </si>
  <si>
    <t>STHERMO_0602</t>
  </si>
  <si>
    <t>CAD0136738.1</t>
  </si>
  <si>
    <t>STHERMO_0603</t>
  </si>
  <si>
    <t>Hemolysin III</t>
  </si>
  <si>
    <t>CAD0136740.1</t>
  </si>
  <si>
    <t>STHERMO_0604</t>
  </si>
  <si>
    <t>CAD0136742.1</t>
  </si>
  <si>
    <t>STHERMO_0605</t>
  </si>
  <si>
    <t>3-hydroxy-3-methylglutaryl-coenzyme A reductase</t>
  </si>
  <si>
    <t>mvaA</t>
  </si>
  <si>
    <t>CAD0136744.1</t>
  </si>
  <si>
    <t>STHERMO_0606</t>
  </si>
  <si>
    <t>Hydroxymethylglutaryl-CoA synthase</t>
  </si>
  <si>
    <t>mvaS</t>
  </si>
  <si>
    <t>CAD0136746.1</t>
  </si>
  <si>
    <t>STHERMO_0607</t>
  </si>
  <si>
    <t>Thymidylate synthase</t>
  </si>
  <si>
    <t>thyA</t>
  </si>
  <si>
    <t>CAD0136748.1</t>
  </si>
  <si>
    <t>STHERMO_0608</t>
  </si>
  <si>
    <t>Dihydrofolate reductase</t>
  </si>
  <si>
    <t>dhfR</t>
  </si>
  <si>
    <t>CAD0136750.1</t>
  </si>
  <si>
    <t>STHERMO_0609</t>
  </si>
  <si>
    <t>CAD0136752.1</t>
  </si>
  <si>
    <t>STHERMO_0610</t>
  </si>
  <si>
    <t>protein unfolding ATPase required for presentation of proteins to proteases; Maxwell's demon</t>
  </si>
  <si>
    <t>CAD0136754.1</t>
  </si>
  <si>
    <t>STHERMO_0611</t>
  </si>
  <si>
    <t>GTPase involved in ribosome 50S subunit assembly (maturation of the central 50S protuberance)</t>
  </si>
  <si>
    <t>engB</t>
  </si>
  <si>
    <t>CAD0136756.1</t>
  </si>
  <si>
    <t>STHERMO_0612</t>
  </si>
  <si>
    <t>putative aminoacid permease</t>
  </si>
  <si>
    <t>ybgF</t>
  </si>
  <si>
    <t>CAD0136758.1</t>
  </si>
  <si>
    <t>STHERMO_0613</t>
  </si>
  <si>
    <t>homocysteine methylase using (R,S)AdoMet</t>
  </si>
  <si>
    <t>ybgG</t>
  </si>
  <si>
    <t>CAD0136760.1</t>
  </si>
  <si>
    <t>STHERMO_0614</t>
  </si>
  <si>
    <t>Aldose 1-epimerase</t>
  </si>
  <si>
    <t>CAD0136762.1</t>
  </si>
  <si>
    <t>STHERMO_0615</t>
  </si>
  <si>
    <t>CAD0136764.1</t>
  </si>
  <si>
    <t>STHERMO_0616</t>
  </si>
  <si>
    <t>acylphosphate:glycerol-3-phosphate O-acyltransferase</t>
  </si>
  <si>
    <t>CAD0136766.1</t>
  </si>
  <si>
    <t>STHERMO_0617</t>
  </si>
  <si>
    <t>subunit B of DNA topoisomerase IV (ATP-dependent)</t>
  </si>
  <si>
    <t>CAD0136768.1</t>
  </si>
  <si>
    <t>STHERMO_0618</t>
  </si>
  <si>
    <t>subunit A of DNA topoisomerase IV (ATP-dependent)</t>
  </si>
  <si>
    <t>CAD0136770.1</t>
  </si>
  <si>
    <t>STHERMO_0619</t>
  </si>
  <si>
    <t>CAD0136772.1</t>
  </si>
  <si>
    <t>STHERMO_0620</t>
  </si>
  <si>
    <t>Branched-chain-amino-acid aminotransferase</t>
  </si>
  <si>
    <t>ilvE</t>
  </si>
  <si>
    <t>CAD0136774.1</t>
  </si>
  <si>
    <t>STHERMO_0621</t>
  </si>
  <si>
    <t>CAD0136776.1</t>
  </si>
  <si>
    <t>STHERMO_0622</t>
  </si>
  <si>
    <t>30S Ribosomal protein S1</t>
  </si>
  <si>
    <t>CAD0136778.1</t>
  </si>
  <si>
    <t>STHERMO_0623</t>
  </si>
  <si>
    <t>CAD0136780.1</t>
  </si>
  <si>
    <t>STHERMO_0624</t>
  </si>
  <si>
    <t>CAD0136782.1</t>
  </si>
  <si>
    <t>STHERMO_0625</t>
  </si>
  <si>
    <t>CAD0136784.1</t>
  </si>
  <si>
    <t>STHERMO_0626</t>
  </si>
  <si>
    <t>MurN protein</t>
  </si>
  <si>
    <t>CAD0136786.1</t>
  </si>
  <si>
    <t>STHERMO_0627</t>
  </si>
  <si>
    <t>Oxidoreductase NAD-binding domain protein</t>
  </si>
  <si>
    <t>CAD0136788.1</t>
  </si>
  <si>
    <t>STHERMO_0628</t>
  </si>
  <si>
    <t>CAD0136790.1</t>
  </si>
  <si>
    <t>STHERMO_0629</t>
  </si>
  <si>
    <t>NAD-dependent oxidoreductase</t>
  </si>
  <si>
    <t>CAD0136792.1</t>
  </si>
  <si>
    <t>STHERMO_0630</t>
  </si>
  <si>
    <t>CAD0136794.1</t>
  </si>
  <si>
    <t>STHERMO_0631</t>
  </si>
  <si>
    <t>CAD0136796.1</t>
  </si>
  <si>
    <t>STHERMO_0632</t>
  </si>
  <si>
    <t>Mutator mutT protein (7,8-dihydro-8-oxoguanine-triphosphatase)</t>
  </si>
  <si>
    <t>CAD0136798.1</t>
  </si>
  <si>
    <t>STHERMO_0633</t>
  </si>
  <si>
    <t>ATP-dependent Clp protease (class III stress gene)</t>
  </si>
  <si>
    <t>clpE</t>
  </si>
  <si>
    <t>CAD0136800.1</t>
  </si>
  <si>
    <t>STHERMO_0634</t>
  </si>
  <si>
    <t>Ornithine carbamoyltransferase</t>
  </si>
  <si>
    <t>CAD0136802.1</t>
  </si>
  <si>
    <t>STHERMO_0635</t>
  </si>
  <si>
    <t>CAD0136804.1</t>
  </si>
  <si>
    <t>STHERMO_0636</t>
  </si>
  <si>
    <t>putative transporter subunit: permease component of ABC superfamily transporter</t>
  </si>
  <si>
    <t>yecS</t>
  </si>
  <si>
    <t>CAD0136806.1</t>
  </si>
  <si>
    <t>STHERMO_0637</t>
  </si>
  <si>
    <t>CAD0136808.1</t>
  </si>
  <si>
    <t>STHERMO_0638</t>
  </si>
  <si>
    <t>Ferrous iron transport protein A</t>
  </si>
  <si>
    <t>CAD0136810.1</t>
  </si>
  <si>
    <t>STHERMO_0639</t>
  </si>
  <si>
    <t>Ferrous iron transport protein B</t>
  </si>
  <si>
    <t>CAD0136812.1</t>
  </si>
  <si>
    <t>STHERMO_0640</t>
  </si>
  <si>
    <t>CAD0136814.1</t>
  </si>
  <si>
    <t>STHERMO_0641</t>
  </si>
  <si>
    <t>CAD0136816.1</t>
  </si>
  <si>
    <t>STHERMO_0642</t>
  </si>
  <si>
    <t>CAD0136818.1</t>
  </si>
  <si>
    <t>STHERMO_0643</t>
  </si>
  <si>
    <t>Lysophospholipase</t>
  </si>
  <si>
    <t>CAD0136820.1</t>
  </si>
  <si>
    <t>STHERMO_0644</t>
  </si>
  <si>
    <t>methylenetetrahydrofolate dehydrogenase; methenyltetrahydrofolate cyclohydrolase</t>
  </si>
  <si>
    <t>folD</t>
  </si>
  <si>
    <t>CAD0136822.1</t>
  </si>
  <si>
    <t>STHERMO_0645</t>
  </si>
  <si>
    <t>ADP-dependent (S)-NAD(P)H-hydrate dehydratase</t>
  </si>
  <si>
    <t>nnrD</t>
  </si>
  <si>
    <t>CAD0136824.1</t>
  </si>
  <si>
    <t>STHERMO_0646</t>
  </si>
  <si>
    <t>Penicillin-binding protein 2B</t>
  </si>
  <si>
    <t>penA</t>
  </si>
  <si>
    <t>CAD0136826.1</t>
  </si>
  <si>
    <t>STHERMO_0647</t>
  </si>
  <si>
    <t>recA filament-DNA complex stabilisation factor</t>
  </si>
  <si>
    <t>CAD0136828.1</t>
  </si>
  <si>
    <t>STHERMO_0648</t>
  </si>
  <si>
    <t>endonuclease involved in 70S ribosomes quality control</t>
  </si>
  <si>
    <t>rnrY</t>
  </si>
  <si>
    <t>CAD0136836.1</t>
  </si>
  <si>
    <t>STHERMO_0652</t>
  </si>
  <si>
    <t>Undecaprenol kinase</t>
  </si>
  <si>
    <t>dgkA</t>
  </si>
  <si>
    <t>CAD0136838.1</t>
  </si>
  <si>
    <t>STHERMO_0653</t>
  </si>
  <si>
    <t>maturation of 16S RNA and assembly of 30S ribosomal subunit GTPase</t>
  </si>
  <si>
    <t>CAD0136840.1</t>
  </si>
  <si>
    <t>STHERMO_0654</t>
  </si>
  <si>
    <t>formamidopyrimidine-DNA glycosylase; 5-hydroxymethyl-uracil DNA-glycosylase</t>
  </si>
  <si>
    <t>CAD0136842.1</t>
  </si>
  <si>
    <t>STHERMO_0655</t>
  </si>
  <si>
    <t>dephosphocoenzyme A kinase</t>
  </si>
  <si>
    <t>CAD0136844.1</t>
  </si>
  <si>
    <t>STHERMO_0656</t>
  </si>
  <si>
    <t>Multi-drug resistance efflux pump PmrA</t>
  </si>
  <si>
    <t>pmrA</t>
  </si>
  <si>
    <t>CAD0136846.1</t>
  </si>
  <si>
    <t>STHERMO_0657</t>
  </si>
  <si>
    <t>CAD0136848.1</t>
  </si>
  <si>
    <t>STHERMO_0658</t>
  </si>
  <si>
    <t>Preprotein translocase subunit SecG (TC 3.A.5.1.1)</t>
  </si>
  <si>
    <t>CAD0136850.1</t>
  </si>
  <si>
    <t>STHERMO_0659</t>
  </si>
  <si>
    <t>CAD0136852.1</t>
  </si>
  <si>
    <t>STHERMO_0660</t>
  </si>
  <si>
    <t>tmRNA-binding protein</t>
  </si>
  <si>
    <t>CAD0136854.1</t>
  </si>
  <si>
    <t>STHERMO_0661</t>
  </si>
  <si>
    <t>Phosphatase / Peptidyl-prolyl cis-trans isomerase</t>
  </si>
  <si>
    <t>CAD0136856.1</t>
  </si>
  <si>
    <t>STHERMO_0662</t>
  </si>
  <si>
    <t>General stress protein 13</t>
  </si>
  <si>
    <t>CAD0136858.1</t>
  </si>
  <si>
    <t>STHERMO_0663</t>
  </si>
  <si>
    <t>Xaa-Pro dipeptidase</t>
  </si>
  <si>
    <t>pepQ</t>
  </si>
  <si>
    <t>CAD0136860.1</t>
  </si>
  <si>
    <t>STHERMO_0664</t>
  </si>
  <si>
    <t>transcriptional regulator of catabolite repression (Lacl family)</t>
  </si>
  <si>
    <t>CAD0136862.1</t>
  </si>
  <si>
    <t>STHERMO_0665</t>
  </si>
  <si>
    <t>CAD0136864.1</t>
  </si>
  <si>
    <t>STHERMO_0666</t>
  </si>
  <si>
    <t>CAD0136866.1</t>
  </si>
  <si>
    <t>STHERMO_0667</t>
  </si>
  <si>
    <t>Glycerate kinase</t>
  </si>
  <si>
    <t>glxK</t>
  </si>
  <si>
    <t>CAD0136868.1</t>
  </si>
  <si>
    <t>STHERMO_0668</t>
  </si>
  <si>
    <t>CAD0136870.1</t>
  </si>
  <si>
    <t>STHERMO_0669</t>
  </si>
  <si>
    <t>enolase</t>
  </si>
  <si>
    <t>CAD0136872.1</t>
  </si>
  <si>
    <t>STHERMO_0670</t>
  </si>
  <si>
    <t>Lipoteichoic acid synthase 2</t>
  </si>
  <si>
    <t>ltaS</t>
  </si>
  <si>
    <t>CAD0136874.1</t>
  </si>
  <si>
    <t>STHERMO_0671</t>
  </si>
  <si>
    <t>Putative ribosomal RNA large subunit methyltransferase YwbD</t>
  </si>
  <si>
    <t>ywbD</t>
  </si>
  <si>
    <t>CAD0136876.1</t>
  </si>
  <si>
    <t>STHERMO_0672</t>
  </si>
  <si>
    <t>3-dehydroquinate dehydratase</t>
  </si>
  <si>
    <t>CAD0136878.1</t>
  </si>
  <si>
    <t>STHERMO_0673</t>
  </si>
  <si>
    <t>Shikimate dehydrogenase (NADP(+))</t>
  </si>
  <si>
    <t>aroE</t>
  </si>
  <si>
    <t>CAD0136880.1</t>
  </si>
  <si>
    <t>STHERMO_0674</t>
  </si>
  <si>
    <t>CAD0136882.1</t>
  </si>
  <si>
    <t>STHERMO_0675</t>
  </si>
  <si>
    <t>aroF</t>
  </si>
  <si>
    <t>CAD0136884.1</t>
  </si>
  <si>
    <t>STHERMO_0676</t>
  </si>
  <si>
    <t>tyrA</t>
  </si>
  <si>
    <t>CAD0136886.1</t>
  </si>
  <si>
    <t>STHERMO_0677</t>
  </si>
  <si>
    <t>putative transcriptional regulator</t>
  </si>
  <si>
    <t>CAD0136888.1</t>
  </si>
  <si>
    <t>STHERMO_0678</t>
  </si>
  <si>
    <t>L-2-hydroxyisocaproate dehydrogenase</t>
  </si>
  <si>
    <t>CAD0136890.1</t>
  </si>
  <si>
    <t>STHERMO_0679</t>
  </si>
  <si>
    <t>3-phosphoshikimate 1-carboxyvinyltransferase (5-enolpyruvoylshikimate-3-phosphate synthase)</t>
  </si>
  <si>
    <t>CAD0136892.1</t>
  </si>
  <si>
    <t>STHERMO_0680</t>
  </si>
  <si>
    <t>Shikimate kinase</t>
  </si>
  <si>
    <t>aroK</t>
  </si>
  <si>
    <t>CAD0136894.1</t>
  </si>
  <si>
    <t>STHERMO_0681</t>
  </si>
  <si>
    <t>Prephenate dehydratase</t>
  </si>
  <si>
    <t>CAD0136896.1</t>
  </si>
  <si>
    <t>STHERMO_0682</t>
  </si>
  <si>
    <t>CAD0136898.1</t>
  </si>
  <si>
    <t>STHERMO_0683</t>
  </si>
  <si>
    <t>putative Regulatory protein MsrR</t>
  </si>
  <si>
    <t>CAD0136900.1</t>
  </si>
  <si>
    <t>STHERMO_0684</t>
  </si>
  <si>
    <t>Exfoliative toxin A</t>
  </si>
  <si>
    <t>CAD0136902.1</t>
  </si>
  <si>
    <t>STHERMO_0685</t>
  </si>
  <si>
    <t>Butyryl-CoA dehydrogenase</t>
  </si>
  <si>
    <t>CAD0136904.1</t>
  </si>
  <si>
    <t>STHERMO_0686</t>
  </si>
  <si>
    <t>Macrophage infectivity potentiator protein</t>
  </si>
  <si>
    <t>CAD0136906.1</t>
  </si>
  <si>
    <t>STHERMO_0687</t>
  </si>
  <si>
    <t>CAD0136908.1</t>
  </si>
  <si>
    <t>STHERMO_0688</t>
  </si>
  <si>
    <t>CAD0136910.1</t>
  </si>
  <si>
    <t>STHERMO_0689</t>
  </si>
  <si>
    <t>Excinuclease ABC subunit A</t>
  </si>
  <si>
    <t>CAD0136912.1</t>
  </si>
  <si>
    <t>STHERMO_0690</t>
  </si>
  <si>
    <t>LlaIC</t>
  </si>
  <si>
    <t>llaIC</t>
  </si>
  <si>
    <t>CAD0136914.1</t>
  </si>
  <si>
    <t>STHERMO_0691</t>
  </si>
  <si>
    <t>Modification methylase LlaI</t>
  </si>
  <si>
    <t>CAD0136916.1</t>
  </si>
  <si>
    <t>STHERMO_0692</t>
  </si>
  <si>
    <t>CAD0136918.1</t>
  </si>
  <si>
    <t>STHERMO_0693</t>
  </si>
  <si>
    <t>CAD0136920.1</t>
  </si>
  <si>
    <t>STHERMO_0694</t>
  </si>
  <si>
    <t>CRISPR-associated endonuclease Cas9 1</t>
  </si>
  <si>
    <t>CAD0136922.1</t>
  </si>
  <si>
    <t>STHERMO_0695</t>
  </si>
  <si>
    <t>CAD0136924.1</t>
  </si>
  <si>
    <t>STHERMO_0696</t>
  </si>
  <si>
    <t>CRISPR-associated endoribonuclease Cas2</t>
  </si>
  <si>
    <t>CAD0136926.1</t>
  </si>
  <si>
    <t>STHERMO_0697</t>
  </si>
  <si>
    <t>CRISPR-associated protein Cas7</t>
  </si>
  <si>
    <t>CAD0136928.1</t>
  </si>
  <si>
    <t>STHERMO_0698</t>
  </si>
  <si>
    <t>CAD0136930.1</t>
  </si>
  <si>
    <t>STHERMO_0699</t>
  </si>
  <si>
    <t>CAD0136932.1</t>
  </si>
  <si>
    <t>STHERMO_0700</t>
  </si>
  <si>
    <t>Putative two-component membrane permease complex subunit SMU_746c</t>
  </si>
  <si>
    <t>CAD0136934.1</t>
  </si>
  <si>
    <t>STHERMO_0701</t>
  </si>
  <si>
    <t>putative permease</t>
  </si>
  <si>
    <t>ycgR</t>
  </si>
  <si>
    <t>CAD0136936.1</t>
  </si>
  <si>
    <t>STHERMO_0702</t>
  </si>
  <si>
    <t>CAD0136938.1</t>
  </si>
  <si>
    <t>STHERMO_0703</t>
  </si>
  <si>
    <t>RNA helicase transcriptional accessory protein</t>
  </si>
  <si>
    <t>tex</t>
  </si>
  <si>
    <t>CAD0136940.1</t>
  </si>
  <si>
    <t>STHERMO_0704</t>
  </si>
  <si>
    <t>putative Phage shock protein C,; stress-responsive transcriptional regulator</t>
  </si>
  <si>
    <t>CAD0136942.1</t>
  </si>
  <si>
    <t>STHERMO_0705</t>
  </si>
  <si>
    <t>serine/threonine protein kinase/phosphorylase (pyrophosphate-producing)</t>
  </si>
  <si>
    <t>CAD0136944.1</t>
  </si>
  <si>
    <t>STHERMO_0706</t>
  </si>
  <si>
    <t>prelipoprotein diacylglycerol transferase</t>
  </si>
  <si>
    <t>CAD0136946.1</t>
  </si>
  <si>
    <t>STHERMO_0707</t>
  </si>
  <si>
    <t>General stress protein</t>
  </si>
  <si>
    <t>CAD0136948.1</t>
  </si>
  <si>
    <t>STHERMO_0708</t>
  </si>
  <si>
    <t>putative general stress protein</t>
  </si>
  <si>
    <t>CAD0136950.1</t>
  </si>
  <si>
    <t>STHERMO_0709</t>
  </si>
  <si>
    <t>CAD0136952.1</t>
  </si>
  <si>
    <t>STHERMO_0710</t>
  </si>
  <si>
    <t>peptidase, U32 family small subunit (C1)</t>
  </si>
  <si>
    <t>CAD0136954.1</t>
  </si>
  <si>
    <t>STHERMO_0711</t>
  </si>
  <si>
    <t>putative hydrolase large subunit</t>
  </si>
  <si>
    <t>yrrO</t>
  </si>
  <si>
    <t>CAD0136956.1</t>
  </si>
  <si>
    <t>STHERMO_0712</t>
  </si>
  <si>
    <t>Biotin transporter BioY2</t>
  </si>
  <si>
    <t>bioY</t>
  </si>
  <si>
    <t>CAD0136958.1</t>
  </si>
  <si>
    <t>STHERMO_0713</t>
  </si>
  <si>
    <t>CAD0136960.1</t>
  </si>
  <si>
    <t>STHERMO_0714</t>
  </si>
  <si>
    <t>bacterial seryl-tRNA synthetase related</t>
  </si>
  <si>
    <t>CAD0136962.1</t>
  </si>
  <si>
    <t>STHERMO_0715</t>
  </si>
  <si>
    <t>Divalent metal cation transporter MntH</t>
  </si>
  <si>
    <t>mntH</t>
  </si>
  <si>
    <t>CAD0136964.1</t>
  </si>
  <si>
    <t>STHERMO_0716</t>
  </si>
  <si>
    <t>CAD0136966.1</t>
  </si>
  <si>
    <t>STHERMO_0717</t>
  </si>
  <si>
    <t>CAD0136968.1</t>
  </si>
  <si>
    <t>STHERMO_0718</t>
  </si>
  <si>
    <t>CAD0136970.1</t>
  </si>
  <si>
    <t>STHERMO_0719</t>
  </si>
  <si>
    <t>CAD0136972.1</t>
  </si>
  <si>
    <t>STHERMO_0720</t>
  </si>
  <si>
    <t>lysyl-tRNA synthetase</t>
  </si>
  <si>
    <t>CAD0136974.1</t>
  </si>
  <si>
    <t>STHERMO_0721</t>
  </si>
  <si>
    <t>CAD0136976.1</t>
  </si>
  <si>
    <t>STHERMO_0722</t>
  </si>
  <si>
    <t>CAD0136978.1</t>
  </si>
  <si>
    <t>STHERMO_0723</t>
  </si>
  <si>
    <t>CAD0136980.1</t>
  </si>
  <si>
    <t>STHERMO_0724</t>
  </si>
  <si>
    <t>CAD0136982.1</t>
  </si>
  <si>
    <t>STHERMO_0725</t>
  </si>
  <si>
    <t>CAD0136984.1</t>
  </si>
  <si>
    <t>STHERMO_0726</t>
  </si>
  <si>
    <t>2-haloalkanoic acid dehalogenase</t>
  </si>
  <si>
    <t>CAD0136986.1</t>
  </si>
  <si>
    <t>STHERMO_0727</t>
  </si>
  <si>
    <t>CAD0136988.1</t>
  </si>
  <si>
    <t>STHERMO_0728</t>
  </si>
  <si>
    <t>Phosphoglycerate mutase family 5</t>
  </si>
  <si>
    <t>CAD0136990.1</t>
  </si>
  <si>
    <t>STHERMO_0729</t>
  </si>
  <si>
    <t>Cys-tRNA(Pro)/Cys-tRNA(Cys) deacylase</t>
  </si>
  <si>
    <t>CAD0136992.1</t>
  </si>
  <si>
    <t>STHERMO_0730</t>
  </si>
  <si>
    <t>Phage lysin, glycosyl hydrolase, family 25</t>
  </si>
  <si>
    <t>CAD0136994.1</t>
  </si>
  <si>
    <t>STHERMO_0731</t>
  </si>
  <si>
    <t>Na+ driven multidrug efflux pump</t>
  </si>
  <si>
    <t>CAD0136996.1</t>
  </si>
  <si>
    <t>STHERMO_0732</t>
  </si>
  <si>
    <t>Putative membrane spanning protein</t>
  </si>
  <si>
    <t>CAD0136998.1</t>
  </si>
  <si>
    <t>STHERMO_0733</t>
  </si>
  <si>
    <t>CAD0137000.1</t>
  </si>
  <si>
    <t>STHERMO_0734</t>
  </si>
  <si>
    <t>CAD0137002.1</t>
  </si>
  <si>
    <t>STHERMO_0735</t>
  </si>
  <si>
    <t>NADP-dependent 3-hydroxy acid dehydrogenase YdfG</t>
  </si>
  <si>
    <t>ydfG</t>
  </si>
  <si>
    <t>CAD0137004.1</t>
  </si>
  <si>
    <t>STHERMO_0736</t>
  </si>
  <si>
    <t>Type I restriction-modification system, restriction subunit R</t>
  </si>
  <si>
    <t>CAD0137006.1</t>
  </si>
  <si>
    <t>STHERMO_0737</t>
  </si>
  <si>
    <t>CAD0137008.1</t>
  </si>
  <si>
    <t>STHERMO_0738</t>
  </si>
  <si>
    <t>CAD0137010.1</t>
  </si>
  <si>
    <t>STHERMO_0739</t>
  </si>
  <si>
    <t>Type I restriction-modification system, specificity subunit S</t>
  </si>
  <si>
    <t>CAD0137012.1</t>
  </si>
  <si>
    <t>STHERMO_0740</t>
  </si>
  <si>
    <t>CAD0137014.1</t>
  </si>
  <si>
    <t>STHERMO_0741</t>
  </si>
  <si>
    <t>CAD0137016.1</t>
  </si>
  <si>
    <t>STHERMO_0742</t>
  </si>
  <si>
    <t>Type I restriction-modification system, DNA-methyltransferase subunit M</t>
  </si>
  <si>
    <t>CAD0137018.1</t>
  </si>
  <si>
    <t>STHERMO_0743</t>
  </si>
  <si>
    <t>CAD0137020.1</t>
  </si>
  <si>
    <t>STHERMO_0744</t>
  </si>
  <si>
    <t>CAD0137022.1</t>
  </si>
  <si>
    <t>STHERMO_0745</t>
  </si>
  <si>
    <t>Streptococcal extracellular nuclease 2</t>
  </si>
  <si>
    <t>CAD0137024.1</t>
  </si>
  <si>
    <t>STHERMO_0746</t>
  </si>
  <si>
    <t>Protein LemA</t>
  </si>
  <si>
    <t>lemA</t>
  </si>
  <si>
    <t>CAD0137026.1</t>
  </si>
  <si>
    <t>STHERMO_0747</t>
  </si>
  <si>
    <t>Protease HtpX homolog</t>
  </si>
  <si>
    <t>CAD0137028.1</t>
  </si>
  <si>
    <t>STHERMO_0748</t>
  </si>
  <si>
    <t>CAD0137030.1</t>
  </si>
  <si>
    <t>STHERMO_0749</t>
  </si>
  <si>
    <t>Additional lipoprotein component of predicted cobalamin ECF transporter</t>
  </si>
  <si>
    <t>CAD0137032.1</t>
  </si>
  <si>
    <t>STHERMO_0750</t>
  </si>
  <si>
    <t>Phosphoenolpyruvate carboxylase</t>
  </si>
  <si>
    <t>CAD0137034.1</t>
  </si>
  <si>
    <t>STHERMO_0751</t>
  </si>
  <si>
    <t>DNA polymerase III delta subunit</t>
  </si>
  <si>
    <t>CAD0137036.1</t>
  </si>
  <si>
    <t>STHERMO_0752</t>
  </si>
  <si>
    <t>superoxide dismutase (Mn[2+]-dependent)</t>
  </si>
  <si>
    <t>CAD0137038.1</t>
  </si>
  <si>
    <t>STHERMO_0753</t>
  </si>
  <si>
    <t>CAD0137040.1</t>
  </si>
  <si>
    <t>STHERMO_0754</t>
  </si>
  <si>
    <t>Late competence protein ComC, processing protease</t>
  </si>
  <si>
    <t>CAD0137042.1</t>
  </si>
  <si>
    <t>STHERMO_0755</t>
  </si>
  <si>
    <t>DNA protection during starvation protein</t>
  </si>
  <si>
    <t>dps</t>
  </si>
  <si>
    <t>CAD0137044.1</t>
  </si>
  <si>
    <t>STHERMO_0756</t>
  </si>
  <si>
    <t>Peroxide stress regulator PerR, FUR family</t>
  </si>
  <si>
    <t>CAD0137046.1</t>
  </si>
  <si>
    <t>STHERMO_0757</t>
  </si>
  <si>
    <t>CAD0137048.1</t>
  </si>
  <si>
    <t>STHERMO_0758</t>
  </si>
  <si>
    <t>putative single strand nucleic acid binding transcription factor</t>
  </si>
  <si>
    <t>yqgQ</t>
  </si>
  <si>
    <t>CAD0137050.1</t>
  </si>
  <si>
    <t>STHERMO_0759</t>
  </si>
  <si>
    <t>glucose kinase</t>
  </si>
  <si>
    <t>glcK</t>
  </si>
  <si>
    <t>CAD0137052.1</t>
  </si>
  <si>
    <t>STHERMO_0760</t>
  </si>
  <si>
    <t>ribosome-associated GTPase</t>
  </si>
  <si>
    <t>bipA</t>
  </si>
  <si>
    <t>CAD0137054.1</t>
  </si>
  <si>
    <t>STHERMO_0761</t>
  </si>
  <si>
    <t>CAD0137056.1</t>
  </si>
  <si>
    <t>STHERMO_0762</t>
  </si>
  <si>
    <t>UDP-N-acetylmuramoylalanyl-D-glutamate ligase</t>
  </si>
  <si>
    <t>CAD0137058.1</t>
  </si>
  <si>
    <t>STHERMO_0763</t>
  </si>
  <si>
    <t>murG</t>
  </si>
  <si>
    <t>CAD0137060.1</t>
  </si>
  <si>
    <t>STHERMO_0764</t>
  </si>
  <si>
    <t>Cell division protein ftsQ</t>
  </si>
  <si>
    <t>CAD0137062.1</t>
  </si>
  <si>
    <t>STHERMO_0765</t>
  </si>
  <si>
    <t>cell-division protein essential for Z-ring assembly</t>
  </si>
  <si>
    <t>CAD0137064.1</t>
  </si>
  <si>
    <t>STHERMO_0766</t>
  </si>
  <si>
    <t>cell-division initiation protein</t>
  </si>
  <si>
    <t>ftsZ</t>
  </si>
  <si>
    <t>CAD0137066.1</t>
  </si>
  <si>
    <t>STHERMO_0767</t>
  </si>
  <si>
    <t>putative PLP-containing enzyme</t>
  </si>
  <si>
    <t>ylmE</t>
  </si>
  <si>
    <t>CAD0137068.1</t>
  </si>
  <si>
    <t>STHERMO_0768</t>
  </si>
  <si>
    <t>Cell division protein SepF</t>
  </si>
  <si>
    <t>sepF</t>
  </si>
  <si>
    <t>CAD0137070.1</t>
  </si>
  <si>
    <t>STHERMO_0769</t>
  </si>
  <si>
    <t>putative cell division protein ()</t>
  </si>
  <si>
    <t>CAD0137072.1</t>
  </si>
  <si>
    <t>STHERMO_0770</t>
  </si>
  <si>
    <t>RNA binding protein</t>
  </si>
  <si>
    <t>CAD0137074.1</t>
  </si>
  <si>
    <t>STHERMO_0771</t>
  </si>
  <si>
    <t>Cell division protein DivIVA</t>
  </si>
  <si>
    <t>divIVA</t>
  </si>
  <si>
    <t>CAD0137076.1</t>
  </si>
  <si>
    <t>STHERMO_0772</t>
  </si>
  <si>
    <t>isoleucyl-tRNA synthetase</t>
  </si>
  <si>
    <t>CAD0137078.1</t>
  </si>
  <si>
    <t>STHERMO_0773</t>
  </si>
  <si>
    <t>CAD0137080.1</t>
  </si>
  <si>
    <t>STHERMO_0774</t>
  </si>
  <si>
    <t>CAD0137082.1</t>
  </si>
  <si>
    <t>STHERMO_0775</t>
  </si>
  <si>
    <t>CAD0137084.1</t>
  </si>
  <si>
    <t>STHERMO_0776</t>
  </si>
  <si>
    <t>Mn2+ and Fe2+ transporters of the NRAMP family</t>
  </si>
  <si>
    <t>CAD0137086.1</t>
  </si>
  <si>
    <t>STHERMO_0777</t>
  </si>
  <si>
    <t>ribosomal protein L31</t>
  </si>
  <si>
    <t>rpmEB</t>
  </si>
  <si>
    <t>CAD0137088.1</t>
  </si>
  <si>
    <t>STHERMO_0778</t>
  </si>
  <si>
    <t>apbE</t>
  </si>
  <si>
    <t>CAD0137090.1</t>
  </si>
  <si>
    <t>STHERMO_0779</t>
  </si>
  <si>
    <t>putative bifunctional oligoribonuclease and PAP phosphatase NrnA</t>
  </si>
  <si>
    <t>nrnA</t>
  </si>
  <si>
    <t>CAD0137092.1</t>
  </si>
  <si>
    <t>STHERMO_0780</t>
  </si>
  <si>
    <t>S-transferase</t>
  </si>
  <si>
    <t>CAD0137094.1</t>
  </si>
  <si>
    <t>STHERMO_0781</t>
  </si>
  <si>
    <t>Adenosine deaminase</t>
  </si>
  <si>
    <t>CAD0137096.1</t>
  </si>
  <si>
    <t>STHERMO_0782</t>
  </si>
  <si>
    <t>thymidine kinase/deoxyuridine kinase</t>
  </si>
  <si>
    <t>tdk</t>
  </si>
  <si>
    <t>CAD0137098.1</t>
  </si>
  <si>
    <t>STHERMO_0783</t>
  </si>
  <si>
    <t>CAD0137100.1</t>
  </si>
  <si>
    <t>STHERMO_0784</t>
  </si>
  <si>
    <t>Release factor glutamine methyltransferase</t>
  </si>
  <si>
    <t>CAD0137102.1</t>
  </si>
  <si>
    <t>STHERMO_0785</t>
  </si>
  <si>
    <t>Sua5 YciO YrdC YwlC family protein</t>
  </si>
  <si>
    <t>CAD0137104.1</t>
  </si>
  <si>
    <t>STHERMO_0786</t>
  </si>
  <si>
    <t>CAD0137106.1</t>
  </si>
  <si>
    <t>STHERMO_0787</t>
  </si>
  <si>
    <t>Pseudouridylate synthases, 23S RNA-specific</t>
  </si>
  <si>
    <t>CAD0137108.1</t>
  </si>
  <si>
    <t>STHERMO_0788</t>
  </si>
  <si>
    <t>Pneumococcal vaccine antigen A homolog</t>
  </si>
  <si>
    <t>pvaA</t>
  </si>
  <si>
    <t>CAD0137110.1</t>
  </si>
  <si>
    <t>STHERMO_0789</t>
  </si>
  <si>
    <t>CAD0137112.1</t>
  </si>
  <si>
    <t>STHERMO_0790</t>
  </si>
  <si>
    <t>CAD0137114.1</t>
  </si>
  <si>
    <t>STHERMO_0791</t>
  </si>
  <si>
    <t>putative component involved in D-alanylation of teichoic acids</t>
  </si>
  <si>
    <t>CAD0137116.1</t>
  </si>
  <si>
    <t>STHERMO_0792</t>
  </si>
  <si>
    <t>D-alanine--D-alanyl carrier protein ligase</t>
  </si>
  <si>
    <t>CAD0137118.1</t>
  </si>
  <si>
    <t>STHERMO_0793</t>
  </si>
  <si>
    <t>D-alanine transferase from DCP to undecaprenylphosphate for lipoteichoic acid and wall teichoic acid</t>
  </si>
  <si>
    <t>CAD0137120.1</t>
  </si>
  <si>
    <t>STHERMO_0794</t>
  </si>
  <si>
    <t>D-alanyl carrier protein</t>
  </si>
  <si>
    <t>CAD0137122.1</t>
  </si>
  <si>
    <t>STHERMO_0795</t>
  </si>
  <si>
    <t>Protein DltD</t>
  </si>
  <si>
    <t>CAD0137124.1</t>
  </si>
  <si>
    <t>STHERMO_0796</t>
  </si>
  <si>
    <t>CAD0137126.1</t>
  </si>
  <si>
    <t>STHERMO_0797</t>
  </si>
  <si>
    <t>CAD0137128.1</t>
  </si>
  <si>
    <t>STHERMO_0798</t>
  </si>
  <si>
    <t>CAD0137130.1</t>
  </si>
  <si>
    <t>STHERMO_0799</t>
  </si>
  <si>
    <t>CAD0137132.1</t>
  </si>
  <si>
    <t>STHERMO_0800</t>
  </si>
  <si>
    <t>CAD0137134.1</t>
  </si>
  <si>
    <t>STHERMO_0801</t>
  </si>
  <si>
    <t>Calcium-transporting ATPase</t>
  </si>
  <si>
    <t>CAD0137136.1</t>
  </si>
  <si>
    <t>STHERMO_0802</t>
  </si>
  <si>
    <t>Para-aminobenzoate synthase, aminase component</t>
  </si>
  <si>
    <t>CAD0137138.1</t>
  </si>
  <si>
    <t>STHERMO_0803</t>
  </si>
  <si>
    <t>CAD0137140.1</t>
  </si>
  <si>
    <t>STHERMO_0804</t>
  </si>
  <si>
    <t>CAD0137142.1</t>
  </si>
  <si>
    <t>STHERMO_0805</t>
  </si>
  <si>
    <t>CAD0137144.1</t>
  </si>
  <si>
    <t>STHERMO_0806</t>
  </si>
  <si>
    <t>putative primase</t>
  </si>
  <si>
    <t>CAD0137146.1</t>
  </si>
  <si>
    <t>STHERMO_0807</t>
  </si>
  <si>
    <t>Phage protein</t>
  </si>
  <si>
    <t>CAD0137148.1</t>
  </si>
  <si>
    <t>STHERMO_0808</t>
  </si>
  <si>
    <t>CAD0137150.1</t>
  </si>
  <si>
    <t>STHERMO_0809</t>
  </si>
  <si>
    <t>CAD0137152.1</t>
  </si>
  <si>
    <t>STHERMO_0810</t>
  </si>
  <si>
    <t>CAD0137154.1</t>
  </si>
  <si>
    <t>STHERMO_0811</t>
  </si>
  <si>
    <t>CAD0137156.1</t>
  </si>
  <si>
    <t>STHERMO_0812</t>
  </si>
  <si>
    <t>CAD0137158.1</t>
  </si>
  <si>
    <t>STHERMO_0813</t>
  </si>
  <si>
    <t>XRE family transcriptional regulator</t>
  </si>
  <si>
    <t>CAD0137160.1</t>
  </si>
  <si>
    <t>STHERMO_0814</t>
  </si>
  <si>
    <t>Antitoxin HipB</t>
  </si>
  <si>
    <t>CAD0137162.1</t>
  </si>
  <si>
    <t>STHERMO_0815</t>
  </si>
  <si>
    <t>Integrase</t>
  </si>
  <si>
    <t>CAD0137164.1</t>
  </si>
  <si>
    <t>STHERMO_0816</t>
  </si>
  <si>
    <t>CAD0137166.1</t>
  </si>
  <si>
    <t>STHERMO_0817</t>
  </si>
  <si>
    <t>5-methyltetrahydropteroyltriglutamate--homocysteine methyltransferase</t>
  </si>
  <si>
    <t>CAD0137168.1</t>
  </si>
  <si>
    <t>STHERMO_0818</t>
  </si>
  <si>
    <t>Methylenetetrahydrofolate reductase</t>
  </si>
  <si>
    <t>CAD0137170.1</t>
  </si>
  <si>
    <t>STHERMO_0819</t>
  </si>
  <si>
    <t>Phosphoglucomutase</t>
  </si>
  <si>
    <t>pgcA</t>
  </si>
  <si>
    <t>CAD0137172.1</t>
  </si>
  <si>
    <t>STHERMO_0820</t>
  </si>
  <si>
    <t>Pantothenic acid transporter PanT</t>
  </si>
  <si>
    <t>panT</t>
  </si>
  <si>
    <t>CAD0137174.1</t>
  </si>
  <si>
    <t>STHERMO_0821</t>
  </si>
  <si>
    <t>putative phosphopantothenoylcysteine decarboxylase</t>
  </si>
  <si>
    <t>CAD0137176.1</t>
  </si>
  <si>
    <t>STHERMO_0822</t>
  </si>
  <si>
    <t>Phosphopantothenoylcysteine synthetase</t>
  </si>
  <si>
    <t>CAD0137178.1</t>
  </si>
  <si>
    <t>STHERMO_0823</t>
  </si>
  <si>
    <t>Formate--tetrahydrofolate ligase</t>
  </si>
  <si>
    <t>fhs</t>
  </si>
  <si>
    <t>CAD0137180.1</t>
  </si>
  <si>
    <t>STHERMO_0824</t>
  </si>
  <si>
    <t>CAD0137182.1</t>
  </si>
  <si>
    <t>STHERMO_0825</t>
  </si>
  <si>
    <t>Response regulator receiver:transcriptional regulatory protein, C-terminal</t>
  </si>
  <si>
    <t>CAD0137184.1</t>
  </si>
  <si>
    <t>STHERMO_0826</t>
  </si>
  <si>
    <t>Sensor histidine kinase CiaH</t>
  </si>
  <si>
    <t>CAD0137186.1</t>
  </si>
  <si>
    <t>STHERMO_0827</t>
  </si>
  <si>
    <t>Histidine kinase</t>
  </si>
  <si>
    <t>CAD0137188.1</t>
  </si>
  <si>
    <t>STHERMO_0828</t>
  </si>
  <si>
    <t>putative Histidine kinase</t>
  </si>
  <si>
    <t>CAD0137190.1</t>
  </si>
  <si>
    <t>STHERMO_0829</t>
  </si>
  <si>
    <t>CAD0137192.1</t>
  </si>
  <si>
    <t>STHERMO_0830</t>
  </si>
  <si>
    <t>CAD0137194.1</t>
  </si>
  <si>
    <t>STHERMO_0831</t>
  </si>
  <si>
    <t>CAD0137196.1</t>
  </si>
  <si>
    <t>STHERMO_0832</t>
  </si>
  <si>
    <t>Pantothenate kinase</t>
  </si>
  <si>
    <t>CAD0137198.1</t>
  </si>
  <si>
    <t>STHERMO_0833</t>
  </si>
  <si>
    <t>16S rRNA m(2)G 1207 methyltransferase</t>
  </si>
  <si>
    <t>CAD0137200.1</t>
  </si>
  <si>
    <t>STHERMO_0834</t>
  </si>
  <si>
    <t>Cytidine deaminase</t>
  </si>
  <si>
    <t>CAD0137214.1</t>
  </si>
  <si>
    <t>STHERMO_0841</t>
  </si>
  <si>
    <t>lipoprotein involved in guanosine transport</t>
  </si>
  <si>
    <t>nupN</t>
  </si>
  <si>
    <t>CAD0137216.1</t>
  </si>
  <si>
    <t>STHERMO_0842</t>
  </si>
  <si>
    <t>guanosine ABC transporter (ATP-binding protein)</t>
  </si>
  <si>
    <t>nupO</t>
  </si>
  <si>
    <t>CAD0137218.1</t>
  </si>
  <si>
    <t>STHERMO_0843</t>
  </si>
  <si>
    <t>permease of ABC guanosine transporter</t>
  </si>
  <si>
    <t>nupP</t>
  </si>
  <si>
    <t>CAD0137220.1</t>
  </si>
  <si>
    <t>STHERMO_0844</t>
  </si>
  <si>
    <t>nupQ</t>
  </si>
  <si>
    <t>CAD0137222.1</t>
  </si>
  <si>
    <t>STHERMO_0845</t>
  </si>
  <si>
    <t>Hydroxyacylglutathione hydrolase</t>
  </si>
  <si>
    <t>CAD0137224.1</t>
  </si>
  <si>
    <t>STHERMO_0846</t>
  </si>
  <si>
    <t>3'-5' exonuclease DinG</t>
  </si>
  <si>
    <t>dinG</t>
  </si>
  <si>
    <t>CAD0137226.1</t>
  </si>
  <si>
    <t>STHERMO_0847</t>
  </si>
  <si>
    <t>CAD0137228.1</t>
  </si>
  <si>
    <t>STHERMO_0848</t>
  </si>
  <si>
    <t>CAD0137230.1</t>
  </si>
  <si>
    <t>STHERMO_0849</t>
  </si>
  <si>
    <t>anabolic oxaloacetate / glutamate aminotransferase</t>
  </si>
  <si>
    <t>aspB</t>
  </si>
  <si>
    <t>CAD0137232.1</t>
  </si>
  <si>
    <t>STHERMO_0850</t>
  </si>
  <si>
    <t>asparaginyl-tRNA synthetase</t>
  </si>
  <si>
    <t>CAD0137234.1</t>
  </si>
  <si>
    <t>STHERMO_0851</t>
  </si>
  <si>
    <t>CAD0137236.1</t>
  </si>
  <si>
    <t>STHERMO_0852</t>
  </si>
  <si>
    <t>CAD0137238.1</t>
  </si>
  <si>
    <t>STHERMO_0853</t>
  </si>
  <si>
    <t>CAD0137240.1</t>
  </si>
  <si>
    <t>STHERMO_0854</t>
  </si>
  <si>
    <t>CAD0137242.1</t>
  </si>
  <si>
    <t>STHERMO_0855</t>
  </si>
  <si>
    <t>CAD0137244.1</t>
  </si>
  <si>
    <t>STHERMO_0856</t>
  </si>
  <si>
    <t>CAD0137246.1</t>
  </si>
  <si>
    <t>STHERMO_0857</t>
  </si>
  <si>
    <t>aminoacrylate/iminopropionate hydrolase/deaminase</t>
  </si>
  <si>
    <t>ridA</t>
  </si>
  <si>
    <t>CAD0137248.1</t>
  </si>
  <si>
    <t>STHERMO_0858</t>
  </si>
  <si>
    <t>pre-queuosine 0 synthase</t>
  </si>
  <si>
    <t>CAD0137250.1</t>
  </si>
  <si>
    <t>STHERMO_0859</t>
  </si>
  <si>
    <t>6-carboxy-5,6,7,8-tetrahydropterin synthase</t>
  </si>
  <si>
    <t>CAD0137252.1</t>
  </si>
  <si>
    <t>STHERMO_0860</t>
  </si>
  <si>
    <t>7-carboxy-7-deazaguanine synthase</t>
  </si>
  <si>
    <t>CAD0137254.1</t>
  </si>
  <si>
    <t>STHERMO_0861</t>
  </si>
  <si>
    <t>NADPH-dependent 7-cyano-7-deazaguanine reductase</t>
  </si>
  <si>
    <t>CAD0137256.1</t>
  </si>
  <si>
    <t>STHERMO_0862</t>
  </si>
  <si>
    <t>CAD0137258.1</t>
  </si>
  <si>
    <t>STHERMO_0863</t>
  </si>
  <si>
    <t>CAD0137260.1</t>
  </si>
  <si>
    <t>STHERMO_0864</t>
  </si>
  <si>
    <t>CAD0137262.1</t>
  </si>
  <si>
    <t>STHERMO_0865</t>
  </si>
  <si>
    <t>Acid-resistant locus arl7 (Fragment)</t>
  </si>
  <si>
    <t>CAD0137264.1</t>
  </si>
  <si>
    <t>STHERMO_0866</t>
  </si>
  <si>
    <t>GTPase possibly involved in regulator sRNA degradation</t>
  </si>
  <si>
    <t>yvcJ</t>
  </si>
  <si>
    <t>CAD0137266.1</t>
  </si>
  <si>
    <t>STHERMO_0867</t>
  </si>
  <si>
    <t>metabolic checkpoint regulator; gluconeogenesis morphogenetic factor (UDP-sugar binding)</t>
  </si>
  <si>
    <t>glmR</t>
  </si>
  <si>
    <t>CAD0137268.1</t>
  </si>
  <si>
    <t>STHERMO_0868</t>
  </si>
  <si>
    <t>putative morphogen</t>
  </si>
  <si>
    <t>CAD0137270.1</t>
  </si>
  <si>
    <t>STHERMO_0869</t>
  </si>
  <si>
    <t>Dipeptidase</t>
  </si>
  <si>
    <t>CAD0137272.1</t>
  </si>
  <si>
    <t>STHERMO_0870</t>
  </si>
  <si>
    <t>CAD0137274.1</t>
  </si>
  <si>
    <t>STHERMO_0871</t>
  </si>
  <si>
    <t>CAD0137276.1</t>
  </si>
  <si>
    <t>STHERMO_0872</t>
  </si>
  <si>
    <t>cspC</t>
  </si>
  <si>
    <t>CAD0137278.1</t>
  </si>
  <si>
    <t>STHERMO_0873</t>
  </si>
  <si>
    <t>Major cold shock protein</t>
  </si>
  <si>
    <t>CAD0137280.1</t>
  </si>
  <si>
    <t>STHERMO_0874</t>
  </si>
  <si>
    <t>CAD0137282.1</t>
  </si>
  <si>
    <t>STHERMO_0875</t>
  </si>
  <si>
    <t>CAD0137284.1</t>
  </si>
  <si>
    <t>STHERMO_0876</t>
  </si>
  <si>
    <t>putative copper-transporting P-type ATPase B</t>
  </si>
  <si>
    <t>copB</t>
  </si>
  <si>
    <t>CAD0137286.1</t>
  </si>
  <si>
    <t>STHERMO_0877</t>
  </si>
  <si>
    <t>CAD0137288.1</t>
  </si>
  <si>
    <t>STHERMO_0878</t>
  </si>
  <si>
    <t>CAD0137290.1</t>
  </si>
  <si>
    <t>STHERMO_0879</t>
  </si>
  <si>
    <t>CAD0137292.1</t>
  </si>
  <si>
    <t>STHERMO_0880</t>
  </si>
  <si>
    <t>cystathionine beta-synthase for the reverse transsulfuration pathway</t>
  </si>
  <si>
    <t>mccA</t>
  </si>
  <si>
    <t>CAD0137294.1</t>
  </si>
  <si>
    <t>STHERMO_0881</t>
  </si>
  <si>
    <t>cystathionine gamma-lyase and homocysteine gamma-lyase for reverse transsulfuration pathway</t>
  </si>
  <si>
    <t>mccB</t>
  </si>
  <si>
    <t>CAD0137296.1</t>
  </si>
  <si>
    <t>STHERMO_0882</t>
  </si>
  <si>
    <t>CAD0137298.1</t>
  </si>
  <si>
    <t>STHERMO_0883</t>
  </si>
  <si>
    <t>CAD0137300.1</t>
  </si>
  <si>
    <t>STHERMO_0884</t>
  </si>
  <si>
    <t>CAD0137302.1</t>
  </si>
  <si>
    <t>STHERMO_0885</t>
  </si>
  <si>
    <t>CAD0137304.1</t>
  </si>
  <si>
    <t>STHERMO_0886</t>
  </si>
  <si>
    <t>CAD0137306.1</t>
  </si>
  <si>
    <t>STHERMO_0887</t>
  </si>
  <si>
    <t>CAD0137308.1</t>
  </si>
  <si>
    <t>STHERMO_0888</t>
  </si>
  <si>
    <t>CAD0137310.1</t>
  </si>
  <si>
    <t>STHERMO_0889</t>
  </si>
  <si>
    <t>Type I site-specific deoxyribonuclease</t>
  </si>
  <si>
    <t>CAD0137312.1</t>
  </si>
  <si>
    <t>STHERMO_0890</t>
  </si>
  <si>
    <t>Type I restriction-modification system specificity subunit</t>
  </si>
  <si>
    <t>CAD0137314.1</t>
  </si>
  <si>
    <t>STHERMO_0891</t>
  </si>
  <si>
    <t>Site-specific DNA-methyltransferase (Adenine-specific)</t>
  </si>
  <si>
    <t>CAD0137316.1</t>
  </si>
  <si>
    <t>STHERMO_0892</t>
  </si>
  <si>
    <t>Putative sugar uptake protein YxfA</t>
  </si>
  <si>
    <t>yxfA</t>
  </si>
  <si>
    <t>CAD0137318.1</t>
  </si>
  <si>
    <t>STHERMO_0893</t>
  </si>
  <si>
    <t>CAD0137320.1</t>
  </si>
  <si>
    <t>STHERMO_0894</t>
  </si>
  <si>
    <t>CAD0137322.1</t>
  </si>
  <si>
    <t>STHERMO_0895</t>
  </si>
  <si>
    <t>type I restriction-modification system restriction subunit, truncated</t>
  </si>
  <si>
    <t>CAD0137324.1</t>
  </si>
  <si>
    <t>STHERMO_0896</t>
  </si>
  <si>
    <t>CAD0137326.1</t>
  </si>
  <si>
    <t>STHERMO_0897</t>
  </si>
  <si>
    <t>CAD0137328.1</t>
  </si>
  <si>
    <t>STHERMO_0898</t>
  </si>
  <si>
    <t>CAD0137330.1</t>
  </si>
  <si>
    <t>STHERMO_0899</t>
  </si>
  <si>
    <t>Zinc-binding lipoprotein AdcA</t>
  </si>
  <si>
    <t>adcA</t>
  </si>
  <si>
    <t>CAD0137332.1</t>
  </si>
  <si>
    <t>STHERMO_0900</t>
  </si>
  <si>
    <t>CAD0137334.1</t>
  </si>
  <si>
    <t>STHERMO_0901</t>
  </si>
  <si>
    <t>CAD0137336.1</t>
  </si>
  <si>
    <t>STHERMO_0902</t>
  </si>
  <si>
    <t>CAD0137338.1</t>
  </si>
  <si>
    <t>STHERMO_0903</t>
  </si>
  <si>
    <t>CAD0137340.1</t>
  </si>
  <si>
    <t>STHERMO_0904</t>
  </si>
  <si>
    <t>CAD0137342.1</t>
  </si>
  <si>
    <t>STHERMO_0905</t>
  </si>
  <si>
    <t>CAD0137344.1</t>
  </si>
  <si>
    <t>STHERMO_0906</t>
  </si>
  <si>
    <t>CAD0137346.1</t>
  </si>
  <si>
    <t>STHERMO_0907</t>
  </si>
  <si>
    <t>CAD0137348.1</t>
  </si>
  <si>
    <t>STHERMO_0908</t>
  </si>
  <si>
    <t>Methionine biosynthesis and transport regulator MtaR, LysR family</t>
  </si>
  <si>
    <t>CAD0137350.1</t>
  </si>
  <si>
    <t>STHERMO_0909</t>
  </si>
  <si>
    <t>L-glutamine-D-fructose-6-phosphate amidotransferase</t>
  </si>
  <si>
    <t>CAD0137352.1</t>
  </si>
  <si>
    <t>STHERMO_0910</t>
  </si>
  <si>
    <t>Protein YjdM</t>
  </si>
  <si>
    <t>yjdM</t>
  </si>
  <si>
    <t>CAD0137354.1</t>
  </si>
  <si>
    <t>STHERMO_0911</t>
  </si>
  <si>
    <t>ABC transporter membrane-spanning permease -glutamine transport</t>
  </si>
  <si>
    <t>CAD0137356.1</t>
  </si>
  <si>
    <t>STHERMO_0912</t>
  </si>
  <si>
    <t>CAD0137358.1</t>
  </si>
  <si>
    <t>STHERMO_0913</t>
  </si>
  <si>
    <t>Amino acid ABC transporter, amino acid-binding protein</t>
  </si>
  <si>
    <t>CAD0137360.1</t>
  </si>
  <si>
    <t>STHERMO_0914</t>
  </si>
  <si>
    <t>CAD0137362.1</t>
  </si>
  <si>
    <t>STHERMO_0915</t>
  </si>
  <si>
    <t>Putative UV-damage repair protein UvrX</t>
  </si>
  <si>
    <t>CAD0137364.1</t>
  </si>
  <si>
    <t>STHERMO_0916</t>
  </si>
  <si>
    <t>CAD0137366.1</t>
  </si>
  <si>
    <t>STHERMO_0917</t>
  </si>
  <si>
    <t>CAD0137368.1</t>
  </si>
  <si>
    <t>STHERMO_0918</t>
  </si>
  <si>
    <t>CAD0137376.1</t>
  </si>
  <si>
    <t>STHERMO_0922</t>
  </si>
  <si>
    <t>Type III restriction-modification system DNA endonuclease res</t>
  </si>
  <si>
    <t>CAD0137378.1</t>
  </si>
  <si>
    <t>STHERMO_0923</t>
  </si>
  <si>
    <t>Putative type III restriction-modification system HindVIP enzyme mod</t>
  </si>
  <si>
    <t>CAD0137380.1</t>
  </si>
  <si>
    <t>STHERMO_0924</t>
  </si>
  <si>
    <t>GMP synthetase</t>
  </si>
  <si>
    <t>CAD0137382.1</t>
  </si>
  <si>
    <t>STHERMO_0925</t>
  </si>
  <si>
    <t>Transcriptional regulator in cluster with beta-lactamase, GntR family</t>
  </si>
  <si>
    <t>CAD0137384.1</t>
  </si>
  <si>
    <t>STHERMO_0926</t>
  </si>
  <si>
    <t>component of the signal recognition particle (SRP) protein-targeting pathway</t>
  </si>
  <si>
    <t>ylxM</t>
  </si>
  <si>
    <t>CAD0137386.1</t>
  </si>
  <si>
    <t>STHERMO_0927</t>
  </si>
  <si>
    <t>signal recognition particle-like (SRP) GTPase</t>
  </si>
  <si>
    <t>CAD0137388.1</t>
  </si>
  <si>
    <t>STHERMO_0928</t>
  </si>
  <si>
    <t>CAD0137390.1</t>
  </si>
  <si>
    <t>STHERMO_0929</t>
  </si>
  <si>
    <t>Transcriptional regulator, biotin repressor family</t>
  </si>
  <si>
    <t>CAD0137392.1</t>
  </si>
  <si>
    <t>STHERMO_0930</t>
  </si>
  <si>
    <t>Pleiotropic regulator of exopolysaccharide synthesis, competence and biofilm formation Ftr, XRE family</t>
  </si>
  <si>
    <t>CAD0137394.1</t>
  </si>
  <si>
    <t>STHERMO_0931</t>
  </si>
  <si>
    <t>ribosome biogenesis GTPase A</t>
  </si>
  <si>
    <t>rbgA</t>
  </si>
  <si>
    <t>CAD0137396.1</t>
  </si>
  <si>
    <t>STHERMO_0932</t>
  </si>
  <si>
    <t>rnhB</t>
  </si>
  <si>
    <t>CAD0137398.1</t>
  </si>
  <si>
    <t>STHERMO_0933</t>
  </si>
  <si>
    <t>CAD0137400.1</t>
  </si>
  <si>
    <t>STHERMO_0934</t>
  </si>
  <si>
    <t>DNA processing protein DprA</t>
  </si>
  <si>
    <t>CAD0137402.1</t>
  </si>
  <si>
    <t>STHERMO_0935</t>
  </si>
  <si>
    <t>CAD0137404.1</t>
  </si>
  <si>
    <t>STHERMO_0936</t>
  </si>
  <si>
    <t>DNA topoisomerase I</t>
  </si>
  <si>
    <t>CAD0137406.1</t>
  </si>
  <si>
    <t>STHERMO_0937</t>
  </si>
  <si>
    <t>Conserved membrane protein</t>
  </si>
  <si>
    <t>CAD0137408.1</t>
  </si>
  <si>
    <t>STHERMO_0938</t>
  </si>
  <si>
    <t>Transcriptional regulatory protein SpaR</t>
  </si>
  <si>
    <t>spaR</t>
  </si>
  <si>
    <t>CAD0137410.1</t>
  </si>
  <si>
    <t>STHERMO_0939</t>
  </si>
  <si>
    <t>CAD0137412.1</t>
  </si>
  <si>
    <t>STHERMO_0940</t>
  </si>
  <si>
    <t>tRNA:m(5)U-54 methyltransferase</t>
  </si>
  <si>
    <t>CAD0137414.1</t>
  </si>
  <si>
    <t>STHERMO_0941</t>
  </si>
  <si>
    <t>CAD0137416.1</t>
  </si>
  <si>
    <t>STHERMO_0942</t>
  </si>
  <si>
    <t>CAD0137418.1</t>
  </si>
  <si>
    <t>STHERMO_0943</t>
  </si>
  <si>
    <t>CAD0137420.1</t>
  </si>
  <si>
    <t>STHERMO_0944</t>
  </si>
  <si>
    <t>Nucleoside diphosphate kinase</t>
  </si>
  <si>
    <t>CAD0137422.1</t>
  </si>
  <si>
    <t>STHERMO_0945</t>
  </si>
  <si>
    <t>putative Sulfurtransferase Alvin_2599</t>
  </si>
  <si>
    <t>CAD0137424.1</t>
  </si>
  <si>
    <t>STHERMO_0946</t>
  </si>
  <si>
    <t>Cysteine ABC transporter, substrate-binding protein</t>
  </si>
  <si>
    <t>CAD0137426.1</t>
  </si>
  <si>
    <t>STHERMO_0947</t>
  </si>
  <si>
    <t>putative enzyme</t>
  </si>
  <si>
    <t>CAD0137428.1</t>
  </si>
  <si>
    <t>STHERMO_0948</t>
  </si>
  <si>
    <t>CAD0137430.1</t>
  </si>
  <si>
    <t>STHERMO_0949</t>
  </si>
  <si>
    <t>Short-chain dehydrogenase/reductase</t>
  </si>
  <si>
    <t>CAD0137432.1</t>
  </si>
  <si>
    <t>STHERMO_0950</t>
  </si>
  <si>
    <t>ribosomal elongation factor, GTPase</t>
  </si>
  <si>
    <t>CAD0137434.1</t>
  </si>
  <si>
    <t>STHERMO_0951</t>
  </si>
  <si>
    <t>CAD0137436.1</t>
  </si>
  <si>
    <t>STHERMO_0952</t>
  </si>
  <si>
    <t>CAD0137438.1</t>
  </si>
  <si>
    <t>STHERMO_0953</t>
  </si>
  <si>
    <t>CAD0137440.1</t>
  </si>
  <si>
    <t>STHERMO_0954</t>
  </si>
  <si>
    <t>higA</t>
  </si>
  <si>
    <t>CAD0137442.1</t>
  </si>
  <si>
    <t>STHERMO_0955</t>
  </si>
  <si>
    <t>CAD0137444.1</t>
  </si>
  <si>
    <t>STHERMO_0956</t>
  </si>
  <si>
    <t>HTH-type transcriptional regulator rgg</t>
  </si>
  <si>
    <t>CAD0137446.1</t>
  </si>
  <si>
    <t>STHERMO_0957</t>
  </si>
  <si>
    <t>CAD0137448.1</t>
  </si>
  <si>
    <t>STHERMO_0958</t>
  </si>
  <si>
    <t>CAD0137450.1</t>
  </si>
  <si>
    <t>STHERMO_0959</t>
  </si>
  <si>
    <t>radical SAM domain protein</t>
  </si>
  <si>
    <t>CAD0137452.1</t>
  </si>
  <si>
    <t>STHERMO_0960</t>
  </si>
  <si>
    <t>Agmatinase (Agmatine ureohydrolase) (SpeB-1)</t>
  </si>
  <si>
    <t>CAD0137454.1</t>
  </si>
  <si>
    <t>STHERMO_0961</t>
  </si>
  <si>
    <t>CAD0137456.1</t>
  </si>
  <si>
    <t>STHERMO_0962</t>
  </si>
  <si>
    <t>alpha-acetolactate synthase</t>
  </si>
  <si>
    <t>CAD0137458.1</t>
  </si>
  <si>
    <t>STHERMO_0963</t>
  </si>
  <si>
    <t>Alpha-acetolactate decarboxylase</t>
  </si>
  <si>
    <t>aldC</t>
  </si>
  <si>
    <t>CAD0137460.1</t>
  </si>
  <si>
    <t>STHERMO_0964</t>
  </si>
  <si>
    <t>CAD0137462.1</t>
  </si>
  <si>
    <t>STHERMO_0966</t>
  </si>
  <si>
    <t>CAD0137464.1</t>
  </si>
  <si>
    <t>STHERMO_0965</t>
  </si>
  <si>
    <t>CAD0137466.1</t>
  </si>
  <si>
    <t>STHERMO_0967</t>
  </si>
  <si>
    <t>CAD0137468.1</t>
  </si>
  <si>
    <t>STHERMO_0968</t>
  </si>
  <si>
    <t>CAD0137470.1</t>
  </si>
  <si>
    <t>STHERMO_0969</t>
  </si>
  <si>
    <t>CAD0137472.1</t>
  </si>
  <si>
    <t>STHERMO_0970</t>
  </si>
  <si>
    <t>Retinol dehydrogenase 14</t>
  </si>
  <si>
    <t>CAD0137474.1</t>
  </si>
  <si>
    <t>STHERMO_0971</t>
  </si>
  <si>
    <t>CAD0137476.1</t>
  </si>
  <si>
    <t>STHERMO_0972</t>
  </si>
  <si>
    <t>Transcriptional regulator SczA, TetR family</t>
  </si>
  <si>
    <t>CAD0137478.1</t>
  </si>
  <si>
    <t>STHERMO_0973</t>
  </si>
  <si>
    <t>Cobalt-zinc-cadmium resistance protein CzcD</t>
  </si>
  <si>
    <t>CAD0137480.1</t>
  </si>
  <si>
    <t>STHERMO_0974</t>
  </si>
  <si>
    <t>Ferrochelatase, protoheme ferro-lyase</t>
  </si>
  <si>
    <t>CAD0137482.1</t>
  </si>
  <si>
    <t>STHERMO_0975</t>
  </si>
  <si>
    <t>Ferrochelatase (modular protein)</t>
  </si>
  <si>
    <t>CAD0137484.1</t>
  </si>
  <si>
    <t>STHERMO_0976</t>
  </si>
  <si>
    <t>Alcohol dehydrogenase, zinc-containing</t>
  </si>
  <si>
    <t>adhB</t>
  </si>
  <si>
    <t>CAD0137486.1</t>
  </si>
  <si>
    <t>STHERMO_0977</t>
  </si>
  <si>
    <t>CAD0137488.1</t>
  </si>
  <si>
    <t>STHERMO_0978</t>
  </si>
  <si>
    <t>CAD0137490.1</t>
  </si>
  <si>
    <t>STHERMO_0979</t>
  </si>
  <si>
    <t>CAD0137492.1</t>
  </si>
  <si>
    <t>STHERMO_0980</t>
  </si>
  <si>
    <t>Cell surface hydrolase</t>
  </si>
  <si>
    <t>CAD0137494.1</t>
  </si>
  <si>
    <t>STHERMO_0981</t>
  </si>
  <si>
    <t>CAD0137496.1</t>
  </si>
  <si>
    <t>STHERMO_0982</t>
  </si>
  <si>
    <t>CAD0137498.1</t>
  </si>
  <si>
    <t>STHERMO_0983</t>
  </si>
  <si>
    <t>CAD0137500.1</t>
  </si>
  <si>
    <t>STHERMO_0984</t>
  </si>
  <si>
    <t>CAD0137502.1</t>
  </si>
  <si>
    <t>STHERMO_0985</t>
  </si>
  <si>
    <t>Phosphoglycolate phosphatase</t>
  </si>
  <si>
    <t>CAD0137504.1</t>
  </si>
  <si>
    <t>STHERMO_0986</t>
  </si>
  <si>
    <t>ferrichrome ABC transporter, substrate-binding protein, truncated</t>
  </si>
  <si>
    <t>CAD0137506.1</t>
  </si>
  <si>
    <t>STHERMO_0987</t>
  </si>
  <si>
    <t>CAD0137508.1</t>
  </si>
  <si>
    <t>STHERMO_0988</t>
  </si>
  <si>
    <t>CAD0137510.1</t>
  </si>
  <si>
    <t>STHERMO_0989</t>
  </si>
  <si>
    <t>CAD0137512.1</t>
  </si>
  <si>
    <t>STHERMO_0990</t>
  </si>
  <si>
    <t>MATE efflux family protein DinF</t>
  </si>
  <si>
    <t>CAD0137514.1</t>
  </si>
  <si>
    <t>STHERMO_0991</t>
  </si>
  <si>
    <t>CAD0137516.1</t>
  </si>
  <si>
    <t>STHERMO_0992</t>
  </si>
  <si>
    <t>CAD0137518.1</t>
  </si>
  <si>
    <t>STHERMO_0993</t>
  </si>
  <si>
    <t>CAD0137520.1</t>
  </si>
  <si>
    <t>STHERMO_0994</t>
  </si>
  <si>
    <t>Fibronectin/fibrinogen-binding protein</t>
  </si>
  <si>
    <t>CAD0137522.1</t>
  </si>
  <si>
    <t>STHERMO_0995</t>
  </si>
  <si>
    <t>CAD0137524.1</t>
  </si>
  <si>
    <t>STHERMO_0996</t>
  </si>
  <si>
    <t>ThiJ/PfpI family protein</t>
  </si>
  <si>
    <t>CAD0137526.1</t>
  </si>
  <si>
    <t>STHERMO_0997</t>
  </si>
  <si>
    <t>dihydroorotate dehydrogenase (electron transfer subunit)</t>
  </si>
  <si>
    <t>pyrK</t>
  </si>
  <si>
    <t>CAD0137528.1</t>
  </si>
  <si>
    <t>STHERMO_0998</t>
  </si>
  <si>
    <t>dihydroorotate dehydrogenase (catalytic subunit)</t>
  </si>
  <si>
    <t>pyrD</t>
  </si>
  <si>
    <t>CAD0137530.1</t>
  </si>
  <si>
    <t>STHERMO_0999</t>
  </si>
  <si>
    <t>CRISPR-associated protein Cas1</t>
  </si>
  <si>
    <t>CAD0137532.1</t>
  </si>
  <si>
    <t>STHERMO_1000</t>
  </si>
  <si>
    <t>CAD0137534.1</t>
  </si>
  <si>
    <t>STHERMO_1001</t>
  </si>
  <si>
    <t>CRISPR-associated protein Cas2</t>
  </si>
  <si>
    <t>CAD0137536.1</t>
  </si>
  <si>
    <t>STHERMO_1002</t>
  </si>
  <si>
    <t>CAD0137538.1</t>
  </si>
  <si>
    <t>STHERMO_1003</t>
  </si>
  <si>
    <t>cas</t>
  </si>
  <si>
    <t>CAD0137540.1</t>
  </si>
  <si>
    <t>STHERMO_1004</t>
  </si>
  <si>
    <t>CRISPR system single-strand-specific deoxyribonuclease Cas10/Csm1 (subtype III-A)</t>
  </si>
  <si>
    <t>CAD0137542.1</t>
  </si>
  <si>
    <t>STHERMO_1005</t>
  </si>
  <si>
    <t>CRISPR system Cms protein Csm2</t>
  </si>
  <si>
    <t>csm</t>
  </si>
  <si>
    <t>CAD0137544.1</t>
  </si>
  <si>
    <t>STHERMO_1006</t>
  </si>
  <si>
    <t>CRISPR system Cms endoribonuclease Csm3</t>
  </si>
  <si>
    <t>CAD0137546.1</t>
  </si>
  <si>
    <t>STHERMO_1007</t>
  </si>
  <si>
    <t>CRISPR system Cms protein Csm4</t>
  </si>
  <si>
    <t>CAD0137548.1</t>
  </si>
  <si>
    <t>STHERMO_1008</t>
  </si>
  <si>
    <t>CRISPR system Cms protein Csm5</t>
  </si>
  <si>
    <t>CAD0137550.1</t>
  </si>
  <si>
    <t>STHERMO_1009</t>
  </si>
  <si>
    <t>CAD0137552.1</t>
  </si>
  <si>
    <t>STHERMO_1010</t>
  </si>
  <si>
    <t>CAD0137554.1</t>
  </si>
  <si>
    <t>STHERMO_1011</t>
  </si>
  <si>
    <t>orotidine 5'-phosphate decarboxylase</t>
  </si>
  <si>
    <t>CAD0137556.1</t>
  </si>
  <si>
    <t>STHERMO_1012</t>
  </si>
  <si>
    <t>CAD0137558.1</t>
  </si>
  <si>
    <t>STHERMO_1013</t>
  </si>
  <si>
    <t>CAD0137560.1</t>
  </si>
  <si>
    <t>STHERMO_1014</t>
  </si>
  <si>
    <t>di-tripeptide-proton ABC symporter</t>
  </si>
  <si>
    <t>dtpT</t>
  </si>
  <si>
    <t>CAD0137562.1</t>
  </si>
  <si>
    <t>STHERMO_1015</t>
  </si>
  <si>
    <t>CAD0137564.1</t>
  </si>
  <si>
    <t>STHERMO_1016</t>
  </si>
  <si>
    <t>Amidase</t>
  </si>
  <si>
    <t>CAD0137566.1</t>
  </si>
  <si>
    <t>STHERMO_1017</t>
  </si>
  <si>
    <t>Putative amino acid ABC transporter, permease protein</t>
  </si>
  <si>
    <t>CAD0137572.1</t>
  </si>
  <si>
    <t>STHERMO_1020</t>
  </si>
  <si>
    <t>Cystine transport system permease protein</t>
  </si>
  <si>
    <t>CAD0137574.1</t>
  </si>
  <si>
    <t>STHERMO_1021</t>
  </si>
  <si>
    <t>Putative exported protein</t>
  </si>
  <si>
    <t>CAD0137576.1</t>
  </si>
  <si>
    <t>STHERMO_1022</t>
  </si>
  <si>
    <t>CAD0137578.1</t>
  </si>
  <si>
    <t>STHERMO_1023</t>
  </si>
  <si>
    <t>CAD0137580.1</t>
  </si>
  <si>
    <t>STHERMO_1024</t>
  </si>
  <si>
    <t>Transcriptional regulator, AraC family</t>
  </si>
  <si>
    <t>CAD0137582.1</t>
  </si>
  <si>
    <t>STHERMO_1025</t>
  </si>
  <si>
    <t>AraC family transcriptional regulator</t>
  </si>
  <si>
    <t>CAD0137584.1</t>
  </si>
  <si>
    <t>STHERMO_1026</t>
  </si>
  <si>
    <t>tRNA modification GTPase and tRNA-U34 5-formylation enzyme</t>
  </si>
  <si>
    <t>CAD0137586.1</t>
  </si>
  <si>
    <t>STHERMO_1027</t>
  </si>
  <si>
    <t>Uncharacterized transporter HI_0883</t>
  </si>
  <si>
    <t>CAD0137588.1</t>
  </si>
  <si>
    <t>STHERMO_1028</t>
  </si>
  <si>
    <t>ATP-dependent DNA helicase</t>
  </si>
  <si>
    <t>CAD0137590.1</t>
  </si>
  <si>
    <t>STHERMO_1029</t>
  </si>
  <si>
    <t>O-acetyl-L-homoserine sulfhydrylase</t>
  </si>
  <si>
    <t>metY</t>
  </si>
  <si>
    <t>CAD0137592.1</t>
  </si>
  <si>
    <t>STHERMO_1030</t>
  </si>
  <si>
    <t>CAD0137594.1</t>
  </si>
  <si>
    <t>STHERMO_1031</t>
  </si>
  <si>
    <t>CAD0137596.1</t>
  </si>
  <si>
    <t>STHERMO_1032</t>
  </si>
  <si>
    <t>Thiol peroxidase</t>
  </si>
  <si>
    <t>CAD0137598.1</t>
  </si>
  <si>
    <t>STHERMO_1033</t>
  </si>
  <si>
    <t>CAD0137600.1</t>
  </si>
  <si>
    <t>STHERMO_1034</t>
  </si>
  <si>
    <t>CAD0137602.1</t>
  </si>
  <si>
    <t>STHERMO_1035</t>
  </si>
  <si>
    <t>CAD0137604.1</t>
  </si>
  <si>
    <t>STHERMO_1036</t>
  </si>
  <si>
    <t>CAD0137606.1</t>
  </si>
  <si>
    <t>STHERMO_1037</t>
  </si>
  <si>
    <t>tRNA pseudouridine 55 synthase</t>
  </si>
  <si>
    <t>CAD0137608.1</t>
  </si>
  <si>
    <t>STHERMO_1038</t>
  </si>
  <si>
    <t>Riboflavin kinase,FMN adenylyltransferase</t>
  </si>
  <si>
    <t>CAD0137610.1</t>
  </si>
  <si>
    <t>STHERMO_1039</t>
  </si>
  <si>
    <t>redox-sensitive regulator</t>
  </si>
  <si>
    <t>CAD0137612.1</t>
  </si>
  <si>
    <t>STHERMO_1040</t>
  </si>
  <si>
    <t>CAD0137614.1</t>
  </si>
  <si>
    <t>STHERMO_1041</t>
  </si>
  <si>
    <t>Inositol-1-monophosphatase</t>
  </si>
  <si>
    <t>CAD0137616.1</t>
  </si>
  <si>
    <t>STHERMO_1042</t>
  </si>
  <si>
    <t>tRNA and rRNA cytosine-C5-methylases</t>
  </si>
  <si>
    <t>CAD0137618.1</t>
  </si>
  <si>
    <t>STHERMO_1043</t>
  </si>
  <si>
    <t>phosphate ABC transporter (phosphate binding lipoprotein)</t>
  </si>
  <si>
    <t>pstS</t>
  </si>
  <si>
    <t>CAD0137620.1</t>
  </si>
  <si>
    <t>STHERMO_1044</t>
  </si>
  <si>
    <t>phosphate ABC transporter (permease)</t>
  </si>
  <si>
    <t>CAD0137622.1</t>
  </si>
  <si>
    <t>STHERMO_1045</t>
  </si>
  <si>
    <t>CAD0137624.1</t>
  </si>
  <si>
    <t>STHERMO_1046</t>
  </si>
  <si>
    <t>phosphate ABC transporter (ATP-binding protein)</t>
  </si>
  <si>
    <t>pstBA</t>
  </si>
  <si>
    <t>CAD0137626.1</t>
  </si>
  <si>
    <t>STHERMO_1047</t>
  </si>
  <si>
    <t>CAD0137628.1</t>
  </si>
  <si>
    <t>STHERMO_1048</t>
  </si>
  <si>
    <t>Phosphate-specific transport system accessory protein PhoU</t>
  </si>
  <si>
    <t>CAD0137630.1</t>
  </si>
  <si>
    <t>STHERMO_1049</t>
  </si>
  <si>
    <t>Aminopeptidase N</t>
  </si>
  <si>
    <t>pepN</t>
  </si>
  <si>
    <t>CAD0137632.1</t>
  </si>
  <si>
    <t>STHERMO_1050</t>
  </si>
  <si>
    <t>Tyrosine recombinase XerS</t>
  </si>
  <si>
    <t>CAD0137634.1</t>
  </si>
  <si>
    <t>STHERMO_1051</t>
  </si>
  <si>
    <t>CAD0137636.1</t>
  </si>
  <si>
    <t>STHERMO_1052</t>
  </si>
  <si>
    <t>Lipoate-protein ligase LplJ</t>
  </si>
  <si>
    <t>lplJ</t>
  </si>
  <si>
    <t>CAD0137638.1</t>
  </si>
  <si>
    <t>STHERMO_1053</t>
  </si>
  <si>
    <t>CAD0137640.1</t>
  </si>
  <si>
    <t>STHERMO_1054</t>
  </si>
  <si>
    <t>CAD0137642.1</t>
  </si>
  <si>
    <t>STHERMO_1055</t>
  </si>
  <si>
    <t>Maltodextrin phosphorylase</t>
  </si>
  <si>
    <t>malP</t>
  </si>
  <si>
    <t>CAD0137644.1</t>
  </si>
  <si>
    <t>STHERMO_1056</t>
  </si>
  <si>
    <t>CAD0137646.1</t>
  </si>
  <si>
    <t>STHERMO_1057</t>
  </si>
  <si>
    <t>Maltose operon transcriptional repressor MalR, LacI family</t>
  </si>
  <si>
    <t>CAD0137648.1</t>
  </si>
  <si>
    <t>STHERMO_1058</t>
  </si>
  <si>
    <t>Maltose/maltodextrin-binding protein</t>
  </si>
  <si>
    <t>CAD0137650.1</t>
  </si>
  <si>
    <t>STHERMO_1059</t>
  </si>
  <si>
    <t>Maltose/maltodextrin ABC transporter, substrate binding periplasmic protein MalE</t>
  </si>
  <si>
    <t>CAD0137652.1</t>
  </si>
  <si>
    <t>STHERMO_1060</t>
  </si>
  <si>
    <t>CAD0137654.1</t>
  </si>
  <si>
    <t>STHERMO_1061</t>
  </si>
  <si>
    <t>MalC</t>
  </si>
  <si>
    <t>CAD0137656.1</t>
  </si>
  <si>
    <t>STHERMO_1062</t>
  </si>
  <si>
    <t>CAD0137658.1</t>
  </si>
  <si>
    <t>STHERMO_1063</t>
  </si>
  <si>
    <t>Sec-independent protein translocase protein TatA</t>
  </si>
  <si>
    <t>tatA</t>
  </si>
  <si>
    <t>CAD0137660.1</t>
  </si>
  <si>
    <t>STHERMO_1064</t>
  </si>
  <si>
    <t>component of the twin-arginine pre-protein translocation pathway</t>
  </si>
  <si>
    <t>tatCD</t>
  </si>
  <si>
    <t>CAD0137662.1</t>
  </si>
  <si>
    <t>STHERMO_1065</t>
  </si>
  <si>
    <t>Ferrous iron transport permease EfeU</t>
  </si>
  <si>
    <t>CAD0137664.1</t>
  </si>
  <si>
    <t>STHERMO_1066</t>
  </si>
  <si>
    <t>peroxidase converting ferric iron into ferrous iron</t>
  </si>
  <si>
    <t>CAD0137666.1</t>
  </si>
  <si>
    <t>STHERMO_1067</t>
  </si>
  <si>
    <t>Efem/EfeO family lipoprotein</t>
  </si>
  <si>
    <t>CAD0137668.1</t>
  </si>
  <si>
    <t>STHERMO_1068</t>
  </si>
  <si>
    <t>Iron compound ABC uptake transporter substrate-binding protein PiuA</t>
  </si>
  <si>
    <t>CAD0137670.1</t>
  </si>
  <si>
    <t>STHERMO_1069</t>
  </si>
  <si>
    <t>petrobactin iron-siderophore ABC transporter (ATP-binding protein)</t>
  </si>
  <si>
    <t>pbtP</t>
  </si>
  <si>
    <t>CAD0137672.1</t>
  </si>
  <si>
    <t>STHERMO_1070</t>
  </si>
  <si>
    <t>Iron compound ABC uptake transporter permease protein PiuC</t>
  </si>
  <si>
    <t>CAD0137674.1</t>
  </si>
  <si>
    <t>STHERMO_1071</t>
  </si>
  <si>
    <t>Iron compound ABC uptake transporter permease protein PiuB</t>
  </si>
  <si>
    <t>CAD0137676.1</t>
  </si>
  <si>
    <t>STHERMO_1072</t>
  </si>
  <si>
    <t>alkaline amylopullulanase, truncated</t>
  </si>
  <si>
    <t>CAD0137678.1</t>
  </si>
  <si>
    <t>STHERMO_1073</t>
  </si>
  <si>
    <t>CAD0137680.1</t>
  </si>
  <si>
    <t>STHERMO_1074</t>
  </si>
  <si>
    <t>Alkaline amylopullulanase</t>
  </si>
  <si>
    <t>CAD0137682.1</t>
  </si>
  <si>
    <t>STHERMO_1075</t>
  </si>
  <si>
    <t>CAD0137684.1</t>
  </si>
  <si>
    <t>STHERMO_1076</t>
  </si>
  <si>
    <t>CAD0137686.1</t>
  </si>
  <si>
    <t>STHERMO_1077</t>
  </si>
  <si>
    <t>CAD0137688.1</t>
  </si>
  <si>
    <t>STHERMO_1078</t>
  </si>
  <si>
    <t>CAD0137690.1</t>
  </si>
  <si>
    <t>STHERMO_1079</t>
  </si>
  <si>
    <t>CAD0137692.1</t>
  </si>
  <si>
    <t>STHERMO_1080</t>
  </si>
  <si>
    <t>CAD0137694.1</t>
  </si>
  <si>
    <t>STHERMO_1081</t>
  </si>
  <si>
    <t>Tyrosine--tRNA ligase 2</t>
  </si>
  <si>
    <t>CAD0137696.1</t>
  </si>
  <si>
    <t>STHERMO_1082</t>
  </si>
  <si>
    <t>CAD0137698.1</t>
  </si>
  <si>
    <t>STHERMO_1083</t>
  </si>
  <si>
    <t>CAD0137700.1</t>
  </si>
  <si>
    <t>STHERMO_1084</t>
  </si>
  <si>
    <t>CAD0137702.1</t>
  </si>
  <si>
    <t>STHERMO_1085</t>
  </si>
  <si>
    <t>CAD0137704.1</t>
  </si>
  <si>
    <t>STHERMO_1086</t>
  </si>
  <si>
    <t>CAD0137706.1</t>
  </si>
  <si>
    <t>STHERMO_1087</t>
  </si>
  <si>
    <t>CAD0137708.1</t>
  </si>
  <si>
    <t>STHERMO_1088</t>
  </si>
  <si>
    <t>CAD0137710.1</t>
  </si>
  <si>
    <t>STHERMO_1089</t>
  </si>
  <si>
    <t>Dihydrolipoamide dehydrogenase of acetoin dehydrogenase</t>
  </si>
  <si>
    <t>CAD0137712.1</t>
  </si>
  <si>
    <t>STHERMO_1090</t>
  </si>
  <si>
    <t>Dihydrolipoamide acetyltransferase component (E2) of acetoin dehydrogenase complex</t>
  </si>
  <si>
    <t>CAD0137714.1</t>
  </si>
  <si>
    <t>STHERMO_1091</t>
  </si>
  <si>
    <t>acetoin dehydrogenase E1 component (TPP-dependent beta subunit)</t>
  </si>
  <si>
    <t>acoB</t>
  </si>
  <si>
    <t>CAD0137716.1</t>
  </si>
  <si>
    <t>STHERMO_1092</t>
  </si>
  <si>
    <t>acetoin dehydrogenase E1 component (TPP-dependent alpha subunit)</t>
  </si>
  <si>
    <t>acoA</t>
  </si>
  <si>
    <t>CAD0137718.1</t>
  </si>
  <si>
    <t>STHERMO_1093</t>
  </si>
  <si>
    <t>CAD0137720.1</t>
  </si>
  <si>
    <t>STHERMO_1094</t>
  </si>
  <si>
    <t>CAD0137722.1</t>
  </si>
  <si>
    <t>STHERMO_1095</t>
  </si>
  <si>
    <t>CAD0137724.1</t>
  </si>
  <si>
    <t>STHERMO_1096</t>
  </si>
  <si>
    <t>CAD0137726.1</t>
  </si>
  <si>
    <t>STHERMO_1097</t>
  </si>
  <si>
    <t>exported protein of unknown function</t>
  </si>
  <si>
    <t>CAD0137728.1</t>
  </si>
  <si>
    <t>STHERMO_1098</t>
  </si>
  <si>
    <t>Dihydroorotase</t>
  </si>
  <si>
    <t>pyrC</t>
  </si>
  <si>
    <t>CAD0137730.1</t>
  </si>
  <si>
    <t>STHERMO_1099</t>
  </si>
  <si>
    <t>ung</t>
  </si>
  <si>
    <t>CAD0137732.1</t>
  </si>
  <si>
    <t>STHERMO_1100</t>
  </si>
  <si>
    <t>Cobalt-zinc-cadmium resistance protein</t>
  </si>
  <si>
    <t>CAD0137734.1</t>
  </si>
  <si>
    <t>STHERMO_1101</t>
  </si>
  <si>
    <t>D-alanyl-D-alanine-carboxypeptidase, penicillin-binding protein, truncated</t>
  </si>
  <si>
    <t>CAD0137736.1</t>
  </si>
  <si>
    <t>STHERMO_1102</t>
  </si>
  <si>
    <t>CAD0137738.1</t>
  </si>
  <si>
    <t>STHERMO_1103</t>
  </si>
  <si>
    <t>CAD0137740.1</t>
  </si>
  <si>
    <t>STHERMO_1104</t>
  </si>
  <si>
    <t>Serine protease</t>
  </si>
  <si>
    <t>CAD0137742.1</t>
  </si>
  <si>
    <t>STHERMO_1105</t>
  </si>
  <si>
    <t>Lipase/Acylhydrolase family protein</t>
  </si>
  <si>
    <t>CAD0137744.1</t>
  </si>
  <si>
    <t>STHERMO_1106</t>
  </si>
  <si>
    <t>Ubiquinone biosynthesis monooxygenase UbiB</t>
  </si>
  <si>
    <t>CAD0137746.1</t>
  </si>
  <si>
    <t>STHERMO_1107</t>
  </si>
  <si>
    <t>CAD0137748.1</t>
  </si>
  <si>
    <t>STHERMO_1108</t>
  </si>
  <si>
    <t>CAD0137758.1</t>
  </si>
  <si>
    <t>STHERMO_1113</t>
  </si>
  <si>
    <t>CAD0137760.1</t>
  </si>
  <si>
    <t>STHERMO_1114</t>
  </si>
  <si>
    <t>CpsX</t>
  </si>
  <si>
    <t>CAD0137762.1</t>
  </si>
  <si>
    <t>STHERMO_1115</t>
  </si>
  <si>
    <t>CAD0137764.1</t>
  </si>
  <si>
    <t>STHERMO_1116</t>
  </si>
  <si>
    <t>CAD0137766.1</t>
  </si>
  <si>
    <t>STHERMO_1117</t>
  </si>
  <si>
    <t>CAD0137768.1</t>
  </si>
  <si>
    <t>STHERMO_1118</t>
  </si>
  <si>
    <t>CAD0137770.1</t>
  </si>
  <si>
    <t>STHERMO_1119</t>
  </si>
  <si>
    <t>CAD0137772.1</t>
  </si>
  <si>
    <t>STHERMO_1120</t>
  </si>
  <si>
    <t>CAD0137774.1</t>
  </si>
  <si>
    <t>STHERMO_1121</t>
  </si>
  <si>
    <t>CAD0137776.1</t>
  </si>
  <si>
    <t>STHERMO_1122</t>
  </si>
  <si>
    <t>Eps6N</t>
  </si>
  <si>
    <t>eps6N</t>
  </si>
  <si>
    <t>CAD0137778.1</t>
  </si>
  <si>
    <t>STHERMO_1123</t>
  </si>
  <si>
    <t>Capsular biosynthesis protein</t>
  </si>
  <si>
    <t>CAD0137780.1</t>
  </si>
  <si>
    <t>STHERMO_1124</t>
  </si>
  <si>
    <t>UDP-galactopyranose mutase, FAD/NAD(P)-binding</t>
  </si>
  <si>
    <t>CAD0137782.1</t>
  </si>
  <si>
    <t>STHERMO_1125</t>
  </si>
  <si>
    <t>Acyltransferase</t>
  </si>
  <si>
    <t>CAD0137784.1</t>
  </si>
  <si>
    <t>STHERMO_1126</t>
  </si>
  <si>
    <t>CAD0137786.1</t>
  </si>
  <si>
    <t>STHERMO_1127</t>
  </si>
  <si>
    <t>Tyrosine-protein phosphatase CpsB</t>
  </si>
  <si>
    <t>CAD0137788.1</t>
  </si>
  <si>
    <t>STHERMO_1128</t>
  </si>
  <si>
    <t>Exopolysaccharide biosynthesis transcriptional activator EpsA</t>
  </si>
  <si>
    <t>CAD0137790.1</t>
  </si>
  <si>
    <t>STHERMO_1129</t>
  </si>
  <si>
    <t>purine nucleoside phosphorylase</t>
  </si>
  <si>
    <t>CAD0137792.1</t>
  </si>
  <si>
    <t>STHERMO_1130</t>
  </si>
  <si>
    <t>Glutamine amidotransferase (GMP synthase)</t>
  </si>
  <si>
    <t>gat</t>
  </si>
  <si>
    <t>CAD0137794.1</t>
  </si>
  <si>
    <t>STHERMO_1131</t>
  </si>
  <si>
    <t>CAD0137796.1</t>
  </si>
  <si>
    <t>STHERMO_1132</t>
  </si>
  <si>
    <t>CAD0137798.1</t>
  </si>
  <si>
    <t>STHERMO_1133</t>
  </si>
  <si>
    <t>pupG</t>
  </si>
  <si>
    <t>CAD0137800.1</t>
  </si>
  <si>
    <t>STHERMO_1134</t>
  </si>
  <si>
    <t>CAD0137802.1</t>
  </si>
  <si>
    <t>STHERMO_1135</t>
  </si>
  <si>
    <t>1,5-phosphopentomutase</t>
  </si>
  <si>
    <t>deoB</t>
  </si>
  <si>
    <t>CAD0137804.1</t>
  </si>
  <si>
    <t>STHERMO_1136</t>
  </si>
  <si>
    <t>Ribose-5-phosphate isomerase A</t>
  </si>
  <si>
    <t>CAD0137806.1</t>
  </si>
  <si>
    <t>STHERMO_1137</t>
  </si>
  <si>
    <t>CAD0137808.1</t>
  </si>
  <si>
    <t>STHERMO_1138</t>
  </si>
  <si>
    <t>CAD0137810.1</t>
  </si>
  <si>
    <t>STHERMO_1139</t>
  </si>
  <si>
    <t>CAD0137812.1</t>
  </si>
  <si>
    <t>STHERMO_1140</t>
  </si>
  <si>
    <t>CAD0137814.1</t>
  </si>
  <si>
    <t>STHERMO_1141</t>
  </si>
  <si>
    <t>CAD0137816.1</t>
  </si>
  <si>
    <t>STHERMO_1142</t>
  </si>
  <si>
    <t>CAD0137818.1</t>
  </si>
  <si>
    <t>STHERMO_1143</t>
  </si>
  <si>
    <t>Beta-Ala-Xaa dipeptidase</t>
  </si>
  <si>
    <t>CAD0137820.1</t>
  </si>
  <si>
    <t>STHERMO_1144</t>
  </si>
  <si>
    <t>4-oxalocrotonate tautomerase; Xylose transport system permease protein xylH</t>
  </si>
  <si>
    <t>CAD0137822.1</t>
  </si>
  <si>
    <t>STHERMO_1145</t>
  </si>
  <si>
    <t>CAD0137824.1</t>
  </si>
  <si>
    <t>STHERMO_1146</t>
  </si>
  <si>
    <t>CAD0137826.1</t>
  </si>
  <si>
    <t>STHERMO_1147</t>
  </si>
  <si>
    <t>ribosomal protein L20</t>
  </si>
  <si>
    <t>CAD0137828.1</t>
  </si>
  <si>
    <t>STHERMO_1148</t>
  </si>
  <si>
    <t>ribosomal protein L35</t>
  </si>
  <si>
    <t>CAD0137830.1</t>
  </si>
  <si>
    <t>STHERMO_1149</t>
  </si>
  <si>
    <t>initiation factor IF-3</t>
  </si>
  <si>
    <t>CAD0137832.1</t>
  </si>
  <si>
    <t>STHERMO_1150</t>
  </si>
  <si>
    <t>cytidylate kinase</t>
  </si>
  <si>
    <t>CAD0137834.1</t>
  </si>
  <si>
    <t>STHERMO_1151</t>
  </si>
  <si>
    <t>CAD0137836.1</t>
  </si>
  <si>
    <t>STHERMO_1152</t>
  </si>
  <si>
    <t>Pore forming protein ebsA</t>
  </si>
  <si>
    <t>CAD0137838.1</t>
  </si>
  <si>
    <t>STHERMO_1153</t>
  </si>
  <si>
    <t>peptidase T (tripeptidase)</t>
  </si>
  <si>
    <t>CAD0137840.1</t>
  </si>
  <si>
    <t>STHERMO_1154</t>
  </si>
  <si>
    <t>Signal peptidase I</t>
  </si>
  <si>
    <t>CAD0137842.1</t>
  </si>
  <si>
    <t>STHERMO_1155</t>
  </si>
  <si>
    <t>TPR-repeat-containing protein</t>
  </si>
  <si>
    <t>CAD0137844.1</t>
  </si>
  <si>
    <t>STHERMO_1156</t>
  </si>
  <si>
    <t>putative transport protein YubA</t>
  </si>
  <si>
    <t>CAD0137846.1</t>
  </si>
  <si>
    <t>STHERMO_1157</t>
  </si>
  <si>
    <t>mutX</t>
  </si>
  <si>
    <t>CAD0137848.1</t>
  </si>
  <si>
    <t>STHERMO_1158</t>
  </si>
  <si>
    <t>Cell division protein FtsX</t>
  </si>
  <si>
    <t>CAD0137850.1</t>
  </si>
  <si>
    <t>STHERMO_1159</t>
  </si>
  <si>
    <t>cell-division signal transducer (ATP-binding protein)</t>
  </si>
  <si>
    <t>CAD0137852.1</t>
  </si>
  <si>
    <t>STHERMO_1160</t>
  </si>
  <si>
    <t>Peptide chain release factor 2</t>
  </si>
  <si>
    <t>CAD0137854.1</t>
  </si>
  <si>
    <t>STHERMO_1161</t>
  </si>
  <si>
    <t>Epoxyqueuosine reductase</t>
  </si>
  <si>
    <t>CAD0137856.1</t>
  </si>
  <si>
    <t>STHERMO_1162</t>
  </si>
  <si>
    <t>Putative phosphoesterase</t>
  </si>
  <si>
    <t>CAD0137858.1</t>
  </si>
  <si>
    <t>STHERMO_1163</t>
  </si>
  <si>
    <t>nfrA</t>
  </si>
  <si>
    <t>CAD0137860.1</t>
  </si>
  <si>
    <t>STHERMO_1164</t>
  </si>
  <si>
    <t>Calcium-transporting ATPase 1</t>
  </si>
  <si>
    <t>CAD0137862.1</t>
  </si>
  <si>
    <t>STHERMO_1165</t>
  </si>
  <si>
    <t>CAD0137864.1</t>
  </si>
  <si>
    <t>STHERMO_1166</t>
  </si>
  <si>
    <t>CAD0137866.1</t>
  </si>
  <si>
    <t>STHERMO_1167</t>
  </si>
  <si>
    <t>CAD0137868.1</t>
  </si>
  <si>
    <t>STHERMO_1168</t>
  </si>
  <si>
    <t>CAD0137870.1</t>
  </si>
  <si>
    <t>STHERMO_1169</t>
  </si>
  <si>
    <t>Phosphatase YidA</t>
  </si>
  <si>
    <t>CAD0137872.1</t>
  </si>
  <si>
    <t>STHERMO_1170</t>
  </si>
  <si>
    <t>UDP-N-acetylmuramoylpentapeptide-lysine N(6)-alanyltransferase</t>
  </si>
  <si>
    <t>CAD0137874.1</t>
  </si>
  <si>
    <t>STHERMO_1171</t>
  </si>
  <si>
    <t>putative hydrolase</t>
  </si>
  <si>
    <t>walJ</t>
  </si>
  <si>
    <t>CAD0137876.1</t>
  </si>
  <si>
    <t>STHERMO_1172</t>
  </si>
  <si>
    <t>Two-component sensor kinase SA14-24</t>
  </si>
  <si>
    <t>CAD0137878.1</t>
  </si>
  <si>
    <t>STHERMO_1173</t>
  </si>
  <si>
    <t>two-component response regulator [YycF]</t>
  </si>
  <si>
    <t>walR</t>
  </si>
  <si>
    <t>CAD0137880.1</t>
  </si>
  <si>
    <t>STHERMO_1174</t>
  </si>
  <si>
    <t>CAD0137882.1</t>
  </si>
  <si>
    <t>STHERMO_1175</t>
  </si>
  <si>
    <t>glutamine ABC transporter (ATP-binding protein)</t>
  </si>
  <si>
    <t>glnQ</t>
  </si>
  <si>
    <t>CAD0137884.1</t>
  </si>
  <si>
    <t>STHERMO_1176</t>
  </si>
  <si>
    <t>Amino acid (Glutamine) ABC transporter substrate-binding protein</t>
  </si>
  <si>
    <t>CAD0137886.1</t>
  </si>
  <si>
    <t>STHERMO_1177</t>
  </si>
  <si>
    <t>Amino acid ABC transporter, permease protein</t>
  </si>
  <si>
    <t>CAD0137888.1</t>
  </si>
  <si>
    <t>STHERMO_1178</t>
  </si>
  <si>
    <t>glutamine ABC transporter (permease)</t>
  </si>
  <si>
    <t>glnP</t>
  </si>
  <si>
    <t>CAD0137890.1</t>
  </si>
  <si>
    <t>STHERMO_1179</t>
  </si>
  <si>
    <t>DNA-entry nuclease</t>
  </si>
  <si>
    <t>endA</t>
  </si>
  <si>
    <t>CAD0137892.1</t>
  </si>
  <si>
    <t>STHERMO_1180</t>
  </si>
  <si>
    <t>Protein EpuA</t>
  </si>
  <si>
    <t>epuA</t>
  </si>
  <si>
    <t>CAD0137894.1</t>
  </si>
  <si>
    <t>STHERMO_1181</t>
  </si>
  <si>
    <t>murAA</t>
  </si>
  <si>
    <t>CAD0137896.1</t>
  </si>
  <si>
    <t>STHERMO_1182</t>
  </si>
  <si>
    <t>CAD0137898.1</t>
  </si>
  <si>
    <t>STHERMO_1183</t>
  </si>
  <si>
    <t>UDP-glucose 4-epimerase</t>
  </si>
  <si>
    <t>CAD0137900.1</t>
  </si>
  <si>
    <t>STHERMO_1184</t>
  </si>
  <si>
    <t>CAD0137902.1</t>
  </si>
  <si>
    <t>STHERMO_1185</t>
  </si>
  <si>
    <t>CAD0137904.1</t>
  </si>
  <si>
    <t>STHERMO_1186</t>
  </si>
  <si>
    <t>S-adenosylmethionine synthetase</t>
  </si>
  <si>
    <t>CAD0137906.1</t>
  </si>
  <si>
    <t>STHERMO_1187</t>
  </si>
  <si>
    <t>Bifunctional ligase/repressor BirA</t>
  </si>
  <si>
    <t>CAD0137908.1</t>
  </si>
  <si>
    <t>STHERMO_1188</t>
  </si>
  <si>
    <t>CAD0137910.1</t>
  </si>
  <si>
    <t>STHERMO_1189</t>
  </si>
  <si>
    <t>CAD0137912.1</t>
  </si>
  <si>
    <t>STHERMO_1190</t>
  </si>
  <si>
    <t>Protein YtsP</t>
  </si>
  <si>
    <t>ytsP</t>
  </si>
  <si>
    <t>CAD0137914.1</t>
  </si>
  <si>
    <t>STHERMO_1191</t>
  </si>
  <si>
    <t>tRNA dimethylallyltransferase</t>
  </si>
  <si>
    <t>CAD0137916.1</t>
  </si>
  <si>
    <t>STHERMO_1192</t>
  </si>
  <si>
    <t>CAD0137918.1</t>
  </si>
  <si>
    <t>STHERMO_1193</t>
  </si>
  <si>
    <t>ribosomal protein L19</t>
  </si>
  <si>
    <t>CAD0137920.1</t>
  </si>
  <si>
    <t>STHERMO_1194</t>
  </si>
  <si>
    <t>Chloride channel (CIC) family protein</t>
  </si>
  <si>
    <t>CAD0137922.1</t>
  </si>
  <si>
    <t>STHERMO_1195</t>
  </si>
  <si>
    <t>Chorismate mutase I</t>
  </si>
  <si>
    <t>CAD0137924.1</t>
  </si>
  <si>
    <t>STHERMO_1196</t>
  </si>
  <si>
    <t>Voltage-gated chloride channel family protein</t>
  </si>
  <si>
    <t>CAD0137926.1</t>
  </si>
  <si>
    <t>STHERMO_1197</t>
  </si>
  <si>
    <t>short-chain flavodoxin</t>
  </si>
  <si>
    <t>fldP</t>
  </si>
  <si>
    <t>CAD0137928.1</t>
  </si>
  <si>
    <t>STHERMO_1198</t>
  </si>
  <si>
    <t>CAD0137930.1</t>
  </si>
  <si>
    <t>STHERMO_1199</t>
  </si>
  <si>
    <t>Proteinase</t>
  </si>
  <si>
    <t>CAD0137932.1</t>
  </si>
  <si>
    <t>STHERMO_1200</t>
  </si>
  <si>
    <t>Tributyrin esterase</t>
  </si>
  <si>
    <t>CAD0137934.1</t>
  </si>
  <si>
    <t>STHERMO_1201</t>
  </si>
  <si>
    <t>Ribonuclease J 2</t>
  </si>
  <si>
    <t>rnj</t>
  </si>
  <si>
    <t>CAD0137936.1</t>
  </si>
  <si>
    <t>STHERMO_1202</t>
  </si>
  <si>
    <t>CAD0137938.1</t>
  </si>
  <si>
    <t>STHERMO_1203</t>
  </si>
  <si>
    <t>CAD0137940.1</t>
  </si>
  <si>
    <t>STHERMO_1204</t>
  </si>
  <si>
    <t>CAD0137942.1</t>
  </si>
  <si>
    <t>STHERMO_1205</t>
  </si>
  <si>
    <t>CAD0137944.1</t>
  </si>
  <si>
    <t>STHERMO_1206</t>
  </si>
  <si>
    <t>CAD0137946.1</t>
  </si>
  <si>
    <t>STHERMO_1207</t>
  </si>
  <si>
    <t>CshA protein</t>
  </si>
  <si>
    <t>CAD0137948.1</t>
  </si>
  <si>
    <t>STHERMO_1208</t>
  </si>
  <si>
    <t>CAD0137950.1</t>
  </si>
  <si>
    <t>STHERMO_1209</t>
  </si>
  <si>
    <t>CAD0137952.1</t>
  </si>
  <si>
    <t>STHERMO_1210</t>
  </si>
  <si>
    <t>Antiadhesin Pls, binding to squamous nasal epithelial cells</t>
  </si>
  <si>
    <t>CAD0137954.1</t>
  </si>
  <si>
    <t>STHERMO_1211</t>
  </si>
  <si>
    <t>CAD0137956.1</t>
  </si>
  <si>
    <t>STHERMO_1212</t>
  </si>
  <si>
    <t>CAD0137958.1</t>
  </si>
  <si>
    <t>STHERMO_1213</t>
  </si>
  <si>
    <t>CAD0137960.1</t>
  </si>
  <si>
    <t>STHERMO_1214</t>
  </si>
  <si>
    <t>dnaE</t>
  </si>
  <si>
    <t>CAD0137962.1</t>
  </si>
  <si>
    <t>STHERMO_1215</t>
  </si>
  <si>
    <t>CAD0137964.1</t>
  </si>
  <si>
    <t>STHERMO_1216</t>
  </si>
  <si>
    <t>3-isopropylmalate dehydratase (small subunit)</t>
  </si>
  <si>
    <t>CAD0137966.1</t>
  </si>
  <si>
    <t>STHERMO_1217</t>
  </si>
  <si>
    <t>3-isopropylmalate dehydratase (large subunit)</t>
  </si>
  <si>
    <t>CAD0137968.1</t>
  </si>
  <si>
    <t>STHERMO_1218</t>
  </si>
  <si>
    <t>CAD0137970.1</t>
  </si>
  <si>
    <t>STHERMO_1219</t>
  </si>
  <si>
    <t>CAD0137972.1</t>
  </si>
  <si>
    <t>STHERMO_1220</t>
  </si>
  <si>
    <t>leuA</t>
  </si>
  <si>
    <t>CAD0137974.1</t>
  </si>
  <si>
    <t>STHERMO_1221</t>
  </si>
  <si>
    <t>phosphoglyceromutase 1</t>
  </si>
  <si>
    <t>gpmA</t>
  </si>
  <si>
    <t>CAD0137976.1</t>
  </si>
  <si>
    <t>STHERMO_1222</t>
  </si>
  <si>
    <t>Putative dihydroorotate dehydrogenase A (fumarate)</t>
  </si>
  <si>
    <t>CAD0137978.1</t>
  </si>
  <si>
    <t>STHERMO_1223</t>
  </si>
  <si>
    <t>CAD0137980.1</t>
  </si>
  <si>
    <t>STHERMO_1224</t>
  </si>
  <si>
    <t>non-specific DNA-binding protein HBsu</t>
  </si>
  <si>
    <t>hbs</t>
  </si>
  <si>
    <t>CAD0137982.1</t>
  </si>
  <si>
    <t>STHERMO_1225</t>
  </si>
  <si>
    <t>YfaA</t>
  </si>
  <si>
    <t>CAD0137984.1</t>
  </si>
  <si>
    <t>STHERMO_1226</t>
  </si>
  <si>
    <t>Lipase/Acylhydrolase with GDSL-like motif</t>
  </si>
  <si>
    <t>CAD0137986.1</t>
  </si>
  <si>
    <t>STHERMO_1227</t>
  </si>
  <si>
    <t>CAD0137988.1</t>
  </si>
  <si>
    <t>STHERMO_1228</t>
  </si>
  <si>
    <t>factor for double strand breaks DNA repair and genetic recombination</t>
  </si>
  <si>
    <t>CAD0137990.1</t>
  </si>
  <si>
    <t>STHERMO_1229</t>
  </si>
  <si>
    <t>CAD0137992.1</t>
  </si>
  <si>
    <t>STHERMO_1230</t>
  </si>
  <si>
    <t>putative 2'-O-ribose RNA methyltransferase</t>
  </si>
  <si>
    <t>yqxC</t>
  </si>
  <si>
    <t>CAD0137994.1</t>
  </si>
  <si>
    <t>STHERMO_1231</t>
  </si>
  <si>
    <t>farnesyl diphosphate synthase</t>
  </si>
  <si>
    <t>ispA</t>
  </si>
  <si>
    <t>CAD0137996.1</t>
  </si>
  <si>
    <t>STHERMO_1232</t>
  </si>
  <si>
    <t>Exodeoxyribonuclease 7 small subunit</t>
  </si>
  <si>
    <t>xseB</t>
  </si>
  <si>
    <t>CAD0137998.1</t>
  </si>
  <si>
    <t>STHERMO_1233</t>
  </si>
  <si>
    <t>exodeoxyribonuclease VII (large subunit)</t>
  </si>
  <si>
    <t>CAD0138000.1</t>
  </si>
  <si>
    <t>STHERMO_1234</t>
  </si>
  <si>
    <t>CAD0138002.1</t>
  </si>
  <si>
    <t>STHERMO_1235</t>
  </si>
  <si>
    <t>CAD0138004.1</t>
  </si>
  <si>
    <t>STHERMO_1236</t>
  </si>
  <si>
    <t>endonuclease III, apurinic apyrimidic DNA lyase</t>
  </si>
  <si>
    <t>CAD0138006.1</t>
  </si>
  <si>
    <t>STHERMO_1237</t>
  </si>
  <si>
    <t>Chromosome replication initiation protein dnaD</t>
  </si>
  <si>
    <t>CAD0138008.1</t>
  </si>
  <si>
    <t>STHERMO_1238</t>
  </si>
  <si>
    <t>Homoserine O-acetyltransferase</t>
  </si>
  <si>
    <t>metAA</t>
  </si>
  <si>
    <t>CAD0138010.1</t>
  </si>
  <si>
    <t>STHERMO_1239</t>
  </si>
  <si>
    <t>apt</t>
  </si>
  <si>
    <t>CAD0138012.1</t>
  </si>
  <si>
    <t>STHERMO_1240</t>
  </si>
  <si>
    <t>Single-stranded-DNA-specific exonuclease recJ</t>
  </si>
  <si>
    <t>CAD0138014.1</t>
  </si>
  <si>
    <t>STHERMO_1241</t>
  </si>
  <si>
    <t>Uncharacterized oxidoreductase YqjQ</t>
  </si>
  <si>
    <t>yqjQ</t>
  </si>
  <si>
    <t>CAD0138016.1</t>
  </si>
  <si>
    <t>STHERMO_1242</t>
  </si>
  <si>
    <t>CAD0138018.1</t>
  </si>
  <si>
    <t>STHERMO_1243</t>
  </si>
  <si>
    <t>Cystathionine beta-lyase</t>
  </si>
  <si>
    <t>CAD0138020.1</t>
  </si>
  <si>
    <t>STHERMO_1244</t>
  </si>
  <si>
    <t>CAD0138022.1</t>
  </si>
  <si>
    <t>STHERMO_1245</t>
  </si>
  <si>
    <t>Cell division protein FtsW</t>
  </si>
  <si>
    <t>CAD0138024.1</t>
  </si>
  <si>
    <t>STHERMO_1246</t>
  </si>
  <si>
    <t>putative N-acetylmuramoyl-L-alanine amidase/ S-layer protein</t>
  </si>
  <si>
    <t>CAD0138026.1</t>
  </si>
  <si>
    <t>STHERMO_1247</t>
  </si>
  <si>
    <t>Exopolysaccharide biosynthesis protein</t>
  </si>
  <si>
    <t>CAD0138028.1</t>
  </si>
  <si>
    <t>STHERMO_1248</t>
  </si>
  <si>
    <t>Histidinol-phosphatase</t>
  </si>
  <si>
    <t>hisK</t>
  </si>
  <si>
    <t>CAD0138030.1</t>
  </si>
  <si>
    <t>STHERMO_1249</t>
  </si>
  <si>
    <t>Integral membrane protein</t>
  </si>
  <si>
    <t>CAD0138032.1</t>
  </si>
  <si>
    <t>STHERMO_1250</t>
  </si>
  <si>
    <t>5' nucleotidase, promiscuous</t>
  </si>
  <si>
    <t>nucF</t>
  </si>
  <si>
    <t>CAD0138034.1</t>
  </si>
  <si>
    <t>STHERMO_1251</t>
  </si>
  <si>
    <t>Acyl-ACP thioesterase</t>
  </si>
  <si>
    <t>CAD0138036.1</t>
  </si>
  <si>
    <t>STHERMO_1252</t>
  </si>
  <si>
    <t>Heme chaperone HemW</t>
  </si>
  <si>
    <t>CAD0138038.1</t>
  </si>
  <si>
    <t>STHERMO_1253</t>
  </si>
  <si>
    <t>CAD0138040.1</t>
  </si>
  <si>
    <t>STHERMO_1254</t>
  </si>
  <si>
    <t>CAD0138042.1</t>
  </si>
  <si>
    <t>STHERMO_1255</t>
  </si>
  <si>
    <t>CAD0138044.1</t>
  </si>
  <si>
    <t>STHERMO_1256</t>
  </si>
  <si>
    <t>CAD0138046.1</t>
  </si>
  <si>
    <t>STHERMO_1257</t>
  </si>
  <si>
    <t>spsJ</t>
  </si>
  <si>
    <t>CAD0138048.1</t>
  </si>
  <si>
    <t>STHERMO_1258</t>
  </si>
  <si>
    <t>Protein RmlC homolog</t>
  </si>
  <si>
    <t>rfbC</t>
  </si>
  <si>
    <t>CAD0138050.1</t>
  </si>
  <si>
    <t>STHERMO_1259</t>
  </si>
  <si>
    <t>glucose-1-phosphate thymidylyltransferase</t>
  </si>
  <si>
    <t>spsI</t>
  </si>
  <si>
    <t>CAD0138052.1</t>
  </si>
  <si>
    <t>STHERMO_1260</t>
  </si>
  <si>
    <t>Glycine/D-amino acid oxidases family</t>
  </si>
  <si>
    <t>CAD0138054.1</t>
  </si>
  <si>
    <t>STHERMO_1261</t>
  </si>
  <si>
    <t>CAD0138056.1</t>
  </si>
  <si>
    <t>STHERMO_1262</t>
  </si>
  <si>
    <t>CAD0138058.1</t>
  </si>
  <si>
    <t>STHERMO_1263</t>
  </si>
  <si>
    <t>ZIP zinc transporter family protein</t>
  </si>
  <si>
    <t>CAD0138060.1</t>
  </si>
  <si>
    <t>STHERMO_1264</t>
  </si>
  <si>
    <t>GTP cyclohydrolase 1 type 2 homolog</t>
  </si>
  <si>
    <t>CAD0138062.1</t>
  </si>
  <si>
    <t>STHERMO_1265</t>
  </si>
  <si>
    <t>tRNA (adenine(22)-N(1))-methyltransferase</t>
  </si>
  <si>
    <t>trmK</t>
  </si>
  <si>
    <t>CAD0138064.1</t>
  </si>
  <si>
    <t>STHERMO_1266</t>
  </si>
  <si>
    <t>GtrA family protein; MesH protein</t>
  </si>
  <si>
    <t>CAD0138066.1</t>
  </si>
  <si>
    <t>STHERMO_1267</t>
  </si>
  <si>
    <t>CAD0138068.1</t>
  </si>
  <si>
    <t>STHERMO_1268</t>
  </si>
  <si>
    <t>uncharacterized secreted protein, YBBR Bacillus subtilis homolog</t>
  </si>
  <si>
    <t>CAD0138070.1</t>
  </si>
  <si>
    <t>STHERMO_1269</t>
  </si>
  <si>
    <t>diadenylate cyclase</t>
  </si>
  <si>
    <t>CAD0138072.1</t>
  </si>
  <si>
    <t>STHERMO_1270</t>
  </si>
  <si>
    <t>Lipid II isoglutaminyl synthase (glutamine-hydrolyzing) subunit MurT</t>
  </si>
  <si>
    <t>CAD0138074.1</t>
  </si>
  <si>
    <t>STHERMO_1271</t>
  </si>
  <si>
    <t>Lipid II isoglutaminyl synthase (glutamine-hydrolyzing) subunit GatD</t>
  </si>
  <si>
    <t>CAD0138076.1</t>
  </si>
  <si>
    <t>STHERMO_1272</t>
  </si>
  <si>
    <t>putative membrane protein</t>
  </si>
  <si>
    <t>CAD0138078.1</t>
  </si>
  <si>
    <t>STHERMO_1273</t>
  </si>
  <si>
    <t>Hydrolase, alpha/beta hydrolase fold family</t>
  </si>
  <si>
    <t>CAD0138080.1</t>
  </si>
  <si>
    <t>STHERMO_1274</t>
  </si>
  <si>
    <t>putative energy-sensing inhibitor of translation</t>
  </si>
  <si>
    <t>ydiF</t>
  </si>
  <si>
    <t>CAD0138082.1</t>
  </si>
  <si>
    <t>STHERMO_1275</t>
  </si>
  <si>
    <t>CAD0138084.1</t>
  </si>
  <si>
    <t>STHERMO_1276</t>
  </si>
  <si>
    <t>putative ATP-dependent RNA helicase</t>
  </si>
  <si>
    <t>yfmL</t>
  </si>
  <si>
    <t>CAD0138086.1</t>
  </si>
  <si>
    <t>STHERMO_1277</t>
  </si>
  <si>
    <t>gapN</t>
  </si>
  <si>
    <t>CAD0138088.1</t>
  </si>
  <si>
    <t>STHERMO_1278</t>
  </si>
  <si>
    <t>phosphotransferase system (PTS) enzyme I</t>
  </si>
  <si>
    <t>ptsI</t>
  </si>
  <si>
    <t>CAD0138090.1</t>
  </si>
  <si>
    <t>STHERMO_1279</t>
  </si>
  <si>
    <t>histidine-containing phosphocarrier protein of the phosphotransferase system (PTS) (HPr protein)</t>
  </si>
  <si>
    <t>ptsH</t>
  </si>
  <si>
    <t>CAD0138092.1</t>
  </si>
  <si>
    <t>STHERMO_1280</t>
  </si>
  <si>
    <t>isocitrate dehydrogenase</t>
  </si>
  <si>
    <t>CAD0138094.1</t>
  </si>
  <si>
    <t>STHERMO_1281</t>
  </si>
  <si>
    <t>citrate synthase II</t>
  </si>
  <si>
    <t>citZ</t>
  </si>
  <si>
    <t>CAD0138096.1</t>
  </si>
  <si>
    <t>STHERMO_1282</t>
  </si>
  <si>
    <t>aconitate hydratase (bifunctional aconitase)</t>
  </si>
  <si>
    <t>citB</t>
  </si>
  <si>
    <t>CAD0138098.1</t>
  </si>
  <si>
    <t>STHERMO_1283</t>
  </si>
  <si>
    <t>glutaredoxin-like protein</t>
  </si>
  <si>
    <t>CAD0138100.1</t>
  </si>
  <si>
    <t>STHERMO_1284</t>
  </si>
  <si>
    <t>ribonucleoside-diphosphate reductase (major subunit)</t>
  </si>
  <si>
    <t>CAD0138102.1</t>
  </si>
  <si>
    <t>STHERMO_1285</t>
  </si>
  <si>
    <t>ribonucleoside-diphosphate reductase (minor subunit)</t>
  </si>
  <si>
    <t>CAD0138104.1</t>
  </si>
  <si>
    <t>STHERMO_1286</t>
  </si>
  <si>
    <t>CAD0138106.1</t>
  </si>
  <si>
    <t>STHERMO_1287</t>
  </si>
  <si>
    <t>CAD0138108.1</t>
  </si>
  <si>
    <t>STHERMO_1288</t>
  </si>
  <si>
    <t>CAD0138110.1</t>
  </si>
  <si>
    <t>STHERMO_1289</t>
  </si>
  <si>
    <t>CAD0138112.1</t>
  </si>
  <si>
    <t>STHERMO_1290</t>
  </si>
  <si>
    <t>Extracellular protein</t>
  </si>
  <si>
    <t>CAD0138114.1</t>
  </si>
  <si>
    <t>STHERMO_1291</t>
  </si>
  <si>
    <t>CAD0138116.1</t>
  </si>
  <si>
    <t>STHERMO_1292</t>
  </si>
  <si>
    <t>Sortase A, LPXTG specific</t>
  </si>
  <si>
    <t>CAD0138118.1</t>
  </si>
  <si>
    <t>STHERMO_1293</t>
  </si>
  <si>
    <t>CAD0138120.1</t>
  </si>
  <si>
    <t>STHERMO_1294</t>
  </si>
  <si>
    <t>DNA gyrase (subunit A)</t>
  </si>
  <si>
    <t>CAD0138122.1</t>
  </si>
  <si>
    <t>STHERMO_1295</t>
  </si>
  <si>
    <t>lctE</t>
  </si>
  <si>
    <t>CAD0138124.1</t>
  </si>
  <si>
    <t>STHERMO_1296</t>
  </si>
  <si>
    <t>putative NADH oxidase</t>
  </si>
  <si>
    <t>CAD0138126.1</t>
  </si>
  <si>
    <t>STHERMO_1297</t>
  </si>
  <si>
    <t>ettM</t>
  </si>
  <si>
    <t>CAD0138128.1</t>
  </si>
  <si>
    <t>STHERMO_1298</t>
  </si>
  <si>
    <t>CAD0138130.1</t>
  </si>
  <si>
    <t>STHERMO_1299</t>
  </si>
  <si>
    <t>CAD0138132.1</t>
  </si>
  <si>
    <t>STHERMO_1300</t>
  </si>
  <si>
    <t>Pyridoxal kinase</t>
  </si>
  <si>
    <t>CAD0138134.1</t>
  </si>
  <si>
    <t>STHERMO_1301</t>
  </si>
  <si>
    <t>Substrate-specific component PdxU2 of predicted pyridoxin-related ECF transporter</t>
  </si>
  <si>
    <t>CAD0138136.1</t>
  </si>
  <si>
    <t>STHERMO_1302</t>
  </si>
  <si>
    <t>CAD0138138.1</t>
  </si>
  <si>
    <t>STHERMO_1303</t>
  </si>
  <si>
    <t>putative Transcriptional regulator</t>
  </si>
  <si>
    <t>CAD0138140.1</t>
  </si>
  <si>
    <t>STHERMO_1304</t>
  </si>
  <si>
    <t>Anaerobic ribonucleoside-triphosphate reductase</t>
  </si>
  <si>
    <t>CAD0138142.1</t>
  </si>
  <si>
    <t>STHERMO_1305</t>
  </si>
  <si>
    <t>CAD0138144.1</t>
  </si>
  <si>
    <t>STHERMO_1306</t>
  </si>
  <si>
    <t>CAD0138146.1</t>
  </si>
  <si>
    <t>STHERMO_1307</t>
  </si>
  <si>
    <t>phenylalanyl-tRNA synthetase (beta subunit)</t>
  </si>
  <si>
    <t>CAD0138148.1</t>
  </si>
  <si>
    <t>STHERMO_1308</t>
  </si>
  <si>
    <t>Protease synthase and sporulation negative regulatory protein PAI 1</t>
  </si>
  <si>
    <t>CAD0138150.1</t>
  </si>
  <si>
    <t>STHERMO_1309</t>
  </si>
  <si>
    <t>phenylalanyl-tRNA synthetase (alpha subunit)</t>
  </si>
  <si>
    <t>CAD0138152.1</t>
  </si>
  <si>
    <t>STHERMO_1310</t>
  </si>
  <si>
    <t>Chromosome partition protein Smc</t>
  </si>
  <si>
    <t>CAD0138154.1</t>
  </si>
  <si>
    <t>STHERMO_1311</t>
  </si>
  <si>
    <t>CAD0138156.1</t>
  </si>
  <si>
    <t>STHERMO_1312</t>
  </si>
  <si>
    <t>CAD0138158.1</t>
  </si>
  <si>
    <t>STHERMO_1313</t>
  </si>
  <si>
    <t>asd</t>
  </si>
  <si>
    <t>CAD0138160.1</t>
  </si>
  <si>
    <t>STHERMO_1314</t>
  </si>
  <si>
    <t>DNA alkylation repair enzyme</t>
  </si>
  <si>
    <t>CAD0138162.1</t>
  </si>
  <si>
    <t>STHERMO_1315</t>
  </si>
  <si>
    <t>Phosphinothricin N-acetyltransferase</t>
  </si>
  <si>
    <t>CAD0138164.1</t>
  </si>
  <si>
    <t>STHERMO_1316</t>
  </si>
  <si>
    <t>CAD0138166.1</t>
  </si>
  <si>
    <t>STHERMO_1317</t>
  </si>
  <si>
    <t>CAD0138168.1</t>
  </si>
  <si>
    <t>STHERMO_1318</t>
  </si>
  <si>
    <t>CAD0138170.1</t>
  </si>
  <si>
    <t>STHERMO_1319</t>
  </si>
  <si>
    <t>CAD0138172.1</t>
  </si>
  <si>
    <t>STHERMO_1320</t>
  </si>
  <si>
    <t>Cardiolipin synthetase</t>
  </si>
  <si>
    <t>CAD0138174.1</t>
  </si>
  <si>
    <t>STHERMO_1321</t>
  </si>
  <si>
    <t>excinuclease ABC (subunit C)</t>
  </si>
  <si>
    <t>CAD0138176.1</t>
  </si>
  <si>
    <t>STHERMO_1322</t>
  </si>
  <si>
    <t>CAD0138178.1</t>
  </si>
  <si>
    <t>STHERMO_1323</t>
  </si>
  <si>
    <t>Biotin transporter</t>
  </si>
  <si>
    <t>CAD0138180.1</t>
  </si>
  <si>
    <t>STHERMO_1324</t>
  </si>
  <si>
    <t>Choline/proline/glycine betaine ABC uptake transporter membrane-spanning protein</t>
  </si>
  <si>
    <t>proWX</t>
  </si>
  <si>
    <t>CAD0138182.1</t>
  </si>
  <si>
    <t>STHERMO_1325</t>
  </si>
  <si>
    <t>L-proline glycine betaine ABC transport system permease protein ProV (TC 3.A.1.12.1)</t>
  </si>
  <si>
    <t>CAD0138184.1</t>
  </si>
  <si>
    <t>STHERMO_1326</t>
  </si>
  <si>
    <t>L-proline glycine betaine binding ABC transporter protein ProX (TC 3.A.1.12.1) / Osmotic adaptation</t>
  </si>
  <si>
    <t>CAD0138186.1</t>
  </si>
  <si>
    <t>STHERMO_1327</t>
  </si>
  <si>
    <t>Carnitine transport permease protein OpuCB</t>
  </si>
  <si>
    <t>opuCB</t>
  </si>
  <si>
    <t>CAD0138188.1</t>
  </si>
  <si>
    <t>STHERMO_1328</t>
  </si>
  <si>
    <t>Histidine ammonia-lyase</t>
  </si>
  <si>
    <t>hutH</t>
  </si>
  <si>
    <t>CAD0138190.1</t>
  </si>
  <si>
    <t>STHERMO_1329</t>
  </si>
  <si>
    <t>CAD0138192.1</t>
  </si>
  <si>
    <t>STHERMO_1330</t>
  </si>
  <si>
    <t>urocanase</t>
  </si>
  <si>
    <t>hutU</t>
  </si>
  <si>
    <t>CAD0138194.1</t>
  </si>
  <si>
    <t>STHERMO_1331</t>
  </si>
  <si>
    <t>L-serine dehydratase (beta chain)</t>
  </si>
  <si>
    <t>CAD0138196.1</t>
  </si>
  <si>
    <t>STHERMO_1332</t>
  </si>
  <si>
    <t>L-serine dehydratase (alpha chain)</t>
  </si>
  <si>
    <t>CAD0138198.1</t>
  </si>
  <si>
    <t>STHERMO_1333</t>
  </si>
  <si>
    <t>CAD0138200.1</t>
  </si>
  <si>
    <t>STHERMO_1334</t>
  </si>
  <si>
    <t>ABC-type multidrug transport system, permease component</t>
  </si>
  <si>
    <t>CAD0138202.1</t>
  </si>
  <si>
    <t>STHERMO_1335</t>
  </si>
  <si>
    <t>CAD0138204.1</t>
  </si>
  <si>
    <t>STHERMO_1336</t>
  </si>
  <si>
    <t>Daunorubicin resistance transmembrane protein</t>
  </si>
  <si>
    <t>CAD0138206.1</t>
  </si>
  <si>
    <t>STHERMO_1337</t>
  </si>
  <si>
    <t>CAD0138208.1</t>
  </si>
  <si>
    <t>STHERMO_1338</t>
  </si>
  <si>
    <t>CAD0138210.1</t>
  </si>
  <si>
    <t>STHERMO_1339</t>
  </si>
  <si>
    <t>two-component response regulator [YvfT]</t>
  </si>
  <si>
    <t>yvfU</t>
  </si>
  <si>
    <t>CAD0138212.1</t>
  </si>
  <si>
    <t>STHERMO_1340</t>
  </si>
  <si>
    <t>Two-component sensor histidine kinase</t>
  </si>
  <si>
    <t>CAD0138214.1</t>
  </si>
  <si>
    <t>STHERMO_1341</t>
  </si>
  <si>
    <t>CAD0138216.1</t>
  </si>
  <si>
    <t>STHERMO_1342</t>
  </si>
  <si>
    <t>CAD0138218.1</t>
  </si>
  <si>
    <t>STHERMO_1343</t>
  </si>
  <si>
    <t>CAD0138220.1</t>
  </si>
  <si>
    <t>STHERMO_1344</t>
  </si>
  <si>
    <t>CAD0138222.1</t>
  </si>
  <si>
    <t>STHERMO_1345</t>
  </si>
  <si>
    <t>Uncharacterized sodium-dependent transporter YocS</t>
  </si>
  <si>
    <t>yocS</t>
  </si>
  <si>
    <t>CAD0138224.1</t>
  </si>
  <si>
    <t>STHERMO_1346</t>
  </si>
  <si>
    <t>Cytidine/deoxycytidylate deaminase family protein</t>
  </si>
  <si>
    <t>CAD0138226.1</t>
  </si>
  <si>
    <t>STHERMO_1347</t>
  </si>
  <si>
    <t>CAD0138228.1</t>
  </si>
  <si>
    <t>STHERMO_1348</t>
  </si>
  <si>
    <t>Fe-S-cluster oxidoreductase</t>
  </si>
  <si>
    <t>CAD0138230.1</t>
  </si>
  <si>
    <t>STHERMO_1349</t>
  </si>
  <si>
    <t>CAD0138232.1</t>
  </si>
  <si>
    <t>STHERMO_1350</t>
  </si>
  <si>
    <t>bacitracin ABC efflux transporter (ATP-binding protein)</t>
  </si>
  <si>
    <t>bceA</t>
  </si>
  <si>
    <t>CAD0138234.1</t>
  </si>
  <si>
    <t>STHERMO_1351</t>
  </si>
  <si>
    <t>CAD0138236.1</t>
  </si>
  <si>
    <t>STHERMO_1352</t>
  </si>
  <si>
    <t>two-component response regulator controlling resistance to antibiotics affecting the envelope [YtsB]</t>
  </si>
  <si>
    <t>bceR</t>
  </si>
  <si>
    <t>CAD0138238.1</t>
  </si>
  <si>
    <t>STHERMO_1353</t>
  </si>
  <si>
    <t>Xanthine permease</t>
  </si>
  <si>
    <t>CAD0138244.1</t>
  </si>
  <si>
    <t>STHERMO_1356</t>
  </si>
  <si>
    <t>CAD0138246.1</t>
  </si>
  <si>
    <t>STHERMO_1357</t>
  </si>
  <si>
    <t>putative multidrug resistance protein NorM</t>
  </si>
  <si>
    <t>norM</t>
  </si>
  <si>
    <t>CAD0138248.1</t>
  </si>
  <si>
    <t>STHERMO_1358</t>
  </si>
  <si>
    <t>Peptide methionine sulfoxide reductase MsrA / Peptide methionine sulfoxide reductase MsrB</t>
  </si>
  <si>
    <t>msrAB</t>
  </si>
  <si>
    <t>CAD0138250.1</t>
  </si>
  <si>
    <t>STHERMO_1359</t>
  </si>
  <si>
    <t>CAD0138252.1</t>
  </si>
  <si>
    <t>STHERMO_1360</t>
  </si>
  <si>
    <t>tnpSth</t>
  </si>
  <si>
    <t>CAD0138254.1</t>
  </si>
  <si>
    <t>STHERMO_1361</t>
  </si>
  <si>
    <t>Branched-chain amino acid transport system carrier protein</t>
  </si>
  <si>
    <t>CAD0138256.1</t>
  </si>
  <si>
    <t>STHERMO_1362</t>
  </si>
  <si>
    <t>Mannose-6-phosphate isomerase</t>
  </si>
  <si>
    <t>CAD0138258.1</t>
  </si>
  <si>
    <t>STHERMO_1363</t>
  </si>
  <si>
    <t>CAD0138260.1</t>
  </si>
  <si>
    <t>STHERMO_1364</t>
  </si>
  <si>
    <t>CsbD-like protein</t>
  </si>
  <si>
    <t>CAD0138262.1</t>
  </si>
  <si>
    <t>STHERMO_1365</t>
  </si>
  <si>
    <t>Methylthioribose transporter</t>
  </si>
  <si>
    <t>mtrA</t>
  </si>
  <si>
    <t>CAD0138264.1</t>
  </si>
  <si>
    <t>STHERMO_1366</t>
  </si>
  <si>
    <t>Nitroreductase family protein</t>
  </si>
  <si>
    <t>CAD0138266.1</t>
  </si>
  <si>
    <t>STHERMO_1367</t>
  </si>
  <si>
    <t>CAD0138268.1</t>
  </si>
  <si>
    <t>STHERMO_1368</t>
  </si>
  <si>
    <t>CAD0138270.1</t>
  </si>
  <si>
    <t>STHERMO_1369</t>
  </si>
  <si>
    <t>Putative HTH-type transcriptional regulator YwnA</t>
  </si>
  <si>
    <t>ywnA</t>
  </si>
  <si>
    <t>CAD0138272.1</t>
  </si>
  <si>
    <t>STHERMO_1370</t>
  </si>
  <si>
    <t>CAD0138274.1</t>
  </si>
  <si>
    <t>STHERMO_1371</t>
  </si>
  <si>
    <t>PTS system, cellobiose-specific IIC component</t>
  </si>
  <si>
    <t>CAD0138276.1</t>
  </si>
  <si>
    <t>STHERMO_1372</t>
  </si>
  <si>
    <t>Putative NAD(P)H nitroreductase YdgI</t>
  </si>
  <si>
    <t>ydgI</t>
  </si>
  <si>
    <t>CAD0138278.1</t>
  </si>
  <si>
    <t>STHERMO_1373</t>
  </si>
  <si>
    <t>CAD0138280.1</t>
  </si>
  <si>
    <t>STHERMO_1374</t>
  </si>
  <si>
    <t>Glyoxal reductase</t>
  </si>
  <si>
    <t>yvgN</t>
  </si>
  <si>
    <t>CAD0138282.1</t>
  </si>
  <si>
    <t>STHERMO_1375</t>
  </si>
  <si>
    <t>CAD0138284.1</t>
  </si>
  <si>
    <t>STHERMO_1376</t>
  </si>
  <si>
    <t>UDP-galactose-4-epimerase (fragment)</t>
  </si>
  <si>
    <t>CAD0138286.1</t>
  </si>
  <si>
    <t>STHERMO_1377</t>
  </si>
  <si>
    <t>CAD0138288.1</t>
  </si>
  <si>
    <t>STHERMO_1378</t>
  </si>
  <si>
    <t>CAD0138290.1</t>
  </si>
  <si>
    <t>STHERMO_1379</t>
  </si>
  <si>
    <t>Restriction endonuclease</t>
  </si>
  <si>
    <t>CAD0138292.1</t>
  </si>
  <si>
    <t>STHERMO_1380</t>
  </si>
  <si>
    <t>Type II restriction-modification system modification subunit</t>
  </si>
  <si>
    <t>llaBIIM</t>
  </si>
  <si>
    <t>CAD0138294.1</t>
  </si>
  <si>
    <t>STHERMO_1381</t>
  </si>
  <si>
    <t>ATP-dependent Zn protease</t>
  </si>
  <si>
    <t>CAD0138296.1</t>
  </si>
  <si>
    <t>STHERMO_1382</t>
  </si>
  <si>
    <t>CAD0138298.1</t>
  </si>
  <si>
    <t>STHERMO_1383</t>
  </si>
  <si>
    <t>putative oxidoreductase</t>
  </si>
  <si>
    <t>CAD0138300.1</t>
  </si>
  <si>
    <t>STHERMO_1384</t>
  </si>
  <si>
    <t>CAD0138302.1</t>
  </si>
  <si>
    <t>STHERMO_1385</t>
  </si>
  <si>
    <t>CAD0138304.1</t>
  </si>
  <si>
    <t>STHERMO_1386</t>
  </si>
  <si>
    <t>DNA-binding response regulator</t>
  </si>
  <si>
    <t>CAD0138306.1</t>
  </si>
  <si>
    <t>STHERMO_1387</t>
  </si>
  <si>
    <t>Cell wall surface anchor family protein</t>
  </si>
  <si>
    <t>CAD0138308.1</t>
  </si>
  <si>
    <t>STHERMO_1388</t>
  </si>
  <si>
    <t>CAD0138310.1</t>
  </si>
  <si>
    <t>STHERMO_1389</t>
  </si>
  <si>
    <t>CAD0138312.1</t>
  </si>
  <si>
    <t>STHERMO_1390</t>
  </si>
  <si>
    <t>ImpB/MucB/SamB family protein</t>
  </si>
  <si>
    <t>CAD0138314.1</t>
  </si>
  <si>
    <t>STHERMO_1391</t>
  </si>
  <si>
    <t>CAD0138316.1</t>
  </si>
  <si>
    <t>STHERMO_1392</t>
  </si>
  <si>
    <t>CAD0138318.1</t>
  </si>
  <si>
    <t>STHERMO_1393</t>
  </si>
  <si>
    <t>CAD0138320.1</t>
  </si>
  <si>
    <t>STHERMO_1394</t>
  </si>
  <si>
    <t>Homoserine/homoserine lactone efflux protein</t>
  </si>
  <si>
    <t>CAD0138322.1</t>
  </si>
  <si>
    <t>STHERMO_1395</t>
  </si>
  <si>
    <t>CAD0138324.1</t>
  </si>
  <si>
    <t>STHERMO_1396</t>
  </si>
  <si>
    <t>CAD0138326.1</t>
  </si>
  <si>
    <t>STHERMO_1397</t>
  </si>
  <si>
    <t>CAD0138328.1</t>
  </si>
  <si>
    <t>STHERMO_1398</t>
  </si>
  <si>
    <t>Glycosyltransferase GlyA</t>
  </si>
  <si>
    <t>CAD0138330.1</t>
  </si>
  <si>
    <t>STHERMO_1399</t>
  </si>
  <si>
    <t>CAD0138332.1</t>
  </si>
  <si>
    <t>STHERMO_1400</t>
  </si>
  <si>
    <t>CAD0138334.1</t>
  </si>
  <si>
    <t>STHERMO_1401</t>
  </si>
  <si>
    <t>Exonuclease SbcC</t>
  </si>
  <si>
    <t>CAD0138336.1</t>
  </si>
  <si>
    <t>STHERMO_1402</t>
  </si>
  <si>
    <t>Exonuclease SbcD</t>
  </si>
  <si>
    <t>CAD0138338.1</t>
  </si>
  <si>
    <t>STHERMO_1403</t>
  </si>
  <si>
    <t>CAD0138340.1</t>
  </si>
  <si>
    <t>STHERMO_1404</t>
  </si>
  <si>
    <t>Beta-galactosidase</t>
  </si>
  <si>
    <t>lacZ</t>
  </si>
  <si>
    <t>CAD0138342.1</t>
  </si>
  <si>
    <t>STHERMO_1405</t>
  </si>
  <si>
    <t>Putative phosphotransferase enzyme IIA component</t>
  </si>
  <si>
    <t>lacS</t>
  </si>
  <si>
    <t>CAD0138344.1</t>
  </si>
  <si>
    <t>STHERMO_1406</t>
  </si>
  <si>
    <t>CAD0138346.1</t>
  </si>
  <si>
    <t>STHERMO_1407</t>
  </si>
  <si>
    <t>CAD0138348.1</t>
  </si>
  <si>
    <t>STHERMO_1408</t>
  </si>
  <si>
    <t>galactose-1-phosphate uridyltransferase</t>
  </si>
  <si>
    <t>CAD0138350.1</t>
  </si>
  <si>
    <t>STHERMO_1409</t>
  </si>
  <si>
    <t>galK</t>
  </si>
  <si>
    <t>CAD0138352.1</t>
  </si>
  <si>
    <t>STHERMO_1410</t>
  </si>
  <si>
    <t>HTH-type transcriptional regulator GalR</t>
  </si>
  <si>
    <t>galR</t>
  </si>
  <si>
    <t>CAD0138354.1</t>
  </si>
  <si>
    <t>STHERMO_1411</t>
  </si>
  <si>
    <t>CAD0138356.1</t>
  </si>
  <si>
    <t>STHERMO_1412</t>
  </si>
  <si>
    <t>CAD0138358.1</t>
  </si>
  <si>
    <t>STHERMO_1413</t>
  </si>
  <si>
    <t>CAD0138360.1</t>
  </si>
  <si>
    <t>STHERMO_1414</t>
  </si>
  <si>
    <t>CAD0138362.1</t>
  </si>
  <si>
    <t>STHERMO_1415</t>
  </si>
  <si>
    <t>Zinc metalloprotease zmpB precursor</t>
  </si>
  <si>
    <t>CAD0138364.1</t>
  </si>
  <si>
    <t>STHERMO_1416</t>
  </si>
  <si>
    <t>CAD0138366.1</t>
  </si>
  <si>
    <t>STHERMO_1417</t>
  </si>
  <si>
    <t>zinc metalloprotease ZmpB, truncated</t>
  </si>
  <si>
    <t>CAD0138368.1</t>
  </si>
  <si>
    <t>STHERMO_1418</t>
  </si>
  <si>
    <t>CAD0138370.1</t>
  </si>
  <si>
    <t>STHERMO_1419</t>
  </si>
  <si>
    <t>putative ABC transporter, ATP binding protein, truncated</t>
  </si>
  <si>
    <t>CAD0138372.1</t>
  </si>
  <si>
    <t>STHERMO_1420</t>
  </si>
  <si>
    <t>putative ABC transporter (ATP-binding protein) (fragment)</t>
  </si>
  <si>
    <t>CAD0138374.1</t>
  </si>
  <si>
    <t>STHERMO_1421</t>
  </si>
  <si>
    <t>ATP-binding protein of ABC transporter</t>
  </si>
  <si>
    <t>CAD0138376.1</t>
  </si>
  <si>
    <t>STHERMO_1422</t>
  </si>
  <si>
    <t>Glutamate--cysteine ligase / Glutathione synthetase</t>
  </si>
  <si>
    <t>CAD0138378.1</t>
  </si>
  <si>
    <t>STHERMO_1423</t>
  </si>
  <si>
    <t>CAD0138380.1</t>
  </si>
  <si>
    <t>STHERMO_1424</t>
  </si>
  <si>
    <t>CAD0138382.1</t>
  </si>
  <si>
    <t>STHERMO_1425</t>
  </si>
  <si>
    <t>ftsK</t>
  </si>
  <si>
    <t>CAD0138384.1</t>
  </si>
  <si>
    <t>STHERMO_1426</t>
  </si>
  <si>
    <t>Ferredoxin--NADP reductase</t>
  </si>
  <si>
    <t>CAD0138386.1</t>
  </si>
  <si>
    <t>STHERMO_1427</t>
  </si>
  <si>
    <t>tRNA(m1G37)methyltransferase</t>
  </si>
  <si>
    <t>CAD0138388.1</t>
  </si>
  <si>
    <t>STHERMO_1428</t>
  </si>
  <si>
    <t>16S rRNA processing protein</t>
  </si>
  <si>
    <t>CAD0138390.1</t>
  </si>
  <si>
    <t>STHERMO_1429</t>
  </si>
  <si>
    <t>two-component response regulator [YvqE] responding to cell wall stress</t>
  </si>
  <si>
    <t>liaR</t>
  </si>
  <si>
    <t>CAD0138392.1</t>
  </si>
  <si>
    <t>STHERMO_1430</t>
  </si>
  <si>
    <t>CAD0138394.1</t>
  </si>
  <si>
    <t>STHERMO_1431</t>
  </si>
  <si>
    <t>Transporter associated with VraSR</t>
  </si>
  <si>
    <t>CAD0138396.1</t>
  </si>
  <si>
    <t>STHERMO_1432</t>
  </si>
  <si>
    <t>CAD0138398.1</t>
  </si>
  <si>
    <t>STHERMO_1433</t>
  </si>
  <si>
    <t>CAD0138400.1</t>
  </si>
  <si>
    <t>STHERMO_1434</t>
  </si>
  <si>
    <t>CAD0138402.1</t>
  </si>
  <si>
    <t>STHERMO_1435</t>
  </si>
  <si>
    <t>Serine/threonine-protein kinase StkP</t>
  </si>
  <si>
    <t>stkP</t>
  </si>
  <si>
    <t>CAD0138404.1</t>
  </si>
  <si>
    <t>STHERMO_1436</t>
  </si>
  <si>
    <t>multitarget phosphorylated protein phosphatase</t>
  </si>
  <si>
    <t>prpC</t>
  </si>
  <si>
    <t>CAD0138406.1</t>
  </si>
  <si>
    <t>STHERMO_1437</t>
  </si>
  <si>
    <t>RNA-binding Sun protein; 16S rRNA m5C967 methyltransferase, S-adenosyl-L-methionine-dependent</t>
  </si>
  <si>
    <t>CAD0138408.1</t>
  </si>
  <si>
    <t>STHERMO_1438</t>
  </si>
  <si>
    <t>CAD0138410.1</t>
  </si>
  <si>
    <t>STHERMO_1439</t>
  </si>
  <si>
    <t>primosomal replication factor Y (primosomal protein N')</t>
  </si>
  <si>
    <t>priA</t>
  </si>
  <si>
    <t>CAD0138412.1</t>
  </si>
  <si>
    <t>STHERMO_1440</t>
  </si>
  <si>
    <t>CAD0138414.1</t>
  </si>
  <si>
    <t>STHERMO_1441</t>
  </si>
  <si>
    <t>CAD0138416.1</t>
  </si>
  <si>
    <t>STHERMO_1442</t>
  </si>
  <si>
    <t>Signal recognition particle receptor FtsY</t>
  </si>
  <si>
    <t>CAD0138418.1</t>
  </si>
  <si>
    <t>STHERMO_1443</t>
  </si>
  <si>
    <t>CAD0138420.1</t>
  </si>
  <si>
    <t>STHERMO_1444</t>
  </si>
  <si>
    <t>CAD0138422.1</t>
  </si>
  <si>
    <t>STHERMO_1445</t>
  </si>
  <si>
    <t>Transcriptional regulator, GntR family</t>
  </si>
  <si>
    <t>CAD0138424.1</t>
  </si>
  <si>
    <t>STHERMO_1446</t>
  </si>
  <si>
    <t>ABC-type multidrug transport system, ATPase component</t>
  </si>
  <si>
    <t>CAD0138426.1</t>
  </si>
  <si>
    <t>STHERMO_1447</t>
  </si>
  <si>
    <t>ABC transporter, ATP-binding protein</t>
  </si>
  <si>
    <t>CAD0138428.1</t>
  </si>
  <si>
    <t>STHERMO_1448</t>
  </si>
  <si>
    <t>CAD0138430.1</t>
  </si>
  <si>
    <t>STHERMO_1449</t>
  </si>
  <si>
    <t>oppD</t>
  </si>
  <si>
    <t>CAD0138432.1</t>
  </si>
  <si>
    <t>STHERMO_1450</t>
  </si>
  <si>
    <t>Oligopeptide transport system permease protein AmiD</t>
  </si>
  <si>
    <t>amiD</t>
  </si>
  <si>
    <t>CAD0138434.1</t>
  </si>
  <si>
    <t>STHERMO_1451</t>
  </si>
  <si>
    <t>Oligopeptide transport system permease protein AmiC</t>
  </si>
  <si>
    <t>amiC</t>
  </si>
  <si>
    <t>CAD0138436.1</t>
  </si>
  <si>
    <t>STHERMO_1452</t>
  </si>
  <si>
    <t>CAD0138438.1</t>
  </si>
  <si>
    <t>STHERMO_1453</t>
  </si>
  <si>
    <t>CAD0138440.1</t>
  </si>
  <si>
    <t>STHERMO_1454</t>
  </si>
  <si>
    <t>CAD0138442.1</t>
  </si>
  <si>
    <t>STHERMO_1455</t>
  </si>
  <si>
    <t>Oligopeptide transport ATP-binding protein oppF (TC 3.A.1.5.1)</t>
  </si>
  <si>
    <t>CAD0138444.1</t>
  </si>
  <si>
    <t>STHERMO_1456</t>
  </si>
  <si>
    <t>CAD0138446.1</t>
  </si>
  <si>
    <t>STHERMO_1457</t>
  </si>
  <si>
    <t>Major facilitator:Oxalate:Formate Antiporter</t>
  </si>
  <si>
    <t>CAD0138448.1</t>
  </si>
  <si>
    <t>STHERMO_1458</t>
  </si>
  <si>
    <t>CAD0138450.1</t>
  </si>
  <si>
    <t>STHERMO_1459</t>
  </si>
  <si>
    <t>CAD0138452.1</t>
  </si>
  <si>
    <t>STHERMO_1460</t>
  </si>
  <si>
    <t>CAD0138454.1</t>
  </si>
  <si>
    <t>STHERMO_1461</t>
  </si>
  <si>
    <t>CAD0138456.1</t>
  </si>
  <si>
    <t>STHERMO_1462</t>
  </si>
  <si>
    <t>phosphotransacetylase</t>
  </si>
  <si>
    <t>CAD0138458.1</t>
  </si>
  <si>
    <t>STHERMO_1463</t>
  </si>
  <si>
    <t>yjbO</t>
  </si>
  <si>
    <t>CAD0138460.1</t>
  </si>
  <si>
    <t>STHERMO_1464</t>
  </si>
  <si>
    <t>inorganic polyphosphate/ATP-NAD kinase (quinolate activated)</t>
  </si>
  <si>
    <t>ppnKA</t>
  </si>
  <si>
    <t>CAD0138462.1</t>
  </si>
  <si>
    <t>STHERMO_1465</t>
  </si>
  <si>
    <t>(p)ppGpp synthetase</t>
  </si>
  <si>
    <t>relP</t>
  </si>
  <si>
    <t>CAD0138464.1</t>
  </si>
  <si>
    <t>STHERMO_1466</t>
  </si>
  <si>
    <t>Adenylate cyclase</t>
  </si>
  <si>
    <t>CAD0138466.1</t>
  </si>
  <si>
    <t>STHERMO_1467</t>
  </si>
  <si>
    <t>CAD0138468.1</t>
  </si>
  <si>
    <t>STHERMO_1468</t>
  </si>
  <si>
    <t>Putative cysteine desulfurase IscS 1</t>
  </si>
  <si>
    <t>iscS</t>
  </si>
  <si>
    <t>CAD0138470.1</t>
  </si>
  <si>
    <t>STHERMO_1469</t>
  </si>
  <si>
    <t>CAD0138472.1</t>
  </si>
  <si>
    <t>STHERMO_1470</t>
  </si>
  <si>
    <t>Redox-sensing transcriptional repressor Rex</t>
  </si>
  <si>
    <t>rex</t>
  </si>
  <si>
    <t>CAD0138474.1</t>
  </si>
  <si>
    <t>STHERMO_1471</t>
  </si>
  <si>
    <t>Protein NtpR</t>
  </si>
  <si>
    <t>ntpR</t>
  </si>
  <si>
    <t>CAD0138476.1</t>
  </si>
  <si>
    <t>STHERMO_1472</t>
  </si>
  <si>
    <t>CAD0138478.1</t>
  </si>
  <si>
    <t>STHERMO_1473</t>
  </si>
  <si>
    <t>Alpha-L-Rha alpha-1,2-L-rhamnosyltransferase/alpha-L-Rha alpha-1,3-L-rhamnosyltransferase</t>
  </si>
  <si>
    <t>CAD0138480.1</t>
  </si>
  <si>
    <t>STHERMO_1474</t>
  </si>
  <si>
    <t>putative glycosyltransferase - possibly involved in cell wall localization and side chain formation of rhamnose-glucose polysaccharide</t>
  </si>
  <si>
    <t>CAD0138482.1</t>
  </si>
  <si>
    <t>STHERMO_1475</t>
  </si>
  <si>
    <t>ABC-transporter (ATP-binding protein) -possibly involved in cell wall localization and side chain formation of rhamnose-glucose polysaccharide</t>
  </si>
  <si>
    <t>CAD0138484.1</t>
  </si>
  <si>
    <t>STHERMO_1476</t>
  </si>
  <si>
    <t>Transport permease protein</t>
  </si>
  <si>
    <t>CAD0138486.1</t>
  </si>
  <si>
    <t>STHERMO_1477</t>
  </si>
  <si>
    <t>Alpha-L-Rha alpha-1,3-L-rhamnosyltransferase</t>
  </si>
  <si>
    <t>CAD0138488.1</t>
  </si>
  <si>
    <t>STHERMO_1478</t>
  </si>
  <si>
    <t>Alpha-D-GlcNAc alpha-1,2-L-rhamnosyltransferase</t>
  </si>
  <si>
    <t>CAD0138490.1</t>
  </si>
  <si>
    <t>STHERMO_1479</t>
  </si>
  <si>
    <t>putative Polysaccharide biosynthesis protein, rhamnosyl transferase</t>
  </si>
  <si>
    <t>rgpX</t>
  </si>
  <si>
    <t>CAD0138492.1</t>
  </si>
  <si>
    <t>STHERMO_1480</t>
  </si>
  <si>
    <t>Heteropolysaccharide repeat unit export protein</t>
  </si>
  <si>
    <t>CAD0138494.1</t>
  </si>
  <si>
    <t>STHERMO_1481</t>
  </si>
  <si>
    <t>DNA for glycosyltransferase, lytic transglycosylase, dTDP-4-rhamnose reductase, complete cds</t>
  </si>
  <si>
    <t>CAD0138496.1</t>
  </si>
  <si>
    <t>STHERMO_1482</t>
  </si>
  <si>
    <t>Glycosyltransferase</t>
  </si>
  <si>
    <t>CAD0138498.1</t>
  </si>
  <si>
    <t>STHERMO_1483</t>
  </si>
  <si>
    <t>Spore coat polysaccharide biosynthesis protein SpsK</t>
  </si>
  <si>
    <t>spsK</t>
  </si>
  <si>
    <t>CAD0138500.1</t>
  </si>
  <si>
    <t>STHERMO_1484</t>
  </si>
  <si>
    <t>CAD0138502.1</t>
  </si>
  <si>
    <t>STHERMO_1485</t>
  </si>
  <si>
    <t>Putative glycosyltransferase CsbB</t>
  </si>
  <si>
    <t>csbB</t>
  </si>
  <si>
    <t>CAD0138504.1</t>
  </si>
  <si>
    <t>STHERMO_1486</t>
  </si>
  <si>
    <t>CAD0138506.1</t>
  </si>
  <si>
    <t>STHERMO_1487</t>
  </si>
  <si>
    <t>CAD0138508.1</t>
  </si>
  <si>
    <t>STHERMO_1488</t>
  </si>
  <si>
    <t>putative protein involved in Fe-S cluster assembly, PaaD-like</t>
  </si>
  <si>
    <t>yitW</t>
  </si>
  <si>
    <t>CAD0138510.1</t>
  </si>
  <si>
    <t>STHERMO_1489</t>
  </si>
  <si>
    <t>RNA polymerase major sigma-43 factor (sigma-A)</t>
  </si>
  <si>
    <t>sigA</t>
  </si>
  <si>
    <t>CAD0138512.1</t>
  </si>
  <si>
    <t>STHERMO_1490</t>
  </si>
  <si>
    <t>CAD0138514.1</t>
  </si>
  <si>
    <t>STHERMO_1491</t>
  </si>
  <si>
    <t>ribosomal protein S21</t>
  </si>
  <si>
    <t>CAD0138516.1</t>
  </si>
  <si>
    <t>STHERMO_1492</t>
  </si>
  <si>
    <t>Amino acid ABC transporter, amino acid-binding/permease protein</t>
  </si>
  <si>
    <t>CAD0138518.1</t>
  </si>
  <si>
    <t>STHERMO_1493</t>
  </si>
  <si>
    <t>CAD0138520.1</t>
  </si>
  <si>
    <t>STHERMO_1494</t>
  </si>
  <si>
    <t>CAD0138522.1</t>
  </si>
  <si>
    <t>STHERMO_1495</t>
  </si>
  <si>
    <t>CAD0138524.1</t>
  </si>
  <si>
    <t>STHERMO_1496</t>
  </si>
  <si>
    <t>CAD0138526.1</t>
  </si>
  <si>
    <t>STHERMO_1497</t>
  </si>
  <si>
    <t>excinuclease ABC (subunit B)</t>
  </si>
  <si>
    <t>CAD0138528.1</t>
  </si>
  <si>
    <t>STHERMO_1498</t>
  </si>
  <si>
    <t>CAD0138530.1</t>
  </si>
  <si>
    <t>STHERMO_1499</t>
  </si>
  <si>
    <t>CAAX amino terminal protease family</t>
  </si>
  <si>
    <t>CAD0138532.1</t>
  </si>
  <si>
    <t>STHERMO_1500</t>
  </si>
  <si>
    <t>CAD0138534.1</t>
  </si>
  <si>
    <t>STHERMO_1501</t>
  </si>
  <si>
    <t>CAD0138536.1</t>
  </si>
  <si>
    <t>STHERMO_1502</t>
  </si>
  <si>
    <t>putative Glutamine-binding periplasmic protein</t>
  </si>
  <si>
    <t>CAD0138538.1</t>
  </si>
  <si>
    <t>STHERMO_1503</t>
  </si>
  <si>
    <t>CAD0138540.1</t>
  </si>
  <si>
    <t>STHERMO_1504</t>
  </si>
  <si>
    <t>CAD0138542.1</t>
  </si>
  <si>
    <t>STHERMO_1505</t>
  </si>
  <si>
    <t>GTPase</t>
  </si>
  <si>
    <t>CAD0138544.1</t>
  </si>
  <si>
    <t>STHERMO_1506</t>
  </si>
  <si>
    <t>ppGpp-binding GTPase involved in cell partitioning, DNA repair and ribosome assembly</t>
  </si>
  <si>
    <t>CAD0138546.1</t>
  </si>
  <si>
    <t>STHERMO_1507</t>
  </si>
  <si>
    <t>CAD0138548.1</t>
  </si>
  <si>
    <t>STHERMO_1508</t>
  </si>
  <si>
    <t>CAD0138550.1</t>
  </si>
  <si>
    <t>STHERMO_1509</t>
  </si>
  <si>
    <t>CAD0138552.1</t>
  </si>
  <si>
    <t>STHERMO_1510</t>
  </si>
  <si>
    <t>CAD0138554.1</t>
  </si>
  <si>
    <t>STHERMO_1511</t>
  </si>
  <si>
    <t>CAD0138556.1</t>
  </si>
  <si>
    <t>STHERMO_1512</t>
  </si>
  <si>
    <t>CAD0138558.1</t>
  </si>
  <si>
    <t>STHERMO_1513</t>
  </si>
  <si>
    <t>CAD0138560.1</t>
  </si>
  <si>
    <t>STHERMO_1514</t>
  </si>
  <si>
    <t>CAD0138562.1</t>
  </si>
  <si>
    <t>STHERMO_1515</t>
  </si>
  <si>
    <t>Arylsulfatase regulator</t>
  </si>
  <si>
    <t>CAD0138564.1</t>
  </si>
  <si>
    <t>STHERMO_1516</t>
  </si>
  <si>
    <t>Peptide-2 ABC exporter (Pep2E) family, ATP binding/membrane-spanning protein</t>
  </si>
  <si>
    <t>CAD0138566.1</t>
  </si>
  <si>
    <t>STHERMO_1517</t>
  </si>
  <si>
    <t>CAD0138568.1</t>
  </si>
  <si>
    <t>STHERMO_1518</t>
  </si>
  <si>
    <t>CAD0138570.1</t>
  </si>
  <si>
    <t>STHERMO_1519</t>
  </si>
  <si>
    <t>Phenylacetic acid degradation protein PaaD, thioesterase</t>
  </si>
  <si>
    <t>CAD0138572.1</t>
  </si>
  <si>
    <t>STHERMO_1520</t>
  </si>
  <si>
    <t>CAD0138574.1</t>
  </si>
  <si>
    <t>STHERMO_1521</t>
  </si>
  <si>
    <t>CAD0138576.1</t>
  </si>
  <si>
    <t>STHERMO_1522</t>
  </si>
  <si>
    <t>CAD0138578.1</t>
  </si>
  <si>
    <t>STHERMO_1523</t>
  </si>
  <si>
    <t>CAD0138580.1</t>
  </si>
  <si>
    <t>STHERMO_1524</t>
  </si>
  <si>
    <t>Phosphoserine phosphatase</t>
  </si>
  <si>
    <t>CAD0138582.1</t>
  </si>
  <si>
    <t>STHERMO_1525</t>
  </si>
  <si>
    <t>Septation ring formation regulator EzrA</t>
  </si>
  <si>
    <t>CAD0138584.1</t>
  </si>
  <si>
    <t>STHERMO_1526</t>
  </si>
  <si>
    <t>DNA gyrase (subunit B)</t>
  </si>
  <si>
    <t>CAD0138586.1</t>
  </si>
  <si>
    <t>STHERMO_1527</t>
  </si>
  <si>
    <t>hydrolase, haloacid dehalogenase-like family</t>
  </si>
  <si>
    <t>CAD0138588.1</t>
  </si>
  <si>
    <t>STHERMO_1528</t>
  </si>
  <si>
    <t>LrgA-associated membrane protein LrgB</t>
  </si>
  <si>
    <t>CAD0138590.1</t>
  </si>
  <si>
    <t>STHERMO_1529</t>
  </si>
  <si>
    <t>CAD0138592.1</t>
  </si>
  <si>
    <t>STHERMO_1530</t>
  </si>
  <si>
    <t>CAD0138594.1</t>
  </si>
  <si>
    <t>STHERMO_1531</t>
  </si>
  <si>
    <t>putative oxidoreductase with thioredoxin domain and regulator domain</t>
  </si>
  <si>
    <t>yusI</t>
  </si>
  <si>
    <t>CAD0138596.1</t>
  </si>
  <si>
    <t>STHERMO_1532</t>
  </si>
  <si>
    <t>Methylated-DNA--protein-cysteine methyltransferase</t>
  </si>
  <si>
    <t>CAD0138598.1</t>
  </si>
  <si>
    <t>STHERMO_1533</t>
  </si>
  <si>
    <t>D-3-phosphoglycerate dehydrogenase</t>
  </si>
  <si>
    <t>CAD0138600.1</t>
  </si>
  <si>
    <t>STHERMO_1534</t>
  </si>
  <si>
    <t>CAD0138602.1</t>
  </si>
  <si>
    <t>STHERMO_1535</t>
  </si>
  <si>
    <t>Phosphoserine aminotransferase</t>
  </si>
  <si>
    <t>CAD0138604.1</t>
  </si>
  <si>
    <t>STHERMO_1536</t>
  </si>
  <si>
    <t>Sugar kinase and transcription regulator</t>
  </si>
  <si>
    <t>CAD0138606.1</t>
  </si>
  <si>
    <t>STHERMO_1537</t>
  </si>
  <si>
    <t>CAD0138608.1</t>
  </si>
  <si>
    <t>STHERMO_1538</t>
  </si>
  <si>
    <t>Lactoylglutathione lyase</t>
  </si>
  <si>
    <t>gloA</t>
  </si>
  <si>
    <t>CAD0138610.1</t>
  </si>
  <si>
    <t>STHERMO_1539</t>
  </si>
  <si>
    <t>Putative stomatin/prohibitin-family membrane protease subunit YbbK</t>
  </si>
  <si>
    <t>CAD0138612.1</t>
  </si>
  <si>
    <t>STHERMO_1540</t>
  </si>
  <si>
    <t>polyamine transporter subunit; periplasmic-binding component of ABC superfamily</t>
  </si>
  <si>
    <t>potD</t>
  </si>
  <si>
    <t>CAD0138614.1</t>
  </si>
  <si>
    <t>STHERMO_1541</t>
  </si>
  <si>
    <t>Spermidine Putrescine ABC transporter permease component potC (TC_3.A.1.11.1)</t>
  </si>
  <si>
    <t>CAD0138616.1</t>
  </si>
  <si>
    <t>STHERMO_1542</t>
  </si>
  <si>
    <t>Spermidine Putrescine ABC transporter permease component potB (TC_3.A.1.11.1)</t>
  </si>
  <si>
    <t>CAD0138618.1</t>
  </si>
  <si>
    <t>STHERMO_1543</t>
  </si>
  <si>
    <t>Spermidine/putrescine import ATP-binding protein PotA</t>
  </si>
  <si>
    <t>potA</t>
  </si>
  <si>
    <t>CAD0138620.1</t>
  </si>
  <si>
    <t>STHERMO_1544</t>
  </si>
  <si>
    <t>UDP-N-acetylenolpyruvoylglucosamine reductase</t>
  </si>
  <si>
    <t>CAD0138622.1</t>
  </si>
  <si>
    <t>STHERMO_1545</t>
  </si>
  <si>
    <t>7,8-dihydro-6-hydroxymethylpterin pyrophosphokinase</t>
  </si>
  <si>
    <t>CAD0138624.1</t>
  </si>
  <si>
    <t>STHERMO_1546</t>
  </si>
  <si>
    <t>CAD0138626.1</t>
  </si>
  <si>
    <t>STHERMO_1547</t>
  </si>
  <si>
    <t>Alpha-amylase</t>
  </si>
  <si>
    <t>amyS</t>
  </si>
  <si>
    <t>CAD0138628.1</t>
  </si>
  <si>
    <t>STHERMO_1548</t>
  </si>
  <si>
    <t>CAD0138630.1</t>
  </si>
  <si>
    <t>STHERMO_1549</t>
  </si>
  <si>
    <t>GTP cyclohydrolase I</t>
  </si>
  <si>
    <t>folEA</t>
  </si>
  <si>
    <t>CAD0138632.1</t>
  </si>
  <si>
    <t>STHERMO_1550</t>
  </si>
  <si>
    <t>Potassium transporter KimA</t>
  </si>
  <si>
    <t>kimA</t>
  </si>
  <si>
    <t>CAD0138634.1</t>
  </si>
  <si>
    <t>STHERMO_1551</t>
  </si>
  <si>
    <t>CAD0138636.1</t>
  </si>
  <si>
    <t>STHERMO_1552</t>
  </si>
  <si>
    <t>KH domain RNA binding protein YlqC</t>
  </si>
  <si>
    <t>CAD0138638.1</t>
  </si>
  <si>
    <t>STHERMO_1553</t>
  </si>
  <si>
    <t>ribosomal protein S16 (BS17)</t>
  </si>
  <si>
    <t>CAD0138640.1</t>
  </si>
  <si>
    <t>STHERMO_1554</t>
  </si>
  <si>
    <t>putative S-adenosyl-L-methionine-dependent methyltransferase TehB</t>
  </si>
  <si>
    <t>CAD0138642.1</t>
  </si>
  <si>
    <t>STHERMO_1555</t>
  </si>
  <si>
    <t>CAD0138644.1</t>
  </si>
  <si>
    <t>STHERMO_1556</t>
  </si>
  <si>
    <t>CAD0138646.1</t>
  </si>
  <si>
    <t>STHERMO_1557</t>
  </si>
  <si>
    <t>CAD0138648.1</t>
  </si>
  <si>
    <t>STHERMO_1558</t>
  </si>
  <si>
    <t>Exodeoxyribonuclease</t>
  </si>
  <si>
    <t>exoA</t>
  </si>
  <si>
    <t>CAD0138650.1</t>
  </si>
  <si>
    <t>STHERMO_1559</t>
  </si>
  <si>
    <t>CAD0138652.1</t>
  </si>
  <si>
    <t>STHERMO_1560</t>
  </si>
  <si>
    <t>CAD0138654.1</t>
  </si>
  <si>
    <t>STHERMO_1561</t>
  </si>
  <si>
    <t>dagK</t>
  </si>
  <si>
    <t>CAD0138656.1</t>
  </si>
  <si>
    <t>STHERMO_1562</t>
  </si>
  <si>
    <t>DNA ligase (NAD-dependent)</t>
  </si>
  <si>
    <t>CAD0138658.1</t>
  </si>
  <si>
    <t>STHERMO_1563</t>
  </si>
  <si>
    <t>Queuosine precursor transporter QueT</t>
  </si>
  <si>
    <t>queT</t>
  </si>
  <si>
    <t>CAD0138660.1</t>
  </si>
  <si>
    <t>STHERMO_1564</t>
  </si>
  <si>
    <t>Ribonuclease BN</t>
  </si>
  <si>
    <t>CAD0138662.1</t>
  </si>
  <si>
    <t>STHERMO_1565</t>
  </si>
  <si>
    <t>Methionine aminopeptidase</t>
  </si>
  <si>
    <t>map</t>
  </si>
  <si>
    <t>CAD0138664.1</t>
  </si>
  <si>
    <t>STHERMO_1566</t>
  </si>
  <si>
    <t>Cytosolic protein containing multiple CBS domains</t>
  </si>
  <si>
    <t>CAD0138666.1</t>
  </si>
  <si>
    <t>STHERMO_1567</t>
  </si>
  <si>
    <t>Ribosomal-protein-S5p-alanine acetyltransferase</t>
  </si>
  <si>
    <t>CAD0138668.1</t>
  </si>
  <si>
    <t>STHERMO_1568</t>
  </si>
  <si>
    <t>murAB</t>
  </si>
  <si>
    <t>CAD0138670.1</t>
  </si>
  <si>
    <t>STHERMO_1569</t>
  </si>
  <si>
    <t>Late competence protein ComEC, DNA transport</t>
  </si>
  <si>
    <t>CAD0138672.1</t>
  </si>
  <si>
    <t>STHERMO_1570</t>
  </si>
  <si>
    <t>Late competence protein ComEA, DNA receptor</t>
  </si>
  <si>
    <t>CAD0138674.1</t>
  </si>
  <si>
    <t>STHERMO_1571</t>
  </si>
  <si>
    <t>plsC</t>
  </si>
  <si>
    <t>CAD0138676.1</t>
  </si>
  <si>
    <t>STHERMO_1572</t>
  </si>
  <si>
    <t>Hydrolase acting on carbon-nitrogen bonds other than peptide bonds in linear amides</t>
  </si>
  <si>
    <t>CAD0138678.1</t>
  </si>
  <si>
    <t>STHERMO_1573</t>
  </si>
  <si>
    <t>Peptidoglycan N-acetylglucosamine deacetylase</t>
  </si>
  <si>
    <t>CAD0138680.1</t>
  </si>
  <si>
    <t>STHERMO_1574</t>
  </si>
  <si>
    <t>trmNF</t>
  </si>
  <si>
    <t>CAD0138682.1</t>
  </si>
  <si>
    <t>STHERMO_1575</t>
  </si>
  <si>
    <t>putative UvrC-Intron-type (URI) endonuclease (fragment)</t>
  </si>
  <si>
    <t>CAD0138684.1</t>
  </si>
  <si>
    <t>STHERMO_1576</t>
  </si>
  <si>
    <t>ATP-dependent RNA helicase; cold shock</t>
  </si>
  <si>
    <t>cshA</t>
  </si>
  <si>
    <t>CAD0138686.1</t>
  </si>
  <si>
    <t>STHERMO_1577</t>
  </si>
  <si>
    <t>Magnesium and cobalt transport protein corA</t>
  </si>
  <si>
    <t>CAD0138688.1</t>
  </si>
  <si>
    <t>STHERMO_1578</t>
  </si>
  <si>
    <t>Helicase</t>
  </si>
  <si>
    <t>CAD0138690.1</t>
  </si>
  <si>
    <t>STHERMO_1579</t>
  </si>
  <si>
    <t>Substrate-specific component ThiT of thiamin ECF transporter</t>
  </si>
  <si>
    <t>CAD0138692.1</t>
  </si>
  <si>
    <t>STHERMO_1580</t>
  </si>
  <si>
    <t>CAD0138694.1</t>
  </si>
  <si>
    <t>STHERMO_1581</t>
  </si>
  <si>
    <t>CAD0138696.1</t>
  </si>
  <si>
    <t>STHERMO_1582</t>
  </si>
  <si>
    <t>Peptide chain release factor 3</t>
  </si>
  <si>
    <t>prfC</t>
  </si>
  <si>
    <t>CAD0138698.1</t>
  </si>
  <si>
    <t>STHERMO_1583</t>
  </si>
  <si>
    <t>CAD0138700.1</t>
  </si>
  <si>
    <t>STHERMO_1584</t>
  </si>
  <si>
    <t>CAD0138702.1</t>
  </si>
  <si>
    <t>STHERMO_1585</t>
  </si>
  <si>
    <t>CAD0138704.1</t>
  </si>
  <si>
    <t>STHERMO_1586</t>
  </si>
  <si>
    <t>CAD0138706.1</t>
  </si>
  <si>
    <t>STHERMO_1587</t>
  </si>
  <si>
    <t>CAD0138708.1</t>
  </si>
  <si>
    <t>STHERMO_1588</t>
  </si>
  <si>
    <t>Amino acid ABC transporter, periplasmic amino acid-binding protein</t>
  </si>
  <si>
    <t>CAD0138710.1</t>
  </si>
  <si>
    <t>STHERMO_1589</t>
  </si>
  <si>
    <t>cystine ABC transporter (ATP-binding protein)</t>
  </si>
  <si>
    <t>tcyC</t>
  </si>
  <si>
    <t>CAD0138712.1</t>
  </si>
  <si>
    <t>STHERMO_1590</t>
  </si>
  <si>
    <t>Amino acid ABC transporter permease</t>
  </si>
  <si>
    <t>CAD0138714.1</t>
  </si>
  <si>
    <t>STHERMO_1591</t>
  </si>
  <si>
    <t>CAD0138716.1</t>
  </si>
  <si>
    <t>STHERMO_1592</t>
  </si>
  <si>
    <t>ddl</t>
  </si>
  <si>
    <t>CAD0138718.1</t>
  </si>
  <si>
    <t>STHERMO_1593</t>
  </si>
  <si>
    <t>Copper chaperone</t>
  </si>
  <si>
    <t>CAD0138720.1</t>
  </si>
  <si>
    <t>STHERMO_1594</t>
  </si>
  <si>
    <t>copper [Cu(I)] transporter ATPase</t>
  </si>
  <si>
    <t>copA</t>
  </si>
  <si>
    <t>CAD0138722.1</t>
  </si>
  <si>
    <t>STHERMO_1595</t>
  </si>
  <si>
    <t>Uncharacterized 16.5 kDa protein in ptsI 3'region</t>
  </si>
  <si>
    <t>CAD0138724.1</t>
  </si>
  <si>
    <t>STHERMO_1596</t>
  </si>
  <si>
    <t>Tryptophan synthase alpha chain</t>
  </si>
  <si>
    <t>CAD0138726.1</t>
  </si>
  <si>
    <t>STHERMO_1597</t>
  </si>
  <si>
    <t>tryptophan synthase (beta subunit)</t>
  </si>
  <si>
    <t>CAD0138728.1</t>
  </si>
  <si>
    <t>STHERMO_1598</t>
  </si>
  <si>
    <t>N-(5'-phosphoribosyl)anthranilate isomerase</t>
  </si>
  <si>
    <t>trpF</t>
  </si>
  <si>
    <t>CAD0138730.1</t>
  </si>
  <si>
    <t>STHERMO_1599</t>
  </si>
  <si>
    <t>Indole-3-glycerol phosphate synthase</t>
  </si>
  <si>
    <t>CAD0138732.1</t>
  </si>
  <si>
    <t>STHERMO_1600</t>
  </si>
  <si>
    <t>Anthranilate phosphoribosyltransferase</t>
  </si>
  <si>
    <t>CAD0138734.1</t>
  </si>
  <si>
    <t>STHERMO_1601</t>
  </si>
  <si>
    <t>4-amino-4-deoxychorismate synthase; anthranilate synthase (subunit II)</t>
  </si>
  <si>
    <t>pabA</t>
  </si>
  <si>
    <t>CAD0138736.1</t>
  </si>
  <si>
    <t>STHERMO_1602</t>
  </si>
  <si>
    <t>Anthranilate synthase component 1</t>
  </si>
  <si>
    <t>CAD0138738.1</t>
  </si>
  <si>
    <t>STHERMO_1603</t>
  </si>
  <si>
    <t>Isochorismate pyruvate-lyase</t>
  </si>
  <si>
    <t>CAD0138740.1</t>
  </si>
  <si>
    <t>STHERMO_1604</t>
  </si>
  <si>
    <t>Dihydroorotate dehydrogenase</t>
  </si>
  <si>
    <t>CAD0138742.1</t>
  </si>
  <si>
    <t>STHERMO_1605</t>
  </si>
  <si>
    <t>putative cation-transporting ATPase exp7</t>
  </si>
  <si>
    <t>exp</t>
  </si>
  <si>
    <t>CAD0138744.1</t>
  </si>
  <si>
    <t>STHERMO_1606</t>
  </si>
  <si>
    <t>CAD0138746.1</t>
  </si>
  <si>
    <t>STHERMO_1607</t>
  </si>
  <si>
    <t>CAD0138748.1</t>
  </si>
  <si>
    <t>STHERMO_1608</t>
  </si>
  <si>
    <t>CAD0138750.1</t>
  </si>
  <si>
    <t>STHERMO_1609</t>
  </si>
  <si>
    <t>Nucleoid-associated protein STH65_v1_1610</t>
  </si>
  <si>
    <t>CAD0138752.1</t>
  </si>
  <si>
    <t>STHERMO_1610</t>
  </si>
  <si>
    <t>CAD0138754.1</t>
  </si>
  <si>
    <t>STHERMO_1611</t>
  </si>
  <si>
    <t>CAD0138756.1</t>
  </si>
  <si>
    <t>STHERMO_1612</t>
  </si>
  <si>
    <t>Transcriptional regulator, MerR family</t>
  </si>
  <si>
    <t>CAD0138758.1</t>
  </si>
  <si>
    <t>STHERMO_1613</t>
  </si>
  <si>
    <t>DNA polymerase III, epsilon chain</t>
  </si>
  <si>
    <t>CAD0138760.1</t>
  </si>
  <si>
    <t>STHERMO_1614</t>
  </si>
  <si>
    <t>CAD0138762.1</t>
  </si>
  <si>
    <t>STHERMO_1615</t>
  </si>
  <si>
    <t>probably aromatic ring hydroxylating enzyme, evidenced by COGnitor; PaaD-like protein involved in Fe-S cluster assembly</t>
  </si>
  <si>
    <t>CAD0138764.1</t>
  </si>
  <si>
    <t>STHERMO_1616</t>
  </si>
  <si>
    <t>Dihydroxy-acid dehydratase</t>
  </si>
  <si>
    <t>CAD0138766.1</t>
  </si>
  <si>
    <t>STHERMO_1617</t>
  </si>
  <si>
    <t>putative NAD(FAD)-utilizing dehydrogenase</t>
  </si>
  <si>
    <t>ytfP</t>
  </si>
  <si>
    <t>CAD0138768.1</t>
  </si>
  <si>
    <t>STHERMO_1618</t>
  </si>
  <si>
    <t>tRNA (guanine-N(7)-)-methyltransferase</t>
  </si>
  <si>
    <t>CAD0138770.1</t>
  </si>
  <si>
    <t>STHERMO_1619</t>
  </si>
  <si>
    <t>putative choline kinase involved in lipopolysaccharide biosynthesis</t>
  </si>
  <si>
    <t>CAD0138772.1</t>
  </si>
  <si>
    <t>STHERMO_1620</t>
  </si>
  <si>
    <t>ABC transporter, permease protein</t>
  </si>
  <si>
    <t>CAD0138774.1</t>
  </si>
  <si>
    <t>STHERMO_1621</t>
  </si>
  <si>
    <t>ABC transporter (ATP-binding protein)</t>
  </si>
  <si>
    <t>ecsA</t>
  </si>
  <si>
    <t>CAD0138776.1</t>
  </si>
  <si>
    <t>STHERMO_1622</t>
  </si>
  <si>
    <t>promiscuous Hit-family phosphohydrolase, adenosine phosphoramidase</t>
  </si>
  <si>
    <t>hinT</t>
  </si>
  <si>
    <t>CAD0138778.1</t>
  </si>
  <si>
    <t>STHERMO_1623</t>
  </si>
  <si>
    <t>CAD0138780.1</t>
  </si>
  <si>
    <t>STHERMO_1624</t>
  </si>
  <si>
    <t>CAD0138782.1</t>
  </si>
  <si>
    <t>STHERMO_1625</t>
  </si>
  <si>
    <t>CAD0138784.1</t>
  </si>
  <si>
    <t>STHERMO_1626</t>
  </si>
  <si>
    <t>CAD0138786.1</t>
  </si>
  <si>
    <t>STHERMO_1627</t>
  </si>
  <si>
    <t>tRNA(Met) cytidine acetate ligase</t>
  </si>
  <si>
    <t>tmcAL</t>
  </si>
  <si>
    <t>CAD0138788.1</t>
  </si>
  <si>
    <t>STHERMO_1628</t>
  </si>
  <si>
    <t>Putative methyltransferase GWCH70_2453</t>
  </si>
  <si>
    <t>CAD0138790.1</t>
  </si>
  <si>
    <t>STHERMO_1629</t>
  </si>
  <si>
    <t>ribosomal silencing factor</t>
  </si>
  <si>
    <t>CAD0138792.1</t>
  </si>
  <si>
    <t>STHERMO_1630</t>
  </si>
  <si>
    <t>Hydrolase (HAD superfamily), YqeK</t>
  </si>
  <si>
    <t>CAD0138794.1</t>
  </si>
  <si>
    <t>STHERMO_1631</t>
  </si>
  <si>
    <t>nadD</t>
  </si>
  <si>
    <t>CAD0138796.1</t>
  </si>
  <si>
    <t>STHERMO_1632</t>
  </si>
  <si>
    <t>50S RNA-binding protein</t>
  </si>
  <si>
    <t>yqeI</t>
  </si>
  <si>
    <t>CAD0138798.1</t>
  </si>
  <si>
    <t>STHERMO_1633</t>
  </si>
  <si>
    <t>potassium-dependent GTPase involved in ribosome 30S assembly</t>
  </si>
  <si>
    <t>rgpH</t>
  </si>
  <si>
    <t>CAD0138800.1</t>
  </si>
  <si>
    <t>STHERMO_1634</t>
  </si>
  <si>
    <t>Hydrolase, HAD subfamily IIIA</t>
  </si>
  <si>
    <t>CAD0138802.1</t>
  </si>
  <si>
    <t>STHERMO_1635</t>
  </si>
  <si>
    <t>Drug/metabolite transporter (DMT) superfamily protein</t>
  </si>
  <si>
    <t>CAD0138804.1</t>
  </si>
  <si>
    <t>STHERMO_1636</t>
  </si>
  <si>
    <t>CAD0138806.1</t>
  </si>
  <si>
    <t>STHERMO_1637</t>
  </si>
  <si>
    <t>glutamyl-tRNA(Gln) amidotransferase (subunit B)</t>
  </si>
  <si>
    <t>CAD0138808.1</t>
  </si>
  <si>
    <t>STHERMO_1638</t>
  </si>
  <si>
    <t>glutamyl-tRNA(Gln) amidotransferase (subunit A)</t>
  </si>
  <si>
    <t>CAD0138810.1</t>
  </si>
  <si>
    <t>STHERMO_1639</t>
  </si>
  <si>
    <t>glutamyl-tRNA(Gln) amidotransferase (subunit C)</t>
  </si>
  <si>
    <t>CAD0138812.1</t>
  </si>
  <si>
    <t>STHERMO_1640</t>
  </si>
  <si>
    <t>CAD0138814.1</t>
  </si>
  <si>
    <t>STHERMO_1641</t>
  </si>
  <si>
    <t>CAD0138816.1</t>
  </si>
  <si>
    <t>STHERMO_1642</t>
  </si>
  <si>
    <t>peptide methionine S-sulfoxide reductase</t>
  </si>
  <si>
    <t>CAD0138822.1</t>
  </si>
  <si>
    <t>STHERMO_1645</t>
  </si>
  <si>
    <t>CAD0138824.1</t>
  </si>
  <si>
    <t>STHERMO_1646</t>
  </si>
  <si>
    <t>nicotinamidase; NAD salvage pathway</t>
  </si>
  <si>
    <t>pncA</t>
  </si>
  <si>
    <t>CAD0138826.1</t>
  </si>
  <si>
    <t>STHERMO_1647</t>
  </si>
  <si>
    <t>transcriptional regulator, GTP and BCAA-dependent</t>
  </si>
  <si>
    <t>CAD0138828.1</t>
  </si>
  <si>
    <t>STHERMO_1648</t>
  </si>
  <si>
    <t>putative aminotransferase</t>
  </si>
  <si>
    <t>yfbQ</t>
  </si>
  <si>
    <t>CAD0138830.1</t>
  </si>
  <si>
    <t>STHERMO_1649</t>
  </si>
  <si>
    <t>Universal stress protein</t>
  </si>
  <si>
    <t>CAD0138832.1</t>
  </si>
  <si>
    <t>STHERMO_1650</t>
  </si>
  <si>
    <t>CAD0138834.1</t>
  </si>
  <si>
    <t>STHERMO_1651</t>
  </si>
  <si>
    <t>CAD0138836.1</t>
  </si>
  <si>
    <t>STHERMO_1652</t>
  </si>
  <si>
    <t>SSU ribosomal protein S16p</t>
  </si>
  <si>
    <t>CAD0138838.1</t>
  </si>
  <si>
    <t>STHERMO_1653</t>
  </si>
  <si>
    <t>CAD0138840.1</t>
  </si>
  <si>
    <t>STHERMO_1654</t>
  </si>
  <si>
    <t>Pyruvate formate-lyase-activating enzyme</t>
  </si>
  <si>
    <t>act</t>
  </si>
  <si>
    <t>CAD0138842.1</t>
  </si>
  <si>
    <t>STHERMO_1655</t>
  </si>
  <si>
    <t>CAD0138844.1</t>
  </si>
  <si>
    <t>STHERMO_1656</t>
  </si>
  <si>
    <t>Putative membrane protein of the hemolysin C (HlyC) family</t>
  </si>
  <si>
    <t>hlyX</t>
  </si>
  <si>
    <t>CAD0138846.1</t>
  </si>
  <si>
    <t>STHERMO_1657</t>
  </si>
  <si>
    <t>Putative ABC transporter ATP-binding protein</t>
  </si>
  <si>
    <t>abcX</t>
  </si>
  <si>
    <t>CAD0138848.1</t>
  </si>
  <si>
    <t>STHERMO_1658</t>
  </si>
  <si>
    <t>CAD0138850.1</t>
  </si>
  <si>
    <t>STHERMO_1659</t>
  </si>
  <si>
    <t>Na+/H+ antiporter</t>
  </si>
  <si>
    <t>CAD0138852.1</t>
  </si>
  <si>
    <t>STHERMO_1660</t>
  </si>
  <si>
    <t>CAD0138854.1</t>
  </si>
  <si>
    <t>STHERMO_1661</t>
  </si>
  <si>
    <t>putative RNA methylase</t>
  </si>
  <si>
    <t>ytqB</t>
  </si>
  <si>
    <t>CAD0138856.1</t>
  </si>
  <si>
    <t>STHERMO_1662</t>
  </si>
  <si>
    <t>ytqA</t>
  </si>
  <si>
    <t>CAD0138858.1</t>
  </si>
  <si>
    <t>STHERMO_1663</t>
  </si>
  <si>
    <t>Endopeptidase La</t>
  </si>
  <si>
    <t>CAD0138860.1</t>
  </si>
  <si>
    <t>STHERMO_1664</t>
  </si>
  <si>
    <t>Phosphopantetheine adenylyltransferase</t>
  </si>
  <si>
    <t>CAD0138862.1</t>
  </si>
  <si>
    <t>STHERMO_1665</t>
  </si>
  <si>
    <t>16S rRNA m2G966 methyltransferase</t>
  </si>
  <si>
    <t>rsmD</t>
  </si>
  <si>
    <t>CAD0138864.1</t>
  </si>
  <si>
    <t>STHERMO_1666</t>
  </si>
  <si>
    <t>thioredoxin reductase</t>
  </si>
  <si>
    <t>CAD0138866.1</t>
  </si>
  <si>
    <t>STHERMO_1667</t>
  </si>
  <si>
    <t>CAD0138868.1</t>
  </si>
  <si>
    <t>STHERMO_1668</t>
  </si>
  <si>
    <t>sulfur-containing amino-acid ABC transporter (ATP-binding protein)</t>
  </si>
  <si>
    <t>tcyN</t>
  </si>
  <si>
    <t>CAD0138870.1</t>
  </si>
  <si>
    <t>STHERMO_1669</t>
  </si>
  <si>
    <t>Cysteine ABC transporter, permease protein</t>
  </si>
  <si>
    <t>CAD0138872.1</t>
  </si>
  <si>
    <t>STHERMO_1670</t>
  </si>
  <si>
    <t>CAD0138874.1</t>
  </si>
  <si>
    <t>STHERMO_1671</t>
  </si>
  <si>
    <t>CAD0138876.1</t>
  </si>
  <si>
    <t>STHERMO_1672</t>
  </si>
  <si>
    <t>CAD0138878.1</t>
  </si>
  <si>
    <t>STHERMO_1673</t>
  </si>
  <si>
    <t>CAD0138880.1</t>
  </si>
  <si>
    <t>STHERMO_1674</t>
  </si>
  <si>
    <t>Formate acetyltransferase</t>
  </si>
  <si>
    <t>pfl</t>
  </si>
  <si>
    <t>CAD0138882.1</t>
  </si>
  <si>
    <t>STHERMO_1675</t>
  </si>
  <si>
    <t>Carbonic anhydrase</t>
  </si>
  <si>
    <t>cah</t>
  </si>
  <si>
    <t>CAD0138884.1</t>
  </si>
  <si>
    <t>STHERMO_1676</t>
  </si>
  <si>
    <t>CAD0138886.1</t>
  </si>
  <si>
    <t>STHERMO_1677</t>
  </si>
  <si>
    <t>Restriction endonuclease subunit S</t>
  </si>
  <si>
    <t>CAD0138888.1</t>
  </si>
  <si>
    <t>STHERMO_1678</t>
  </si>
  <si>
    <t>CAD0138890.1</t>
  </si>
  <si>
    <t>STHERMO_1679</t>
  </si>
  <si>
    <t>Plasmid mobilization protein, truncated</t>
  </si>
  <si>
    <t>CAD0138892.1</t>
  </si>
  <si>
    <t>STHERMO_1680</t>
  </si>
  <si>
    <t>CAD0138894.1</t>
  </si>
  <si>
    <t>STHERMO_1681</t>
  </si>
  <si>
    <t>putative Integrase/recombinase plasmid associated</t>
  </si>
  <si>
    <t>CAD0138896.1</t>
  </si>
  <si>
    <t>STHERMO_1682</t>
  </si>
  <si>
    <t>CAD0138898.1</t>
  </si>
  <si>
    <t>STHERMO_1683</t>
  </si>
  <si>
    <t>putative permease of an ABC transporter</t>
  </si>
  <si>
    <t>ybbM</t>
  </si>
  <si>
    <t>CAD0138900.1</t>
  </si>
  <si>
    <t>STHERMO_1684</t>
  </si>
  <si>
    <t>putative transporter subunit: ATP-binding component of ABC superfamily</t>
  </si>
  <si>
    <t>ybbL</t>
  </si>
  <si>
    <t>CAD0138902.1</t>
  </si>
  <si>
    <t>STHERMO_1685</t>
  </si>
  <si>
    <t>CAD0138904.1</t>
  </si>
  <si>
    <t>STHERMO_1686</t>
  </si>
  <si>
    <t>Beta-lactamase, class C</t>
  </si>
  <si>
    <t>CAD0138906.1</t>
  </si>
  <si>
    <t>STHERMO_1687</t>
  </si>
  <si>
    <t>C3-degrading proteinase</t>
  </si>
  <si>
    <t>CAD0138908.1</t>
  </si>
  <si>
    <t>STHERMO_1688</t>
  </si>
  <si>
    <t>Glycerol facilitator-aquaporin gla</t>
  </si>
  <si>
    <t>CAD0138910.1</t>
  </si>
  <si>
    <t>STHERMO_1689</t>
  </si>
  <si>
    <t>pepX</t>
  </si>
  <si>
    <t>CAD0138912.1</t>
  </si>
  <si>
    <t>STHERMO_1690</t>
  </si>
  <si>
    <t>putative bacteriocin self-immunity protein, truncated</t>
  </si>
  <si>
    <t>CAD0138914.1</t>
  </si>
  <si>
    <t>STHERMO_1691</t>
  </si>
  <si>
    <t>CAD0138916.1</t>
  </si>
  <si>
    <t>STHERMO_1692</t>
  </si>
  <si>
    <t>CAD0138918.1</t>
  </si>
  <si>
    <t>STHERMO_1693</t>
  </si>
  <si>
    <t>Mundticin KS immunity protein</t>
  </si>
  <si>
    <t>CAD0138920.1</t>
  </si>
  <si>
    <t>STHERMO_1694</t>
  </si>
  <si>
    <t>Immunity/modification protein</t>
  </si>
  <si>
    <t>blpT</t>
  </si>
  <si>
    <t>CAD0138922.1</t>
  </si>
  <si>
    <t>STHERMO_1695</t>
  </si>
  <si>
    <t>CAD0138924.1</t>
  </si>
  <si>
    <t>STHERMO_1696</t>
  </si>
  <si>
    <t>CAD0138926.1</t>
  </si>
  <si>
    <t>STHERMO_1697</t>
  </si>
  <si>
    <t>CAD0138928.1</t>
  </si>
  <si>
    <t>STHERMO_1698</t>
  </si>
  <si>
    <t>CAD0138930.1</t>
  </si>
  <si>
    <t>STHERMO_1699</t>
  </si>
  <si>
    <t>CAD0138932.1</t>
  </si>
  <si>
    <t>STHERMO_1700</t>
  </si>
  <si>
    <t>CAD0138934.1</t>
  </si>
  <si>
    <t>STHERMO_1701</t>
  </si>
  <si>
    <t>Stage II sporulation serine phosphatase for sigma-F activation (SpoIIE)</t>
  </si>
  <si>
    <t>CAD0138936.1</t>
  </si>
  <si>
    <t>STHERMO_1702</t>
  </si>
  <si>
    <t>Response regulator of the competence regulon ComE</t>
  </si>
  <si>
    <t>CAD0138938.1</t>
  </si>
  <si>
    <t>STHERMO_1703</t>
  </si>
  <si>
    <t>Histidine kinase of the competence regulon ComD</t>
  </si>
  <si>
    <t>CAD0138940.1</t>
  </si>
  <si>
    <t>STHERMO_1704</t>
  </si>
  <si>
    <t>putative signal peptide</t>
  </si>
  <si>
    <t>CAD0138942.1</t>
  </si>
  <si>
    <t>STHERMO_1705</t>
  </si>
  <si>
    <t>CAD0138944.1</t>
  </si>
  <si>
    <t>STHERMO_1706</t>
  </si>
  <si>
    <t>CAD0138946.1</t>
  </si>
  <si>
    <t>STHERMO_1707</t>
  </si>
  <si>
    <t>Competence-stimulating peptide ABC transporter permease protein ComB</t>
  </si>
  <si>
    <t>CAD0138948.1</t>
  </si>
  <si>
    <t>STHERMO_1708</t>
  </si>
  <si>
    <t>Transport/processing ATP-binding protein ComA</t>
  </si>
  <si>
    <t>comA</t>
  </si>
  <si>
    <t>CAD0138950.1</t>
  </si>
  <si>
    <t>STHERMO_1709</t>
  </si>
  <si>
    <t>CAD0138952.1</t>
  </si>
  <si>
    <t>STHERMO_1710</t>
  </si>
  <si>
    <t>CAD0138954.1</t>
  </si>
  <si>
    <t>STHERMO_1711</t>
  </si>
  <si>
    <t>Putative ABC transporter ATP-binding protein exp8</t>
  </si>
  <si>
    <t>CAD0138957.1</t>
  </si>
  <si>
    <t>STHERMO_1712</t>
  </si>
  <si>
    <t>efflux ABC transporter (ATP-binding protein)</t>
  </si>
  <si>
    <t>bmrC</t>
  </si>
  <si>
    <t>CAD0138959.1</t>
  </si>
  <si>
    <t>STHERMO_1713</t>
  </si>
  <si>
    <t>CAD0138961.1</t>
  </si>
  <si>
    <t>STHERMO_1714</t>
  </si>
  <si>
    <t>CAD0138963.1</t>
  </si>
  <si>
    <t>STHERMO_1715</t>
  </si>
  <si>
    <t>VanZF-related protein</t>
  </si>
  <si>
    <t>CAD0138965.1</t>
  </si>
  <si>
    <t>STHERMO_1716</t>
  </si>
  <si>
    <t>23S rRNA m2A2503 methyltransferase and tRNA A37 C2 methyltransferase</t>
  </si>
  <si>
    <t>CAD0138967.1</t>
  </si>
  <si>
    <t>STHERMO_1717</t>
  </si>
  <si>
    <t>CAD0138969.1</t>
  </si>
  <si>
    <t>STHERMO_1718</t>
  </si>
  <si>
    <t>CAD0138971.1</t>
  </si>
  <si>
    <t>STHERMO_1719</t>
  </si>
  <si>
    <t>CAD0138973.1</t>
  </si>
  <si>
    <t>STHERMO_1720</t>
  </si>
  <si>
    <t>DEAD-box ATP-dependent RNA helicase CshB</t>
  </si>
  <si>
    <t>cshB</t>
  </si>
  <si>
    <t>CAD0138975.1</t>
  </si>
  <si>
    <t>STHERMO_1721</t>
  </si>
  <si>
    <t>phospho-N-acetylmuramoyl-pentapeptide undecaprenyl phosphate (C55P) transferase</t>
  </si>
  <si>
    <t>CAD0138977.1</t>
  </si>
  <si>
    <t>STHERMO_1722</t>
  </si>
  <si>
    <t>Penicillin-binding protein 2x</t>
  </si>
  <si>
    <t>pbpX</t>
  </si>
  <si>
    <t>CAD0138979.1</t>
  </si>
  <si>
    <t>STHERMO_1723</t>
  </si>
  <si>
    <t>Cell division protein FtsL</t>
  </si>
  <si>
    <t>CAD0138981.1</t>
  </si>
  <si>
    <t>STHERMO_1724</t>
  </si>
  <si>
    <t>16S rRNA m4C1402 methyltransferase</t>
  </si>
  <si>
    <t>CAD0138983.1</t>
  </si>
  <si>
    <t>STHERMO_1725</t>
  </si>
  <si>
    <t>CAD0138985.1</t>
  </si>
  <si>
    <t>STHERMO_1726</t>
  </si>
  <si>
    <t>CAD0138987.1</t>
  </si>
  <si>
    <t>STHERMO_1727</t>
  </si>
  <si>
    <t>CAD0138989.1</t>
  </si>
  <si>
    <t>STHERMO_1728</t>
  </si>
  <si>
    <t>putative Inner membrane protein YhaI</t>
  </si>
  <si>
    <t>CAD0138991.1</t>
  </si>
  <si>
    <t>STHERMO_1729</t>
  </si>
  <si>
    <t>CAD0138993.1</t>
  </si>
  <si>
    <t>STHERMO_1730</t>
  </si>
  <si>
    <t>gamma-glutamyl phosphate reductase</t>
  </si>
  <si>
    <t>proA</t>
  </si>
  <si>
    <t>CAD0138995.1</t>
  </si>
  <si>
    <t>STHERMO_1731</t>
  </si>
  <si>
    <t>Glutamate 5-kinase</t>
  </si>
  <si>
    <t>CAD0138997.1</t>
  </si>
  <si>
    <t>STHERMO_1732</t>
  </si>
  <si>
    <t>CAD0138999.1</t>
  </si>
  <si>
    <t>STHERMO_1733</t>
  </si>
  <si>
    <t>CAD0139001.1</t>
  </si>
  <si>
    <t>STHERMO_1734</t>
  </si>
  <si>
    <t>CAD0139003.1</t>
  </si>
  <si>
    <t>STHERMO_1735</t>
  </si>
  <si>
    <t>CAD0139005.1</t>
  </si>
  <si>
    <t>STHERMO_1736</t>
  </si>
  <si>
    <t>CAD0139007.1</t>
  </si>
  <si>
    <t>STHERMO_1737</t>
  </si>
  <si>
    <t>ATP-dependent helicase/nuclease subunit A</t>
  </si>
  <si>
    <t>CAD0139009.1</t>
  </si>
  <si>
    <t>STHERMO_1738</t>
  </si>
  <si>
    <t>ATP-dependent helicase/deoxyribonuclease subunit B</t>
  </si>
  <si>
    <t>CAD0139011.1</t>
  </si>
  <si>
    <t>STHERMO_1739</t>
  </si>
  <si>
    <t>CAD0139013.1</t>
  </si>
  <si>
    <t>STHERMO_1740</t>
  </si>
  <si>
    <t>CAD0139015.1</t>
  </si>
  <si>
    <t>STHERMO_1741</t>
  </si>
  <si>
    <t>CAD0139017.1</t>
  </si>
  <si>
    <t>STHERMO_1742</t>
  </si>
  <si>
    <t>CAD0139019.1</t>
  </si>
  <si>
    <t>STHERMO_1743</t>
  </si>
  <si>
    <t>L-Arginine permease</t>
  </si>
  <si>
    <t>rocE</t>
  </si>
  <si>
    <t>CAD0139021.1</t>
  </si>
  <si>
    <t>STHERMO_1744</t>
  </si>
  <si>
    <t>CAD0139023.1</t>
  </si>
  <si>
    <t>STHERMO_1745</t>
  </si>
  <si>
    <t>CAD0139025.1</t>
  </si>
  <si>
    <t>STHERMO_1746</t>
  </si>
  <si>
    <t>CAD0139027.1</t>
  </si>
  <si>
    <t>STHERMO_1747</t>
  </si>
  <si>
    <t>putative L-asparaginase</t>
  </si>
  <si>
    <t>ansA</t>
  </si>
  <si>
    <t>CAD0139029.1</t>
  </si>
  <si>
    <t>STHERMO_1748</t>
  </si>
  <si>
    <t>CAD0139031.1</t>
  </si>
  <si>
    <t>STHERMO_1749</t>
  </si>
  <si>
    <t>D-alanine racemase</t>
  </si>
  <si>
    <t>alrA</t>
  </si>
  <si>
    <t>CAD0139033.1</t>
  </si>
  <si>
    <t>STHERMO_1750</t>
  </si>
  <si>
    <t>holo-acyl carrier protein synthase (phosphopantetheinyl transferase)</t>
  </si>
  <si>
    <t>CAD0139035.1</t>
  </si>
  <si>
    <t>STHERMO_1751</t>
  </si>
  <si>
    <t>Phospho-2-dehydro-3-deoxyheptonate aldolase</t>
  </si>
  <si>
    <t>CAD0139037.1</t>
  </si>
  <si>
    <t>STHERMO_1752</t>
  </si>
  <si>
    <t>CAD0139039.1</t>
  </si>
  <si>
    <t>STHERMO_1753</t>
  </si>
  <si>
    <t>translocase binding subunit (ATPase)</t>
  </si>
  <si>
    <t>CAD0139041.1</t>
  </si>
  <si>
    <t>STHERMO_1754</t>
  </si>
  <si>
    <t>CAD0139043.1</t>
  </si>
  <si>
    <t>STHERMO_1755</t>
  </si>
  <si>
    <t>mannose-6 phosphate isomerase; cupin family</t>
  </si>
  <si>
    <t>CAD0139045.1</t>
  </si>
  <si>
    <t>STHERMO_1756</t>
  </si>
  <si>
    <t>ROK fructokinase; glucomannan utilization protein E</t>
  </si>
  <si>
    <t>gmuE</t>
  </si>
  <si>
    <t>CAD0139047.1</t>
  </si>
  <si>
    <t>STHERMO_1757</t>
  </si>
  <si>
    <t>Sucrose-specific phosphotransferase enzyme IIB component / Sucrose permease IIC component / Sucrose-specific phosphotransferase enzyme IIA component</t>
  </si>
  <si>
    <t>scrA</t>
  </si>
  <si>
    <t>CAD0139049.1</t>
  </si>
  <si>
    <t>STHERMO_1758</t>
  </si>
  <si>
    <t>Sucrose-6-phosphate hydrolase</t>
  </si>
  <si>
    <t>scrB</t>
  </si>
  <si>
    <t>CAD0139051.1</t>
  </si>
  <si>
    <t>STHERMO_1759</t>
  </si>
  <si>
    <t>Sucrose operon repressor</t>
  </si>
  <si>
    <t>scrR</t>
  </si>
  <si>
    <t>CAD0139053.1</t>
  </si>
  <si>
    <t>STHERMO_1760</t>
  </si>
  <si>
    <t>Transcription antitermination protein NusB</t>
  </si>
  <si>
    <t>CAD0139055.1</t>
  </si>
  <si>
    <t>STHERMO_1761</t>
  </si>
  <si>
    <t>Alkaline shock protein</t>
  </si>
  <si>
    <t>CAD0139057.1</t>
  </si>
  <si>
    <t>STHERMO_1762</t>
  </si>
  <si>
    <t>CAD0139059.1</t>
  </si>
  <si>
    <t>STHERMO_1763</t>
  </si>
  <si>
    <t>dCMP deaminase; Late competence protein ComEB</t>
  </si>
  <si>
    <t>CAD0139061.1</t>
  </si>
  <si>
    <t>STHERMO_1764</t>
  </si>
  <si>
    <t>aminopeptidase (Met-Xaa and Xaa-Pro, Xaa-Pro-Xaa)</t>
  </si>
  <si>
    <t>papA</t>
  </si>
  <si>
    <t>CAD0139063.1</t>
  </si>
  <si>
    <t>STHERMO_1765</t>
  </si>
  <si>
    <t>CAD0139065.1</t>
  </si>
  <si>
    <t>STHERMO_1766</t>
  </si>
  <si>
    <t>CAD0139067.1</t>
  </si>
  <si>
    <t>STHERMO_1767</t>
  </si>
  <si>
    <t>CAD0139069.1</t>
  </si>
  <si>
    <t>STHERMO_1768</t>
  </si>
  <si>
    <t>CAD0139071.1</t>
  </si>
  <si>
    <t>STHERMO_1769</t>
  </si>
  <si>
    <t>CAD0139073.1</t>
  </si>
  <si>
    <t>STHERMO_1770</t>
  </si>
  <si>
    <t>CAD0139075.1</t>
  </si>
  <si>
    <t>STHERMO_1771</t>
  </si>
  <si>
    <t>CAD0139077.1</t>
  </si>
  <si>
    <t>STHERMO_1772</t>
  </si>
  <si>
    <t>excinuclease ABC (subunit A)</t>
  </si>
  <si>
    <t>CAD0139079.1</t>
  </si>
  <si>
    <t>STHERMO_1773</t>
  </si>
  <si>
    <t>Magnesium and cobalt transport protein CorA</t>
  </si>
  <si>
    <t>CAD0139081.1</t>
  </si>
  <si>
    <t>STHERMO_1774</t>
  </si>
  <si>
    <t>CAD0139083.1</t>
  </si>
  <si>
    <t>STHERMO_1775</t>
  </si>
  <si>
    <t>CAD0139085.1</t>
  </si>
  <si>
    <t>STHERMO_1776</t>
  </si>
  <si>
    <t>ribosomal protein S18</t>
  </si>
  <si>
    <t>CAD0139087.1</t>
  </si>
  <si>
    <t>STHERMO_1777</t>
  </si>
  <si>
    <t>single-strand DNA-binding protein</t>
  </si>
  <si>
    <t>ssbA</t>
  </si>
  <si>
    <t>CAD0139089.1</t>
  </si>
  <si>
    <t>STHERMO_1778</t>
  </si>
  <si>
    <t>ribosomal protein S6 (BS9)</t>
  </si>
  <si>
    <t>CAD0139091.1</t>
  </si>
  <si>
    <t>STHERMO_1779</t>
  </si>
  <si>
    <t>CAD0139093.1</t>
  </si>
  <si>
    <t>STHERMO_1780</t>
  </si>
  <si>
    <t>CAD0139095.1</t>
  </si>
  <si>
    <t>STHERMO_1781</t>
  </si>
  <si>
    <t>CAD0139097.1</t>
  </si>
  <si>
    <t>STHERMO_1782</t>
  </si>
  <si>
    <t>Adenine DNA glycosylase</t>
  </si>
  <si>
    <t>CAD0139099.1</t>
  </si>
  <si>
    <t>STHERMO_1783</t>
  </si>
  <si>
    <t>CAD0139101.1</t>
  </si>
  <si>
    <t>STHERMO_1784</t>
  </si>
  <si>
    <t>CAD0139103.1</t>
  </si>
  <si>
    <t>STHERMO_1785</t>
  </si>
  <si>
    <t>CAD0139105.1</t>
  </si>
  <si>
    <t>STHERMO_1786</t>
  </si>
  <si>
    <t>CAD0139107.1</t>
  </si>
  <si>
    <t>STHERMO_1787</t>
  </si>
  <si>
    <t>CAD0139109.1</t>
  </si>
  <si>
    <t>STHERMO_1788</t>
  </si>
  <si>
    <t>CAD0139111.1</t>
  </si>
  <si>
    <t>STHERMO_1789</t>
  </si>
  <si>
    <t>CAD0139113.1</t>
  </si>
  <si>
    <t>STHERMO_1790</t>
  </si>
  <si>
    <t>Endonuclease MutS2</t>
  </si>
  <si>
    <t>CAD0139115.1</t>
  </si>
  <si>
    <t>STHERMO_1791</t>
  </si>
  <si>
    <t>Colicin V production protein CvpA</t>
  </si>
  <si>
    <t>CAD0139117.1</t>
  </si>
  <si>
    <t>STHERMO_1792</t>
  </si>
  <si>
    <t>CAD0139119.1</t>
  </si>
  <si>
    <t>STHERMO_1793</t>
  </si>
  <si>
    <t>CAD0139121.1</t>
  </si>
  <si>
    <t>STHERMO_1794</t>
  </si>
  <si>
    <t>CAD0139123.1</t>
  </si>
  <si>
    <t>STHERMO_1795</t>
  </si>
  <si>
    <t>yrrC</t>
  </si>
  <si>
    <t>CAD0139125.1</t>
  </si>
  <si>
    <t>STHERMO_1796</t>
  </si>
  <si>
    <t>Branched-chain amino acid transporter</t>
  </si>
  <si>
    <t>CAD0139127.1</t>
  </si>
  <si>
    <t>STHERMO_1797</t>
  </si>
  <si>
    <t>Branched-chain amino acid transport protein azlC</t>
  </si>
  <si>
    <t>CAD0139129.1</t>
  </si>
  <si>
    <t>STHERMO_1798</t>
  </si>
  <si>
    <t>tRNA(NNU) t(6)A37 threonylcarbamoyladenosine modification; glycation binding protein</t>
  </si>
  <si>
    <t>CAD0139131.1</t>
  </si>
  <si>
    <t>STHERMO_1799</t>
  </si>
  <si>
    <t>Ribosomal-protein-alanine acetyltransferase</t>
  </si>
  <si>
    <t>CAD0139133.1</t>
  </si>
  <si>
    <t>STHERMO_1800</t>
  </si>
  <si>
    <t>putative Inactive homolog of metal-dependent proteases, molecular chaperone</t>
  </si>
  <si>
    <t>CAD0139135.1</t>
  </si>
  <si>
    <t>STHERMO_1801</t>
  </si>
  <si>
    <t>CAD0139137.1</t>
  </si>
  <si>
    <t>STHERMO_1802</t>
  </si>
  <si>
    <t>CAD0139139.1</t>
  </si>
  <si>
    <t>STHERMO_1803</t>
  </si>
  <si>
    <t>Glucan-binding protein</t>
  </si>
  <si>
    <t>CAD0139141.1</t>
  </si>
  <si>
    <t>STHERMO_1804</t>
  </si>
  <si>
    <t>glutamine synthetase</t>
  </si>
  <si>
    <t>CAD0139143.1</t>
  </si>
  <si>
    <t>STHERMO_1805</t>
  </si>
  <si>
    <t>transcriptional regulator (nitrogen metabolism)</t>
  </si>
  <si>
    <t>glnR</t>
  </si>
  <si>
    <t>CAD0139145.1</t>
  </si>
  <si>
    <t>STHERMO_1806</t>
  </si>
  <si>
    <t>CAD0139147.1</t>
  </si>
  <si>
    <t>STHERMO_1807</t>
  </si>
  <si>
    <t>CAD0139149.1</t>
  </si>
  <si>
    <t>STHERMO_1808</t>
  </si>
  <si>
    <t>CAD0139151.1</t>
  </si>
  <si>
    <t>STHERMO_1809</t>
  </si>
  <si>
    <t>CAD0139153.1</t>
  </si>
  <si>
    <t>STHERMO_1810</t>
  </si>
  <si>
    <t>CAD0139155.1</t>
  </si>
  <si>
    <t>STHERMO_1811</t>
  </si>
  <si>
    <t>pgk</t>
  </si>
  <si>
    <t>CAD0139157.1</t>
  </si>
  <si>
    <t>STHERMO_1812</t>
  </si>
  <si>
    <t>CAD0139159.1</t>
  </si>
  <si>
    <t>STHERMO_1813</t>
  </si>
  <si>
    <t>CAD0139161.1</t>
  </si>
  <si>
    <t>STHERMO_1814</t>
  </si>
  <si>
    <t>glyceraldehyde-3-phosphate dehydrogenase (NAD-dependent, glycolytic)</t>
  </si>
  <si>
    <t>gapA</t>
  </si>
  <si>
    <t>CAD0139167.1</t>
  </si>
  <si>
    <t>STHERMO_1817</t>
  </si>
  <si>
    <t>CAD0139169.1</t>
  </si>
  <si>
    <t>STHERMO_1818</t>
  </si>
  <si>
    <t>ribosomal protein S7 (BS7)</t>
  </si>
  <si>
    <t>CAD0139171.1</t>
  </si>
  <si>
    <t>STHERMO_1819</t>
  </si>
  <si>
    <t>ribosomal protein S12 (BS12)</t>
  </si>
  <si>
    <t>CAD0139173.1</t>
  </si>
  <si>
    <t>STHERMO_1820</t>
  </si>
  <si>
    <t>CAD0139175.1</t>
  </si>
  <si>
    <t>STHERMO_1821</t>
  </si>
  <si>
    <t>transcriptional regulator of the purine biosynthesis operon (PurR-pRpp)</t>
  </si>
  <si>
    <t>CAD0139177.1</t>
  </si>
  <si>
    <t>STHERMO_1822</t>
  </si>
  <si>
    <t>3'-5' exoribonuclease YhaM</t>
  </si>
  <si>
    <t>yhaM</t>
  </si>
  <si>
    <t>CAD0139179.1</t>
  </si>
  <si>
    <t>STHERMO_1823</t>
  </si>
  <si>
    <t>DNA recombination protein RmuC homolog</t>
  </si>
  <si>
    <t>CAD0139181.1</t>
  </si>
  <si>
    <t>STHERMO_1824</t>
  </si>
  <si>
    <t>Thiamin pyrophosphokinase</t>
  </si>
  <si>
    <t>CAD0139183.1</t>
  </si>
  <si>
    <t>STHERMO_1825</t>
  </si>
  <si>
    <t>ribulose-5-phosphate 3-epimerase</t>
  </si>
  <si>
    <t>CAD0139185.1</t>
  </si>
  <si>
    <t>STHERMO_1826</t>
  </si>
  <si>
    <t>GTPase involved in ribosome biogenesis</t>
  </si>
  <si>
    <t>CAD0139187.1</t>
  </si>
  <si>
    <t>STHERMO_1827</t>
  </si>
  <si>
    <t>dimethyladenosine 16S ribosomal RNA transferase</t>
  </si>
  <si>
    <t>CAD0139189.1</t>
  </si>
  <si>
    <t>STHERMO_1828</t>
  </si>
  <si>
    <t>CAD0139191.1</t>
  </si>
  <si>
    <t>STHERMO_1829</t>
  </si>
  <si>
    <t>D-amino acyl-tRNA deacylase</t>
  </si>
  <si>
    <t>dayD</t>
  </si>
  <si>
    <t>CAD0139193.1</t>
  </si>
  <si>
    <t>STHERMO_1830</t>
  </si>
  <si>
    <t>putative acyl-CoA-binding protein</t>
  </si>
  <si>
    <t>CAD0139195.1</t>
  </si>
  <si>
    <t>STHERMO_1831</t>
  </si>
  <si>
    <t>CAD0139197.1</t>
  </si>
  <si>
    <t>STHERMO_1832</t>
  </si>
  <si>
    <t>Protein-ADP-ribose hydrolase</t>
  </si>
  <si>
    <t>CAD0139199.1</t>
  </si>
  <si>
    <t>STHERMO_1833</t>
  </si>
  <si>
    <t>CAD0139201.1</t>
  </si>
  <si>
    <t>STHERMO_1834</t>
  </si>
  <si>
    <t>putative transport accessory protein</t>
  </si>
  <si>
    <t>CAD0139203.1</t>
  </si>
  <si>
    <t>STHERMO_1835</t>
  </si>
  <si>
    <t>CAD0139205.1</t>
  </si>
  <si>
    <t>STHERMO_1837</t>
  </si>
  <si>
    <t>tRNA-guanine transglycosylase</t>
  </si>
  <si>
    <t>CAD0139207.1</t>
  </si>
  <si>
    <t>STHERMO_1838</t>
  </si>
  <si>
    <t>CAD0139209.1</t>
  </si>
  <si>
    <t>STHERMO_1839</t>
  </si>
  <si>
    <t>ribosomal protein L34</t>
  </si>
  <si>
    <t>CAD0139211.1</t>
  </si>
  <si>
    <t>STHERMO_1840</t>
  </si>
  <si>
    <t>Jag protein</t>
  </si>
  <si>
    <t>CAD0139213.1</t>
  </si>
  <si>
    <t>STHERMO_1841</t>
  </si>
  <si>
    <t>Membrane protein insertase YidC 1</t>
  </si>
  <si>
    <t>CAD0139215.1</t>
  </si>
  <si>
    <t>STHERMO_1842</t>
  </si>
  <si>
    <t>protein component of ribonuclease P (RNase P) (substrate specificity)</t>
  </si>
  <si>
    <t>CAD0139217.1</t>
  </si>
  <si>
    <t>STHERMO_1843</t>
  </si>
  <si>
    <t>CAD0139219.1</t>
  </si>
  <si>
    <t>STHERMO_1844</t>
  </si>
  <si>
    <t>argG</t>
  </si>
  <si>
    <t>CAD0139221.1</t>
  </si>
  <si>
    <t>STHERMO_1845</t>
  </si>
  <si>
    <t>glutamyl-tRNA synthetase</t>
  </si>
  <si>
    <t>CAD0139223.1</t>
  </si>
  <si>
    <t>STHERMO_1846</t>
  </si>
  <si>
    <t>Oligopeptide ABC transporter, periplasmic oligopeptide-binding protein oppA (TC 3.A.1.5.1)</t>
  </si>
  <si>
    <t>CAD0139225.1</t>
  </si>
  <si>
    <t>STHERMO_1847</t>
  </si>
  <si>
    <t>CAD0139227.1</t>
  </si>
  <si>
    <t>STHERMO_1848</t>
  </si>
  <si>
    <t>ribosomal protein L1 (BL1)</t>
  </si>
  <si>
    <t>CAD0139229.1</t>
  </si>
  <si>
    <t>STHERMO_1849</t>
  </si>
  <si>
    <t>ribosomal protein L11 (BL11)</t>
  </si>
  <si>
    <t>CAD0139231.1</t>
  </si>
  <si>
    <t>STHERMO_1850</t>
  </si>
  <si>
    <t>CAD0139233.1</t>
  </si>
  <si>
    <t>STHERMO_1851</t>
  </si>
  <si>
    <t>CAD0139235.1</t>
  </si>
  <si>
    <t>STHERMO_1852</t>
  </si>
  <si>
    <t>HTH DNA-binding protein</t>
  </si>
  <si>
    <t>CAD0139237.1</t>
  </si>
  <si>
    <t>STHERMO_1853</t>
  </si>
  <si>
    <t>CAD0139239.1</t>
  </si>
  <si>
    <t>STHERMO_1854</t>
  </si>
  <si>
    <t>CAD0139241.1</t>
  </si>
  <si>
    <t>STHERMO_1855</t>
  </si>
  <si>
    <t>CAD0139243.1</t>
  </si>
  <si>
    <t>STHERMO_1856</t>
  </si>
  <si>
    <t>DNA repair protein; 6-O-methylguanine-DNA methyltransferase</t>
  </si>
  <si>
    <t>CAD0139245.1</t>
  </si>
  <si>
    <t>STHERMO_1857</t>
  </si>
  <si>
    <t>Deoxyuridine 5'-triphosphate nucleotidohydrolase</t>
  </si>
  <si>
    <t>dut</t>
  </si>
  <si>
    <t>CAD0139247.1</t>
  </si>
  <si>
    <t>STHERMO_1858</t>
  </si>
  <si>
    <t>Fumarate reductase, flavoprotein subunit precursor</t>
  </si>
  <si>
    <t>CAD0139249.1</t>
  </si>
  <si>
    <t>STHERMO_1859</t>
  </si>
  <si>
    <t>CAD0139251.1</t>
  </si>
  <si>
    <t>STHERMO_1860</t>
  </si>
  <si>
    <t>CAD0139253.1</t>
  </si>
  <si>
    <t>STHERMO_1861</t>
  </si>
  <si>
    <t>CAD0139255.1</t>
  </si>
  <si>
    <t>STHERMO_1862</t>
  </si>
  <si>
    <t>formate-nitrate transporter, truncated</t>
  </si>
  <si>
    <t>CAD0139257.1</t>
  </si>
  <si>
    <t>STHERMO_1863</t>
  </si>
  <si>
    <t>Formate-nitrate transporter</t>
  </si>
  <si>
    <t>CAD0139259.1</t>
  </si>
  <si>
    <t>STHERMO_1864</t>
  </si>
  <si>
    <t>CAD0139261.1</t>
  </si>
  <si>
    <t>STHERMO_1865</t>
  </si>
  <si>
    <t>NADPH-dependent glycerol-3-phosphate dehydrogenase</t>
  </si>
  <si>
    <t>gpsA</t>
  </si>
  <si>
    <t>CAD0139263.1</t>
  </si>
  <si>
    <t>STHERMO_1866</t>
  </si>
  <si>
    <t>UTP-glucose-1-phosphate uridylyltransferase</t>
  </si>
  <si>
    <t>gtaB</t>
  </si>
  <si>
    <t>CAD0139265.1</t>
  </si>
  <si>
    <t>STHERMO_1867</t>
  </si>
  <si>
    <t>CAD0139267.1</t>
  </si>
  <si>
    <t>STHERMO_1868</t>
  </si>
  <si>
    <t>CAD0139269.1</t>
  </si>
  <si>
    <t>STHERMO_1869</t>
  </si>
  <si>
    <t>GlpG protein (membrane protein of glp regulon)</t>
  </si>
  <si>
    <t>CAD0139271.1</t>
  </si>
  <si>
    <t>STHERMO_1870</t>
  </si>
  <si>
    <t>CAD0139273.1</t>
  </si>
  <si>
    <t>STHERMO_1871</t>
  </si>
  <si>
    <t>N-acetyl-diaminopimelate deacetylase</t>
  </si>
  <si>
    <t>dapI</t>
  </si>
  <si>
    <t>CAD0139275.1</t>
  </si>
  <si>
    <t>STHERMO_1872</t>
  </si>
  <si>
    <t>tetrahydrodipicolinate N-acetyltransferase</t>
  </si>
  <si>
    <t>dapH</t>
  </si>
  <si>
    <t>CAD0139277.1</t>
  </si>
  <si>
    <t>STHERMO_1873</t>
  </si>
  <si>
    <t>CAD0139279.1</t>
  </si>
  <si>
    <t>STHERMO_1874</t>
  </si>
  <si>
    <t>Haloacid dehalogenase</t>
  </si>
  <si>
    <t>CAD0139281.1</t>
  </si>
  <si>
    <t>STHERMO_1875</t>
  </si>
  <si>
    <t>23S rRNA m1G745 methyltransferase</t>
  </si>
  <si>
    <t>CAD0139283.1</t>
  </si>
  <si>
    <t>STHERMO_1876</t>
  </si>
  <si>
    <t>CAD0139285.1</t>
  </si>
  <si>
    <t>STHERMO_1877</t>
  </si>
  <si>
    <t>CAD0139287.1</t>
  </si>
  <si>
    <t>STHERMO_1878</t>
  </si>
  <si>
    <t>tRNA-specific adenosine deaminase</t>
  </si>
  <si>
    <t>CAD0139289.1</t>
  </si>
  <si>
    <t>STHERMO_1879</t>
  </si>
  <si>
    <t>CAD0139291.1</t>
  </si>
  <si>
    <t>STHERMO_1880</t>
  </si>
  <si>
    <t>Single-stranded DNA-binding protein 2</t>
  </si>
  <si>
    <t>ssb</t>
  </si>
  <si>
    <t>CAD0139293.1</t>
  </si>
  <si>
    <t>STHERMO_1881</t>
  </si>
  <si>
    <t>Putative sulfur carrier protein YeeD</t>
  </si>
  <si>
    <t>yeeD</t>
  </si>
  <si>
    <t>CAD0139295.1</t>
  </si>
  <si>
    <t>STHERMO_1882</t>
  </si>
  <si>
    <t>putative transport system permease protein</t>
  </si>
  <si>
    <t>CAD0139297.1</t>
  </si>
  <si>
    <t>STHERMO_1883</t>
  </si>
  <si>
    <t>putative tRNA binding enzyme</t>
  </si>
  <si>
    <t>CAD0139299.1</t>
  </si>
  <si>
    <t>STHERMO_1884</t>
  </si>
  <si>
    <t>putative thiol-disulfide oxidoreductase with thioredoxin domain</t>
  </si>
  <si>
    <t>ytpP</t>
  </si>
  <si>
    <t>CAD0139301.1</t>
  </si>
  <si>
    <t>STHERMO_1885</t>
  </si>
  <si>
    <t>CAD0139303.1</t>
  </si>
  <si>
    <t>STHERMO_1886</t>
  </si>
  <si>
    <t>putative modified amino acid aminopeptidase</t>
  </si>
  <si>
    <t>ytoP</t>
  </si>
  <si>
    <t>CAD0139305.1</t>
  </si>
  <si>
    <t>STHERMO_1887</t>
  </si>
  <si>
    <t>Pyrroline-5-carboxylate reductase</t>
  </si>
  <si>
    <t>CAD0139307.1</t>
  </si>
  <si>
    <t>STHERMO_1888</t>
  </si>
  <si>
    <t>Membrane-bound protease, CAAX family</t>
  </si>
  <si>
    <t>CAD0139309.1</t>
  </si>
  <si>
    <t>STHERMO_1889</t>
  </si>
  <si>
    <t>CAD0139311.1</t>
  </si>
  <si>
    <t>STHERMO_1890</t>
  </si>
  <si>
    <t>CAD0139313.1</t>
  </si>
  <si>
    <t>STHERMO_1891</t>
  </si>
  <si>
    <t>CAD0139315.1</t>
  </si>
  <si>
    <t>STHERMO_1892</t>
  </si>
  <si>
    <t>CAD0139317.1</t>
  </si>
  <si>
    <t>STHERMO_1893</t>
  </si>
  <si>
    <t>Transcriptional regulator, Cro/CI family</t>
  </si>
  <si>
    <t>CAD0139319.1</t>
  </si>
  <si>
    <t>STHERMO_1894</t>
  </si>
  <si>
    <t>ackA</t>
  </si>
  <si>
    <t>CAD0139321.1</t>
  </si>
  <si>
    <t>STHERMO_1895</t>
  </si>
  <si>
    <t>Adenine-specific methyltransferase</t>
  </si>
  <si>
    <t>CAD0139323.1</t>
  </si>
  <si>
    <t>STHERMO_1896</t>
  </si>
  <si>
    <t>CAD0139325.1</t>
  </si>
  <si>
    <t>STHERMO_1897</t>
  </si>
  <si>
    <t>Competence protein ComG</t>
  </si>
  <si>
    <t>CAD0139327.1</t>
  </si>
  <si>
    <t>STHERMO_1898</t>
  </si>
  <si>
    <t>Type II secretory pathway pseudopilin</t>
  </si>
  <si>
    <t>CAD0139329.1</t>
  </si>
  <si>
    <t>STHERMO_1899</t>
  </si>
  <si>
    <t>Competence protein</t>
  </si>
  <si>
    <t>CAD0139331.1</t>
  </si>
  <si>
    <t>STHERMO_1900</t>
  </si>
  <si>
    <t>Prepilin-type N-terminal cleavage/methylation domain-containing protein</t>
  </si>
  <si>
    <t>CAD0139333.1</t>
  </si>
  <si>
    <t>STHERMO_1901</t>
  </si>
  <si>
    <t>Late competence protein ComGB, access of DNA to ComEA</t>
  </si>
  <si>
    <t>CAD0139335.1</t>
  </si>
  <si>
    <t>STHERMO_1902</t>
  </si>
  <si>
    <t>Late competence protein ComGA, access of DNA to ComEA</t>
  </si>
  <si>
    <t>CAD0139337.1</t>
  </si>
  <si>
    <t>STHERMO_1903</t>
  </si>
  <si>
    <t>CAD0139339.1</t>
  </si>
  <si>
    <t>STHERMO_1904</t>
  </si>
  <si>
    <t>RNA polymerase (beta' subunit)</t>
  </si>
  <si>
    <t>CAD0139341.1</t>
  </si>
  <si>
    <t>STHERMO_1905</t>
  </si>
  <si>
    <t>RNA polymerase (beta subunit)</t>
  </si>
  <si>
    <t>CAD0139343.1</t>
  </si>
  <si>
    <t>STHERMO_1906</t>
  </si>
  <si>
    <t>CAD0139345.1</t>
  </si>
  <si>
    <t>STHERMO_1907</t>
  </si>
  <si>
    <t>tyrosyl-tRNA synthetase</t>
  </si>
  <si>
    <t>CAD0139347.1</t>
  </si>
  <si>
    <t>STHERMO_1908</t>
  </si>
  <si>
    <t>acetohydroxy-acid isomeroreductase (NADP-dependent)</t>
  </si>
  <si>
    <t>CAD0139349.1</t>
  </si>
  <si>
    <t>STHERMO_1909</t>
  </si>
  <si>
    <t>acetohydroxy-acid synthase (small subunit)</t>
  </si>
  <si>
    <t>ilvH</t>
  </si>
  <si>
    <t>CAD0139351.1</t>
  </si>
  <si>
    <t>STHERMO_1910</t>
  </si>
  <si>
    <t>acetohydroxy-acid synthase (large subunit)</t>
  </si>
  <si>
    <t>ilvB</t>
  </si>
  <si>
    <t>CAD0139353.1</t>
  </si>
  <si>
    <t>STHERMO_1911</t>
  </si>
  <si>
    <t>CAD0139355.1</t>
  </si>
  <si>
    <t>STHERMO_1912</t>
  </si>
  <si>
    <t>CAD0139357.1</t>
  </si>
  <si>
    <t>STHERMO_1913</t>
  </si>
  <si>
    <t>putative enzyme structurally related to dihydroxyacetone/glyceraldehyde kinase</t>
  </si>
  <si>
    <t>yloV</t>
  </si>
  <si>
    <t>CAD0139359.1</t>
  </si>
  <si>
    <t>STHERMO_1914</t>
  </si>
  <si>
    <t>putative factor involved in malonyl-CoA synthesis</t>
  </si>
  <si>
    <t>yloU</t>
  </si>
  <si>
    <t>CAD0139361.1</t>
  </si>
  <si>
    <t>STHERMO_1915</t>
  </si>
  <si>
    <t>Multi antimicrobial extrusion (MATE) family transporter</t>
  </si>
  <si>
    <t>CAD0139363.1</t>
  </si>
  <si>
    <t>STHERMO_1916</t>
  </si>
  <si>
    <t>Threonine synthase</t>
  </si>
  <si>
    <t>CAD0139365.1</t>
  </si>
  <si>
    <t>STHERMO_1917</t>
  </si>
  <si>
    <t>CAD0139367.1</t>
  </si>
  <si>
    <t>STHERMO_1918</t>
  </si>
  <si>
    <t>CAD0139377.1</t>
  </si>
  <si>
    <t>STHERMO_1923</t>
  </si>
  <si>
    <t>Alcohol dehydrogenase</t>
  </si>
  <si>
    <t>CAD0139379.1</t>
  </si>
  <si>
    <t>STHERMO_1924</t>
  </si>
  <si>
    <t>Putative zinc metalloproteinase in scaA 5'region</t>
  </si>
  <si>
    <t>CAD0139383.1</t>
  </si>
  <si>
    <t>STHERMO_1926</t>
  </si>
  <si>
    <t>PTS trehalose transporter subunit IIABC</t>
  </si>
  <si>
    <t>CAD0139389.1</t>
  </si>
  <si>
    <t>STHERMO_1929</t>
  </si>
  <si>
    <t>Protein-N(Pi)-phosphohistidine--sugar phosphotransferase</t>
  </si>
  <si>
    <t>CAD0139391.1</t>
  </si>
  <si>
    <t>STHERMO_1930</t>
  </si>
  <si>
    <t>PTS system, trehalose-specific IIB component</t>
  </si>
  <si>
    <t>CAD0139393.1</t>
  </si>
  <si>
    <t>STHERMO_1931</t>
  </si>
  <si>
    <t>Trehalose operon transcriptional repressor</t>
  </si>
  <si>
    <t>CAD0139395.1</t>
  </si>
  <si>
    <t>STHERMO_1932</t>
  </si>
  <si>
    <t>CAD0139397.1</t>
  </si>
  <si>
    <t>STHERMO_1933</t>
  </si>
  <si>
    <t>putative involved in 5-aminopentanol modification of EF-P</t>
  </si>
  <si>
    <t>CAD0139399.1</t>
  </si>
  <si>
    <t>STHERMO_1934</t>
  </si>
  <si>
    <t>CAD0139401.1</t>
  </si>
  <si>
    <t>STHERMO_1935</t>
  </si>
  <si>
    <t>CAD0139403.1</t>
  </si>
  <si>
    <t>STHERMO_1936</t>
  </si>
  <si>
    <t>CAD0139407.1</t>
  </si>
  <si>
    <t>STHERMO_1938</t>
  </si>
  <si>
    <t>CAD0139409.1</t>
  </si>
  <si>
    <t>STHERMO_1939</t>
  </si>
  <si>
    <t>Fructose-bisphosphate aldolase</t>
  </si>
  <si>
    <t>fba</t>
  </si>
  <si>
    <t>CAD0139411.1</t>
  </si>
  <si>
    <t>STHERMO_1940</t>
  </si>
  <si>
    <t>Gamma-glutamylcysteine synthetase</t>
  </si>
  <si>
    <t>CAD0139415.1</t>
  </si>
  <si>
    <t>STHERMO_1942</t>
  </si>
  <si>
    <t>CAD0139417.1</t>
  </si>
  <si>
    <t>STHERMO_1943</t>
  </si>
  <si>
    <t>putative glutamate--cysteine ligase, truncated</t>
  </si>
  <si>
    <t>CAD0139419.1</t>
  </si>
  <si>
    <t>STHERMO_1944</t>
  </si>
  <si>
    <t>CAD0139421.1</t>
  </si>
  <si>
    <t>STHERMO_1945</t>
  </si>
  <si>
    <t>CAD0139425.1</t>
  </si>
  <si>
    <t>STHERMO_1947</t>
  </si>
  <si>
    <t>CAD0139427.1</t>
  </si>
  <si>
    <t>STHERMO_1948</t>
  </si>
  <si>
    <t>ribosomal protein L17 (BL15)</t>
  </si>
  <si>
    <t>CAD0139429.1</t>
  </si>
  <si>
    <t>STHERMO_1949</t>
  </si>
  <si>
    <t>RNA polymerase (alpha subunit)</t>
  </si>
  <si>
    <t>rpoA</t>
  </si>
  <si>
    <t>CAD0139431.1</t>
  </si>
  <si>
    <t>STHERMO_1950</t>
  </si>
  <si>
    <t>ribosomal protein S11 (BS11)</t>
  </si>
  <si>
    <t>CAD0139433.1</t>
  </si>
  <si>
    <t>STHERMO_1951</t>
  </si>
  <si>
    <t>ribosomal protein S13</t>
  </si>
  <si>
    <t>CAD0139435.1</t>
  </si>
  <si>
    <t>STHERMO_1952</t>
  </si>
  <si>
    <t>initiation factor IF-I</t>
  </si>
  <si>
    <t>CAD0139437.1</t>
  </si>
  <si>
    <t>STHERMO_1953</t>
  </si>
  <si>
    <t>adk</t>
  </si>
  <si>
    <t>CAD0139439.1</t>
  </si>
  <si>
    <t>STHERMO_1954</t>
  </si>
  <si>
    <t>preprotein translocase subunit</t>
  </si>
  <si>
    <t>CAD0139441.1</t>
  </si>
  <si>
    <t>STHERMO_1955</t>
  </si>
  <si>
    <t>ribosomal protein L15</t>
  </si>
  <si>
    <t>CAD0139443.1</t>
  </si>
  <si>
    <t>STHERMO_1956</t>
  </si>
  <si>
    <t>ribosomal protein L30 (BL27)</t>
  </si>
  <si>
    <t>CAD0139445.1</t>
  </si>
  <si>
    <t>STHERMO_1957</t>
  </si>
  <si>
    <t>ribosomal protein S5</t>
  </si>
  <si>
    <t>CAD0139447.1</t>
  </si>
  <si>
    <t>STHERMO_1958</t>
  </si>
  <si>
    <t>ribosomal protein L18</t>
  </si>
  <si>
    <t>CAD0139449.1</t>
  </si>
  <si>
    <t>STHERMO_1959</t>
  </si>
  <si>
    <t>ribosomal protein L6 (BL8)</t>
  </si>
  <si>
    <t>CAD0139451.1</t>
  </si>
  <si>
    <t>STHERMO_1960</t>
  </si>
  <si>
    <t>ribosomal protein S8 (BS8)</t>
  </si>
  <si>
    <t>CAD0139453.1</t>
  </si>
  <si>
    <t>STHERMO_1961</t>
  </si>
  <si>
    <t>ribosomal protein S14</t>
  </si>
  <si>
    <t>rpsNA</t>
  </si>
  <si>
    <t>CAD0139455.1</t>
  </si>
  <si>
    <t>STHERMO_1962</t>
  </si>
  <si>
    <t>ribosomal protein L5 (BL6)</t>
  </si>
  <si>
    <t>CAD0139457.1</t>
  </si>
  <si>
    <t>STHERMO_1963</t>
  </si>
  <si>
    <t>ribosomal protein L24 (BL23)</t>
  </si>
  <si>
    <t>CAD0139459.1</t>
  </si>
  <si>
    <t>STHERMO_1964</t>
  </si>
  <si>
    <t>ribosomal protein L14</t>
  </si>
  <si>
    <t>rplNA</t>
  </si>
  <si>
    <t>CAD0139461.1</t>
  </si>
  <si>
    <t>STHERMO_1965</t>
  </si>
  <si>
    <t>ribosomal protein S17 (BS16)</t>
  </si>
  <si>
    <t>CAD0139463.1</t>
  </si>
  <si>
    <t>STHERMO_1966</t>
  </si>
  <si>
    <t>ribosomal protein L29</t>
  </si>
  <si>
    <t>CAD0139465.1</t>
  </si>
  <si>
    <t>STHERMO_1967</t>
  </si>
  <si>
    <t>ribosomal protein L16</t>
  </si>
  <si>
    <t>CAD0139467.1</t>
  </si>
  <si>
    <t>STHERMO_1968</t>
  </si>
  <si>
    <t>ribosomal protein S3 (BS3)</t>
  </si>
  <si>
    <t>CAD0139469.1</t>
  </si>
  <si>
    <t>STHERMO_1969</t>
  </si>
  <si>
    <t>ribosomal protein L22 (BL17)</t>
  </si>
  <si>
    <t>CAD0139471.1</t>
  </si>
  <si>
    <t>STHERMO_1970</t>
  </si>
  <si>
    <t>ribosomal protein S19 (BS19)</t>
  </si>
  <si>
    <t>CAD0139473.1</t>
  </si>
  <si>
    <t>STHERMO_1971</t>
  </si>
  <si>
    <t>ribosomal protein L2 (BL2)</t>
  </si>
  <si>
    <t>CAD0139475.1</t>
  </si>
  <si>
    <t>STHERMO_1972</t>
  </si>
  <si>
    <t>ribosomal protein L23</t>
  </si>
  <si>
    <t>rplW</t>
  </si>
  <si>
    <t>CAD0139477.1</t>
  </si>
  <si>
    <t>STHERMO_1973</t>
  </si>
  <si>
    <t>ribosomal protein L4</t>
  </si>
  <si>
    <t>CAD0139479.1</t>
  </si>
  <si>
    <t>STHERMO_1974</t>
  </si>
  <si>
    <t>ribosomal protein L3 (BL3)</t>
  </si>
  <si>
    <t>CAD0139481.1</t>
  </si>
  <si>
    <t>STHERMO_1975</t>
  </si>
  <si>
    <t>ribosomal protein S10 (BS13); transcription antitermination factor</t>
  </si>
  <si>
    <t>CAD0139483.1</t>
  </si>
  <si>
    <t>STHERMO_1976</t>
  </si>
  <si>
    <t>Holliday junction DNA helicase, ATP-dependent component</t>
  </si>
  <si>
    <t>CAD0139485.1</t>
  </si>
  <si>
    <t>STHERMO_1977</t>
  </si>
  <si>
    <t>Acyltransferase family</t>
  </si>
  <si>
    <t>CAD0139487.1</t>
  </si>
  <si>
    <t>STHERMO_1978</t>
  </si>
  <si>
    <t>MORN motif family protein</t>
  </si>
  <si>
    <t>CAD0139489.1</t>
  </si>
  <si>
    <t>STHERMO_1979</t>
  </si>
  <si>
    <t>Low molecular weight protein-tyrosine-phosphatase PtpA</t>
  </si>
  <si>
    <t>ptpA</t>
  </si>
  <si>
    <t>CAD0139491.1</t>
  </si>
  <si>
    <t>STHERMO_1980</t>
  </si>
  <si>
    <t>adenylosuccinate synthetase</t>
  </si>
  <si>
    <t>purA</t>
  </si>
  <si>
    <t>CAD0139493.1</t>
  </si>
  <si>
    <t>STHERMO_1981</t>
  </si>
  <si>
    <t>DNA topology modulation protein flar-related protein</t>
  </si>
  <si>
    <t>CAD0139495.1</t>
  </si>
  <si>
    <t>STHERMO_1982</t>
  </si>
  <si>
    <t>CAD0139497.1</t>
  </si>
  <si>
    <t>STHERMO_1983</t>
  </si>
  <si>
    <t>CAD0139499.1</t>
  </si>
  <si>
    <t>STHERMO_1984</t>
  </si>
  <si>
    <t>CAD0139501.1</t>
  </si>
  <si>
    <t>STHERMO_1985</t>
  </si>
  <si>
    <t>Transcriptional regulator MutR family</t>
  </si>
  <si>
    <t>CAD0139503.1</t>
  </si>
  <si>
    <t>STHERMO_1986</t>
  </si>
  <si>
    <t>CAD0139505.1</t>
  </si>
  <si>
    <t>STHERMO_1987</t>
  </si>
  <si>
    <t>CAD0139507.1</t>
  </si>
  <si>
    <t>STHERMO_1988</t>
  </si>
  <si>
    <t>ABC transporter ATP-binding/membrane spanning protein - multidrug resistance</t>
  </si>
  <si>
    <t>CAD0139509.1</t>
  </si>
  <si>
    <t>STHERMO_1989</t>
  </si>
  <si>
    <t>CAD0139511.1</t>
  </si>
  <si>
    <t>STHERMO_1990</t>
  </si>
  <si>
    <t>Positive transcriptional regulator MutR family</t>
  </si>
  <si>
    <t>CAD0139513.1</t>
  </si>
  <si>
    <t>STHERMO_1991</t>
  </si>
  <si>
    <t>Arylsulfatase regulator (Fe-S oxidoreductase)</t>
  </si>
  <si>
    <t>CAD0139515.1</t>
  </si>
  <si>
    <t>STHERMO_1992</t>
  </si>
  <si>
    <t>CAD0139517.1</t>
  </si>
  <si>
    <t>STHERMO_1993</t>
  </si>
  <si>
    <t>Replication initiation protein</t>
  </si>
  <si>
    <t>CAD0139519.1</t>
  </si>
  <si>
    <t>STHERMO_1994</t>
  </si>
  <si>
    <t>CAD0139521.1</t>
  </si>
  <si>
    <t>STHERMO_1995</t>
  </si>
  <si>
    <t>CAD0139523.1</t>
  </si>
  <si>
    <t>STHERMO_1996</t>
  </si>
  <si>
    <t>DNA-dependent ATPase modulator of replication restart</t>
  </si>
  <si>
    <t>rarA</t>
  </si>
  <si>
    <t>CAD0139525.1</t>
  </si>
  <si>
    <t>STHERMO_1997</t>
  </si>
  <si>
    <t>ribosomal protein L28</t>
  </si>
  <si>
    <t>CAD0139527.1</t>
  </si>
  <si>
    <t>STHERMO_1998</t>
  </si>
  <si>
    <t>CAD0139529.1</t>
  </si>
  <si>
    <t>STHERMO_1999</t>
  </si>
  <si>
    <t>pre-16S ribosomal RNA maturation enzyme</t>
  </si>
  <si>
    <t>rimF</t>
  </si>
  <si>
    <t>CAD0139531.1</t>
  </si>
  <si>
    <t>STHERMO_2000</t>
  </si>
  <si>
    <t>yrzB</t>
  </si>
  <si>
    <t>CAD0139533.1</t>
  </si>
  <si>
    <t>STHERMO_2001</t>
  </si>
  <si>
    <t>Competence-induced protein Ccs4</t>
  </si>
  <si>
    <t>CAD0139535.1</t>
  </si>
  <si>
    <t>STHERMO_2002</t>
  </si>
  <si>
    <t>CAD0139537.1</t>
  </si>
  <si>
    <t>STHERMO_2003</t>
  </si>
  <si>
    <t>CAD0139539.1</t>
  </si>
  <si>
    <t>STHERMO_2004</t>
  </si>
  <si>
    <t>CAD0139541.1</t>
  </si>
  <si>
    <t>STHERMO_2005</t>
  </si>
  <si>
    <t>Anaerobic ribonucleoside-triphosphate reductase-activating protein</t>
  </si>
  <si>
    <t>CAD0139543.1</t>
  </si>
  <si>
    <t>STHERMO_2006</t>
  </si>
  <si>
    <t>CAD0139545.1</t>
  </si>
  <si>
    <t>STHERMO_2007</t>
  </si>
  <si>
    <t>CAD0139547.1</t>
  </si>
  <si>
    <t>STHERMO_2008</t>
  </si>
  <si>
    <t>aspartyl-tRNA synthetase, promiscuous (also recognizes tRNAasn)</t>
  </si>
  <si>
    <t>CAD0139549.1</t>
  </si>
  <si>
    <t>STHERMO_2009</t>
  </si>
  <si>
    <t>CAD0139551.1</t>
  </si>
  <si>
    <t>STHERMO_2010</t>
  </si>
  <si>
    <t>histidyl-tRNA synthetase</t>
  </si>
  <si>
    <t>CAD0139553.1</t>
  </si>
  <si>
    <t>STHERMO_2011</t>
  </si>
  <si>
    <t>putative methyltetrahydrofolate methyltransferase (biofilm formation) (fragment)</t>
  </si>
  <si>
    <t>CAD0139555.1</t>
  </si>
  <si>
    <t>STHERMO_2012</t>
  </si>
  <si>
    <t>CAD0139557.1</t>
  </si>
  <si>
    <t>STHERMO_2013</t>
  </si>
  <si>
    <t>CAD0139559.1</t>
  </si>
  <si>
    <t>STHERMO_2014</t>
  </si>
  <si>
    <t>ribosomal protein L33</t>
  </si>
  <si>
    <t>rpmGA</t>
  </si>
  <si>
    <t>CAD0139561.1</t>
  </si>
  <si>
    <t>STHERMO_2015</t>
  </si>
  <si>
    <t>CAD0139563.1</t>
  </si>
  <si>
    <t>STHERMO_2016</t>
  </si>
  <si>
    <t>CAD0139565.1</t>
  </si>
  <si>
    <t>STHERMO_2017</t>
  </si>
  <si>
    <t>CAD0139567.1</t>
  </si>
  <si>
    <t>STHERMO_2018</t>
  </si>
  <si>
    <t>CAD0139569.1</t>
  </si>
  <si>
    <t>STHERMO_2019</t>
  </si>
  <si>
    <t>Transcription regulator (contains diacylglycerol kinase catalytic domain)</t>
  </si>
  <si>
    <t>CAD0139571.1</t>
  </si>
  <si>
    <t>STHERMO_2020</t>
  </si>
  <si>
    <t>CAD0139573.1</t>
  </si>
  <si>
    <t>STHERMO_2021</t>
  </si>
  <si>
    <t>CAD0139575.1</t>
  </si>
  <si>
    <t>STHERMO_2022</t>
  </si>
  <si>
    <t>CAD0139577.1</t>
  </si>
  <si>
    <t>STHERMO_2023</t>
  </si>
  <si>
    <t>CAD0139579.1</t>
  </si>
  <si>
    <t>STHERMO_2024</t>
  </si>
  <si>
    <t>CAD0139581.1</t>
  </si>
  <si>
    <t>STHERMO_2025</t>
  </si>
  <si>
    <t>CAD0139583.1</t>
  </si>
  <si>
    <t>STHERMO_2026</t>
  </si>
  <si>
    <t>Stress response regulator gls24 homolog</t>
  </si>
  <si>
    <t>CAD0139585.1</t>
  </si>
  <si>
    <t>STHERMO_2027</t>
  </si>
  <si>
    <t>CAD0139587.1</t>
  </si>
  <si>
    <t>STHERMO_2028</t>
  </si>
  <si>
    <t>Phosphohydrolase</t>
  </si>
  <si>
    <t>CAD0139589.1</t>
  </si>
  <si>
    <t>STHERMO_2029</t>
  </si>
  <si>
    <t>CAD0139591.1</t>
  </si>
  <si>
    <t>STHERMO_2030</t>
  </si>
  <si>
    <t>Transcriptional regulator, PadR family</t>
  </si>
  <si>
    <t>CAD0139593.1</t>
  </si>
  <si>
    <t>STHERMO_2031</t>
  </si>
  <si>
    <t>CAD0139595.1</t>
  </si>
  <si>
    <t>STHERMO_2032</t>
  </si>
  <si>
    <t>CAD0139597.1</t>
  </si>
  <si>
    <t>STHERMO_2033</t>
  </si>
  <si>
    <t>CAD0139599.1</t>
  </si>
  <si>
    <t>STHERMO_2034</t>
  </si>
  <si>
    <t>Phage infection protein</t>
  </si>
  <si>
    <t>CAD0139601.1</t>
  </si>
  <si>
    <t>STHERMO_2035</t>
  </si>
  <si>
    <t>Transcriptional regulator, TetR family</t>
  </si>
  <si>
    <t>CAD0139603.1</t>
  </si>
  <si>
    <t>STHERMO_2036</t>
  </si>
  <si>
    <t>CAD0139605.1</t>
  </si>
  <si>
    <t>STHERMO_2037</t>
  </si>
  <si>
    <t>CAD0139607.1</t>
  </si>
  <si>
    <t>STHERMO_2038</t>
  </si>
  <si>
    <t>ribosomal protein S4 (BS4)</t>
  </si>
  <si>
    <t>CAD0139609.1</t>
  </si>
  <si>
    <t>STHERMO_2039</t>
  </si>
  <si>
    <t>CAAX amino protease family protein</t>
  </si>
  <si>
    <t>CAD0139611.1</t>
  </si>
  <si>
    <t>STHERMO_2040</t>
  </si>
  <si>
    <t>dnaC</t>
  </si>
  <si>
    <t>CAD0139613.1</t>
  </si>
  <si>
    <t>STHERMO_2041</t>
  </si>
  <si>
    <t>ribosomal protein L9</t>
  </si>
  <si>
    <t>CAD0139615.1</t>
  </si>
  <si>
    <t>STHERMO_2042</t>
  </si>
  <si>
    <t>Phosphoesterase, DHH family protein</t>
  </si>
  <si>
    <t>CAD0139617.1</t>
  </si>
  <si>
    <t>STHERMO_2043</t>
  </si>
  <si>
    <t>tRNA uridine 5-carboxymethylaminomethyl modification enzyme</t>
  </si>
  <si>
    <t>trmF</t>
  </si>
  <si>
    <t>CAD0139619.1</t>
  </si>
  <si>
    <t>STHERMO_2044</t>
  </si>
  <si>
    <t>tRNA-specific 2-thiouridylase</t>
  </si>
  <si>
    <t>CAD0139621.1</t>
  </si>
  <si>
    <t>STHERMO_2045</t>
  </si>
  <si>
    <t>CAD0139623.1</t>
  </si>
  <si>
    <t>STHERMO_2046</t>
  </si>
  <si>
    <t>Immunodominant antigen A</t>
  </si>
  <si>
    <t>CAD0139625.1</t>
  </si>
  <si>
    <t>STHERMO_2047</t>
  </si>
  <si>
    <t>LysM domain protein</t>
  </si>
  <si>
    <t>CAD0139627.1</t>
  </si>
  <si>
    <t>STHERMO_2048</t>
  </si>
  <si>
    <t>component of the influx ECF transporters</t>
  </si>
  <si>
    <t>ecfT</t>
  </si>
  <si>
    <t>CAD0139629.1</t>
  </si>
  <si>
    <t>STHERMO_2049</t>
  </si>
  <si>
    <t>energizing coupling factor of ABC influx transporter (ATP-binding protein)</t>
  </si>
  <si>
    <t>ecfAB</t>
  </si>
  <si>
    <t>CAD0139631.1</t>
  </si>
  <si>
    <t>STHERMO_2050</t>
  </si>
  <si>
    <t>ecfA</t>
  </si>
  <si>
    <t>CAD0139633.1</t>
  </si>
  <si>
    <t>STHERMO_2051</t>
  </si>
  <si>
    <t>CDP-diacylglycerol-glycerol-3-phosphate 3-phosphatidyltransferase</t>
  </si>
  <si>
    <t>CAD0139635.1</t>
  </si>
  <si>
    <t>STHERMO_2052</t>
  </si>
  <si>
    <t>CAD0139637.1</t>
  </si>
  <si>
    <t>STHERMO_2053</t>
  </si>
  <si>
    <t>peptidase, M16 family</t>
  </si>
  <si>
    <t>CAD0139639.1</t>
  </si>
  <si>
    <t>STHERMO_2054</t>
  </si>
  <si>
    <t>Zinc protease</t>
  </si>
  <si>
    <t>CAD0139641.1</t>
  </si>
  <si>
    <t>STHERMO_2055</t>
  </si>
  <si>
    <t>CAD0139643.1</t>
  </si>
  <si>
    <t>STHERMO_2056</t>
  </si>
  <si>
    <t>RecA filament-DNA complex stabilisation, ssDNA and dsDNA binding, ATP binding</t>
  </si>
  <si>
    <t>CAD0139645.1</t>
  </si>
  <si>
    <t>STHERMO_2057</t>
  </si>
  <si>
    <t>inosine-monophosphate dehydrogenase</t>
  </si>
  <si>
    <t>CAD0139647.1</t>
  </si>
  <si>
    <t>STHERMO_2058</t>
  </si>
  <si>
    <t>CAD0139649.1</t>
  </si>
  <si>
    <t>STHERMO_2059</t>
  </si>
  <si>
    <t>Tryptophan--tRNA ligase</t>
  </si>
  <si>
    <t>CAD0139651.1</t>
  </si>
  <si>
    <t>STHERMO_2060</t>
  </si>
  <si>
    <t>CAD0139653.1</t>
  </si>
  <si>
    <t>STHERMO_2061</t>
  </si>
  <si>
    <t>ykpA</t>
  </si>
  <si>
    <t>CAD0139655.1</t>
  </si>
  <si>
    <t>STHERMO_2062</t>
  </si>
  <si>
    <t>CAD0139657.1</t>
  </si>
  <si>
    <t>STHERMO_2063</t>
  </si>
  <si>
    <t>putative Membrane protein</t>
  </si>
  <si>
    <t>CAD0139659.1</t>
  </si>
  <si>
    <t>STHERMO_2064</t>
  </si>
  <si>
    <t>Ribosomal RNA large subunit methyltransferase H</t>
  </si>
  <si>
    <t>CAD0139661.1</t>
  </si>
  <si>
    <t>STHERMO_2065</t>
  </si>
  <si>
    <t>Serine protease Do-like HtrA</t>
  </si>
  <si>
    <t>htrA</t>
  </si>
  <si>
    <t>CAD0139663.1</t>
  </si>
  <si>
    <t>STHERMO_2066</t>
  </si>
  <si>
    <t>site-specific DNA-binding protein</t>
  </si>
  <si>
    <t>parB</t>
  </si>
  <si>
    <t>CAD0139665.1</t>
  </si>
  <si>
    <t>STHERMO_2067</t>
  </si>
  <si>
    <t>LR822016.1</t>
  </si>
  <si>
    <t>Protein rep</t>
  </si>
  <si>
    <t>rep</t>
  </si>
  <si>
    <t>CAD0139760.1</t>
  </si>
  <si>
    <t>STHERMO_P0001</t>
  </si>
  <si>
    <t>CAD0139761.1</t>
  </si>
  <si>
    <t>STHERMO_P0002</t>
  </si>
  <si>
    <t>CAD0139762.1</t>
  </si>
  <si>
    <t>STHERMO_P0003</t>
  </si>
  <si>
    <t>CAD0139763.1</t>
  </si>
  <si>
    <t>STHERMO_P0004</t>
  </si>
  <si>
    <t>3.1.1.29</t>
  </si>
  <si>
    <t>6.3.4.19</t>
  </si>
  <si>
    <t>2.4.2.8</t>
  </si>
  <si>
    <t>3.4.24.-</t>
  </si>
  <si>
    <t>2.7.6.1</t>
  </si>
  <si>
    <t>2.6.1.-</t>
  </si>
  <si>
    <t>6.3.2.6</t>
  </si>
  <si>
    <t>6.3.5.3</t>
  </si>
  <si>
    <t>2.4.2.14</t>
  </si>
  <si>
    <t>6.3.3.1</t>
  </si>
  <si>
    <t>2.1.2.2</t>
  </si>
  <si>
    <t>2.1.2.3</t>
  </si>
  <si>
    <t>3.5.4.10</t>
  </si>
  <si>
    <t>6.3.4.13</t>
  </si>
  <si>
    <t>5.4.99.18</t>
  </si>
  <si>
    <t>6.3.4.18</t>
  </si>
  <si>
    <t>4.3.2.2</t>
  </si>
  <si>
    <t>6.1.1.19</t>
  </si>
  <si>
    <t>3.6.4.12</t>
  </si>
  <si>
    <t>3.2.2.20</t>
  </si>
  <si>
    <t>2.7.7.7</t>
  </si>
  <si>
    <t>3.4.11.24</t>
  </si>
  <si>
    <t>3.4.16.4</t>
  </si>
  <si>
    <t>2.7.7.8</t>
  </si>
  <si>
    <t>3.1.13.1</t>
  </si>
  <si>
    <t>2.3.1.30</t>
  </si>
  <si>
    <t>6.1.1.16</t>
  </si>
  <si>
    <t>2.1.1.-</t>
  </si>
  <si>
    <t>1.1.1.169</t>
  </si>
  <si>
    <t>1.1.1.94</t>
  </si>
  <si>
    <t>5.4.99.12</t>
  </si>
  <si>
    <t>2.7.4.7</t>
  </si>
  <si>
    <t>3.4.17.-</t>
  </si>
  <si>
    <t>2.1.1.79</t>
  </si>
  <si>
    <t>5.2.1.8</t>
  </si>
  <si>
    <t>6.3.4.2</t>
  </si>
  <si>
    <t>2.1.1.193</t>
  </si>
  <si>
    <t>2.7.6.5</t>
  </si>
  <si>
    <t>3.1.7.2</t>
  </si>
  <si>
    <t>3.1.-.-</t>
  </si>
  <si>
    <t>3.2.1.11</t>
  </si>
  <si>
    <t>4.3.1.19</t>
  </si>
  <si>
    <t>3.5.1.88</t>
  </si>
  <si>
    <t>3.6.1.27</t>
  </si>
  <si>
    <t>2.7.8.-</t>
  </si>
  <si>
    <t>2.8.1.7</t>
  </si>
  <si>
    <t>1.-.-.-</t>
  </si>
  <si>
    <t>2.7.1.-</t>
  </si>
  <si>
    <t>3.1.3.90</t>
  </si>
  <si>
    <t>5.3.1.9</t>
  </si>
  <si>
    <t>2.5.1.31</t>
  </si>
  <si>
    <t>2.7.7.41</t>
  </si>
  <si>
    <t>6.1.1.15</t>
  </si>
  <si>
    <t>5.4.99.-</t>
  </si>
  <si>
    <t>2.4.1.129</t>
  </si>
  <si>
    <t>3.4.-.-</t>
  </si>
  <si>
    <t>3.1.3.27</t>
  </si>
  <si>
    <t>6.1.1.4</t>
  </si>
  <si>
    <t>6.3.4.21</t>
  </si>
  <si>
    <t>6.3.1.5</t>
  </si>
  <si>
    <t>3.4.22.40</t>
  </si>
  <si>
    <t>2.1.1.264</t>
  </si>
  <si>
    <t>6.3.2.8</t>
  </si>
  <si>
    <t>4.2.2.-</t>
  </si>
  <si>
    <t>3.6.1.7</t>
  </si>
  <si>
    <t>4.1.1.20</t>
  </si>
  <si>
    <t>5.1.1.3</t>
  </si>
  <si>
    <t>3.6.166</t>
  </si>
  <si>
    <t>3.1.4.-</t>
  </si>
  <si>
    <t>4.2.1.70</t>
  </si>
  <si>
    <t>2.1.1.207</t>
  </si>
  <si>
    <t>3.4.22.-</t>
  </si>
  <si>
    <t>3.5.1.5</t>
  </si>
  <si>
    <t>3.6.3.-</t>
  </si>
  <si>
    <t>3.3.1.1</t>
  </si>
  <si>
    <t>3.5.1.14</t>
  </si>
  <si>
    <t>2.2.1.1</t>
  </si>
  <si>
    <t>2.1.1.170</t>
  </si>
  <si>
    <t>3.6.5.-</t>
  </si>
  <si>
    <t>6.1.1.11</t>
  </si>
  <si>
    <t>3.-.-.-</t>
  </si>
  <si>
    <t>2.3.1.-</t>
  </si>
  <si>
    <t>6.3.2.7</t>
  </si>
  <si>
    <t>2.5.1.48</t>
  </si>
  <si>
    <t>2.5.1.49</t>
  </si>
  <si>
    <t>2.6.1.1</t>
  </si>
  <si>
    <t>2.4.2.9</t>
  </si>
  <si>
    <t>3.4.21.92</t>
  </si>
  <si>
    <t>2.5.1.47</t>
  </si>
  <si>
    <t>4.4.1.1</t>
  </si>
  <si>
    <t>3.6.1.1</t>
  </si>
  <si>
    <t>6.3.1.1</t>
  </si>
  <si>
    <t>2.7.2.4</t>
  </si>
  <si>
    <t>5.3.3.14</t>
  </si>
  <si>
    <t>2.3.1.180</t>
  </si>
  <si>
    <t>1.3.1.9</t>
  </si>
  <si>
    <t>2.3.1.39</t>
  </si>
  <si>
    <t>1.1.1.100</t>
  </si>
  <si>
    <t>2.3.1.41</t>
  </si>
  <si>
    <t>6.4.1.2</t>
  </si>
  <si>
    <t>4.2.1.59</t>
  </si>
  <si>
    <t>6.3.4.14</t>
  </si>
  <si>
    <t>2.1.3.15</t>
  </si>
  <si>
    <t>4.4.1.21</t>
  </si>
  <si>
    <t>3.1.26.-</t>
  </si>
  <si>
    <t>2.7.1.56</t>
  </si>
  <si>
    <t>1.8.1.7</t>
  </si>
  <si>
    <t>6.3.2.12</t>
  </si>
  <si>
    <t>6.3.2.17</t>
  </si>
  <si>
    <t>2.8.1.4</t>
  </si>
  <si>
    <t>2.4.1.-</t>
  </si>
  <si>
    <t>1.17.1.8</t>
  </si>
  <si>
    <t>2.7.7.72</t>
  </si>
  <si>
    <t>2.7.7.1</t>
  </si>
  <si>
    <t>2.7.7.22</t>
  </si>
  <si>
    <t>1.4.1.4</t>
  </si>
  <si>
    <t>2.7.4.22</t>
  </si>
  <si>
    <t>6.1.1.10</t>
  </si>
  <si>
    <t>6.1.1.7</t>
  </si>
  <si>
    <t>3.5.1.3</t>
  </si>
  <si>
    <t>1.2.1.38</t>
  </si>
  <si>
    <t>2.3.1.35</t>
  </si>
  <si>
    <t>2.3.1.1</t>
  </si>
  <si>
    <t>2.7.2.8</t>
  </si>
  <si>
    <t>2.6.1.11</t>
  </si>
  <si>
    <t>1.1.1.3</t>
  </si>
  <si>
    <t>2.7.1.39</t>
  </si>
  <si>
    <t>6.1.1.9</t>
  </si>
  <si>
    <t>7.1.2.2</t>
  </si>
  <si>
    <t>5.3.1.1</t>
  </si>
  <si>
    <t>2.7.4.9</t>
  </si>
  <si>
    <t>2.1.1.198</t>
  </si>
  <si>
    <t>3.5.1.25</t>
  </si>
  <si>
    <t>6.1.1.14</t>
  </si>
  <si>
    <t>3.4.23.36</t>
  </si>
  <si>
    <t>4.2.1.-</t>
  </si>
  <si>
    <t>2.1.3.2</t>
  </si>
  <si>
    <t>6.3.5.5</t>
  </si>
  <si>
    <t>2.4.99.17</t>
  </si>
  <si>
    <t>3.5.99.6</t>
  </si>
  <si>
    <t>2.4.2.3</t>
  </si>
  <si>
    <t>2.7.1.36</t>
  </si>
  <si>
    <t>4.1.1.33</t>
  </si>
  <si>
    <t>2.7.4.2</t>
  </si>
  <si>
    <t>5.3.3.2</t>
  </si>
  <si>
    <t>2.7.7.23</t>
  </si>
  <si>
    <t>2.3.1.157</t>
  </si>
  <si>
    <t>3.1.7.1</t>
  </si>
  <si>
    <t>3.6.1.13</t>
  </si>
  <si>
    <t>3.2.2.9</t>
  </si>
  <si>
    <t>2.4.1.208</t>
  </si>
  <si>
    <t>2.4.1.337</t>
  </si>
  <si>
    <t>6.1.1.3</t>
  </si>
  <si>
    <t>1.1.1.88</t>
  </si>
  <si>
    <t>2.3.3.10</t>
  </si>
  <si>
    <t>2.1.1.45</t>
  </si>
  <si>
    <t>1.5.1.3</t>
  </si>
  <si>
    <t>2.1.1.10</t>
  </si>
  <si>
    <t>5.6.2.2</t>
  </si>
  <si>
    <t>2.6.1.42</t>
  </si>
  <si>
    <t>3.6.1.-</t>
  </si>
  <si>
    <t>2.1.3.3</t>
  </si>
  <si>
    <t>1.5.1.5</t>
  </si>
  <si>
    <t>3.5.4.9</t>
  </si>
  <si>
    <t>4.2.1.136</t>
  </si>
  <si>
    <t>2.7.1.66</t>
  </si>
  <si>
    <t>3.2.2.23</t>
  </si>
  <si>
    <t>2.7.1.24</t>
  </si>
  <si>
    <t>3.1.3.-</t>
  </si>
  <si>
    <t>3.4.13.9</t>
  </si>
  <si>
    <t>2.7.1.31</t>
  </si>
  <si>
    <t>4.2.1.11</t>
  </si>
  <si>
    <t>4.2.1.10</t>
  </si>
  <si>
    <t>1.1.1.25</t>
  </si>
  <si>
    <t>4.2.3.4</t>
  </si>
  <si>
    <t>4.2.3.5</t>
  </si>
  <si>
    <t>1.3.1.12</t>
  </si>
  <si>
    <t>1.1.1.-</t>
  </si>
  <si>
    <t>2.5.1.19</t>
  </si>
  <si>
    <t>2.7.1.71</t>
  </si>
  <si>
    <t>4.2.1.51</t>
  </si>
  <si>
    <t>1.3.8.1</t>
  </si>
  <si>
    <t>2.7.11.-</t>
  </si>
  <si>
    <t>2.7.4.-</t>
  </si>
  <si>
    <t>2.4.99.-</t>
  </si>
  <si>
    <t>6.1.1.6</t>
  </si>
  <si>
    <t>3.8.1.2</t>
  </si>
  <si>
    <t>4.2.-.-</t>
  </si>
  <si>
    <t>3.1.21.3</t>
  </si>
  <si>
    <t>2.1.1.72</t>
  </si>
  <si>
    <t>4.1.1.31</t>
  </si>
  <si>
    <t>1.15.1.1</t>
  </si>
  <si>
    <t>1.16.-.-</t>
  </si>
  <si>
    <t>2.7.1.2</t>
  </si>
  <si>
    <t>2.7.1.59</t>
  </si>
  <si>
    <t>6.3.2.9</t>
  </si>
  <si>
    <t>2.4.1.227</t>
  </si>
  <si>
    <t>6.1.1.5</t>
  </si>
  <si>
    <t>2.7.1.180</t>
  </si>
  <si>
    <t>2.5.1.18</t>
  </si>
  <si>
    <t>3.5.4.4</t>
  </si>
  <si>
    <t>2.7.1.21</t>
  </si>
  <si>
    <t>2.1.1.297</t>
  </si>
  <si>
    <t>2.1.2.1</t>
  </si>
  <si>
    <t>6.2.1.54</t>
  </si>
  <si>
    <t>2.-.-.-</t>
  </si>
  <si>
    <t>7.2.2.10</t>
  </si>
  <si>
    <t>2.6.1.85</t>
  </si>
  <si>
    <t>4.1.3.38</t>
  </si>
  <si>
    <t>2.1.1.14</t>
  </si>
  <si>
    <t>1.5.1.20</t>
  </si>
  <si>
    <t>5.4.2.2</t>
  </si>
  <si>
    <t>4.1.1.36</t>
  </si>
  <si>
    <t>6.3.2.5</t>
  </si>
  <si>
    <t>6.3.4.3</t>
  </si>
  <si>
    <t>2.7.13.3</t>
  </si>
  <si>
    <t>2.7.1.33</t>
  </si>
  <si>
    <t>3.5.4.5</t>
  </si>
  <si>
    <t>3.1.2.6</t>
  </si>
  <si>
    <t>6.1.1.22</t>
  </si>
  <si>
    <t>3.5.99.10</t>
  </si>
  <si>
    <t>6.3.4.20</t>
  </si>
  <si>
    <t>4.-.-.-</t>
  </si>
  <si>
    <t>4.3.99.3</t>
  </si>
  <si>
    <t>1.7.1.13</t>
  </si>
  <si>
    <t>4.4.1.2</t>
  </si>
  <si>
    <t>2.6.1.16</t>
  </si>
  <si>
    <t>3.1.21.5</t>
  </si>
  <si>
    <t>6.3.5.2</t>
  </si>
  <si>
    <t>3.1.26.4</t>
  </si>
  <si>
    <t>5.6.2.1</t>
  </si>
  <si>
    <t>2.1.1.74</t>
  </si>
  <si>
    <t>2.7.4.6</t>
  </si>
  <si>
    <t>2.8.1.-</t>
  </si>
  <si>
    <t>3.5.3.11</t>
  </si>
  <si>
    <t>2.2.1.6</t>
  </si>
  <si>
    <t>4.1.1.5</t>
  </si>
  <si>
    <t>4.99.1.1</t>
  </si>
  <si>
    <t>3.1.3.18</t>
  </si>
  <si>
    <t>1.3.98.1</t>
  </si>
  <si>
    <t>1.3.1.15</t>
  </si>
  <si>
    <t>4.1.1.23</t>
  </si>
  <si>
    <t>2.4.2.1</t>
  </si>
  <si>
    <t>2.4.2.10</t>
  </si>
  <si>
    <t>3.5.1.4</t>
  </si>
  <si>
    <t>3.1.3.5</t>
  </si>
  <si>
    <t>3.6.-.-</t>
  </si>
  <si>
    <t>2.5.1.-</t>
  </si>
  <si>
    <t>1.11.1.15</t>
  </si>
  <si>
    <t>5.4.99.25</t>
  </si>
  <si>
    <t>2.7.1.26</t>
  </si>
  <si>
    <t>2.7.7.2</t>
  </si>
  <si>
    <t>3.1.3.25</t>
  </si>
  <si>
    <t>3.4.11.2</t>
  </si>
  <si>
    <t>6.3.1.20</t>
  </si>
  <si>
    <t>2.4.1.1</t>
  </si>
  <si>
    <t>2.4.1.25</t>
  </si>
  <si>
    <t>1.11.1.-</t>
  </si>
  <si>
    <t>2.5.1.7</t>
  </si>
  <si>
    <t>6.1.1.1</t>
  </si>
  <si>
    <t>1.8.1.4</t>
  </si>
  <si>
    <t>1.1.1.303</t>
  </si>
  <si>
    <t>2.3.1.190</t>
  </si>
  <si>
    <t>1.1.1.304</t>
  </si>
  <si>
    <t>2.3.1.191</t>
  </si>
  <si>
    <t>3.5.2.3</t>
  </si>
  <si>
    <t>3.2.2.27</t>
  </si>
  <si>
    <t>3.4.16.5</t>
  </si>
  <si>
    <t>3.4.21.-</t>
  </si>
  <si>
    <t>5.4.99.9</t>
  </si>
  <si>
    <t>3.1.3.48</t>
  </si>
  <si>
    <t>5.4.2.7</t>
  </si>
  <si>
    <t>5.3.1.6</t>
  </si>
  <si>
    <t>3.4.13.-</t>
  </si>
  <si>
    <t>5.3.2.-</t>
  </si>
  <si>
    <t>2.7.4.25</t>
  </si>
  <si>
    <t>3.4.11.4</t>
  </si>
  <si>
    <t>3.4.21.89</t>
  </si>
  <si>
    <t>3.6.1.55</t>
  </si>
  <si>
    <t>1.17.99.6</t>
  </si>
  <si>
    <t>1.6.-.-</t>
  </si>
  <si>
    <t>5.1.3.2</t>
  </si>
  <si>
    <t>5.1.3.7</t>
  </si>
  <si>
    <t>2.5.1.6</t>
  </si>
  <si>
    <t>2.5.1.75</t>
  </si>
  <si>
    <t>5.4.99.5</t>
  </si>
  <si>
    <t>2.7.1.40</t>
  </si>
  <si>
    <t>2.7.1.11</t>
  </si>
  <si>
    <t>4.2.1.33</t>
  </si>
  <si>
    <t>4.2.1.34</t>
  </si>
  <si>
    <t>1.1.1.85</t>
  </si>
  <si>
    <t>2.3..3.13</t>
  </si>
  <si>
    <t>5.4.2.-</t>
  </si>
  <si>
    <t>2.5.1.10</t>
  </si>
  <si>
    <t>3.1.11.6</t>
  </si>
  <si>
    <t>3.1.11.7</t>
  </si>
  <si>
    <t>4.2.99.18</t>
  </si>
  <si>
    <t>2.3.1.31</t>
  </si>
  <si>
    <t>2.4.2.7</t>
  </si>
  <si>
    <t>3.1.26.11</t>
  </si>
  <si>
    <t>4.4.1.8</t>
  </si>
  <si>
    <t>3.1.3.15</t>
  </si>
  <si>
    <t>4.2.1.46</t>
  </si>
  <si>
    <t>5.1.3.-</t>
  </si>
  <si>
    <t>2.7.7.24</t>
  </si>
  <si>
    <t>2.1.1.217</t>
  </si>
  <si>
    <t>5.4.2.10</t>
  </si>
  <si>
    <t>2.7.7.85</t>
  </si>
  <si>
    <t>6.3.5.13</t>
  </si>
  <si>
    <t>6.3.5.14</t>
  </si>
  <si>
    <t>2.7.1.48</t>
  </si>
  <si>
    <t>1.2.1.9</t>
  </si>
  <si>
    <t>2.7.3.9</t>
  </si>
  <si>
    <t>1.1.1.42</t>
  </si>
  <si>
    <t>2.3.3.16</t>
  </si>
  <si>
    <t>4.2.1.3</t>
  </si>
  <si>
    <t>1.17.4.1</t>
  </si>
  <si>
    <t>1.17.4.2</t>
  </si>
  <si>
    <t>1.1.1.27</t>
  </si>
  <si>
    <t>1.6.99.3</t>
  </si>
  <si>
    <t>2.7.1.35</t>
  </si>
  <si>
    <t>6.1.1.20</t>
  </si>
  <si>
    <t>3.1.26.3</t>
  </si>
  <si>
    <t>4.3.3.7</t>
  </si>
  <si>
    <t>1.2.1.11</t>
  </si>
  <si>
    <t>4.1.99.3</t>
  </si>
  <si>
    <t>4.2.1.49</t>
  </si>
  <si>
    <t>4.3.1.17</t>
  </si>
  <si>
    <t>4.3.1.18</t>
  </si>
  <si>
    <t>1.8.4.11</t>
  </si>
  <si>
    <t>1.8.4.12</t>
  </si>
  <si>
    <t>5.3.1.8</t>
  </si>
  <si>
    <t>3.2.1.23</t>
  </si>
  <si>
    <t>5.1.3.3.</t>
  </si>
  <si>
    <t>2.7.7.12</t>
  </si>
  <si>
    <t>2.7.1.6</t>
  </si>
  <si>
    <t>6.3.2.2</t>
  </si>
  <si>
    <t>6.3.2.3</t>
  </si>
  <si>
    <t>1.18.1.2</t>
  </si>
  <si>
    <t>2.1.1.28</t>
  </si>
  <si>
    <t>2.7.11.1</t>
  </si>
  <si>
    <t>3.1.3.16</t>
  </si>
  <si>
    <t>2.1.1.176</t>
  </si>
  <si>
    <t>2.1.2.9</t>
  </si>
  <si>
    <t>2.7.7.6</t>
  </si>
  <si>
    <t>2.7.4.8</t>
  </si>
  <si>
    <t>2.3.1.8</t>
  </si>
  <si>
    <t>2.7.1.23</t>
  </si>
  <si>
    <t>2.4.-.-</t>
  </si>
  <si>
    <t>2.7.7.-</t>
  </si>
  <si>
    <t>3.1.3.3</t>
  </si>
  <si>
    <t>1.20.4.-</t>
  </si>
  <si>
    <t>2.1.1.63</t>
  </si>
  <si>
    <t>1.1.1.95</t>
  </si>
  <si>
    <t>2.6.1.52</t>
  </si>
  <si>
    <t>4.4.1.5</t>
  </si>
  <si>
    <t>7.6.2.11</t>
  </si>
  <si>
    <t>1.3.1.98</t>
  </si>
  <si>
    <t>2.7.6.3</t>
  </si>
  <si>
    <t>4.1.2.25</t>
  </si>
  <si>
    <t>3.2.1.1</t>
  </si>
  <si>
    <t>2.5.1.15</t>
  </si>
  <si>
    <t>3.5.4.16</t>
  </si>
  <si>
    <t>3.1.11.2</t>
  </si>
  <si>
    <t>2.7.1.107</t>
  </si>
  <si>
    <t>6.5.1.2</t>
  </si>
  <si>
    <t>3.4.11.18</t>
  </si>
  <si>
    <t>3.5.1.-</t>
  </si>
  <si>
    <t>2.1.1.223</t>
  </si>
  <si>
    <t>6.3.2.10</t>
  </si>
  <si>
    <t>6.3.2.4</t>
  </si>
  <si>
    <t>7.2.2.8</t>
  </si>
  <si>
    <t>4.2.1.20</t>
  </si>
  <si>
    <t>4.2.1.21</t>
  </si>
  <si>
    <t>5.3.1.24</t>
  </si>
  <si>
    <t>4.1.1.48</t>
  </si>
  <si>
    <t>2.4.2.18</t>
  </si>
  <si>
    <t>4.1.3.27</t>
  </si>
  <si>
    <t>4.2.1.9</t>
  </si>
  <si>
    <t>2.1.1.33</t>
  </si>
  <si>
    <t>3.6.1.29</t>
  </si>
  <si>
    <t>6.3.4.-</t>
  </si>
  <si>
    <t>6.3.5.7</t>
  </si>
  <si>
    <t>3.5.1.19</t>
  </si>
  <si>
    <t>1.97.1.4</t>
  </si>
  <si>
    <t>3.4.21.53</t>
  </si>
  <si>
    <t>2.7.7.3</t>
  </si>
  <si>
    <t>2.1.1.171</t>
  </si>
  <si>
    <t>1.8.1.9</t>
  </si>
  <si>
    <t>2.3.1.54</t>
  </si>
  <si>
    <t>4.2.1.1</t>
  </si>
  <si>
    <t>3.4.14.11</t>
  </si>
  <si>
    <t>2.1.1.192</t>
  </si>
  <si>
    <t>3.6.4.13</t>
  </si>
  <si>
    <t>2.7.8.13</t>
  </si>
  <si>
    <t>2.1.1.199</t>
  </si>
  <si>
    <t>1.2.1.41</t>
  </si>
  <si>
    <t>2.7.2.11</t>
  </si>
  <si>
    <t>3.5.1.1</t>
  </si>
  <si>
    <t>5.1.1.1</t>
  </si>
  <si>
    <t>2.7.8.7</t>
  </si>
  <si>
    <t>2.1.5.4</t>
  </si>
  <si>
    <t>2.7.1.4</t>
  </si>
  <si>
    <t>3.2.1.26</t>
  </si>
  <si>
    <t>3.5.4.12</t>
  </si>
  <si>
    <t>3.2.2.31</t>
  </si>
  <si>
    <t>2.3.1.266</t>
  </si>
  <si>
    <t>6.3.1.2</t>
  </si>
  <si>
    <t>2.7.2.3</t>
  </si>
  <si>
    <t>1.2.1.12</t>
  </si>
  <si>
    <t>2.7.6.2</t>
  </si>
  <si>
    <t>5.1.3.1</t>
  </si>
  <si>
    <t>2.1.1.182</t>
  </si>
  <si>
    <t>3.1.26.8</t>
  </si>
  <si>
    <t>3.2.1.-</t>
  </si>
  <si>
    <t>2.4.2.29</t>
  </si>
  <si>
    <t>3.1.26.5</t>
  </si>
  <si>
    <t>4.3.2.1</t>
  </si>
  <si>
    <t>6.3.4.5</t>
  </si>
  <si>
    <t>6.1.1.17</t>
  </si>
  <si>
    <t>6.1.1.24</t>
  </si>
  <si>
    <t>3.6.1.23</t>
  </si>
  <si>
    <t>2.7.7.9</t>
  </si>
  <si>
    <t>6.3.3.2</t>
  </si>
  <si>
    <t>3.5.1.47</t>
  </si>
  <si>
    <t>2.3.1.89</t>
  </si>
  <si>
    <t>3.5.4.33</t>
  </si>
  <si>
    <t>1.5.1.2</t>
  </si>
  <si>
    <t>2.7.2.1</t>
  </si>
  <si>
    <t>1.1.1.86</t>
  </si>
  <si>
    <t>2.7.-.-</t>
  </si>
  <si>
    <t>4.2.3.1</t>
  </si>
  <si>
    <t>1.1.1.1</t>
  </si>
  <si>
    <t>1.2.1.10</t>
  </si>
  <si>
    <t>4.1.2.13</t>
  </si>
  <si>
    <t>2.7.4.3</t>
  </si>
  <si>
    <t>3.1.22.4</t>
  </si>
  <si>
    <t>6.3.4.4</t>
  </si>
  <si>
    <t>1.97.1.-</t>
  </si>
  <si>
    <t>6.1.1.12</t>
  </si>
  <si>
    <t>6.1.1.21</t>
  </si>
  <si>
    <t>2.8.1.13</t>
  </si>
  <si>
    <t>2.7.8.5</t>
  </si>
  <si>
    <t>1.1.1.205</t>
  </si>
  <si>
    <t>6.1.1.2</t>
  </si>
  <si>
    <t>2.1.1.177</t>
  </si>
  <si>
    <t>3.4.21.107</t>
  </si>
  <si>
    <t>KEGG Reaction URL</t>
  </si>
  <si>
    <t>https://www.kegg.jp/entry/1.1.1.1</t>
  </si>
  <si>
    <t>https://www.kegg.jp/entry/R00623/R00754/R02124/R02878/R04805/R04880/R05233/R05234/R06917/R06927/R08281/R08306/R08557/R08558/R10783/R00624/R08310/R02246/R07105</t>
  </si>
  <si>
    <t>https://www.kegg.jp/entry/1.2.1.10</t>
  </si>
  <si>
    <t>https://www.kegg.jp/entry/R00228/R01172</t>
  </si>
  <si>
    <t>https://www.kegg.jp/entry/1.1.1.100</t>
  </si>
  <si>
    <t>https://www.kegg.jp/entry/R02767/R04533/R04534/R04536/R04543/R04566/R04953/R04964/R07763/R10116/R10120</t>
  </si>
  <si>
    <t>https://www.kegg.jp/entry/R02472</t>
  </si>
  <si>
    <t>https://www.kegg.jp/entry/1.1.1.169</t>
  </si>
  <si>
    <t>https://www.kegg.jp/entry/1.1.1.205</t>
  </si>
  <si>
    <t>https://www.kegg.jp/entry/R01130/R08240</t>
  </si>
  <si>
    <t>https://www.kegg.jp/entry/1.1.1.25</t>
  </si>
  <si>
    <t>https://www.kegg.jp/entry/R02413/R12885</t>
  </si>
  <si>
    <t>https://www.kegg.jp/entry/1.1.1.27</t>
  </si>
  <si>
    <t>https://www.kegg.jp/entry/R00703/R01000/R03104</t>
  </si>
  <si>
    <t>https://www.kegg.jp/entry/1.1.1.3</t>
  </si>
  <si>
    <t>https://www.kegg.jp/entry/R01773/R01775</t>
  </si>
  <si>
    <t>https://www.kegg.jp/entry/1.1.1.303</t>
  </si>
  <si>
    <t>https://www.kegg.jp/entry/R02855</t>
  </si>
  <si>
    <t>https://www.kegg.jp/entry/2.3.1.190</t>
  </si>
  <si>
    <t>https://www.kegg.jp/entry/R09524/R13177</t>
  </si>
  <si>
    <t>https://www.kegg.jp/entry/1.1.1.304</t>
  </si>
  <si>
    <t>https://www.kegg.jp/entry/R09078</t>
  </si>
  <si>
    <t>https://www.kegg.jp/entry/2.3.1.191</t>
  </si>
  <si>
    <t>https://www.kegg.jp/entry/R12803/R04550</t>
  </si>
  <si>
    <t>https://www.kegg.jp/entry/1.1.1.42</t>
  </si>
  <si>
    <t>https://www.kegg.jp/entry/R00267/R00268/R01899</t>
  </si>
  <si>
    <t>https://www.kegg.jp/entry/1.1.1.85</t>
  </si>
  <si>
    <t>https://www.kegg.jp/entry/R01652/R04426/R10052/R00994</t>
  </si>
  <si>
    <t>C04236</t>
  </si>
  <si>
    <t>https://www.kegg.jp/entry/1.1.1.86</t>
  </si>
  <si>
    <t>https://www.kegg.jp/entry/R04439/R03051/R04440/R05068/R05069/R05071</t>
  </si>
  <si>
    <t>https://www.kegg.jp/entry/1.1.1.88</t>
  </si>
  <si>
    <t>https://www.kegg.jp/entry/R02081</t>
  </si>
  <si>
    <t>https://www.kegg.jp/entry/1.1.1.94</t>
  </si>
  <si>
    <t>https://www.kegg.jp/entry/R00842/R00844</t>
  </si>
  <si>
    <t>https://www.kegg.jp/entry/1.1.1.95</t>
  </si>
  <si>
    <t>https://www.kegg.jp/entry/R00842/R00845</t>
  </si>
  <si>
    <t>https://www.kegg.jp/entry/R01513/R08198</t>
  </si>
  <si>
    <t>https://www.kegg.jp/entry/1.11.1.15</t>
  </si>
  <si>
    <t>https://www.kegg.jp/entry/1.15.1.1</t>
  </si>
  <si>
    <t>https://www.kegg.jp/entry/R00275</t>
  </si>
  <si>
    <t>https://www.kegg.jp/entry/1.17.1.8</t>
  </si>
  <si>
    <t>https://www.kegg.jp/entry/R04198/R04199</t>
  </si>
  <si>
    <t>https://www.kegg.jp/entry/1.17.4.1</t>
  </si>
  <si>
    <t>https://www.kegg.jp/entry/R04294/R02017/R02018/R02019/R02024/R08363/R08364/R11893</t>
  </si>
  <si>
    <t>https://www.kegg.jp/entry/1.17.4.2</t>
  </si>
  <si>
    <t>https://www.kegg.jp/entry/R04315/R02014/R02020/R02022/R02023</t>
  </si>
  <si>
    <t>https://www.kegg.jp/entry/1.17.4.4</t>
  </si>
  <si>
    <t>https://www.kegg.jp/entry/R04315/R02014/R02020/R02022/R02025</t>
  </si>
  <si>
    <t>https://www.kegg.jp/entry/1.17.99.6</t>
  </si>
  <si>
    <t>https://www.kegg.jp/entry/R12500</t>
  </si>
  <si>
    <t>https://www.kegg.jp/entry/1.18.1.2</t>
  </si>
  <si>
    <t>https://www.kegg.jp/entry/R01195/R10159</t>
  </si>
  <si>
    <t>https://www.kegg.jp/entry/1.2.1.11</t>
  </si>
  <si>
    <t>https://www.kegg.jp/entry/R02291</t>
  </si>
  <si>
    <t>https://www.kegg.jp/entry/1.2.1.12</t>
  </si>
  <si>
    <t>https://www.kegg.jp/entry/R01061</t>
  </si>
  <si>
    <t>https://www.kegg.jp/entry/1.2.1.38</t>
  </si>
  <si>
    <t>https://www.kegg.jp/entry/R03443</t>
  </si>
  <si>
    <t>https://www.kegg.jp/entry/1.2.1.41</t>
  </si>
  <si>
    <t>https://www.kegg.jp/entry/R03313</t>
  </si>
  <si>
    <t>https://www.kegg.jp/entry/1.2.1.9</t>
  </si>
  <si>
    <t>https://www.kegg.jp/entry/R01058</t>
  </si>
  <si>
    <t>https://www.kegg.jp/entry/1.3.1.12</t>
  </si>
  <si>
    <t>https://www.kegg.jp/entry/R01728</t>
  </si>
  <si>
    <t>https://www.kegg.jp/entry/1.3.1.15</t>
  </si>
  <si>
    <t>https://www.kegg.jp/entry/R01866</t>
  </si>
  <si>
    <t>https://www.kegg.jp/entry/1.3.1.9</t>
  </si>
  <si>
    <t>https://www.kegg.jp/entry/R01403/R04429/R04724/R04955/R04958/R04961/R04966/R04969/R07765</t>
  </si>
  <si>
    <t>https://www.kegg.jp/entry/1.3.1.98</t>
  </si>
  <si>
    <t>https://www.kegg.jp/entry/R03192/R03191</t>
  </si>
  <si>
    <t>https://www.kegg.jp/entry/1.3.8.1</t>
  </si>
  <si>
    <t>https://www.kegg.jp/entry/R01178/R01175/R04751/R02661/R03172/R04432</t>
  </si>
  <si>
    <t>https://www.kegg.jp/entry/1.3.98.1</t>
  </si>
  <si>
    <t>https://www.kegg.jp/entry/R01867</t>
  </si>
  <si>
    <t>https://www.kegg.jp/entry/1.4.1.4</t>
  </si>
  <si>
    <t>https://www.kegg.jp/entry/R00248/R00145/R00146</t>
  </si>
  <si>
    <t>https://www.kegg.jp/entry/1.5.1.2</t>
  </si>
  <si>
    <t>https://www.kegg.jp/entry/R01248/R01251/R03291/R03293</t>
  </si>
  <si>
    <t>https://www.kegg.jp/entry/1.5.1.20</t>
  </si>
  <si>
    <t>https://www.kegg.jp/entry/R01224/R07168</t>
  </si>
  <si>
    <t>https://www.kegg.jp/entry/1.5.1.3</t>
  </si>
  <si>
    <t>https://www.kegg.jp/entry/R00939/R00936/R00937/R00940/R02235/R02236/R11765</t>
  </si>
  <si>
    <t>https://www.kegg.jp/entry/1.5.1.5</t>
  </si>
  <si>
    <t>https://www.kegg.jp/entry/R01220</t>
  </si>
  <si>
    <t>https://www.kegg.jp/entry/3.5.4.9</t>
  </si>
  <si>
    <t>https://www.kegg.jp/entry/R01655</t>
  </si>
  <si>
    <t>https://www.kegg.jp/entry/1.7.1.13</t>
  </si>
  <si>
    <t>https://www.kegg.jp/entry/R07605</t>
  </si>
  <si>
    <t>https://www.kegg.jp/entry/1.8.1.4</t>
  </si>
  <si>
    <t>https://www.kegg.jp/entry/R08550/R03815/R07618/R01698</t>
  </si>
  <si>
    <t>https://www.kegg.jp/entry/1.8.1.7</t>
  </si>
  <si>
    <t>https://www.kegg.jp/entry/R00115/R00094</t>
  </si>
  <si>
    <t>https://www.kegg.jp/entry/1.8.1.9</t>
  </si>
  <si>
    <t>https://www.kegg.jp/entry/R02016/R00900/R03596/R09372</t>
  </si>
  <si>
    <t>https://www.kegg.jp/entry/1.8.4.11</t>
  </si>
  <si>
    <t>https://www.kegg.jp/entry/R04120/R07606</t>
  </si>
  <si>
    <t>https://www.kegg.jp/entry/1.8.4.12</t>
  </si>
  <si>
    <t>https://www.kegg.jp/entry/R07607</t>
  </si>
  <si>
    <t>https://www.kegg.jp/entry/1.97.1.4</t>
  </si>
  <si>
    <t>https://www.kegg.jp/entry/R04710</t>
  </si>
  <si>
    <t>https://www.kegg.jp/entry/2.1.1.10</t>
  </si>
  <si>
    <t>https://www.kegg.jp/entry/R11063/R00650</t>
  </si>
  <si>
    <t>2 C00073</t>
  </si>
  <si>
    <t>https://www.kegg.jp/entry/2.1.1.14</t>
  </si>
  <si>
    <t>https://www.kegg.jp/entry/R04405/R09365</t>
  </si>
  <si>
    <t>https://www.kegg.jp/entry/2.1.1.171</t>
  </si>
  <si>
    <t>https://www.kegg.jp/entry/R07234</t>
  </si>
  <si>
    <t>https://www.kegg.jp/entry/2.1.1.182</t>
  </si>
  <si>
    <t>https://www.kegg.jp/entry/R10716</t>
  </si>
  <si>
    <t>https://www.kegg.jp/entry/2.1.1.28</t>
  </si>
  <si>
    <t>https://www.kegg.jp/entry/R04033/R02533</t>
  </si>
  <si>
    <t>https://www.kegg.jp/entry/2.1.1.297</t>
  </si>
  <si>
    <t>https://www.kegg.jp/entry/R10806</t>
  </si>
  <si>
    <t>https://www.kegg.jp/entry/2.1.1.33</t>
  </si>
  <si>
    <t>https://www.kegg.jp/entry/R00600</t>
  </si>
  <si>
    <t>https://www.kegg.jp/entry/2.1.1.45</t>
  </si>
  <si>
    <t>https://www.kegg.jp/entry/R02101</t>
  </si>
  <si>
    <t>https://www.kegg.jp/entry/2.1.1.63</t>
  </si>
  <si>
    <t>https://www.kegg.jp/entry/R04314</t>
  </si>
  <si>
    <t>https://www.kegg.jp/entry/2.1.1.72</t>
  </si>
  <si>
    <t>https://www.kegg.jp/entry/R02961</t>
  </si>
  <si>
    <t>https://www.kegg.jp/entry/2.1.1.74</t>
  </si>
  <si>
    <t>https://www.kegg.jp/entry/R12548/R03704</t>
  </si>
  <si>
    <t>https://www.kegg.jp/entry/2.1.1.79</t>
  </si>
  <si>
    <t>https://www.kegg.jp/entry/R03411</t>
  </si>
  <si>
    <t>https://www.kegg.jp/entry/2.1.2.1</t>
  </si>
  <si>
    <t>https://www.kegg.jp/entry/R00945/R09099</t>
  </si>
  <si>
    <t>https://www.kegg.jp/entry/2.1.2.2</t>
  </si>
  <si>
    <t>https://www.kegg.jp/entry/R04325/R04326</t>
  </si>
  <si>
    <t>https://www.kegg.jp/entry/2.1.2.3</t>
  </si>
  <si>
    <t>https://www.kegg.jp/entry/R04560</t>
  </si>
  <si>
    <t>https://www.kegg.jp/entry/3.5.4.10</t>
  </si>
  <si>
    <t>https://www.kegg.jp/entry/R01127</t>
  </si>
  <si>
    <t>C04734</t>
  </si>
  <si>
    <t>https://www.kegg.jp/entry/2.1.2.9</t>
  </si>
  <si>
    <t>https://www.kegg.jp/entry/R03940</t>
  </si>
  <si>
    <t>https://www.kegg.jp/entry/2.1.3.15</t>
  </si>
  <si>
    <t>https://www.kegg.jp/entry/R04386</t>
  </si>
  <si>
    <t>https://www.kegg.jp/entry/2.1.3.2</t>
  </si>
  <si>
    <t>https://www.kegg.jp/entry/R01397</t>
  </si>
  <si>
    <t>https://www.kegg.jp/entry/2.1.3.3</t>
  </si>
  <si>
    <t>https://www.kegg.jp/entry/R01398</t>
  </si>
  <si>
    <t>https://www.kegg.jp/entry/2.2.1.1</t>
  </si>
  <si>
    <t>https://www.kegg.jp/entry/R01641/R01067/R01830/R06590/R06861/R06863</t>
  </si>
  <si>
    <t>https://www.kegg.jp/entry/2.2.1.6</t>
  </si>
  <si>
    <t>https://www.kegg.jp/entry/R00006/R00226/R00014/R03050/R04672/R04673/R08648</t>
  </si>
  <si>
    <t>2 C00022</t>
  </si>
  <si>
    <t>https://www.kegg.jp/entry/2.3.1.180</t>
  </si>
  <si>
    <t>https://www.kegg.jp/entry/R10707</t>
  </si>
  <si>
    <t>https://www.kegg.jp/entry/2.3.1.266</t>
  </si>
  <si>
    <t>https://www.kegg.jp/entry/R04316</t>
  </si>
  <si>
    <t>https://www.kegg.jp/entry/2.3.1.30</t>
  </si>
  <si>
    <t>https://www.kegg.jp/entry/R00586</t>
  </si>
  <si>
    <t>https://www.kegg.jp/entry/2.3.1.31</t>
  </si>
  <si>
    <t>https://www.kegg.jp/entry/R01776</t>
  </si>
  <si>
    <t>https://www.kegg.jp/entry/2.3.1.35</t>
  </si>
  <si>
    <t>https://www.kegg.jp/entry/R02282</t>
  </si>
  <si>
    <t>https://www.kegg.jp/entry/2.3.1.1</t>
  </si>
  <si>
    <t>https://www.kegg.jp/entry/R00259</t>
  </si>
  <si>
    <t>https://www.kegg.jp/entry/2.3.1.39</t>
  </si>
  <si>
    <t>https://www.kegg.jp/entry/R01626</t>
  </si>
  <si>
    <t>https://www.kegg.jp/entry/2.3.1.41</t>
  </si>
  <si>
    <t>https://www.kegg.jp/entry/R02768/R04355/R04726/R04952/R04957/R04960/R04963/R04968/R07762/R10115/R10119</t>
  </si>
  <si>
    <t>https://www.kegg.jp/entry/2.3.1.54</t>
  </si>
  <si>
    <t>https://www.kegg.jp/entry/R00212/R06987</t>
  </si>
  <si>
    <t>https://www.kegg.jp/entry/2.3.1.8</t>
  </si>
  <si>
    <t>https://www.kegg.jp/entry/R00230/R00921</t>
  </si>
  <si>
    <t>https://www.kegg.jp/entry/2.3.1.89</t>
  </si>
  <si>
    <t>https://www.kegg.jp/entry/R04364</t>
  </si>
  <si>
    <t>https://www.kegg.jp/entry/2.3.3.10</t>
  </si>
  <si>
    <t>https://www.kegg.jp/entry/R01978</t>
  </si>
  <si>
    <t>https://www.kegg.jp/entry/2.3.3.16</t>
  </si>
  <si>
    <t>https://www.kegg.jp/entry/R00351</t>
  </si>
  <si>
    <t>https://www.kegg.jp/entry/2.4.1.208</t>
  </si>
  <si>
    <t>https://www.kegg.jp/entry/R05164</t>
  </si>
  <si>
    <t>https://www.kegg.jp/entry/2.4.1.337</t>
  </si>
  <si>
    <t>https://www.kegg.jp/entry/R10850/R12902</t>
  </si>
  <si>
    <t>https://www.kegg.jp/entry/2.4.1.227</t>
  </si>
  <si>
    <t>https://www.kegg.jp/entry/R05662/R06173/R05032/R06172/R06174</t>
  </si>
  <si>
    <t>https://www.kegg.jp/entry/2.4.1.25</t>
  </si>
  <si>
    <t>https://www.kegg.jp/entry/R05196/R06069</t>
  </si>
  <si>
    <t>n C00208</t>
  </si>
  <si>
    <t>C00015  C06364</t>
  </si>
  <si>
    <t>https://www.kegg.jp/entry/2.4.2.1</t>
  </si>
  <si>
    <t>https://www.kegg.jp/entry/R08368/R01561/R01863/R02147/R02297/R10244/R01969/R02557/R02748/R02294/R02295</t>
  </si>
  <si>
    <t>https://www.kegg.jp/entry/2.4.2.10</t>
  </si>
  <si>
    <t>https://www.kegg.jp/entry/R01870/R08231</t>
  </si>
  <si>
    <t>https://www.kegg.jp/entry/2.4.2.14</t>
  </si>
  <si>
    <t>https://www.kegg.jp/entry/R01072</t>
  </si>
  <si>
    <t>https://www.kegg.jp/entry/2.4.2.18</t>
  </si>
  <si>
    <t>https://www.kegg.jp/entry/R01073</t>
  </si>
  <si>
    <t>https://www.kegg.jp/entry/2.4.2.29</t>
  </si>
  <si>
    <t>https://www.kegg.jp/entry/R10209</t>
  </si>
  <si>
    <t>https://www.kegg.jp/entry/2.4.2.3</t>
  </si>
  <si>
    <t>https://www.kegg.jp/entry/R01876/R02484/R08229</t>
  </si>
  <si>
    <t>https://www.kegg.jp/entry/2.4.2.7</t>
  </si>
  <si>
    <t>https://www.kegg.jp/entry/R00190/R04378</t>
  </si>
  <si>
    <t>https://www.kegg.jp/entry/2.4.2.8</t>
  </si>
  <si>
    <t>https://www.kegg.jp/entry/R01132/R01229/R02142/R08237/R08238/R08245</t>
  </si>
  <si>
    <t>https://www.kegg.jp/entry/2.4.2.9</t>
  </si>
  <si>
    <t>https://www.kegg.jp/entry/R00966</t>
  </si>
  <si>
    <t>https://www.kegg.jp/entry/2.4.99.17</t>
  </si>
  <si>
    <t>https://www.kegg.jp/entry/R10220</t>
  </si>
  <si>
    <t>https://www.kegg.jp/entry/2.5.1.10</t>
  </si>
  <si>
    <t>https://www.kegg.jp/entry/R02003</t>
  </si>
  <si>
    <t>https://www.kegg.jp/entry/2.5.1.15</t>
  </si>
  <si>
    <t>https://www.kegg.jp/entry/R03067/R03066</t>
  </si>
  <si>
    <t>https://www.kegg.jp/entry/2.5.1.18</t>
  </si>
  <si>
    <t>https://www.kegg.jp/entry/R03522/R07093/R07094/R07100/R07113/R07116/R08511/R08512/R07002/R07003/R07004/R07023/R07024/R07025/R07026/R07069/R07070/R07083/R07084/R07091/R07092/R08280/R09409/R11905</t>
  </si>
  <si>
    <t>https://www.kegg.jp/entry/2.5.1.19</t>
  </si>
  <si>
    <t>https://www.kegg.jp/entry/R03460</t>
  </si>
  <si>
    <t>https://www.kegg.jp/entry/2.5.1.31</t>
  </si>
  <si>
    <t>https://www.kegg.jp/entry/R06447</t>
  </si>
  <si>
    <t>https://www.kegg.jp/entry/2.5.1.47</t>
  </si>
  <si>
    <t>https://www.kegg.jp/entry/R00897/R03601/R04859/R07274</t>
  </si>
  <si>
    <t>https://www.kegg.jp/entry/4.4.1.1</t>
  </si>
  <si>
    <t>https://www.kegg.jp/entry/R01001/R08632/R00782/R02408/R04770/R04930/R09366</t>
  </si>
  <si>
    <t>https://www.kegg.jp/entry/2.5.1.48</t>
  </si>
  <si>
    <t>https://www.kegg.jp/entry/R03260/R00999/R01288/R02508/R03217/R04944/R04945/R04946</t>
  </si>
  <si>
    <t>https://www.kegg.jp/entry/2.5.1.49</t>
  </si>
  <si>
    <t>https://www.kegg.jp/entry/R00651/R01287/R04859</t>
  </si>
  <si>
    <t>https://www.kegg.jp/entry/2.5.1.6</t>
  </si>
  <si>
    <t>https://www.kegg.jp/entry/R00177/R04771</t>
  </si>
  <si>
    <t>https://www.kegg.jp/entry/R00660</t>
  </si>
  <si>
    <t>https://www.kegg.jp/entry/2.5.1.75</t>
  </si>
  <si>
    <t>https://www.kegg.jp/entry/R01122</t>
  </si>
  <si>
    <t>https://www.kegg.jp/entry/2.6.1.1</t>
  </si>
  <si>
    <t>https://www.kegg.jp/entry/R00355/R00694/R00734/R00895/R00896/R02433/R02619/R05052</t>
  </si>
  <si>
    <t>https://www.kegg.jp/entry/2.6.1.11</t>
  </si>
  <si>
    <t>https://www.kegg.jp/entry/R02283</t>
  </si>
  <si>
    <t>https://www.kegg.jp/entry/2.6.1.16</t>
  </si>
  <si>
    <t>https://www.kegg.jp/entry/R00768</t>
  </si>
  <si>
    <t>https://www.kegg.jp/entry/2.6.1.42</t>
  </si>
  <si>
    <t>https://www.kegg.jp/entry/R01090/R01214/R02199/R10991</t>
  </si>
  <si>
    <t>https://www.kegg.jp/entry/2.6.1.52</t>
  </si>
  <si>
    <t>https://www.kegg.jp/entry/R04173/R05085</t>
  </si>
  <si>
    <t>https://www.kegg.jp/entry/2.6.1.85</t>
  </si>
  <si>
    <t>https://www.kegg.jp/entry/R00256/R01716/R05552</t>
  </si>
  <si>
    <t>https://www.kegg.jp/entry/4.1.3.38</t>
  </si>
  <si>
    <t>https://www.kegg.jp/entry/R05553</t>
  </si>
  <si>
    <t>C11355</t>
  </si>
  <si>
    <t>https://www.kegg.jp/entry/4.1.3.27</t>
  </si>
  <si>
    <t>https://www.kegg.jp/entry/R00986/R00985</t>
  </si>
  <si>
    <t>https://www.kegg.jp/entry/2.7.1.107</t>
  </si>
  <si>
    <t>https://www.kegg.jp/entry/R02240</t>
  </si>
  <si>
    <t>https://www.kegg.jp/entry/2.7.1.11</t>
  </si>
  <si>
    <t>https://www.kegg.jp/entry/R04779/R00756/R00767/R00769/R00770/R01843/R03236/R03237/R03238/R03239</t>
  </si>
  <si>
    <t>https://www.kegg.jp/entry/2.7.1.180</t>
  </si>
  <si>
    <t>https://www.kegg.jp/entry/R10613</t>
  </si>
  <si>
    <t>https://www.kegg.jp/entry/2.7.1.2</t>
  </si>
  <si>
    <t>https://www.kegg.jp/entry/R00299/R01600/R01786</t>
  </si>
  <si>
    <t>https://www.kegg.jp/entry/2.7.1.59</t>
  </si>
  <si>
    <t>https://www.kegg.jp/entry/R01201</t>
  </si>
  <si>
    <t>https://www.kegg.jp/entry/2.7.1.21</t>
  </si>
  <si>
    <t>https://www.kegg.jp/entry/R01567/R02099/R08233</t>
  </si>
  <si>
    <t>https://www.kegg.jp/entry/2.7.1.23</t>
  </si>
  <si>
    <t>https://www.kegg.jp/entry/R00104</t>
  </si>
  <si>
    <t>https://www.kegg.jp/entry/2.7.1.24</t>
  </si>
  <si>
    <t>https://www.kegg.jp/entry/R00130</t>
  </si>
  <si>
    <t>https://www.kegg.jp/entry/2.7.1.26</t>
  </si>
  <si>
    <t>https://www.kegg.jp/entry/R00549</t>
  </si>
  <si>
    <t>https://www.kegg.jp/entry/2.7.7.2</t>
  </si>
  <si>
    <t>https://www.kegg.jp/entry/R00161</t>
  </si>
  <si>
    <t>https://www.kegg.jp/entry/2.7.1.31</t>
  </si>
  <si>
    <t>https://www.kegg.jp/entry/R01514</t>
  </si>
  <si>
    <t>https://www.kegg.jp/entry/2.7.1.33</t>
  </si>
  <si>
    <t>https://www.kegg.jp/entry/R03018/R02971/R04391</t>
  </si>
  <si>
    <t>https://www.kegg.jp/entry/2.7.1.35</t>
  </si>
  <si>
    <t>https://www.kegg.jp/entry/R00174/R01909/R02493</t>
  </si>
  <si>
    <t>https://www.kegg.jp/entry/2.7.1.36</t>
  </si>
  <si>
    <t>https://www.kegg.jp/entry/R02245</t>
  </si>
  <si>
    <t>https://www.kegg.jp/entry/2.7.1.39</t>
  </si>
  <si>
    <t>https://www.kegg.jp/entry/R01771</t>
  </si>
  <si>
    <t>https://www.kegg.jp/entry/2.7.1.4</t>
  </si>
  <si>
    <t>https://www.kegg.jp/entry/R00760/R00867/R03920</t>
  </si>
  <si>
    <t>https://www.kegg.jp/entry/2.7.1.40</t>
  </si>
  <si>
    <t>https://www.kegg.jp/entry/R00200/R00430/R00572/R00659/R00724/R01138/R01858/R02320</t>
  </si>
  <si>
    <t>https://www.kegg.jp/entry/2.7.1.48</t>
  </si>
  <si>
    <t>https://www.kegg.jp/entry/R00513/R00964/R00517/R00968/R08232</t>
  </si>
  <si>
    <t>https://www.kegg.jp/entry/2.7.1.56</t>
  </si>
  <si>
    <t>https://www.kegg.jp/entry/R13203/R02071/R03236</t>
  </si>
  <si>
    <t>https://www.kegg.jp/entry/2.7.1.6</t>
  </si>
  <si>
    <t>https://www.kegg.jp/entry/R01092</t>
  </si>
  <si>
    <t>https://www.kegg.jp/entry/2.7.1.66</t>
  </si>
  <si>
    <t>https://www.kegg.jp/entry/R05626</t>
  </si>
  <si>
    <t>https://www.kegg.jp/entry/2.7.1.71</t>
  </si>
  <si>
    <t>https://www.kegg.jp/entry/R02412</t>
  </si>
  <si>
    <t>https://www.kegg.jp/entry/2.7.11.1</t>
  </si>
  <si>
    <t>https://www.kegg.jp/entry/R00162/R03632</t>
  </si>
  <si>
    <t>https://www.kegg.jp/entry/2.7.13.3</t>
  </si>
  <si>
    <t>https://www.kegg.jp/entry/2.7.2.1</t>
  </si>
  <si>
    <t>https://www.kegg.jp/entry/R00315/R01353</t>
  </si>
  <si>
    <t>https://www.kegg.jp/entry/2.7.2.11</t>
  </si>
  <si>
    <t>https://www.kegg.jp/entry/R00239</t>
  </si>
  <si>
    <t>https://www.kegg.jp/entry/2.7.2.3</t>
  </si>
  <si>
    <t>https://www.kegg.jp/entry/R01512</t>
  </si>
  <si>
    <t>https://www.kegg.jp/entry/2.7.2.4</t>
  </si>
  <si>
    <t>https://www.kegg.jp/entry/R00480</t>
  </si>
  <si>
    <t>https://www.kegg.jp/entry/2.7.2.8</t>
  </si>
  <si>
    <t>https://www.kegg.jp/entry/R02649</t>
  </si>
  <si>
    <t>https://www.kegg.jp/entry/2.7.3.9</t>
  </si>
  <si>
    <t>https://www.kegg.jp/entry/R02628</t>
  </si>
  <si>
    <t>https://www.kegg.jp/entry/2.7.4.2</t>
  </si>
  <si>
    <t>https://www.kegg.jp/entry/R03245</t>
  </si>
  <si>
    <t>https://www.kegg.jp/entry/2.7.4.22</t>
  </si>
  <si>
    <t>https://www.kegg.jp/entry/R00158</t>
  </si>
  <si>
    <t>https://www.kegg.jp/entry/2.7.4.25</t>
  </si>
  <si>
    <t>https://www.kegg.jp/entry/R00512/R01665</t>
  </si>
  <si>
    <t>https://www.kegg.jp/entry/2.7.4.3</t>
  </si>
  <si>
    <t>https://www.kegg.jp/entry/R00127/R01547/R11319</t>
  </si>
  <si>
    <t>2 C00008</t>
  </si>
  <si>
    <t>https://www.kegg.jp/entry/2.7.4.6</t>
  </si>
  <si>
    <t>https://www.kegg.jp/entry/R00331/R00124/R00139/R00156/R00330/R00570/R00722/R01137/R01857/R02093/R02326/R02331/R03530/R12853/R11894/R11895</t>
  </si>
  <si>
    <t>https://www.kegg.jp/entry/2.7.4.7</t>
  </si>
  <si>
    <t>https://www.kegg.jp/entry/R04509</t>
  </si>
  <si>
    <t>https://www.kegg.jp/entry/2.7.4.8</t>
  </si>
  <si>
    <t>https://www.kegg.jp/entry/R00332/R02090/R12852</t>
  </si>
  <si>
    <t>https://www.kegg.jp/entry/2.7.4.9</t>
  </si>
  <si>
    <t>https://www.kegg.jp/entry/R02094/R02098</t>
  </si>
  <si>
    <t>https://www.kegg.jp/entry/2.7.6.1</t>
  </si>
  <si>
    <t>https://www.kegg.jp/entry/R01049</t>
  </si>
  <si>
    <t>https://www.kegg.jp/entry/2.7.6.2</t>
  </si>
  <si>
    <t>https://www.kegg.jp/entry/R00619</t>
  </si>
  <si>
    <t>https://www.kegg.jp/entry/2.7.6.3</t>
  </si>
  <si>
    <t>https://www.kegg.jp/entry/R03503</t>
  </si>
  <si>
    <t>https://www.kegg.jp/entry/2.7.6.5</t>
  </si>
  <si>
    <t>https://www.kegg.jp/entry/R00429</t>
  </si>
  <si>
    <t>https://www.kegg.jp/entry/3.1.7.2</t>
  </si>
  <si>
    <t>https://www.kegg.jp/entry/R00336</t>
  </si>
  <si>
    <t>https://www.kegg.jp/entry/2.7.7.1</t>
  </si>
  <si>
    <t>https://www.kegg.jp/entry/R00137/R03005</t>
  </si>
  <si>
    <t>https://www.kegg.jp/entry/2.7.7.22</t>
  </si>
  <si>
    <t>https://www.kegg.jp/entry/R00883</t>
  </si>
  <si>
    <t>https://www.kegg.jp/entry/2.7.7.12</t>
  </si>
  <si>
    <t>https://www.kegg.jp/entry/R00955</t>
  </si>
  <si>
    <t>https://www.kegg.jp/entry/2.7.7.23</t>
  </si>
  <si>
    <t>https://www.kegg.jp/entry/R00416</t>
  </si>
  <si>
    <t>https://www.kegg.jp/entry/2.3.1.157</t>
  </si>
  <si>
    <t>https://www.kegg.jp/entry/R05332</t>
  </si>
  <si>
    <t>https://www.kegg.jp/entry/2.7.7.24</t>
  </si>
  <si>
    <t>https://www.kegg.jp/entry/R02328</t>
  </si>
  <si>
    <t>https://www.kegg.jp/entry/2.7.7.3</t>
  </si>
  <si>
    <t>https://www.kegg.jp/entry/R03035</t>
  </si>
  <si>
    <t>https://www.kegg.jp/entry/2.7.7.41</t>
  </si>
  <si>
    <t>https://www.kegg.jp/entry/R01799</t>
  </si>
  <si>
    <t>https://www.kegg.jp/entry/2.7.7.6</t>
  </si>
  <si>
    <t>https://www.kegg.jp/entry/R00444/R00435/R00441/R00442/R00443/R10813</t>
  </si>
  <si>
    <t>https://www.kegg.jp/entry/2.7.7.7</t>
  </si>
  <si>
    <t>https://www.kegg.jp/entry/R00379/R00375/R00376/R00377/R00378/R11029</t>
  </si>
  <si>
    <t>https://www.kegg.jp/entry/2.7.7.72</t>
  </si>
  <si>
    <t>https://www.kegg.jp/entry/R09382/R09383/R09384/R09386</t>
  </si>
  <si>
    <t>https://www.kegg.jp/entry/2.7.7.8</t>
  </si>
  <si>
    <t>https://www.kegg.jp/entry/R07282/R00437/R00438/R00439/R00440</t>
  </si>
  <si>
    <t>https://www.kegg.jp/entry/3.1.13.1</t>
  </si>
  <si>
    <t>https://www.kegg.jp/entry/2.7.7.85</t>
  </si>
  <si>
    <t>https://www.kegg.jp/entry/R10342</t>
  </si>
  <si>
    <t xml:space="preserve">2 C00002 </t>
  </si>
  <si>
    <t>https://www.kegg.jp/entry/2.7.7.9</t>
  </si>
  <si>
    <t>https://www.kegg.jp/entry/R00289</t>
  </si>
  <si>
    <t>https://www.kegg.jp/entry/2.7.8.13</t>
  </si>
  <si>
    <t>https://www.kegg.jp/entry/R05629/R05630</t>
  </si>
  <si>
    <t>https://www.kegg.jp/entry/2.7.8.5</t>
  </si>
  <si>
    <t>https://www.kegg.jp/entry/R01801</t>
  </si>
  <si>
    <t>https://www.kegg.jp/entry/2.7.8.7</t>
  </si>
  <si>
    <t>https://www.kegg.jp/entry/R01625</t>
  </si>
  <si>
    <t>https://www.kegg.jp/entry/2.8.1.13</t>
  </si>
  <si>
    <t>https://www.kegg.jp/entry/R08700</t>
  </si>
  <si>
    <t>https://www.kegg.jp/entry/2.8.1.4</t>
  </si>
  <si>
    <t>https://www.kegg.jp/entry/R03923/R07461</t>
  </si>
  <si>
    <t>https://www.kegg.jp/entry/2.8.1.7</t>
  </si>
  <si>
    <t>https://www.kegg.jp/entry/R07460/R11528/R11529</t>
  </si>
  <si>
    <t>https://www.kegg.jp/entry/3.6.4.12</t>
  </si>
  <si>
    <t>https://www.kegg.jp/entry/3.1.1.29</t>
  </si>
  <si>
    <t>https://www.kegg.jp/entry/R04238</t>
  </si>
  <si>
    <t>https://www.kegg.jp/entry/3.1.2.6</t>
  </si>
  <si>
    <t>https://www.kegg.jp/entry/R04090/R01736</t>
  </si>
  <si>
    <t>https://www.kegg.jp/entry/5.2.1.8</t>
  </si>
  <si>
    <t>https://www.kegg.jp/entry/R04273</t>
  </si>
  <si>
    <t>C03798</t>
  </si>
  <si>
    <t>C03633</t>
  </si>
  <si>
    <t>https://www.kegg.jp/entry/3.1.3.15</t>
  </si>
  <si>
    <t>https://www.kegg.jp/entry/R03013</t>
  </si>
  <si>
    <t>https://www.kegg.jp/entry/3.1.3.16</t>
  </si>
  <si>
    <t>https://www.kegg.jp/entry/R00164</t>
  </si>
  <si>
    <t>https://www.kegg.jp/entry/3.1.3.18</t>
  </si>
  <si>
    <t>https://www.kegg.jp/entry/R01334</t>
  </si>
  <si>
    <t>https://www.kegg.jp/entry/3.1.3.25</t>
  </si>
  <si>
    <t>https://www.kegg.jp/entry/R07343/R01185/R01186/R01187</t>
  </si>
  <si>
    <t>https://www.kegg.jp/entry/3.1.3.27</t>
  </si>
  <si>
    <t>https://www.kegg.jp/entry/R02029</t>
  </si>
  <si>
    <t>https://www.kegg.jp/entry/3.1.3.3</t>
  </si>
  <si>
    <t>https://www.kegg.jp/entry/R00582/R02853</t>
  </si>
  <si>
    <t>https://www.kegg.jp/entry/3.1.3.48</t>
  </si>
  <si>
    <t>https://www.kegg.jp/entry/R02585</t>
  </si>
  <si>
    <t>https://www.kegg.jp/entry/3.1.3.5</t>
  </si>
  <si>
    <t>https://www.kegg.jp/entry/R07297/R00183/R00511/R00963/R01126/R01227/R02323/R02719/R03346/R01569/R01664/R01968/R02088/R02102/R12958</t>
  </si>
  <si>
    <t>https://www.kegg.jp/entry/3.1.3.90</t>
  </si>
  <si>
    <t>https://www.kegg.jp/entry/R10486</t>
  </si>
  <si>
    <t>https://www.kegg.jp/entry/3.1.7.1</t>
  </si>
  <si>
    <t>https://www.kegg.jp/entry/R03541</t>
  </si>
  <si>
    <t>https://www.kegg.jp/entry/3.6.1.13</t>
  </si>
  <si>
    <t>https://www.kegg.jp/entry/R01054</t>
  </si>
  <si>
    <t>https://www.kegg.jp/entry/3.2.1.1</t>
  </si>
  <si>
    <t>https://www.kegg.jp/entry/R02108/R02112/R06209/R11262</t>
  </si>
  <si>
    <t>https://www.kegg.jp/entry/3.2.1.11</t>
  </si>
  <si>
    <t>https://www.kegg.jp/entry/R11309</t>
  </si>
  <si>
    <t xml:space="preserve">C00372 </t>
  </si>
  <si>
    <t>C00252</t>
  </si>
  <si>
    <t>https://www.kegg.jp/entry/3.2.1.23</t>
  </si>
  <si>
    <t>https://www.kegg.jp/entry/R01100/R01105/R01678/R03355/R04633/R04783/R05112/R05994/R06010/R06098/R06099/R06114/R06144/R06202/R07807</t>
  </si>
  <si>
    <t>https://www.kegg.jp/entry/3.2.1.26</t>
  </si>
  <si>
    <t>https://www.kegg.jp/entry/R00801/R00802/R02410/R03635/R03921/R06087/R06088/R06100/R06101/R06102</t>
  </si>
  <si>
    <t>https://www.kegg.jp/entry/3.2.2.20</t>
  </si>
  <si>
    <t>https://www.kegg.jp/entry/3.2.2.23</t>
  </si>
  <si>
    <t>https://www.kegg.jp/entry/3.2.2.27</t>
  </si>
  <si>
    <t>https://www.kegg.jp/entry/3.2.2.31</t>
  </si>
  <si>
    <t>https://www.kegg.jp/entry/3.2.2.9</t>
  </si>
  <si>
    <t>https://www.kegg.jp/entry/R00194/R01401/R12621</t>
  </si>
  <si>
    <t>https://www.kegg.jp/entry/3.4.11.2</t>
  </si>
  <si>
    <t>https://www.kegg.jp/entry/R00899/R04951</t>
  </si>
  <si>
    <t>https://www.kegg.jp/entry/3.5.1.1</t>
  </si>
  <si>
    <t>https://www.kegg.jp/entry/R00485/R06134</t>
  </si>
  <si>
    <t>https://www.kegg.jp/entry/3.5.1.14</t>
  </si>
  <si>
    <t>https://www.kegg.jp/entry/R01263/R00669/R10553</t>
  </si>
  <si>
    <t>C02850 = C00001</t>
  </si>
  <si>
    <t>https://www.kegg.jp/entry/3.5.1.19</t>
  </si>
  <si>
    <t>https://www.kegg.jp/entry/R01268/R06134</t>
  </si>
  <si>
    <t>https://www.kegg.jp/entry/3.5.1.25</t>
  </si>
  <si>
    <t>https://www.kegg.jp/entry/R02059</t>
  </si>
  <si>
    <t>https://www.kegg.jp/entry/3.5.1.3</t>
  </si>
  <si>
    <t>https://www.kegg.jp/entry/R03804/R00269/R00348/R06134</t>
  </si>
  <si>
    <t>https://www.kegg.jp/entry/3.5.1.4</t>
  </si>
  <si>
    <t>https://www.kegg.jp/entry/R03909/R00321/R02540/R03096/R03180/R05551/R05590/R06134</t>
  </si>
  <si>
    <t>https://www.kegg.jp/entry/3.5.1.47</t>
  </si>
  <si>
    <t>https://www.kegg.jp/entry/R02733</t>
  </si>
  <si>
    <t>https://www.kegg.jp/entry/3.5.1.5</t>
  </si>
  <si>
    <t>https://www.kegg.jp/entry/R12185/R13420/R13421/R00131/R06134</t>
  </si>
  <si>
    <t>https://www.kegg.jp/entry/3.5.1.88</t>
  </si>
  <si>
    <t>https://www.kegg.jp/entry/R05635/R04268</t>
  </si>
  <si>
    <t>https://www.kegg.jp/entry/3.5.2.3</t>
  </si>
  <si>
    <t>https://www.kegg.jp/entry/R01993</t>
  </si>
  <si>
    <t>C00438</t>
  </si>
  <si>
    <t>https://www.kegg.jp/entry/3.5.3.11</t>
  </si>
  <si>
    <t>https://www.kegg.jp/entry/R01157</t>
  </si>
  <si>
    <t>https://www.kegg.jp/entry/3.5.4.12</t>
  </si>
  <si>
    <t>https://www.kegg.jp/entry/R01663</t>
  </si>
  <si>
    <t>https://www.kegg.jp/entry/3.5.4.16</t>
  </si>
  <si>
    <t>https://www.kegg.jp/entry/R00424/R00428/R04639/R05046/R05048</t>
  </si>
  <si>
    <t>https://www.kegg.jp/entry/3.5.4.33</t>
  </si>
  <si>
    <t>https://www.kegg.jp/entry/R10223</t>
  </si>
  <si>
    <t>https://www.kegg.jp/entry/3.5.4.4</t>
  </si>
  <si>
    <t>https://www.kegg.jp/entry/R01560/R02556</t>
  </si>
  <si>
    <t>https://www.kegg.jp/entry/3.5.4.5</t>
  </si>
  <si>
    <t>https://www.kegg.jp/entry/R01878/R02485/R08221</t>
  </si>
  <si>
    <t>https://www.kegg.jp/entry/3.5.99.10</t>
  </si>
  <si>
    <t>https://www.kegg.jp/entry/R11098/R11099</t>
  </si>
  <si>
    <t>https://www.kegg.jp/entry/3.5.99.6</t>
  </si>
  <si>
    <t>https://www.kegg.jp/entry/R00765</t>
  </si>
  <si>
    <t>https://www.kegg.jp/entry/3.6.1.23</t>
  </si>
  <si>
    <t>https://www.kegg.jp/entry/R02100/R11896</t>
  </si>
  <si>
    <t>https://www.kegg.jp/entry/3.6.1.27</t>
  </si>
  <si>
    <t>https://www.kegg.jp/entry/R05627</t>
  </si>
  <si>
    <t>https://www.kegg.jp/entry/3.6.1.29</t>
  </si>
  <si>
    <t>https://www.kegg.jp/entry/R00187</t>
  </si>
  <si>
    <t>https://www.kegg.jp/entry/3.6.1.55</t>
  </si>
  <si>
    <t>https://www.kegg.jp/entry/R09832</t>
  </si>
  <si>
    <t>https://www.kegg.jp/entry/3.6.1.7</t>
  </si>
  <si>
    <t>https://www.kegg.jp/entry/R00539/R00317/R01421/R01515</t>
  </si>
  <si>
    <t>https://www.kegg.jp/entry/3.8.1.2</t>
  </si>
  <si>
    <t>https://www.kegg.jp/entry/R03830/R05287</t>
  </si>
  <si>
    <t>https://www.kegg.jp/entry/4.1.1.20</t>
  </si>
  <si>
    <t>https://www.kegg.jp/entry/R00451</t>
  </si>
  <si>
    <t xml:space="preserve">C00680 </t>
  </si>
  <si>
    <t>https://www.kegg.jp/entry/4.1.1.23</t>
  </si>
  <si>
    <t>https://www.kegg.jp/entry/R00965</t>
  </si>
  <si>
    <t>C01103</t>
  </si>
  <si>
    <t>https://www.kegg.jp/entry/4.1.1.31</t>
  </si>
  <si>
    <t>https://www.kegg.jp/entry/R00345</t>
  </si>
  <si>
    <t>https://www.kegg.jp/entry/4.1.1.33</t>
  </si>
  <si>
    <t>https://www.kegg.jp/entry/R01121</t>
  </si>
  <si>
    <t>https://www.kegg.jp/entry/4.1.1.36</t>
  </si>
  <si>
    <t>https://www.kegg.jp/entry/R03269</t>
  </si>
  <si>
    <t>C04352</t>
  </si>
  <si>
    <t>https://www.kegg.jp/entry/4.1.1.48</t>
  </si>
  <si>
    <t>https://www.kegg.jp/entry/R03508</t>
  </si>
  <si>
    <t xml:space="preserve">C01302 </t>
  </si>
  <si>
    <t>https://www.kegg.jp/entry/4.1.1.5</t>
  </si>
  <si>
    <t>https://www.kegg.jp/entry/R02948</t>
  </si>
  <si>
    <t>C06010</t>
  </si>
  <si>
    <t>https://www.kegg.jp/entry/4.1.2.13</t>
  </si>
  <si>
    <t>https://www.kegg.jp/entry/R01068/R01070/R01829/R02568</t>
  </si>
  <si>
    <t xml:space="preserve">C00354 </t>
  </si>
  <si>
    <t>https://www.kegg.jp/entry/4.1.2.25</t>
  </si>
  <si>
    <t>https://www.kegg.jp/entry/R03504</t>
  </si>
  <si>
    <t>C04874</t>
  </si>
  <si>
    <t>https://www.kegg.jp/entry/4.1.99.3</t>
  </si>
  <si>
    <t>https://www.kegg.jp/entry/R00034/R08765</t>
  </si>
  <si>
    <t xml:space="preserve">C03103 </t>
  </si>
  <si>
    <t>https://www.kegg.jp/entry/4.2.1.1</t>
  </si>
  <si>
    <t>https://www.kegg.jp/entry/R00132/R10092</t>
  </si>
  <si>
    <t xml:space="preserve">C01353 </t>
  </si>
  <si>
    <t>https://www.kegg.jp/entry/4.2.1.10</t>
  </si>
  <si>
    <t>https://www.kegg.jp/entry/R03084</t>
  </si>
  <si>
    <t xml:space="preserve">C00944 </t>
  </si>
  <si>
    <t>https://www.kegg.jp/entry/4.2.1.11</t>
  </si>
  <si>
    <t>https://www.kegg.jp/entry/R00658/R04206</t>
  </si>
  <si>
    <t xml:space="preserve">C00631 </t>
  </si>
  <si>
    <t>https://www.kegg.jp/entry/4.2.1.136</t>
  </si>
  <si>
    <t>https://www.kegg.jp/entry/R10267/R10268</t>
  </si>
  <si>
    <t>https://www.kegg.jp/entry/4.2.1.20</t>
  </si>
  <si>
    <t>https://www.kegg.jp/entry/R00674/R02340/R02722</t>
  </si>
  <si>
    <t>https://www.kegg.jp/entry/4.2.1.3</t>
  </si>
  <si>
    <t>https://www.kegg.jp/entry/R01324/R01325/R01900</t>
  </si>
  <si>
    <t xml:space="preserve">C00158 </t>
  </si>
  <si>
    <t>C00311</t>
  </si>
  <si>
    <t>https://www.kegg.jp/entry/4.2.1.33</t>
  </si>
  <si>
    <t>https://www.kegg.jp/entry/R03968/R04001/R10170</t>
  </si>
  <si>
    <t xml:space="preserve">C02504 </t>
  </si>
  <si>
    <t>https://www.kegg.jp/entry/4.2.1.34</t>
  </si>
  <si>
    <t>https://www.kegg.jp/entry/R03693</t>
  </si>
  <si>
    <t xml:space="preserve">C02614 </t>
  </si>
  <si>
    <t>https://www.kegg.jp/entry/4.2.1.46</t>
  </si>
  <si>
    <t>https://www.kegg.jp/entry/R06513</t>
  </si>
  <si>
    <t xml:space="preserve">C00842 </t>
  </si>
  <si>
    <t>https://www.kegg.jp/entry/4.2.1.49</t>
  </si>
  <si>
    <t>https://www.kegg.jp/entry/R02914</t>
  </si>
  <si>
    <t xml:space="preserve">C03680 </t>
  </si>
  <si>
    <t>https://www.kegg.jp/entry/4.2.1.51</t>
  </si>
  <si>
    <t>https://www.kegg.jp/entry/R01373/R00691</t>
  </si>
  <si>
    <t>C00254</t>
  </si>
  <si>
    <t>https://www.kegg.jp/entry/4.2.1.59</t>
  </si>
  <si>
    <t>https://www.kegg.jp/entry/R10208/R04428/R04535/R04537/R04544/R04568/R04954/R04965/R10117/R10121</t>
  </si>
  <si>
    <t>C01271</t>
  </si>
  <si>
    <t>https://www.kegg.jp/entry/4.2.1.70</t>
  </si>
  <si>
    <t>https://www.kegg.jp/entry/R01055</t>
  </si>
  <si>
    <t>https://www.kegg.jp/entry/4.2.1.9</t>
  </si>
  <si>
    <t>https://www.kegg.jp/entry/R01209/R04441/R05070</t>
  </si>
  <si>
    <t xml:space="preserve">C04039 </t>
  </si>
  <si>
    <t>https://www.kegg.jp/entry/4.2.3.1</t>
  </si>
  <si>
    <t>https://www.kegg.jp/entry/R01466/R05086</t>
  </si>
  <si>
    <t>https://www.kegg.jp/entry/4.2.3.4</t>
  </si>
  <si>
    <t>https://www.kegg.jp/entry/R03083</t>
  </si>
  <si>
    <t>C04691</t>
  </si>
  <si>
    <t>https://www.kegg.jp/entry/4.2.3.5</t>
  </si>
  <si>
    <t>https://www.kegg.jp/entry/R01714</t>
  </si>
  <si>
    <t>C01269</t>
  </si>
  <si>
    <t>C00251</t>
  </si>
  <si>
    <t>https://www.kegg.jp/entry/4.2.99.18</t>
  </si>
  <si>
    <t>https://www.kegg.jp/entry/4.3.1.17</t>
  </si>
  <si>
    <t>https://www.kegg.jp/entry/R00220/R00590/R11099/R11100/R06131</t>
  </si>
  <si>
    <t>C00065</t>
  </si>
  <si>
    <t>https://www.kegg.jp/entry/4.3.1.18</t>
  </si>
  <si>
    <t>https://www.kegg.jp/entry/R00221/R06131</t>
  </si>
  <si>
    <t xml:space="preserve">C00740 </t>
  </si>
  <si>
    <t>https://www.kegg.jp/entry/4.3.1.19</t>
  </si>
  <si>
    <t>https://www.kegg.jp/entry/R00996/R11098/R11101/R00220/R06131</t>
  </si>
  <si>
    <t>C00188</t>
  </si>
  <si>
    <t>https://www.kegg.jp/entry/4.3.2.1</t>
  </si>
  <si>
    <t>https://www.kegg.jp/entry/R01086</t>
  </si>
  <si>
    <t xml:space="preserve">C03406 </t>
  </si>
  <si>
    <t>https://www.kegg.jp/entry/4.3.2.2</t>
  </si>
  <si>
    <t>https://www.kegg.jp/entry/R01083/R04559/R12851</t>
  </si>
  <si>
    <t>C03794</t>
  </si>
  <si>
    <t>https://www.kegg.jp/entry/4.3.3.7</t>
  </si>
  <si>
    <t>https://www.kegg.jp/entry/R10147</t>
  </si>
  <si>
    <t>https://www.kegg.jp/entry/4.3.99.3</t>
  </si>
  <si>
    <t>https://www.kegg.jp/entry/R10002</t>
  </si>
  <si>
    <t xml:space="preserve">C20239 </t>
  </si>
  <si>
    <t>https://www.kegg.jp/entry/4.4.1.2</t>
  </si>
  <si>
    <t>https://www.kegg.jp/entry/R01283/R08633</t>
  </si>
  <si>
    <t>https://www.kegg.jp/entry/4.4.1.21</t>
  </si>
  <si>
    <t>https://www.kegg.jp/entry/R01291</t>
  </si>
  <si>
    <t>C03539</t>
  </si>
  <si>
    <t>https://www.kegg.jp/entry/4.4.1.5</t>
  </si>
  <si>
    <t>https://www.kegg.jp/entry/R02530</t>
  </si>
  <si>
    <t>C03451</t>
  </si>
  <si>
    <t>https://www.kegg.jp/entry/4.4.1.8</t>
  </si>
  <si>
    <t>https://www.kegg.jp/entry/4.99.1.1</t>
  </si>
  <si>
    <t>https://www.kegg.jp/entry/5.1.1.1</t>
  </si>
  <si>
    <t>https://www.kegg.jp/entry/R00401</t>
  </si>
  <si>
    <t xml:space="preserve">C00041 </t>
  </si>
  <si>
    <t>C00133</t>
  </si>
  <si>
    <t>https://www.kegg.jp/entry/5.1.1.3</t>
  </si>
  <si>
    <t>https://www.kegg.jp/entry/R00260</t>
  </si>
  <si>
    <t xml:space="preserve">C00025 </t>
  </si>
  <si>
    <t>C00217</t>
  </si>
  <si>
    <t>https://www.kegg.jp/entry/5.1.3.1</t>
  </si>
  <si>
    <t>https://www.kegg.jp/entry/R01529</t>
  </si>
  <si>
    <t xml:space="preserve">C00199 </t>
  </si>
  <si>
    <t>C00231</t>
  </si>
  <si>
    <t>https://www.kegg.jp/entry/5.1.3.2</t>
  </si>
  <si>
    <t>https://www.kegg.jp/entry/R00291/R00418/R02984</t>
  </si>
  <si>
    <t>C00029</t>
  </si>
  <si>
    <t>C00052</t>
  </si>
  <si>
    <t>https://www.kegg.jp/entry/5.1.3.7</t>
  </si>
  <si>
    <t>https://www.kegg.jp/entry/R00418</t>
  </si>
  <si>
    <t>C00043</t>
  </si>
  <si>
    <t>C00203</t>
  </si>
  <si>
    <t>https://www.kegg.jp/entry/5.1.3.3</t>
  </si>
  <si>
    <t>https://www.kegg.jp/entry/R01602/R10619</t>
  </si>
  <si>
    <t>C00267</t>
  </si>
  <si>
    <t>C00221</t>
  </si>
  <si>
    <t xml:space="preserve">C03798 </t>
  </si>
  <si>
    <t>https://www.kegg.jp/entry/5.3.1.1</t>
  </si>
  <si>
    <t>https://www.kegg.jp/entry/R01015</t>
  </si>
  <si>
    <t xml:space="preserve">C00118 </t>
  </si>
  <si>
    <t>C00111</t>
  </si>
  <si>
    <t>https://www.kegg.jp/entry/5.3.1.24</t>
  </si>
  <si>
    <t>https://www.kegg.jp/entry/R03509</t>
  </si>
  <si>
    <t xml:space="preserve">C04302 </t>
  </si>
  <si>
    <t>C01302</t>
  </si>
  <si>
    <t>https://www.kegg.jp/entry/5.3.1.6</t>
  </si>
  <si>
    <t>https://www.kegg.jp/entry/R01056/R09030</t>
  </si>
  <si>
    <t>C00117</t>
  </si>
  <si>
    <t>C00199</t>
  </si>
  <si>
    <t>https://www.kegg.jp/entry/5.3.1.8</t>
  </si>
  <si>
    <t>https://www.kegg.jp/entry/R00772/R01819</t>
  </si>
  <si>
    <t>C00275</t>
  </si>
  <si>
    <t>C00085</t>
  </si>
  <si>
    <t>https://www.kegg.jp/entry/5.3.1.9</t>
  </si>
  <si>
    <t>https://www.kegg.jp/entry/R02740/R00771/R02739/R03321/R13199</t>
  </si>
  <si>
    <t xml:space="preserve">C00668 </t>
  </si>
  <si>
    <t>C05345</t>
  </si>
  <si>
    <t>https://www.kegg.jp/entry/5.3.3.14</t>
  </si>
  <si>
    <t>https://www.kegg.jp/entry/R07639</t>
  </si>
  <si>
    <t>C05754</t>
  </si>
  <si>
    <t>C04180</t>
  </si>
  <si>
    <t>https://www.kegg.jp/entry/5.3.3.2</t>
  </si>
  <si>
    <t>https://www.kegg.jp/entry/R01123</t>
  </si>
  <si>
    <t>C00129</t>
  </si>
  <si>
    <t>C00235</t>
  </si>
  <si>
    <t>https://www.kegg.jp/entry/5.4.2.10</t>
  </si>
  <si>
    <t>https://www.kegg.jp/entry/R02060</t>
  </si>
  <si>
    <t>C06156</t>
  </si>
  <si>
    <t>C00352</t>
  </si>
  <si>
    <t>https://www.kegg.jp/entry/5.4.2.2</t>
  </si>
  <si>
    <t>https://www.kegg.jp/entry/R08639/R00959/R01057/R03319</t>
  </si>
  <si>
    <t>C00103</t>
  </si>
  <si>
    <t>C00092</t>
  </si>
  <si>
    <t>https://www.kegg.jp/entry/5.4.2.7</t>
  </si>
  <si>
    <t>https://www.kegg.jp/entry/R01057/R02749</t>
  </si>
  <si>
    <t>C00620</t>
  </si>
  <si>
    <t>https://www.kegg.jp/entry/5.4.99.12</t>
  </si>
  <si>
    <t>https://www.kegg.jp/entry/R03020</t>
  </si>
  <si>
    <t>C00868</t>
  </si>
  <si>
    <t>C02764</t>
  </si>
  <si>
    <t>https://www.kegg.jp/entry/5.4.99.18</t>
  </si>
  <si>
    <t>https://www.kegg.jp/entry/R07405</t>
  </si>
  <si>
    <t>C15667</t>
  </si>
  <si>
    <t>C04751</t>
  </si>
  <si>
    <t>https://www.kegg.jp/entry/5.4.99.25</t>
  </si>
  <si>
    <t>https://www.kegg.jp/entry/5.4.99.5</t>
  </si>
  <si>
    <t>https://www.kegg.jp/entry/R01715</t>
  </si>
  <si>
    <t>https://www.kegg.jp/entry/5.4.99.9</t>
  </si>
  <si>
    <t>https://www.kegg.jp/entry/R00505/R09009</t>
  </si>
  <si>
    <t>C03733</t>
  </si>
  <si>
    <t>https://www.kegg.jp/entry/5.6.2.1</t>
  </si>
  <si>
    <t>https://www.kegg.jp/entry/5.6.2.2</t>
  </si>
  <si>
    <t>https://www.kegg.jp/entry/6.1.1.1</t>
  </si>
  <si>
    <t>https://www.kegg.jp/entry/R02918</t>
  </si>
  <si>
    <t>https://www.kegg.jp/entry/6.1.1.10</t>
  </si>
  <si>
    <t>https://www.kegg.jp/entry/R03659/R04773</t>
  </si>
  <si>
    <t>https://www.kegg.jp/entry/6.1.1.11</t>
  </si>
  <si>
    <t>https://www.kegg.jp/entry/R03662/R08218</t>
  </si>
  <si>
    <t>https://www.kegg.jp/entry/6.1.1.12</t>
  </si>
  <si>
    <t>https://www.kegg.jp/entry/R05577</t>
  </si>
  <si>
    <t>https://www.kegg.jp/entry/6.1.1.14</t>
  </si>
  <si>
    <t>https://www.kegg.jp/entry/R03654</t>
  </si>
  <si>
    <t>https://www.kegg.jp/entry/6.1.1.15</t>
  </si>
  <si>
    <t>https://www.kegg.jp/entry/R03661</t>
  </si>
  <si>
    <t>https://www.kegg.jp/entry/6.1.1.16</t>
  </si>
  <si>
    <t>https://www.kegg.jp/entry/R03650</t>
  </si>
  <si>
    <t>https://www.kegg.jp/entry/6.1.1.17</t>
  </si>
  <si>
    <t>https://www.kegg.jp/entry/R05578</t>
  </si>
  <si>
    <t>https://www.kegg.jp/entry/6.1.1.24</t>
  </si>
  <si>
    <t>https://www.kegg.jp/entry/R03651/R05578</t>
  </si>
  <si>
    <t>https://www.kegg.jp/entry/6.1.1.19</t>
  </si>
  <si>
    <t>https://www.kegg.jp/entry/R03646</t>
  </si>
  <si>
    <t>https://www.kegg.jp/entry/6.1.1.2</t>
  </si>
  <si>
    <t>https://www.kegg.jp/entry/R03664</t>
  </si>
  <si>
    <t>https://www.kegg.jp/entry/6.1.1.20</t>
  </si>
  <si>
    <t>https://www.kegg.jp/entry/R03660</t>
  </si>
  <si>
    <t>https://www.kegg.jp/entry/6.1.1.21</t>
  </si>
  <si>
    <t>https://www.kegg.jp/entry/R03655</t>
  </si>
  <si>
    <t>https://www.kegg.jp/entry/6.1.1.22</t>
  </si>
  <si>
    <t>https://www.kegg.jp/entry/R03648</t>
  </si>
  <si>
    <t>https://www.kegg.jp/entry/6.1.1.3</t>
  </si>
  <si>
    <t>https://www.kegg.jp/entry/R03663</t>
  </si>
  <si>
    <t>https://www.kegg.jp/entry/6.1.1.4</t>
  </si>
  <si>
    <t>https://www.kegg.jp/entry/R03657</t>
  </si>
  <si>
    <t>https://www.kegg.jp/entry/6.1.1.5</t>
  </si>
  <si>
    <t>https://www.kegg.jp/entry/R03656</t>
  </si>
  <si>
    <t>https://www.kegg.jp/entry/6.1.1.6</t>
  </si>
  <si>
    <t>https://www.kegg.jp/entry/R03658</t>
  </si>
  <si>
    <t>https://www.kegg.jp/entry/6.1.1.7</t>
  </si>
  <si>
    <t>https://www.kegg.jp/entry/R03038</t>
  </si>
  <si>
    <t>https://www.kegg.jp/entry/6.1.1.9</t>
  </si>
  <si>
    <t>https://www.kegg.jp/entry/R03665</t>
  </si>
  <si>
    <t>https://www.kegg.jp/entry/6.2.1.54</t>
  </si>
  <si>
    <t>https://www.kegg.jp/entry/6.3.1.1</t>
  </si>
  <si>
    <t>https://www.kegg.jp/entry/R00483</t>
  </si>
  <si>
    <t>https://www.kegg.jp/entry/6.3.1.2</t>
  </si>
  <si>
    <t>https://www.kegg.jp/entry/R00253</t>
  </si>
  <si>
    <t>https://www.kegg.jp/entry/6.3.1.20</t>
  </si>
  <si>
    <t>https://www.kegg.jp/entry/R11143/R12433/R12449/R07770/R07771/R12429</t>
  </si>
  <si>
    <t>https://www.kegg.jp/entry/6.3.1.5</t>
  </si>
  <si>
    <t>https://www.kegg.jp/entry/R00189</t>
  </si>
  <si>
    <t>https://www.kegg.jp/entry/6.3.2.10</t>
  </si>
  <si>
    <t>https://www.kegg.jp/entry/R04573/R04617</t>
  </si>
  <si>
    <t>https://www.kegg.jp/entry/6.3.2.12</t>
  </si>
  <si>
    <t>https://www.kegg.jp/entry/R02237/R01654</t>
  </si>
  <si>
    <t>https://www.kegg.jp/entry/6.3.2.17</t>
  </si>
  <si>
    <t>https://www.kegg.jp/entry/R04241/R00942/R01654/R02237/R05197</t>
  </si>
  <si>
    <t>https://www.kegg.jp/entry/6.3.2.2</t>
  </si>
  <si>
    <t>https://www.kegg.jp/entry/R00894/R10993</t>
  </si>
  <si>
    <t>https://www.kegg.jp/entry/6.3.2.3</t>
  </si>
  <si>
    <t>https://www.kegg.jp/entry/R00497/R10994</t>
  </si>
  <si>
    <t>https://www.kegg.jp/entry/6.3.2.4</t>
  </si>
  <si>
    <t>https://www.kegg.jp/entry/R01150</t>
  </si>
  <si>
    <t>https://www.kegg.jp/entry/6.3.2.5</t>
  </si>
  <si>
    <t>https://www.kegg.jp/entry/R04231</t>
  </si>
  <si>
    <t>https://www.kegg.jp/entry/6.3.2.6</t>
  </si>
  <si>
    <t>https://www.kegg.jp/entry/R04591</t>
  </si>
  <si>
    <t>https://www.kegg.jp/entry/6.3.2.7</t>
  </si>
  <si>
    <t>https://www.kegg.jp/entry/R02786</t>
  </si>
  <si>
    <t>https://www.kegg.jp/entry/6.3.2.8</t>
  </si>
  <si>
    <t>https://www.kegg.jp/entry/R03193</t>
  </si>
  <si>
    <t>https://www.kegg.jp/entry/6.3.2.9</t>
  </si>
  <si>
    <t>https://www.kegg.jp/entry/R02783</t>
  </si>
  <si>
    <t>https://www.kegg.jp/entry/6.3.3.1</t>
  </si>
  <si>
    <t>https://www.kegg.jp/entry/R04208</t>
  </si>
  <si>
    <t>https://www.kegg.jp/entry/6.3.3.2</t>
  </si>
  <si>
    <t>https://www.kegg.jp/entry/R02301</t>
  </si>
  <si>
    <t>https://www.kegg.jp/entry/6.3.4.13</t>
  </si>
  <si>
    <t>https://www.kegg.jp/entry/R04144</t>
  </si>
  <si>
    <t>https://www.kegg.jp/entry/6.3.4.14</t>
  </si>
  <si>
    <t>https://www.kegg.jp/entry/R04385</t>
  </si>
  <si>
    <t>https://www.kegg.jp/entry/6.3.4.18</t>
  </si>
  <si>
    <t>https://www.kegg.jp/entry/R07404</t>
  </si>
  <si>
    <t>https://www.kegg.jp/entry/6.3.4.19</t>
  </si>
  <si>
    <t>https://www.kegg.jp/entry/R09597</t>
  </si>
  <si>
    <t>https://www.kegg.jp/entry/6.3.4.2</t>
  </si>
  <si>
    <t>https://www.kegg.jp/entry/R00256/R00571/R00573</t>
  </si>
  <si>
    <t>https://www.kegg.jp/entry/6.3.4.20</t>
  </si>
  <si>
    <t>https://www.kegg.jp/entry/R09978</t>
  </si>
  <si>
    <t>https://www.kegg.jp/entry/6.3.4.21</t>
  </si>
  <si>
    <t>https://www.kegg.jp/entry/R01724</t>
  </si>
  <si>
    <t>https://www.kegg.jp/entry/6.3.4.3</t>
  </si>
  <si>
    <t>https://www.kegg.jp/entry/R00943</t>
  </si>
  <si>
    <t>https://www.kegg.jp/entry/6.3.4.4</t>
  </si>
  <si>
    <t>https://www.kegg.jp/entry/R01135</t>
  </si>
  <si>
    <t>https://www.kegg.jp/entry/6.3.4.5</t>
  </si>
  <si>
    <t>https://www.kegg.jp/entry/R01954</t>
  </si>
  <si>
    <t>https://www.kegg.jp/entry/6.3.5.13</t>
  </si>
  <si>
    <t>https://www.kegg.jp/entry/R00256/R05030/R12330/R12331</t>
  </si>
  <si>
    <t>https://www.kegg.jp/entry/6.3.5.2</t>
  </si>
  <si>
    <t>https://www.kegg.jp/entry/R00256/R01230/R01231/R08244</t>
  </si>
  <si>
    <t>https://www.kegg.jp/entry/6.3.5.3</t>
  </si>
  <si>
    <t>https://www.kegg.jp/entry/R04463</t>
  </si>
  <si>
    <t>https://www.kegg.jp/entry/6.3.5.5</t>
  </si>
  <si>
    <t>https://www.kegg.jp/entry/R00256/R00575/R01395/R10948/R10949/R07641</t>
  </si>
  <si>
    <t>https://www.kegg.jp/entry/6.3.5.7</t>
  </si>
  <si>
    <t>https://www.kegg.jp/entry/R03905</t>
  </si>
  <si>
    <t>https://www.kegg.jp/entry/6.4.1.2</t>
  </si>
  <si>
    <t>https://www.kegg.jp/entry/R00742</t>
  </si>
  <si>
    <t>https://www.kegg.jp/entry/6.5.1.2</t>
  </si>
  <si>
    <t>https://www.kegg.jp/entry/R00382</t>
  </si>
  <si>
    <t>https://www.kegg.jp/entry/7.1.2.2</t>
  </si>
  <si>
    <t>https://www.kegg.jp/entry/R00086</t>
  </si>
  <si>
    <t>https://www.kegg.jp/entry/7.2.2.10</t>
  </si>
  <si>
    <t>https://www.kegg.jp/entry/7.6.2.11</t>
  </si>
  <si>
    <t>https://www.kegg.jp/entry/7.2.2.8</t>
  </si>
  <si>
    <t>https://www.kegg.jp/entry/1.6.99.3</t>
  </si>
  <si>
    <t>https://www.kegg.jp/entry/2.1.1.170</t>
  </si>
  <si>
    <t>https://www.kegg.jp/entry/3.1.21.3</t>
  </si>
  <si>
    <t>https://www.kegg.jp/entry/3.1.21.5</t>
  </si>
  <si>
    <t>https://www.kegg.jp/entry/3.1.22.4</t>
  </si>
  <si>
    <t>https://www.kegg.jp/entry/3.6.4.13</t>
  </si>
  <si>
    <t>https://www.kegg.jp/entry/3.4.23.36</t>
  </si>
  <si>
    <t>https://www.kegg.jp/entry/3.4.22.40</t>
  </si>
  <si>
    <t>https://www.kegg.jp/entry/3.4.21.89</t>
  </si>
  <si>
    <t>https://www.kegg.jp/entry/3.4.21.92</t>
  </si>
  <si>
    <t>https://www.kegg.jp/entry/3.4.21.53</t>
  </si>
  <si>
    <t>https://www.kegg.jp/entry/3.4.21.107</t>
  </si>
  <si>
    <t>https://www.kegg.jp/entry/3.4.16.5</t>
  </si>
  <si>
    <t>https://www.kegg.jp/entry/3.4.16.4</t>
  </si>
  <si>
    <t>https://www.kegg.jp/entry/3.4.14.11</t>
  </si>
  <si>
    <t>https://www.kegg.jp/entry/3.4.13.9</t>
  </si>
  <si>
    <t>https://www.kegg.jp/entry/3.4.11.4</t>
  </si>
  <si>
    <t>https://www.kegg.jp/entry/3.4.11.24</t>
  </si>
  <si>
    <t>https://www.kegg.jp/entry/3.4.11.18</t>
  </si>
  <si>
    <t>https://www.kegg.jp/entry/3.1.26.8</t>
  </si>
  <si>
    <t>https://www.kegg.jp/entry/3.1.26.5</t>
  </si>
  <si>
    <t>https://www.kegg.jp/entry/3.1.26.11</t>
  </si>
  <si>
    <t>https://www.kegg.jp/entry/3.1.26.3</t>
  </si>
  <si>
    <t>https://www.kegg.jp/entry/3.1.26.4</t>
  </si>
  <si>
    <t>https://www.kegg.jp/entry/3.1.11.7</t>
  </si>
  <si>
    <t>https://www.kegg.jp/entry/3.1.11.2</t>
  </si>
  <si>
    <t>https://www.kegg.jp/entry/3.1.11.6</t>
  </si>
  <si>
    <t>https://www.kegg.jp/entry/2.4.1.129</t>
  </si>
  <si>
    <t>https://www.kegg.jp/entry/2.1.1.264</t>
  </si>
  <si>
    <t>https://www.kegg.jp/entry/2.1.1.223</t>
  </si>
  <si>
    <t>https://www.kegg.jp/entry/2.1.1.217</t>
  </si>
  <si>
    <t>https://www.kegg.jp/entry/2.1.1.207</t>
  </si>
  <si>
    <t>https://www.kegg.jp/entry/2.1.1.199</t>
  </si>
  <si>
    <t>https://www.kegg.jp/entry/2.1.1.198</t>
  </si>
  <si>
    <t>https://www.kegg.jp/entry/2.1.1.193</t>
  </si>
  <si>
    <t>https://www.kegg.jp/entry/2.1.1.192</t>
  </si>
  <si>
    <t>https://www.kegg.jp/entry/2.1.1.176</t>
  </si>
  <si>
    <t>https://www.kegg.jp/entry/2.1.1.177</t>
  </si>
  <si>
    <t>No</t>
  </si>
  <si>
    <t xml:space="preserve">EC_number  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</si>
  <si>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</si>
  <si>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</si>
  <si>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</si>
  <si>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</si>
  <si>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</si>
  <si>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</si>
  <si>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</si>
  <si>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</si>
  <si>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</si>
  <si>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</si>
  <si>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</si>
  <si>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</si>
  <si>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1_1_1_1</t>
  </si>
  <si>
    <t>1_2_1_10</t>
  </si>
  <si>
    <t>1_1_1_100</t>
  </si>
  <si>
    <t>1_1_1_169</t>
  </si>
  <si>
    <t>1_1_1_205</t>
  </si>
  <si>
    <t>1_1_1_25</t>
  </si>
  <si>
    <t>1_1_1_27</t>
  </si>
  <si>
    <t>1_1_1_3</t>
  </si>
  <si>
    <t>1_1_1_303</t>
  </si>
  <si>
    <t>2_3_1_190</t>
  </si>
  <si>
    <t>1_1_1_304</t>
  </si>
  <si>
    <t>2_3_1_191</t>
  </si>
  <si>
    <t>1_1_1_42</t>
  </si>
  <si>
    <t>1_1_1_85</t>
  </si>
  <si>
    <t>1_1_1_86</t>
  </si>
  <si>
    <t>1_1_1_88</t>
  </si>
  <si>
    <t>1_1_1_94</t>
  </si>
  <si>
    <t>1_1_1_95</t>
  </si>
  <si>
    <t>1_11_1_15</t>
  </si>
  <si>
    <t>1_15_1_1</t>
  </si>
  <si>
    <t>1_17_1_8</t>
  </si>
  <si>
    <t>1_17_4_1</t>
  </si>
  <si>
    <t>1_17_4_2</t>
  </si>
  <si>
    <t>1_17_99_6</t>
  </si>
  <si>
    <t>1_18_1_2</t>
  </si>
  <si>
    <t>1_2_1_11</t>
  </si>
  <si>
    <t>1_2_1_12</t>
  </si>
  <si>
    <t>1_2_1_38</t>
  </si>
  <si>
    <t>1_2_1_41</t>
  </si>
  <si>
    <t>1_2_1_9</t>
  </si>
  <si>
    <t>1_3_1_12</t>
  </si>
  <si>
    <t>1_3_1_15</t>
  </si>
  <si>
    <t>1_3_1_9</t>
  </si>
  <si>
    <t>1_3_1_98</t>
  </si>
  <si>
    <t>1_3_8_1</t>
  </si>
  <si>
    <t>1_3_98_1</t>
  </si>
  <si>
    <t>1_4_1_4</t>
  </si>
  <si>
    <t>1_5_1_2</t>
  </si>
  <si>
    <t>1_5_1_20</t>
  </si>
  <si>
    <t>1_5_1_3</t>
  </si>
  <si>
    <t>1_5_1_5</t>
  </si>
  <si>
    <t>3_5_4_9</t>
  </si>
  <si>
    <t>1_6_99_3</t>
  </si>
  <si>
    <t>1_7_1_13</t>
  </si>
  <si>
    <t>1_8_1_4</t>
  </si>
  <si>
    <t>1_8_1_7</t>
  </si>
  <si>
    <t>1_8_1_9</t>
  </si>
  <si>
    <t>1_8_4_11</t>
  </si>
  <si>
    <t>1_8_4_12</t>
  </si>
  <si>
    <t>1_97_1_4</t>
  </si>
  <si>
    <t>2_1_1_10</t>
  </si>
  <si>
    <t>2_1_1_14</t>
  </si>
  <si>
    <t>2_1_1_170</t>
  </si>
  <si>
    <t>2_1_1_171</t>
  </si>
  <si>
    <t>2_1_1_176</t>
  </si>
  <si>
    <t>2_1_1_177</t>
  </si>
  <si>
    <t>2_1_1_182</t>
  </si>
  <si>
    <t>2_1_1_192</t>
  </si>
  <si>
    <t>2_1_1_193</t>
  </si>
  <si>
    <t>2_1_1_198</t>
  </si>
  <si>
    <t>2_1_1_199</t>
  </si>
  <si>
    <t>2_1_1_207</t>
  </si>
  <si>
    <t>2_1_1_217</t>
  </si>
  <si>
    <t>2_1_1_223</t>
  </si>
  <si>
    <t>2_1_1_264</t>
  </si>
  <si>
    <t>2_1_1_28</t>
  </si>
  <si>
    <t>2_1_1_297</t>
  </si>
  <si>
    <t>2_1_1_33</t>
  </si>
  <si>
    <t>2_1_1_45</t>
  </si>
  <si>
    <t>2_1_1_63</t>
  </si>
  <si>
    <t>2_1_1_72</t>
  </si>
  <si>
    <t>2_1_1_74</t>
  </si>
  <si>
    <t>2_1_1_79</t>
  </si>
  <si>
    <t>2_1_2_1</t>
  </si>
  <si>
    <t>2_1_2_2</t>
  </si>
  <si>
    <t>2_1_2_3</t>
  </si>
  <si>
    <t>3_5_4_10</t>
  </si>
  <si>
    <t>2_1_2_9</t>
  </si>
  <si>
    <t>2_1_3_15</t>
  </si>
  <si>
    <t>2_1_3_2</t>
  </si>
  <si>
    <t>2_1_3_3</t>
  </si>
  <si>
    <t>2_1_5_4</t>
  </si>
  <si>
    <t>2_2_1_1</t>
  </si>
  <si>
    <t>2_2_1_6</t>
  </si>
  <si>
    <t>2_3_3_13</t>
  </si>
  <si>
    <t>2_3_1_180</t>
  </si>
  <si>
    <t>2_3_1_266</t>
  </si>
  <si>
    <t>2_3_1_30</t>
  </si>
  <si>
    <t>2_3_1_31</t>
  </si>
  <si>
    <t>2_3_1_35</t>
  </si>
  <si>
    <t>2_3_1_1</t>
  </si>
  <si>
    <t>2_3_1_39</t>
  </si>
  <si>
    <t>2_3_1_41</t>
  </si>
  <si>
    <t>2_3_1_54</t>
  </si>
  <si>
    <t>2_3_1_8</t>
  </si>
  <si>
    <t>2_3_1_89</t>
  </si>
  <si>
    <t>2_3_3_10</t>
  </si>
  <si>
    <t>2_3_3_16</t>
  </si>
  <si>
    <t>2_4_1_1</t>
  </si>
  <si>
    <t>2_4_1_129</t>
  </si>
  <si>
    <t>3_4_16_4</t>
  </si>
  <si>
    <t>2_4_1_208</t>
  </si>
  <si>
    <t>2_4_1_337</t>
  </si>
  <si>
    <t>2_4_1_227</t>
  </si>
  <si>
    <t>2_4_1_25</t>
  </si>
  <si>
    <t>2_4_2_1</t>
  </si>
  <si>
    <t>2_4_2_10</t>
  </si>
  <si>
    <t>2_4_2_14</t>
  </si>
  <si>
    <t>2_4_2_18</t>
  </si>
  <si>
    <t>2_4_2_29</t>
  </si>
  <si>
    <t>2_4_2_3</t>
  </si>
  <si>
    <t>2_4_2_7</t>
  </si>
  <si>
    <t>2_4_2_8</t>
  </si>
  <si>
    <t>2_4_2_9</t>
  </si>
  <si>
    <t>2_4_99_17</t>
  </si>
  <si>
    <t>2_5_1_10</t>
  </si>
  <si>
    <t>2_5_1_15</t>
  </si>
  <si>
    <t>2_5_1_18</t>
  </si>
  <si>
    <t>2_5_1_19</t>
  </si>
  <si>
    <t>2_5_1_31</t>
  </si>
  <si>
    <t>2_5_1_47</t>
  </si>
  <si>
    <t>4_4_1_1</t>
  </si>
  <si>
    <t>2_5_1_48</t>
  </si>
  <si>
    <t>2_5_1_49</t>
  </si>
  <si>
    <t>2_5_1_6</t>
  </si>
  <si>
    <t>2_5_1_7</t>
  </si>
  <si>
    <t>2_5_1_75</t>
  </si>
  <si>
    <t>2_6_1_1</t>
  </si>
  <si>
    <t>2_6_1_11</t>
  </si>
  <si>
    <t>2_6_1_16</t>
  </si>
  <si>
    <t>2_6_1_42</t>
  </si>
  <si>
    <t>2_6_1_52</t>
  </si>
  <si>
    <t>2_6_1_85</t>
  </si>
  <si>
    <t>4_1_3_38</t>
  </si>
  <si>
    <t>4_1_3_27</t>
  </si>
  <si>
    <t>2_7_1_107</t>
  </si>
  <si>
    <t>2_7_1_11</t>
  </si>
  <si>
    <t>2_7_1_180</t>
  </si>
  <si>
    <t>2_7_1_2</t>
  </si>
  <si>
    <t>2_7_1_59</t>
  </si>
  <si>
    <t>2_7_1_21</t>
  </si>
  <si>
    <t>2_7_1_23</t>
  </si>
  <si>
    <t>2_7_1_24</t>
  </si>
  <si>
    <t>2_7_1_26</t>
  </si>
  <si>
    <t>2_7_7_2</t>
  </si>
  <si>
    <t>2_7_1_31</t>
  </si>
  <si>
    <t>2_7_1_33</t>
  </si>
  <si>
    <t>2_7_1_35</t>
  </si>
  <si>
    <t>2_7_1_36</t>
  </si>
  <si>
    <t>2_7_1_39</t>
  </si>
  <si>
    <t>2_7_1_4</t>
  </si>
  <si>
    <t>2_7_1_40</t>
  </si>
  <si>
    <t>2_7_1_48</t>
  </si>
  <si>
    <t>2_7_1_56</t>
  </si>
  <si>
    <t>2_7_1_6</t>
  </si>
  <si>
    <t>2_7_1_66</t>
  </si>
  <si>
    <t>2_7_1_71</t>
  </si>
  <si>
    <t>2_7_11_1</t>
  </si>
  <si>
    <t>2_7_13_3</t>
  </si>
  <si>
    <t>2_7_2_1</t>
  </si>
  <si>
    <t>2_7_2_11</t>
  </si>
  <si>
    <t>2_7_2_3</t>
  </si>
  <si>
    <t>2_7_2_4</t>
  </si>
  <si>
    <t>2_7_2_8</t>
  </si>
  <si>
    <t>2_7_3_9</t>
  </si>
  <si>
    <t>2_7_4_2</t>
  </si>
  <si>
    <t>2_7_4_22</t>
  </si>
  <si>
    <t>2_7_4_25</t>
  </si>
  <si>
    <t>2_7_4_3</t>
  </si>
  <si>
    <t>2_7_4_6</t>
  </si>
  <si>
    <t>2_7_4_7</t>
  </si>
  <si>
    <t>2_7_4_8</t>
  </si>
  <si>
    <t>2_7_4_9</t>
  </si>
  <si>
    <t>2_7_6_1</t>
  </si>
  <si>
    <t>2_7_6_2</t>
  </si>
  <si>
    <t>2_7_6_3</t>
  </si>
  <si>
    <t>2_7_6_5</t>
  </si>
  <si>
    <t>3_1_7_2</t>
  </si>
  <si>
    <t>2_7_7_1</t>
  </si>
  <si>
    <t>2_7_7_22</t>
  </si>
  <si>
    <t>2_7_7_12</t>
  </si>
  <si>
    <t>2_7_7_23</t>
  </si>
  <si>
    <t>2_3_1_157</t>
  </si>
  <si>
    <t>2_7_7_24</t>
  </si>
  <si>
    <t>2_7_7_3</t>
  </si>
  <si>
    <t>2_7_7_41</t>
  </si>
  <si>
    <t>2_7_7_6</t>
  </si>
  <si>
    <t>2_7_7_7</t>
  </si>
  <si>
    <t>2_7_7_72</t>
  </si>
  <si>
    <t>2_7_7_8</t>
  </si>
  <si>
    <t>3_1_13_1</t>
  </si>
  <si>
    <t>2_7_7_85</t>
  </si>
  <si>
    <t>2_7_7_9</t>
  </si>
  <si>
    <t>2_7_8_13</t>
  </si>
  <si>
    <t>2_7_8_5</t>
  </si>
  <si>
    <t>2_7_8_7</t>
  </si>
  <si>
    <t>2_8_1_13</t>
  </si>
  <si>
    <t>2_8_1_4</t>
  </si>
  <si>
    <t>2_8_1_7</t>
  </si>
  <si>
    <t>3_6_4_12</t>
  </si>
  <si>
    <t>3_1_1_29</t>
  </si>
  <si>
    <t>3_1_11_2</t>
  </si>
  <si>
    <t>3_1_11_6</t>
  </si>
  <si>
    <t>3_1_11_7</t>
  </si>
  <si>
    <t>3_1_2_6</t>
  </si>
  <si>
    <t>3_1_21_3</t>
  </si>
  <si>
    <t>3_1_21_5</t>
  </si>
  <si>
    <t>3_1_22_4</t>
  </si>
  <si>
    <t>3_1_26_11</t>
  </si>
  <si>
    <t>3_1_26_3</t>
  </si>
  <si>
    <t>3_1_26_4</t>
  </si>
  <si>
    <t>3_1_26_5</t>
  </si>
  <si>
    <t>3_1_26_8</t>
  </si>
  <si>
    <t>5_2_1_8</t>
  </si>
  <si>
    <t>3_1_3_15</t>
  </si>
  <si>
    <t>3_1_3_16</t>
  </si>
  <si>
    <t>3_1_3_18</t>
  </si>
  <si>
    <t>3_1_3_25</t>
  </si>
  <si>
    <t>3_1_3_27</t>
  </si>
  <si>
    <t>3_1_3_3</t>
  </si>
  <si>
    <t>3_1_3_48</t>
  </si>
  <si>
    <t>3_1_3_5</t>
  </si>
  <si>
    <t>3_1_3_90</t>
  </si>
  <si>
    <t>3_1_7_1</t>
  </si>
  <si>
    <t>3_6_1_13</t>
  </si>
  <si>
    <t>3_2_1_1</t>
  </si>
  <si>
    <t>3_2_1_11</t>
  </si>
  <si>
    <t>3_2_1_23</t>
  </si>
  <si>
    <t>3_2_1_26</t>
  </si>
  <si>
    <t>3_2_2_20</t>
  </si>
  <si>
    <t>3_2_2_23</t>
  </si>
  <si>
    <t>3_2_2_27</t>
  </si>
  <si>
    <t>3_2_2_31</t>
  </si>
  <si>
    <t>3_2_2_9</t>
  </si>
  <si>
    <t>3_3_1_1</t>
  </si>
  <si>
    <t>3_4_11_18</t>
  </si>
  <si>
    <t>3_4_11_2</t>
  </si>
  <si>
    <t>3_4_11_24</t>
  </si>
  <si>
    <t>3_4_11_4</t>
  </si>
  <si>
    <t>3_4_13_9</t>
  </si>
  <si>
    <t>3_4_14_11</t>
  </si>
  <si>
    <t>3_4_16_5</t>
  </si>
  <si>
    <t>3_4_21_107</t>
  </si>
  <si>
    <t>3_4_21_53</t>
  </si>
  <si>
    <t>3_4_21_89</t>
  </si>
  <si>
    <t>3_4_21_92</t>
  </si>
  <si>
    <t>3_4_22_40</t>
  </si>
  <si>
    <t>3_4_23_36</t>
  </si>
  <si>
    <t>3_5_1_1</t>
  </si>
  <si>
    <t>3_5_1_14</t>
  </si>
  <si>
    <t>3_5_1_19</t>
  </si>
  <si>
    <t>3_5_1_25</t>
  </si>
  <si>
    <t>3_5_1_3</t>
  </si>
  <si>
    <t>3_5_1_4</t>
  </si>
  <si>
    <t>3_5_1_47</t>
  </si>
  <si>
    <t>3_5_1_5</t>
  </si>
  <si>
    <t>3_5_1_88</t>
  </si>
  <si>
    <t>3_5_2_3</t>
  </si>
  <si>
    <t>3_5_3_11</t>
  </si>
  <si>
    <t>3_5_4_12</t>
  </si>
  <si>
    <t>3_5_4_16</t>
  </si>
  <si>
    <t>3_5_4_33</t>
  </si>
  <si>
    <t>3_5_4_4</t>
  </si>
  <si>
    <t>3_5_4_5</t>
  </si>
  <si>
    <t>3_5_99_10</t>
  </si>
  <si>
    <t>3_5_99_6</t>
  </si>
  <si>
    <t>3_6_1_1</t>
  </si>
  <si>
    <t>3_6_1_23</t>
  </si>
  <si>
    <t>3_6_1_27</t>
  </si>
  <si>
    <t>3_6_1_29</t>
  </si>
  <si>
    <t>3_6_1_55</t>
  </si>
  <si>
    <t>3_6_1_7</t>
  </si>
  <si>
    <t>3_6_166</t>
  </si>
  <si>
    <t>3_6_4_13</t>
  </si>
  <si>
    <t>3_8_1_2</t>
  </si>
  <si>
    <t>4_1_1_20</t>
  </si>
  <si>
    <t>4_1_1_23</t>
  </si>
  <si>
    <t>4_1_1_31</t>
  </si>
  <si>
    <t>4_1_1_33</t>
  </si>
  <si>
    <t>4_1_1_36</t>
  </si>
  <si>
    <t>4_1_1_48</t>
  </si>
  <si>
    <t>4_1_1_5</t>
  </si>
  <si>
    <t>4_1_2_13</t>
  </si>
  <si>
    <t>4_1_2_25</t>
  </si>
  <si>
    <t>4_1_99_3</t>
  </si>
  <si>
    <t>4_2_1_1</t>
  </si>
  <si>
    <t>4_2_1_10</t>
  </si>
  <si>
    <t>4_2_1_11</t>
  </si>
  <si>
    <t>4_2_1_136</t>
  </si>
  <si>
    <t>4_2_1_20</t>
  </si>
  <si>
    <t>4_2_1_21</t>
  </si>
  <si>
    <t>4_2_1_3</t>
  </si>
  <si>
    <t>4_2_1_33</t>
  </si>
  <si>
    <t>4_2_1_34</t>
  </si>
  <si>
    <t>4_2_1_46</t>
  </si>
  <si>
    <t>4_2_1_49</t>
  </si>
  <si>
    <t>4_2_1_51</t>
  </si>
  <si>
    <t>4_2_1_59</t>
  </si>
  <si>
    <t>4_2_1_70</t>
  </si>
  <si>
    <t>4_2_1_9</t>
  </si>
  <si>
    <t>4_2_3_1</t>
  </si>
  <si>
    <t>4_2_3_4</t>
  </si>
  <si>
    <t>4_2_3_5</t>
  </si>
  <si>
    <t>4_2_99_18</t>
  </si>
  <si>
    <t>4_3_1_17</t>
  </si>
  <si>
    <t>4_3_1_18</t>
  </si>
  <si>
    <t>4_3_1_19</t>
  </si>
  <si>
    <t>4_3_2_1</t>
  </si>
  <si>
    <t>4_3_2_2</t>
  </si>
  <si>
    <t>4_3_3_7</t>
  </si>
  <si>
    <t>4_3_99_3</t>
  </si>
  <si>
    <t>4_4_1_2</t>
  </si>
  <si>
    <t>4_4_1_21</t>
  </si>
  <si>
    <t>4_4_1_5</t>
  </si>
  <si>
    <t>4_4_1_8</t>
  </si>
  <si>
    <t>4_99_1_1</t>
  </si>
  <si>
    <t>5_1_1_1</t>
  </si>
  <si>
    <t>5_1_1_3</t>
  </si>
  <si>
    <t>5_1_3_1</t>
  </si>
  <si>
    <t>5_1_3_2</t>
  </si>
  <si>
    <t>5_1_3_7</t>
  </si>
  <si>
    <t>5_1_3_3_</t>
  </si>
  <si>
    <t>5_3_1_1</t>
  </si>
  <si>
    <t>5_3_1_24</t>
  </si>
  <si>
    <t>5_3_1_6</t>
  </si>
  <si>
    <t>5_3_1_8</t>
  </si>
  <si>
    <t>5_3_1_9</t>
  </si>
  <si>
    <t>5_3_3_14</t>
  </si>
  <si>
    <t>5_3_3_2</t>
  </si>
  <si>
    <t>5_4_2_10</t>
  </si>
  <si>
    <t>5_4_2_2</t>
  </si>
  <si>
    <t>5_4_2_7</t>
  </si>
  <si>
    <t>5_4_99_12</t>
  </si>
  <si>
    <t>5_4_99_18</t>
  </si>
  <si>
    <t>5_4_99_25</t>
  </si>
  <si>
    <t>5_4_99_5</t>
  </si>
  <si>
    <t>5_4_99_9</t>
  </si>
  <si>
    <t>5_6_2_1</t>
  </si>
  <si>
    <t>5_6_2_2</t>
  </si>
  <si>
    <t>6_1_1_1</t>
  </si>
  <si>
    <t>6_1_1_10</t>
  </si>
  <si>
    <t>6_1_1_11</t>
  </si>
  <si>
    <t>6_1_1_12</t>
  </si>
  <si>
    <t>6_1_1_14</t>
  </si>
  <si>
    <t>6_1_1_15</t>
  </si>
  <si>
    <t>6_1_1_16</t>
  </si>
  <si>
    <t>6_1_1_17</t>
  </si>
  <si>
    <t>6_1_1_24</t>
  </si>
  <si>
    <t>6_1_1_19</t>
  </si>
  <si>
    <t>6_1_1_2</t>
  </si>
  <si>
    <t>6_1_1_20</t>
  </si>
  <si>
    <t>6_1_1_21</t>
  </si>
  <si>
    <t>6_1_1_22</t>
  </si>
  <si>
    <t>6_1_1_3</t>
  </si>
  <si>
    <t>6_1_1_4</t>
  </si>
  <si>
    <t>6_1_1_5</t>
  </si>
  <si>
    <t>6_1_1_6</t>
  </si>
  <si>
    <t>6_1_1_7</t>
  </si>
  <si>
    <t>6_1_1_9</t>
  </si>
  <si>
    <t>6_2_1_54</t>
  </si>
  <si>
    <t>6_3_1_1</t>
  </si>
  <si>
    <t>6_3_1_2</t>
  </si>
  <si>
    <t>6_3_1_20</t>
  </si>
  <si>
    <t>6_3_1_5</t>
  </si>
  <si>
    <t>6_3_2_10</t>
  </si>
  <si>
    <t>6_3_2_12</t>
  </si>
  <si>
    <t>6_3_2_17</t>
  </si>
  <si>
    <t>6_3_2_2</t>
  </si>
  <si>
    <t>6_3_2_3</t>
  </si>
  <si>
    <t>6_3_2_4</t>
  </si>
  <si>
    <t>6_3_2_5</t>
  </si>
  <si>
    <t>6_3_2_6</t>
  </si>
  <si>
    <t>6_3_2_7</t>
  </si>
  <si>
    <t>6_3_2_8</t>
  </si>
  <si>
    <t>6_3_2_9</t>
  </si>
  <si>
    <t>6_3_3_1</t>
  </si>
  <si>
    <t>6_3_3_2</t>
  </si>
  <si>
    <t>6_3_4_13</t>
  </si>
  <si>
    <t>6_3_4_14</t>
  </si>
  <si>
    <t>6_3_4_18</t>
  </si>
  <si>
    <t>6_3_4_19</t>
  </si>
  <si>
    <t>6_3_4_2</t>
  </si>
  <si>
    <t>6_3_4_20</t>
  </si>
  <si>
    <t>6_3_4_21</t>
  </si>
  <si>
    <t>6_3_4_3</t>
  </si>
  <si>
    <t>6_3_4_4</t>
  </si>
  <si>
    <t>6_3_4_5</t>
  </si>
  <si>
    <t>6_3_5_13</t>
  </si>
  <si>
    <t>6_3_5_14</t>
  </si>
  <si>
    <t>6_3_5_2</t>
  </si>
  <si>
    <t>6_3_5_3</t>
  </si>
  <si>
    <t>6_3_5_5</t>
  </si>
  <si>
    <t>6_3_5_7</t>
  </si>
  <si>
    <t>6_4_1_2</t>
  </si>
  <si>
    <t>6_5_1_2</t>
  </si>
  <si>
    <t>7_1_2_2</t>
  </si>
  <si>
    <t>7_2_2_10</t>
  </si>
  <si>
    <t>7_2_2_8</t>
  </si>
  <si>
    <t>7_6_2_11</t>
  </si>
  <si>
    <t>C00226 | C00003</t>
  </si>
  <si>
    <t>C00071 | C00004 | C00080</t>
  </si>
  <si>
    <t>C00084 | C00010 | C00003</t>
  </si>
  <si>
    <t>C00024 | C00004 | C00080</t>
  </si>
  <si>
    <t>C01271 | C00006</t>
  </si>
  <si>
    <t>C00685 | C00005 | C00080</t>
  </si>
  <si>
    <t>C0052 | C00006</t>
  </si>
  <si>
    <t>C0096 | C00005 | C00080</t>
  </si>
  <si>
    <t>C00130 | C00003 | C00001</t>
  </si>
  <si>
    <t>C00655 | C00004 | C00080</t>
  </si>
  <si>
    <t>C00493 | C00006</t>
  </si>
  <si>
    <t>C02637 | C00005 | C00080</t>
  </si>
  <si>
    <t>C00186 | C00003</t>
  </si>
  <si>
    <t>C00022 | C00004 | C00080</t>
  </si>
  <si>
    <t>C00263 | C00003</t>
  </si>
  <si>
    <t>C00441 | C00004 | C00080</t>
  </si>
  <si>
    <t>C00810 | C00003</t>
  </si>
  <si>
    <t>C00741 | C00004 | C00080</t>
  </si>
  <si>
    <t>C00466 | C00010 | C00003</t>
  </si>
  <si>
    <t>C00084 | C00024 | C00004 | C00080</t>
  </si>
  <si>
    <t>C01769  | C00003</t>
  </si>
  <si>
    <t xml:space="preserve">C01271 | C22409 </t>
  </si>
  <si>
    <t>C22410 | C00229</t>
  </si>
  <si>
    <t xml:space="preserve">C00311 | C00006 </t>
  </si>
  <si>
    <t>C00026 | C00011 | C00005 | C00080</t>
  </si>
  <si>
    <t>C00233 | C00011</t>
  </si>
  <si>
    <t xml:space="preserve">C04272 | C00006 </t>
  </si>
  <si>
    <t>C06010 | C00005 | C00080</t>
  </si>
  <si>
    <t>C00418 | C00010 | 2 C00003</t>
  </si>
  <si>
    <t>C00356 | 2 C00004 | 2 C00080</t>
  </si>
  <si>
    <t xml:space="preserve">C00093 | C00003 </t>
  </si>
  <si>
    <t>C00111 | C00004 | C00080</t>
  </si>
  <si>
    <t>C00093 | C00004</t>
  </si>
  <si>
    <t>C00111 | C00004 | C00081</t>
  </si>
  <si>
    <t>C00197 | C00003</t>
  </si>
  <si>
    <t>C03232 | C00004 | C00080</t>
  </si>
  <si>
    <t>2 C00704 | 2 C00080</t>
  </si>
  <si>
    <t>C00027 | C00007</t>
  </si>
  <si>
    <t>C03972 | C00003 | C00001</t>
  </si>
  <si>
    <t>C20258 | C00004 | C00080</t>
  </si>
  <si>
    <t>C04232 | C00343 | C00001</t>
  </si>
  <si>
    <t>C03723 | C00342</t>
  </si>
  <si>
    <t>C00677 | C00343 | C00001</t>
  </si>
  <si>
    <t>C03802 | C00342</t>
  </si>
  <si>
    <t>C00677 | C00343 | C00003</t>
  </si>
  <si>
    <t>C03802 | C00344</t>
  </si>
  <si>
    <t>C01978 |C00028 | C00001</t>
  </si>
  <si>
    <t>C19647 | C00030</t>
  </si>
  <si>
    <t>2 C00138 | C00006 | C00080</t>
  </si>
  <si>
    <t>2 C00139 | C00005</t>
  </si>
  <si>
    <t>C00441 | C00009 | C00006</t>
  </si>
  <si>
    <t>C03082 | C00005 | C00080</t>
  </si>
  <si>
    <t>C00118 | C00009 | C00003</t>
  </si>
  <si>
    <t>C00236 | C00004 | C00080</t>
  </si>
  <si>
    <t>C01250 | C00009 | C00006</t>
  </si>
  <si>
    <t>C04133 | C00005 | C00080</t>
  </si>
  <si>
    <t>C01165 | C00009 | C00006</t>
  </si>
  <si>
    <t>C03287 | C00005 | C0080</t>
  </si>
  <si>
    <t>C00118 | C00006 | C00001</t>
  </si>
  <si>
    <t>C00197 | C00005 | C00080</t>
  </si>
  <si>
    <t xml:space="preserve">C00254 | C00003 </t>
  </si>
  <si>
    <t>C01179 | C00011 | C00004 | C00080</t>
  </si>
  <si>
    <t xml:space="preserve">C00337 | C00006 </t>
  </si>
  <si>
    <t>C00295 | C00005 | C00080</t>
  </si>
  <si>
    <t>C00173 | C00003</t>
  </si>
  <si>
    <t>C00693 | C00004 | C00080</t>
  </si>
  <si>
    <t>C01050 | C00006</t>
  </si>
  <si>
    <t>C04631 | C00005 | C00080</t>
  </si>
  <si>
    <t>C20675 | C04253</t>
  </si>
  <si>
    <t>C20676 | C04570</t>
  </si>
  <si>
    <t>C00337 | C00122</t>
  </si>
  <si>
    <t>C00295 | C00042</t>
  </si>
  <si>
    <t>C00025 | C00006 | C00001</t>
  </si>
  <si>
    <t>C00026 | C00014 | C00005 | C0080</t>
  </si>
  <si>
    <t>C00148 | C00003</t>
  </si>
  <si>
    <t>C03912 | C00004 | C00080</t>
  </si>
  <si>
    <t>C00440 | C00006</t>
  </si>
  <si>
    <t>C00143 | C00005 | C00080</t>
  </si>
  <si>
    <t>C00101 | C00006</t>
  </si>
  <si>
    <t>C00415 | C00005 | C00080</t>
  </si>
  <si>
    <t>C00143 | C00006</t>
  </si>
  <si>
    <t>C00445 | C00005</t>
  </si>
  <si>
    <t xml:space="preserve">C00445 | C00001 </t>
  </si>
  <si>
    <t>C00234 | C00080</t>
  </si>
  <si>
    <t>C16675 | 2 C00006</t>
  </si>
  <si>
    <t>C15996 | 2 C00005 | 2 C00080</t>
  </si>
  <si>
    <t>C16832 | C00003</t>
  </si>
  <si>
    <t>C16237 | C00004 | C00080</t>
  </si>
  <si>
    <t xml:space="preserve">2 C00051 | C00006 </t>
  </si>
  <si>
    <t>C00127 | C00005 | C00080</t>
  </si>
  <si>
    <t>C00342 | C00006</t>
  </si>
  <si>
    <t>C00343 | C00005 | C0080</t>
  </si>
  <si>
    <t>C03023 | C00343 | C00002</t>
  </si>
  <si>
    <t>C03895 | C00342</t>
  </si>
  <si>
    <t>C03023 | C00343 | C00001</t>
  </si>
  <si>
    <t>C15653 | C00342</t>
  </si>
  <si>
    <t>C00019 | C05196 | C05197</t>
  </si>
  <si>
    <t>C05198 | C00073 | C05199 | C05312</t>
  </si>
  <si>
    <t>C03172 | C00155</t>
  </si>
  <si>
    <t>C04489 | C00155</t>
  </si>
  <si>
    <t>C04144 | C00073</t>
  </si>
  <si>
    <t>C04144 | C0007</t>
  </si>
  <si>
    <t>C00019 | C00240</t>
  </si>
  <si>
    <t>C00021 | C04153</t>
  </si>
  <si>
    <t>2 C00019 | C20648</t>
  </si>
  <si>
    <t>2 C00021 | C20796</t>
  </si>
  <si>
    <t>C00019 | C02735</t>
  </si>
  <si>
    <t>C00021 | C03711</t>
  </si>
  <si>
    <t>C02583 | C00019</t>
  </si>
  <si>
    <t>C20858 | C00021</t>
  </si>
  <si>
    <t>C00019 | C01977</t>
  </si>
  <si>
    <t>C00021 | C04160</t>
  </si>
  <si>
    <t>C00365 | C00143</t>
  </si>
  <si>
    <t>C00415 | C00364</t>
  </si>
  <si>
    <t>C04250 | C02743</t>
  </si>
  <si>
    <t>C03800 | C11475</t>
  </si>
  <si>
    <t>C00019 | C00821</t>
  </si>
  <si>
    <t>C00021 | C03391</t>
  </si>
  <si>
    <t>C00143 | C01764 | C00004 | C00080</t>
  </si>
  <si>
    <t>C00101 | C03446 | C00003</t>
  </si>
  <si>
    <t>C00019 | C01229</t>
  </si>
  <si>
    <t>C00021 | C04340</t>
  </si>
  <si>
    <t>C00143 | C00037 | C00001</t>
  </si>
  <si>
    <t>C00101 | C00065</t>
  </si>
  <si>
    <t>C00234 |C03838</t>
  </si>
  <si>
    <t>C00101 | C04376</t>
  </si>
  <si>
    <t xml:space="preserve">C00234 | C04677 </t>
  </si>
  <si>
    <t>C00101 | C04734</t>
  </si>
  <si>
    <t>C00130 | C00001</t>
  </si>
  <si>
    <t>C02430 | C00234</t>
  </si>
  <si>
    <t>C00101 | C03294</t>
  </si>
  <si>
    <t>C00024 | C04419</t>
  </si>
  <si>
    <t>C00083 | C06250</t>
  </si>
  <si>
    <t>C00169 | C00049</t>
  </si>
  <si>
    <t>C00009 | C00438</t>
  </si>
  <si>
    <t>C00169 | C00077</t>
  </si>
  <si>
    <t>C00009 | C00327</t>
  </si>
  <si>
    <t>C05382 | C00118</t>
  </si>
  <si>
    <t>C00117 | C00231</t>
  </si>
  <si>
    <t>C00900 | C00011</t>
  </si>
  <si>
    <t xml:space="preserve">C00024 | C01209 </t>
  </si>
  <si>
    <t>C05744 | C00010 | C00011</t>
  </si>
  <si>
    <t>C00024 | C03803</t>
  </si>
  <si>
    <t>C00010 | C04341</t>
  </si>
  <si>
    <t>C00065 | C00024</t>
  </si>
  <si>
    <t>C00979 | C00010</t>
  </si>
  <si>
    <t xml:space="preserve">C00024 | C00263 </t>
  </si>
  <si>
    <t>C00010 | C01077</t>
  </si>
  <si>
    <t>C00437 | C00025</t>
  </si>
  <si>
    <t>C00077 | C00624</t>
  </si>
  <si>
    <t xml:space="preserve">C00024 | C00025 </t>
  </si>
  <si>
    <t>C00010 | C00624</t>
  </si>
  <si>
    <t>C00083 | C00229</t>
  </si>
  <si>
    <t>C00010 | C01209</t>
  </si>
  <si>
    <t xml:space="preserve">C00173 | C01209 </t>
  </si>
  <si>
    <t>C00685 | C00011  | C00229</t>
  </si>
  <si>
    <t>C00024 | C00058</t>
  </si>
  <si>
    <t>C00010 | C00022</t>
  </si>
  <si>
    <t>C00024 | C00009</t>
  </si>
  <si>
    <t>C00010 | C00227</t>
  </si>
  <si>
    <t>C03972 | C00024 | C00001</t>
  </si>
  <si>
    <t>C05539 | C00010</t>
  </si>
  <si>
    <t>C00356 | C00010</t>
  </si>
  <si>
    <t>C00024 | C00001 | C00332</t>
  </si>
  <si>
    <t>C00158 | C00010</t>
  </si>
  <si>
    <t>C00024 | C00001 | C00036</t>
  </si>
  <si>
    <t>C00029 | C06364</t>
  </si>
  <si>
    <t>C00015 | C06365</t>
  </si>
  <si>
    <t>C00029 | C00641</t>
  </si>
  <si>
    <t>C00015 | C06364</t>
  </si>
  <si>
    <t>C04851 | C00043</t>
  </si>
  <si>
    <t>C05893 | C00015</t>
  </si>
  <si>
    <t xml:space="preserve">C00718 | n COOO31 </t>
  </si>
  <si>
    <t>C15586 | C00009</t>
  </si>
  <si>
    <t>C15587 | C00620</t>
  </si>
  <si>
    <t>C01103 | C00013</t>
  </si>
  <si>
    <t>C00295 | C00119</t>
  </si>
  <si>
    <t>C03090 | C00013 | C00025</t>
  </si>
  <si>
    <t>C00064 | C0019 | C00001</t>
  </si>
  <si>
    <t xml:space="preserve">C04302 | C00013 </t>
  </si>
  <si>
    <t>C00108 | C00119</t>
  </si>
  <si>
    <t xml:space="preserve">C01977 | C16675 </t>
  </si>
  <si>
    <t>C20446 | C00242</t>
  </si>
  <si>
    <t>C0029 | C00009</t>
  </si>
  <si>
    <t>C00106 | C00620</t>
  </si>
  <si>
    <t>C00020 | C00013</t>
  </si>
  <si>
    <t>C00147 | C00119</t>
  </si>
  <si>
    <t>C00262 | C00119</t>
  </si>
  <si>
    <t>C00105 | C00013</t>
  </si>
  <si>
    <t>C00106 | C00119</t>
  </si>
  <si>
    <t>C00019 | C20446</t>
  </si>
  <si>
    <t>C00073 | C00147 | C19647</t>
  </si>
  <si>
    <t xml:space="preserve">C00341 | C00129 </t>
  </si>
  <si>
    <t>C00013 | C00448</t>
  </si>
  <si>
    <t>C04807 | C00568</t>
  </si>
  <si>
    <t>C00013 | C00921</t>
  </si>
  <si>
    <t>C01322 | C00051</t>
  </si>
  <si>
    <t>C00462 | C02320</t>
  </si>
  <si>
    <t>C00074 | C03175</t>
  </si>
  <si>
    <t>C00009 | C01269</t>
  </si>
  <si>
    <t>C00447 | 8 C00129</t>
  </si>
  <si>
    <t>C04574 | 8 C00013</t>
  </si>
  <si>
    <t>C00979 | C00283</t>
  </si>
  <si>
    <t>C00097 | C00033</t>
  </si>
  <si>
    <t>C02291 | C00001</t>
  </si>
  <si>
    <t>C000097 | C00014 | C00109</t>
  </si>
  <si>
    <t>C01118 | C00097</t>
  </si>
  <si>
    <t>C02291 | C00042</t>
  </si>
  <si>
    <t xml:space="preserve">C01077 | C00409 </t>
  </si>
  <si>
    <t>C00073 | C00033</t>
  </si>
  <si>
    <t>C00009 | C00013 | C00019</t>
  </si>
  <si>
    <t>C00002 | C00073 | C00001</t>
  </si>
  <si>
    <t>https://www.keg|E188:H189g.jp/entry/2.5.1.7</t>
  </si>
  <si>
    <t xml:space="preserve">C00074 | C00043 </t>
  </si>
  <si>
    <t>C04631 | C00009</t>
  </si>
  <si>
    <t xml:space="preserve">C00235 | C17324 </t>
  </si>
  <si>
    <t>C00013 | C04432</t>
  </si>
  <si>
    <t>C00049 | C00026</t>
  </si>
  <si>
    <t>C00036 | C00025</t>
  </si>
  <si>
    <t xml:space="preserve">C00437 | C00026 </t>
  </si>
  <si>
    <t>C01250 | C00025</t>
  </si>
  <si>
    <t>C00064 | C00085</t>
  </si>
  <si>
    <t>C00025 | C00352</t>
  </si>
  <si>
    <t xml:space="preserve">C00123 | C00026 </t>
  </si>
  <si>
    <t>C00233 | C00025</t>
  </si>
  <si>
    <t>C01005 | C00026</t>
  </si>
  <si>
    <t>C03232 | C00025</t>
  </si>
  <si>
    <t xml:space="preserve">C00064 | C00001 </t>
  </si>
  <si>
    <t>C00025 | C00014</t>
  </si>
  <si>
    <t>C00568 | C00022</t>
  </si>
  <si>
    <t>C000025 | C00014</t>
  </si>
  <si>
    <t xml:space="preserve">C00251 | C00064 </t>
  </si>
  <si>
    <t>C00108 | C00022 | C00025</t>
  </si>
  <si>
    <t>C00002 | C00641</t>
  </si>
  <si>
    <t>C00008 | C00416</t>
  </si>
  <si>
    <t>C00002 | C05345</t>
  </si>
  <si>
    <t>C000008 | C05378</t>
  </si>
  <si>
    <t>C00016 | C19803</t>
  </si>
  <si>
    <t>C20730 | C00020</t>
  </si>
  <si>
    <t>C00002 | C00031</t>
  </si>
  <si>
    <t>C00008 | C00092</t>
  </si>
  <si>
    <t>C00002 | C00140</t>
  </si>
  <si>
    <t>C00008 | C00357</t>
  </si>
  <si>
    <t>C00002 | C00214</t>
  </si>
  <si>
    <t>C00008 | C00364</t>
  </si>
  <si>
    <t>C00002 | C00003</t>
  </si>
  <si>
    <t>C00008 | C00006</t>
  </si>
  <si>
    <t>C00002 | C00008</t>
  </si>
  <si>
    <t>C00008 | C00010</t>
  </si>
  <si>
    <t>C00002 | C00255</t>
  </si>
  <si>
    <t>C00008 | C00061</t>
  </si>
  <si>
    <t>C00002 | C00061</t>
  </si>
  <si>
    <t>C00013 | C000016</t>
  </si>
  <si>
    <t>C00002 | C00258</t>
  </si>
  <si>
    <t>C00008 | C00197</t>
  </si>
  <si>
    <t>C00002 | C00864</t>
  </si>
  <si>
    <t>C00008 | C03492</t>
  </si>
  <si>
    <t>C00002 | C00250</t>
  </si>
  <si>
    <t>C00008 | C00018</t>
  </si>
  <si>
    <t>C00002 | C00418</t>
  </si>
  <si>
    <t>C00008 | C01107</t>
  </si>
  <si>
    <t>C00002 | C00263</t>
  </si>
  <si>
    <t>C00008 | C01102</t>
  </si>
  <si>
    <t>C00002 | C00095</t>
  </si>
  <si>
    <t>C00008 | C00085</t>
  </si>
  <si>
    <t>C00002 | C00022</t>
  </si>
  <si>
    <t>C00008 | C00074</t>
  </si>
  <si>
    <t>C00002 | C00475</t>
  </si>
  <si>
    <t>C00008 | C00055</t>
  </si>
  <si>
    <t>C00002 | C01094</t>
  </si>
  <si>
    <t>C00008 | C00354</t>
  </si>
  <si>
    <t>C00002 | C00984</t>
  </si>
  <si>
    <t>C00008 | C00446</t>
  </si>
  <si>
    <t>C00002 | C17558</t>
  </si>
  <si>
    <t>C00008 | C17556</t>
  </si>
  <si>
    <t>C00002 | C00493</t>
  </si>
  <si>
    <t>C00008 | C03175</t>
  </si>
  <si>
    <t>C00002 | C00017</t>
  </si>
  <si>
    <t>C00008 | C00562</t>
  </si>
  <si>
    <t>C00002 | C00033</t>
  </si>
  <si>
    <t>C00008 | C00227</t>
  </si>
  <si>
    <t>C00002 | C00025</t>
  </si>
  <si>
    <t>C00008 | C03287</t>
  </si>
  <si>
    <t>C00002 | C00197</t>
  </si>
  <si>
    <t>C00008 | C00236</t>
  </si>
  <si>
    <t>C00002 | C00049</t>
  </si>
  <si>
    <t>C00008 | C03082</t>
  </si>
  <si>
    <t>C00002 | C00624</t>
  </si>
  <si>
    <t>C00008 | C04133</t>
  </si>
  <si>
    <t>C00074 | C00615</t>
  </si>
  <si>
    <t>C00022 | C04261</t>
  </si>
  <si>
    <t>C00002 | C01107</t>
  </si>
  <si>
    <t>C00008 | C01143</t>
  </si>
  <si>
    <t>C00002 | C00105</t>
  </si>
  <si>
    <t>C00008 | C00015</t>
  </si>
  <si>
    <t>C00002 | C00055</t>
  </si>
  <si>
    <t>C00008 | C00112</t>
  </si>
  <si>
    <t>C00002 | C00020</t>
  </si>
  <si>
    <t>C00002 | C00454</t>
  </si>
  <si>
    <t>C00008 | C00201</t>
  </si>
  <si>
    <t>C00002 | C04556</t>
  </si>
  <si>
    <t>C00008 | C04752</t>
  </si>
  <si>
    <t>C00002 | C00144</t>
  </si>
  <si>
    <t>C00008 | C00035</t>
  </si>
  <si>
    <t>C00002 | C00364</t>
  </si>
  <si>
    <t>C00008 | C00363</t>
  </si>
  <si>
    <t>C00002 | C00117</t>
  </si>
  <si>
    <t>C00020 | C00119</t>
  </si>
  <si>
    <t>C00002 | C00378</t>
  </si>
  <si>
    <t>C000020 | C00068</t>
  </si>
  <si>
    <t>C00002 | C01300</t>
  </si>
  <si>
    <t>C00020 | C04807</t>
  </si>
  <si>
    <t>C00002 | C00044</t>
  </si>
  <si>
    <t>C00020 | C04494</t>
  </si>
  <si>
    <t>C01228 | C00001</t>
  </si>
  <si>
    <t>C00035 | C00013</t>
  </si>
  <si>
    <t>C00002 | C00455</t>
  </si>
  <si>
    <t>C00013 | C00003</t>
  </si>
  <si>
    <t>C00035 | C00636</t>
  </si>
  <si>
    <t>C00009 | C00096</t>
  </si>
  <si>
    <t>C00029 | C00446</t>
  </si>
  <si>
    <t>C00103 | C00052</t>
  </si>
  <si>
    <t>C00075 | C04501</t>
  </si>
  <si>
    <t>C00013 | C00043</t>
  </si>
  <si>
    <t>C00024 | C06156</t>
  </si>
  <si>
    <t>C00010 | C04501</t>
  </si>
  <si>
    <t>C00459 | C00103</t>
  </si>
  <si>
    <t>C00013 | C00842</t>
  </si>
  <si>
    <t>C00002 | C01134</t>
  </si>
  <si>
    <t>C00013 | C00882</t>
  </si>
  <si>
    <t>C00063 | C00416</t>
  </si>
  <si>
    <t>C00013 | C00269</t>
  </si>
  <si>
    <t xml:space="preserve">C00201 | C00046 </t>
  </si>
  <si>
    <t>C00013 | C00046</t>
  </si>
  <si>
    <t>C00677 | C00039 (n)</t>
  </si>
  <si>
    <t>C00013 | C00039 (n|1)</t>
  </si>
  <si>
    <t>C02211 | 2 C00063 | C00002</t>
  </si>
  <si>
    <t>C19085 | 2 C00013</t>
  </si>
  <si>
    <t>C00046 | C00009</t>
  </si>
  <si>
    <t>C00046 | C00454</t>
  </si>
  <si>
    <t>2 C00013 | C20565</t>
  </si>
  <si>
    <t>C00075 | C00103</t>
  </si>
  <si>
    <t>C00013 | C00029</t>
  </si>
  <si>
    <t>C04702 | C17556</t>
  </si>
  <si>
    <t>C00105 | C04851</t>
  </si>
  <si>
    <t xml:space="preserve">C00269 | C00093 </t>
  </si>
  <si>
    <t>C00055 | C03892</t>
  </si>
  <si>
    <t>C00010 | C03688</t>
  </si>
  <si>
    <t>C00054 | C00229</t>
  </si>
  <si>
    <t>C00868 | C15812 | C00002</t>
  </si>
  <si>
    <t>C17322 | C15811 | C00020 | C00013</t>
  </si>
  <si>
    <t>C00097 | C02342</t>
  </si>
  <si>
    <t>C00065 | C04161</t>
  </si>
  <si>
    <t>C15811 | C00097</t>
  </si>
  <si>
    <t>C15812 | C00041</t>
  </si>
  <si>
    <t>C03880 | C00001</t>
  </si>
  <si>
    <t>C03523 | C00066</t>
  </si>
  <si>
    <t>C03899 | C00001</t>
  </si>
  <si>
    <t>C00051 | C02929</t>
  </si>
  <si>
    <t>C01100 | C00001</t>
  </si>
  <si>
    <t>C00860 | C00009</t>
  </si>
  <si>
    <t>C00562 | C00001</t>
  </si>
  <si>
    <t>C00017 | C00009</t>
  </si>
  <si>
    <t>C00988 | C00001</t>
  </si>
  <si>
    <t>C00160 | C00009</t>
  </si>
  <si>
    <t xml:space="preserve">C15585 | C00001 </t>
  </si>
  <si>
    <t>C00137 | C00009</t>
  </si>
  <si>
    <t>C03892 | C00001</t>
  </si>
  <si>
    <t>C00344 | C00009</t>
  </si>
  <si>
    <t>C01005 | C00001</t>
  </si>
  <si>
    <t>C00065 | C00009</t>
  </si>
  <si>
    <t>C01167 | C00001</t>
  </si>
  <si>
    <t>C00585 | C00009</t>
  </si>
  <si>
    <t>C02520 | C00001</t>
  </si>
  <si>
    <t>C00911 | C00009</t>
  </si>
  <si>
    <t>C02995 | C00001</t>
  </si>
  <si>
    <t>C00208 | C00009</t>
  </si>
  <si>
    <t>C17627 | C00001</t>
  </si>
  <si>
    <t>C17628 | C000013</t>
  </si>
  <si>
    <t>C00301 | C00001</t>
  </si>
  <si>
    <t>C00020 | C00117</t>
  </si>
  <si>
    <t>C00369 | C00001</t>
  </si>
  <si>
    <t>C00721 | C00369</t>
  </si>
  <si>
    <t>C00243 | C00001</t>
  </si>
  <si>
    <t>C00031 | C00962</t>
  </si>
  <si>
    <t>C00089 | C00001</t>
  </si>
  <si>
    <t>C00095 | C00031</t>
  </si>
  <si>
    <t>C00021 | C00001</t>
  </si>
  <si>
    <t>C03539 | C00147</t>
  </si>
  <si>
    <t>C01419 | C00001</t>
  </si>
  <si>
    <t>C00097 | C00037</t>
  </si>
  <si>
    <t xml:space="preserve">C00152 | C00001 </t>
  </si>
  <si>
    <t>C00049 | C00014</t>
  </si>
  <si>
    <t>C00060 | C00151</t>
  </si>
  <si>
    <t>C00153 | C00001</t>
  </si>
  <si>
    <t>C00253 | C00014</t>
  </si>
  <si>
    <t>C00357 | C00001</t>
  </si>
  <si>
    <t>C00352 | C00033</t>
  </si>
  <si>
    <t>C04131 | C00001</t>
  </si>
  <si>
    <t>C02028 | C00014</t>
  </si>
  <si>
    <t>C03620 | C00001</t>
  </si>
  <si>
    <t>C00060 | C00014</t>
  </si>
  <si>
    <t>C04390 | C00001</t>
  </si>
  <si>
    <t>C00033 | C00666</t>
  </si>
  <si>
    <t xml:space="preserve">C00014 | C00288 </t>
  </si>
  <si>
    <t>C01563 | C00001</t>
  </si>
  <si>
    <t>C11439 | C00001</t>
  </si>
  <si>
    <t>C11440 | C00058</t>
  </si>
  <si>
    <t>C00337 | C00001</t>
  </si>
  <si>
    <t xml:space="preserve">C00179 | C00001 </t>
  </si>
  <si>
    <t>C00134 | C00086</t>
  </si>
  <si>
    <t>C00239 | C00001</t>
  </si>
  <si>
    <t>C00365 | C000014</t>
  </si>
  <si>
    <t>C00044 | C00001</t>
  </si>
  <si>
    <t>C04895 | C00058</t>
  </si>
  <si>
    <t>C17324 | C00001</t>
  </si>
  <si>
    <t>C20451 | C00014</t>
  </si>
  <si>
    <t>C00212 | C00001</t>
  </si>
  <si>
    <t>C00294 | C00014</t>
  </si>
  <si>
    <t>C00475 | C00001</t>
  </si>
  <si>
    <t>C00299 | C00014</t>
  </si>
  <si>
    <t>C20905 | C00001</t>
  </si>
  <si>
    <t>C00109 | C00014</t>
  </si>
  <si>
    <t>C00352 | C00001</t>
  </si>
  <si>
    <t>C00085 | C00014</t>
  </si>
  <si>
    <t>C00460 | C00001</t>
  </si>
  <si>
    <t>C00365 | C00013</t>
  </si>
  <si>
    <t>C04574 | C00001</t>
  </si>
  <si>
    <t>C17556 | C00009</t>
  </si>
  <si>
    <t>C06197 | C00001</t>
  </si>
  <si>
    <t>C00008 | C00020</t>
  </si>
  <si>
    <t>C19967 | C00001</t>
  </si>
  <si>
    <t>C19968 | C00013</t>
  </si>
  <si>
    <t>C02133 | C00001</t>
  </si>
  <si>
    <t>C00060 | C00009</t>
  </si>
  <si>
    <t>C02103 | C00001</t>
  </si>
  <si>
    <t>C02489 | C00462</t>
  </si>
  <si>
    <t>C00047 | C00011</t>
  </si>
  <si>
    <t>C00105 | C00011</t>
  </si>
  <si>
    <t>C00009 | C00036</t>
  </si>
  <si>
    <t>C00074 | C00011</t>
  </si>
  <si>
    <t>C00002 | C01143</t>
  </si>
  <si>
    <t>C00008 | C00009 | C00129 | C00011</t>
  </si>
  <si>
    <t>C01134 | C00011</t>
  </si>
  <si>
    <t>C03506 | C00011 | C00001</t>
  </si>
  <si>
    <t>C00810 | C00011</t>
  </si>
  <si>
    <t>C00111 | C00118</t>
  </si>
  <si>
    <t>C00266 | C01300</t>
  </si>
  <si>
    <t>C00251 | C000064</t>
  </si>
  <si>
    <t>C00011 | C00001</t>
  </si>
  <si>
    <t>C02637 | C00001</t>
  </si>
  <si>
    <t>C00074 | C00001</t>
  </si>
  <si>
    <t xml:space="preserve">C00008 | C04856 </t>
  </si>
  <si>
    <t>C00020 | C00009 | C00004</t>
  </si>
  <si>
    <t>C00065 | C00463</t>
  </si>
  <si>
    <t>C00078 | C00001</t>
  </si>
  <si>
    <t>C02631 | C00001</t>
  </si>
  <si>
    <t>C01732 | C00001</t>
  </si>
  <si>
    <t>C11907 | C00001</t>
  </si>
  <si>
    <t>C00785 | C00001</t>
  </si>
  <si>
    <t>C00166 | C00001 | C00011</t>
  </si>
  <si>
    <t>C00693 | C00001</t>
  </si>
  <si>
    <t>C00106 | C00117</t>
  </si>
  <si>
    <t>C01168 | C00001</t>
  </si>
  <si>
    <t>C00141 | C00001</t>
  </si>
  <si>
    <t>C01102 | C00001</t>
  </si>
  <si>
    <t>C00188 | C00009</t>
  </si>
  <si>
    <t>C00944 | C00009</t>
  </si>
  <si>
    <t>C00022 | C00014</t>
  </si>
  <si>
    <t>C00122 | C00062</t>
  </si>
  <si>
    <t>C00122 | C00020</t>
  </si>
  <si>
    <t>C00441 | C00022</t>
  </si>
  <si>
    <t>C20258 | C00001</t>
  </si>
  <si>
    <t>C20248 | C00014</t>
  </si>
  <si>
    <t>C00097 | C00014 | C00109</t>
  </si>
  <si>
    <t>C00155 | C00001</t>
  </si>
  <si>
    <t>C00283 | C00014 | C00109</t>
  </si>
  <si>
    <t>C11838 | C00155</t>
  </si>
  <si>
    <t>C00051 | C00546</t>
  </si>
  <si>
    <t>C00002 | C00082 | C00787</t>
  </si>
  <si>
    <t>C00020 | C00013 | C02839</t>
  </si>
  <si>
    <t>C00002 | C00073 | C01647</t>
  </si>
  <si>
    <t>C000020 | C00013 | C02430</t>
  </si>
  <si>
    <t>C00002 | C00065 | C01650</t>
  </si>
  <si>
    <t>C00020 | C00013 | C02553</t>
  </si>
  <si>
    <t>C01638 | C00049 | C00002</t>
  </si>
  <si>
    <t>C02984 | C00013 | C00020</t>
  </si>
  <si>
    <t>C00002 | C00037 | C01642</t>
  </si>
  <si>
    <t>C00020 | C00013 | C02412</t>
  </si>
  <si>
    <t>C00002 | C00148 | C01649</t>
  </si>
  <si>
    <t>C00020 | C00013 | C02702</t>
  </si>
  <si>
    <t>C00002 | C00097 | C01639</t>
  </si>
  <si>
    <t>C00020 | C00013 | C03125</t>
  </si>
  <si>
    <t>C01641 | C00025 | C00002</t>
  </si>
  <si>
    <t>C02987 | C00013 | C00020</t>
  </si>
  <si>
    <t>C00002 | C00025 | C01640</t>
  </si>
  <si>
    <t>C00020 | C00013 | C06112</t>
  </si>
  <si>
    <t>C00002 | C00062 | C01636</t>
  </si>
  <si>
    <t>C00020 | C00013 | C02163</t>
  </si>
  <si>
    <t>C00002 | C00078 | C01652</t>
  </si>
  <si>
    <t>C00020 | C00013 | C03512</t>
  </si>
  <si>
    <t>C00002 | C00079 | C01648</t>
  </si>
  <si>
    <t>C00020 | C00013 | C03511</t>
  </si>
  <si>
    <t>C00002 | C00135 | C01643</t>
  </si>
  <si>
    <t>C00020 | C00013 | C02988</t>
  </si>
  <si>
    <t>C00002 | C00152 | C01637</t>
  </si>
  <si>
    <t>C00020 | C00013 | C03402</t>
  </si>
  <si>
    <t>C00002 | C00188 | C01651</t>
  </si>
  <si>
    <t>C00020 | C00013 | C02992</t>
  </si>
  <si>
    <t>C00002 | C00123 | C01645</t>
  </si>
  <si>
    <t>C00020 | C00013 | C02047</t>
  </si>
  <si>
    <t>C00002 | C00407 | C01644</t>
  </si>
  <si>
    <t>C00020 | C00013 | C03127</t>
  </si>
  <si>
    <t>C00002 | C00047 | C01646</t>
  </si>
  <si>
    <t>C00020 | C00013 | C01931</t>
  </si>
  <si>
    <t>C00002 | C00041 | C01635</t>
  </si>
  <si>
    <t>C00020 | C00013 |C00886</t>
  </si>
  <si>
    <t xml:space="preserve"> C00002 | C00183 | C01653</t>
  </si>
  <si>
    <t>C00020 | C00013 | C02554</t>
  </si>
  <si>
    <t>C00002 | C00049 | C00014</t>
  </si>
  <si>
    <t>C00020 | C00013 | C00152</t>
  </si>
  <si>
    <t>C00002 | C00025 | C00014</t>
  </si>
  <si>
    <t>C00008 | C00009 | C00064</t>
  </si>
  <si>
    <t>C00002 | C16241 | C16240</t>
  </si>
  <si>
    <t>C16237 | C00020 | C00013</t>
  </si>
  <si>
    <t>C00002 | C00857 | C00014</t>
  </si>
  <si>
    <t>C00020 | C00013 | C00003</t>
  </si>
  <si>
    <t>C00002 | C05892 | C00993</t>
  </si>
  <si>
    <t>C00008 | C00009 | C04702</t>
  </si>
  <si>
    <t>C00002 | C00921 | C00025</t>
  </si>
  <si>
    <t>C00008 | C00009 | C00415</t>
  </si>
  <si>
    <t>C00002 | C03541 (n) | C00025</t>
  </si>
  <si>
    <t>C00008 | C00009 | C03541 (n|1)</t>
  </si>
  <si>
    <t>C00002 | C00025 | C00097</t>
  </si>
  <si>
    <t>C00008 | C00009 | C00669</t>
  </si>
  <si>
    <t>C00002 | C00669 | C00037</t>
  </si>
  <si>
    <t>C00008 | C00009 | C00051</t>
  </si>
  <si>
    <t xml:space="preserve">C00002 | 2 C00133 </t>
  </si>
  <si>
    <t>C00008 | C00009 | C00993</t>
  </si>
  <si>
    <t>C00063 | C03492 | C00097</t>
  </si>
  <si>
    <t>C00055 | C00013 | C04352</t>
  </si>
  <si>
    <t>C00002 | C04751 | C00049</t>
  </si>
  <si>
    <t>C00008 | C00009 | C04823</t>
  </si>
  <si>
    <t>C00002 | C00692 | C00047</t>
  </si>
  <si>
    <t>C00008 | C00009 | C05892</t>
  </si>
  <si>
    <t>C00002 | C01050 | C00041</t>
  </si>
  <si>
    <t>C00008 | C00009 | C01212</t>
  </si>
  <si>
    <t>C00002 | C01212 | C00217</t>
  </si>
  <si>
    <t>C00008 | C00009 | C00692</t>
  </si>
  <si>
    <t>C00002 | C04640</t>
  </si>
  <si>
    <t>C00008 | C00009 | C03373</t>
  </si>
  <si>
    <t>C00002 | C03479 | C00080</t>
  </si>
  <si>
    <t>C00008 | C00009 | C00445</t>
  </si>
  <si>
    <t>C00002 | C03090 | C00037</t>
  </si>
  <si>
    <t>C00008 | C00009 | C03838</t>
  </si>
  <si>
    <t>C00002 | C06250 | C00288</t>
  </si>
  <si>
    <t>C00008 | C00009 | C04419</t>
  </si>
  <si>
    <t>C00002 | C03373 | C00288</t>
  </si>
  <si>
    <t>C00008 | C00009 | C15667</t>
  </si>
  <si>
    <t>C19722 | C000047 | C00002</t>
  </si>
  <si>
    <t>C19723 | C00020 | C00013 | C00001</t>
  </si>
  <si>
    <t>C20248 | C000014 | C00002</t>
  </si>
  <si>
    <t>C15996 | C00008 | C00009 | C00001</t>
  </si>
  <si>
    <t>C01185 | C00013 | C00008 | C00009</t>
  </si>
  <si>
    <t>C00253 | C00119 | C00002 | C00001 | C00080</t>
  </si>
  <si>
    <t>C00101 | C00058 | C00002</t>
  </si>
  <si>
    <t>C00008 | C00009 | C00234</t>
  </si>
  <si>
    <t>C00044 | C00130 | C00049</t>
  </si>
  <si>
    <t>C00035 | C00009 | C03794</t>
  </si>
  <si>
    <t>C00002 | C00327 | C00049</t>
  </si>
  <si>
    <t>C00020 | C00013 | C03406</t>
  </si>
  <si>
    <t>C00064 | C00001</t>
  </si>
  <si>
    <t>C00002 | C04376 | C0064 | C00001</t>
  </si>
  <si>
    <t>C00008 | C00009 | C04640 | C00025</t>
  </si>
  <si>
    <t xml:space="preserve"> C00064 | C00001 </t>
  </si>
  <si>
    <t>C02282 | C00025 | C00009 | C00008</t>
  </si>
  <si>
    <t>C06112 | C00064 | C00002 | C00001</t>
  </si>
  <si>
    <t>C00002 | C00024 | C00288</t>
  </si>
  <si>
    <t>C00008 | C00009 | C00083</t>
  </si>
  <si>
    <t>C00003 | C00039 (n) | C02128 (m)</t>
  </si>
  <si>
    <t>C00020 | C00455 | C00039 (n|m)</t>
  </si>
  <si>
    <t>C00002 | C00001</t>
  </si>
  <si>
    <t>C00008 | C00009</t>
  </si>
  <si>
    <t>EC Number</t>
  </si>
  <si>
    <t>No.</t>
  </si>
  <si>
    <t>Enzymes</t>
  </si>
  <si>
    <t>Reactants (Addition)</t>
  </si>
  <si>
    <t>Reactants (Multiplication)</t>
  </si>
  <si>
    <t xml:space="preserve">Rate Law </t>
  </si>
  <si>
    <t xml:space="preserve"> Equation </t>
  </si>
  <si>
    <t>`</t>
  </si>
  <si>
    <t>2C08249</t>
  </si>
  <si>
    <t>\</t>
  </si>
  <si>
    <t>C00226 + C00003</t>
  </si>
  <si>
    <t>C00084 + C00010 + C00003</t>
  </si>
  <si>
    <t>C01271 + C00006</t>
  </si>
  <si>
    <t>C0052 + C00006</t>
  </si>
  <si>
    <t>C00130 + C00003 + C00001</t>
  </si>
  <si>
    <t>C00493 + C00006</t>
  </si>
  <si>
    <t>C00186 + C00003</t>
  </si>
  <si>
    <t>C00263 + C00003</t>
  </si>
  <si>
    <t>C00810 + C00003</t>
  </si>
  <si>
    <t>C00466 + C00010 + C00003</t>
  </si>
  <si>
    <t>C00741 + C00004 + C00080</t>
  </si>
  <si>
    <t xml:space="preserve">C01271 + C22409 </t>
  </si>
  <si>
    <t xml:space="preserve">C00311 + C00006 </t>
  </si>
  <si>
    <t>C00233 + C00011</t>
  </si>
  <si>
    <t xml:space="preserve">C04272 + C00006 </t>
  </si>
  <si>
    <t xml:space="preserve">C00093 + C00003 </t>
  </si>
  <si>
    <t>C00197 + C00003</t>
  </si>
  <si>
    <t>C03972 + C00003 + C00001</t>
  </si>
  <si>
    <t>C04232 + C00343 + C00001</t>
  </si>
  <si>
    <t>C00677 + C00343 + C00001</t>
  </si>
  <si>
    <t>C01978 +C00028 + C00001</t>
  </si>
  <si>
    <t>C00441 + C00009 + C00006</t>
  </si>
  <si>
    <t>C00118 + C00009 + C00003</t>
  </si>
  <si>
    <t>C01250 + C00009 + C00006</t>
  </si>
  <si>
    <t>C01165 + C00009 + C00006</t>
  </si>
  <si>
    <t>C00118 + C00006 + C00001</t>
  </si>
  <si>
    <t xml:space="preserve">C00254 + C00003 </t>
  </si>
  <si>
    <t xml:space="preserve">C00337 + C00006 </t>
  </si>
  <si>
    <t>C00173 + C00003</t>
  </si>
  <si>
    <t>C01050 + C00006</t>
  </si>
  <si>
    <t>C20675 + C04253</t>
  </si>
  <si>
    <t>C00337 + C00122</t>
  </si>
  <si>
    <t>C00025 + C00006 + C00001</t>
  </si>
  <si>
    <t>C00148 + C00003</t>
  </si>
  <si>
    <t>C00440 + C00006</t>
  </si>
  <si>
    <t>C00101 + C00006</t>
  </si>
  <si>
    <t>C00143 + C00006</t>
  </si>
  <si>
    <t xml:space="preserve">C00445 + C00001 </t>
  </si>
  <si>
    <t>C16832 + C00003</t>
  </si>
  <si>
    <t>C00342 + C00006</t>
  </si>
  <si>
    <t>C03023 + C00343 + C00002</t>
  </si>
  <si>
    <t>C03023 + C00343 + C00001</t>
  </si>
  <si>
    <t>C00019 + C05196 + C05197</t>
  </si>
  <si>
    <t>C03172 + C00155</t>
  </si>
  <si>
    <t>C04489 + C00155</t>
  </si>
  <si>
    <t>C00019 + C00240</t>
  </si>
  <si>
    <t>C00019 + C02735</t>
  </si>
  <si>
    <t>C02583 + C00019</t>
  </si>
  <si>
    <t>C00019 + C01977</t>
  </si>
  <si>
    <t>C00365 + C00143</t>
  </si>
  <si>
    <t>C04250 + C02743</t>
  </si>
  <si>
    <t>C00019 + C00821</t>
  </si>
  <si>
    <t>C00143 + C01764 + C00004 + C00080</t>
  </si>
  <si>
    <t>C00019 + C01229</t>
  </si>
  <si>
    <t>C00143 + C00037 + C00001</t>
  </si>
  <si>
    <t>C00234 +C03838</t>
  </si>
  <si>
    <t xml:space="preserve">C00234 + C04677 </t>
  </si>
  <si>
    <t>C00130 + C00001</t>
  </si>
  <si>
    <t>C02430 + C00234</t>
  </si>
  <si>
    <t>C00024 + C04419</t>
  </si>
  <si>
    <t>C00169 + C00049</t>
  </si>
  <si>
    <t>C00169 + C00077</t>
  </si>
  <si>
    <t>C05382 + C00118</t>
  </si>
  <si>
    <t>C00900 + C00011</t>
  </si>
  <si>
    <t xml:space="preserve">C00024 + C01209 </t>
  </si>
  <si>
    <t>C00024 + C03803</t>
  </si>
  <si>
    <t>C00065 + C00024</t>
  </si>
  <si>
    <t xml:space="preserve">C00024 + C00263 </t>
  </si>
  <si>
    <t>C00437 + C00025</t>
  </si>
  <si>
    <t xml:space="preserve">C00024 + C00025 </t>
  </si>
  <si>
    <t>C00083 + C00229</t>
  </si>
  <si>
    <t xml:space="preserve">C00173 + C01209 </t>
  </si>
  <si>
    <t>C00024 + C00058</t>
  </si>
  <si>
    <t>C00024 + C00009</t>
  </si>
  <si>
    <t>C03972 + C00024 + C00001</t>
  </si>
  <si>
    <t>C00356 + C00010</t>
  </si>
  <si>
    <t>C00158 + C00010</t>
  </si>
  <si>
    <t>C00029 + C06364</t>
  </si>
  <si>
    <t>C00029 + C00641</t>
  </si>
  <si>
    <t>C04851 + C00043</t>
  </si>
  <si>
    <t>C15586 + C00009</t>
  </si>
  <si>
    <t>C01103 + C00013</t>
  </si>
  <si>
    <t>C03090 + C00013 + C00025</t>
  </si>
  <si>
    <t xml:space="preserve">C04302 + C00013 </t>
  </si>
  <si>
    <t xml:space="preserve">C01977 + C16675 </t>
  </si>
  <si>
    <t>C0029 + C00009</t>
  </si>
  <si>
    <t>C00020 + C00013</t>
  </si>
  <si>
    <t>C00105 + C00013</t>
  </si>
  <si>
    <t>C00019 + C20446</t>
  </si>
  <si>
    <t xml:space="preserve">C00341 + C00129 </t>
  </si>
  <si>
    <t>C04807 + C00568</t>
  </si>
  <si>
    <t>C01322 + C00051</t>
  </si>
  <si>
    <t>C00074 + C03175</t>
  </si>
  <si>
    <t>C00979 + C00283</t>
  </si>
  <si>
    <t>C02291 + C00001</t>
  </si>
  <si>
    <t>C01118 + C00097</t>
  </si>
  <si>
    <t xml:space="preserve">C01077 + C00409 </t>
  </si>
  <si>
    <t>C00009 + C00013 + C00019</t>
  </si>
  <si>
    <t xml:space="preserve">C00074 + C00043 </t>
  </si>
  <si>
    <t xml:space="preserve">C00235 + C17324 </t>
  </si>
  <si>
    <t>C00049 + C00026</t>
  </si>
  <si>
    <t xml:space="preserve">C00437 + C00026 </t>
  </si>
  <si>
    <t>C00064 + C00085</t>
  </si>
  <si>
    <t xml:space="preserve">C00123 + C00026 </t>
  </si>
  <si>
    <t>C01005 + C00026</t>
  </si>
  <si>
    <t xml:space="preserve">C00064 + C00001 </t>
  </si>
  <si>
    <t xml:space="preserve">C00251 + C00064 </t>
  </si>
  <si>
    <t>C00002 + C00641</t>
  </si>
  <si>
    <t>C00002 + C05345</t>
  </si>
  <si>
    <t>C00016 + C19803</t>
  </si>
  <si>
    <t>C00002 + C00031</t>
  </si>
  <si>
    <t>C00002 + C00140</t>
  </si>
  <si>
    <t>C00002 + C00214</t>
  </si>
  <si>
    <t>C00002 + C00003</t>
  </si>
  <si>
    <t>C00002 + C00008</t>
  </si>
  <si>
    <t>C00002 + C00255</t>
  </si>
  <si>
    <t>C00002 + C00061</t>
  </si>
  <si>
    <t>C00002 + C00258</t>
  </si>
  <si>
    <t>C00002 + C00864</t>
  </si>
  <si>
    <t>C00002 + C00250</t>
  </si>
  <si>
    <t>C00002 + C00418</t>
  </si>
  <si>
    <t>C00002 + C00263</t>
  </si>
  <si>
    <t>C00002 + C00095</t>
  </si>
  <si>
    <t>C00002 + C00022</t>
  </si>
  <si>
    <t>C00002 + C00475</t>
  </si>
  <si>
    <t>C00002 + C01094</t>
  </si>
  <si>
    <t>C00002 + C00984</t>
  </si>
  <si>
    <t>C00002 + C17558</t>
  </si>
  <si>
    <t>C00002 + C00493</t>
  </si>
  <si>
    <t>C00002 + C00017</t>
  </si>
  <si>
    <t>C00002 + C00033</t>
  </si>
  <si>
    <t>C00002 + C00025</t>
  </si>
  <si>
    <t>C00002 + C00197</t>
  </si>
  <si>
    <t>C00002 + C00049</t>
  </si>
  <si>
    <t>C00002 + C00624</t>
  </si>
  <si>
    <t>C00074 + C00615</t>
  </si>
  <si>
    <t>C00002 + C01107</t>
  </si>
  <si>
    <t>C00002 + C00105</t>
  </si>
  <si>
    <t>C00002 + C00055</t>
  </si>
  <si>
    <t>C00002 + C00020</t>
  </si>
  <si>
    <t>C00002 + C00454</t>
  </si>
  <si>
    <t>C00002 + C04556</t>
  </si>
  <si>
    <t>C00002 + C00144</t>
  </si>
  <si>
    <t>C00002 + C00364</t>
  </si>
  <si>
    <t>C00002 + C00117</t>
  </si>
  <si>
    <t>C00002 + C00378</t>
  </si>
  <si>
    <t>C00002 + C01300</t>
  </si>
  <si>
    <t>C00002 + C00044</t>
  </si>
  <si>
    <t>C01228 + C00001</t>
  </si>
  <si>
    <t>C00002 + C00455</t>
  </si>
  <si>
    <t>C00035 + C00636</t>
  </si>
  <si>
    <t>C00029 + C00446</t>
  </si>
  <si>
    <t>C00075 + C04501</t>
  </si>
  <si>
    <t>C00024 + C06156</t>
  </si>
  <si>
    <t>C00459 + C00103</t>
  </si>
  <si>
    <t>C00002 + C01134</t>
  </si>
  <si>
    <t>C00063 + C00416</t>
  </si>
  <si>
    <t xml:space="preserve">C00201 + C00046 </t>
  </si>
  <si>
    <t>C00046 + C00009</t>
  </si>
  <si>
    <t>C00075 + C00103</t>
  </si>
  <si>
    <t>C04702 + C17556</t>
  </si>
  <si>
    <t xml:space="preserve">C00269 + C00093 </t>
  </si>
  <si>
    <t>C00010 + C03688</t>
  </si>
  <si>
    <t>C00868 + C15812 + C00002</t>
  </si>
  <si>
    <t>C00097 + C02342</t>
  </si>
  <si>
    <t>C15811 + C00097</t>
  </si>
  <si>
    <t>C03880 + C00001</t>
  </si>
  <si>
    <t>C03899 + C00001</t>
  </si>
  <si>
    <t>C01100 + C00001</t>
  </si>
  <si>
    <t>C00562 + C00001</t>
  </si>
  <si>
    <t>C00988 + C00001</t>
  </si>
  <si>
    <t xml:space="preserve">C15585 + C00001 </t>
  </si>
  <si>
    <t>C03892 + C00001</t>
  </si>
  <si>
    <t>C01005 + C00001</t>
  </si>
  <si>
    <t>C01167 + C00001</t>
  </si>
  <si>
    <t>C02520 + C00001</t>
  </si>
  <si>
    <t>C02995 + C00001</t>
  </si>
  <si>
    <t>C17627 + C00001</t>
  </si>
  <si>
    <t>C00301 + C00001</t>
  </si>
  <si>
    <t>C00369 + C00001</t>
  </si>
  <si>
    <t>C00243 + C00001</t>
  </si>
  <si>
    <t>C00021 + C00001</t>
  </si>
  <si>
    <t>C01419 + C00001</t>
  </si>
  <si>
    <t xml:space="preserve">C00152 + C00001 </t>
  </si>
  <si>
    <t>C00153 + C00001</t>
  </si>
  <si>
    <t>C00357 + C00001</t>
  </si>
  <si>
    <t>C04131 + C00001</t>
  </si>
  <si>
    <t>C03620 + C00001</t>
  </si>
  <si>
    <t>C04390 + C00001</t>
  </si>
  <si>
    <t xml:space="preserve">C00014 + C00288 </t>
  </si>
  <si>
    <t>C11439 + C00001</t>
  </si>
  <si>
    <t>C00337 + C00001</t>
  </si>
  <si>
    <t xml:space="preserve">C00179 + C00001 </t>
  </si>
  <si>
    <t>C00239 + C00001</t>
  </si>
  <si>
    <t>C00044 + C00001</t>
  </si>
  <si>
    <t>C17324 + C00001</t>
  </si>
  <si>
    <t>C00212 + C00001</t>
  </si>
  <si>
    <t>C00475 + C00001</t>
  </si>
  <si>
    <t>C20905 + C00001</t>
  </si>
  <si>
    <t>C00352 + C00001</t>
  </si>
  <si>
    <t>C00460 + C00001</t>
  </si>
  <si>
    <t>C04574 + C00001</t>
  </si>
  <si>
    <t>C06197 + C00001</t>
  </si>
  <si>
    <t>C19967 + C00001</t>
  </si>
  <si>
    <t>C02133 + C00001</t>
  </si>
  <si>
    <t>C02103 + C00001</t>
  </si>
  <si>
    <t>C00009 + C00036</t>
  </si>
  <si>
    <t>C00002 + C01143</t>
  </si>
  <si>
    <t>C00251 + C000064</t>
  </si>
  <si>
    <t xml:space="preserve">C00008 + C04856 </t>
  </si>
  <si>
    <t>C00106 + C00117</t>
  </si>
  <si>
    <t>C01102 + C00001</t>
  </si>
  <si>
    <t>C00441 + C00022</t>
  </si>
  <si>
    <t>C00155 + C00001</t>
  </si>
  <si>
    <t>C00002 + C00082 + C00787</t>
  </si>
  <si>
    <t>C00002 + C00073 + C01647</t>
  </si>
  <si>
    <t>C00002 + C00065 + C01650</t>
  </si>
  <si>
    <t>C01638 + C00049 + C00002</t>
  </si>
  <si>
    <t>C00002 + C00037 + C01642</t>
  </si>
  <si>
    <t>C00002 + C00148 + C01649</t>
  </si>
  <si>
    <t>C00002 + C00097 + C01639</t>
  </si>
  <si>
    <t>C01641 + C00025 + C00002</t>
  </si>
  <si>
    <t>C00002 + C00025 + C01640</t>
  </si>
  <si>
    <t>C00002 + C00062 + C01636</t>
  </si>
  <si>
    <t>C00002 + C00078 + C01652</t>
  </si>
  <si>
    <t>C00002 + C00079 + C01648</t>
  </si>
  <si>
    <t>C00002 + C00135 + C01643</t>
  </si>
  <si>
    <t>C00002 + C00152 + C01637</t>
  </si>
  <si>
    <t>C00002 + C00188 + C01651</t>
  </si>
  <si>
    <t>C00002 + C00123 + C01645</t>
  </si>
  <si>
    <t>C00002 + C00407 + C01644</t>
  </si>
  <si>
    <t>C00002 + C00047 + C01646</t>
  </si>
  <si>
    <t>C00002 + C00041 + C01635</t>
  </si>
  <si>
    <t xml:space="preserve"> C00002 + C00183 + C01653</t>
  </si>
  <si>
    <t>C00002 + C00049 + C00014</t>
  </si>
  <si>
    <t>C00002 + C00025 + C00014</t>
  </si>
  <si>
    <t>C00002 + C16241 + C16240</t>
  </si>
  <si>
    <t>C00002 + C00857 + C00014</t>
  </si>
  <si>
    <t>C00002 + C05892 + C00993</t>
  </si>
  <si>
    <t>C00002 + C00921 + C00025</t>
  </si>
  <si>
    <t>C00002 + C00025 + C00097</t>
  </si>
  <si>
    <t>C00002 + C00669 + C00037</t>
  </si>
  <si>
    <t>C00063 + C03492 + C00097</t>
  </si>
  <si>
    <t>C00002 + C04751 + C00049</t>
  </si>
  <si>
    <t>C00002 + C00692 + C00047</t>
  </si>
  <si>
    <t>C00002 + C01050 + C00041</t>
  </si>
  <si>
    <t>C00002 + C01212 + C00217</t>
  </si>
  <si>
    <t>C00002 + C04640</t>
  </si>
  <si>
    <t>C00002 + C03090 + C00037</t>
  </si>
  <si>
    <t>C00002 + C06250 + C00288</t>
  </si>
  <si>
    <t>C00002 + C03373 + C00288</t>
  </si>
  <si>
    <t>C19722 + C000047 + C00002</t>
  </si>
  <si>
    <t>C20248 + C000014 + C00002</t>
  </si>
  <si>
    <t>C01185 + C00013 + C00008 + C00009</t>
  </si>
  <si>
    <t>C00101 + C00058 + C00002</t>
  </si>
  <si>
    <t>C00044 + C00130 + C00049</t>
  </si>
  <si>
    <t>C00002 + C00327 + C00049</t>
  </si>
  <si>
    <t>C00064 + C00001</t>
  </si>
  <si>
    <t>C00002 + C04376 + C0064 + C00001</t>
  </si>
  <si>
    <t xml:space="preserve"> C00064 + C00001 </t>
  </si>
  <si>
    <t>C02282 + C00025 + C00009 + C00008</t>
  </si>
  <si>
    <t>C00002 + C00024 + C00288</t>
  </si>
  <si>
    <t>C00002 + C00001</t>
  </si>
  <si>
    <t>C00226 * C00003</t>
  </si>
  <si>
    <t>C00084 * C00010 * C00003</t>
  </si>
  <si>
    <t>C01271 * C00006</t>
  </si>
  <si>
    <t>C0052 * C00006</t>
  </si>
  <si>
    <t>C00130 * C00003 * C00001</t>
  </si>
  <si>
    <t>C00493 * C00006</t>
  </si>
  <si>
    <t>C00186 * C00003</t>
  </si>
  <si>
    <t>C00263 * C00003</t>
  </si>
  <si>
    <t>C00810 * C00003</t>
  </si>
  <si>
    <t>C00466 * C00010 * C00003</t>
  </si>
  <si>
    <t>C00741 * C00004 * C00080</t>
  </si>
  <si>
    <t xml:space="preserve">C01271 * C22409 </t>
  </si>
  <si>
    <t xml:space="preserve">C00311 * C00006 </t>
  </si>
  <si>
    <t>C00233 * C00011</t>
  </si>
  <si>
    <t xml:space="preserve">C04272 * C00006 </t>
  </si>
  <si>
    <t xml:space="preserve">C00093 * C00003 </t>
  </si>
  <si>
    <t>C00197 * C00003</t>
  </si>
  <si>
    <t>C03972 * C00003 * C00001</t>
  </si>
  <si>
    <t>C04232 * C00343 * C00001</t>
  </si>
  <si>
    <t>C00677 * C00343 * C00001</t>
  </si>
  <si>
    <t>C01978 *C00028 * C00001</t>
  </si>
  <si>
    <t>C00441 * C00009 * C00006</t>
  </si>
  <si>
    <t>C00118 * C00009 * C00003</t>
  </si>
  <si>
    <t>C01250 * C00009 * C00006</t>
  </si>
  <si>
    <t>C01165 * C00009 * C00006</t>
  </si>
  <si>
    <t>C00118 * C00006 * C00001</t>
  </si>
  <si>
    <t xml:space="preserve">C00254 * C00003 </t>
  </si>
  <si>
    <t xml:space="preserve">C00337 * C00006 </t>
  </si>
  <si>
    <t>C00173 * C00003</t>
  </si>
  <si>
    <t>C01050 * C00006</t>
  </si>
  <si>
    <t>C20675 * C04253</t>
  </si>
  <si>
    <t>C00337 * C00122</t>
  </si>
  <si>
    <t>C00025 * C00006 * C00001</t>
  </si>
  <si>
    <t>C00148 * C00003</t>
  </si>
  <si>
    <t>C00440 * C00006</t>
  </si>
  <si>
    <t>C00101 * C00006</t>
  </si>
  <si>
    <t>C00143 * C00006</t>
  </si>
  <si>
    <t xml:space="preserve">C00445 * C00001 </t>
  </si>
  <si>
    <t>C16832 * C00003</t>
  </si>
  <si>
    <t>C00342 * C00006</t>
  </si>
  <si>
    <t>C03023 * C00343 * C00002</t>
  </si>
  <si>
    <t>C03023 * C00343 * C00001</t>
  </si>
  <si>
    <t>C00019 * C05196 * C05197</t>
  </si>
  <si>
    <t>C03172 * C00155</t>
  </si>
  <si>
    <t>C04489 * C00155</t>
  </si>
  <si>
    <t>C00019 * C00240</t>
  </si>
  <si>
    <t>C00019 * C02735</t>
  </si>
  <si>
    <t>C02583 * C00019</t>
  </si>
  <si>
    <t>C00019 * C01977</t>
  </si>
  <si>
    <t>C00365 * C00143</t>
  </si>
  <si>
    <t>C04250 * C02743</t>
  </si>
  <si>
    <t>C00019 * C00821</t>
  </si>
  <si>
    <t>C00143 * C01764 * C00004 * C00080</t>
  </si>
  <si>
    <t>C00019 * C01229</t>
  </si>
  <si>
    <t>C00143 * C00037 * C00001</t>
  </si>
  <si>
    <t>C00234 *C03838</t>
  </si>
  <si>
    <t xml:space="preserve">C00234 * C04677 </t>
  </si>
  <si>
    <t>C00130 * C00001</t>
  </si>
  <si>
    <t>C02430 * C00234</t>
  </si>
  <si>
    <t>C00024 * C04419</t>
  </si>
  <si>
    <t>C00169 * C00049</t>
  </si>
  <si>
    <t>C00169 * C00077</t>
  </si>
  <si>
    <t>C05382 * C00118</t>
  </si>
  <si>
    <t>C00900 * C00011</t>
  </si>
  <si>
    <t xml:space="preserve">C00024 * C01209 </t>
  </si>
  <si>
    <t>C00024 * C03803</t>
  </si>
  <si>
    <t>C00065 * C00024</t>
  </si>
  <si>
    <t xml:space="preserve">C00024 * C00263 </t>
  </si>
  <si>
    <t>C00437 * C00025</t>
  </si>
  <si>
    <t xml:space="preserve">C00024 * C00025 </t>
  </si>
  <si>
    <t>C00083 * C00229</t>
  </si>
  <si>
    <t xml:space="preserve">C00173 * C01209 </t>
  </si>
  <si>
    <t>C00024 * C00058</t>
  </si>
  <si>
    <t>C00024 * C00009</t>
  </si>
  <si>
    <t>C03972 * C00024 * C00001</t>
  </si>
  <si>
    <t>C00356 * C00010</t>
  </si>
  <si>
    <t>C00158 * C00010</t>
  </si>
  <si>
    <t>C00029 * C06364</t>
  </si>
  <si>
    <t>C00029 * C00641</t>
  </si>
  <si>
    <t>C04851 * C00043</t>
  </si>
  <si>
    <t>C15586 * C00009</t>
  </si>
  <si>
    <t>C01103 * C00013</t>
  </si>
  <si>
    <t>C03090 * C00013 * C00025</t>
  </si>
  <si>
    <t xml:space="preserve">C04302 * C00013 </t>
  </si>
  <si>
    <t xml:space="preserve">C01977 * C16675 </t>
  </si>
  <si>
    <t>C0029 * C00009</t>
  </si>
  <si>
    <t>C00020 * C00013</t>
  </si>
  <si>
    <t>C00105 * C00013</t>
  </si>
  <si>
    <t>C00019 * C20446</t>
  </si>
  <si>
    <t xml:space="preserve">C00341 * C00129 </t>
  </si>
  <si>
    <t>C04807 * C00568</t>
  </si>
  <si>
    <t>C01322 * C00051</t>
  </si>
  <si>
    <t>C00074 * C03175</t>
  </si>
  <si>
    <t>C00979 * C00283</t>
  </si>
  <si>
    <t>C02291 * C00001</t>
  </si>
  <si>
    <t>C01118 * C00097</t>
  </si>
  <si>
    <t xml:space="preserve">C01077 * C00409 </t>
  </si>
  <si>
    <t>C00009 * C00013 * C00019</t>
  </si>
  <si>
    <t xml:space="preserve">C00074 * C00043 </t>
  </si>
  <si>
    <t xml:space="preserve">C00235 * C17324 </t>
  </si>
  <si>
    <t>C00049 * C00026</t>
  </si>
  <si>
    <t xml:space="preserve">C00437 * C00026 </t>
  </si>
  <si>
    <t>C00064 * C00085</t>
  </si>
  <si>
    <t xml:space="preserve">C00123 * C00026 </t>
  </si>
  <si>
    <t>C01005 * C00026</t>
  </si>
  <si>
    <t xml:space="preserve">C00064 * C00001 </t>
  </si>
  <si>
    <t xml:space="preserve">C00251 * C00064 </t>
  </si>
  <si>
    <t>C00002 * C00641</t>
  </si>
  <si>
    <t>C00002 * C05345</t>
  </si>
  <si>
    <t>C00016 * C19803</t>
  </si>
  <si>
    <t>C00002 * C00031</t>
  </si>
  <si>
    <t>C00002 * C00140</t>
  </si>
  <si>
    <t>C00002 * C00214</t>
  </si>
  <si>
    <t>C00002 * C00003</t>
  </si>
  <si>
    <t>C00002 * C00008</t>
  </si>
  <si>
    <t>C00002 * C00255</t>
  </si>
  <si>
    <t>C00002 * C00061</t>
  </si>
  <si>
    <t>C00002 * C00258</t>
  </si>
  <si>
    <t>C00002 * C00864</t>
  </si>
  <si>
    <t>C00002 * C00250</t>
  </si>
  <si>
    <t>C00002 * C00418</t>
  </si>
  <si>
    <t>C00002 * C00263</t>
  </si>
  <si>
    <t>C00002 * C00095</t>
  </si>
  <si>
    <t>C00002 * C00022</t>
  </si>
  <si>
    <t>C00002 * C00475</t>
  </si>
  <si>
    <t>C00002 * C01094</t>
  </si>
  <si>
    <t>C00002 * C00984</t>
  </si>
  <si>
    <t>C00002 * C17558</t>
  </si>
  <si>
    <t>C00002 * C00493</t>
  </si>
  <si>
    <t>C00002 * C00017</t>
  </si>
  <si>
    <t>C00002 * C00033</t>
  </si>
  <si>
    <t>C00002 * C00025</t>
  </si>
  <si>
    <t>C00002 * C00197</t>
  </si>
  <si>
    <t>C00002 * C00049</t>
  </si>
  <si>
    <t>C00002 * C00624</t>
  </si>
  <si>
    <t>C00074 * C00615</t>
  </si>
  <si>
    <t>C00002 * C01107</t>
  </si>
  <si>
    <t>C00002 * C00105</t>
  </si>
  <si>
    <t>C00002 * C00055</t>
  </si>
  <si>
    <t>C00002 * C00020</t>
  </si>
  <si>
    <t>C00002 * C00454</t>
  </si>
  <si>
    <t>C00002 * C04556</t>
  </si>
  <si>
    <t>C00002 * C00144</t>
  </si>
  <si>
    <t>C00002 * C00364</t>
  </si>
  <si>
    <t>C00002 * C00117</t>
  </si>
  <si>
    <t>C00002 * C00378</t>
  </si>
  <si>
    <t>C00002 * C01300</t>
  </si>
  <si>
    <t>C00002 * C00044</t>
  </si>
  <si>
    <t>C01228 * C00001</t>
  </si>
  <si>
    <t>C00002 * C00455</t>
  </si>
  <si>
    <t>C00035 * C00636</t>
  </si>
  <si>
    <t>C00029 * C00446</t>
  </si>
  <si>
    <t>C00075 * C04501</t>
  </si>
  <si>
    <t>C00024 * C06156</t>
  </si>
  <si>
    <t>C00459 * C00103</t>
  </si>
  <si>
    <t>C00002 * C01134</t>
  </si>
  <si>
    <t>C00063 * C00416</t>
  </si>
  <si>
    <t xml:space="preserve">C00201 * C00046 </t>
  </si>
  <si>
    <t>C00046 * C00009</t>
  </si>
  <si>
    <t>C00075 * C00103</t>
  </si>
  <si>
    <t>C04702 * C17556</t>
  </si>
  <si>
    <t xml:space="preserve">C00269 * C00093 </t>
  </si>
  <si>
    <t>C00010 * C03688</t>
  </si>
  <si>
    <t>C00868 * C15812 * C00002</t>
  </si>
  <si>
    <t>C00097 * C02342</t>
  </si>
  <si>
    <t>C15811 * C00097</t>
  </si>
  <si>
    <t>C03880 * C00001</t>
  </si>
  <si>
    <t>C03899 * C00001</t>
  </si>
  <si>
    <t>C01100 * C00001</t>
  </si>
  <si>
    <t>C00562 * C00001</t>
  </si>
  <si>
    <t>C00988 * C00001</t>
  </si>
  <si>
    <t xml:space="preserve">C15585 * C00001 </t>
  </si>
  <si>
    <t>C03892 * C00001</t>
  </si>
  <si>
    <t>C01005 * C00001</t>
  </si>
  <si>
    <t>C01167 * C00001</t>
  </si>
  <si>
    <t>C02520 * C00001</t>
  </si>
  <si>
    <t>C02995 * C00001</t>
  </si>
  <si>
    <t>C17627 * C00001</t>
  </si>
  <si>
    <t>C00301 * C00001</t>
  </si>
  <si>
    <t>C00369 * C00001</t>
  </si>
  <si>
    <t>C00243 * C00001</t>
  </si>
  <si>
    <t>C00021 * C00001</t>
  </si>
  <si>
    <t>C01419 * C00001</t>
  </si>
  <si>
    <t xml:space="preserve">C00152 * C00001 </t>
  </si>
  <si>
    <t>C00153 * C00001</t>
  </si>
  <si>
    <t>C00357 * C00001</t>
  </si>
  <si>
    <t>C04131 * C00001</t>
  </si>
  <si>
    <t>C03620 * C00001</t>
  </si>
  <si>
    <t>C04390 * C00001</t>
  </si>
  <si>
    <t xml:space="preserve">C00014 * C00288 </t>
  </si>
  <si>
    <t>C11439 * C00001</t>
  </si>
  <si>
    <t>C00337 * C00001</t>
  </si>
  <si>
    <t xml:space="preserve">C00179 * C00001 </t>
  </si>
  <si>
    <t>C00239 * C00001</t>
  </si>
  <si>
    <t>C00044 * C00001</t>
  </si>
  <si>
    <t>C17324 * C00001</t>
  </si>
  <si>
    <t>C00212 * C00001</t>
  </si>
  <si>
    <t>C00475 * C00001</t>
  </si>
  <si>
    <t>C20905 * C00001</t>
  </si>
  <si>
    <t>C00352 * C00001</t>
  </si>
  <si>
    <t>C00460 * C00001</t>
  </si>
  <si>
    <t>C04574 * C00001</t>
  </si>
  <si>
    <t>C06197 * C00001</t>
  </si>
  <si>
    <t>C19967 * C00001</t>
  </si>
  <si>
    <t>C02133 * C00001</t>
  </si>
  <si>
    <t>C02103 * C00001</t>
  </si>
  <si>
    <t>C00009 * C00036</t>
  </si>
  <si>
    <t>C00002 * C01143</t>
  </si>
  <si>
    <t>C00251 * C000064</t>
  </si>
  <si>
    <t xml:space="preserve">C00008 * C04856 </t>
  </si>
  <si>
    <t>C00106 * C00117</t>
  </si>
  <si>
    <t>C01102 * C00001</t>
  </si>
  <si>
    <t>C00441 * C00022</t>
  </si>
  <si>
    <t>C00155 * C00001</t>
  </si>
  <si>
    <t>C00002 * C00082 * C00787</t>
  </si>
  <si>
    <t>C00002 * C00073 * C01647</t>
  </si>
  <si>
    <t>C00002 * C00065 * C01650</t>
  </si>
  <si>
    <t>C01638 * C00049 * C00002</t>
  </si>
  <si>
    <t>C00002 * C00037 * C01642</t>
  </si>
  <si>
    <t>C00002 * C00148 * C01649</t>
  </si>
  <si>
    <t>C00002 * C00097 * C01639</t>
  </si>
  <si>
    <t>C01641 * C00025 * C00002</t>
  </si>
  <si>
    <t>C00002 * C00025 * C01640</t>
  </si>
  <si>
    <t>C00002 * C00062 * C01636</t>
  </si>
  <si>
    <t>C00002 * C00078 * C01652</t>
  </si>
  <si>
    <t>C00002 * C00079 * C01648</t>
  </si>
  <si>
    <t>C00002 * C00135 * C01643</t>
  </si>
  <si>
    <t>C00002 * C00152 * C01637</t>
  </si>
  <si>
    <t>C00002 * C00188 * C01651</t>
  </si>
  <si>
    <t>C00002 * C00123 * C01645</t>
  </si>
  <si>
    <t>C00002 * C00407 * C01644</t>
  </si>
  <si>
    <t>C00002 * C00047 * C01646</t>
  </si>
  <si>
    <t>C00002 * C00041 * C01635</t>
  </si>
  <si>
    <t xml:space="preserve"> C00002 * C00183 * C01653</t>
  </si>
  <si>
    <t>C00002 * C00049 * C00014</t>
  </si>
  <si>
    <t>C00002 * C00025 * C00014</t>
  </si>
  <si>
    <t>C00002 * C16241 * C16240</t>
  </si>
  <si>
    <t>C00002 * C00857 * C00014</t>
  </si>
  <si>
    <t>C00002 * C05892 * C00993</t>
  </si>
  <si>
    <t>C00002 * C00921 * C00025</t>
  </si>
  <si>
    <t>C00002 * C00025 * C00097</t>
  </si>
  <si>
    <t>C00002 * C00669 * C00037</t>
  </si>
  <si>
    <t>C00063 * C03492 * C00097</t>
  </si>
  <si>
    <t>C00002 * C04751 * C00049</t>
  </si>
  <si>
    <t>C00002 * C00692 * C00047</t>
  </si>
  <si>
    <t>C00002 * C01050 * C00041</t>
  </si>
  <si>
    <t>C00002 * C01212 * C00217</t>
  </si>
  <si>
    <t>C00002 * C04640</t>
  </si>
  <si>
    <t>C00002 * C03090 * C00037</t>
  </si>
  <si>
    <t>C00002 * C06250 * C00288</t>
  </si>
  <si>
    <t>C00002 * C03373 * C00288</t>
  </si>
  <si>
    <t>C19722 * C000047 * C00002</t>
  </si>
  <si>
    <t>C20248 * C000014 * C00002</t>
  </si>
  <si>
    <t>C01185 * C00013 * C00008 * C00009</t>
  </si>
  <si>
    <t>C00101 * C00058 * C00002</t>
  </si>
  <si>
    <t>C00044 * C00130 * C00049</t>
  </si>
  <si>
    <t>C00002 * C00327 * C00049</t>
  </si>
  <si>
    <t>C00064 * C00001</t>
  </si>
  <si>
    <t>C00002 * C04376 * C0064 * C00001</t>
  </si>
  <si>
    <t xml:space="preserve"> C00064 * C00001 </t>
  </si>
  <si>
    <t>C02282 * C00025 * C00009 * C00008</t>
  </si>
  <si>
    <t>C00002 * C00024 * C00288</t>
  </si>
  <si>
    <t>C00002 * C00001</t>
  </si>
  <si>
    <t>Product (Addition)</t>
  </si>
  <si>
    <t>Product (Multiplication)</t>
  </si>
  <si>
    <t>C00071 + C00004 + C00080</t>
  </si>
  <si>
    <t>C00024 + C00004 + C00080</t>
  </si>
  <si>
    <t>C00685 + C00005 + C00080</t>
  </si>
  <si>
    <t>C0096 + C00005 + C00080</t>
  </si>
  <si>
    <t>C00655 + C00004 + C00080</t>
  </si>
  <si>
    <t>C02637 + C00005 + C00080</t>
  </si>
  <si>
    <t>C00022 + C00004 + C00080</t>
  </si>
  <si>
    <t>C00441 + C00004 + C00080</t>
  </si>
  <si>
    <t>C00084 + C00024 + C00004 + C00080</t>
  </si>
  <si>
    <t>C01769  + C00003</t>
  </si>
  <si>
    <t>C22410 + C00229</t>
  </si>
  <si>
    <t>C00026 + C00011 + C00005 + C00080</t>
  </si>
  <si>
    <t>C06010 + C00005 + C00080</t>
  </si>
  <si>
    <t>C00111 + C00004 + C00080</t>
  </si>
  <si>
    <t>C03232 + C00004 + C00080</t>
  </si>
  <si>
    <t>C00027 + C00007</t>
  </si>
  <si>
    <t>C20258 + C00004 + C00080</t>
  </si>
  <si>
    <t>C03723 + C00342</t>
  </si>
  <si>
    <t>C03802 + C00342</t>
  </si>
  <si>
    <t>C19647 + C00030</t>
  </si>
  <si>
    <t>C03082 + C00005 + C00080</t>
  </si>
  <si>
    <t>C00236 + C00004 + C00080</t>
  </si>
  <si>
    <t>C04133 + C00005 + C00080</t>
  </si>
  <si>
    <t>C03287 + C00005 + C0080</t>
  </si>
  <si>
    <t>C00197 + C00005 + C00080</t>
  </si>
  <si>
    <t>C01179 + C00011 + C00004 + C00080</t>
  </si>
  <si>
    <t>C00295 + C00005 + C00080</t>
  </si>
  <si>
    <t>C00693 + C00004 + C00080</t>
  </si>
  <si>
    <t>C04631 + C00005 + C00080</t>
  </si>
  <si>
    <t>C20676 + C04570</t>
  </si>
  <si>
    <t>C00295 + C00042</t>
  </si>
  <si>
    <t>C00026 + C00014 + C00005 + C0080</t>
  </si>
  <si>
    <t>C03912 + C00004 + C00080</t>
  </si>
  <si>
    <t>C00143 + C00005 + C00080</t>
  </si>
  <si>
    <t>C00415 + C00005 + C00080</t>
  </si>
  <si>
    <t>C00445 + C00005</t>
  </si>
  <si>
    <t>C00234 + C00080</t>
  </si>
  <si>
    <t>C16237 + C00004 + C00080</t>
  </si>
  <si>
    <t>C00127 + C00005 + C00080</t>
  </si>
  <si>
    <t>C00343 + C00005 + C0080</t>
  </si>
  <si>
    <t>C03895 + C00342</t>
  </si>
  <si>
    <t>C15653 + C00342</t>
  </si>
  <si>
    <t>C05198 + C00073 + C05199 + C05312</t>
  </si>
  <si>
    <t>C04144 + C00073</t>
  </si>
  <si>
    <t>C00021 + C04153</t>
  </si>
  <si>
    <t>C00021 + C03711</t>
  </si>
  <si>
    <t>C20858 + C00021</t>
  </si>
  <si>
    <t>C00021 + C04160</t>
  </si>
  <si>
    <t>C00415 + C00364</t>
  </si>
  <si>
    <t>C03800 + C11475</t>
  </si>
  <si>
    <t>C00021 + C03391</t>
  </si>
  <si>
    <t>C00101 + C03446 + C00003</t>
  </si>
  <si>
    <t>C00021 + C04340</t>
  </si>
  <si>
    <t>C00101 + C00065</t>
  </si>
  <si>
    <t>C00101 + C04376</t>
  </si>
  <si>
    <t>C00101 + C04734</t>
  </si>
  <si>
    <t>C00101 + C03294</t>
  </si>
  <si>
    <t>C00083 + C06250</t>
  </si>
  <si>
    <t>C00009 + C00438</t>
  </si>
  <si>
    <t>C00009 + C00327</t>
  </si>
  <si>
    <t>C00117 + C00231</t>
  </si>
  <si>
    <t>C05744 + C00010 + C00011</t>
  </si>
  <si>
    <t>C00010 + C04341</t>
  </si>
  <si>
    <t>C00979 + C00010</t>
  </si>
  <si>
    <t>C00010 + C01077</t>
  </si>
  <si>
    <t>C00077 + C00624</t>
  </si>
  <si>
    <t>C00010 + C00624</t>
  </si>
  <si>
    <t>C00010 + C01209</t>
  </si>
  <si>
    <t>C00685 + C00011  + C00229</t>
  </si>
  <si>
    <t>C00010 + C00022</t>
  </si>
  <si>
    <t>C00010 + C00227</t>
  </si>
  <si>
    <t>C05539 + C00010</t>
  </si>
  <si>
    <t>C00024 + C00001 + C00332</t>
  </si>
  <si>
    <t>C00024 + C00001 + C00036</t>
  </si>
  <si>
    <t>C00015 + C06365</t>
  </si>
  <si>
    <t>C00015 + C06364</t>
  </si>
  <si>
    <t>C05893 + C00015</t>
  </si>
  <si>
    <t>C15587 + C00620</t>
  </si>
  <si>
    <t>C00295 + C00119</t>
  </si>
  <si>
    <t>C00064 + C0019 + C00001</t>
  </si>
  <si>
    <t>C00108 + C00119</t>
  </si>
  <si>
    <t>C20446 + C00242</t>
  </si>
  <si>
    <t>C00106 + C00620</t>
  </si>
  <si>
    <t>C00147 + C00119</t>
  </si>
  <si>
    <t>C00262 + C00119</t>
  </si>
  <si>
    <t>C00106 + C00119</t>
  </si>
  <si>
    <t>C00073 + C00147 + C19647</t>
  </si>
  <si>
    <t>C00013 + C00448</t>
  </si>
  <si>
    <t>C00013 + C00921</t>
  </si>
  <si>
    <t>C00462 + C02320</t>
  </si>
  <si>
    <t>C00009 + C01269</t>
  </si>
  <si>
    <t>C00097 + C00033</t>
  </si>
  <si>
    <t>C000097 + C00014 + C00109</t>
  </si>
  <si>
    <t>C02291 + C00042</t>
  </si>
  <si>
    <t>C00073 + C00033</t>
  </si>
  <si>
    <t>C00002 + C00073 + C00001</t>
  </si>
  <si>
    <t>C04631 + C00009</t>
  </si>
  <si>
    <t>C00013 + C04432</t>
  </si>
  <si>
    <t>C00036 + C00025</t>
  </si>
  <si>
    <t>C01250 + C00025</t>
  </si>
  <si>
    <t>C00025 + C00352</t>
  </si>
  <si>
    <t>C00233 + C00025</t>
  </si>
  <si>
    <t>C03232 + C00025</t>
  </si>
  <si>
    <t>C00025 + C00014</t>
  </si>
  <si>
    <t>C00568 + C00022</t>
  </si>
  <si>
    <t>C00108 + C00022 + C00025</t>
  </si>
  <si>
    <t>C00008 + C00416</t>
  </si>
  <si>
    <t>C000008 + C05378</t>
  </si>
  <si>
    <t>C20730 + C00020</t>
  </si>
  <si>
    <t>C00008 + C00092</t>
  </si>
  <si>
    <t>C00008 + C00357</t>
  </si>
  <si>
    <t>C00008 + C00364</t>
  </si>
  <si>
    <t>C00008 + C00006</t>
  </si>
  <si>
    <t>C00008 + C00010</t>
  </si>
  <si>
    <t>C00008 + C00061</t>
  </si>
  <si>
    <t>C00013 + C000016</t>
  </si>
  <si>
    <t>C00008 + C00197</t>
  </si>
  <si>
    <t>C00008 + C03492</t>
  </si>
  <si>
    <t>C00008 + C00018</t>
  </si>
  <si>
    <t>C00008 + C01107</t>
  </si>
  <si>
    <t>C00008 + C01102</t>
  </si>
  <si>
    <t>C00008 + C00085</t>
  </si>
  <si>
    <t>C00008 + C00074</t>
  </si>
  <si>
    <t>C00008 + C00055</t>
  </si>
  <si>
    <t>C00008 + C00354</t>
  </si>
  <si>
    <t>C00008 + C00446</t>
  </si>
  <si>
    <t>C00008 + C17556</t>
  </si>
  <si>
    <t>C00008 + C03175</t>
  </si>
  <si>
    <t>C00008 + C00562</t>
  </si>
  <si>
    <t>C00008 + C00227</t>
  </si>
  <si>
    <t>C00008 + C03287</t>
  </si>
  <si>
    <t>C00008 + C00236</t>
  </si>
  <si>
    <t>C00008 + C03082</t>
  </si>
  <si>
    <t>C00008 + C04133</t>
  </si>
  <si>
    <t>C00022 + C04261</t>
  </si>
  <si>
    <t>C00008 + C01143</t>
  </si>
  <si>
    <t>C00008 + C00015</t>
  </si>
  <si>
    <t>C00008 + C00112</t>
  </si>
  <si>
    <t>C00008 + C00201</t>
  </si>
  <si>
    <t>C00008 + C04752</t>
  </si>
  <si>
    <t>C00008 + C00035</t>
  </si>
  <si>
    <t>C00008 + C00363</t>
  </si>
  <si>
    <t>C00020 + C00119</t>
  </si>
  <si>
    <t>C000020 + C00068</t>
  </si>
  <si>
    <t>C00020 + C04807</t>
  </si>
  <si>
    <t>C00020 + C04494</t>
  </si>
  <si>
    <t>C00035 + C00013</t>
  </si>
  <si>
    <t>C00013 + C00003</t>
  </si>
  <si>
    <t>C00009 + C00096</t>
  </si>
  <si>
    <t>C00103 + C00052</t>
  </si>
  <si>
    <t>C00013 + C00043</t>
  </si>
  <si>
    <t>C00010 + C04501</t>
  </si>
  <si>
    <t>C00013 + C00842</t>
  </si>
  <si>
    <t>C00013 + C00882</t>
  </si>
  <si>
    <t>C00013 + C00269</t>
  </si>
  <si>
    <t>C00013 + C00046</t>
  </si>
  <si>
    <t>C00046 + C00454</t>
  </si>
  <si>
    <t>C00013 + C00029</t>
  </si>
  <si>
    <t>C00105 + C04851</t>
  </si>
  <si>
    <t>C00055 + C03892</t>
  </si>
  <si>
    <t>C00054 + C00229</t>
  </si>
  <si>
    <t>C17322 + C15811 + C00020 + C00013</t>
  </si>
  <si>
    <t>C00065 + C04161</t>
  </si>
  <si>
    <t>C15812 + C00041</t>
  </si>
  <si>
    <t>C03523 + C00066</t>
  </si>
  <si>
    <t>C00051 + C02929</t>
  </si>
  <si>
    <t>C00860 + C00009</t>
  </si>
  <si>
    <t>C00017 + C00009</t>
  </si>
  <si>
    <t>C00160 + C00009</t>
  </si>
  <si>
    <t>C00137 + C00009</t>
  </si>
  <si>
    <t>C00344 + C00009</t>
  </si>
  <si>
    <t>C00065 + C00009</t>
  </si>
  <si>
    <t>C00585 + C00009</t>
  </si>
  <si>
    <t>C00911 + C00009</t>
  </si>
  <si>
    <t>C00208 + C00009</t>
  </si>
  <si>
    <t>C17628 + C000013</t>
  </si>
  <si>
    <t>C00020 + C00117</t>
  </si>
  <si>
    <t>C00721 + C00369</t>
  </si>
  <si>
    <t>C00031 + C00962</t>
  </si>
  <si>
    <t>C03539 + C00147</t>
  </si>
  <si>
    <t>C00097 + C00037</t>
  </si>
  <si>
    <t>C00049 + C00014</t>
  </si>
  <si>
    <t>C00060 + C00151</t>
  </si>
  <si>
    <t>C00253 + C00014</t>
  </si>
  <si>
    <t>C00352 + C00033</t>
  </si>
  <si>
    <t>C02028 + C00014</t>
  </si>
  <si>
    <t>C00060 + C00014</t>
  </si>
  <si>
    <t>C00033 + C00666</t>
  </si>
  <si>
    <t>C01563 + C00001</t>
  </si>
  <si>
    <t>C11440 + C00058</t>
  </si>
  <si>
    <t>C00134 + C00086</t>
  </si>
  <si>
    <t>C00365 + C000014</t>
  </si>
  <si>
    <t>C04895 + C00058</t>
  </si>
  <si>
    <t>C20451 + C00014</t>
  </si>
  <si>
    <t>C00294 + C00014</t>
  </si>
  <si>
    <t>C00299 + C00014</t>
  </si>
  <si>
    <t>C00109 + C00014</t>
  </si>
  <si>
    <t>C00085 + C00014</t>
  </si>
  <si>
    <t>C00365 + C00013</t>
  </si>
  <si>
    <t>C17556 + C00009</t>
  </si>
  <si>
    <t>C00008 + C00020</t>
  </si>
  <si>
    <t>C19968 + C00013</t>
  </si>
  <si>
    <t>C00060 + C00009</t>
  </si>
  <si>
    <t>C02489 + C00462</t>
  </si>
  <si>
    <t>C00047 + C00011</t>
  </si>
  <si>
    <t>C00105 + C00011</t>
  </si>
  <si>
    <t>C00074 + C00011</t>
  </si>
  <si>
    <t>C00008 + C00009 + C00129 + C00011</t>
  </si>
  <si>
    <t>C01134 + C00011</t>
  </si>
  <si>
    <t>C03506 + C00011 + C00001</t>
  </si>
  <si>
    <t>C00810 + C00011</t>
  </si>
  <si>
    <t>C00111 + C00118</t>
  </si>
  <si>
    <t>C00266 + C01300</t>
  </si>
  <si>
    <t>C00011 + C00001</t>
  </si>
  <si>
    <t>C02637 + C00001</t>
  </si>
  <si>
    <t>C00074 + C00001</t>
  </si>
  <si>
    <t>C00020 + C00009 + C00004</t>
  </si>
  <si>
    <t>C02631 + C00001</t>
  </si>
  <si>
    <t>C01732 + C00001</t>
  </si>
  <si>
    <t>C11907 + C00001</t>
  </si>
  <si>
    <t>C00785 + C00001</t>
  </si>
  <si>
    <t>C00166 + C00001 + C00011</t>
  </si>
  <si>
    <t>C00693 + C00001</t>
  </si>
  <si>
    <t>C01168 + C00001</t>
  </si>
  <si>
    <t>C00141 + C00001</t>
  </si>
  <si>
    <t>C00188 + C00009</t>
  </si>
  <si>
    <t>C00944 + C00009</t>
  </si>
  <si>
    <t>C00022 + C00014</t>
  </si>
  <si>
    <t>C00122 + C00062</t>
  </si>
  <si>
    <t>C00122 + C00020</t>
  </si>
  <si>
    <t>C20258 + C00001</t>
  </si>
  <si>
    <t>C20248 + C00014</t>
  </si>
  <si>
    <t>C00097 + C00014 + C00109</t>
  </si>
  <si>
    <t>C00283 + C00014 + C00109</t>
  </si>
  <si>
    <t>C11838 + C00155</t>
  </si>
  <si>
    <t>C00051 + C00546</t>
  </si>
  <si>
    <t>C00020 + C00013 + C02839</t>
  </si>
  <si>
    <t>C000020 + C00013 + C02430</t>
  </si>
  <si>
    <t>C00020 + C00013 + C02553</t>
  </si>
  <si>
    <t>C02984 + C00013 + C00020</t>
  </si>
  <si>
    <t>C00020 + C00013 + C02412</t>
  </si>
  <si>
    <t>C00020 + C00013 + C02702</t>
  </si>
  <si>
    <t>C00020 + C00013 + C03125</t>
  </si>
  <si>
    <t>C02987 + C00013 + C00020</t>
  </si>
  <si>
    <t>C00020 + C00013 + C06112</t>
  </si>
  <si>
    <t>C00020 + C00013 + C02163</t>
  </si>
  <si>
    <t>C00020 + C00013 + C03512</t>
  </si>
  <si>
    <t>C00020 + C00013 + C03511</t>
  </si>
  <si>
    <t>C00020 + C00013 + C02988</t>
  </si>
  <si>
    <t>C00020 + C00013 + C03402</t>
  </si>
  <si>
    <t>C00020 + C00013 + C02992</t>
  </si>
  <si>
    <t>C00020 + C00013 + C02047</t>
  </si>
  <si>
    <t>C00020 + C00013 + C03127</t>
  </si>
  <si>
    <t>C00020 + C00013 + C01931</t>
  </si>
  <si>
    <t>C00020 + C00013 +C00886</t>
  </si>
  <si>
    <t>C00020 + C00013 + C02554</t>
  </si>
  <si>
    <t>C00020 + C00013 + C00152</t>
  </si>
  <si>
    <t>C00008 + C00009 + C00064</t>
  </si>
  <si>
    <t>C16237 + C00020 + C00013</t>
  </si>
  <si>
    <t>C00020 + C00013 + C00003</t>
  </si>
  <si>
    <t>C00008 + C00009 + C04702</t>
  </si>
  <si>
    <t>C00008 + C00009 + C00415</t>
  </si>
  <si>
    <t>C00008 + C00009 + C00669</t>
  </si>
  <si>
    <t>C00008 + C00009 + C00051</t>
  </si>
  <si>
    <t>C00008 + C00009 + C00993</t>
  </si>
  <si>
    <t>C00055 + C00013 + C04352</t>
  </si>
  <si>
    <t>C00008 + C00009 + C04823</t>
  </si>
  <si>
    <t>C00008 + C00009 + C05892</t>
  </si>
  <si>
    <t>C00008 + C00009 + C01212</t>
  </si>
  <si>
    <t>C00008 + C00009 + C00692</t>
  </si>
  <si>
    <t>C00008 + C00009 + C03373</t>
  </si>
  <si>
    <t>C00008 + C00009 + C03838</t>
  </si>
  <si>
    <t>C00008 + C00009 + C04419</t>
  </si>
  <si>
    <t>C00008 + C00009 + C15667</t>
  </si>
  <si>
    <t>C19723 + C00020 + C00013 + C00001</t>
  </si>
  <si>
    <t>C15996 + C00008 + C00009 + C00001</t>
  </si>
  <si>
    <t>C00253 + C00119 + C00002 + C00001 + C00080</t>
  </si>
  <si>
    <t>C00008 + C00009 + C00234</t>
  </si>
  <si>
    <t>C00035 + C00009 + C03794</t>
  </si>
  <si>
    <t>C00020 + C00013 + C03406</t>
  </si>
  <si>
    <t>C00008 + C00009 + C04640 + C00025</t>
  </si>
  <si>
    <t>C06112 + C00064 + C00002 + C00001</t>
  </si>
  <si>
    <t>C00008 + C00009 + C00083</t>
  </si>
  <si>
    <t>C00008 + C00009</t>
  </si>
  <si>
    <t>C00071 * C00004 * C00080</t>
  </si>
  <si>
    <t>C00024 * C00004 * C00080</t>
  </si>
  <si>
    <t>C00685 * C00005 * C00080</t>
  </si>
  <si>
    <t>C0096 * C00005 * C00080</t>
  </si>
  <si>
    <t>C00655 * C00004 * C00080</t>
  </si>
  <si>
    <t>C02637 * C00005 * C00080</t>
  </si>
  <si>
    <t>C00022 * C00004 * C00080</t>
  </si>
  <si>
    <t>C00441 * C00004 * C00080</t>
  </si>
  <si>
    <t>C00084 * C00024 * C00004 * C00080</t>
  </si>
  <si>
    <t>C01769  * C00003</t>
  </si>
  <si>
    <t>C22410 * C00229</t>
  </si>
  <si>
    <t>C00026 * C00011 * C00005 * C00080</t>
  </si>
  <si>
    <t>C06010 * C00005 * C00080</t>
  </si>
  <si>
    <t>C00111 * C00004 * C00080</t>
  </si>
  <si>
    <t>C03232 * C00004 * C00080</t>
  </si>
  <si>
    <t>C00027 * C00007</t>
  </si>
  <si>
    <t>C20258 * C00004 * C00080</t>
  </si>
  <si>
    <t>C03723 * C00342</t>
  </si>
  <si>
    <t>C03802 * C00342</t>
  </si>
  <si>
    <t>C19647 * C00030</t>
  </si>
  <si>
    <t>C03082 * C00005 * C00080</t>
  </si>
  <si>
    <t>C00236 * C00004 * C00080</t>
  </si>
  <si>
    <t>C04133 * C00005 * C00080</t>
  </si>
  <si>
    <t>C03287 * C00005 * C0080</t>
  </si>
  <si>
    <t>C00197 * C00005 * C00080</t>
  </si>
  <si>
    <t>C01179 * C00011 * C00004 * C00080</t>
  </si>
  <si>
    <t>C00295 * C00005 * C00080</t>
  </si>
  <si>
    <t>C00693 * C00004 * C00080</t>
  </si>
  <si>
    <t>C04631 * C00005 * C00080</t>
  </si>
  <si>
    <t>C20676 * C04570</t>
  </si>
  <si>
    <t>C00295 * C00042</t>
  </si>
  <si>
    <t>C00026 * C00014 * C00005 * C0080</t>
  </si>
  <si>
    <t>C03912 * C00004 * C00080</t>
  </si>
  <si>
    <t>C00143 * C00005 * C00080</t>
  </si>
  <si>
    <t>C00415 * C00005 * C00080</t>
  </si>
  <si>
    <t>C00445 * C00005</t>
  </si>
  <si>
    <t>C00234 * C00080</t>
  </si>
  <si>
    <t>C16237 * C00004 * C00080</t>
  </si>
  <si>
    <t>C00127 * C00005 * C00080</t>
  </si>
  <si>
    <t>C00343 * C00005 * C0080</t>
  </si>
  <si>
    <t>C03895 * C00342</t>
  </si>
  <si>
    <t>C15653 * C00342</t>
  </si>
  <si>
    <t>C05198 * C00073 * C05199 * C05312</t>
  </si>
  <si>
    <t>C04144 * C00073</t>
  </si>
  <si>
    <t>C00021 * C04153</t>
  </si>
  <si>
    <t>C00021 * C03711</t>
  </si>
  <si>
    <t>C20858 * C00021</t>
  </si>
  <si>
    <t>C00021 * C04160</t>
  </si>
  <si>
    <t>C00415 * C00364</t>
  </si>
  <si>
    <t>C03800 * C11475</t>
  </si>
  <si>
    <t>C00021 * C03391</t>
  </si>
  <si>
    <t>C00101 * C03446 * C00003</t>
  </si>
  <si>
    <t>C00021 * C04340</t>
  </si>
  <si>
    <t>C00101 * C00065</t>
  </si>
  <si>
    <t>C00101 * C04376</t>
  </si>
  <si>
    <t>C00101 * C04734</t>
  </si>
  <si>
    <t>C00101 * C03294</t>
  </si>
  <si>
    <t>C00083 * C06250</t>
  </si>
  <si>
    <t>C00009 * C00438</t>
  </si>
  <si>
    <t>C00009 * C00327</t>
  </si>
  <si>
    <t>C00117 * C00231</t>
  </si>
  <si>
    <t>C05744 * C00010 * C00011</t>
  </si>
  <si>
    <t>C00010 * C04341</t>
  </si>
  <si>
    <t>C00979 * C00010</t>
  </si>
  <si>
    <t>C00010 * C01077</t>
  </si>
  <si>
    <t>C00077 * C00624</t>
  </si>
  <si>
    <t>C00010 * C00624</t>
  </si>
  <si>
    <t>C00010 * C01209</t>
  </si>
  <si>
    <t>C00685 * C00011  * C00229</t>
  </si>
  <si>
    <t>C00010 * C00022</t>
  </si>
  <si>
    <t>C00010 * C00227</t>
  </si>
  <si>
    <t>C05539 * C00010</t>
  </si>
  <si>
    <t>C00024 * C00001 * C00332</t>
  </si>
  <si>
    <t>C00024 * C00001 * C00036</t>
  </si>
  <si>
    <t>C00015 * C06365</t>
  </si>
  <si>
    <t>C00015 * C06364</t>
  </si>
  <si>
    <t>C05893 * C00015</t>
  </si>
  <si>
    <t>C15587 * C00620</t>
  </si>
  <si>
    <t>C00295 * C00119</t>
  </si>
  <si>
    <t>C00064 * C0019 * C00001</t>
  </si>
  <si>
    <t>C00108 * C00119</t>
  </si>
  <si>
    <t>C20446 * C00242</t>
  </si>
  <si>
    <t>C00106 * C00620</t>
  </si>
  <si>
    <t>C00147 * C00119</t>
  </si>
  <si>
    <t>C00262 * C00119</t>
  </si>
  <si>
    <t>C00106 * C00119</t>
  </si>
  <si>
    <t>C00073 * C00147 * C19647</t>
  </si>
  <si>
    <t>C00013 * C00448</t>
  </si>
  <si>
    <t>C00013 * C00921</t>
  </si>
  <si>
    <t>C00462 * C02320</t>
  </si>
  <si>
    <t>C00009 * C01269</t>
  </si>
  <si>
    <t>C00097 * C00033</t>
  </si>
  <si>
    <t>C000097 * C00014 * C00109</t>
  </si>
  <si>
    <t>C02291 * C00042</t>
  </si>
  <si>
    <t>C00073 * C00033</t>
  </si>
  <si>
    <t>C00002 * C00073 * C00001</t>
  </si>
  <si>
    <t>C04631 * C00009</t>
  </si>
  <si>
    <t>C00013 * C04432</t>
  </si>
  <si>
    <t>C00036 * C00025</t>
  </si>
  <si>
    <t>C01250 * C00025</t>
  </si>
  <si>
    <t>C00025 * C00352</t>
  </si>
  <si>
    <t>C00233 * C00025</t>
  </si>
  <si>
    <t>C03232 * C00025</t>
  </si>
  <si>
    <t>C00025 * C00014</t>
  </si>
  <si>
    <t>C00568 * C00022</t>
  </si>
  <si>
    <t>C00108 * C00022 * C00025</t>
  </si>
  <si>
    <t>C00008 * C00416</t>
  </si>
  <si>
    <t>C000008 * C05378</t>
  </si>
  <si>
    <t>C20730 * C00020</t>
  </si>
  <si>
    <t>C00008 * C00092</t>
  </si>
  <si>
    <t>C00008 * C00357</t>
  </si>
  <si>
    <t>C00008 * C00364</t>
  </si>
  <si>
    <t>C00008 * C00006</t>
  </si>
  <si>
    <t>C00008 * C00010</t>
  </si>
  <si>
    <t>C00008 * C00061</t>
  </si>
  <si>
    <t>C00013 * C000016</t>
  </si>
  <si>
    <t>C00008 * C00197</t>
  </si>
  <si>
    <t>C00008 * C03492</t>
  </si>
  <si>
    <t>C00008 * C00018</t>
  </si>
  <si>
    <t>C00008 * C01107</t>
  </si>
  <si>
    <t>C00008 * C01102</t>
  </si>
  <si>
    <t>C00008 * C00085</t>
  </si>
  <si>
    <t>C00008 * C00074</t>
  </si>
  <si>
    <t>C00008 * C00055</t>
  </si>
  <si>
    <t>C00008 * C00354</t>
  </si>
  <si>
    <t>C00008 * C00446</t>
  </si>
  <si>
    <t>C00008 * C17556</t>
  </si>
  <si>
    <t>C00008 * C03175</t>
  </si>
  <si>
    <t>C00008 * C00562</t>
  </si>
  <si>
    <t>C00008 * C00227</t>
  </si>
  <si>
    <t>C00008 * C03287</t>
  </si>
  <si>
    <t>C00008 * C00236</t>
  </si>
  <si>
    <t>C00008 * C03082</t>
  </si>
  <si>
    <t>C00008 * C04133</t>
  </si>
  <si>
    <t>C00022 * C04261</t>
  </si>
  <si>
    <t>C00008 * C01143</t>
  </si>
  <si>
    <t>C00008 * C00015</t>
  </si>
  <si>
    <t>C00008 * C00112</t>
  </si>
  <si>
    <t>C00008 * C00201</t>
  </si>
  <si>
    <t>C00008 * C04752</t>
  </si>
  <si>
    <t>C00008 * C00035</t>
  </si>
  <si>
    <t>C00008 * C00363</t>
  </si>
  <si>
    <t>C00020 * C00119</t>
  </si>
  <si>
    <t>C000020 * C00068</t>
  </si>
  <si>
    <t>C00020 * C04807</t>
  </si>
  <si>
    <t>C00020 * C04494</t>
  </si>
  <si>
    <t>C00035 * C00013</t>
  </si>
  <si>
    <t>C00013 * C00003</t>
  </si>
  <si>
    <t>C00009 * C00096</t>
  </si>
  <si>
    <t>C00103 * C00052</t>
  </si>
  <si>
    <t>C00013 * C00043</t>
  </si>
  <si>
    <t>C00010 * C04501</t>
  </si>
  <si>
    <t>C00013 * C00842</t>
  </si>
  <si>
    <t>C00013 * C00882</t>
  </si>
  <si>
    <t>C00013 * C00269</t>
  </si>
  <si>
    <t>C00013 * C00046</t>
  </si>
  <si>
    <t>C00046 * C00454</t>
  </si>
  <si>
    <t>C00013 * C00029</t>
  </si>
  <si>
    <t>C00105 * C04851</t>
  </si>
  <si>
    <t>C00055 * C03892</t>
  </si>
  <si>
    <t>C00054 * C00229</t>
  </si>
  <si>
    <t>C17322 * C15811 * C00020 * C00013</t>
  </si>
  <si>
    <t>C00065 * C04161</t>
  </si>
  <si>
    <t>C15812 * C00041</t>
  </si>
  <si>
    <t>C03523 * C00066</t>
  </si>
  <si>
    <t>C00051 * C02929</t>
  </si>
  <si>
    <t>C00860 * C00009</t>
  </si>
  <si>
    <t>C00017 * C00009</t>
  </si>
  <si>
    <t>C00160 * C00009</t>
  </si>
  <si>
    <t>C00137 * C00009</t>
  </si>
  <si>
    <t>C00344 * C00009</t>
  </si>
  <si>
    <t>C00065 * C00009</t>
  </si>
  <si>
    <t>C00585 * C00009</t>
  </si>
  <si>
    <t>C00911 * C00009</t>
  </si>
  <si>
    <t>C00208 * C00009</t>
  </si>
  <si>
    <t>C17628 * C000013</t>
  </si>
  <si>
    <t>C00020 * C00117</t>
  </si>
  <si>
    <t>C00721 * C00369</t>
  </si>
  <si>
    <t>C00031 * C00962</t>
  </si>
  <si>
    <t>C03539 * C00147</t>
  </si>
  <si>
    <t>C00097 * C00037</t>
  </si>
  <si>
    <t>C00049 * C00014</t>
  </si>
  <si>
    <t>C00060 * C00151</t>
  </si>
  <si>
    <t>C00253 * C00014</t>
  </si>
  <si>
    <t>C00352 * C00033</t>
  </si>
  <si>
    <t>C02028 * C00014</t>
  </si>
  <si>
    <t>C00060 * C00014</t>
  </si>
  <si>
    <t>C00033 * C00666</t>
  </si>
  <si>
    <t>C01563 * C00001</t>
  </si>
  <si>
    <t>C11440 * C00058</t>
  </si>
  <si>
    <t>C00134 * C00086</t>
  </si>
  <si>
    <t>C00365 * C000014</t>
  </si>
  <si>
    <t>C04895 * C00058</t>
  </si>
  <si>
    <t>C20451 * C00014</t>
  </si>
  <si>
    <t>C00294 * C00014</t>
  </si>
  <si>
    <t>C00299 * C00014</t>
  </si>
  <si>
    <t>C00109 * C00014</t>
  </si>
  <si>
    <t>C00085 * C00014</t>
  </si>
  <si>
    <t>C00365 * C00013</t>
  </si>
  <si>
    <t>C17556 * C00009</t>
  </si>
  <si>
    <t>C00008 * C00020</t>
  </si>
  <si>
    <t>C19968 * C00013</t>
  </si>
  <si>
    <t>C00060 * C00009</t>
  </si>
  <si>
    <t>C02489 * C00462</t>
  </si>
  <si>
    <t>C00047 * C00011</t>
  </si>
  <si>
    <t>C00105 * C00011</t>
  </si>
  <si>
    <t>C00074 * C00011</t>
  </si>
  <si>
    <t>C00008 * C00009 * C00129 * C00011</t>
  </si>
  <si>
    <t>C01134 * C00011</t>
  </si>
  <si>
    <t>C03506 * C00011 * C00001</t>
  </si>
  <si>
    <t>C00810 * C00011</t>
  </si>
  <si>
    <t>C00111 * C00118</t>
  </si>
  <si>
    <t>C00266 * C01300</t>
  </si>
  <si>
    <t>C00011 * C00001</t>
  </si>
  <si>
    <t>C02637 * C00001</t>
  </si>
  <si>
    <t>C00074 * C00001</t>
  </si>
  <si>
    <t>C00020 * C00009 * C00004</t>
  </si>
  <si>
    <t>C02631 * C00001</t>
  </si>
  <si>
    <t>C01732 * C00001</t>
  </si>
  <si>
    <t>C11907 * C00001</t>
  </si>
  <si>
    <t>C00785 * C00001</t>
  </si>
  <si>
    <t>C00166 * C00001 * C00011</t>
  </si>
  <si>
    <t>C00693 * C00001</t>
  </si>
  <si>
    <t>C01168 * C00001</t>
  </si>
  <si>
    <t>C00141 * C00001</t>
  </si>
  <si>
    <t>C00188 * C00009</t>
  </si>
  <si>
    <t>C00944 * C00009</t>
  </si>
  <si>
    <t>C00022 * C00014</t>
  </si>
  <si>
    <t>C00122 * C00062</t>
  </si>
  <si>
    <t>C00122 * C00020</t>
  </si>
  <si>
    <t>C20258 * C00001</t>
  </si>
  <si>
    <t>C20248 * C00014</t>
  </si>
  <si>
    <t>C00097 * C00014 * C00109</t>
  </si>
  <si>
    <t>C00283 * C00014 * C00109</t>
  </si>
  <si>
    <t>C11838 * C00155</t>
  </si>
  <si>
    <t>C00051 * C00546</t>
  </si>
  <si>
    <t>C00020 * C00013 * C02839</t>
  </si>
  <si>
    <t>C000020 * C00013 * C02430</t>
  </si>
  <si>
    <t>C00020 * C00013 * C02553</t>
  </si>
  <si>
    <t>C02984 * C00013 * C00020</t>
  </si>
  <si>
    <t>C00020 * C00013 * C02412</t>
  </si>
  <si>
    <t>C00020 * C00013 * C02702</t>
  </si>
  <si>
    <t>C00020 * C00013 * C03125</t>
  </si>
  <si>
    <t>C02987 * C00013 * C00020</t>
  </si>
  <si>
    <t>C00020 * C00013 * C06112</t>
  </si>
  <si>
    <t>C00020 * C00013 * C02163</t>
  </si>
  <si>
    <t>C00020 * C00013 * C03512</t>
  </si>
  <si>
    <t>C00020 * C00013 * C03511</t>
  </si>
  <si>
    <t>C00020 * C00013 * C02988</t>
  </si>
  <si>
    <t>C00020 * C00013 * C03402</t>
  </si>
  <si>
    <t>C00020 * C00013 * C02992</t>
  </si>
  <si>
    <t>C00020 * C00013 * C02047</t>
  </si>
  <si>
    <t>C00020 * C00013 * C03127</t>
  </si>
  <si>
    <t>C00020 * C00013 * C01931</t>
  </si>
  <si>
    <t>C00020 * C00013 *C00886</t>
  </si>
  <si>
    <t>C00020 * C00013 * C02554</t>
  </si>
  <si>
    <t>C00020 * C00013 * C00152</t>
  </si>
  <si>
    <t>C00008 * C00009 * C00064</t>
  </si>
  <si>
    <t>C16237 * C00020 * C00013</t>
  </si>
  <si>
    <t>C00020 * C00013 * C00003</t>
  </si>
  <si>
    <t>C00008 * C00009 * C04702</t>
  </si>
  <si>
    <t>C00008 * C00009 * C00415</t>
  </si>
  <si>
    <t>C00008 * C00009 * C00669</t>
  </si>
  <si>
    <t>C00008 * C00009 * C00051</t>
  </si>
  <si>
    <t>C00008 * C00009 * C00993</t>
  </si>
  <si>
    <t>C00055 * C00013 * C04352</t>
  </si>
  <si>
    <t>C00008 * C00009 * C04823</t>
  </si>
  <si>
    <t>C00008 * C00009 * C05892</t>
  </si>
  <si>
    <t>C00008 * C00009 * C01212</t>
  </si>
  <si>
    <t>C00008 * C00009 * C00692</t>
  </si>
  <si>
    <t>C00008 * C00009 * C03373</t>
  </si>
  <si>
    <t>C00008 * C00009 * C03838</t>
  </si>
  <si>
    <t>C00008 * C00009 * C04419</t>
  </si>
  <si>
    <t>C00008 * C00009 * C15667</t>
  </si>
  <si>
    <t>C19723 * C00020 * C00013 * C00001</t>
  </si>
  <si>
    <t>C15996 * C00008 * C00009 * C00001</t>
  </si>
  <si>
    <t>C00253 * C00119 * C00002 * C00001 * C00080</t>
  </si>
  <si>
    <t>C00008 * C00009 * C00234</t>
  </si>
  <si>
    <t>C00035 * C00009 * C03794</t>
  </si>
  <si>
    <t>C00020 * C00013 * C03406</t>
  </si>
  <si>
    <t>C00008 * C00009 * C04640 * C00025</t>
  </si>
  <si>
    <t>C06112 * C00064 * C00002 * C00001</t>
  </si>
  <si>
    <t>C00008 * C00009 * C00083</t>
  </si>
  <si>
    <t>C00008 * C00009</t>
  </si>
  <si>
    <t>C00138 + C00006 + C00080</t>
  </si>
  <si>
    <t xml:space="preserve"> C00138 * C00006 * C00080</t>
  </si>
  <si>
    <t>C00139 + C00005</t>
  </si>
  <si>
    <t>C00139 * C00005</t>
  </si>
  <si>
    <t xml:space="preserve">C00051 + C00006 </t>
  </si>
  <si>
    <t xml:space="preserve">C00051 * C00006 </t>
  </si>
  <si>
    <t>C00073</t>
  </si>
  <si>
    <t>C00019 + C20648</t>
  </si>
  <si>
    <t>C00019 * C20648</t>
  </si>
  <si>
    <t>C00021 + C20796</t>
  </si>
  <si>
    <t>C00021 * C20796</t>
  </si>
  <si>
    <t xml:space="preserve">C00718 *  COOO31 </t>
  </si>
  <si>
    <t xml:space="preserve">C00718 +  COOO31 </t>
  </si>
  <si>
    <t>C00208</t>
  </si>
  <si>
    <t>C00418 + C00010 +  C00003</t>
  </si>
  <si>
    <t>C00418 * C00010 *  C00003</t>
  </si>
  <si>
    <t>C00356 + C00004 + C00080</t>
  </si>
  <si>
    <t>C00356 * C00004 *C00080</t>
  </si>
  <si>
    <t>C00704 + C00080</t>
  </si>
  <si>
    <t>C00704 * C00080</t>
  </si>
  <si>
    <t>C16675 + C00006</t>
  </si>
  <si>
    <t>C16675 * C00006</t>
  </si>
  <si>
    <t>C15996 + C00005 + C00080</t>
  </si>
  <si>
    <t>C15996 * C00005 * C00080</t>
  </si>
  <si>
    <t xml:space="preserve">C00002 + C00133 </t>
  </si>
  <si>
    <t xml:space="preserve">C00002 * C00133 </t>
  </si>
  <si>
    <t>C00002 + C03541  + C00025</t>
  </si>
  <si>
    <t>C00002 * C03541 * C00025</t>
  </si>
  <si>
    <t>C00002 * C03541  * C00025</t>
  </si>
  <si>
    <t>C00008 + C00009 + C0354</t>
  </si>
  <si>
    <t xml:space="preserve">C00008 + C00009 + C03541 </t>
  </si>
  <si>
    <t xml:space="preserve">C00008 * C00009 * C03541 </t>
  </si>
  <si>
    <t xml:space="preserve"> C00022</t>
  </si>
  <si>
    <t>C00022</t>
  </si>
  <si>
    <t>C00008</t>
  </si>
  <si>
    <t xml:space="preserve"> C00008</t>
  </si>
  <si>
    <t>C02211 +  C00063 + C00002</t>
  </si>
  <si>
    <t>C02211 * C00063 * C00002</t>
  </si>
  <si>
    <t>C19085 + C00013</t>
  </si>
  <si>
    <t>C19085 *  C00013</t>
  </si>
  <si>
    <t xml:space="preserve"> C00002 </t>
  </si>
  <si>
    <t xml:space="preserve">C00002 </t>
  </si>
  <si>
    <t xml:space="preserve"> C00013 + C20565</t>
  </si>
  <si>
    <t xml:space="preserve"> C00013 * C20565</t>
  </si>
  <si>
    <t>C00447 +  C00129</t>
  </si>
  <si>
    <t>C00447 * C00129</t>
  </si>
  <si>
    <t>C04574 + C00013</t>
  </si>
  <si>
    <t>C04574 *  C00013</t>
  </si>
  <si>
    <t xml:space="preserve">C00677 + C00039 </t>
  </si>
  <si>
    <t xml:space="preserve">C00677 * C00039 </t>
  </si>
  <si>
    <t xml:space="preserve">C00013 + C00039 </t>
  </si>
  <si>
    <t>C00013 * C00039</t>
  </si>
  <si>
    <t>C00001</t>
  </si>
  <si>
    <t>C00002</t>
  </si>
  <si>
    <t>C00003</t>
  </si>
  <si>
    <t>C00004</t>
  </si>
  <si>
    <t>C00006</t>
  </si>
  <si>
    <t>C00009</t>
  </si>
  <si>
    <t>C00010</t>
  </si>
  <si>
    <t>C00011</t>
  </si>
  <si>
    <t>C00013</t>
  </si>
  <si>
    <t>C00014</t>
  </si>
  <si>
    <t>C00016</t>
  </si>
  <si>
    <t>C00017</t>
  </si>
  <si>
    <t>C00019</t>
  </si>
  <si>
    <t>C00020</t>
  </si>
  <si>
    <t>C00021</t>
  </si>
  <si>
    <t>C00024</t>
  </si>
  <si>
    <t>C00025</t>
  </si>
  <si>
    <t>C00026</t>
  </si>
  <si>
    <t>C00028</t>
  </si>
  <si>
    <t>C00031</t>
  </si>
  <si>
    <t>C00033</t>
  </si>
  <si>
    <t>C00035</t>
  </si>
  <si>
    <t>C00036</t>
  </si>
  <si>
    <t>C00037</t>
  </si>
  <si>
    <t>C00039</t>
  </si>
  <si>
    <t>C00041</t>
  </si>
  <si>
    <t>C00044</t>
  </si>
  <si>
    <t>C00046</t>
  </si>
  <si>
    <t>C00047</t>
  </si>
  <si>
    <t>C00049</t>
  </si>
  <si>
    <t>C00051</t>
  </si>
  <si>
    <t>C00055</t>
  </si>
  <si>
    <t>C00058</t>
  </si>
  <si>
    <t>C00061</t>
  </si>
  <si>
    <t>C00062</t>
  </si>
  <si>
    <t>C00063</t>
  </si>
  <si>
    <t>C00064</t>
  </si>
  <si>
    <t>C00074</t>
  </si>
  <si>
    <t>C00075</t>
  </si>
  <si>
    <t>C00077</t>
  </si>
  <si>
    <t>C00078</t>
  </si>
  <si>
    <t>C00079</t>
  </si>
  <si>
    <t>C00080</t>
  </si>
  <si>
    <t>C00082</t>
  </si>
  <si>
    <t>C00083</t>
  </si>
  <si>
    <t>C00084</t>
  </si>
  <si>
    <t>C00093</t>
  </si>
  <si>
    <t>C00095</t>
  </si>
  <si>
    <t>C00097</t>
  </si>
  <si>
    <t>C00101</t>
  </si>
  <si>
    <t>C00105</t>
  </si>
  <si>
    <t>C00106</t>
  </si>
  <si>
    <t>C00118</t>
  </si>
  <si>
    <t>C00122</t>
  </si>
  <si>
    <t>C00123</t>
  </si>
  <si>
    <t>C00130</t>
  </si>
  <si>
    <t>C00135</t>
  </si>
  <si>
    <t>C00138</t>
  </si>
  <si>
    <t>C00140</t>
  </si>
  <si>
    <t>C00143</t>
  </si>
  <si>
    <t>C00144</t>
  </si>
  <si>
    <t>C00148</t>
  </si>
  <si>
    <t>C00152</t>
  </si>
  <si>
    <t>C00153</t>
  </si>
  <si>
    <t>C00155</t>
  </si>
  <si>
    <t>C00158</t>
  </si>
  <si>
    <t>C00169</t>
  </si>
  <si>
    <t>C00173</t>
  </si>
  <si>
    <t>C00179</t>
  </si>
  <si>
    <t>C00183</t>
  </si>
  <si>
    <t>C00186</t>
  </si>
  <si>
    <t>C00197</t>
  </si>
  <si>
    <t>C00201</t>
  </si>
  <si>
    <t>C00212</t>
  </si>
  <si>
    <t>C00214</t>
  </si>
  <si>
    <t>C00226</t>
  </si>
  <si>
    <t>C00229</t>
  </si>
  <si>
    <t>C00233</t>
  </si>
  <si>
    <t>C00234</t>
  </si>
  <si>
    <t>C00239</t>
  </si>
  <si>
    <t>C00240</t>
  </si>
  <si>
    <t>C00243</t>
  </si>
  <si>
    <t>C00250</t>
  </si>
  <si>
    <t>C00255</t>
  </si>
  <si>
    <t>C00258</t>
  </si>
  <si>
    <t>C00263</t>
  </si>
  <si>
    <t>C00269</t>
  </si>
  <si>
    <t>C00283</t>
  </si>
  <si>
    <t>C00288</t>
  </si>
  <si>
    <t>C00301</t>
  </si>
  <si>
    <t>C00327</t>
  </si>
  <si>
    <t>C00337</t>
  </si>
  <si>
    <t>C00341</t>
  </si>
  <si>
    <t>C00342</t>
  </si>
  <si>
    <t>C00343</t>
  </si>
  <si>
    <t>C00354</t>
  </si>
  <si>
    <t>C00356</t>
  </si>
  <si>
    <t>C00357</t>
  </si>
  <si>
    <t>C00364</t>
  </si>
  <si>
    <t>C00365</t>
  </si>
  <si>
    <t>C00369</t>
  </si>
  <si>
    <t>C00372</t>
  </si>
  <si>
    <t>C00378</t>
  </si>
  <si>
    <t>C00407</t>
  </si>
  <si>
    <t>C00409</t>
  </si>
  <si>
    <t>C00416</t>
  </si>
  <si>
    <t>C00418</t>
  </si>
  <si>
    <t>C00437</t>
  </si>
  <si>
    <t>C00440</t>
  </si>
  <si>
    <t>C00441</t>
  </si>
  <si>
    <t>C00445</t>
  </si>
  <si>
    <t>C00446</t>
  </si>
  <si>
    <t>C00447</t>
  </si>
  <si>
    <t>C00454</t>
  </si>
  <si>
    <t>C00455</t>
  </si>
  <si>
    <t>C00459</t>
  </si>
  <si>
    <t>C00460</t>
  </si>
  <si>
    <t>C00466</t>
  </si>
  <si>
    <t>C00475</t>
  </si>
  <si>
    <t>C00493</t>
  </si>
  <si>
    <t>C00562</t>
  </si>
  <si>
    <t>C00568</t>
  </si>
  <si>
    <t>C00615</t>
  </si>
  <si>
    <t>C00624</t>
  </si>
  <si>
    <t>C00631</t>
  </si>
  <si>
    <t>C00636</t>
  </si>
  <si>
    <t>C00641</t>
  </si>
  <si>
    <t>C00668</t>
  </si>
  <si>
    <t>C00669</t>
  </si>
  <si>
    <t>C00677</t>
  </si>
  <si>
    <t>C00680</t>
  </si>
  <si>
    <t>C00692</t>
  </si>
  <si>
    <t>C00704</t>
  </si>
  <si>
    <t>C00718</t>
  </si>
  <si>
    <t>C00740</t>
  </si>
  <si>
    <t>C00741</t>
  </si>
  <si>
    <t>C00787</t>
  </si>
  <si>
    <t>C00810</t>
  </si>
  <si>
    <t>C00821</t>
  </si>
  <si>
    <t>C00842</t>
  </si>
  <si>
    <t>C00857</t>
  </si>
  <si>
    <t>C00864</t>
  </si>
  <si>
    <t>C00900</t>
  </si>
  <si>
    <t>C00921</t>
  </si>
  <si>
    <t>C00944</t>
  </si>
  <si>
    <t>C00979</t>
  </si>
  <si>
    <t>C00984</t>
  </si>
  <si>
    <t>C00988</t>
  </si>
  <si>
    <t>C00993</t>
  </si>
  <si>
    <t>C01005</t>
  </si>
  <si>
    <t>C01050</t>
  </si>
  <si>
    <t>C01077</t>
  </si>
  <si>
    <t>C01094</t>
  </si>
  <si>
    <t>C01100</t>
  </si>
  <si>
    <t>C01102</t>
  </si>
  <si>
    <t>C01107</t>
  </si>
  <si>
    <t>C01118</t>
  </si>
  <si>
    <t>C01134</t>
  </si>
  <si>
    <t>C01143</t>
  </si>
  <si>
    <t>C01165</t>
  </si>
  <si>
    <t>C01167</t>
  </si>
  <si>
    <t>C01185</t>
  </si>
  <si>
    <t>C01209</t>
  </si>
  <si>
    <t>C01212</t>
  </si>
  <si>
    <t>C01228</t>
  </si>
  <si>
    <t>C01229</t>
  </si>
  <si>
    <t>C01250</t>
  </si>
  <si>
    <t>C01300</t>
  </si>
  <si>
    <t>C01322</t>
  </si>
  <si>
    <t>C01353</t>
  </si>
  <si>
    <t>C01419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</si>
  <si>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</si>
  <si>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</si>
  <si>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</si>
  <si>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</si>
  <si>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</si>
  <si>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</si>
  <si>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</si>
  <si>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</si>
  <si>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</si>
  <si>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</si>
  <si>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</si>
  <si>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</si>
  <si>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</si>
  <si>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</si>
  <si>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</si>
  <si>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</si>
  <si>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</si>
  <si>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</si>
  <si>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</si>
  <si>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C01764</t>
  </si>
  <si>
    <t>C01977</t>
  </si>
  <si>
    <t>C01978</t>
  </si>
  <si>
    <t>C02103</t>
  </si>
  <si>
    <t>C02128</t>
  </si>
  <si>
    <t>C02133</t>
  </si>
  <si>
    <t>C02211</t>
  </si>
  <si>
    <t>C02282</t>
  </si>
  <si>
    <t>C02291</t>
  </si>
  <si>
    <t>C02342</t>
  </si>
  <si>
    <t>C02430</t>
  </si>
  <si>
    <t>C02504</t>
  </si>
  <si>
    <t>C02520</t>
  </si>
  <si>
    <t>C02583</t>
  </si>
  <si>
    <t>C02614</t>
  </si>
  <si>
    <t>C02735</t>
  </si>
  <si>
    <t>C02743</t>
  </si>
  <si>
    <t>C02850</t>
  </si>
  <si>
    <t>C02995</t>
  </si>
  <si>
    <t>C03023</t>
  </si>
  <si>
    <t>C03090</t>
  </si>
  <si>
    <t>C03103</t>
  </si>
  <si>
    <t>C03172</t>
  </si>
  <si>
    <t>C03175</t>
  </si>
  <si>
    <t>C03373</t>
  </si>
  <si>
    <t>C03406</t>
  </si>
  <si>
    <t>C03492</t>
  </si>
  <si>
    <t>C03541</t>
  </si>
  <si>
    <t>C03620</t>
  </si>
  <si>
    <t>C03680</t>
  </si>
  <si>
    <t>C03688</t>
  </si>
  <si>
    <t>C03803</t>
  </si>
  <si>
    <t>C03838</t>
  </si>
  <si>
    <t>C03880</t>
  </si>
  <si>
    <t>C03892</t>
  </si>
  <si>
    <t>C03899</t>
  </si>
  <si>
    <t>C03972</t>
  </si>
  <si>
    <t>C04039</t>
  </si>
  <si>
    <t>C04131</t>
  </si>
  <si>
    <t>C04232</t>
  </si>
  <si>
    <t>C04250</t>
  </si>
  <si>
    <t>C04253</t>
  </si>
  <si>
    <t>C04272</t>
  </si>
  <si>
    <t>C04302</t>
  </si>
  <si>
    <t>C04376</t>
  </si>
  <si>
    <t>C04390</t>
  </si>
  <si>
    <t>C04419</t>
  </si>
  <si>
    <t>C04489</t>
  </si>
  <si>
    <t>C04501</t>
  </si>
  <si>
    <t>C04556</t>
  </si>
  <si>
    <t>C04574</t>
  </si>
  <si>
    <t>C04640</t>
  </si>
  <si>
    <t>C04677</t>
  </si>
  <si>
    <t>C04702</t>
  </si>
  <si>
    <t>C04807</t>
  </si>
  <si>
    <t>C04851</t>
  </si>
  <si>
    <t>C04856</t>
  </si>
  <si>
    <t>C05196</t>
  </si>
  <si>
    <t>C05197</t>
  </si>
  <si>
    <t>C05382</t>
  </si>
  <si>
    <t>C05892</t>
  </si>
  <si>
    <t>C06197</t>
  </si>
  <si>
    <t>C06250</t>
  </si>
  <si>
    <t>C06364</t>
  </si>
  <si>
    <t>C11439</t>
  </si>
  <si>
    <t>C15585</t>
  </si>
  <si>
    <t>C15586</t>
  </si>
  <si>
    <t>C15811</t>
  </si>
  <si>
    <t>C15812</t>
  </si>
  <si>
    <t>C16240</t>
  </si>
  <si>
    <t>C16241</t>
  </si>
  <si>
    <t>C16675</t>
  </si>
  <si>
    <t>C16832</t>
  </si>
  <si>
    <t>C17324</t>
  </si>
  <si>
    <t>C17556</t>
  </si>
  <si>
    <t>C17558</t>
  </si>
  <si>
    <t>C17627</t>
  </si>
  <si>
    <t>C19722</t>
  </si>
  <si>
    <t>C19803</t>
  </si>
  <si>
    <t>C19967</t>
  </si>
  <si>
    <t>C20239</t>
  </si>
  <si>
    <t>C20248</t>
  </si>
  <si>
    <t>C20446</t>
  </si>
  <si>
    <t>C20648</t>
  </si>
  <si>
    <t>C20675</t>
  </si>
  <si>
    <t>C20905</t>
  </si>
  <si>
    <t>C22409</t>
  </si>
  <si>
    <t>Water</t>
  </si>
  <si>
    <t>ATP</t>
  </si>
  <si>
    <t>NAD+</t>
  </si>
  <si>
    <t>NADP+</t>
  </si>
  <si>
    <t>NADH</t>
  </si>
  <si>
    <t>ADP</t>
  </si>
  <si>
    <t>Phosphoric acid</t>
  </si>
  <si>
    <t>CoA</t>
  </si>
  <si>
    <t xml:space="preserve">Carbon dioxide </t>
  </si>
  <si>
    <t xml:space="preserve">Diphosphoric Acid </t>
  </si>
  <si>
    <t>Ammonia</t>
  </si>
  <si>
    <t>FAD</t>
  </si>
  <si>
    <t>SAM</t>
  </si>
  <si>
    <t>AMP</t>
  </si>
  <si>
    <t>S-Adenosyl-L-Homocysteine(SAH)</t>
  </si>
  <si>
    <t xml:space="preserve">Pyruvate </t>
  </si>
  <si>
    <t>Acetyl-CoA</t>
  </si>
  <si>
    <t>L-Glutamate</t>
  </si>
  <si>
    <t xml:space="preserve">2-Oxoglutarate </t>
  </si>
  <si>
    <t>Acceptor</t>
  </si>
  <si>
    <t>UDP-glucose</t>
  </si>
  <si>
    <t>D-Glucose</t>
  </si>
  <si>
    <t>Acetate</t>
  </si>
  <si>
    <t>GDP</t>
  </si>
  <si>
    <t>Oxaloacetate</t>
  </si>
  <si>
    <t>Glycine</t>
  </si>
  <si>
    <t>DNA</t>
  </si>
  <si>
    <t>L-Alanine</t>
  </si>
  <si>
    <t>UDP-N-Acetyl-Alpha-D-Glucosamine</t>
  </si>
  <si>
    <t>GTP</t>
  </si>
  <si>
    <t>RNA</t>
  </si>
  <si>
    <t>L-Lysine</t>
  </si>
  <si>
    <t>Glutathione</t>
  </si>
  <si>
    <t>UDP-D-Galactose</t>
  </si>
  <si>
    <t>Cytidine-5'-monophosphate/CMP</t>
  </si>
  <si>
    <t>Formate</t>
  </si>
  <si>
    <t>Flavin Mononucleotide/FMN</t>
  </si>
  <si>
    <t>L-Arginine</t>
  </si>
  <si>
    <t>CTP</t>
  </si>
  <si>
    <t>L-Glutamine</t>
  </si>
  <si>
    <t>L-Serine</t>
  </si>
  <si>
    <t xml:space="preserve">L-Methionine </t>
  </si>
  <si>
    <t xml:space="preserve">Phosphoenolpyruvate </t>
  </si>
  <si>
    <t>UTP</t>
  </si>
  <si>
    <t>L-Tryptophan</t>
  </si>
  <si>
    <t>L-Phenylalanine</t>
  </si>
  <si>
    <t>H+</t>
  </si>
  <si>
    <t>L-Tyrosine</t>
  </si>
  <si>
    <t>Acetaldehyde</t>
  </si>
  <si>
    <t xml:space="preserve">D-Fructose </t>
  </si>
  <si>
    <t xml:space="preserve">sn-Glycerol 3-Phosphate </t>
  </si>
  <si>
    <t xml:space="preserve">L-Cysteine </t>
  </si>
  <si>
    <t xml:space="preserve">Tetrahydrofolate </t>
  </si>
  <si>
    <t xml:space="preserve">Glucose 1-Phosphate </t>
  </si>
  <si>
    <t>UMP</t>
  </si>
  <si>
    <t>Uracil</t>
  </si>
  <si>
    <t xml:space="preserve">D-Ribose 5-Phosphate </t>
  </si>
  <si>
    <t xml:space="preserve">D-Glyceraldehyde 3-Phosphate </t>
  </si>
  <si>
    <t>Fumarate</t>
  </si>
  <si>
    <t>L-Leucine</t>
  </si>
  <si>
    <t xml:space="preserve">Isopentenyl Diphosphate </t>
  </si>
  <si>
    <t>IMP</t>
  </si>
  <si>
    <t>D-Alanine</t>
  </si>
  <si>
    <t>5,10-Methylenetetrahydrofolate</t>
  </si>
  <si>
    <t>GMP</t>
  </si>
  <si>
    <t xml:space="preserve">L-Proline </t>
  </si>
  <si>
    <t>Metabolites</t>
  </si>
  <si>
    <t>Initial Concentration (mM)</t>
  </si>
  <si>
    <t>Object</t>
  </si>
  <si>
    <t>L-Asparagine</t>
  </si>
  <si>
    <t>Nicotinamide</t>
  </si>
  <si>
    <t>L-Homocysteine</t>
  </si>
  <si>
    <t>Citrate</t>
  </si>
  <si>
    <t xml:space="preserve">Carbamoyl Phosphate </t>
  </si>
  <si>
    <t>Acyl-[acyl-carrier protein]</t>
  </si>
  <si>
    <t>L-Valine</t>
  </si>
  <si>
    <t>(S)-Lactate</t>
  </si>
  <si>
    <t>L-Threonine</t>
  </si>
  <si>
    <t xml:space="preserve">3-Phospho-D-glycerate </t>
  </si>
  <si>
    <t xml:space="preserve">D-Ribulose 5-phosphate </t>
  </si>
  <si>
    <t>NTP</t>
  </si>
  <si>
    <t xml:space="preserve">Adenosine </t>
  </si>
  <si>
    <t xml:space="preserve">Thymidine </t>
  </si>
  <si>
    <t xml:space="preserve">D-Glutamate </t>
  </si>
  <si>
    <t>Primary Alcohol</t>
  </si>
  <si>
    <t xml:space="preserve">Acyl-carrier protein </t>
  </si>
  <si>
    <t xml:space="preserve">4-Methyl-2-oxopentanoate </t>
  </si>
  <si>
    <t>10-Formyltetrahydrofolate</t>
  </si>
  <si>
    <t>Dimethylallyl diphosphate</t>
  </si>
  <si>
    <t>dCMP</t>
  </si>
  <si>
    <t>rRNA</t>
  </si>
  <si>
    <t>Pyridoxal</t>
  </si>
  <si>
    <t>Riboflavin</t>
  </si>
  <si>
    <t>D-Glycerate</t>
  </si>
  <si>
    <t>L-Homoserine</t>
  </si>
  <si>
    <t xml:space="preserve">alpha-D-Glucose </t>
  </si>
  <si>
    <t>CDP-diacylglycerol</t>
  </si>
  <si>
    <t xml:space="preserve">Hydrogen Sulfide </t>
  </si>
  <si>
    <t>HCO3-</t>
  </si>
  <si>
    <t>C00290</t>
  </si>
  <si>
    <t>ADP-ribose</t>
  </si>
  <si>
    <t>Adenine</t>
  </si>
  <si>
    <t>Thioredoxin</t>
  </si>
  <si>
    <t xml:space="preserve">Thioredoxin disulfide </t>
  </si>
  <si>
    <t>D-Glucosamine 6-phosphate</t>
  </si>
  <si>
    <t>D-Fructose 1,6-bisphosphate</t>
  </si>
  <si>
    <t>(S)-3-Hydroxy-3-methylglutaryl-CoA</t>
  </si>
  <si>
    <t>N-Acetyl-D-glucosamine 6-phosphate</t>
  </si>
  <si>
    <t>dTMP</t>
  </si>
  <si>
    <t>dUMP</t>
  </si>
  <si>
    <t>Starch</t>
  </si>
  <si>
    <t>Thiamine</t>
  </si>
  <si>
    <t>L-Isoleucine</t>
  </si>
  <si>
    <t>Phosphatidate</t>
  </si>
  <si>
    <t>( R )-Mevalonate</t>
  </si>
  <si>
    <t>L-Aspartate 4-semialdehyde</t>
  </si>
  <si>
    <t>5,10-Methenyltetrahydrofolate</t>
  </si>
  <si>
    <t xml:space="preserve">alpha-D-Galactose 1-phosphate </t>
  </si>
  <si>
    <t>Sedoheptulose 1,7-bisphosphate</t>
  </si>
  <si>
    <t>NDP</t>
  </si>
  <si>
    <t>Nicotinamide-D-ribonucleotide</t>
  </si>
  <si>
    <t>dTTP</t>
  </si>
  <si>
    <t>dUTP</t>
  </si>
  <si>
    <t>Cytidine</t>
  </si>
  <si>
    <t>Protein histidine</t>
  </si>
  <si>
    <t>2-Phospho-D-glycerate</t>
  </si>
  <si>
    <t xml:space="preserve">alpha-D-Glucose 6-phosphate </t>
  </si>
  <si>
    <t>Deoxynucleoside triphosphate</t>
  </si>
  <si>
    <t>meso-2,6-Diaminoheptanedioate</t>
  </si>
  <si>
    <t>UDP-N-acetylmuramoyl-L-alanyl-D-glutamate</t>
  </si>
  <si>
    <t>Amylose</t>
  </si>
  <si>
    <t>tRNA(Tyr)</t>
  </si>
  <si>
    <t>dTDP-glucose</t>
  </si>
  <si>
    <t>Deamino-NAD+</t>
  </si>
  <si>
    <t>Pantothenate</t>
  </si>
  <si>
    <t>tRNA uridine</t>
  </si>
  <si>
    <t>O-Acetyl-L-serine</t>
  </si>
  <si>
    <t>alpha-D-Galactose</t>
  </si>
  <si>
    <t>D-Alanyl-D-alanine</t>
  </si>
  <si>
    <t>O-Phospho-L-serine</t>
  </si>
  <si>
    <t>UDP-N-acetylmuramate</t>
  </si>
  <si>
    <t>D-Fructose 1-phosphate</t>
  </si>
  <si>
    <t>O-Phospho-L-homoserine</t>
  </si>
  <si>
    <t xml:space="preserve">Orotidine 5'-phosphate </t>
  </si>
  <si>
    <t>(R)-5-Phosphomevalonate</t>
  </si>
  <si>
    <t>Pantetheine 4'-phosphate</t>
  </si>
  <si>
    <t>(R)-5-Diphosphomevalonate</t>
  </si>
  <si>
    <t>Protein tyrosine phosphate</t>
  </si>
  <si>
    <t>Nicotinate D-ribonucleotide</t>
  </si>
  <si>
    <t>UDP-N-acetylmuramoyl-L-alanine</t>
  </si>
  <si>
    <t>tRNA(Ala)</t>
  </si>
  <si>
    <t>tRNA(Arg)</t>
  </si>
  <si>
    <t>tRNA(Asp)</t>
  </si>
  <si>
    <t>tRNA(Cys)</t>
  </si>
  <si>
    <t>tRNA(Glu)</t>
  </si>
  <si>
    <t>tRNA(Gly)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</si>
  <si>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</si>
  <si>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</si>
  <si>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</si>
  <si>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</si>
  <si>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</si>
  <si>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</si>
  <si>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</si>
  <si>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</si>
  <si>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</si>
  <si>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</si>
  <si>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tRNA guanine</t>
  </si>
  <si>
    <t>5'-Phospho-DNA</t>
  </si>
  <si>
    <t xml:space="preserve">Acyl phosphate </t>
  </si>
  <si>
    <t>tRNA precursor</t>
  </si>
  <si>
    <t>L-Methionyl-tRNA</t>
  </si>
  <si>
    <t>5'-Ribonucleotide</t>
  </si>
  <si>
    <t>Protein glutamine</t>
  </si>
  <si>
    <t>[Protein]-L-cysteine </t>
  </si>
  <si>
    <t xml:space="preserve">Peptide-L-methionine </t>
  </si>
  <si>
    <t>5-Phosphoribosylamine</t>
  </si>
  <si>
    <t>S-Methyl-L-methionine</t>
  </si>
  <si>
    <t>Aminoimidazole Ribotide</t>
  </si>
  <si>
    <t>D-4'-Phosphopantothenate</t>
  </si>
  <si>
    <t>S-Ribosyl-L-homocysteine</t>
  </si>
  <si>
    <t>Apo-[acyl-carrier protein]</t>
  </si>
  <si>
    <t>N6-(1,2-Dicarboxyethyl)-AMP</t>
  </si>
  <si>
    <t>Peptidylproline (omega=180)</t>
  </si>
  <si>
    <t>Ribosomal-protein L-alanine</t>
  </si>
  <si>
    <t>5'-Phosphoribosylglycinamide</t>
  </si>
  <si>
    <t>N-Substituted aminoacyl-tRNA</t>
  </si>
  <si>
    <t>Phosphatidylglycerophosphate</t>
  </si>
  <si>
    <t>2,3,4,5-Tetrahydrodipicolinate</t>
  </si>
  <si>
    <t>2'-Deoxyribonucleoside diphosphate</t>
  </si>
  <si>
    <t>DNA containing 6-O-methylguanine</t>
  </si>
  <si>
    <t>( R )- 4' - Phosphopantothenoyl -L-cysteine</t>
  </si>
  <si>
    <t>5'-Phosphoribosyl-N-formylglycinamide</t>
  </si>
  <si>
    <t>5-Methyltetrahydropteroyltri-L-glutamate</t>
  </si>
  <si>
    <t>N-Acetyl-alpha-D-glucosamine 1-phosphate</t>
  </si>
  <si>
    <t>4-Amino-2-methyl-5-(phosphooxymethyl)pyrimidine</t>
  </si>
  <si>
    <t>di-trans,poly-cis-Undecaprenyl diphosphate</t>
  </si>
  <si>
    <t>2-(Formamido)-N1-(5'-phosphoribosyl)acetamidine</t>
  </si>
  <si>
    <t>1-(5'-Phosphoribosyl)-5-amino-4-imidazolecarboxamide</t>
  </si>
  <si>
    <t>UDPMurNAc(oyl-L-Ala-D-gamma-Glu-L-Lys-D-Ala-D-Ala)</t>
  </si>
  <si>
    <t>1-(5-Phospho-D-ribosyl)-5-amino-4-imidazolecarboxylate</t>
  </si>
  <si>
    <t>MurAc(oyl-L-Ala-D-gamma-Glu-L-Lys-D-Ala-D-Ala)-diphospho-undecaprenol</t>
  </si>
  <si>
    <t>beta-D-Fructose 6-phosphate</t>
  </si>
  <si>
    <t>Sedoheptulose 7-phosphate</t>
  </si>
  <si>
    <t>UDP-N-acetylmuramoyl-L-alanyl-gamma-D-glutamyl-L-lysine</t>
  </si>
  <si>
    <t>alpha-D-Glucosamine 1-phosphate</t>
  </si>
  <si>
    <t>Formyl-L-methionyl peptide</t>
  </si>
  <si>
    <t>[Enzyme]-cysteine</t>
  </si>
  <si>
    <t>[Enzyme]-S-sulfanylcysteine</t>
  </si>
  <si>
    <t>tRNA adenine</t>
  </si>
  <si>
    <t>di-trans,poly-cis-Undecaprenyl phosphate</t>
  </si>
  <si>
    <t>[tRNA(Ile2)]-cytidine34</t>
  </si>
  <si>
    <t>Adenine in rRNA</t>
  </si>
  <si>
    <t>C00640</t>
  </si>
  <si>
    <t>Protein</t>
  </si>
  <si>
    <t>L-Ornithine</t>
  </si>
  <si>
    <t>Malonyl-CoA</t>
  </si>
  <si>
    <t>L-Histidine</t>
  </si>
  <si>
    <t>Reduced ferrodoxin</t>
  </si>
  <si>
    <t xml:space="preserve">N-Acetyl-D-glucosamine </t>
  </si>
  <si>
    <t>Agmatine</t>
  </si>
  <si>
    <t>Lactose</t>
  </si>
  <si>
    <t>Chorismate</t>
  </si>
  <si>
    <t>Prephenate</t>
  </si>
  <si>
    <t>D-Mannose-6-phosphate</t>
  </si>
  <si>
    <t>Fibrin</t>
  </si>
  <si>
    <t>Isocitrate</t>
  </si>
  <si>
    <t>L-Citrulline</t>
  </si>
  <si>
    <t>(s)- Dihydroorotate</t>
  </si>
  <si>
    <t>Geranyl_diphosphate</t>
  </si>
  <si>
    <t>Dextran</t>
  </si>
  <si>
    <t>Methanethiol</t>
  </si>
  <si>
    <t>N-Acetylornithine</t>
  </si>
  <si>
    <t>5-Methyltetrahydrofolate</t>
  </si>
  <si>
    <t>Acetoin</t>
  </si>
  <si>
    <t>Shikimate</t>
  </si>
  <si>
    <t>C00521</t>
  </si>
  <si>
    <t>(s)- Limonene</t>
  </si>
  <si>
    <t>Phosphoprotein</t>
  </si>
  <si>
    <t>4-Aminobenzonate</t>
  </si>
  <si>
    <t>alpha-D-ribose 1-phosphate</t>
  </si>
  <si>
    <t>N-Acetyle-L-glutamate</t>
  </si>
  <si>
    <t>D-Mannose 1-phosphate</t>
  </si>
  <si>
    <t>(3s)-3Hydroxyacyl-CoA</t>
  </si>
  <si>
    <t>1,2-Diacyl-sn-glycerol</t>
  </si>
  <si>
    <t>gamma-L-Glutamyl-L-cysteine</t>
  </si>
  <si>
    <t>Superoxide</t>
  </si>
  <si>
    <t>D-Serine</t>
  </si>
  <si>
    <t>Diacetyle</t>
  </si>
  <si>
    <t>R-acetoin</t>
  </si>
  <si>
    <t>2-Acetolactate</t>
  </si>
  <si>
    <t>Dihydropteroate</t>
  </si>
  <si>
    <t>3-Dihydroquinate</t>
  </si>
  <si>
    <t>2-Phosphoglycolate</t>
  </si>
  <si>
    <t>0-Acetyl-L-homoserine</t>
  </si>
  <si>
    <t>L-Histidinol phosphate</t>
  </si>
  <si>
    <t>O-Succinyl-L-homoserine</t>
  </si>
  <si>
    <t xml:space="preserve">L-Glutamate 5-semialdheyde </t>
  </si>
  <si>
    <t>Malonyl -[acyl - carrier protein]</t>
  </si>
  <si>
    <t>Guanosine 3'-5'-bis(diphosphate)</t>
  </si>
  <si>
    <t>Phospholipid olefinic fatty acid</t>
  </si>
  <si>
    <t xml:space="preserve">N-Acetyl-L-glutamate 5-semialdehyde </t>
  </si>
  <si>
    <t>5-O-(1-Carboxyvinyl)-3-phosphoshikimate</t>
  </si>
  <si>
    <t>(3R)-3-Hydroxyacyl-[acyl-carrier protein]</t>
  </si>
  <si>
    <t>6-(Hydroxymethyl)-7,8-dihydropterin</t>
  </si>
  <si>
    <t>1-(2-Carboxyphenylamino)-1-deoxy-D-ribulose 5-phosphate</t>
  </si>
  <si>
    <t>Organic halide</t>
  </si>
  <si>
    <t>Carbonic acid; Dihydrogen carbonate</t>
  </si>
  <si>
    <t>L-Cysteinylglycine</t>
  </si>
  <si>
    <t>tRNA(Asn)</t>
  </si>
  <si>
    <t>tRNA(Gln)</t>
  </si>
  <si>
    <t>tRNA(His)</t>
  </si>
  <si>
    <t>tRNA containing uridine at position</t>
  </si>
  <si>
    <t>tRNA queuine</t>
  </si>
  <si>
    <t>(S)-2-Haloacid</t>
  </si>
  <si>
    <t>Glutaminyl-tRNA</t>
  </si>
  <si>
    <t>L-Cystathionine</t>
  </si>
  <si>
    <t>Activated' tRNA</t>
  </si>
  <si>
    <t>alpha-Isopropylmalate</t>
  </si>
  <si>
    <t>(S)-2-Methylmalate</t>
  </si>
  <si>
    <t>Phenylethanolamine</t>
  </si>
  <si>
    <t>N-Acyl-L-amino acid</t>
  </si>
  <si>
    <t>Maltose 6'-phosphate</t>
  </si>
  <si>
    <t>Cyclobutadipyrimidine</t>
  </si>
  <si>
    <t>Shikimate 3-phosphate</t>
  </si>
  <si>
    <t>N-(L-Arginino)succinate;</t>
  </si>
  <si>
    <t>(R)-S-Lactoylglutathione</t>
  </si>
  <si>
    <t>THF-polyglutamate</t>
  </si>
  <si>
    <t>Monocarboxylic acid amide</t>
  </si>
  <si>
    <t>4-Imidazolone-5-propanoate</t>
  </si>
  <si>
    <t>S-(2-Hydroxyacyl)glutathione</t>
  </si>
  <si>
    <t>2,3-Dihydroxy-3-methylbutanoate</t>
  </si>
  <si>
    <t>Monoamide of dicarboxylate</t>
  </si>
  <si>
    <t>Electron-transferring flavoprotein;</t>
  </si>
  <si>
    <t>(R)-2,3-Dihydroxy-3-methylbutanoate</t>
  </si>
  <si>
    <t>N-(5-Phospho-D-ribosyl)anthranilate;</t>
  </si>
  <si>
    <t>N6-Acetyl-LL-2,6-diaminoheptanedioate</t>
  </si>
  <si>
    <t>Carboxybiotin-carboxyl-carrier protein</t>
  </si>
  <si>
    <t>2-Dehydro-3-deoxy-D-arabino-heptonate 7-phosphate</t>
  </si>
  <si>
    <t>6-Hydroxymethyl-7,8-dihydropterin diphosphate</t>
  </si>
  <si>
    <t>(6S)-6beta-Hydroxy-1,4,5,6-tetrahydronicotinamide-adenine dinucleotide</t>
  </si>
  <si>
    <t>7,8-Dihydroneopterin</t>
  </si>
  <si>
    <t>Dihydroflavodoxin</t>
  </si>
  <si>
    <t>Protein glycine; [Enzyme]-glycine</t>
  </si>
  <si>
    <t>trans-Dec-2-enoyl-[acp]</t>
  </si>
  <si>
    <t>(S)-2-Acetolactate</t>
  </si>
  <si>
    <t>P1,P3-Bis(5'-adenosyl) triphosphate</t>
  </si>
  <si>
    <t>Holo-[carboxylase]</t>
  </si>
  <si>
    <t>1,2-Diacyl-3-alpha-D-glucosyl-sn-glycerol</t>
  </si>
  <si>
    <t>4-Amino-4-deoxychorismate</t>
  </si>
  <si>
    <t>Apoprotein</t>
  </si>
  <si>
    <t>(R)-Lipoate</t>
  </si>
  <si>
    <t>7-Aminomethyl-7-carbaguanine</t>
  </si>
  <si>
    <t>[Protein]-N6-[(R)-dihydrolipoyl]-L-lysine</t>
  </si>
  <si>
    <t>Undecaprenol</t>
  </si>
  <si>
    <t>Prenyl diphosphate</t>
  </si>
  <si>
    <t>[Protein]-L-threonine</t>
  </si>
  <si>
    <t>8-Oxo-dGTP</t>
  </si>
  <si>
    <t>6-Carboxytetrahydropterin</t>
  </si>
  <si>
    <t>7-Carboxy-7-carbaguanine</t>
  </si>
  <si>
    <t>tRNA 7-aminomethyl-7-carbaguanine</t>
  </si>
  <si>
    <t>Short-chain acyl-CoA</t>
  </si>
  <si>
    <t>2-Iminobutanoate</t>
  </si>
  <si>
    <t>UDP-3-O-[(3R)-3-hydroxyacyl]-alpha-D-glucosamine</t>
  </si>
  <si>
    <t>L-Asparate</t>
  </si>
  <si>
    <t>myo-Inositol phosphate</t>
  </si>
  <si>
    <t>Purine nucleoside</t>
  </si>
  <si>
    <t>5-Carboxyamino-1-(5-phospho-D-ribosyl)imidazole</t>
  </si>
  <si>
    <t>C00003 + C00039 + C02128</t>
  </si>
  <si>
    <t>C00003 * C00039 * C02128</t>
  </si>
  <si>
    <t>C00020 + C00455 + C00039</t>
  </si>
  <si>
    <t>C00020 * C00455 * C00039</t>
  </si>
  <si>
    <t>C08249</t>
  </si>
  <si>
    <t>C02850 + C00001</t>
  </si>
  <si>
    <t>C02850 * C00001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</si>
</sst>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u/>
      <sz val="12"/>
      <color rgb="FF3960A6"/>
      <name val="Aptos Narrow"/>
      <family val="2"/>
      <scheme val="minor"/>
    </font>
    <font>
      <sz val="13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i/>
      <sz val="10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000000"/>
      <name val="Helvetica Neue"/>
      <family val="2"/>
    </font>
  </fonts>
  <fills count="16">
    <fill>
      <patternFill patternType="none"/>
    </fill>
    <fill>
      <patternFill patternType="gray125"/>
    </fill>
    <fill>
      <patternFill patternType="solid">
        <fgColor rgb="FFFFE7F9"/>
        <bgColor indexed="64"/>
      </patternFill>
    </fill>
    <fill>
      <patternFill patternType="solid">
        <fgColor rgb="FFFFD3ED"/>
        <bgColor indexed="64"/>
      </patternFill>
    </fill>
    <fill>
      <patternFill patternType="solid">
        <fgColor rgb="FFFFCCE1"/>
        <bgColor indexed="64"/>
      </patternFill>
    </fill>
    <fill>
      <patternFill patternType="solid">
        <fgColor rgb="FFFFB9D9"/>
        <bgColor indexed="64"/>
      </patternFill>
    </fill>
    <fill>
      <patternFill patternType="solid">
        <fgColor rgb="FFFFACE3"/>
        <bgColor indexed="64"/>
      </patternFill>
    </fill>
    <fill>
      <patternFill patternType="solid">
        <fgColor rgb="FFFFEBA8"/>
        <bgColor indexed="64"/>
      </patternFill>
    </fill>
    <fill>
      <patternFill patternType="solid">
        <fgColor rgb="FFFFEAC1"/>
        <bgColor indexed="64"/>
      </patternFill>
    </fill>
    <fill>
      <patternFill patternType="solid">
        <fgColor rgb="FFFFE8AB"/>
        <bgColor indexed="64"/>
      </patternFill>
    </fill>
    <fill>
      <patternFill patternType="solid">
        <fgColor rgb="FFC59486"/>
        <bgColor indexed="64"/>
      </patternFill>
    </fill>
    <fill>
      <patternFill patternType="solid">
        <fgColor rgb="FFA67F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rgb="FFFEE8BC"/>
        <bgColor indexed="64"/>
      </patternFill>
    </fill>
    <fill>
      <patternFill patternType="solid">
        <fgColor rgb="FFCDEA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1"/>
    <xf numFmtId="10" fontId="0" fillId="0" borderId="0" xfId="0" applyNumberForma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1" fillId="12" borderId="0" xfId="0" applyFont="1" applyFill="1" applyAlignment="1">
      <alignment wrapText="1"/>
    </xf>
    <xf numFmtId="0" fontId="11" fillId="0" borderId="0" xfId="0" applyFont="1"/>
    <xf numFmtId="0" fontId="11" fillId="14" borderId="0" xfId="0" applyFont="1" applyFill="1"/>
    <xf numFmtId="0" fontId="11" fillId="15" borderId="0" xfId="0" applyFont="1" applyFill="1"/>
    <xf numFmtId="0" fontId="0" fillId="15" borderId="0" xfId="0" applyFill="1"/>
    <xf numFmtId="0" fontId="0" fillId="14" borderId="0" xfId="0" applyFill="1"/>
    <xf numFmtId="0" fontId="15" fillId="0" borderId="0" xfId="0" applyFont="1"/>
    <xf numFmtId="0" fontId="15" fillId="2" borderId="0" xfId="0" applyFont="1" applyFill="1"/>
    <xf numFmtId="0" fontId="15" fillId="3" borderId="0" xfId="0" applyFont="1" applyFill="1"/>
    <xf numFmtId="0" fontId="15" fillId="4" borderId="0" xfId="0" applyFont="1" applyFill="1"/>
    <xf numFmtId="0" fontId="15" fillId="5" borderId="0" xfId="0" applyFont="1" applyFill="1"/>
    <xf numFmtId="0" fontId="15" fillId="6" borderId="0" xfId="0" applyFont="1" applyFill="1"/>
    <xf numFmtId="0" fontId="15" fillId="7" borderId="0" xfId="0" applyFont="1" applyFill="1"/>
    <xf numFmtId="0" fontId="15" fillId="8" borderId="0" xfId="0" applyFont="1" applyFill="1"/>
    <xf numFmtId="0" fontId="15" fillId="9" borderId="0" xfId="0" applyFont="1" applyFill="1"/>
    <xf numFmtId="0" fontId="15" fillId="10" borderId="0" xfId="0" applyFont="1" applyFill="1"/>
    <xf numFmtId="0" fontId="15" fillId="11" borderId="0" xfId="0" applyFont="1" applyFill="1"/>
    <xf numFmtId="0" fontId="16" fillId="0" borderId="1" xfId="0" applyFont="1" applyBorder="1" applyAlignment="1">
      <alignment wrapText="1"/>
    </xf>
    <xf numFmtId="0" fontId="16" fillId="2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0" fontId="16" fillId="4" borderId="1" xfId="0" applyFont="1" applyFill="1" applyBorder="1" applyAlignment="1">
      <alignment wrapText="1"/>
    </xf>
    <xf numFmtId="0" fontId="16" fillId="5" borderId="1" xfId="0" applyFont="1" applyFill="1" applyBorder="1" applyAlignment="1">
      <alignment wrapText="1"/>
    </xf>
    <xf numFmtId="0" fontId="16" fillId="6" borderId="1" xfId="0" applyFont="1" applyFill="1" applyBorder="1" applyAlignment="1">
      <alignment wrapText="1"/>
    </xf>
    <xf numFmtId="0" fontId="16" fillId="7" borderId="1" xfId="0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6" fillId="9" borderId="1" xfId="0" applyFont="1" applyFill="1" applyBorder="1" applyAlignment="1">
      <alignment wrapText="1"/>
    </xf>
    <xf numFmtId="0" fontId="16" fillId="10" borderId="1" xfId="0" applyFont="1" applyFill="1" applyBorder="1" applyAlignment="1">
      <alignment wrapText="1"/>
    </xf>
    <xf numFmtId="0" fontId="16" fillId="11" borderId="1" xfId="0" applyFont="1" applyFill="1" applyBorder="1" applyAlignment="1">
      <alignment wrapText="1"/>
    </xf>
    <xf numFmtId="0" fontId="0" fillId="0" borderId="1" xfId="0" applyBorder="1"/>
    <xf numFmtId="0" fontId="9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7" fillId="0" borderId="1" xfId="0" applyFont="1" applyBorder="1"/>
    <xf numFmtId="0" fontId="11" fillId="0" borderId="1" xfId="0" applyFont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13" borderId="1" xfId="0" applyFill="1" applyBorder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14" borderId="1" xfId="0" applyFill="1" applyBorder="1"/>
    <xf numFmtId="0" fontId="0" fillId="15" borderId="1" xfId="0" applyFill="1" applyBorder="1"/>
    <xf numFmtId="0" fontId="10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2" fillId="0" borderId="1" xfId="0" quotePrefix="1" applyFont="1" applyBorder="1"/>
    <xf numFmtId="0" fontId="1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E8BC"/>
      <color rgb="FFFFFFAE"/>
      <color rgb="FFCDEAFF"/>
      <color rgb="FFFFE0AD"/>
      <color rgb="FFABE4FF"/>
      <color rgb="FFFFE6FF"/>
      <color rgb="FFA67F74"/>
      <color rgb="FFB5897D"/>
      <color rgb="FFB38882"/>
      <color rgb="FFAC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datasets/genome/GCF_903886475.1/" TargetMode="External"/><Relationship Id="rId1" Type="http://schemas.openxmlformats.org/officeDocument/2006/relationships/hyperlink" Target="https://www.ncbi.nlm.nih.gov/nuccore/NZ_LR822015.1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egg.jp/entry/1.1.1.42" TargetMode="External"/><Relationship Id="rId117" Type="http://schemas.openxmlformats.org/officeDocument/2006/relationships/hyperlink" Target="https://www.kegg.jp/entry/3.4.21.92" TargetMode="External"/><Relationship Id="rId21" Type="http://schemas.openxmlformats.org/officeDocument/2006/relationships/hyperlink" Target="https://www.kegg.jp/entry/1.1.1.27" TargetMode="External"/><Relationship Id="rId42" Type="http://schemas.openxmlformats.org/officeDocument/2006/relationships/hyperlink" Target="https://www.kegg.jp/entry/1.17.1.8" TargetMode="External"/><Relationship Id="rId47" Type="http://schemas.openxmlformats.org/officeDocument/2006/relationships/hyperlink" Target="https://www.kegg.jp/entry/R04315/R02014/R02020/R02022/R02023" TargetMode="External"/><Relationship Id="rId63" Type="http://schemas.openxmlformats.org/officeDocument/2006/relationships/hyperlink" Target="https://www.kegg.jp/entry/R03313" TargetMode="External"/><Relationship Id="rId68" Type="http://schemas.openxmlformats.org/officeDocument/2006/relationships/hyperlink" Target="https://www.kegg.jp/entry/1.3.1.15" TargetMode="External"/><Relationship Id="rId84" Type="http://schemas.openxmlformats.org/officeDocument/2006/relationships/hyperlink" Target="https://www.kegg.jp/entry/1.5.1.20" TargetMode="External"/><Relationship Id="rId89" Type="http://schemas.openxmlformats.org/officeDocument/2006/relationships/hyperlink" Target="https://www.kegg.jp/entry/R01220" TargetMode="External"/><Relationship Id="rId112" Type="http://schemas.openxmlformats.org/officeDocument/2006/relationships/hyperlink" Target="https://www.kegg.jp/entry/6.1.1.14" TargetMode="External"/><Relationship Id="rId16" Type="http://schemas.openxmlformats.org/officeDocument/2006/relationships/hyperlink" Target="https://www.kegg.jp/entry/1.2.1.10" TargetMode="External"/><Relationship Id="rId107" Type="http://schemas.openxmlformats.org/officeDocument/2006/relationships/hyperlink" Target="https://www.kegg.jp/entry/2.7.7.6" TargetMode="External"/><Relationship Id="rId11" Type="http://schemas.openxmlformats.org/officeDocument/2006/relationships/hyperlink" Target="https://www.kegg.jp/entry/R02472" TargetMode="External"/><Relationship Id="rId32" Type="http://schemas.openxmlformats.org/officeDocument/2006/relationships/hyperlink" Target="https://www.kegg.jp/entry/R02081" TargetMode="External"/><Relationship Id="rId37" Type="http://schemas.openxmlformats.org/officeDocument/2006/relationships/hyperlink" Target="https://www.kegg.jp/entry/1.1.1.95" TargetMode="External"/><Relationship Id="rId53" Type="http://schemas.openxmlformats.org/officeDocument/2006/relationships/hyperlink" Target="https://www.kegg.jp/entry/R12500" TargetMode="External"/><Relationship Id="rId58" Type="http://schemas.openxmlformats.org/officeDocument/2006/relationships/hyperlink" Target="https://www.kegg.jp/entry/1.2.1.12" TargetMode="External"/><Relationship Id="rId74" Type="http://schemas.openxmlformats.org/officeDocument/2006/relationships/hyperlink" Target="https://www.kegg.jp/entry/1.3.8.1" TargetMode="External"/><Relationship Id="rId79" Type="http://schemas.openxmlformats.org/officeDocument/2006/relationships/hyperlink" Target="https://www.kegg.jp/entry/R01867" TargetMode="External"/><Relationship Id="rId102" Type="http://schemas.openxmlformats.org/officeDocument/2006/relationships/hyperlink" Target="https://www.keg+E188:H189g.jp/entry/2.5.1.7" TargetMode="External"/><Relationship Id="rId123" Type="http://schemas.openxmlformats.org/officeDocument/2006/relationships/hyperlink" Target="https://www.kegg.jp/entry/3.1.26.4" TargetMode="External"/><Relationship Id="rId5" Type="http://schemas.openxmlformats.org/officeDocument/2006/relationships/hyperlink" Target="https://www.kegg.jp/entry/R09524/R13177" TargetMode="External"/><Relationship Id="rId90" Type="http://schemas.openxmlformats.org/officeDocument/2006/relationships/hyperlink" Target="https://www.kegg.jp/entry/3.5.4.9" TargetMode="External"/><Relationship Id="rId95" Type="http://schemas.openxmlformats.org/officeDocument/2006/relationships/hyperlink" Target="https://www.kegg.jp/entry/1.8.1.4" TargetMode="External"/><Relationship Id="rId22" Type="http://schemas.openxmlformats.org/officeDocument/2006/relationships/hyperlink" Target="https://www.kegg.jp/entry/1.1.1.3" TargetMode="External"/><Relationship Id="rId27" Type="http://schemas.openxmlformats.org/officeDocument/2006/relationships/hyperlink" Target="https://www.kegg.jp/entry/1.1.1.85" TargetMode="External"/><Relationship Id="rId43" Type="http://schemas.openxmlformats.org/officeDocument/2006/relationships/hyperlink" Target="https://www.kegg.jp/entry/R04198/R04199" TargetMode="External"/><Relationship Id="rId48" Type="http://schemas.openxmlformats.org/officeDocument/2006/relationships/hyperlink" Target="https://www.kegg.jp/entry/1.17.4.2" TargetMode="External"/><Relationship Id="rId64" Type="http://schemas.openxmlformats.org/officeDocument/2006/relationships/hyperlink" Target="https://www.kegg.jp/entry/1.2.1.9" TargetMode="External"/><Relationship Id="rId69" Type="http://schemas.openxmlformats.org/officeDocument/2006/relationships/hyperlink" Target="https://www.kegg.jp/entry/R01866" TargetMode="External"/><Relationship Id="rId113" Type="http://schemas.openxmlformats.org/officeDocument/2006/relationships/hyperlink" Target="https://www.kegg.jp/entry/7.2.2.8" TargetMode="External"/><Relationship Id="rId118" Type="http://schemas.openxmlformats.org/officeDocument/2006/relationships/hyperlink" Target="https://www.kegg.jp/entry/3.4.16.4" TargetMode="External"/><Relationship Id="rId80" Type="http://schemas.openxmlformats.org/officeDocument/2006/relationships/hyperlink" Target="https://www.kegg.jp/entry/1.4.1.4" TargetMode="External"/><Relationship Id="rId85" Type="http://schemas.openxmlformats.org/officeDocument/2006/relationships/hyperlink" Target="https://www.kegg.jp/entry/R01224/R07168" TargetMode="External"/><Relationship Id="rId12" Type="http://schemas.openxmlformats.org/officeDocument/2006/relationships/hyperlink" Target="https://www.kegg.jp/entry/R02767/R04533/R04534/R04536/R04543/R04566/R04953/R04964/R07763/R10116/R10120" TargetMode="External"/><Relationship Id="rId17" Type="http://schemas.openxmlformats.org/officeDocument/2006/relationships/hyperlink" Target="https://www.kegg.jp/entry/1.1.1.100" TargetMode="External"/><Relationship Id="rId33" Type="http://schemas.openxmlformats.org/officeDocument/2006/relationships/hyperlink" Target="https://www.kegg.jp/entry/1.1.1.94" TargetMode="External"/><Relationship Id="rId38" Type="http://schemas.openxmlformats.org/officeDocument/2006/relationships/hyperlink" Target="https://www.kegg.jp/entry/R01513/R08198" TargetMode="External"/><Relationship Id="rId59" Type="http://schemas.openxmlformats.org/officeDocument/2006/relationships/hyperlink" Target="https://www.kegg.jp/entry/R01061" TargetMode="External"/><Relationship Id="rId103" Type="http://schemas.openxmlformats.org/officeDocument/2006/relationships/hyperlink" Target="https://www.keg+E188:H189g.jp/entry/2.5.1.7" TargetMode="External"/><Relationship Id="rId108" Type="http://schemas.openxmlformats.org/officeDocument/2006/relationships/hyperlink" Target="https://www.kegg.jp/entry/2.7.7.6" TargetMode="External"/><Relationship Id="rId124" Type="http://schemas.openxmlformats.org/officeDocument/2006/relationships/hyperlink" Target="https://www.kegg.jp/entry/3.1.26.4" TargetMode="External"/><Relationship Id="rId54" Type="http://schemas.openxmlformats.org/officeDocument/2006/relationships/hyperlink" Target="https://www.kegg.jp/entry/1.18.1.2" TargetMode="External"/><Relationship Id="rId70" Type="http://schemas.openxmlformats.org/officeDocument/2006/relationships/hyperlink" Target="https://www.kegg.jp/entry/1.3.1.9" TargetMode="External"/><Relationship Id="rId75" Type="http://schemas.openxmlformats.org/officeDocument/2006/relationships/hyperlink" Target="https://www.kegg.jp/entry/R01178/R01175/R04751/R02661/R03172/R04432" TargetMode="External"/><Relationship Id="rId91" Type="http://schemas.openxmlformats.org/officeDocument/2006/relationships/hyperlink" Target="https://www.kegg.jp/entry/R01655" TargetMode="External"/><Relationship Id="rId96" Type="http://schemas.openxmlformats.org/officeDocument/2006/relationships/hyperlink" Target="https://www.kegg.jp/entry/R04405/R09365" TargetMode="External"/><Relationship Id="rId1" Type="http://schemas.openxmlformats.org/officeDocument/2006/relationships/hyperlink" Target="https://www.kegg.jp/entry/R01652/R04426/R10052/R00994" TargetMode="External"/><Relationship Id="rId6" Type="http://schemas.openxmlformats.org/officeDocument/2006/relationships/hyperlink" Target="https://www.kegg.jp/entry/R02855" TargetMode="External"/><Relationship Id="rId23" Type="http://schemas.openxmlformats.org/officeDocument/2006/relationships/hyperlink" Target="https://www.kegg.jp/entry/1.1.1.303" TargetMode="External"/><Relationship Id="rId28" Type="http://schemas.openxmlformats.org/officeDocument/2006/relationships/hyperlink" Target="https://www.kegg.jp/entry/1.1.1.304" TargetMode="External"/><Relationship Id="rId49" Type="http://schemas.openxmlformats.org/officeDocument/2006/relationships/hyperlink" Target="https://www.kegg.jp/entry/R04315/R02014/R02020/R02022/R02023" TargetMode="External"/><Relationship Id="rId114" Type="http://schemas.openxmlformats.org/officeDocument/2006/relationships/hyperlink" Target="https://www.kegg.jp/entry/1.6.99.3" TargetMode="External"/><Relationship Id="rId119" Type="http://schemas.openxmlformats.org/officeDocument/2006/relationships/hyperlink" Target="https://www.kegg.jp/entry/3.4.16.4" TargetMode="External"/><Relationship Id="rId44" Type="http://schemas.openxmlformats.org/officeDocument/2006/relationships/hyperlink" Target="https://www.kegg.jp/entry/1.17.4.1" TargetMode="External"/><Relationship Id="rId60" Type="http://schemas.openxmlformats.org/officeDocument/2006/relationships/hyperlink" Target="https://www.kegg.jp/entry/1.2.1.38" TargetMode="External"/><Relationship Id="rId65" Type="http://schemas.openxmlformats.org/officeDocument/2006/relationships/hyperlink" Target="https://www.kegg.jp/entry/R01058" TargetMode="External"/><Relationship Id="rId81" Type="http://schemas.openxmlformats.org/officeDocument/2006/relationships/hyperlink" Target="https://www.kegg.jp/entry/R00248/R00145/R00146" TargetMode="External"/><Relationship Id="rId86" Type="http://schemas.openxmlformats.org/officeDocument/2006/relationships/hyperlink" Target="https://www.kegg.jp/entry/1.5.1.3" TargetMode="External"/><Relationship Id="rId13" Type="http://schemas.openxmlformats.org/officeDocument/2006/relationships/hyperlink" Target="https://www.kegg.jp/entry/R00228/R01172" TargetMode="External"/><Relationship Id="rId18" Type="http://schemas.openxmlformats.org/officeDocument/2006/relationships/hyperlink" Target="https://www.kegg.jp/entry/1.1.1.169" TargetMode="External"/><Relationship Id="rId39" Type="http://schemas.openxmlformats.org/officeDocument/2006/relationships/hyperlink" Target="https://www.kegg.jp/entry/1.11.1.15" TargetMode="External"/><Relationship Id="rId109" Type="http://schemas.openxmlformats.org/officeDocument/2006/relationships/hyperlink" Target="https://www.kegg.jp/entry/3.5.3.11" TargetMode="External"/><Relationship Id="rId34" Type="http://schemas.openxmlformats.org/officeDocument/2006/relationships/hyperlink" Target="https://www.kegg.jp/entry/R00842/R00844" TargetMode="External"/><Relationship Id="rId50" Type="http://schemas.openxmlformats.org/officeDocument/2006/relationships/hyperlink" Target="https://www.kegg.jp/entry/1.17.4.2" TargetMode="External"/><Relationship Id="rId55" Type="http://schemas.openxmlformats.org/officeDocument/2006/relationships/hyperlink" Target="https://www.kegg.jp/entry/R01195/R10159" TargetMode="External"/><Relationship Id="rId76" Type="http://schemas.openxmlformats.org/officeDocument/2006/relationships/hyperlink" Target="https://www.kegg.jp/entry/1.3.98.1" TargetMode="External"/><Relationship Id="rId97" Type="http://schemas.openxmlformats.org/officeDocument/2006/relationships/hyperlink" Target="https://www.kegg.jp/entry/2.1.1.14" TargetMode="External"/><Relationship Id="rId104" Type="http://schemas.openxmlformats.org/officeDocument/2006/relationships/hyperlink" Target="https://www.kegg.jp/entry/R00174/R01909/R02493" TargetMode="External"/><Relationship Id="rId120" Type="http://schemas.openxmlformats.org/officeDocument/2006/relationships/hyperlink" Target="https://www.kegg.jp/entry/3.4.16.4" TargetMode="External"/><Relationship Id="rId125" Type="http://schemas.openxmlformats.org/officeDocument/2006/relationships/hyperlink" Target="https://www.kegg.jp/entry/3.1.11.2" TargetMode="External"/><Relationship Id="rId7" Type="http://schemas.openxmlformats.org/officeDocument/2006/relationships/hyperlink" Target="https://www.kegg.jp/entry/R01773/R01775" TargetMode="External"/><Relationship Id="rId71" Type="http://schemas.openxmlformats.org/officeDocument/2006/relationships/hyperlink" Target="https://www.kegg.jp/entry/R01403/R04429/R04724/R04955/R04958/R04961/R04966/R04969/R07765" TargetMode="External"/><Relationship Id="rId92" Type="http://schemas.openxmlformats.org/officeDocument/2006/relationships/hyperlink" Target="https://www.kegg.jp/entry/1.7.1.13" TargetMode="External"/><Relationship Id="rId2" Type="http://schemas.openxmlformats.org/officeDocument/2006/relationships/hyperlink" Target="https://www.kegg.jp/entry/R00267/R00268/R01899" TargetMode="External"/><Relationship Id="rId29" Type="http://schemas.openxmlformats.org/officeDocument/2006/relationships/hyperlink" Target="https://www.kegg.jp/entry/1.1.1.86" TargetMode="External"/><Relationship Id="rId24" Type="http://schemas.openxmlformats.org/officeDocument/2006/relationships/hyperlink" Target="https://www.kegg.jp/entry/2.3.1.190" TargetMode="External"/><Relationship Id="rId40" Type="http://schemas.openxmlformats.org/officeDocument/2006/relationships/hyperlink" Target="https://www.kegg.jp/entry/1.15.1.1" TargetMode="External"/><Relationship Id="rId45" Type="http://schemas.openxmlformats.org/officeDocument/2006/relationships/hyperlink" Target="https://www.kegg.jp/entry/R04294/R02017/R02018/R02019/R02024/R08363/R08364/R11893" TargetMode="External"/><Relationship Id="rId66" Type="http://schemas.openxmlformats.org/officeDocument/2006/relationships/hyperlink" Target="https://www.kegg.jp/entry/1.3.1.12" TargetMode="External"/><Relationship Id="rId87" Type="http://schemas.openxmlformats.org/officeDocument/2006/relationships/hyperlink" Target="https://www.kegg.jp/entry/R00939/R00936/R00937/R00940/R02235/R02236/R11765" TargetMode="External"/><Relationship Id="rId110" Type="http://schemas.openxmlformats.org/officeDocument/2006/relationships/hyperlink" Target="https://www.kegg.jp/entry/3.6.1.55" TargetMode="External"/><Relationship Id="rId115" Type="http://schemas.openxmlformats.org/officeDocument/2006/relationships/hyperlink" Target="https://www.kegg.jp/entry/2.1.1.170" TargetMode="External"/><Relationship Id="rId61" Type="http://schemas.openxmlformats.org/officeDocument/2006/relationships/hyperlink" Target="https://www.kegg.jp/entry/R03443" TargetMode="External"/><Relationship Id="rId82" Type="http://schemas.openxmlformats.org/officeDocument/2006/relationships/hyperlink" Target="https://www.kegg.jp/entry/1.5.1.2" TargetMode="External"/><Relationship Id="rId19" Type="http://schemas.openxmlformats.org/officeDocument/2006/relationships/hyperlink" Target="https://www.kegg.jp/entry/1.1.1.25" TargetMode="External"/><Relationship Id="rId14" Type="http://schemas.openxmlformats.org/officeDocument/2006/relationships/hyperlink" Target="https://www.kegg.jp/entry/R00623/R00754/R02124/R02878/R04805/R04880/R05233/R05234/R06917/R06927/R08281/R08306/R08557/R08558/R10783/R00624/R08310/R02246/R07105" TargetMode="External"/><Relationship Id="rId30" Type="http://schemas.openxmlformats.org/officeDocument/2006/relationships/hyperlink" Target="https://www.kegg.jp/entry/R04439/R03051/R04440/R05068/R05069/R05071" TargetMode="External"/><Relationship Id="rId35" Type="http://schemas.openxmlformats.org/officeDocument/2006/relationships/hyperlink" Target="https://www.kegg.jp/entry/1.1.1.94" TargetMode="External"/><Relationship Id="rId56" Type="http://schemas.openxmlformats.org/officeDocument/2006/relationships/hyperlink" Target="https://www.kegg.jp/entry/1.2.1.11" TargetMode="External"/><Relationship Id="rId77" Type="http://schemas.openxmlformats.org/officeDocument/2006/relationships/hyperlink" Target="https://www.kegg.jp/entry/R01867" TargetMode="External"/><Relationship Id="rId100" Type="http://schemas.openxmlformats.org/officeDocument/2006/relationships/hyperlink" Target="https://www.kegg.jp/entry/2.1.1.63" TargetMode="External"/><Relationship Id="rId105" Type="http://schemas.openxmlformats.org/officeDocument/2006/relationships/hyperlink" Target="https://www.kegg.jp/entry/2.7.7.6" TargetMode="External"/><Relationship Id="rId126" Type="http://schemas.openxmlformats.org/officeDocument/2006/relationships/hyperlink" Target="https://www.kegg.jp/entry/3.1.11.6" TargetMode="External"/><Relationship Id="rId8" Type="http://schemas.openxmlformats.org/officeDocument/2006/relationships/hyperlink" Target="https://www.kegg.jp/entry/R00703/R01000/R03104" TargetMode="External"/><Relationship Id="rId51" Type="http://schemas.openxmlformats.org/officeDocument/2006/relationships/hyperlink" Target="https://www.kegg.jp/entry/R04315/R02014/R02020/R02022/R02023" TargetMode="External"/><Relationship Id="rId72" Type="http://schemas.openxmlformats.org/officeDocument/2006/relationships/hyperlink" Target="https://www.kegg.jp/entry/1.3.1.98" TargetMode="External"/><Relationship Id="rId93" Type="http://schemas.openxmlformats.org/officeDocument/2006/relationships/hyperlink" Target="https://www.kegg.jp/entry/R07605" TargetMode="External"/><Relationship Id="rId98" Type="http://schemas.openxmlformats.org/officeDocument/2006/relationships/hyperlink" Target="https://www.kegg.jp/entry/2.1.1.14" TargetMode="External"/><Relationship Id="rId121" Type="http://schemas.openxmlformats.org/officeDocument/2006/relationships/hyperlink" Target="https://www.kegg.jp/entry/3.1.26.11" TargetMode="External"/><Relationship Id="rId3" Type="http://schemas.openxmlformats.org/officeDocument/2006/relationships/hyperlink" Target="https://www.kegg.jp/entry/R12803/R04550" TargetMode="External"/><Relationship Id="rId25" Type="http://schemas.openxmlformats.org/officeDocument/2006/relationships/hyperlink" Target="https://www.kegg.jp/entry/2.3.1.191" TargetMode="External"/><Relationship Id="rId46" Type="http://schemas.openxmlformats.org/officeDocument/2006/relationships/hyperlink" Target="https://www.kegg.jp/entry/1.17.4.2" TargetMode="External"/><Relationship Id="rId67" Type="http://schemas.openxmlformats.org/officeDocument/2006/relationships/hyperlink" Target="https://www.kegg.jp/entry/R01728" TargetMode="External"/><Relationship Id="rId116" Type="http://schemas.openxmlformats.org/officeDocument/2006/relationships/hyperlink" Target="https://www.kegg.jp/entry/3.1.22.4" TargetMode="External"/><Relationship Id="rId20" Type="http://schemas.openxmlformats.org/officeDocument/2006/relationships/hyperlink" Target="https://www.kegg.jp/entry/1.1.1.205" TargetMode="External"/><Relationship Id="rId41" Type="http://schemas.openxmlformats.org/officeDocument/2006/relationships/hyperlink" Target="https://www.kegg.jp/entry/R00275" TargetMode="External"/><Relationship Id="rId62" Type="http://schemas.openxmlformats.org/officeDocument/2006/relationships/hyperlink" Target="https://www.kegg.jp/entry/1.2.1.41" TargetMode="External"/><Relationship Id="rId83" Type="http://schemas.openxmlformats.org/officeDocument/2006/relationships/hyperlink" Target="https://www.kegg.jp/entry/R01248/R01251/R03291/R03293" TargetMode="External"/><Relationship Id="rId88" Type="http://schemas.openxmlformats.org/officeDocument/2006/relationships/hyperlink" Target="https://www.kegg.jp/entry/1.5.1.5" TargetMode="External"/><Relationship Id="rId111" Type="http://schemas.openxmlformats.org/officeDocument/2006/relationships/hyperlink" Target="https://www.kegg.jp/entry/6.1.1.14" TargetMode="External"/><Relationship Id="rId15" Type="http://schemas.openxmlformats.org/officeDocument/2006/relationships/hyperlink" Target="https://www.kegg.jp/entry/1.1.1.1" TargetMode="External"/><Relationship Id="rId36" Type="http://schemas.openxmlformats.org/officeDocument/2006/relationships/hyperlink" Target="https://www.kegg.jp/entry/R00842/R00844" TargetMode="External"/><Relationship Id="rId57" Type="http://schemas.openxmlformats.org/officeDocument/2006/relationships/hyperlink" Target="https://www.kegg.jp/entry/R02291" TargetMode="External"/><Relationship Id="rId106" Type="http://schemas.openxmlformats.org/officeDocument/2006/relationships/hyperlink" Target="https://www.kegg.jp/entry/2.7.7.6" TargetMode="External"/><Relationship Id="rId127" Type="http://schemas.openxmlformats.org/officeDocument/2006/relationships/hyperlink" Target="https://www.kegg.jp/entry/2.1.1.177" TargetMode="External"/><Relationship Id="rId10" Type="http://schemas.openxmlformats.org/officeDocument/2006/relationships/hyperlink" Target="https://www.kegg.jp/entry/R01130/R08240" TargetMode="External"/><Relationship Id="rId31" Type="http://schemas.openxmlformats.org/officeDocument/2006/relationships/hyperlink" Target="https://www.kegg.jp/entry/1.1.1.88" TargetMode="External"/><Relationship Id="rId52" Type="http://schemas.openxmlformats.org/officeDocument/2006/relationships/hyperlink" Target="https://www.kegg.jp/entry/1.17.99.6" TargetMode="External"/><Relationship Id="rId73" Type="http://schemas.openxmlformats.org/officeDocument/2006/relationships/hyperlink" Target="https://www.kegg.jp/entry/R03192/R03191" TargetMode="External"/><Relationship Id="rId78" Type="http://schemas.openxmlformats.org/officeDocument/2006/relationships/hyperlink" Target="https://www.kegg.jp/entry/1.3.98.1" TargetMode="External"/><Relationship Id="rId94" Type="http://schemas.openxmlformats.org/officeDocument/2006/relationships/hyperlink" Target="https://www.kegg.jp/entry/R08550/R03815/R07618/R01698" TargetMode="External"/><Relationship Id="rId99" Type="http://schemas.openxmlformats.org/officeDocument/2006/relationships/hyperlink" Target="https://www.kegg.jp/entry/R04405/R09365" TargetMode="External"/><Relationship Id="rId101" Type="http://schemas.openxmlformats.org/officeDocument/2006/relationships/hyperlink" Target="https://www.keg+E188:H189g.jp/entry/2.5.1.7" TargetMode="External"/><Relationship Id="rId122" Type="http://schemas.openxmlformats.org/officeDocument/2006/relationships/hyperlink" Target="https://www.kegg.jp/entry/3.1.26.3" TargetMode="External"/><Relationship Id="rId4" Type="http://schemas.openxmlformats.org/officeDocument/2006/relationships/hyperlink" Target="https://www.kegg.jp/entry/R09078" TargetMode="External"/><Relationship Id="rId9" Type="http://schemas.openxmlformats.org/officeDocument/2006/relationships/hyperlink" Target="https://www.kegg.jp/entry/R02413/R12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C1D9-DCED-A944-B37C-71640BD00F57}">
  <dimension ref="A1:E27"/>
  <sheetViews>
    <sheetView workbookViewId="0">
      <selection activeCell="I8" sqref="I8"/>
    </sheetView>
  </sheetViews>
  <sheetFormatPr defaultColWidth="10.6640625" defaultRowHeight="16"/>
  <cols>
    <col min="1" max="1" width="32.5" customWidth="1"/>
    <col min="2" max="2" width="21" customWidth="1"/>
    <col min="3" max="3" width="17.33203125" customWidth="1"/>
  </cols>
  <sheetData>
    <row r="1" spans="1:5">
      <c r="A1" t="s">
        <v>0</v>
      </c>
      <c r="B1" s="4" t="s">
        <v>24</v>
      </c>
      <c r="C1" s="1"/>
      <c r="D1" s="1"/>
      <c r="E1" s="1"/>
    </row>
    <row r="2" spans="1:5">
      <c r="A2" t="s">
        <v>1</v>
      </c>
      <c r="B2" t="s">
        <v>25</v>
      </c>
    </row>
    <row r="3" spans="1:5" ht="17">
      <c r="A3" t="s">
        <v>2</v>
      </c>
      <c r="B3" s="2" t="s">
        <v>26</v>
      </c>
    </row>
    <row r="4" spans="1:5">
      <c r="A4" t="s">
        <v>3</v>
      </c>
    </row>
    <row r="5" spans="1:5">
      <c r="A5" t="s">
        <v>4</v>
      </c>
      <c r="B5" t="s">
        <v>27</v>
      </c>
    </row>
    <row r="6" spans="1:5">
      <c r="A6" t="s">
        <v>5</v>
      </c>
    </row>
    <row r="7" spans="1:5">
      <c r="B7" t="s">
        <v>6</v>
      </c>
      <c r="C7" t="s">
        <v>7</v>
      </c>
    </row>
    <row r="8" spans="1:5">
      <c r="A8" t="s">
        <v>8</v>
      </c>
      <c r="B8" t="s">
        <v>28</v>
      </c>
      <c r="C8" t="s">
        <v>28</v>
      </c>
    </row>
    <row r="9" spans="1:5">
      <c r="A9" t="s">
        <v>9</v>
      </c>
      <c r="B9" t="s">
        <v>28</v>
      </c>
      <c r="C9" t="s">
        <v>28</v>
      </c>
    </row>
    <row r="10" spans="1:5">
      <c r="A10" t="s">
        <v>10</v>
      </c>
      <c r="B10">
        <v>2</v>
      </c>
      <c r="C10">
        <v>2</v>
      </c>
    </row>
    <row r="11" spans="1:5">
      <c r="A11" t="s">
        <v>11</v>
      </c>
      <c r="B11">
        <v>2</v>
      </c>
      <c r="C11">
        <v>2</v>
      </c>
    </row>
    <row r="12" spans="1:5">
      <c r="A12" t="s">
        <v>12</v>
      </c>
      <c r="B12" t="s">
        <v>28</v>
      </c>
      <c r="C12" t="s">
        <v>28</v>
      </c>
    </row>
    <row r="13" spans="1:5">
      <c r="A13" t="s">
        <v>13</v>
      </c>
      <c r="B13">
        <v>1</v>
      </c>
      <c r="C13">
        <v>1</v>
      </c>
    </row>
    <row r="14" spans="1:5">
      <c r="A14" t="s">
        <v>18</v>
      </c>
      <c r="B14">
        <v>2</v>
      </c>
      <c r="C14">
        <v>2</v>
      </c>
    </row>
    <row r="15" spans="1:5">
      <c r="A15" t="s">
        <v>19</v>
      </c>
      <c r="B15" t="s">
        <v>28</v>
      </c>
      <c r="C15" t="s">
        <v>28</v>
      </c>
    </row>
    <row r="16" spans="1:5">
      <c r="A16" t="s">
        <v>29</v>
      </c>
      <c r="B16">
        <v>1</v>
      </c>
      <c r="C16">
        <v>1</v>
      </c>
    </row>
    <row r="17" spans="1:3">
      <c r="A17" t="s">
        <v>20</v>
      </c>
      <c r="B17">
        <v>39</v>
      </c>
      <c r="C17">
        <v>39</v>
      </c>
    </row>
    <row r="18" spans="1:3">
      <c r="A18" t="s">
        <v>14</v>
      </c>
      <c r="B18" t="s">
        <v>30</v>
      </c>
      <c r="C18" t="s">
        <v>30</v>
      </c>
    </row>
    <row r="19" spans="1:3">
      <c r="A19" t="s">
        <v>15</v>
      </c>
      <c r="B19" s="3">
        <v>1857</v>
      </c>
      <c r="C19" s="3">
        <v>2181</v>
      </c>
    </row>
    <row r="20" spans="1:3">
      <c r="A20" t="s">
        <v>16</v>
      </c>
      <c r="B20" s="3">
        <v>1538</v>
      </c>
      <c r="C20" s="3">
        <v>2009</v>
      </c>
    </row>
    <row r="22" spans="1:3">
      <c r="A22" t="s">
        <v>17</v>
      </c>
      <c r="B22" s="4" t="s">
        <v>31</v>
      </c>
      <c r="C22" s="4" t="s">
        <v>32</v>
      </c>
    </row>
    <row r="25" spans="1:3">
      <c r="A25" t="s">
        <v>21</v>
      </c>
    </row>
    <row r="26" spans="1:3">
      <c r="A26" t="s">
        <v>22</v>
      </c>
      <c r="B26" s="5">
        <v>0.9597</v>
      </c>
    </row>
    <row r="27" spans="1:3">
      <c r="A27" t="s">
        <v>23</v>
      </c>
      <c r="B27" s="5">
        <v>6.7999999999999996E-3</v>
      </c>
    </row>
  </sheetData>
  <hyperlinks>
    <hyperlink ref="C22" r:id="rId1" display="https://www.ncbi.nlm.nih.gov/nuccore/NZ_LR822015.1/" xr:uid="{B86B7724-6198-5C42-AF4A-9114D64D06F4}"/>
    <hyperlink ref="B1" r:id="rId2" xr:uid="{64A24AA7-AA8F-4071-9E2E-34704E92D4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F39E-C8DD-E345-852C-4D7939860574}">
  <dimension ref="A1:R2010"/>
  <sheetViews>
    <sheetView workbookViewId="0">
      <selection activeCell="O2" sqref="O2"/>
    </sheetView>
  </sheetViews>
  <sheetFormatPr defaultColWidth="10.6640625" defaultRowHeight="16"/>
  <cols>
    <col min="6" max="6" width="114.83203125" customWidth="1"/>
    <col min="9" max="9" width="13.83203125" customWidth="1"/>
    <col min="10" max="10" width="19.1640625" customWidth="1"/>
    <col min="11" max="11" width="16.5" customWidth="1"/>
    <col min="12" max="12" width="16.1640625" customWidth="1"/>
    <col min="13" max="13" width="102.83203125" customWidth="1"/>
    <col min="14" max="14" width="12.83203125" customWidth="1"/>
    <col min="15" max="15" width="13.6640625" customWidth="1"/>
  </cols>
  <sheetData>
    <row r="1" spans="1:16">
      <c r="A1" s="8"/>
      <c r="B1" s="6" t="s">
        <v>40</v>
      </c>
      <c r="C1" s="6" t="s">
        <v>41</v>
      </c>
      <c r="D1" s="6" t="s">
        <v>17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6"/>
    </row>
    <row r="2" spans="1:16">
      <c r="A2" s="6" t="s">
        <v>39</v>
      </c>
      <c r="B2" s="7">
        <v>1</v>
      </c>
      <c r="C2" s="7">
        <v>1365</v>
      </c>
      <c r="D2" s="8"/>
      <c r="E2" s="7" t="s">
        <v>53</v>
      </c>
      <c r="F2" s="7" t="s">
        <v>2049</v>
      </c>
      <c r="G2" s="7" t="s">
        <v>54</v>
      </c>
      <c r="H2" s="8"/>
      <c r="I2" s="7" t="s">
        <v>55</v>
      </c>
      <c r="J2" s="8"/>
      <c r="K2" s="8"/>
      <c r="L2" s="7" t="s">
        <v>2050</v>
      </c>
      <c r="M2" s="7" t="s">
        <v>2049</v>
      </c>
      <c r="N2" s="7">
        <v>454</v>
      </c>
      <c r="O2" s="7" t="s">
        <v>2051</v>
      </c>
    </row>
    <row r="3" spans="1:16">
      <c r="A3" s="6" t="s">
        <v>31</v>
      </c>
      <c r="B3" s="7">
        <v>1520</v>
      </c>
      <c r="C3" s="7">
        <v>2656</v>
      </c>
      <c r="D3" s="8"/>
      <c r="E3" s="7" t="s">
        <v>53</v>
      </c>
      <c r="F3" s="7" t="s">
        <v>2052</v>
      </c>
      <c r="G3" s="7" t="s">
        <v>57</v>
      </c>
      <c r="H3" s="8"/>
      <c r="I3" s="7" t="s">
        <v>55</v>
      </c>
      <c r="J3" s="8"/>
      <c r="K3" s="8"/>
      <c r="L3" s="7" t="s">
        <v>2053</v>
      </c>
      <c r="M3" s="7" t="s">
        <v>2052</v>
      </c>
      <c r="N3" s="7">
        <v>378</v>
      </c>
      <c r="O3" s="7" t="s">
        <v>2054</v>
      </c>
    </row>
    <row r="4" spans="1:16">
      <c r="A4" s="6" t="s">
        <v>31</v>
      </c>
      <c r="B4" s="7">
        <v>2707</v>
      </c>
      <c r="C4" s="7">
        <v>2898</v>
      </c>
      <c r="D4" s="8"/>
      <c r="E4" s="7" t="s">
        <v>53</v>
      </c>
      <c r="F4" s="7" t="s">
        <v>2055</v>
      </c>
      <c r="G4" s="7" t="s">
        <v>2056</v>
      </c>
      <c r="H4" s="8"/>
      <c r="I4" s="7" t="s">
        <v>55</v>
      </c>
      <c r="J4" s="8"/>
      <c r="K4" s="8"/>
      <c r="L4" s="7" t="s">
        <v>2057</v>
      </c>
      <c r="M4" s="7" t="s">
        <v>2055</v>
      </c>
      <c r="N4" s="7">
        <v>63</v>
      </c>
      <c r="O4" s="7" t="s">
        <v>2058</v>
      </c>
    </row>
    <row r="5" spans="1:16">
      <c r="A5" s="6" t="s">
        <v>31</v>
      </c>
      <c r="B5" s="7">
        <v>3111</v>
      </c>
      <c r="C5" s="7">
        <v>4226</v>
      </c>
      <c r="D5" s="8"/>
      <c r="E5" s="7" t="s">
        <v>53</v>
      </c>
      <c r="F5" s="7" t="s">
        <v>2059</v>
      </c>
      <c r="G5" s="7" t="s">
        <v>2060</v>
      </c>
      <c r="H5" s="8"/>
      <c r="I5" s="7" t="s">
        <v>55</v>
      </c>
      <c r="J5" s="8"/>
      <c r="K5" s="8"/>
      <c r="L5" s="7" t="s">
        <v>2061</v>
      </c>
      <c r="M5" s="7" t="s">
        <v>2059</v>
      </c>
      <c r="N5" s="7">
        <v>371</v>
      </c>
      <c r="O5" s="7" t="s">
        <v>2062</v>
      </c>
    </row>
    <row r="6" spans="1:16">
      <c r="A6" s="6" t="s">
        <v>31</v>
      </c>
      <c r="B6" s="7">
        <v>4299</v>
      </c>
      <c r="C6" s="7">
        <v>4868</v>
      </c>
      <c r="D6" s="8"/>
      <c r="E6" s="7" t="s">
        <v>53</v>
      </c>
      <c r="F6" s="7" t="s">
        <v>2063</v>
      </c>
      <c r="G6" s="7" t="s">
        <v>61</v>
      </c>
      <c r="H6" s="8"/>
      <c r="I6" s="7" t="s">
        <v>55</v>
      </c>
      <c r="J6" s="8"/>
      <c r="K6" s="8"/>
      <c r="L6" s="7" t="s">
        <v>2064</v>
      </c>
      <c r="M6" s="7" t="s">
        <v>2063</v>
      </c>
      <c r="N6" s="7">
        <v>189</v>
      </c>
      <c r="O6" s="7" t="s">
        <v>2065</v>
      </c>
      <c r="P6" s="7"/>
    </row>
    <row r="7" spans="1:16">
      <c r="A7" s="6" t="s">
        <v>31</v>
      </c>
      <c r="B7" s="7">
        <v>4861</v>
      </c>
      <c r="C7" s="7">
        <v>8367</v>
      </c>
      <c r="D7" s="8"/>
      <c r="E7" s="7" t="s">
        <v>53</v>
      </c>
      <c r="F7" s="7" t="s">
        <v>63</v>
      </c>
      <c r="G7" s="7" t="s">
        <v>64</v>
      </c>
      <c r="H7" s="8"/>
      <c r="I7" s="7" t="s">
        <v>55</v>
      </c>
      <c r="J7" s="8"/>
      <c r="K7" s="8"/>
      <c r="L7" s="7" t="s">
        <v>2066</v>
      </c>
      <c r="M7" s="7" t="s">
        <v>63</v>
      </c>
      <c r="N7" s="7">
        <v>1168</v>
      </c>
      <c r="O7" s="7" t="s">
        <v>2067</v>
      </c>
    </row>
    <row r="8" spans="1:16">
      <c r="A8" s="6" t="s">
        <v>31</v>
      </c>
      <c r="B8" s="7">
        <v>8553</v>
      </c>
      <c r="C8" s="7">
        <v>8828</v>
      </c>
      <c r="D8" s="8"/>
      <c r="E8" s="7" t="s">
        <v>53</v>
      </c>
      <c r="F8" s="7" t="s">
        <v>2068</v>
      </c>
      <c r="G8" s="7" t="s">
        <v>2069</v>
      </c>
      <c r="H8" s="8"/>
      <c r="I8" s="7" t="s">
        <v>55</v>
      </c>
      <c r="J8" s="8"/>
      <c r="K8" s="8"/>
      <c r="L8" s="7" t="s">
        <v>2070</v>
      </c>
      <c r="M8" s="7" t="s">
        <v>2068</v>
      </c>
      <c r="N8" s="7">
        <v>91</v>
      </c>
      <c r="O8" s="7" t="s">
        <v>2071</v>
      </c>
    </row>
    <row r="9" spans="1:16">
      <c r="A9" s="6" t="s">
        <v>31</v>
      </c>
      <c r="B9" s="7">
        <v>8812</v>
      </c>
      <c r="C9" s="7">
        <v>9183</v>
      </c>
      <c r="D9" s="8"/>
      <c r="E9" s="7" t="s">
        <v>53</v>
      </c>
      <c r="F9" s="7" t="s">
        <v>2072</v>
      </c>
      <c r="G9" s="8"/>
      <c r="H9" s="8"/>
      <c r="I9" s="7" t="s">
        <v>55</v>
      </c>
      <c r="J9" s="8"/>
      <c r="K9" s="8"/>
      <c r="L9" s="7" t="s">
        <v>2073</v>
      </c>
      <c r="M9" s="7" t="s">
        <v>2072</v>
      </c>
      <c r="N9" s="7">
        <v>123</v>
      </c>
      <c r="O9" s="7" t="s">
        <v>2074</v>
      </c>
    </row>
    <row r="10" spans="1:16">
      <c r="A10" s="6" t="s">
        <v>31</v>
      </c>
      <c r="B10" s="7">
        <v>9183</v>
      </c>
      <c r="C10" s="7">
        <v>9314</v>
      </c>
      <c r="D10" s="8"/>
      <c r="E10" s="7" t="s">
        <v>53</v>
      </c>
      <c r="F10" s="7" t="s">
        <v>2075</v>
      </c>
      <c r="G10" s="8"/>
      <c r="H10" s="8"/>
      <c r="I10" s="7" t="s">
        <v>55</v>
      </c>
      <c r="J10" s="8"/>
      <c r="K10" s="8"/>
      <c r="L10" s="7" t="s">
        <v>2076</v>
      </c>
      <c r="M10" s="7" t="s">
        <v>2075</v>
      </c>
      <c r="N10" s="7">
        <v>43</v>
      </c>
      <c r="O10" s="7" t="s">
        <v>2077</v>
      </c>
    </row>
    <row r="11" spans="1:16">
      <c r="A11" s="6" t="s">
        <v>31</v>
      </c>
      <c r="B11" s="7">
        <v>9311</v>
      </c>
      <c r="C11" s="7">
        <v>10603</v>
      </c>
      <c r="D11" s="8"/>
      <c r="E11" s="7" t="s">
        <v>53</v>
      </c>
      <c r="F11" s="7" t="s">
        <v>2078</v>
      </c>
      <c r="G11" s="8"/>
      <c r="H11" s="8"/>
      <c r="I11" s="7" t="s">
        <v>55</v>
      </c>
      <c r="J11" s="8"/>
      <c r="K11" s="8"/>
      <c r="L11" s="7" t="s">
        <v>2079</v>
      </c>
      <c r="M11" s="7" t="s">
        <v>2078</v>
      </c>
      <c r="N11" s="7">
        <v>430</v>
      </c>
      <c r="O11" s="7" t="s">
        <v>2080</v>
      </c>
    </row>
    <row r="12" spans="1:16">
      <c r="A12" s="6" t="s">
        <v>31</v>
      </c>
      <c r="B12" s="7">
        <v>10603</v>
      </c>
      <c r="C12" s="7">
        <v>11868</v>
      </c>
      <c r="D12" s="8"/>
      <c r="E12" s="7" t="s">
        <v>53</v>
      </c>
      <c r="F12" s="7" t="s">
        <v>2081</v>
      </c>
      <c r="G12" s="7" t="s">
        <v>70</v>
      </c>
      <c r="H12" s="8"/>
      <c r="I12" s="7" t="s">
        <v>55</v>
      </c>
      <c r="J12" s="8"/>
      <c r="K12" s="8"/>
      <c r="L12" s="7" t="s">
        <v>2082</v>
      </c>
      <c r="M12" s="7" t="s">
        <v>2081</v>
      </c>
      <c r="N12" s="7">
        <v>421</v>
      </c>
      <c r="O12" s="7" t="s">
        <v>2083</v>
      </c>
      <c r="P12" s="7"/>
    </row>
    <row r="13" spans="1:16">
      <c r="A13" s="6" t="s">
        <v>31</v>
      </c>
      <c r="B13" s="7">
        <v>11950</v>
      </c>
      <c r="C13" s="7">
        <v>12492</v>
      </c>
      <c r="D13" s="8"/>
      <c r="E13" s="7" t="s">
        <v>53</v>
      </c>
      <c r="F13" s="7" t="s">
        <v>2084</v>
      </c>
      <c r="G13" s="7" t="s">
        <v>2085</v>
      </c>
      <c r="H13" s="8"/>
      <c r="I13" s="7" t="s">
        <v>55</v>
      </c>
      <c r="J13" s="8"/>
      <c r="K13" s="8"/>
      <c r="L13" s="7" t="s">
        <v>2086</v>
      </c>
      <c r="M13" s="7" t="s">
        <v>2084</v>
      </c>
      <c r="N13" s="7">
        <v>180</v>
      </c>
      <c r="O13" s="7" t="s">
        <v>2087</v>
      </c>
      <c r="P13" s="7"/>
    </row>
    <row r="14" spans="1:16">
      <c r="A14" s="6" t="s">
        <v>31</v>
      </c>
      <c r="B14" s="7">
        <v>12508</v>
      </c>
      <c r="C14" s="7">
        <v>14475</v>
      </c>
      <c r="D14" s="8"/>
      <c r="E14" s="7" t="s">
        <v>53</v>
      </c>
      <c r="F14" s="7" t="s">
        <v>2088</v>
      </c>
      <c r="G14" s="7" t="s">
        <v>73</v>
      </c>
      <c r="H14" s="8"/>
      <c r="I14" s="7" t="s">
        <v>55</v>
      </c>
      <c r="J14" s="8"/>
      <c r="K14" s="8"/>
      <c r="L14" s="7" t="s">
        <v>2089</v>
      </c>
      <c r="M14" s="7" t="s">
        <v>2088</v>
      </c>
      <c r="N14" s="7">
        <v>655</v>
      </c>
      <c r="O14" s="7" t="s">
        <v>2090</v>
      </c>
      <c r="P14" s="7"/>
    </row>
    <row r="15" spans="1:16">
      <c r="A15" s="6" t="s">
        <v>31</v>
      </c>
      <c r="B15" s="7">
        <v>14793</v>
      </c>
      <c r="C15" s="7">
        <v>15518</v>
      </c>
      <c r="D15" s="8"/>
      <c r="E15" s="7" t="s">
        <v>75</v>
      </c>
      <c r="F15" s="7" t="s">
        <v>1280</v>
      </c>
      <c r="G15" s="8"/>
      <c r="H15" s="8"/>
      <c r="I15" s="7" t="s">
        <v>55</v>
      </c>
      <c r="J15" s="8"/>
      <c r="K15" s="8"/>
      <c r="L15" s="7" t="s">
        <v>2091</v>
      </c>
      <c r="M15" s="7" t="s">
        <v>1280</v>
      </c>
      <c r="N15" s="7">
        <v>241</v>
      </c>
      <c r="O15" s="7" t="s">
        <v>2092</v>
      </c>
    </row>
    <row r="16" spans="1:16">
      <c r="A16" s="6" t="s">
        <v>31</v>
      </c>
      <c r="B16" s="7">
        <v>15436</v>
      </c>
      <c r="C16" s="7">
        <v>15720</v>
      </c>
      <c r="D16" s="8"/>
      <c r="E16" s="7" t="s">
        <v>75</v>
      </c>
      <c r="F16" s="7" t="s">
        <v>1280</v>
      </c>
      <c r="G16" s="8"/>
      <c r="H16" s="8"/>
      <c r="I16" s="7" t="s">
        <v>55</v>
      </c>
      <c r="J16" s="8"/>
      <c r="K16" s="8"/>
      <c r="L16" s="7" t="s">
        <v>2093</v>
      </c>
      <c r="M16" s="7" t="s">
        <v>1280</v>
      </c>
      <c r="N16" s="7">
        <v>94</v>
      </c>
      <c r="O16" s="7" t="s">
        <v>2094</v>
      </c>
    </row>
    <row r="17" spans="1:16">
      <c r="A17" s="6" t="s">
        <v>31</v>
      </c>
      <c r="B17" s="7">
        <v>15879</v>
      </c>
      <c r="C17" s="7">
        <v>16061</v>
      </c>
      <c r="D17" s="8"/>
      <c r="E17" s="7" t="s">
        <v>53</v>
      </c>
      <c r="F17" s="7" t="s">
        <v>2095</v>
      </c>
      <c r="G17" s="8"/>
      <c r="H17" s="8"/>
      <c r="I17" s="7" t="s">
        <v>55</v>
      </c>
      <c r="J17" s="8"/>
      <c r="K17" s="8"/>
      <c r="L17" s="7" t="s">
        <v>2096</v>
      </c>
      <c r="M17" s="7" t="s">
        <v>2095</v>
      </c>
      <c r="N17" s="7">
        <v>60</v>
      </c>
      <c r="O17" s="7" t="s">
        <v>2097</v>
      </c>
    </row>
    <row r="18" spans="1:16">
      <c r="A18" s="6" t="s">
        <v>31</v>
      </c>
      <c r="B18" s="7">
        <v>16261</v>
      </c>
      <c r="C18" s="7">
        <v>16416</v>
      </c>
      <c r="D18" s="8"/>
      <c r="E18" s="7" t="s">
        <v>53</v>
      </c>
      <c r="F18" s="7" t="s">
        <v>2095</v>
      </c>
      <c r="G18" s="8"/>
      <c r="H18" s="8"/>
      <c r="I18" s="7" t="s">
        <v>55</v>
      </c>
      <c r="J18" s="8"/>
      <c r="K18" s="8"/>
      <c r="L18" s="7" t="s">
        <v>2098</v>
      </c>
      <c r="M18" s="7" t="s">
        <v>2095</v>
      </c>
      <c r="N18" s="7">
        <v>51</v>
      </c>
      <c r="O18" s="7" t="s">
        <v>2099</v>
      </c>
    </row>
    <row r="19" spans="1:16">
      <c r="A19" s="6" t="s">
        <v>31</v>
      </c>
      <c r="B19" s="7">
        <v>16392</v>
      </c>
      <c r="C19" s="7">
        <v>16586</v>
      </c>
      <c r="D19" s="8"/>
      <c r="E19" s="7" t="s">
        <v>53</v>
      </c>
      <c r="F19" s="7" t="s">
        <v>1280</v>
      </c>
      <c r="G19" s="8"/>
      <c r="H19" s="8"/>
      <c r="I19" s="7" t="s">
        <v>55</v>
      </c>
      <c r="J19" s="8"/>
      <c r="K19" s="8"/>
      <c r="L19" s="7" t="s">
        <v>2100</v>
      </c>
      <c r="M19" s="7" t="s">
        <v>1280</v>
      </c>
      <c r="N19" s="7">
        <v>64</v>
      </c>
      <c r="O19" s="7" t="s">
        <v>2101</v>
      </c>
    </row>
    <row r="20" spans="1:16">
      <c r="A20" s="6" t="s">
        <v>31</v>
      </c>
      <c r="B20" s="7">
        <v>16593</v>
      </c>
      <c r="C20" s="7">
        <v>16832</v>
      </c>
      <c r="D20" s="8"/>
      <c r="E20" s="7" t="s">
        <v>53</v>
      </c>
      <c r="F20" s="7" t="s">
        <v>2095</v>
      </c>
      <c r="G20" s="8"/>
      <c r="H20" s="8"/>
      <c r="I20" s="7" t="s">
        <v>55</v>
      </c>
      <c r="J20" s="8"/>
      <c r="K20" s="8"/>
      <c r="L20" s="7" t="s">
        <v>2102</v>
      </c>
      <c r="M20" s="7" t="s">
        <v>2095</v>
      </c>
      <c r="N20" s="7">
        <v>79</v>
      </c>
      <c r="O20" s="7" t="s">
        <v>2103</v>
      </c>
    </row>
    <row r="21" spans="1:16">
      <c r="A21" s="6" t="s">
        <v>31</v>
      </c>
      <c r="B21" s="7">
        <v>16633</v>
      </c>
      <c r="C21" s="7">
        <v>17142</v>
      </c>
      <c r="D21" s="8"/>
      <c r="E21" s="7" t="s">
        <v>53</v>
      </c>
      <c r="F21" s="7" t="s">
        <v>1280</v>
      </c>
      <c r="G21" s="8"/>
      <c r="H21" s="8"/>
      <c r="I21" s="7" t="s">
        <v>55</v>
      </c>
      <c r="J21" s="8"/>
      <c r="K21" s="8"/>
      <c r="L21" s="7" t="s">
        <v>2104</v>
      </c>
      <c r="M21" s="7" t="s">
        <v>1280</v>
      </c>
      <c r="N21" s="7">
        <v>169</v>
      </c>
      <c r="O21" s="7" t="s">
        <v>2105</v>
      </c>
    </row>
    <row r="22" spans="1:16">
      <c r="A22" s="6" t="s">
        <v>31</v>
      </c>
      <c r="B22" s="7">
        <v>17082</v>
      </c>
      <c r="C22" s="7">
        <v>17231</v>
      </c>
      <c r="D22" s="8"/>
      <c r="E22" s="7" t="s">
        <v>53</v>
      </c>
      <c r="F22" s="7" t="s">
        <v>2095</v>
      </c>
      <c r="G22" s="8"/>
      <c r="H22" s="8"/>
      <c r="I22" s="7" t="s">
        <v>55</v>
      </c>
      <c r="J22" s="8"/>
      <c r="K22" s="8"/>
      <c r="L22" s="7" t="s">
        <v>2106</v>
      </c>
      <c r="M22" s="7" t="s">
        <v>2095</v>
      </c>
      <c r="N22" s="7">
        <v>49</v>
      </c>
      <c r="O22" s="7" t="s">
        <v>2107</v>
      </c>
    </row>
    <row r="23" spans="1:16">
      <c r="A23" s="6" t="s">
        <v>31</v>
      </c>
      <c r="B23" s="7">
        <v>17347</v>
      </c>
      <c r="C23" s="7">
        <v>18300</v>
      </c>
      <c r="D23" s="8"/>
      <c r="E23" s="7" t="s">
        <v>75</v>
      </c>
      <c r="F23" s="7" t="s">
        <v>1280</v>
      </c>
      <c r="G23" s="7" t="s">
        <v>2108</v>
      </c>
      <c r="H23" s="8"/>
      <c r="I23" s="7" t="s">
        <v>55</v>
      </c>
      <c r="J23" s="8"/>
      <c r="K23" s="8"/>
      <c r="L23" s="7" t="s">
        <v>2109</v>
      </c>
      <c r="M23" s="7" t="s">
        <v>1280</v>
      </c>
      <c r="N23" s="7">
        <v>317</v>
      </c>
      <c r="O23" s="7" t="s">
        <v>2110</v>
      </c>
    </row>
    <row r="24" spans="1:16">
      <c r="A24" s="6" t="s">
        <v>31</v>
      </c>
      <c r="B24" s="7">
        <v>24498</v>
      </c>
      <c r="C24" s="7">
        <v>24671</v>
      </c>
      <c r="D24" s="8"/>
      <c r="E24" s="7" t="s">
        <v>53</v>
      </c>
      <c r="F24" s="7" t="s">
        <v>2095</v>
      </c>
      <c r="G24" s="8"/>
      <c r="H24" s="8"/>
      <c r="I24" s="7" t="s">
        <v>55</v>
      </c>
      <c r="J24" s="8"/>
      <c r="K24" s="8"/>
      <c r="L24" s="7" t="s">
        <v>2111</v>
      </c>
      <c r="M24" s="7" t="s">
        <v>2095</v>
      </c>
      <c r="N24" s="7">
        <v>57</v>
      </c>
      <c r="O24" s="7" t="s">
        <v>2112</v>
      </c>
    </row>
    <row r="25" spans="1:16">
      <c r="A25" s="6" t="s">
        <v>31</v>
      </c>
      <c r="B25" s="7">
        <v>24874</v>
      </c>
      <c r="C25" s="7">
        <v>25095</v>
      </c>
      <c r="D25" s="8"/>
      <c r="E25" s="7" t="s">
        <v>75</v>
      </c>
      <c r="F25" s="7" t="s">
        <v>2095</v>
      </c>
      <c r="G25" s="8"/>
      <c r="H25" s="8"/>
      <c r="I25" s="7" t="s">
        <v>55</v>
      </c>
      <c r="J25" s="8"/>
      <c r="K25" s="8"/>
      <c r="L25" s="7" t="s">
        <v>2113</v>
      </c>
      <c r="M25" s="7" t="s">
        <v>2095</v>
      </c>
      <c r="N25" s="7">
        <v>73</v>
      </c>
      <c r="O25" s="7" t="s">
        <v>2114</v>
      </c>
    </row>
    <row r="26" spans="1:16">
      <c r="A26" s="6" t="s">
        <v>31</v>
      </c>
      <c r="B26" s="7">
        <v>25329</v>
      </c>
      <c r="C26" s="7">
        <v>26159</v>
      </c>
      <c r="D26" s="8"/>
      <c r="E26" s="7" t="s">
        <v>53</v>
      </c>
      <c r="F26" s="7" t="s">
        <v>2115</v>
      </c>
      <c r="G26" s="8"/>
      <c r="H26" s="8"/>
      <c r="I26" s="7" t="s">
        <v>55</v>
      </c>
      <c r="J26" s="8"/>
      <c r="K26" s="8"/>
      <c r="L26" s="7" t="s">
        <v>2116</v>
      </c>
      <c r="M26" s="7" t="s">
        <v>2115</v>
      </c>
      <c r="N26" s="7">
        <v>276</v>
      </c>
      <c r="O26" s="7" t="s">
        <v>2117</v>
      </c>
    </row>
    <row r="27" spans="1:16">
      <c r="A27" s="6" t="s">
        <v>31</v>
      </c>
      <c r="B27" s="7">
        <v>26161</v>
      </c>
      <c r="C27" s="7">
        <v>26685</v>
      </c>
      <c r="D27" s="8"/>
      <c r="E27" s="7" t="s">
        <v>53</v>
      </c>
      <c r="F27" s="7" t="s">
        <v>2118</v>
      </c>
      <c r="G27" s="8"/>
      <c r="H27" s="8"/>
      <c r="I27" s="7" t="s">
        <v>55</v>
      </c>
      <c r="J27" s="8"/>
      <c r="K27" s="8"/>
      <c r="L27" s="7" t="s">
        <v>2119</v>
      </c>
      <c r="M27" s="7" t="s">
        <v>2118</v>
      </c>
      <c r="N27" s="7">
        <v>174</v>
      </c>
      <c r="O27" s="7" t="s">
        <v>2120</v>
      </c>
    </row>
    <row r="28" spans="1:16">
      <c r="A28" s="6" t="s">
        <v>31</v>
      </c>
      <c r="B28" s="7">
        <v>26770</v>
      </c>
      <c r="C28" s="7">
        <v>28080</v>
      </c>
      <c r="D28" s="8"/>
      <c r="E28" s="7" t="s">
        <v>53</v>
      </c>
      <c r="F28" s="7" t="s">
        <v>2121</v>
      </c>
      <c r="G28" s="8"/>
      <c r="H28" s="8"/>
      <c r="I28" s="7" t="s">
        <v>55</v>
      </c>
      <c r="J28" s="8"/>
      <c r="K28" s="8"/>
      <c r="L28" s="7" t="s">
        <v>2122</v>
      </c>
      <c r="M28" s="7" t="s">
        <v>2121</v>
      </c>
      <c r="N28" s="7">
        <v>436</v>
      </c>
      <c r="O28" s="7" t="s">
        <v>2123</v>
      </c>
    </row>
    <row r="29" spans="1:16">
      <c r="A29" s="6" t="s">
        <v>31</v>
      </c>
      <c r="B29" s="7">
        <v>28294</v>
      </c>
      <c r="C29" s="7">
        <v>29259</v>
      </c>
      <c r="D29" s="8"/>
      <c r="E29" s="7" t="s">
        <v>53</v>
      </c>
      <c r="F29" s="7" t="s">
        <v>2124</v>
      </c>
      <c r="G29" s="7" t="s">
        <v>2125</v>
      </c>
      <c r="H29" s="8"/>
      <c r="I29" s="7" t="s">
        <v>55</v>
      </c>
      <c r="J29" s="8"/>
      <c r="K29" s="8"/>
      <c r="L29" s="7" t="s">
        <v>2126</v>
      </c>
      <c r="M29" s="7" t="s">
        <v>2124</v>
      </c>
      <c r="N29" s="7">
        <v>321</v>
      </c>
      <c r="O29" s="7" t="s">
        <v>2127</v>
      </c>
      <c r="P29" s="7"/>
    </row>
    <row r="30" spans="1:16">
      <c r="A30" s="6" t="s">
        <v>31</v>
      </c>
      <c r="B30" s="7">
        <v>29338</v>
      </c>
      <c r="C30" s="7">
        <v>29604</v>
      </c>
      <c r="D30" s="8"/>
      <c r="E30" s="7" t="s">
        <v>75</v>
      </c>
      <c r="F30" s="7" t="s">
        <v>1280</v>
      </c>
      <c r="G30" s="8"/>
      <c r="H30" s="8"/>
      <c r="I30" s="7" t="s">
        <v>55</v>
      </c>
      <c r="J30" s="8"/>
      <c r="K30" s="8"/>
      <c r="L30" s="7" t="s">
        <v>2128</v>
      </c>
      <c r="M30" s="7" t="s">
        <v>1280</v>
      </c>
      <c r="N30" s="7">
        <v>88</v>
      </c>
      <c r="O30" s="7" t="s">
        <v>2129</v>
      </c>
    </row>
    <row r="31" spans="1:16">
      <c r="A31" s="6" t="s">
        <v>31</v>
      </c>
      <c r="B31" s="7">
        <v>29458</v>
      </c>
      <c r="C31" s="7">
        <v>29643</v>
      </c>
      <c r="D31" s="8"/>
      <c r="E31" s="7" t="s">
        <v>53</v>
      </c>
      <c r="F31" s="7" t="s">
        <v>2130</v>
      </c>
      <c r="G31" s="8"/>
      <c r="H31" s="8"/>
      <c r="I31" s="7" t="s">
        <v>55</v>
      </c>
      <c r="J31" s="8"/>
      <c r="K31" s="8"/>
      <c r="L31" s="7" t="s">
        <v>2131</v>
      </c>
      <c r="M31" s="7" t="s">
        <v>2130</v>
      </c>
      <c r="N31" s="7">
        <v>61</v>
      </c>
      <c r="O31" s="7" t="s">
        <v>2132</v>
      </c>
    </row>
    <row r="32" spans="1:16">
      <c r="A32" s="6" t="s">
        <v>31</v>
      </c>
      <c r="B32" s="7">
        <v>29727</v>
      </c>
      <c r="C32" s="7">
        <v>29993</v>
      </c>
      <c r="D32" s="8"/>
      <c r="E32" s="7" t="s">
        <v>75</v>
      </c>
      <c r="F32" s="7" t="s">
        <v>1280</v>
      </c>
      <c r="G32" s="8"/>
      <c r="H32" s="8"/>
      <c r="I32" s="7" t="s">
        <v>55</v>
      </c>
      <c r="J32" s="8"/>
      <c r="K32" s="8"/>
      <c r="L32" s="7" t="s">
        <v>2133</v>
      </c>
      <c r="M32" s="7" t="s">
        <v>1280</v>
      </c>
      <c r="N32" s="7">
        <v>88</v>
      </c>
      <c r="O32" s="7" t="s">
        <v>2134</v>
      </c>
    </row>
    <row r="33" spans="1:17">
      <c r="A33" s="6" t="s">
        <v>31</v>
      </c>
      <c r="B33" s="7">
        <v>30368</v>
      </c>
      <c r="C33" s="7">
        <v>31543</v>
      </c>
      <c r="D33" s="8"/>
      <c r="E33" s="7" t="s">
        <v>53</v>
      </c>
      <c r="F33" s="7" t="s">
        <v>2135</v>
      </c>
      <c r="G33" s="7" t="s">
        <v>2136</v>
      </c>
      <c r="H33" s="8"/>
      <c r="I33" s="7" t="s">
        <v>55</v>
      </c>
      <c r="J33" s="8"/>
      <c r="K33" s="8"/>
      <c r="L33" s="7" t="s">
        <v>2137</v>
      </c>
      <c r="M33" s="7" t="s">
        <v>2135</v>
      </c>
      <c r="N33" s="7">
        <v>391</v>
      </c>
      <c r="O33" s="7" t="s">
        <v>2138</v>
      </c>
      <c r="P33" s="7"/>
    </row>
    <row r="34" spans="1:17">
      <c r="A34" s="6" t="s">
        <v>31</v>
      </c>
      <c r="B34" s="7">
        <v>31530</v>
      </c>
      <c r="C34" s="7">
        <v>32303</v>
      </c>
      <c r="D34" s="8"/>
      <c r="E34" s="7" t="s">
        <v>53</v>
      </c>
      <c r="F34" s="7" t="s">
        <v>82</v>
      </c>
      <c r="G34" s="7" t="s">
        <v>83</v>
      </c>
      <c r="H34" s="8"/>
      <c r="I34" s="7" t="s">
        <v>55</v>
      </c>
      <c r="J34" s="8"/>
      <c r="K34" s="8"/>
      <c r="L34" s="7" t="s">
        <v>2139</v>
      </c>
      <c r="M34" s="7" t="s">
        <v>82</v>
      </c>
      <c r="N34" s="7">
        <v>257</v>
      </c>
      <c r="O34" s="7" t="s">
        <v>2140</v>
      </c>
    </row>
    <row r="35" spans="1:17">
      <c r="A35" s="6" t="s">
        <v>31</v>
      </c>
      <c r="B35" s="7">
        <v>32519</v>
      </c>
      <c r="C35" s="7">
        <v>33523</v>
      </c>
      <c r="D35" s="8"/>
      <c r="E35" s="7" t="s">
        <v>53</v>
      </c>
      <c r="F35" s="7" t="s">
        <v>2141</v>
      </c>
      <c r="G35" s="7" t="s">
        <v>85</v>
      </c>
      <c r="H35" s="8"/>
      <c r="I35" s="7" t="s">
        <v>55</v>
      </c>
      <c r="J35" s="8"/>
      <c r="K35" s="8"/>
      <c r="L35" s="7" t="s">
        <v>2142</v>
      </c>
      <c r="M35" s="7" t="s">
        <v>2141</v>
      </c>
      <c r="N35" s="7">
        <v>334</v>
      </c>
      <c r="O35" s="7" t="s">
        <v>2143</v>
      </c>
    </row>
    <row r="36" spans="1:17">
      <c r="A36" s="6" t="s">
        <v>31</v>
      </c>
      <c r="B36" s="7">
        <v>33523</v>
      </c>
      <c r="C36" s="7">
        <v>33768</v>
      </c>
      <c r="D36" s="8"/>
      <c r="E36" s="7" t="s">
        <v>53</v>
      </c>
      <c r="F36" s="7" t="s">
        <v>2144</v>
      </c>
      <c r="G36" s="7" t="s">
        <v>2145</v>
      </c>
      <c r="H36" s="8"/>
      <c r="I36" s="7" t="s">
        <v>55</v>
      </c>
      <c r="J36" s="8"/>
      <c r="K36" s="8"/>
      <c r="L36" s="7" t="s">
        <v>2146</v>
      </c>
      <c r="M36" s="7" t="s">
        <v>2144</v>
      </c>
      <c r="N36" s="7">
        <v>81</v>
      </c>
      <c r="O36" s="7" t="s">
        <v>2147</v>
      </c>
    </row>
    <row r="37" spans="1:17">
      <c r="A37" s="6" t="s">
        <v>31</v>
      </c>
      <c r="B37" s="7">
        <v>34054</v>
      </c>
      <c r="C37" s="7">
        <v>34761</v>
      </c>
      <c r="D37" s="8"/>
      <c r="E37" s="7" t="s">
        <v>53</v>
      </c>
      <c r="F37" s="7" t="s">
        <v>2148</v>
      </c>
      <c r="G37" s="7" t="s">
        <v>88</v>
      </c>
      <c r="H37" s="8"/>
      <c r="I37" s="7" t="s">
        <v>55</v>
      </c>
      <c r="J37" s="8"/>
      <c r="K37" s="8"/>
      <c r="L37" s="7" t="s">
        <v>2149</v>
      </c>
      <c r="M37" s="7" t="s">
        <v>2148</v>
      </c>
      <c r="N37" s="7">
        <v>235</v>
      </c>
      <c r="O37" s="7" t="s">
        <v>2150</v>
      </c>
      <c r="P37" s="7"/>
    </row>
    <row r="38" spans="1:17">
      <c r="A38" s="6" t="s">
        <v>31</v>
      </c>
      <c r="B38" s="7">
        <v>34817</v>
      </c>
      <c r="C38" s="7">
        <v>38542</v>
      </c>
      <c r="D38" s="8"/>
      <c r="E38" s="7" t="s">
        <v>53</v>
      </c>
      <c r="F38" s="7" t="s">
        <v>2151</v>
      </c>
      <c r="G38" s="8"/>
      <c r="H38" s="8"/>
      <c r="I38" s="7" t="s">
        <v>55</v>
      </c>
      <c r="J38" s="8"/>
      <c r="K38" s="8"/>
      <c r="L38" s="7" t="s">
        <v>2152</v>
      </c>
      <c r="M38" s="7" t="s">
        <v>2151</v>
      </c>
      <c r="N38" s="7">
        <v>1241</v>
      </c>
      <c r="O38" s="7" t="s">
        <v>2153</v>
      </c>
      <c r="P38" s="7"/>
    </row>
    <row r="39" spans="1:17">
      <c r="A39" s="6" t="s">
        <v>31</v>
      </c>
      <c r="B39" s="7">
        <v>38711</v>
      </c>
      <c r="C39" s="7">
        <v>40150</v>
      </c>
      <c r="D39" s="8"/>
      <c r="E39" s="7" t="s">
        <v>53</v>
      </c>
      <c r="F39" s="7" t="s">
        <v>2154</v>
      </c>
      <c r="G39" s="7" t="s">
        <v>91</v>
      </c>
      <c r="H39" s="8"/>
      <c r="I39" s="7" t="s">
        <v>55</v>
      </c>
      <c r="J39" s="8"/>
      <c r="K39" s="8"/>
      <c r="L39" s="7" t="s">
        <v>2155</v>
      </c>
      <c r="M39" s="7" t="s">
        <v>2154</v>
      </c>
      <c r="N39" s="7">
        <v>479</v>
      </c>
      <c r="O39" s="7" t="s">
        <v>2156</v>
      </c>
      <c r="P39" s="7"/>
    </row>
    <row r="40" spans="1:17">
      <c r="A40" s="6" t="s">
        <v>31</v>
      </c>
      <c r="B40" s="7">
        <v>40181</v>
      </c>
      <c r="C40" s="7">
        <v>41200</v>
      </c>
      <c r="D40" s="8"/>
      <c r="E40" s="7" t="s">
        <v>53</v>
      </c>
      <c r="F40" s="7" t="s">
        <v>2157</v>
      </c>
      <c r="G40" s="7" t="s">
        <v>93</v>
      </c>
      <c r="H40" s="8"/>
      <c r="I40" s="7" t="s">
        <v>55</v>
      </c>
      <c r="J40" s="8"/>
      <c r="K40" s="8"/>
      <c r="L40" s="7" t="s">
        <v>2158</v>
      </c>
      <c r="M40" s="7" t="s">
        <v>2157</v>
      </c>
      <c r="N40" s="7">
        <v>339</v>
      </c>
      <c r="O40" s="7" t="s">
        <v>2159</v>
      </c>
      <c r="P40" s="7"/>
    </row>
    <row r="41" spans="1:17">
      <c r="A41" s="6" t="s">
        <v>31</v>
      </c>
      <c r="B41" s="7">
        <v>41200</v>
      </c>
      <c r="C41" s="7">
        <v>41754</v>
      </c>
      <c r="D41" s="8"/>
      <c r="E41" s="7" t="s">
        <v>53</v>
      </c>
      <c r="F41" s="7" t="s">
        <v>95</v>
      </c>
      <c r="G41" s="7" t="s">
        <v>96</v>
      </c>
      <c r="H41" s="8"/>
      <c r="I41" s="7" t="s">
        <v>55</v>
      </c>
      <c r="J41" s="8"/>
      <c r="K41" s="8"/>
      <c r="L41" s="7" t="s">
        <v>2160</v>
      </c>
      <c r="M41" s="7" t="s">
        <v>95</v>
      </c>
      <c r="N41" s="7">
        <v>184</v>
      </c>
      <c r="O41" s="7" t="s">
        <v>2161</v>
      </c>
      <c r="P41" s="7"/>
    </row>
    <row r="42" spans="1:17">
      <c r="A42" s="6" t="s">
        <v>31</v>
      </c>
      <c r="B42" s="7">
        <v>41823</v>
      </c>
      <c r="C42" s="7">
        <v>43370</v>
      </c>
      <c r="D42" s="8"/>
      <c r="E42" s="7" t="s">
        <v>53</v>
      </c>
      <c r="F42" s="7" t="s">
        <v>2162</v>
      </c>
      <c r="G42" s="7" t="s">
        <v>98</v>
      </c>
      <c r="H42" s="8"/>
      <c r="I42" s="7" t="s">
        <v>55</v>
      </c>
      <c r="J42" s="8"/>
      <c r="K42" s="8"/>
      <c r="L42" s="7" t="s">
        <v>2163</v>
      </c>
      <c r="M42" s="7" t="s">
        <v>2162</v>
      </c>
      <c r="N42" s="7">
        <v>515</v>
      </c>
      <c r="O42" s="7" t="s">
        <v>2164</v>
      </c>
      <c r="P42" s="7"/>
      <c r="Q42" s="7"/>
    </row>
    <row r="43" spans="1:17">
      <c r="A43" s="6" t="s">
        <v>31</v>
      </c>
      <c r="B43" s="7">
        <v>43541</v>
      </c>
      <c r="C43" s="7">
        <v>43999</v>
      </c>
      <c r="D43" s="8"/>
      <c r="E43" s="7" t="s">
        <v>53</v>
      </c>
      <c r="F43" s="7" t="s">
        <v>2130</v>
      </c>
      <c r="G43" s="8"/>
      <c r="H43" s="8"/>
      <c r="I43" s="7" t="s">
        <v>55</v>
      </c>
      <c r="J43" s="8"/>
      <c r="K43" s="8"/>
      <c r="L43" s="7" t="s">
        <v>2165</v>
      </c>
      <c r="M43" s="7" t="s">
        <v>2130</v>
      </c>
      <c r="N43" s="7">
        <v>152</v>
      </c>
      <c r="O43" s="7" t="s">
        <v>2166</v>
      </c>
    </row>
    <row r="44" spans="1:17">
      <c r="A44" s="6" t="s">
        <v>31</v>
      </c>
      <c r="B44" s="7">
        <v>44053</v>
      </c>
      <c r="C44" s="7">
        <v>44367</v>
      </c>
      <c r="D44" s="8"/>
      <c r="E44" s="7" t="s">
        <v>53</v>
      </c>
      <c r="F44" s="7" t="s">
        <v>1280</v>
      </c>
      <c r="G44" s="8"/>
      <c r="H44" s="8"/>
      <c r="I44" s="7" t="s">
        <v>55</v>
      </c>
      <c r="J44" s="8"/>
      <c r="K44" s="8"/>
      <c r="L44" s="7" t="s">
        <v>2167</v>
      </c>
      <c r="M44" s="7" t="s">
        <v>1280</v>
      </c>
      <c r="N44" s="7">
        <v>104</v>
      </c>
      <c r="O44" s="7" t="s">
        <v>2168</v>
      </c>
    </row>
    <row r="45" spans="1:17">
      <c r="A45" s="6" t="s">
        <v>31</v>
      </c>
      <c r="B45" s="7">
        <v>44444</v>
      </c>
      <c r="C45" s="7">
        <v>44662</v>
      </c>
      <c r="D45" s="8"/>
      <c r="E45" s="7" t="s">
        <v>53</v>
      </c>
      <c r="F45" s="7" t="s">
        <v>1280</v>
      </c>
      <c r="G45" s="8"/>
      <c r="H45" s="8"/>
      <c r="I45" s="7" t="s">
        <v>55</v>
      </c>
      <c r="J45" s="8"/>
      <c r="K45" s="8"/>
      <c r="L45" s="7" t="s">
        <v>2169</v>
      </c>
      <c r="M45" s="7" t="s">
        <v>1280</v>
      </c>
      <c r="N45" s="7">
        <v>72</v>
      </c>
      <c r="O45" s="7" t="s">
        <v>2170</v>
      </c>
    </row>
    <row r="46" spans="1:17">
      <c r="A46" s="6" t="s">
        <v>31</v>
      </c>
      <c r="B46" s="7">
        <v>44766</v>
      </c>
      <c r="C46" s="7">
        <v>45605</v>
      </c>
      <c r="D46" s="8"/>
      <c r="E46" s="7" t="s">
        <v>75</v>
      </c>
      <c r="F46" s="7" t="s">
        <v>2171</v>
      </c>
      <c r="G46" s="8"/>
      <c r="H46" s="8"/>
      <c r="I46" s="7" t="s">
        <v>55</v>
      </c>
      <c r="J46" s="8"/>
      <c r="K46" s="8"/>
      <c r="L46" s="7" t="s">
        <v>2172</v>
      </c>
      <c r="M46" s="7" t="s">
        <v>2171</v>
      </c>
      <c r="N46" s="7">
        <v>279</v>
      </c>
      <c r="O46" s="7" t="s">
        <v>2173</v>
      </c>
    </row>
    <row r="47" spans="1:17">
      <c r="A47" s="6" t="s">
        <v>31</v>
      </c>
      <c r="B47" s="7">
        <v>45913</v>
      </c>
      <c r="C47" s="7">
        <v>47175</v>
      </c>
      <c r="D47" s="8"/>
      <c r="E47" s="7" t="s">
        <v>53</v>
      </c>
      <c r="F47" s="7" t="s">
        <v>2174</v>
      </c>
      <c r="G47" s="7" t="s">
        <v>101</v>
      </c>
      <c r="H47" s="8"/>
      <c r="I47" s="7" t="s">
        <v>55</v>
      </c>
      <c r="J47" s="8"/>
      <c r="K47" s="8"/>
      <c r="L47" s="7" t="s">
        <v>2175</v>
      </c>
      <c r="M47" s="7" t="s">
        <v>2174</v>
      </c>
      <c r="N47" s="7">
        <v>420</v>
      </c>
      <c r="O47" s="7" t="s">
        <v>2176</v>
      </c>
      <c r="P47" s="7"/>
    </row>
    <row r="48" spans="1:17">
      <c r="A48" s="6" t="s">
        <v>31</v>
      </c>
      <c r="B48" s="7">
        <v>47521</v>
      </c>
      <c r="C48" s="7">
        <v>48009</v>
      </c>
      <c r="D48" s="8"/>
      <c r="E48" s="7" t="s">
        <v>53</v>
      </c>
      <c r="F48" s="7" t="s">
        <v>2177</v>
      </c>
      <c r="G48" s="7" t="s">
        <v>103</v>
      </c>
      <c r="H48" s="8"/>
      <c r="I48" s="7" t="s">
        <v>55</v>
      </c>
      <c r="J48" s="8"/>
      <c r="K48" s="8"/>
      <c r="L48" s="7" t="s">
        <v>2178</v>
      </c>
      <c r="M48" s="7" t="s">
        <v>2177</v>
      </c>
      <c r="N48" s="7">
        <v>162</v>
      </c>
      <c r="O48" s="7" t="s">
        <v>2179</v>
      </c>
      <c r="P48" s="7"/>
    </row>
    <row r="49" spans="1:16">
      <c r="A49" s="6" t="s">
        <v>31</v>
      </c>
      <c r="B49" s="7">
        <v>47996</v>
      </c>
      <c r="C49" s="7">
        <v>49087</v>
      </c>
      <c r="D49" s="8"/>
      <c r="E49" s="7" t="s">
        <v>53</v>
      </c>
      <c r="F49" s="7" t="s">
        <v>2180</v>
      </c>
      <c r="G49" s="7" t="s">
        <v>105</v>
      </c>
      <c r="H49" s="8"/>
      <c r="I49" s="7" t="s">
        <v>55</v>
      </c>
      <c r="J49" s="8"/>
      <c r="K49" s="8"/>
      <c r="L49" s="7" t="s">
        <v>2181</v>
      </c>
      <c r="M49" s="7" t="s">
        <v>2180</v>
      </c>
      <c r="N49" s="7">
        <v>363</v>
      </c>
      <c r="O49" s="7" t="s">
        <v>2182</v>
      </c>
      <c r="P49" s="7"/>
    </row>
    <row r="50" spans="1:16">
      <c r="A50" s="6" t="s">
        <v>31</v>
      </c>
      <c r="B50" s="7">
        <v>49280</v>
      </c>
      <c r="C50" s="7">
        <v>50035</v>
      </c>
      <c r="D50" s="8"/>
      <c r="E50" s="7" t="s">
        <v>53</v>
      </c>
      <c r="F50" s="7" t="s">
        <v>2130</v>
      </c>
      <c r="G50" s="8"/>
      <c r="H50" s="8"/>
      <c r="I50" s="7" t="s">
        <v>55</v>
      </c>
      <c r="J50" s="8"/>
      <c r="K50" s="8"/>
      <c r="L50" s="7" t="s">
        <v>2183</v>
      </c>
      <c r="M50" s="7" t="s">
        <v>2130</v>
      </c>
      <c r="N50" s="7">
        <v>251</v>
      </c>
      <c r="O50" s="7" t="s">
        <v>2184</v>
      </c>
    </row>
    <row r="51" spans="1:16">
      <c r="A51" s="6" t="s">
        <v>31</v>
      </c>
      <c r="B51" s="7">
        <v>49948</v>
      </c>
      <c r="C51" s="7">
        <v>50103</v>
      </c>
      <c r="D51" s="8"/>
      <c r="E51" s="7" t="s">
        <v>53</v>
      </c>
      <c r="F51" s="7" t="s">
        <v>2095</v>
      </c>
      <c r="G51" s="8"/>
      <c r="H51" s="8"/>
      <c r="I51" s="7" t="s">
        <v>55</v>
      </c>
      <c r="J51" s="8"/>
      <c r="K51" s="8"/>
      <c r="L51" s="7" t="s">
        <v>2185</v>
      </c>
      <c r="M51" s="7" t="s">
        <v>2095</v>
      </c>
      <c r="N51" s="7">
        <v>51</v>
      </c>
      <c r="O51" s="7" t="s">
        <v>2186</v>
      </c>
    </row>
    <row r="52" spans="1:16">
      <c r="A52" s="6" t="s">
        <v>31</v>
      </c>
      <c r="B52" s="7">
        <v>50107</v>
      </c>
      <c r="C52" s="7">
        <v>50271</v>
      </c>
      <c r="D52" s="8"/>
      <c r="E52" s="7" t="s">
        <v>53</v>
      </c>
      <c r="F52" s="7" t="s">
        <v>2130</v>
      </c>
      <c r="G52" s="8"/>
      <c r="H52" s="8"/>
      <c r="I52" s="7" t="s">
        <v>55</v>
      </c>
      <c r="J52" s="8"/>
      <c r="K52" s="8"/>
      <c r="L52" s="7" t="s">
        <v>2187</v>
      </c>
      <c r="M52" s="7" t="s">
        <v>2130</v>
      </c>
      <c r="N52" s="7">
        <v>54</v>
      </c>
      <c r="O52" s="7" t="s">
        <v>2188</v>
      </c>
    </row>
    <row r="53" spans="1:16">
      <c r="A53" s="6" t="s">
        <v>31</v>
      </c>
      <c r="B53" s="7">
        <v>50550</v>
      </c>
      <c r="C53" s="7">
        <v>51848</v>
      </c>
      <c r="D53" s="8"/>
      <c r="E53" s="7" t="s">
        <v>53</v>
      </c>
      <c r="F53" s="7" t="s">
        <v>107</v>
      </c>
      <c r="G53" s="7" t="s">
        <v>108</v>
      </c>
      <c r="H53" s="8"/>
      <c r="I53" s="7" t="s">
        <v>55</v>
      </c>
      <c r="J53" s="8"/>
      <c r="K53" s="8"/>
      <c r="L53" s="7" t="s">
        <v>2189</v>
      </c>
      <c r="M53" s="7" t="s">
        <v>107</v>
      </c>
      <c r="N53" s="7">
        <v>432</v>
      </c>
      <c r="O53" s="7" t="s">
        <v>2190</v>
      </c>
      <c r="P53" s="7"/>
    </row>
    <row r="54" spans="1:16">
      <c r="A54" s="6" t="s">
        <v>31</v>
      </c>
      <c r="B54" s="7">
        <v>52056</v>
      </c>
      <c r="C54" s="7">
        <v>52172</v>
      </c>
      <c r="D54" s="8"/>
      <c r="E54" s="7" t="s">
        <v>53</v>
      </c>
      <c r="F54" s="7" t="s">
        <v>2130</v>
      </c>
      <c r="G54" s="8"/>
      <c r="H54" s="8"/>
      <c r="I54" s="7" t="s">
        <v>55</v>
      </c>
      <c r="J54" s="8"/>
      <c r="K54" s="8"/>
      <c r="L54" s="7" t="s">
        <v>2191</v>
      </c>
      <c r="M54" s="7" t="s">
        <v>2130</v>
      </c>
      <c r="N54" s="7">
        <v>38</v>
      </c>
      <c r="O54" s="7" t="s">
        <v>2192</v>
      </c>
    </row>
    <row r="55" spans="1:16">
      <c r="A55" s="6" t="s">
        <v>31</v>
      </c>
      <c r="B55" s="7">
        <v>52359</v>
      </c>
      <c r="C55" s="7">
        <v>53312</v>
      </c>
      <c r="D55" s="8"/>
      <c r="E55" s="7" t="s">
        <v>75</v>
      </c>
      <c r="F55" s="7" t="s">
        <v>1280</v>
      </c>
      <c r="G55" s="7" t="s">
        <v>2108</v>
      </c>
      <c r="H55" s="8"/>
      <c r="I55" s="7" t="s">
        <v>55</v>
      </c>
      <c r="J55" s="8"/>
      <c r="K55" s="8"/>
      <c r="L55" s="7" t="s">
        <v>2193</v>
      </c>
      <c r="M55" s="7" t="s">
        <v>1280</v>
      </c>
      <c r="N55" s="7">
        <v>317</v>
      </c>
      <c r="O55" s="7" t="s">
        <v>2194</v>
      </c>
    </row>
    <row r="56" spans="1:16">
      <c r="A56" s="6" t="s">
        <v>31</v>
      </c>
      <c r="B56" s="7">
        <v>53957</v>
      </c>
      <c r="C56" s="7">
        <v>55648</v>
      </c>
      <c r="D56" s="8"/>
      <c r="E56" s="7" t="s">
        <v>75</v>
      </c>
      <c r="F56" s="7" t="s">
        <v>2195</v>
      </c>
      <c r="G56" s="7" t="s">
        <v>111</v>
      </c>
      <c r="H56" s="8"/>
      <c r="I56" s="7" t="s">
        <v>55</v>
      </c>
      <c r="J56" s="8"/>
      <c r="K56" s="8"/>
      <c r="L56" s="7" t="s">
        <v>2196</v>
      </c>
      <c r="M56" s="7" t="s">
        <v>2195</v>
      </c>
      <c r="N56" s="7">
        <v>563</v>
      </c>
      <c r="O56" s="7" t="s">
        <v>2197</v>
      </c>
      <c r="P56" s="7"/>
    </row>
    <row r="57" spans="1:16">
      <c r="A57" s="6" t="s">
        <v>31</v>
      </c>
      <c r="B57" s="7">
        <v>55806</v>
      </c>
      <c r="C57" s="7">
        <v>56231</v>
      </c>
      <c r="D57" s="8"/>
      <c r="E57" s="7" t="s">
        <v>53</v>
      </c>
      <c r="F57" s="7" t="s">
        <v>2198</v>
      </c>
      <c r="G57" s="7" t="s">
        <v>113</v>
      </c>
      <c r="H57" s="8"/>
      <c r="I57" s="7" t="s">
        <v>55</v>
      </c>
      <c r="J57" s="8"/>
      <c r="K57" s="8"/>
      <c r="L57" s="7" t="s">
        <v>2199</v>
      </c>
      <c r="M57" s="7" t="s">
        <v>2198</v>
      </c>
      <c r="N57" s="7">
        <v>141</v>
      </c>
      <c r="O57" s="7" t="s">
        <v>2200</v>
      </c>
    </row>
    <row r="58" spans="1:16">
      <c r="A58" s="6" t="s">
        <v>31</v>
      </c>
      <c r="B58" s="7">
        <v>56231</v>
      </c>
      <c r="C58" s="7">
        <v>56590</v>
      </c>
      <c r="D58" s="8"/>
      <c r="E58" s="7" t="s">
        <v>53</v>
      </c>
      <c r="F58" s="7" t="s">
        <v>2130</v>
      </c>
      <c r="G58" s="8"/>
      <c r="H58" s="8"/>
      <c r="I58" s="7" t="s">
        <v>55</v>
      </c>
      <c r="J58" s="8"/>
      <c r="K58" s="8"/>
      <c r="L58" s="7" t="s">
        <v>2201</v>
      </c>
      <c r="M58" s="7" t="s">
        <v>2130</v>
      </c>
      <c r="N58" s="7">
        <v>119</v>
      </c>
      <c r="O58" s="7" t="s">
        <v>2202</v>
      </c>
    </row>
    <row r="59" spans="1:16">
      <c r="A59" s="6" t="s">
        <v>31</v>
      </c>
      <c r="B59" s="7">
        <v>56583</v>
      </c>
      <c r="C59" s="7">
        <v>59141</v>
      </c>
      <c r="D59" s="8"/>
      <c r="E59" s="7" t="s">
        <v>53</v>
      </c>
      <c r="F59" s="7" t="s">
        <v>2203</v>
      </c>
      <c r="G59" s="7" t="s">
        <v>116</v>
      </c>
      <c r="H59" s="8"/>
      <c r="I59" s="7" t="s">
        <v>55</v>
      </c>
      <c r="J59" s="8"/>
      <c r="K59" s="8"/>
      <c r="L59" s="7" t="s">
        <v>2204</v>
      </c>
      <c r="M59" s="7" t="s">
        <v>2203</v>
      </c>
      <c r="N59" s="7">
        <v>852</v>
      </c>
      <c r="O59" s="7" t="s">
        <v>2205</v>
      </c>
    </row>
    <row r="60" spans="1:16">
      <c r="A60" s="6" t="s">
        <v>31</v>
      </c>
      <c r="B60" s="7">
        <v>59175</v>
      </c>
      <c r="C60" s="7">
        <v>59354</v>
      </c>
      <c r="D60" s="8"/>
      <c r="E60" s="7" t="s">
        <v>75</v>
      </c>
      <c r="F60" s="7" t="s">
        <v>2095</v>
      </c>
      <c r="G60" s="8"/>
      <c r="H60" s="8"/>
      <c r="I60" s="7" t="s">
        <v>55</v>
      </c>
      <c r="J60" s="8"/>
      <c r="K60" s="8"/>
      <c r="L60" s="7" t="s">
        <v>2206</v>
      </c>
      <c r="M60" s="7" t="s">
        <v>2095</v>
      </c>
      <c r="N60" s="7">
        <v>59</v>
      </c>
      <c r="O60" s="7" t="s">
        <v>2207</v>
      </c>
    </row>
    <row r="61" spans="1:16">
      <c r="A61" s="6" t="s">
        <v>31</v>
      </c>
      <c r="B61" s="7">
        <v>59388</v>
      </c>
      <c r="C61" s="7">
        <v>59630</v>
      </c>
      <c r="D61" s="8"/>
      <c r="E61" s="7" t="s">
        <v>75</v>
      </c>
      <c r="F61" s="7" t="s">
        <v>2130</v>
      </c>
      <c r="G61" s="8"/>
      <c r="H61" s="8"/>
      <c r="I61" s="7" t="s">
        <v>55</v>
      </c>
      <c r="J61" s="8"/>
      <c r="K61" s="8"/>
      <c r="L61" s="7" t="s">
        <v>2208</v>
      </c>
      <c r="M61" s="7" t="s">
        <v>2130</v>
      </c>
      <c r="N61" s="7">
        <v>80</v>
      </c>
      <c r="O61" s="7" t="s">
        <v>2209</v>
      </c>
    </row>
    <row r="62" spans="1:16">
      <c r="A62" s="6" t="s">
        <v>31</v>
      </c>
      <c r="B62" s="7">
        <v>59644</v>
      </c>
      <c r="C62" s="7">
        <v>60018</v>
      </c>
      <c r="D62" s="8"/>
      <c r="E62" s="7" t="s">
        <v>75</v>
      </c>
      <c r="F62" s="7" t="s">
        <v>2130</v>
      </c>
      <c r="G62" s="8"/>
      <c r="H62" s="8"/>
      <c r="I62" s="7" t="s">
        <v>55</v>
      </c>
      <c r="J62" s="8"/>
      <c r="K62" s="8"/>
      <c r="L62" s="7" t="s">
        <v>2210</v>
      </c>
      <c r="M62" s="7" t="s">
        <v>2130</v>
      </c>
      <c r="N62" s="7">
        <v>124</v>
      </c>
      <c r="O62" s="7" t="s">
        <v>2211</v>
      </c>
    </row>
    <row r="63" spans="1:16">
      <c r="A63" s="6" t="s">
        <v>31</v>
      </c>
      <c r="B63" s="7">
        <v>60242</v>
      </c>
      <c r="C63" s="7">
        <v>60547</v>
      </c>
      <c r="D63" s="8"/>
      <c r="E63" s="7" t="s">
        <v>53</v>
      </c>
      <c r="F63" s="7" t="s">
        <v>2212</v>
      </c>
      <c r="G63" s="8"/>
      <c r="H63" s="8"/>
      <c r="I63" s="7" t="s">
        <v>55</v>
      </c>
      <c r="J63" s="8"/>
      <c r="K63" s="8"/>
      <c r="L63" s="7" t="s">
        <v>2213</v>
      </c>
      <c r="M63" s="7" t="s">
        <v>2212</v>
      </c>
      <c r="N63" s="7">
        <v>101</v>
      </c>
      <c r="O63" s="7" t="s">
        <v>2214</v>
      </c>
    </row>
    <row r="64" spans="1:16">
      <c r="A64" s="6" t="s">
        <v>31</v>
      </c>
      <c r="B64" s="7">
        <v>60599</v>
      </c>
      <c r="C64" s="7">
        <v>62542</v>
      </c>
      <c r="D64" s="8"/>
      <c r="E64" s="7" t="s">
        <v>53</v>
      </c>
      <c r="F64" s="7" t="s">
        <v>2215</v>
      </c>
      <c r="G64" s="7" t="s">
        <v>119</v>
      </c>
      <c r="H64" s="8"/>
      <c r="I64" s="7" t="s">
        <v>55</v>
      </c>
      <c r="J64" s="8"/>
      <c r="K64" s="8"/>
      <c r="L64" s="7" t="s">
        <v>2216</v>
      </c>
      <c r="M64" s="7" t="s">
        <v>2215</v>
      </c>
      <c r="N64" s="7">
        <v>647</v>
      </c>
      <c r="O64" s="7" t="s">
        <v>2217</v>
      </c>
    </row>
    <row r="65" spans="1:16">
      <c r="A65" s="6" t="s">
        <v>31</v>
      </c>
      <c r="B65" s="7">
        <v>62672</v>
      </c>
      <c r="C65" s="7">
        <v>62893</v>
      </c>
      <c r="D65" s="8"/>
      <c r="E65" s="7" t="s">
        <v>53</v>
      </c>
      <c r="F65" s="7" t="s">
        <v>2130</v>
      </c>
      <c r="G65" s="8"/>
      <c r="H65" s="8"/>
      <c r="I65" s="7" t="s">
        <v>55</v>
      </c>
      <c r="J65" s="8"/>
      <c r="K65" s="8"/>
      <c r="L65" s="7" t="s">
        <v>2218</v>
      </c>
      <c r="M65" s="7" t="s">
        <v>2130</v>
      </c>
      <c r="N65" s="7">
        <v>73</v>
      </c>
      <c r="O65" s="7" t="s">
        <v>2219</v>
      </c>
    </row>
    <row r="66" spans="1:16">
      <c r="A66" s="6" t="s">
        <v>31</v>
      </c>
      <c r="B66" s="7">
        <v>63045</v>
      </c>
      <c r="C66" s="7">
        <v>63635</v>
      </c>
      <c r="D66" s="8"/>
      <c r="E66" s="7" t="s">
        <v>53</v>
      </c>
      <c r="F66" s="7" t="s">
        <v>2220</v>
      </c>
      <c r="G66" s="7" t="s">
        <v>122</v>
      </c>
      <c r="H66" s="8"/>
      <c r="I66" s="7" t="s">
        <v>55</v>
      </c>
      <c r="J66" s="8"/>
      <c r="K66" s="8"/>
      <c r="L66" s="7" t="s">
        <v>2221</v>
      </c>
      <c r="M66" s="7" t="s">
        <v>2220</v>
      </c>
      <c r="N66" s="7">
        <v>196</v>
      </c>
      <c r="O66" s="7" t="s">
        <v>2222</v>
      </c>
      <c r="P66" s="7"/>
    </row>
    <row r="67" spans="1:16">
      <c r="A67" s="6" t="s">
        <v>31</v>
      </c>
      <c r="B67" s="7">
        <v>63642</v>
      </c>
      <c r="C67" s="7">
        <v>64196</v>
      </c>
      <c r="D67" s="8"/>
      <c r="E67" s="7" t="s">
        <v>53</v>
      </c>
      <c r="F67" s="7" t="s">
        <v>2223</v>
      </c>
      <c r="G67" s="7" t="s">
        <v>2224</v>
      </c>
      <c r="H67" s="8"/>
      <c r="I67" s="7" t="s">
        <v>55</v>
      </c>
      <c r="J67" s="8"/>
      <c r="K67" s="8"/>
      <c r="L67" s="7" t="s">
        <v>2225</v>
      </c>
      <c r="M67" s="7" t="s">
        <v>2223</v>
      </c>
      <c r="N67" s="7">
        <v>184</v>
      </c>
      <c r="O67" s="7" t="s">
        <v>2226</v>
      </c>
      <c r="P67" s="7"/>
    </row>
    <row r="68" spans="1:16">
      <c r="A68" s="6" t="s">
        <v>31</v>
      </c>
      <c r="B68" s="7">
        <v>64292</v>
      </c>
      <c r="C68" s="7">
        <v>65563</v>
      </c>
      <c r="D68" s="8"/>
      <c r="E68" s="7" t="s">
        <v>53</v>
      </c>
      <c r="F68" s="7" t="s">
        <v>2227</v>
      </c>
      <c r="G68" s="7" t="s">
        <v>2228</v>
      </c>
      <c r="H68" s="8"/>
      <c r="I68" s="7" t="s">
        <v>55</v>
      </c>
      <c r="J68" s="8"/>
      <c r="K68" s="8"/>
      <c r="L68" s="7" t="s">
        <v>2229</v>
      </c>
      <c r="M68" s="7" t="s">
        <v>2227</v>
      </c>
      <c r="N68" s="7">
        <v>423</v>
      </c>
      <c r="O68" s="7" t="s">
        <v>2230</v>
      </c>
    </row>
    <row r="69" spans="1:16">
      <c r="A69" s="6" t="s">
        <v>31</v>
      </c>
      <c r="B69" s="7">
        <v>65599</v>
      </c>
      <c r="C69" s="7">
        <v>66753</v>
      </c>
      <c r="D69" s="8"/>
      <c r="E69" s="7" t="s">
        <v>53</v>
      </c>
      <c r="F69" s="7" t="s">
        <v>2231</v>
      </c>
      <c r="G69" s="7" t="s">
        <v>126</v>
      </c>
      <c r="H69" s="8"/>
      <c r="I69" s="7" t="s">
        <v>55</v>
      </c>
      <c r="J69" s="8"/>
      <c r="K69" s="8"/>
      <c r="L69" s="7" t="s">
        <v>2232</v>
      </c>
      <c r="M69" s="7" t="s">
        <v>2231</v>
      </c>
      <c r="N69" s="7">
        <v>384</v>
      </c>
      <c r="O69" s="7" t="s">
        <v>2233</v>
      </c>
    </row>
    <row r="70" spans="1:16">
      <c r="A70" s="6" t="s">
        <v>31</v>
      </c>
      <c r="B70" s="7">
        <v>66930</v>
      </c>
      <c r="C70" s="7">
        <v>67328</v>
      </c>
      <c r="D70" s="8"/>
      <c r="E70" s="7" t="s">
        <v>53</v>
      </c>
      <c r="F70" s="7" t="s">
        <v>2234</v>
      </c>
      <c r="G70" s="7" t="s">
        <v>2235</v>
      </c>
      <c r="H70" s="8"/>
      <c r="I70" s="7" t="s">
        <v>55</v>
      </c>
      <c r="J70" s="8"/>
      <c r="K70" s="8"/>
      <c r="L70" s="7" t="s">
        <v>2236</v>
      </c>
      <c r="M70" s="7" t="s">
        <v>2234</v>
      </c>
      <c r="N70" s="7">
        <v>132</v>
      </c>
      <c r="O70" s="7" t="s">
        <v>2237</v>
      </c>
    </row>
    <row r="71" spans="1:16">
      <c r="A71" s="6" t="s">
        <v>31</v>
      </c>
      <c r="B71" s="7">
        <v>73261</v>
      </c>
      <c r="C71" s="7">
        <v>73395</v>
      </c>
      <c r="D71" s="8"/>
      <c r="E71" s="7" t="s">
        <v>75</v>
      </c>
      <c r="F71" s="7" t="s">
        <v>2095</v>
      </c>
      <c r="G71" s="8"/>
      <c r="H71" s="8"/>
      <c r="I71" s="7" t="s">
        <v>55</v>
      </c>
      <c r="J71" s="8"/>
      <c r="K71" s="8"/>
      <c r="L71" s="7" t="s">
        <v>2238</v>
      </c>
      <c r="M71" s="7" t="s">
        <v>2095</v>
      </c>
      <c r="N71" s="7">
        <v>44</v>
      </c>
      <c r="O71" s="7" t="s">
        <v>2239</v>
      </c>
    </row>
    <row r="72" spans="1:16">
      <c r="A72" s="6" t="s">
        <v>31</v>
      </c>
      <c r="B72" s="7">
        <v>73736</v>
      </c>
      <c r="C72" s="7">
        <v>78130</v>
      </c>
      <c r="D72" s="8"/>
      <c r="E72" s="7" t="s">
        <v>53</v>
      </c>
      <c r="F72" s="7" t="s">
        <v>2240</v>
      </c>
      <c r="G72" s="7" t="s">
        <v>2241</v>
      </c>
      <c r="H72" s="8"/>
      <c r="I72" s="7" t="s">
        <v>55</v>
      </c>
      <c r="J72" s="8"/>
      <c r="K72" s="8"/>
      <c r="L72" s="7" t="s">
        <v>2242</v>
      </c>
      <c r="M72" s="7" t="s">
        <v>2240</v>
      </c>
      <c r="N72" s="7">
        <v>1464</v>
      </c>
      <c r="O72" s="7" t="s">
        <v>2243</v>
      </c>
      <c r="P72" s="7"/>
    </row>
    <row r="73" spans="1:16">
      <c r="A73" s="6" t="s">
        <v>31</v>
      </c>
      <c r="B73" s="7">
        <v>78294</v>
      </c>
      <c r="C73" s="7">
        <v>79535</v>
      </c>
      <c r="D73" s="8"/>
      <c r="E73" s="7" t="s">
        <v>53</v>
      </c>
      <c r="F73" s="7" t="s">
        <v>130</v>
      </c>
      <c r="G73" s="7" t="s">
        <v>2244</v>
      </c>
      <c r="H73" s="8"/>
      <c r="I73" s="7" t="s">
        <v>55</v>
      </c>
      <c r="J73" s="8"/>
      <c r="K73" s="8"/>
      <c r="L73" s="7" t="s">
        <v>2245</v>
      </c>
      <c r="M73" s="7" t="s">
        <v>130</v>
      </c>
      <c r="N73" s="7">
        <v>413</v>
      </c>
      <c r="O73" s="7" t="s">
        <v>2246</v>
      </c>
      <c r="P73" s="7"/>
    </row>
    <row r="74" spans="1:16">
      <c r="A74" s="6" t="s">
        <v>31</v>
      </c>
      <c r="B74" s="7">
        <v>79555</v>
      </c>
      <c r="C74" s="7">
        <v>79785</v>
      </c>
      <c r="D74" s="8"/>
      <c r="E74" s="7" t="s">
        <v>53</v>
      </c>
      <c r="F74" s="7" t="s">
        <v>789</v>
      </c>
      <c r="G74" s="8"/>
      <c r="H74" s="8"/>
      <c r="I74" s="7" t="s">
        <v>55</v>
      </c>
      <c r="J74" s="8"/>
      <c r="K74" s="8"/>
      <c r="L74" s="7" t="s">
        <v>2247</v>
      </c>
      <c r="M74" s="7" t="s">
        <v>789</v>
      </c>
      <c r="N74" s="7">
        <v>76</v>
      </c>
      <c r="O74" s="7" t="s">
        <v>2248</v>
      </c>
    </row>
    <row r="75" spans="1:16">
      <c r="A75" s="6" t="s">
        <v>31</v>
      </c>
      <c r="B75" s="7">
        <v>79988</v>
      </c>
      <c r="C75" s="7">
        <v>80317</v>
      </c>
      <c r="D75" s="8"/>
      <c r="E75" s="7" t="s">
        <v>53</v>
      </c>
      <c r="F75" s="7" t="s">
        <v>2249</v>
      </c>
      <c r="G75" s="8"/>
      <c r="H75" s="8"/>
      <c r="I75" s="7" t="s">
        <v>55</v>
      </c>
      <c r="J75" s="8"/>
      <c r="K75" s="8"/>
      <c r="L75" s="7" t="s">
        <v>2250</v>
      </c>
      <c r="M75" s="7" t="s">
        <v>2249</v>
      </c>
      <c r="N75" s="7">
        <v>109</v>
      </c>
      <c r="O75" s="7" t="s">
        <v>2251</v>
      </c>
    </row>
    <row r="76" spans="1:16">
      <c r="A76" s="6" t="s">
        <v>31</v>
      </c>
      <c r="B76" s="7">
        <v>80435</v>
      </c>
      <c r="C76" s="7">
        <v>80986</v>
      </c>
      <c r="D76" s="8"/>
      <c r="E76" s="7" t="s">
        <v>53</v>
      </c>
      <c r="F76" s="7" t="s">
        <v>2252</v>
      </c>
      <c r="G76" s="8"/>
      <c r="H76" s="8"/>
      <c r="I76" s="7" t="s">
        <v>55</v>
      </c>
      <c r="J76" s="8"/>
      <c r="K76" s="8"/>
      <c r="L76" s="7" t="s">
        <v>2253</v>
      </c>
      <c r="M76" s="7" t="s">
        <v>2252</v>
      </c>
      <c r="N76" s="7">
        <v>183</v>
      </c>
      <c r="O76" s="7" t="s">
        <v>2254</v>
      </c>
    </row>
    <row r="77" spans="1:16">
      <c r="A77" s="6" t="s">
        <v>31</v>
      </c>
      <c r="B77" s="7">
        <v>81036</v>
      </c>
      <c r="C77" s="7">
        <v>81185</v>
      </c>
      <c r="D77" s="8"/>
      <c r="E77" s="7" t="s">
        <v>75</v>
      </c>
      <c r="F77" s="7" t="s">
        <v>2095</v>
      </c>
      <c r="G77" s="8"/>
      <c r="H77" s="8"/>
      <c r="I77" s="7" t="s">
        <v>55</v>
      </c>
      <c r="J77" s="8"/>
      <c r="K77" s="8"/>
      <c r="L77" s="7" t="s">
        <v>2255</v>
      </c>
      <c r="M77" s="7" t="s">
        <v>2095</v>
      </c>
      <c r="N77" s="7">
        <v>49</v>
      </c>
      <c r="O77" s="7" t="s">
        <v>2256</v>
      </c>
    </row>
    <row r="78" spans="1:16">
      <c r="A78" s="6" t="s">
        <v>31</v>
      </c>
      <c r="B78" s="7">
        <v>81125</v>
      </c>
      <c r="C78" s="7">
        <v>81253</v>
      </c>
      <c r="D78" s="8"/>
      <c r="E78" s="7" t="s">
        <v>75</v>
      </c>
      <c r="F78" s="7" t="s">
        <v>1280</v>
      </c>
      <c r="G78" s="8"/>
      <c r="H78" s="8"/>
      <c r="I78" s="7" t="s">
        <v>55</v>
      </c>
      <c r="J78" s="8"/>
      <c r="K78" s="8"/>
      <c r="L78" s="7" t="s">
        <v>2257</v>
      </c>
      <c r="M78" s="7" t="s">
        <v>1280</v>
      </c>
      <c r="N78" s="7">
        <v>42</v>
      </c>
      <c r="O78" s="7" t="s">
        <v>2258</v>
      </c>
    </row>
    <row r="79" spans="1:16">
      <c r="A79" s="6" t="s">
        <v>31</v>
      </c>
      <c r="B79" s="7">
        <v>81290</v>
      </c>
      <c r="C79" s="7">
        <v>81523</v>
      </c>
      <c r="D79" s="8"/>
      <c r="E79" s="7" t="s">
        <v>75</v>
      </c>
      <c r="F79" s="7" t="s">
        <v>2095</v>
      </c>
      <c r="G79" s="8"/>
      <c r="H79" s="8"/>
      <c r="I79" s="7" t="s">
        <v>55</v>
      </c>
      <c r="J79" s="8"/>
      <c r="K79" s="8"/>
      <c r="L79" s="7" t="s">
        <v>2259</v>
      </c>
      <c r="M79" s="7" t="s">
        <v>2095</v>
      </c>
      <c r="N79" s="7">
        <v>77</v>
      </c>
      <c r="O79" s="7" t="s">
        <v>2260</v>
      </c>
    </row>
    <row r="80" spans="1:16">
      <c r="A80" s="6" t="s">
        <v>31</v>
      </c>
      <c r="B80" s="7">
        <v>81537</v>
      </c>
      <c r="C80" s="7">
        <v>81800</v>
      </c>
      <c r="D80" s="8"/>
      <c r="E80" s="7" t="s">
        <v>75</v>
      </c>
      <c r="F80" s="7" t="s">
        <v>1280</v>
      </c>
      <c r="G80" s="8"/>
      <c r="H80" s="8"/>
      <c r="I80" s="7" t="s">
        <v>55</v>
      </c>
      <c r="J80" s="8"/>
      <c r="K80" s="8"/>
      <c r="L80" s="7" t="s">
        <v>2261</v>
      </c>
      <c r="M80" s="7" t="s">
        <v>1280</v>
      </c>
      <c r="N80" s="7">
        <v>87</v>
      </c>
      <c r="O80" s="7" t="s">
        <v>2262</v>
      </c>
    </row>
    <row r="81" spans="1:18">
      <c r="A81" s="6" t="s">
        <v>31</v>
      </c>
      <c r="B81" s="7">
        <v>82417</v>
      </c>
      <c r="C81" s="7">
        <v>82854</v>
      </c>
      <c r="D81" s="8"/>
      <c r="E81" s="7" t="s">
        <v>75</v>
      </c>
      <c r="F81" s="7" t="s">
        <v>2263</v>
      </c>
      <c r="G81" s="8"/>
      <c r="H81" s="8"/>
      <c r="I81" s="7" t="s">
        <v>55</v>
      </c>
      <c r="J81" s="8"/>
      <c r="K81" s="8"/>
      <c r="L81" s="7" t="s">
        <v>2264</v>
      </c>
      <c r="M81" s="7" t="s">
        <v>2263</v>
      </c>
      <c r="N81" s="7">
        <v>145</v>
      </c>
      <c r="O81" s="7" t="s">
        <v>2265</v>
      </c>
    </row>
    <row r="82" spans="1:18">
      <c r="A82" s="6" t="s">
        <v>31</v>
      </c>
      <c r="B82" s="7">
        <v>82676</v>
      </c>
      <c r="C82" s="7">
        <v>82897</v>
      </c>
      <c r="D82" s="8"/>
      <c r="E82" s="7" t="s">
        <v>75</v>
      </c>
      <c r="F82" s="7" t="s">
        <v>2095</v>
      </c>
      <c r="G82" s="8"/>
      <c r="H82" s="8"/>
      <c r="I82" s="7" t="s">
        <v>55</v>
      </c>
      <c r="J82" s="8"/>
      <c r="K82" s="8"/>
      <c r="L82" s="7" t="s">
        <v>2266</v>
      </c>
      <c r="M82" s="7" t="s">
        <v>2095</v>
      </c>
      <c r="N82" s="7">
        <v>73</v>
      </c>
      <c r="O82" s="7" t="s">
        <v>2267</v>
      </c>
    </row>
    <row r="83" spans="1:18">
      <c r="A83" s="6" t="s">
        <v>31</v>
      </c>
      <c r="B83" s="7">
        <v>82851</v>
      </c>
      <c r="C83" s="7">
        <v>83369</v>
      </c>
      <c r="D83" s="8"/>
      <c r="E83" s="7" t="s">
        <v>75</v>
      </c>
      <c r="F83" s="7" t="s">
        <v>2263</v>
      </c>
      <c r="G83" s="8"/>
      <c r="H83" s="8"/>
      <c r="I83" s="7" t="s">
        <v>55</v>
      </c>
      <c r="J83" s="8"/>
      <c r="K83" s="8"/>
      <c r="L83" s="7" t="s">
        <v>2268</v>
      </c>
      <c r="M83" s="7" t="s">
        <v>2263</v>
      </c>
      <c r="N83" s="7">
        <v>172</v>
      </c>
      <c r="O83" s="7" t="s">
        <v>2269</v>
      </c>
    </row>
    <row r="84" spans="1:18">
      <c r="A84" s="6" t="s">
        <v>31</v>
      </c>
      <c r="B84" s="7">
        <v>83892</v>
      </c>
      <c r="C84" s="7">
        <v>84659</v>
      </c>
      <c r="D84" s="8"/>
      <c r="E84" s="7" t="s">
        <v>53</v>
      </c>
      <c r="F84" s="7" t="s">
        <v>2270</v>
      </c>
      <c r="G84" s="7" t="s">
        <v>135</v>
      </c>
      <c r="H84" s="8"/>
      <c r="I84" s="7" t="s">
        <v>55</v>
      </c>
      <c r="J84" s="8"/>
      <c r="K84" s="8"/>
      <c r="L84" s="7" t="s">
        <v>2271</v>
      </c>
      <c r="M84" s="7" t="s">
        <v>2270</v>
      </c>
      <c r="N84" s="7">
        <v>255</v>
      </c>
      <c r="O84" s="7" t="s">
        <v>2272</v>
      </c>
    </row>
    <row r="85" spans="1:18">
      <c r="A85" s="6" t="s">
        <v>31</v>
      </c>
      <c r="B85" s="7">
        <v>84770</v>
      </c>
      <c r="C85" s="7">
        <v>85810</v>
      </c>
      <c r="D85" s="8"/>
      <c r="E85" s="7" t="s">
        <v>53</v>
      </c>
      <c r="F85" s="7" t="s">
        <v>2273</v>
      </c>
      <c r="G85" s="7" t="s">
        <v>137</v>
      </c>
      <c r="H85" s="8"/>
      <c r="I85" s="7" t="s">
        <v>55</v>
      </c>
      <c r="J85" s="8"/>
      <c r="K85" s="8"/>
      <c r="L85" s="7" t="s">
        <v>2274</v>
      </c>
      <c r="M85" s="7" t="s">
        <v>2273</v>
      </c>
      <c r="N85" s="7">
        <v>346</v>
      </c>
      <c r="O85" s="7" t="s">
        <v>2275</v>
      </c>
    </row>
    <row r="86" spans="1:18">
      <c r="A86" s="6" t="s">
        <v>31</v>
      </c>
      <c r="B86" s="7">
        <v>85921</v>
      </c>
      <c r="C86" s="7">
        <v>86391</v>
      </c>
      <c r="D86" s="8"/>
      <c r="E86" s="7" t="s">
        <v>75</v>
      </c>
      <c r="F86" s="7" t="s">
        <v>2276</v>
      </c>
      <c r="G86" s="8"/>
      <c r="H86" s="8"/>
      <c r="I86" s="7" t="s">
        <v>55</v>
      </c>
      <c r="J86" s="8"/>
      <c r="K86" s="8"/>
      <c r="L86" s="7" t="s">
        <v>2277</v>
      </c>
      <c r="M86" s="7" t="s">
        <v>2276</v>
      </c>
      <c r="N86" s="7">
        <v>156</v>
      </c>
      <c r="O86" s="7" t="s">
        <v>2278</v>
      </c>
    </row>
    <row r="87" spans="1:18">
      <c r="A87" s="6" t="s">
        <v>31</v>
      </c>
      <c r="B87" s="7">
        <v>86635</v>
      </c>
      <c r="C87" s="7">
        <v>87090</v>
      </c>
      <c r="D87" s="8"/>
      <c r="E87" s="7" t="s">
        <v>53</v>
      </c>
      <c r="F87" s="7" t="s">
        <v>2279</v>
      </c>
      <c r="G87" s="7" t="s">
        <v>2280</v>
      </c>
      <c r="H87" s="8"/>
      <c r="I87" s="7" t="s">
        <v>55</v>
      </c>
      <c r="J87" s="8"/>
      <c r="K87" s="8"/>
      <c r="L87" s="7" t="s">
        <v>2281</v>
      </c>
      <c r="M87" s="7" t="s">
        <v>2279</v>
      </c>
      <c r="N87" s="7">
        <v>151</v>
      </c>
      <c r="O87" s="7" t="s">
        <v>2282</v>
      </c>
    </row>
    <row r="88" spans="1:18">
      <c r="A88" s="6" t="s">
        <v>31</v>
      </c>
      <c r="B88" s="7">
        <v>87091</v>
      </c>
      <c r="C88" s="7">
        <v>89541</v>
      </c>
      <c r="D88" s="8"/>
      <c r="E88" s="7" t="s">
        <v>53</v>
      </c>
      <c r="F88" s="7" t="s">
        <v>2283</v>
      </c>
      <c r="G88" s="7" t="s">
        <v>2284</v>
      </c>
      <c r="H88" s="8"/>
      <c r="I88" s="7" t="s">
        <v>55</v>
      </c>
      <c r="J88" s="8"/>
      <c r="K88" s="8"/>
      <c r="L88" s="7" t="s">
        <v>2285</v>
      </c>
      <c r="M88" s="7" t="s">
        <v>2283</v>
      </c>
      <c r="N88" s="7">
        <v>816</v>
      </c>
      <c r="O88" s="7" t="s">
        <v>2286</v>
      </c>
    </row>
    <row r="89" spans="1:18">
      <c r="A89" s="6" t="s">
        <v>31</v>
      </c>
      <c r="B89" s="7">
        <v>90850</v>
      </c>
      <c r="C89" s="7">
        <v>90969</v>
      </c>
      <c r="D89" s="8"/>
      <c r="E89" s="7" t="s">
        <v>75</v>
      </c>
      <c r="F89" s="7" t="s">
        <v>2095</v>
      </c>
      <c r="G89" s="8"/>
      <c r="H89" s="8"/>
      <c r="I89" s="7" t="s">
        <v>55</v>
      </c>
      <c r="J89" s="8"/>
      <c r="K89" s="8"/>
      <c r="L89" s="7" t="s">
        <v>2287</v>
      </c>
      <c r="M89" s="7" t="s">
        <v>2095</v>
      </c>
      <c r="N89" s="7">
        <v>39</v>
      </c>
      <c r="O89" s="7" t="s">
        <v>2288</v>
      </c>
    </row>
    <row r="90" spans="1:18">
      <c r="A90" s="6" t="s">
        <v>31</v>
      </c>
      <c r="B90" s="7">
        <v>91072</v>
      </c>
      <c r="C90" s="7">
        <v>92319</v>
      </c>
      <c r="D90" s="8"/>
      <c r="E90" s="7" t="s">
        <v>75</v>
      </c>
      <c r="F90" s="7" t="s">
        <v>2289</v>
      </c>
      <c r="G90" s="8"/>
      <c r="H90" s="8"/>
      <c r="I90" s="7" t="s">
        <v>55</v>
      </c>
      <c r="J90" s="8"/>
      <c r="K90" s="8"/>
      <c r="L90" s="7" t="s">
        <v>2290</v>
      </c>
      <c r="M90" s="7" t="s">
        <v>2289</v>
      </c>
      <c r="N90" s="7">
        <v>415</v>
      </c>
      <c r="O90" s="7" t="s">
        <v>2291</v>
      </c>
      <c r="P90" s="7"/>
      <c r="Q90" s="7"/>
    </row>
    <row r="91" spans="1:18">
      <c r="A91" s="6" t="s">
        <v>31</v>
      </c>
      <c r="B91" s="7">
        <v>92528</v>
      </c>
      <c r="C91" s="7">
        <v>94753</v>
      </c>
      <c r="D91" s="8"/>
      <c r="E91" s="7" t="s">
        <v>53</v>
      </c>
      <c r="F91" s="7" t="s">
        <v>2292</v>
      </c>
      <c r="G91" s="7" t="s">
        <v>2293</v>
      </c>
      <c r="H91" s="8"/>
      <c r="I91" s="7" t="s">
        <v>55</v>
      </c>
      <c r="J91" s="8"/>
      <c r="K91" s="8"/>
      <c r="L91" s="7" t="s">
        <v>2294</v>
      </c>
      <c r="M91" s="7" t="s">
        <v>2292</v>
      </c>
      <c r="N91" s="7">
        <v>741</v>
      </c>
      <c r="O91" s="7" t="s">
        <v>2295</v>
      </c>
      <c r="P91" s="7"/>
      <c r="Q91" s="7"/>
      <c r="R91" s="7"/>
    </row>
    <row r="92" spans="1:18">
      <c r="A92" s="6" t="s">
        <v>31</v>
      </c>
      <c r="B92" s="7">
        <v>94762</v>
      </c>
      <c r="C92" s="7">
        <v>95532</v>
      </c>
      <c r="D92" s="8"/>
      <c r="E92" s="7" t="s">
        <v>53</v>
      </c>
      <c r="F92" s="7" t="s">
        <v>2130</v>
      </c>
      <c r="G92" s="8"/>
      <c r="H92" s="8"/>
      <c r="I92" s="7" t="s">
        <v>55</v>
      </c>
      <c r="J92" s="8"/>
      <c r="K92" s="8"/>
      <c r="L92" s="7" t="s">
        <v>2296</v>
      </c>
      <c r="M92" s="7" t="s">
        <v>2130</v>
      </c>
      <c r="N92" s="7">
        <v>256</v>
      </c>
      <c r="O92" s="7" t="s">
        <v>2297</v>
      </c>
    </row>
    <row r="93" spans="1:18">
      <c r="A93" s="6" t="s">
        <v>31</v>
      </c>
      <c r="B93" s="7">
        <v>95605</v>
      </c>
      <c r="C93" s="7">
        <v>96225</v>
      </c>
      <c r="D93" s="8"/>
      <c r="E93" s="7" t="s">
        <v>53</v>
      </c>
      <c r="F93" s="7" t="s">
        <v>2298</v>
      </c>
      <c r="G93" s="8"/>
      <c r="H93" s="8"/>
      <c r="I93" s="7" t="s">
        <v>55</v>
      </c>
      <c r="J93" s="8"/>
      <c r="K93" s="8"/>
      <c r="L93" s="7" t="s">
        <v>2299</v>
      </c>
      <c r="M93" s="7" t="s">
        <v>2298</v>
      </c>
      <c r="N93" s="7">
        <v>206</v>
      </c>
      <c r="O93" s="7" t="s">
        <v>2300</v>
      </c>
      <c r="P93" s="7"/>
      <c r="Q93" s="7"/>
    </row>
    <row r="94" spans="1:18">
      <c r="A94" s="6" t="s">
        <v>31</v>
      </c>
      <c r="B94" s="7">
        <v>96607</v>
      </c>
      <c r="C94" s="7">
        <v>97950</v>
      </c>
      <c r="D94" s="8"/>
      <c r="E94" s="7" t="s">
        <v>53</v>
      </c>
      <c r="F94" s="7" t="s">
        <v>2301</v>
      </c>
      <c r="G94" s="7" t="s">
        <v>146</v>
      </c>
      <c r="H94" s="8"/>
      <c r="I94" s="7" t="s">
        <v>55</v>
      </c>
      <c r="J94" s="8"/>
      <c r="K94" s="8"/>
      <c r="L94" s="7" t="s">
        <v>2302</v>
      </c>
      <c r="M94" s="7" t="s">
        <v>2301</v>
      </c>
      <c r="N94" s="7">
        <v>447</v>
      </c>
      <c r="O94" s="7" t="s">
        <v>2303</v>
      </c>
      <c r="P94" s="7"/>
      <c r="Q94" s="7"/>
    </row>
    <row r="95" spans="1:18">
      <c r="A95" s="6" t="s">
        <v>31</v>
      </c>
      <c r="B95" s="7">
        <v>97943</v>
      </c>
      <c r="C95" s="7">
        <v>98344</v>
      </c>
      <c r="D95" s="8"/>
      <c r="E95" s="7" t="s">
        <v>53</v>
      </c>
      <c r="F95" s="7" t="s">
        <v>2304</v>
      </c>
      <c r="G95" s="7" t="s">
        <v>2305</v>
      </c>
      <c r="H95" s="8"/>
      <c r="I95" s="7" t="s">
        <v>55</v>
      </c>
      <c r="J95" s="8"/>
      <c r="K95" s="8"/>
      <c r="L95" s="7" t="s">
        <v>2306</v>
      </c>
      <c r="M95" s="7" t="s">
        <v>2304</v>
      </c>
      <c r="N95" s="7">
        <v>133</v>
      </c>
      <c r="O95" s="7" t="s">
        <v>2307</v>
      </c>
    </row>
    <row r="96" spans="1:18">
      <c r="A96" s="6" t="s">
        <v>31</v>
      </c>
      <c r="B96" s="7">
        <v>98627</v>
      </c>
      <c r="C96" s="7">
        <v>98782</v>
      </c>
      <c r="D96" s="8"/>
      <c r="E96" s="7" t="s">
        <v>53</v>
      </c>
      <c r="F96" s="7" t="s">
        <v>2130</v>
      </c>
      <c r="G96" s="8"/>
      <c r="H96" s="8"/>
      <c r="I96" s="7" t="s">
        <v>55</v>
      </c>
      <c r="J96" s="8"/>
      <c r="K96" s="8"/>
      <c r="L96" s="7" t="s">
        <v>2308</v>
      </c>
      <c r="M96" s="7" t="s">
        <v>2130</v>
      </c>
      <c r="N96" s="7">
        <v>51</v>
      </c>
      <c r="O96" s="7" t="s">
        <v>2309</v>
      </c>
    </row>
    <row r="97" spans="1:17">
      <c r="A97" s="6" t="s">
        <v>31</v>
      </c>
      <c r="B97" s="7">
        <v>98858</v>
      </c>
      <c r="C97" s="7">
        <v>99046</v>
      </c>
      <c r="D97" s="8"/>
      <c r="E97" s="7" t="s">
        <v>53</v>
      </c>
      <c r="F97" s="7" t="s">
        <v>2130</v>
      </c>
      <c r="G97" s="8"/>
      <c r="H97" s="8"/>
      <c r="I97" s="7" t="s">
        <v>55</v>
      </c>
      <c r="J97" s="8"/>
      <c r="K97" s="8"/>
      <c r="L97" s="7" t="s">
        <v>2310</v>
      </c>
      <c r="M97" s="7" t="s">
        <v>2130</v>
      </c>
      <c r="N97" s="7">
        <v>62</v>
      </c>
      <c r="O97" s="7" t="s">
        <v>2311</v>
      </c>
    </row>
    <row r="98" spans="1:17">
      <c r="A98" s="6" t="s">
        <v>31</v>
      </c>
      <c r="B98" s="7">
        <v>99117</v>
      </c>
      <c r="C98" s="7">
        <v>99287</v>
      </c>
      <c r="D98" s="8"/>
      <c r="E98" s="7" t="s">
        <v>53</v>
      </c>
      <c r="F98" s="7" t="s">
        <v>2095</v>
      </c>
      <c r="G98" s="8"/>
      <c r="H98" s="8"/>
      <c r="I98" s="7" t="s">
        <v>55</v>
      </c>
      <c r="J98" s="8"/>
      <c r="K98" s="8"/>
      <c r="L98" s="7" t="s">
        <v>2312</v>
      </c>
      <c r="M98" s="7" t="s">
        <v>2095</v>
      </c>
      <c r="N98" s="7">
        <v>56</v>
      </c>
      <c r="O98" s="7" t="s">
        <v>2313</v>
      </c>
    </row>
    <row r="99" spans="1:17">
      <c r="A99" s="6" t="s">
        <v>31</v>
      </c>
      <c r="B99" s="7">
        <v>99241</v>
      </c>
      <c r="C99" s="7">
        <v>99360</v>
      </c>
      <c r="D99" s="8"/>
      <c r="E99" s="7" t="s">
        <v>53</v>
      </c>
      <c r="F99" s="7" t="s">
        <v>2095</v>
      </c>
      <c r="G99" s="8"/>
      <c r="H99" s="8"/>
      <c r="I99" s="7" t="s">
        <v>55</v>
      </c>
      <c r="J99" s="8"/>
      <c r="K99" s="8"/>
      <c r="L99" s="7" t="s">
        <v>2314</v>
      </c>
      <c r="M99" s="7" t="s">
        <v>2095</v>
      </c>
      <c r="N99" s="7">
        <v>39</v>
      </c>
      <c r="O99" s="7" t="s">
        <v>2315</v>
      </c>
    </row>
    <row r="100" spans="1:17">
      <c r="A100" s="6" t="s">
        <v>31</v>
      </c>
      <c r="B100" s="7">
        <v>99408</v>
      </c>
      <c r="C100" s="7">
        <v>100151</v>
      </c>
      <c r="D100" s="8"/>
      <c r="E100" s="7" t="s">
        <v>53</v>
      </c>
      <c r="F100" s="7" t="s">
        <v>2316</v>
      </c>
      <c r="G100" s="8"/>
      <c r="H100" s="8"/>
      <c r="I100" s="7" t="s">
        <v>55</v>
      </c>
      <c r="J100" s="8"/>
      <c r="K100" s="8"/>
      <c r="L100" s="7" t="s">
        <v>2317</v>
      </c>
      <c r="M100" s="7" t="s">
        <v>2316</v>
      </c>
      <c r="N100" s="7">
        <v>247</v>
      </c>
      <c r="O100" s="7" t="s">
        <v>2318</v>
      </c>
      <c r="P100" s="7"/>
      <c r="Q100" s="7"/>
    </row>
    <row r="101" spans="1:17">
      <c r="A101" s="6" t="s">
        <v>31</v>
      </c>
      <c r="B101" s="7">
        <v>100154</v>
      </c>
      <c r="C101" s="7">
        <v>100669</v>
      </c>
      <c r="D101" s="8"/>
      <c r="E101" s="7" t="s">
        <v>53</v>
      </c>
      <c r="F101" s="7" t="s">
        <v>2319</v>
      </c>
      <c r="G101" s="7" t="s">
        <v>2320</v>
      </c>
      <c r="H101" s="8"/>
      <c r="I101" s="7" t="s">
        <v>55</v>
      </c>
      <c r="J101" s="8"/>
      <c r="K101" s="8"/>
      <c r="L101" s="7" t="s">
        <v>2321</v>
      </c>
      <c r="M101" s="7" t="s">
        <v>2319</v>
      </c>
      <c r="N101" s="7">
        <v>171</v>
      </c>
      <c r="O101" s="7" t="s">
        <v>2322</v>
      </c>
    </row>
    <row r="102" spans="1:17">
      <c r="A102" s="6" t="s">
        <v>31</v>
      </c>
      <c r="B102" s="7">
        <v>100678</v>
      </c>
      <c r="C102" s="7">
        <v>101538</v>
      </c>
      <c r="D102" s="8"/>
      <c r="E102" s="7" t="s">
        <v>53</v>
      </c>
      <c r="F102" s="7" t="s">
        <v>2323</v>
      </c>
      <c r="G102" s="8"/>
      <c r="H102" s="8"/>
      <c r="I102" s="7" t="s">
        <v>55</v>
      </c>
      <c r="J102" s="8"/>
      <c r="K102" s="8"/>
      <c r="L102" s="7" t="s">
        <v>2324</v>
      </c>
      <c r="M102" s="7" t="s">
        <v>2323</v>
      </c>
      <c r="N102" s="7">
        <v>286</v>
      </c>
      <c r="O102" s="7" t="s">
        <v>2325</v>
      </c>
    </row>
    <row r="103" spans="1:17">
      <c r="A103" s="6" t="s">
        <v>31</v>
      </c>
      <c r="B103" s="7">
        <v>101839</v>
      </c>
      <c r="C103" s="7">
        <v>102309</v>
      </c>
      <c r="D103" s="8"/>
      <c r="E103" s="7" t="s">
        <v>53</v>
      </c>
      <c r="F103" s="7" t="s">
        <v>2130</v>
      </c>
      <c r="G103" s="8"/>
      <c r="H103" s="8"/>
      <c r="I103" s="7" t="s">
        <v>55</v>
      </c>
      <c r="J103" s="8"/>
      <c r="K103" s="8"/>
      <c r="L103" s="7" t="s">
        <v>2326</v>
      </c>
      <c r="M103" s="7" t="s">
        <v>2130</v>
      </c>
      <c r="N103" s="7">
        <v>156</v>
      </c>
      <c r="O103" s="7" t="s">
        <v>2327</v>
      </c>
    </row>
    <row r="104" spans="1:17">
      <c r="A104" s="6" t="s">
        <v>31</v>
      </c>
      <c r="B104" s="7">
        <v>102488</v>
      </c>
      <c r="C104" s="7">
        <v>103444</v>
      </c>
      <c r="D104" s="8"/>
      <c r="E104" s="7" t="s">
        <v>53</v>
      </c>
      <c r="F104" s="7" t="s">
        <v>2328</v>
      </c>
      <c r="G104" s="8"/>
      <c r="H104" s="8"/>
      <c r="I104" s="7" t="s">
        <v>55</v>
      </c>
      <c r="J104" s="8"/>
      <c r="K104" s="8"/>
      <c r="L104" s="7" t="s">
        <v>2329</v>
      </c>
      <c r="M104" s="7" t="s">
        <v>2328</v>
      </c>
      <c r="N104" s="7">
        <v>318</v>
      </c>
      <c r="O104" s="7" t="s">
        <v>2330</v>
      </c>
      <c r="P104" s="7"/>
      <c r="Q104" s="7"/>
    </row>
    <row r="105" spans="1:17">
      <c r="A105" s="6" t="s">
        <v>31</v>
      </c>
      <c r="B105" s="7">
        <v>103653</v>
      </c>
      <c r="C105" s="7">
        <v>104099</v>
      </c>
      <c r="D105" s="8"/>
      <c r="E105" s="7" t="s">
        <v>53</v>
      </c>
      <c r="F105" s="7" t="s">
        <v>2331</v>
      </c>
      <c r="G105" s="7" t="s">
        <v>157</v>
      </c>
      <c r="H105" s="8"/>
      <c r="I105" s="7" t="s">
        <v>55</v>
      </c>
      <c r="J105" s="8"/>
      <c r="K105" s="8"/>
      <c r="L105" s="7" t="s">
        <v>2332</v>
      </c>
      <c r="M105" s="7" t="s">
        <v>2331</v>
      </c>
      <c r="N105" s="7">
        <v>148</v>
      </c>
      <c r="O105" s="7" t="s">
        <v>2333</v>
      </c>
    </row>
    <row r="106" spans="1:17">
      <c r="A106" s="6" t="s">
        <v>31</v>
      </c>
      <c r="B106" s="7">
        <v>104127</v>
      </c>
      <c r="C106" s="7">
        <v>104519</v>
      </c>
      <c r="D106" s="8"/>
      <c r="E106" s="7" t="s">
        <v>53</v>
      </c>
      <c r="F106" s="7" t="s">
        <v>2334</v>
      </c>
      <c r="G106" s="7" t="s">
        <v>159</v>
      </c>
      <c r="H106" s="8"/>
      <c r="I106" s="7" t="s">
        <v>55</v>
      </c>
      <c r="J106" s="8"/>
      <c r="K106" s="8"/>
      <c r="L106" s="7" t="s">
        <v>2335</v>
      </c>
      <c r="M106" s="7" t="s">
        <v>2334</v>
      </c>
      <c r="N106" s="7">
        <v>130</v>
      </c>
      <c r="O106" s="7" t="s">
        <v>2336</v>
      </c>
    </row>
    <row r="107" spans="1:17">
      <c r="A107" s="6" t="s">
        <v>31</v>
      </c>
      <c r="B107" s="7">
        <v>104679</v>
      </c>
      <c r="C107" s="7">
        <v>104921</v>
      </c>
      <c r="D107" s="8"/>
      <c r="E107" s="7" t="s">
        <v>75</v>
      </c>
      <c r="F107" s="7" t="s">
        <v>2337</v>
      </c>
      <c r="G107" s="8"/>
      <c r="H107" s="8"/>
      <c r="I107" s="7" t="s">
        <v>55</v>
      </c>
      <c r="J107" s="8"/>
      <c r="K107" s="8"/>
      <c r="L107" s="7" t="s">
        <v>2338</v>
      </c>
      <c r="M107" s="7" t="s">
        <v>2337</v>
      </c>
      <c r="N107" s="7">
        <v>80</v>
      </c>
      <c r="O107" s="7" t="s">
        <v>2339</v>
      </c>
    </row>
    <row r="108" spans="1:17">
      <c r="A108" s="6" t="s">
        <v>31</v>
      </c>
      <c r="B108" s="7">
        <v>105035</v>
      </c>
      <c r="C108" s="7">
        <v>105259</v>
      </c>
      <c r="D108" s="8"/>
      <c r="E108" s="7" t="s">
        <v>53</v>
      </c>
      <c r="F108" s="7" t="s">
        <v>2340</v>
      </c>
      <c r="G108" s="8"/>
      <c r="H108" s="8"/>
      <c r="I108" s="7" t="s">
        <v>55</v>
      </c>
      <c r="J108" s="8"/>
      <c r="K108" s="8"/>
      <c r="L108" s="7" t="s">
        <v>2341</v>
      </c>
      <c r="M108" s="7" t="s">
        <v>2340</v>
      </c>
      <c r="N108" s="7">
        <v>74</v>
      </c>
      <c r="O108" s="7" t="s">
        <v>2342</v>
      </c>
    </row>
    <row r="109" spans="1:17">
      <c r="A109" s="6" t="s">
        <v>31</v>
      </c>
      <c r="B109" s="7">
        <v>105792</v>
      </c>
      <c r="C109" s="7">
        <v>108596</v>
      </c>
      <c r="D109" s="8"/>
      <c r="E109" s="7" t="s">
        <v>53</v>
      </c>
      <c r="F109" s="7" t="s">
        <v>2343</v>
      </c>
      <c r="G109" s="7" t="s">
        <v>2344</v>
      </c>
      <c r="H109" s="8"/>
      <c r="I109" s="7" t="s">
        <v>55</v>
      </c>
      <c r="J109" s="8"/>
      <c r="K109" s="8"/>
      <c r="L109" s="7" t="s">
        <v>2345</v>
      </c>
      <c r="M109" s="7" t="s">
        <v>2343</v>
      </c>
      <c r="N109" s="7">
        <v>934</v>
      </c>
      <c r="O109" s="7" t="s">
        <v>2346</v>
      </c>
    </row>
    <row r="110" spans="1:17">
      <c r="A110" s="6" t="s">
        <v>31</v>
      </c>
      <c r="B110" s="7">
        <v>108580</v>
      </c>
      <c r="C110" s="7">
        <v>109857</v>
      </c>
      <c r="D110" s="8"/>
      <c r="E110" s="7" t="s">
        <v>53</v>
      </c>
      <c r="F110" s="7" t="s">
        <v>2347</v>
      </c>
      <c r="G110" s="8"/>
      <c r="H110" s="8"/>
      <c r="I110" s="7" t="s">
        <v>55</v>
      </c>
      <c r="J110" s="8"/>
      <c r="K110" s="8"/>
      <c r="L110" s="7" t="s">
        <v>2348</v>
      </c>
      <c r="M110" s="7" t="s">
        <v>2347</v>
      </c>
      <c r="N110" s="7">
        <v>425</v>
      </c>
      <c r="O110" s="7" t="s">
        <v>2349</v>
      </c>
    </row>
    <row r="111" spans="1:17">
      <c r="A111" s="6" t="s">
        <v>31</v>
      </c>
      <c r="B111" s="7">
        <v>109881</v>
      </c>
      <c r="C111" s="7">
        <v>110756</v>
      </c>
      <c r="D111" s="8"/>
      <c r="E111" s="7" t="s">
        <v>53</v>
      </c>
      <c r="F111" s="7" t="s">
        <v>2350</v>
      </c>
      <c r="G111" s="7" t="s">
        <v>2351</v>
      </c>
      <c r="H111" s="8"/>
      <c r="I111" s="7" t="s">
        <v>55</v>
      </c>
      <c r="J111" s="8"/>
      <c r="K111" s="8"/>
      <c r="L111" s="7" t="s">
        <v>2352</v>
      </c>
      <c r="M111" s="7" t="s">
        <v>2350</v>
      </c>
      <c r="N111" s="7">
        <v>291</v>
      </c>
      <c r="O111" s="7" t="s">
        <v>2353</v>
      </c>
    </row>
    <row r="112" spans="1:17">
      <c r="A112" s="6" t="s">
        <v>31</v>
      </c>
      <c r="B112" s="7">
        <v>111204</v>
      </c>
      <c r="C112" s="7">
        <v>111323</v>
      </c>
      <c r="D112" s="8"/>
      <c r="E112" s="7" t="s">
        <v>53</v>
      </c>
      <c r="F112" s="7" t="s">
        <v>2095</v>
      </c>
      <c r="G112" s="8"/>
      <c r="H112" s="8"/>
      <c r="I112" s="7" t="s">
        <v>55</v>
      </c>
      <c r="J112" s="8"/>
      <c r="K112" s="8"/>
      <c r="L112" s="7" t="s">
        <v>2354</v>
      </c>
      <c r="M112" s="7" t="s">
        <v>2095</v>
      </c>
      <c r="N112" s="7">
        <v>39</v>
      </c>
      <c r="O112" s="7" t="s">
        <v>2355</v>
      </c>
    </row>
    <row r="113" spans="1:17">
      <c r="A113" s="6" t="s">
        <v>31</v>
      </c>
      <c r="B113" s="7">
        <v>111374</v>
      </c>
      <c r="C113" s="7">
        <v>111886</v>
      </c>
      <c r="D113" s="8"/>
      <c r="E113" s="7" t="s">
        <v>53</v>
      </c>
      <c r="F113" s="7" t="s">
        <v>2130</v>
      </c>
      <c r="G113" s="8"/>
      <c r="H113" s="8"/>
      <c r="I113" s="7" t="s">
        <v>55</v>
      </c>
      <c r="J113" s="8"/>
      <c r="K113" s="8"/>
      <c r="L113" s="7" t="s">
        <v>2356</v>
      </c>
      <c r="M113" s="7" t="s">
        <v>2130</v>
      </c>
      <c r="N113" s="7">
        <v>170</v>
      </c>
      <c r="O113" s="7" t="s">
        <v>2357</v>
      </c>
    </row>
    <row r="114" spans="1:17">
      <c r="A114" s="6" t="s">
        <v>31</v>
      </c>
      <c r="B114" s="7">
        <v>112223</v>
      </c>
      <c r="C114" s="7">
        <v>113440</v>
      </c>
      <c r="D114" s="8"/>
      <c r="E114" s="7" t="s">
        <v>75</v>
      </c>
      <c r="F114" s="7" t="s">
        <v>2337</v>
      </c>
      <c r="G114" s="7" t="s">
        <v>2358</v>
      </c>
      <c r="H114" s="8"/>
      <c r="I114" s="7" t="s">
        <v>55</v>
      </c>
      <c r="J114" s="8"/>
      <c r="K114" s="8"/>
      <c r="L114" s="7" t="s">
        <v>2359</v>
      </c>
      <c r="M114" s="7" t="s">
        <v>2337</v>
      </c>
      <c r="N114" s="7">
        <v>405</v>
      </c>
      <c r="O114" s="7" t="s">
        <v>2360</v>
      </c>
    </row>
    <row r="115" spans="1:17">
      <c r="A115" s="6" t="s">
        <v>31</v>
      </c>
      <c r="B115" s="7">
        <v>113451</v>
      </c>
      <c r="C115" s="7">
        <v>113723</v>
      </c>
      <c r="D115" s="8"/>
      <c r="E115" s="7" t="s">
        <v>75</v>
      </c>
      <c r="F115" s="7" t="s">
        <v>2361</v>
      </c>
      <c r="G115" s="8"/>
      <c r="H115" s="8"/>
      <c r="I115" s="7" t="s">
        <v>55</v>
      </c>
      <c r="J115" s="8"/>
      <c r="K115" s="8"/>
      <c r="L115" s="7" t="s">
        <v>2362</v>
      </c>
      <c r="M115" s="7" t="s">
        <v>2361</v>
      </c>
      <c r="N115" s="7">
        <v>90</v>
      </c>
      <c r="O115" s="7" t="s">
        <v>2363</v>
      </c>
    </row>
    <row r="116" spans="1:17">
      <c r="A116" s="6" t="s">
        <v>31</v>
      </c>
      <c r="B116" s="7">
        <v>113921</v>
      </c>
      <c r="C116" s="7">
        <v>114976</v>
      </c>
      <c r="D116" s="8"/>
      <c r="E116" s="7" t="s">
        <v>75</v>
      </c>
      <c r="F116" s="7" t="s">
        <v>2130</v>
      </c>
      <c r="G116" s="8"/>
      <c r="H116" s="8"/>
      <c r="I116" s="7" t="s">
        <v>55</v>
      </c>
      <c r="J116" s="8"/>
      <c r="K116" s="8"/>
      <c r="L116" s="7" t="s">
        <v>2364</v>
      </c>
      <c r="M116" s="7" t="s">
        <v>2130</v>
      </c>
      <c r="N116" s="7">
        <v>351</v>
      </c>
      <c r="O116" s="7" t="s">
        <v>2365</v>
      </c>
    </row>
    <row r="117" spans="1:17">
      <c r="A117" s="6" t="s">
        <v>31</v>
      </c>
      <c r="B117" s="7">
        <v>115006</v>
      </c>
      <c r="C117" s="7">
        <v>115122</v>
      </c>
      <c r="D117" s="8"/>
      <c r="E117" s="7" t="s">
        <v>75</v>
      </c>
      <c r="F117" s="7" t="s">
        <v>2130</v>
      </c>
      <c r="G117" s="8"/>
      <c r="H117" s="8"/>
      <c r="I117" s="7" t="s">
        <v>55</v>
      </c>
      <c r="J117" s="8"/>
      <c r="K117" s="8"/>
      <c r="L117" s="7" t="s">
        <v>2366</v>
      </c>
      <c r="M117" s="7" t="s">
        <v>2130</v>
      </c>
      <c r="N117" s="7">
        <v>38</v>
      </c>
      <c r="O117" s="7" t="s">
        <v>2367</v>
      </c>
    </row>
    <row r="118" spans="1:17">
      <c r="A118" s="6" t="s">
        <v>31</v>
      </c>
      <c r="B118" s="7">
        <v>115223</v>
      </c>
      <c r="C118" s="7">
        <v>115480</v>
      </c>
      <c r="D118" s="8"/>
      <c r="E118" s="7" t="s">
        <v>75</v>
      </c>
      <c r="F118" s="7" t="s">
        <v>2095</v>
      </c>
      <c r="G118" s="8"/>
      <c r="H118" s="8"/>
      <c r="I118" s="7" t="s">
        <v>55</v>
      </c>
      <c r="J118" s="8"/>
      <c r="K118" s="8"/>
      <c r="L118" s="7" t="s">
        <v>2368</v>
      </c>
      <c r="M118" s="7" t="s">
        <v>2095</v>
      </c>
      <c r="N118" s="7">
        <v>85</v>
      </c>
      <c r="O118" s="7" t="s">
        <v>2369</v>
      </c>
    </row>
    <row r="119" spans="1:17">
      <c r="A119" s="6" t="s">
        <v>31</v>
      </c>
      <c r="B119" s="7">
        <v>115988</v>
      </c>
      <c r="C119" s="7">
        <v>116371</v>
      </c>
      <c r="D119" s="8"/>
      <c r="E119" s="7" t="s">
        <v>75</v>
      </c>
      <c r="F119" s="7" t="s">
        <v>2095</v>
      </c>
      <c r="G119" s="8"/>
      <c r="H119" s="8"/>
      <c r="I119" s="7" t="s">
        <v>55</v>
      </c>
      <c r="J119" s="8"/>
      <c r="K119" s="8"/>
      <c r="L119" s="7" t="s">
        <v>2370</v>
      </c>
      <c r="M119" s="7" t="s">
        <v>2095</v>
      </c>
      <c r="N119" s="7">
        <v>127</v>
      </c>
      <c r="O119" s="7" t="s">
        <v>2371</v>
      </c>
    </row>
    <row r="120" spans="1:17">
      <c r="A120" s="6" t="s">
        <v>31</v>
      </c>
      <c r="B120" s="7">
        <v>116396</v>
      </c>
      <c r="C120" s="7">
        <v>116674</v>
      </c>
      <c r="D120" s="8"/>
      <c r="E120" s="7" t="s">
        <v>75</v>
      </c>
      <c r="F120" s="7" t="s">
        <v>2095</v>
      </c>
      <c r="G120" s="8"/>
      <c r="H120" s="8"/>
      <c r="I120" s="7" t="s">
        <v>55</v>
      </c>
      <c r="J120" s="8"/>
      <c r="K120" s="8"/>
      <c r="L120" s="7" t="s">
        <v>2372</v>
      </c>
      <c r="M120" s="7" t="s">
        <v>2095</v>
      </c>
      <c r="N120" s="7">
        <v>92</v>
      </c>
      <c r="O120" s="7" t="s">
        <v>2373</v>
      </c>
    </row>
    <row r="121" spans="1:17">
      <c r="A121" s="6" t="s">
        <v>31</v>
      </c>
      <c r="B121" s="7">
        <v>116824</v>
      </c>
      <c r="C121" s="7">
        <v>118041</v>
      </c>
      <c r="D121" s="8"/>
      <c r="E121" s="7" t="s">
        <v>53</v>
      </c>
      <c r="F121" s="7" t="s">
        <v>2374</v>
      </c>
      <c r="G121" s="8"/>
      <c r="H121" s="8"/>
      <c r="I121" s="7" t="s">
        <v>55</v>
      </c>
      <c r="J121" s="8"/>
      <c r="K121" s="8"/>
      <c r="L121" s="7" t="s">
        <v>2375</v>
      </c>
      <c r="M121" s="7" t="s">
        <v>2374</v>
      </c>
      <c r="N121" s="7">
        <v>405</v>
      </c>
      <c r="O121" s="7" t="s">
        <v>2376</v>
      </c>
    </row>
    <row r="122" spans="1:17">
      <c r="A122" s="6" t="s">
        <v>31</v>
      </c>
      <c r="B122" s="7">
        <v>118363</v>
      </c>
      <c r="C122" s="7">
        <v>118629</v>
      </c>
      <c r="D122" s="8"/>
      <c r="E122" s="7" t="s">
        <v>53</v>
      </c>
      <c r="F122" s="7" t="s">
        <v>2377</v>
      </c>
      <c r="G122" s="8"/>
      <c r="H122" s="8"/>
      <c r="I122" s="7" t="s">
        <v>55</v>
      </c>
      <c r="J122" s="8"/>
      <c r="K122" s="8"/>
      <c r="L122" s="7" t="s">
        <v>2378</v>
      </c>
      <c r="M122" s="7" t="s">
        <v>2377</v>
      </c>
      <c r="N122" s="7">
        <v>88</v>
      </c>
      <c r="O122" s="7" t="s">
        <v>2379</v>
      </c>
    </row>
    <row r="123" spans="1:17">
      <c r="A123" s="6" t="s">
        <v>31</v>
      </c>
      <c r="B123" s="7">
        <v>118647</v>
      </c>
      <c r="C123" s="7">
        <v>119984</v>
      </c>
      <c r="D123" s="8"/>
      <c r="E123" s="7" t="s">
        <v>53</v>
      </c>
      <c r="F123" s="7" t="s">
        <v>2380</v>
      </c>
      <c r="G123" s="8"/>
      <c r="H123" s="8"/>
      <c r="I123" s="7" t="s">
        <v>55</v>
      </c>
      <c r="J123" s="8"/>
      <c r="K123" s="8"/>
      <c r="L123" s="7" t="s">
        <v>2381</v>
      </c>
      <c r="M123" s="7" t="s">
        <v>2380</v>
      </c>
      <c r="N123" s="7">
        <v>445</v>
      </c>
      <c r="O123" s="7" t="s">
        <v>2382</v>
      </c>
      <c r="P123" s="7"/>
      <c r="Q123" s="7"/>
    </row>
    <row r="124" spans="1:17">
      <c r="A124" s="6" t="s">
        <v>31</v>
      </c>
      <c r="B124" s="7">
        <v>120101</v>
      </c>
      <c r="C124" s="7">
        <v>120523</v>
      </c>
      <c r="D124" s="8"/>
      <c r="E124" s="7" t="s">
        <v>53</v>
      </c>
      <c r="F124" s="7" t="s">
        <v>2095</v>
      </c>
      <c r="G124" s="8"/>
      <c r="H124" s="8"/>
      <c r="I124" s="7" t="s">
        <v>55</v>
      </c>
      <c r="J124" s="8"/>
      <c r="K124" s="8"/>
      <c r="L124" s="7" t="s">
        <v>2383</v>
      </c>
      <c r="M124" s="7" t="s">
        <v>2095</v>
      </c>
      <c r="N124" s="7">
        <v>140</v>
      </c>
      <c r="O124" s="7" t="s">
        <v>2384</v>
      </c>
    </row>
    <row r="125" spans="1:17">
      <c r="A125" s="6" t="s">
        <v>31</v>
      </c>
      <c r="B125" s="7">
        <v>120646</v>
      </c>
      <c r="C125" s="7">
        <v>120825</v>
      </c>
      <c r="D125" s="8"/>
      <c r="E125" s="7" t="s">
        <v>53</v>
      </c>
      <c r="F125" s="7" t="s">
        <v>2095</v>
      </c>
      <c r="G125" s="8"/>
      <c r="H125" s="8"/>
      <c r="I125" s="7" t="s">
        <v>55</v>
      </c>
      <c r="J125" s="8"/>
      <c r="K125" s="8"/>
      <c r="L125" s="7" t="s">
        <v>2385</v>
      </c>
      <c r="M125" s="7" t="s">
        <v>2095</v>
      </c>
      <c r="N125" s="7">
        <v>59</v>
      </c>
      <c r="O125" s="7" t="s">
        <v>2386</v>
      </c>
    </row>
    <row r="126" spans="1:17">
      <c r="A126" s="6" t="s">
        <v>31</v>
      </c>
      <c r="B126" s="7">
        <v>120812</v>
      </c>
      <c r="C126" s="7">
        <v>121609</v>
      </c>
      <c r="D126" s="8"/>
      <c r="E126" s="7" t="s">
        <v>53</v>
      </c>
      <c r="F126" s="7" t="s">
        <v>2289</v>
      </c>
      <c r="G126" s="8"/>
      <c r="H126" s="8"/>
      <c r="I126" s="7" t="s">
        <v>55</v>
      </c>
      <c r="J126" s="8"/>
      <c r="K126" s="8"/>
      <c r="L126" s="7" t="s">
        <v>2387</v>
      </c>
      <c r="M126" s="7" t="s">
        <v>2289</v>
      </c>
      <c r="N126" s="7">
        <v>265</v>
      </c>
      <c r="O126" s="7" t="s">
        <v>2388</v>
      </c>
      <c r="P126" s="7"/>
      <c r="Q126" s="7"/>
    </row>
    <row r="127" spans="1:17">
      <c r="A127" s="6" t="s">
        <v>31</v>
      </c>
      <c r="B127" s="7">
        <v>121606</v>
      </c>
      <c r="C127" s="7">
        <v>122190</v>
      </c>
      <c r="D127" s="8"/>
      <c r="E127" s="7" t="s">
        <v>53</v>
      </c>
      <c r="F127" s="7" t="s">
        <v>2389</v>
      </c>
      <c r="G127" s="8"/>
      <c r="H127" s="8"/>
      <c r="I127" s="7" t="s">
        <v>55</v>
      </c>
      <c r="J127" s="8"/>
      <c r="K127" s="8"/>
      <c r="L127" s="7" t="s">
        <v>2390</v>
      </c>
      <c r="M127" s="7" t="s">
        <v>2389</v>
      </c>
      <c r="N127" s="7">
        <v>194</v>
      </c>
      <c r="O127" s="7" t="s">
        <v>2391</v>
      </c>
    </row>
    <row r="128" spans="1:17">
      <c r="A128" s="6" t="s">
        <v>31</v>
      </c>
      <c r="B128" s="7">
        <v>122380</v>
      </c>
      <c r="C128" s="7">
        <v>123462</v>
      </c>
      <c r="D128" s="8"/>
      <c r="E128" s="7" t="s">
        <v>53</v>
      </c>
      <c r="F128" s="7" t="s">
        <v>2392</v>
      </c>
      <c r="G128" s="7" t="s">
        <v>172</v>
      </c>
      <c r="H128" s="8"/>
      <c r="I128" s="7" t="s">
        <v>55</v>
      </c>
      <c r="J128" s="8"/>
      <c r="K128" s="8"/>
      <c r="L128" s="7" t="s">
        <v>2393</v>
      </c>
      <c r="M128" s="7" t="s">
        <v>2392</v>
      </c>
      <c r="N128" s="7">
        <v>360</v>
      </c>
      <c r="O128" s="7" t="s">
        <v>2394</v>
      </c>
    </row>
    <row r="129" spans="1:17">
      <c r="A129" s="6" t="s">
        <v>31</v>
      </c>
      <c r="B129" s="7">
        <v>123455</v>
      </c>
      <c r="C129" s="7">
        <v>124027</v>
      </c>
      <c r="D129" s="8"/>
      <c r="E129" s="7" t="s">
        <v>53</v>
      </c>
      <c r="F129" s="7" t="s">
        <v>2395</v>
      </c>
      <c r="G129" s="7" t="s">
        <v>174</v>
      </c>
      <c r="H129" s="8"/>
      <c r="I129" s="7" t="s">
        <v>55</v>
      </c>
      <c r="J129" s="8"/>
      <c r="K129" s="8"/>
      <c r="L129" s="7" t="s">
        <v>2396</v>
      </c>
      <c r="M129" s="7" t="s">
        <v>2395</v>
      </c>
      <c r="N129" s="7">
        <v>190</v>
      </c>
      <c r="O129" s="7" t="s">
        <v>2397</v>
      </c>
    </row>
    <row r="130" spans="1:17">
      <c r="A130" s="6" t="s">
        <v>31</v>
      </c>
      <c r="B130" s="7">
        <v>124156</v>
      </c>
      <c r="C130" s="7">
        <v>125979</v>
      </c>
      <c r="D130" s="8"/>
      <c r="E130" s="7" t="s">
        <v>53</v>
      </c>
      <c r="F130" s="7" t="s">
        <v>2398</v>
      </c>
      <c r="G130" s="7" t="s">
        <v>176</v>
      </c>
      <c r="H130" s="8"/>
      <c r="I130" s="7" t="s">
        <v>55</v>
      </c>
      <c r="J130" s="8"/>
      <c r="K130" s="8"/>
      <c r="L130" s="7" t="s">
        <v>2399</v>
      </c>
      <c r="M130" s="7" t="s">
        <v>2398</v>
      </c>
      <c r="N130" s="7">
        <v>607</v>
      </c>
      <c r="O130" s="7" t="s">
        <v>2400</v>
      </c>
    </row>
    <row r="131" spans="1:17">
      <c r="A131" s="6" t="s">
        <v>31</v>
      </c>
      <c r="B131" s="7">
        <v>126406</v>
      </c>
      <c r="C131" s="7">
        <v>127539</v>
      </c>
      <c r="D131" s="8"/>
      <c r="E131" s="7" t="s">
        <v>53</v>
      </c>
      <c r="F131" s="7" t="s">
        <v>2401</v>
      </c>
      <c r="G131" s="7" t="s">
        <v>178</v>
      </c>
      <c r="H131" s="8"/>
      <c r="I131" s="7" t="s">
        <v>55</v>
      </c>
      <c r="J131" s="8"/>
      <c r="K131" s="8"/>
      <c r="L131" s="7" t="s">
        <v>2402</v>
      </c>
      <c r="M131" s="7" t="s">
        <v>2401</v>
      </c>
      <c r="N131" s="7">
        <v>377</v>
      </c>
      <c r="O131" s="7" t="s">
        <v>2403</v>
      </c>
    </row>
    <row r="132" spans="1:17">
      <c r="A132" s="6" t="s">
        <v>31</v>
      </c>
      <c r="B132" s="7">
        <v>127645</v>
      </c>
      <c r="C132" s="7">
        <v>128391</v>
      </c>
      <c r="D132" s="8"/>
      <c r="E132" s="7" t="s">
        <v>53</v>
      </c>
      <c r="F132" s="7" t="s">
        <v>2404</v>
      </c>
      <c r="G132" s="7" t="s">
        <v>180</v>
      </c>
      <c r="H132" s="8"/>
      <c r="I132" s="7" t="s">
        <v>55</v>
      </c>
      <c r="J132" s="8"/>
      <c r="K132" s="8"/>
      <c r="L132" s="7" t="s">
        <v>2405</v>
      </c>
      <c r="M132" s="7" t="s">
        <v>2404</v>
      </c>
      <c r="N132" s="7">
        <v>248</v>
      </c>
      <c r="O132" s="7" t="s">
        <v>2406</v>
      </c>
      <c r="P132" s="7"/>
      <c r="Q132" s="7"/>
    </row>
    <row r="133" spans="1:17">
      <c r="A133" s="6" t="s">
        <v>31</v>
      </c>
      <c r="B133" s="7">
        <v>128384</v>
      </c>
      <c r="C133" s="7">
        <v>129145</v>
      </c>
      <c r="D133" s="8"/>
      <c r="E133" s="7" t="s">
        <v>53</v>
      </c>
      <c r="F133" s="7" t="s">
        <v>2407</v>
      </c>
      <c r="G133" s="8"/>
      <c r="H133" s="8"/>
      <c r="I133" s="7" t="s">
        <v>55</v>
      </c>
      <c r="J133" s="8"/>
      <c r="K133" s="8"/>
      <c r="L133" s="7" t="s">
        <v>2408</v>
      </c>
      <c r="M133" s="7" t="s">
        <v>2407</v>
      </c>
      <c r="N133" s="7">
        <v>253</v>
      </c>
      <c r="O133" s="7" t="s">
        <v>2409</v>
      </c>
      <c r="P133" s="7"/>
      <c r="Q133" s="7"/>
    </row>
    <row r="134" spans="1:17">
      <c r="A134" s="6" t="s">
        <v>31</v>
      </c>
      <c r="B134" s="7">
        <v>129242</v>
      </c>
      <c r="C134" s="7">
        <v>129604</v>
      </c>
      <c r="D134" s="8"/>
      <c r="E134" s="7" t="s">
        <v>53</v>
      </c>
      <c r="F134" s="7" t="s">
        <v>2212</v>
      </c>
      <c r="G134" s="8"/>
      <c r="H134" s="8"/>
      <c r="I134" s="7" t="s">
        <v>55</v>
      </c>
      <c r="J134" s="8"/>
      <c r="K134" s="8"/>
      <c r="L134" s="7" t="s">
        <v>2410</v>
      </c>
      <c r="M134" s="7" t="s">
        <v>2212</v>
      </c>
      <c r="N134" s="7">
        <v>120</v>
      </c>
      <c r="O134" s="7" t="s">
        <v>2411</v>
      </c>
    </row>
    <row r="135" spans="1:17">
      <c r="A135" s="6" t="s">
        <v>31</v>
      </c>
      <c r="B135" s="7">
        <v>141548</v>
      </c>
      <c r="C135" s="7">
        <v>143515</v>
      </c>
      <c r="D135" s="8"/>
      <c r="E135" s="7" t="s">
        <v>53</v>
      </c>
      <c r="F135" s="7" t="s">
        <v>2412</v>
      </c>
      <c r="G135" s="7" t="s">
        <v>2413</v>
      </c>
      <c r="H135" s="8"/>
      <c r="I135" s="7" t="s">
        <v>55</v>
      </c>
      <c r="J135" s="8"/>
      <c r="K135" s="8"/>
      <c r="L135" s="7" t="s">
        <v>2414</v>
      </c>
      <c r="M135" s="7" t="s">
        <v>2412</v>
      </c>
      <c r="N135" s="7">
        <v>655</v>
      </c>
      <c r="O135" s="7" t="s">
        <v>2415</v>
      </c>
    </row>
    <row r="136" spans="1:17">
      <c r="A136" s="6" t="s">
        <v>31</v>
      </c>
      <c r="B136" s="7">
        <v>143553</v>
      </c>
      <c r="C136" s="7">
        <v>144464</v>
      </c>
      <c r="D136" s="8"/>
      <c r="E136" s="7" t="s">
        <v>75</v>
      </c>
      <c r="F136" s="7" t="s">
        <v>1280</v>
      </c>
      <c r="G136" s="8"/>
      <c r="H136" s="8"/>
      <c r="I136" s="7" t="s">
        <v>55</v>
      </c>
      <c r="J136" s="8"/>
      <c r="K136" s="8"/>
      <c r="L136" s="7" t="s">
        <v>2416</v>
      </c>
      <c r="M136" s="7" t="s">
        <v>1280</v>
      </c>
      <c r="N136" s="7">
        <v>303</v>
      </c>
      <c r="O136" s="7" t="s">
        <v>2417</v>
      </c>
    </row>
    <row r="137" spans="1:17">
      <c r="A137" s="6" t="s">
        <v>31</v>
      </c>
      <c r="B137" s="7">
        <v>144667</v>
      </c>
      <c r="C137" s="7">
        <v>144888</v>
      </c>
      <c r="D137" s="8"/>
      <c r="E137" s="7" t="s">
        <v>53</v>
      </c>
      <c r="F137" s="7" t="s">
        <v>2130</v>
      </c>
      <c r="G137" s="8"/>
      <c r="H137" s="8"/>
      <c r="I137" s="7" t="s">
        <v>55</v>
      </c>
      <c r="J137" s="8"/>
      <c r="K137" s="8"/>
      <c r="L137" s="7" t="s">
        <v>2418</v>
      </c>
      <c r="M137" s="7" t="s">
        <v>2130</v>
      </c>
      <c r="N137" s="7">
        <v>73</v>
      </c>
      <c r="O137" s="7" t="s">
        <v>2419</v>
      </c>
    </row>
    <row r="138" spans="1:17">
      <c r="A138" s="6" t="s">
        <v>31</v>
      </c>
      <c r="B138" s="7">
        <v>145002</v>
      </c>
      <c r="C138" s="7">
        <v>145118</v>
      </c>
      <c r="D138" s="8"/>
      <c r="E138" s="7" t="s">
        <v>53</v>
      </c>
      <c r="F138" s="7" t="s">
        <v>2095</v>
      </c>
      <c r="G138" s="8"/>
      <c r="H138" s="8"/>
      <c r="I138" s="7" t="s">
        <v>55</v>
      </c>
      <c r="J138" s="8"/>
      <c r="K138" s="8"/>
      <c r="L138" s="7" t="s">
        <v>2420</v>
      </c>
      <c r="M138" s="7" t="s">
        <v>2095</v>
      </c>
      <c r="N138" s="7">
        <v>38</v>
      </c>
      <c r="O138" s="7" t="s">
        <v>2421</v>
      </c>
    </row>
    <row r="139" spans="1:17">
      <c r="A139" s="6" t="s">
        <v>31</v>
      </c>
      <c r="B139" s="7">
        <v>145484</v>
      </c>
      <c r="C139" s="7">
        <v>145810</v>
      </c>
      <c r="D139" s="8"/>
      <c r="E139" s="7" t="s">
        <v>53</v>
      </c>
      <c r="F139" s="7" t="s">
        <v>2422</v>
      </c>
      <c r="G139" s="7" t="s">
        <v>2423</v>
      </c>
      <c r="H139" s="8"/>
      <c r="I139" s="7" t="s">
        <v>55</v>
      </c>
      <c r="J139" s="8"/>
      <c r="K139" s="8"/>
      <c r="L139" s="7" t="s">
        <v>2424</v>
      </c>
      <c r="M139" s="7" t="s">
        <v>2422</v>
      </c>
      <c r="N139" s="7">
        <v>108</v>
      </c>
      <c r="O139" s="7" t="s">
        <v>2425</v>
      </c>
      <c r="P139" s="7"/>
      <c r="Q139" s="7"/>
    </row>
    <row r="140" spans="1:17">
      <c r="A140" s="6" t="s">
        <v>31</v>
      </c>
      <c r="B140" s="7">
        <v>145913</v>
      </c>
      <c r="C140" s="7">
        <v>147103</v>
      </c>
      <c r="D140" s="8"/>
      <c r="E140" s="7" t="s">
        <v>53</v>
      </c>
      <c r="F140" s="7" t="s">
        <v>2426</v>
      </c>
      <c r="G140" s="8"/>
      <c r="H140" s="8"/>
      <c r="I140" s="7" t="s">
        <v>55</v>
      </c>
      <c r="J140" s="8"/>
      <c r="K140" s="8"/>
      <c r="L140" s="7" t="s">
        <v>2427</v>
      </c>
      <c r="M140" s="7" t="s">
        <v>2426</v>
      </c>
      <c r="N140" s="7">
        <v>396</v>
      </c>
      <c r="O140" s="7" t="s">
        <v>2428</v>
      </c>
      <c r="P140" s="7"/>
      <c r="Q140" s="7"/>
    </row>
    <row r="141" spans="1:17">
      <c r="A141" s="6" t="s">
        <v>31</v>
      </c>
      <c r="B141" s="7">
        <v>147153</v>
      </c>
      <c r="C141" s="7">
        <v>147278</v>
      </c>
      <c r="D141" s="8"/>
      <c r="E141" s="7" t="s">
        <v>53</v>
      </c>
      <c r="F141" s="7" t="s">
        <v>2095</v>
      </c>
      <c r="G141" s="8"/>
      <c r="H141" s="8"/>
      <c r="I141" s="7" t="s">
        <v>55</v>
      </c>
      <c r="J141" s="8"/>
      <c r="K141" s="8"/>
      <c r="L141" s="7" t="s">
        <v>2429</v>
      </c>
      <c r="M141" s="7" t="s">
        <v>2095</v>
      </c>
      <c r="N141" s="7">
        <v>41</v>
      </c>
      <c r="O141" s="7" t="s">
        <v>2430</v>
      </c>
    </row>
    <row r="142" spans="1:17">
      <c r="A142" s="6" t="s">
        <v>31</v>
      </c>
      <c r="B142" s="7">
        <v>147334</v>
      </c>
      <c r="C142" s="7">
        <v>147828</v>
      </c>
      <c r="D142" s="8"/>
      <c r="E142" s="7" t="s">
        <v>75</v>
      </c>
      <c r="F142" s="7" t="s">
        <v>1280</v>
      </c>
      <c r="G142" s="8"/>
      <c r="H142" s="8"/>
      <c r="I142" s="7" t="s">
        <v>55</v>
      </c>
      <c r="J142" s="8"/>
      <c r="K142" s="8"/>
      <c r="L142" s="7" t="s">
        <v>2431</v>
      </c>
      <c r="M142" s="7" t="s">
        <v>1280</v>
      </c>
      <c r="N142" s="7">
        <v>164</v>
      </c>
      <c r="O142" s="7" t="s">
        <v>2432</v>
      </c>
    </row>
    <row r="143" spans="1:17">
      <c r="A143" s="6" t="s">
        <v>31</v>
      </c>
      <c r="B143" s="7">
        <v>148582</v>
      </c>
      <c r="C143" s="7">
        <v>149079</v>
      </c>
      <c r="D143" s="8"/>
      <c r="E143" s="7" t="s">
        <v>53</v>
      </c>
      <c r="F143" s="7" t="s">
        <v>2433</v>
      </c>
      <c r="G143" s="8"/>
      <c r="H143" s="8"/>
      <c r="I143" s="7" t="s">
        <v>55</v>
      </c>
      <c r="J143" s="8"/>
      <c r="K143" s="8"/>
      <c r="L143" s="7" t="s">
        <v>2434</v>
      </c>
      <c r="M143" s="7" t="s">
        <v>2433</v>
      </c>
      <c r="N143" s="7">
        <v>165</v>
      </c>
      <c r="O143" s="7" t="s">
        <v>2435</v>
      </c>
    </row>
    <row r="144" spans="1:17">
      <c r="A144" s="6" t="s">
        <v>31</v>
      </c>
      <c r="B144" s="7">
        <v>149179</v>
      </c>
      <c r="C144" s="7">
        <v>150021</v>
      </c>
      <c r="D144" s="8"/>
      <c r="E144" s="7" t="s">
        <v>75</v>
      </c>
      <c r="F144" s="7" t="s">
        <v>2436</v>
      </c>
      <c r="G144" s="7" t="s">
        <v>2437</v>
      </c>
      <c r="H144" s="8"/>
      <c r="I144" s="7" t="s">
        <v>55</v>
      </c>
      <c r="J144" s="8"/>
      <c r="K144" s="8"/>
      <c r="L144" s="7" t="s">
        <v>2438</v>
      </c>
      <c r="M144" s="7" t="s">
        <v>2436</v>
      </c>
      <c r="N144" s="7">
        <v>280</v>
      </c>
      <c r="O144" s="7" t="s">
        <v>2439</v>
      </c>
    </row>
    <row r="145" spans="1:18">
      <c r="A145" s="6" t="s">
        <v>31</v>
      </c>
      <c r="B145" s="7">
        <v>150162</v>
      </c>
      <c r="C145" s="7">
        <v>151445</v>
      </c>
      <c r="D145" s="8"/>
      <c r="E145" s="7" t="s">
        <v>53</v>
      </c>
      <c r="F145" s="7" t="s">
        <v>2440</v>
      </c>
      <c r="G145" s="7" t="s">
        <v>190</v>
      </c>
      <c r="H145" s="8"/>
      <c r="I145" s="7" t="s">
        <v>55</v>
      </c>
      <c r="J145" s="8"/>
      <c r="K145" s="8"/>
      <c r="L145" s="7" t="s">
        <v>2441</v>
      </c>
      <c r="M145" s="7" t="s">
        <v>2440</v>
      </c>
      <c r="N145" s="7">
        <v>427</v>
      </c>
      <c r="O145" s="7" t="s">
        <v>2442</v>
      </c>
      <c r="P145" s="7"/>
      <c r="Q145" s="7"/>
    </row>
    <row r="146" spans="1:18">
      <c r="A146" s="6" t="s">
        <v>31</v>
      </c>
      <c r="B146" s="7">
        <v>151603</v>
      </c>
      <c r="C146" s="7">
        <v>152184</v>
      </c>
      <c r="D146" s="8"/>
      <c r="E146" s="7" t="s">
        <v>53</v>
      </c>
      <c r="F146" s="7" t="s">
        <v>2443</v>
      </c>
      <c r="G146" s="7" t="s">
        <v>192</v>
      </c>
      <c r="H146" s="8"/>
      <c r="I146" s="7" t="s">
        <v>55</v>
      </c>
      <c r="J146" s="8"/>
      <c r="K146" s="8"/>
      <c r="L146" s="7" t="s">
        <v>2444</v>
      </c>
      <c r="M146" s="7" t="s">
        <v>2443</v>
      </c>
      <c r="N146" s="7">
        <v>193</v>
      </c>
      <c r="O146" s="7" t="s">
        <v>2445</v>
      </c>
    </row>
    <row r="147" spans="1:18">
      <c r="A147" s="6" t="s">
        <v>31</v>
      </c>
      <c r="B147" s="7">
        <v>152435</v>
      </c>
      <c r="C147" s="7">
        <v>154039</v>
      </c>
      <c r="D147" s="8"/>
      <c r="E147" s="7" t="s">
        <v>53</v>
      </c>
      <c r="F147" s="7" t="s">
        <v>2446</v>
      </c>
      <c r="G147" s="7" t="s">
        <v>2447</v>
      </c>
      <c r="H147" s="8"/>
      <c r="I147" s="7" t="s">
        <v>55</v>
      </c>
      <c r="J147" s="8"/>
      <c r="K147" s="8"/>
      <c r="L147" s="7" t="s">
        <v>2448</v>
      </c>
      <c r="M147" s="7" t="s">
        <v>2446</v>
      </c>
      <c r="N147" s="7">
        <v>534</v>
      </c>
      <c r="O147" s="7" t="s">
        <v>2449</v>
      </c>
      <c r="P147" s="7"/>
      <c r="Q147" s="7"/>
    </row>
    <row r="148" spans="1:18">
      <c r="A148" s="6" t="s">
        <v>31</v>
      </c>
      <c r="B148" s="7">
        <v>154134</v>
      </c>
      <c r="C148" s="7">
        <v>154604</v>
      </c>
      <c r="D148" s="8"/>
      <c r="E148" s="7" t="s">
        <v>53</v>
      </c>
      <c r="F148" s="7" t="s">
        <v>2130</v>
      </c>
      <c r="G148" s="8"/>
      <c r="H148" s="8"/>
      <c r="I148" s="7" t="s">
        <v>55</v>
      </c>
      <c r="J148" s="8"/>
      <c r="K148" s="8"/>
      <c r="L148" s="7" t="s">
        <v>2450</v>
      </c>
      <c r="M148" s="7" t="s">
        <v>2130</v>
      </c>
      <c r="N148" s="7">
        <v>156</v>
      </c>
      <c r="O148" s="7" t="s">
        <v>2451</v>
      </c>
    </row>
    <row r="149" spans="1:18">
      <c r="A149" s="6" t="s">
        <v>31</v>
      </c>
      <c r="B149" s="7">
        <v>154620</v>
      </c>
      <c r="C149" s="7">
        <v>155066</v>
      </c>
      <c r="D149" s="8"/>
      <c r="E149" s="7" t="s">
        <v>53</v>
      </c>
      <c r="F149" s="7" t="s">
        <v>2452</v>
      </c>
      <c r="G149" s="8"/>
      <c r="H149" s="8"/>
      <c r="I149" s="7" t="s">
        <v>55</v>
      </c>
      <c r="J149" s="8"/>
      <c r="K149" s="8"/>
      <c r="L149" s="7" t="s">
        <v>2453</v>
      </c>
      <c r="M149" s="7" t="s">
        <v>2452</v>
      </c>
      <c r="N149" s="7">
        <v>148</v>
      </c>
      <c r="O149" s="7" t="s">
        <v>2454</v>
      </c>
    </row>
    <row r="150" spans="1:18">
      <c r="A150" s="6" t="s">
        <v>31</v>
      </c>
      <c r="B150" s="7">
        <v>155066</v>
      </c>
      <c r="C150" s="7">
        <v>156019</v>
      </c>
      <c r="D150" s="8"/>
      <c r="E150" s="7" t="s">
        <v>53</v>
      </c>
      <c r="F150" s="7" t="s">
        <v>2455</v>
      </c>
      <c r="G150" s="7" t="s">
        <v>197</v>
      </c>
      <c r="H150" s="8"/>
      <c r="I150" s="7" t="s">
        <v>55</v>
      </c>
      <c r="J150" s="8"/>
      <c r="K150" s="8"/>
      <c r="L150" s="7" t="s">
        <v>2456</v>
      </c>
      <c r="M150" s="7" t="s">
        <v>2455</v>
      </c>
      <c r="N150" s="7">
        <v>317</v>
      </c>
      <c r="O150" s="7" t="s">
        <v>2457</v>
      </c>
      <c r="P150" s="7"/>
      <c r="Q150" s="7"/>
    </row>
    <row r="151" spans="1:18">
      <c r="A151" s="6" t="s">
        <v>31</v>
      </c>
      <c r="B151" s="7">
        <v>156020</v>
      </c>
      <c r="C151" s="7">
        <v>156763</v>
      </c>
      <c r="D151" s="8"/>
      <c r="E151" s="7" t="s">
        <v>53</v>
      </c>
      <c r="F151" s="7" t="s">
        <v>2458</v>
      </c>
      <c r="G151" s="7" t="s">
        <v>2459</v>
      </c>
      <c r="H151" s="8"/>
      <c r="I151" s="7" t="s">
        <v>55</v>
      </c>
      <c r="J151" s="8"/>
      <c r="K151" s="8"/>
      <c r="L151" s="7" t="s">
        <v>2460</v>
      </c>
      <c r="M151" s="7" t="s">
        <v>2458</v>
      </c>
      <c r="N151" s="7">
        <v>247</v>
      </c>
      <c r="O151" s="7" t="s">
        <v>2461</v>
      </c>
      <c r="P151" s="7"/>
      <c r="Q151" s="7"/>
    </row>
    <row r="152" spans="1:18">
      <c r="A152" s="6" t="s">
        <v>31</v>
      </c>
      <c r="B152" s="7">
        <v>157016</v>
      </c>
      <c r="C152" s="7">
        <v>157438</v>
      </c>
      <c r="D152" s="8"/>
      <c r="E152" s="7" t="s">
        <v>53</v>
      </c>
      <c r="F152" s="7" t="s">
        <v>2462</v>
      </c>
      <c r="G152" s="8"/>
      <c r="H152" s="8"/>
      <c r="I152" s="7" t="s">
        <v>55</v>
      </c>
      <c r="J152" s="8"/>
      <c r="K152" s="8"/>
      <c r="L152" s="7" t="s">
        <v>2463</v>
      </c>
      <c r="M152" s="7" t="s">
        <v>2462</v>
      </c>
      <c r="N152" s="7">
        <v>140</v>
      </c>
      <c r="O152" s="7" t="s">
        <v>2464</v>
      </c>
    </row>
    <row r="153" spans="1:18">
      <c r="A153" s="6" t="s">
        <v>31</v>
      </c>
      <c r="B153" s="7">
        <v>159097</v>
      </c>
      <c r="C153" s="7">
        <v>159528</v>
      </c>
      <c r="D153" s="8"/>
      <c r="E153" s="7" t="s">
        <v>53</v>
      </c>
      <c r="F153" s="7" t="s">
        <v>2095</v>
      </c>
      <c r="G153" s="8"/>
      <c r="H153" s="8"/>
      <c r="I153" s="7" t="s">
        <v>55</v>
      </c>
      <c r="J153" s="8"/>
      <c r="K153" s="8"/>
      <c r="L153" s="7" t="s">
        <v>2465</v>
      </c>
      <c r="M153" s="7" t="s">
        <v>2095</v>
      </c>
      <c r="N153" s="7">
        <v>143</v>
      </c>
      <c r="O153" s="7" t="s">
        <v>2466</v>
      </c>
    </row>
    <row r="154" spans="1:18">
      <c r="A154" s="6" t="s">
        <v>31</v>
      </c>
      <c r="B154" s="7">
        <v>159515</v>
      </c>
      <c r="C154" s="7">
        <v>159973</v>
      </c>
      <c r="D154" s="8"/>
      <c r="E154" s="7" t="s">
        <v>75</v>
      </c>
      <c r="F154" s="7" t="s">
        <v>2467</v>
      </c>
      <c r="G154" s="8"/>
      <c r="H154" s="8"/>
      <c r="I154" s="7" t="s">
        <v>55</v>
      </c>
      <c r="J154" s="8"/>
      <c r="K154" s="8"/>
      <c r="L154" s="7" t="s">
        <v>2468</v>
      </c>
      <c r="M154" s="7" t="s">
        <v>2467</v>
      </c>
      <c r="N154" s="7">
        <v>152</v>
      </c>
      <c r="O154" s="7" t="s">
        <v>2469</v>
      </c>
    </row>
    <row r="155" spans="1:18">
      <c r="A155" s="6" t="s">
        <v>31</v>
      </c>
      <c r="B155" s="7">
        <v>160142</v>
      </c>
      <c r="C155" s="7">
        <v>162361</v>
      </c>
      <c r="D155" s="8"/>
      <c r="E155" s="7" t="s">
        <v>53</v>
      </c>
      <c r="F155" s="7" t="s">
        <v>2470</v>
      </c>
      <c r="G155" s="7" t="s">
        <v>2471</v>
      </c>
      <c r="H155" s="8"/>
      <c r="I155" s="7" t="s">
        <v>55</v>
      </c>
      <c r="J155" s="8"/>
      <c r="K155" s="8"/>
      <c r="L155" s="7" t="s">
        <v>2472</v>
      </c>
      <c r="M155" s="7" t="s">
        <v>2470</v>
      </c>
      <c r="N155" s="7">
        <v>739</v>
      </c>
      <c r="O155" s="7" t="s">
        <v>2473</v>
      </c>
      <c r="P155" s="7"/>
      <c r="Q155" s="7"/>
      <c r="R155" s="7"/>
    </row>
    <row r="156" spans="1:18">
      <c r="A156" s="6" t="s">
        <v>31</v>
      </c>
      <c r="B156" s="7">
        <v>162374</v>
      </c>
      <c r="C156" s="7">
        <v>162817</v>
      </c>
      <c r="D156" s="8"/>
      <c r="E156" s="7" t="s">
        <v>53</v>
      </c>
      <c r="F156" s="7" t="s">
        <v>2474</v>
      </c>
      <c r="G156" s="7" t="s">
        <v>202</v>
      </c>
      <c r="H156" s="8"/>
      <c r="I156" s="7" t="s">
        <v>55</v>
      </c>
      <c r="J156" s="8"/>
      <c r="K156" s="8"/>
      <c r="L156" s="7" t="s">
        <v>2475</v>
      </c>
      <c r="M156" s="7" t="s">
        <v>2474</v>
      </c>
      <c r="N156" s="7">
        <v>147</v>
      </c>
      <c r="O156" s="7" t="s">
        <v>2476</v>
      </c>
      <c r="P156" s="7"/>
      <c r="Q156" s="7"/>
    </row>
    <row r="157" spans="1:18">
      <c r="A157" s="6" t="s">
        <v>31</v>
      </c>
      <c r="B157" s="7">
        <v>163116</v>
      </c>
      <c r="C157" s="7">
        <v>163277</v>
      </c>
      <c r="D157" s="8"/>
      <c r="E157" s="7" t="s">
        <v>53</v>
      </c>
      <c r="F157" s="7" t="s">
        <v>2078</v>
      </c>
      <c r="G157" s="8"/>
      <c r="H157" s="8"/>
      <c r="I157" s="7" t="s">
        <v>55</v>
      </c>
      <c r="J157" s="8"/>
      <c r="K157" s="8"/>
      <c r="L157" s="7" t="s">
        <v>2477</v>
      </c>
      <c r="M157" s="7" t="s">
        <v>2078</v>
      </c>
      <c r="N157" s="7">
        <v>53</v>
      </c>
      <c r="O157" s="7" t="s">
        <v>2478</v>
      </c>
    </row>
    <row r="158" spans="1:18">
      <c r="A158" s="6" t="s">
        <v>31</v>
      </c>
      <c r="B158" s="7">
        <v>163258</v>
      </c>
      <c r="C158" s="7">
        <v>163542</v>
      </c>
      <c r="D158" s="8"/>
      <c r="E158" s="7" t="s">
        <v>53</v>
      </c>
      <c r="F158" s="7" t="s">
        <v>2479</v>
      </c>
      <c r="G158" s="8"/>
      <c r="H158" s="8"/>
      <c r="I158" s="7" t="s">
        <v>55</v>
      </c>
      <c r="J158" s="8"/>
      <c r="K158" s="8"/>
      <c r="L158" s="7" t="s">
        <v>2480</v>
      </c>
      <c r="M158" s="7" t="s">
        <v>2479</v>
      </c>
      <c r="N158" s="7">
        <v>94</v>
      </c>
      <c r="O158" s="7" t="s">
        <v>2481</v>
      </c>
      <c r="P158" s="7"/>
      <c r="Q158" s="7"/>
    </row>
    <row r="159" spans="1:18">
      <c r="A159" s="6" t="s">
        <v>31</v>
      </c>
      <c r="B159" s="7">
        <v>163490</v>
      </c>
      <c r="C159" s="7">
        <v>163987</v>
      </c>
      <c r="D159" s="8"/>
      <c r="E159" s="7" t="s">
        <v>53</v>
      </c>
      <c r="F159" s="7" t="s">
        <v>2130</v>
      </c>
      <c r="G159" s="8"/>
      <c r="H159" s="8"/>
      <c r="I159" s="7" t="s">
        <v>55</v>
      </c>
      <c r="J159" s="8"/>
      <c r="K159" s="8"/>
      <c r="L159" s="7" t="s">
        <v>2482</v>
      </c>
      <c r="M159" s="7" t="s">
        <v>2130</v>
      </c>
      <c r="N159" s="7">
        <v>165</v>
      </c>
      <c r="O159" s="7" t="s">
        <v>2483</v>
      </c>
    </row>
    <row r="160" spans="1:18">
      <c r="A160" s="6" t="s">
        <v>31</v>
      </c>
      <c r="B160" s="7">
        <v>164183</v>
      </c>
      <c r="C160" s="7">
        <v>164794</v>
      </c>
      <c r="D160" s="8"/>
      <c r="E160" s="7" t="s">
        <v>53</v>
      </c>
      <c r="F160" s="7" t="s">
        <v>2095</v>
      </c>
      <c r="G160" s="8"/>
      <c r="H160" s="8"/>
      <c r="I160" s="7" t="s">
        <v>55</v>
      </c>
      <c r="J160" s="8"/>
      <c r="K160" s="8"/>
      <c r="L160" s="7" t="s">
        <v>2484</v>
      </c>
      <c r="M160" s="7" t="s">
        <v>2095</v>
      </c>
      <c r="N160" s="7">
        <v>203</v>
      </c>
      <c r="O160" s="7" t="s">
        <v>2485</v>
      </c>
    </row>
    <row r="161" spans="1:17">
      <c r="A161" s="6" t="s">
        <v>31</v>
      </c>
      <c r="B161" s="7">
        <v>165094</v>
      </c>
      <c r="C161" s="7">
        <v>166344</v>
      </c>
      <c r="D161" s="8"/>
      <c r="E161" s="7" t="s">
        <v>53</v>
      </c>
      <c r="F161" s="7" t="s">
        <v>2486</v>
      </c>
      <c r="G161" s="7" t="s">
        <v>207</v>
      </c>
      <c r="H161" s="8"/>
      <c r="I161" s="7" t="s">
        <v>55</v>
      </c>
      <c r="J161" s="8"/>
      <c r="K161" s="8"/>
      <c r="L161" s="7" t="s">
        <v>2487</v>
      </c>
      <c r="M161" s="7" t="s">
        <v>2486</v>
      </c>
      <c r="N161" s="7">
        <v>416</v>
      </c>
      <c r="O161" s="7" t="s">
        <v>2488</v>
      </c>
      <c r="P161" s="7"/>
      <c r="Q161" s="7"/>
    </row>
    <row r="162" spans="1:17">
      <c r="A162" s="6" t="s">
        <v>31</v>
      </c>
      <c r="B162" s="7">
        <v>166505</v>
      </c>
      <c r="C162" s="7">
        <v>167119</v>
      </c>
      <c r="D162" s="8"/>
      <c r="E162" s="7" t="s">
        <v>75</v>
      </c>
      <c r="F162" s="7" t="s">
        <v>2489</v>
      </c>
      <c r="G162" s="7" t="s">
        <v>209</v>
      </c>
      <c r="H162" s="8"/>
      <c r="I162" s="7" t="s">
        <v>55</v>
      </c>
      <c r="J162" s="8"/>
      <c r="K162" s="8"/>
      <c r="L162" s="7" t="s">
        <v>2490</v>
      </c>
      <c r="M162" s="7" t="s">
        <v>2489</v>
      </c>
      <c r="N162" s="7">
        <v>204</v>
      </c>
      <c r="O162" s="7" t="s">
        <v>2491</v>
      </c>
      <c r="P162" s="7"/>
      <c r="Q162" s="7"/>
    </row>
    <row r="163" spans="1:17">
      <c r="A163" s="6" t="s">
        <v>31</v>
      </c>
      <c r="B163" s="7">
        <v>167221</v>
      </c>
      <c r="C163" s="7">
        <v>167859</v>
      </c>
      <c r="D163" s="8"/>
      <c r="E163" s="7" t="s">
        <v>75</v>
      </c>
      <c r="F163" s="7" t="s">
        <v>2492</v>
      </c>
      <c r="G163" s="8"/>
      <c r="H163" s="8"/>
      <c r="I163" s="7" t="s">
        <v>55</v>
      </c>
      <c r="J163" s="8"/>
      <c r="K163" s="8"/>
      <c r="L163" s="7" t="s">
        <v>2493</v>
      </c>
      <c r="M163" s="7" t="s">
        <v>2492</v>
      </c>
      <c r="N163" s="7">
        <v>212</v>
      </c>
      <c r="O163" s="7" t="s">
        <v>2494</v>
      </c>
    </row>
    <row r="164" spans="1:17">
      <c r="A164" s="6" t="s">
        <v>31</v>
      </c>
      <c r="B164" s="7">
        <v>167966</v>
      </c>
      <c r="C164" s="7">
        <v>169129</v>
      </c>
      <c r="D164" s="8"/>
      <c r="E164" s="7" t="s">
        <v>53</v>
      </c>
      <c r="F164" s="7" t="s">
        <v>2495</v>
      </c>
      <c r="G164" s="8"/>
      <c r="H164" s="8"/>
      <c r="I164" s="7" t="s">
        <v>55</v>
      </c>
      <c r="J164" s="8"/>
      <c r="K164" s="8"/>
      <c r="L164" s="7" t="s">
        <v>2496</v>
      </c>
      <c r="M164" s="7" t="s">
        <v>2495</v>
      </c>
      <c r="N164" s="7">
        <v>387</v>
      </c>
      <c r="O164" s="7" t="s">
        <v>2497</v>
      </c>
    </row>
    <row r="165" spans="1:17">
      <c r="A165" s="6" t="s">
        <v>31</v>
      </c>
      <c r="B165" s="7">
        <v>169278</v>
      </c>
      <c r="C165" s="7">
        <v>169547</v>
      </c>
      <c r="D165" s="8"/>
      <c r="E165" s="7" t="s">
        <v>53</v>
      </c>
      <c r="F165" s="7" t="s">
        <v>2498</v>
      </c>
      <c r="G165" s="7" t="s">
        <v>214</v>
      </c>
      <c r="H165" s="8"/>
      <c r="I165" s="7" t="s">
        <v>55</v>
      </c>
      <c r="J165" s="8"/>
      <c r="K165" s="8"/>
      <c r="L165" s="7" t="s">
        <v>2499</v>
      </c>
      <c r="M165" s="7" t="s">
        <v>2498</v>
      </c>
      <c r="N165" s="7">
        <v>89</v>
      </c>
      <c r="O165" s="7" t="s">
        <v>2500</v>
      </c>
    </row>
    <row r="166" spans="1:17">
      <c r="A166" s="6" t="s">
        <v>31</v>
      </c>
      <c r="B166" s="7">
        <v>169777</v>
      </c>
      <c r="C166" s="7">
        <v>170358</v>
      </c>
      <c r="D166" s="8"/>
      <c r="E166" s="7" t="s">
        <v>75</v>
      </c>
      <c r="F166" s="7" t="s">
        <v>2501</v>
      </c>
      <c r="G166" s="8"/>
      <c r="H166" s="8"/>
      <c r="I166" s="7" t="s">
        <v>55</v>
      </c>
      <c r="J166" s="8"/>
      <c r="K166" s="8"/>
      <c r="L166" s="7" t="s">
        <v>2502</v>
      </c>
      <c r="M166" s="7" t="s">
        <v>2501</v>
      </c>
      <c r="N166" s="7">
        <v>193</v>
      </c>
      <c r="O166" s="7" t="s">
        <v>2503</v>
      </c>
    </row>
    <row r="167" spans="1:17">
      <c r="A167" s="6" t="s">
        <v>31</v>
      </c>
      <c r="B167" s="7">
        <v>170648</v>
      </c>
      <c r="C167" s="7">
        <v>170767</v>
      </c>
      <c r="D167" s="8"/>
      <c r="E167" s="7" t="s">
        <v>53</v>
      </c>
      <c r="F167" s="7" t="s">
        <v>2504</v>
      </c>
      <c r="G167" s="8"/>
      <c r="H167" s="8"/>
      <c r="I167" s="7" t="s">
        <v>55</v>
      </c>
      <c r="J167" s="8"/>
      <c r="K167" s="8"/>
      <c r="L167" s="7" t="s">
        <v>2505</v>
      </c>
      <c r="M167" s="7" t="s">
        <v>2504</v>
      </c>
      <c r="N167" s="7">
        <v>39</v>
      </c>
      <c r="O167" s="7" t="s">
        <v>2506</v>
      </c>
    </row>
    <row r="168" spans="1:17">
      <c r="A168" s="6" t="s">
        <v>31</v>
      </c>
      <c r="B168" s="7">
        <v>170927</v>
      </c>
      <c r="C168" s="7">
        <v>171097</v>
      </c>
      <c r="D168" s="8"/>
      <c r="E168" s="7" t="s">
        <v>53</v>
      </c>
      <c r="F168" s="7" t="s">
        <v>2130</v>
      </c>
      <c r="G168" s="8"/>
      <c r="H168" s="8"/>
      <c r="I168" s="7" t="s">
        <v>55</v>
      </c>
      <c r="J168" s="8"/>
      <c r="K168" s="8"/>
      <c r="L168" s="7" t="s">
        <v>2507</v>
      </c>
      <c r="M168" s="7" t="s">
        <v>2130</v>
      </c>
      <c r="N168" s="7">
        <v>56</v>
      </c>
      <c r="O168" s="7" t="s">
        <v>2508</v>
      </c>
    </row>
    <row r="169" spans="1:17">
      <c r="A169" s="6" t="s">
        <v>31</v>
      </c>
      <c r="B169" s="7">
        <v>171380</v>
      </c>
      <c r="C169" s="7">
        <v>172120</v>
      </c>
      <c r="D169" s="8"/>
      <c r="E169" s="7" t="s">
        <v>75</v>
      </c>
      <c r="F169" s="7" t="s">
        <v>2509</v>
      </c>
      <c r="G169" s="7" t="s">
        <v>2510</v>
      </c>
      <c r="H169" s="8"/>
      <c r="I169" s="7" t="s">
        <v>55</v>
      </c>
      <c r="J169" s="8"/>
      <c r="K169" s="8"/>
      <c r="L169" s="7" t="s">
        <v>2511</v>
      </c>
      <c r="M169" s="7" t="s">
        <v>2509</v>
      </c>
      <c r="N169" s="7">
        <v>246</v>
      </c>
      <c r="O169" s="7" t="s">
        <v>2512</v>
      </c>
    </row>
    <row r="170" spans="1:17">
      <c r="A170" s="6" t="s">
        <v>31</v>
      </c>
      <c r="B170" s="7">
        <v>172120</v>
      </c>
      <c r="C170" s="7">
        <v>173670</v>
      </c>
      <c r="D170" s="8"/>
      <c r="E170" s="7" t="s">
        <v>75</v>
      </c>
      <c r="F170" s="7" t="s">
        <v>2513</v>
      </c>
      <c r="G170" s="8"/>
      <c r="H170" s="8"/>
      <c r="I170" s="7" t="s">
        <v>55</v>
      </c>
      <c r="J170" s="8"/>
      <c r="K170" s="8"/>
      <c r="L170" s="7" t="s">
        <v>2514</v>
      </c>
      <c r="M170" s="7" t="s">
        <v>2513</v>
      </c>
      <c r="N170" s="7">
        <v>516</v>
      </c>
      <c r="O170" s="7" t="s">
        <v>2515</v>
      </c>
    </row>
    <row r="171" spans="1:17">
      <c r="A171" s="6" t="s">
        <v>31</v>
      </c>
      <c r="B171" s="7">
        <v>173873</v>
      </c>
      <c r="C171" s="7">
        <v>174727</v>
      </c>
      <c r="D171" s="8"/>
      <c r="E171" s="7" t="s">
        <v>53</v>
      </c>
      <c r="F171" s="7" t="s">
        <v>2516</v>
      </c>
      <c r="G171" s="7" t="s">
        <v>2517</v>
      </c>
      <c r="H171" s="8"/>
      <c r="I171" s="7" t="s">
        <v>55</v>
      </c>
      <c r="J171" s="8"/>
      <c r="K171" s="8"/>
      <c r="L171" s="7" t="s">
        <v>2518</v>
      </c>
      <c r="M171" s="7" t="s">
        <v>2516</v>
      </c>
      <c r="N171" s="7">
        <v>284</v>
      </c>
      <c r="O171" s="7" t="s">
        <v>2519</v>
      </c>
      <c r="P171" s="7"/>
      <c r="Q171" s="7"/>
    </row>
    <row r="172" spans="1:17">
      <c r="A172" s="6" t="s">
        <v>31</v>
      </c>
      <c r="B172" s="7">
        <v>175354</v>
      </c>
      <c r="C172" s="7">
        <v>176103</v>
      </c>
      <c r="D172" s="8"/>
      <c r="E172" s="7" t="s">
        <v>53</v>
      </c>
      <c r="F172" s="7" t="s">
        <v>2520</v>
      </c>
      <c r="G172" s="7" t="s">
        <v>223</v>
      </c>
      <c r="H172" s="8"/>
      <c r="I172" s="7" t="s">
        <v>55</v>
      </c>
      <c r="J172" s="8"/>
      <c r="K172" s="8"/>
      <c r="L172" s="7" t="s">
        <v>2521</v>
      </c>
      <c r="M172" s="7" t="s">
        <v>2520</v>
      </c>
      <c r="N172" s="7">
        <v>249</v>
      </c>
      <c r="O172" s="7" t="s">
        <v>2522</v>
      </c>
    </row>
    <row r="173" spans="1:17">
      <c r="A173" s="6" t="s">
        <v>31</v>
      </c>
      <c r="B173" s="7">
        <v>176107</v>
      </c>
      <c r="C173" s="7">
        <v>177264</v>
      </c>
      <c r="D173" s="8"/>
      <c r="E173" s="7" t="s">
        <v>53</v>
      </c>
      <c r="F173" s="7" t="s">
        <v>2523</v>
      </c>
      <c r="G173" s="8"/>
      <c r="H173" s="8"/>
      <c r="I173" s="7" t="s">
        <v>55</v>
      </c>
      <c r="J173" s="8"/>
      <c r="K173" s="8"/>
      <c r="L173" s="7" t="s">
        <v>2524</v>
      </c>
      <c r="M173" s="7" t="s">
        <v>2523</v>
      </c>
      <c r="N173" s="7">
        <v>385</v>
      </c>
      <c r="O173" s="7" t="s">
        <v>2525</v>
      </c>
      <c r="P173" s="7"/>
      <c r="Q173" s="7"/>
    </row>
    <row r="174" spans="1:17">
      <c r="A174" s="6" t="s">
        <v>31</v>
      </c>
      <c r="B174" s="7">
        <v>177392</v>
      </c>
      <c r="C174" s="7">
        <v>178195</v>
      </c>
      <c r="D174" s="8"/>
      <c r="E174" s="7" t="s">
        <v>53</v>
      </c>
      <c r="F174" s="7" t="s">
        <v>2526</v>
      </c>
      <c r="G174" s="7" t="s">
        <v>226</v>
      </c>
      <c r="H174" s="8"/>
      <c r="I174" s="7" t="s">
        <v>55</v>
      </c>
      <c r="J174" s="8"/>
      <c r="K174" s="8"/>
      <c r="L174" s="7" t="s">
        <v>2527</v>
      </c>
      <c r="M174" s="7" t="s">
        <v>2526</v>
      </c>
      <c r="N174" s="7">
        <v>267</v>
      </c>
      <c r="O174" s="7" t="s">
        <v>2528</v>
      </c>
    </row>
    <row r="175" spans="1:17">
      <c r="A175" s="6" t="s">
        <v>31</v>
      </c>
      <c r="B175" s="7">
        <v>178232</v>
      </c>
      <c r="C175" s="7">
        <v>179494</v>
      </c>
      <c r="D175" s="8"/>
      <c r="E175" s="7" t="s">
        <v>53</v>
      </c>
      <c r="F175" s="7" t="s">
        <v>228</v>
      </c>
      <c r="G175" s="7" t="s">
        <v>229</v>
      </c>
      <c r="H175" s="8"/>
      <c r="I175" s="7" t="s">
        <v>55</v>
      </c>
      <c r="J175" s="8"/>
      <c r="K175" s="8"/>
      <c r="L175" s="7" t="s">
        <v>2529</v>
      </c>
      <c r="M175" s="7" t="s">
        <v>228</v>
      </c>
      <c r="N175" s="7">
        <v>420</v>
      </c>
      <c r="O175" s="7" t="s">
        <v>2530</v>
      </c>
    </row>
    <row r="176" spans="1:17">
      <c r="A176" s="6" t="s">
        <v>31</v>
      </c>
      <c r="B176" s="7">
        <v>179548</v>
      </c>
      <c r="C176" s="7">
        <v>180780</v>
      </c>
      <c r="D176" s="8"/>
      <c r="E176" s="7" t="s">
        <v>53</v>
      </c>
      <c r="F176" s="7" t="s">
        <v>231</v>
      </c>
      <c r="G176" s="7" t="s">
        <v>2531</v>
      </c>
      <c r="H176" s="8"/>
      <c r="I176" s="7" t="s">
        <v>55</v>
      </c>
      <c r="J176" s="8"/>
      <c r="K176" s="8"/>
      <c r="L176" s="7" t="s">
        <v>2532</v>
      </c>
      <c r="M176" s="7" t="s">
        <v>231</v>
      </c>
      <c r="N176" s="7">
        <v>410</v>
      </c>
      <c r="O176" s="7" t="s">
        <v>2533</v>
      </c>
      <c r="P176" s="7"/>
      <c r="Q176" s="7"/>
    </row>
    <row r="177" spans="1:15">
      <c r="A177" s="6" t="s">
        <v>31</v>
      </c>
      <c r="B177" s="7">
        <v>180767</v>
      </c>
      <c r="C177" s="7">
        <v>181201</v>
      </c>
      <c r="D177" s="8"/>
      <c r="E177" s="7" t="s">
        <v>53</v>
      </c>
      <c r="F177" s="7" t="s">
        <v>2534</v>
      </c>
      <c r="G177" s="7" t="s">
        <v>233</v>
      </c>
      <c r="H177" s="8"/>
      <c r="I177" s="7" t="s">
        <v>55</v>
      </c>
      <c r="J177" s="8"/>
      <c r="K177" s="8"/>
      <c r="L177" s="7" t="s">
        <v>2535</v>
      </c>
      <c r="M177" s="7" t="s">
        <v>2534</v>
      </c>
      <c r="N177" s="7">
        <v>144</v>
      </c>
      <c r="O177" s="7" t="s">
        <v>2536</v>
      </c>
    </row>
    <row r="178" spans="1:15">
      <c r="A178" s="6" t="s">
        <v>31</v>
      </c>
      <c r="B178" s="7">
        <v>181281</v>
      </c>
      <c r="C178" s="7">
        <v>182699</v>
      </c>
      <c r="D178" s="8"/>
      <c r="E178" s="7" t="s">
        <v>53</v>
      </c>
      <c r="F178" s="7" t="s">
        <v>2537</v>
      </c>
      <c r="G178" s="7" t="s">
        <v>235</v>
      </c>
      <c r="H178" s="8"/>
      <c r="I178" s="7" t="s">
        <v>55</v>
      </c>
      <c r="J178" s="8"/>
      <c r="K178" s="8"/>
      <c r="L178" s="7" t="s">
        <v>2538</v>
      </c>
      <c r="M178" s="7" t="s">
        <v>2537</v>
      </c>
      <c r="N178" s="7">
        <v>472</v>
      </c>
      <c r="O178" s="7" t="s">
        <v>2539</v>
      </c>
    </row>
    <row r="179" spans="1:15">
      <c r="A179" s="6" t="s">
        <v>31</v>
      </c>
      <c r="B179" s="7">
        <v>182983</v>
      </c>
      <c r="C179" s="7">
        <v>183189</v>
      </c>
      <c r="D179" s="8"/>
      <c r="E179" s="7" t="s">
        <v>53</v>
      </c>
      <c r="F179" s="7" t="s">
        <v>2540</v>
      </c>
      <c r="G179" s="8"/>
      <c r="H179" s="8"/>
      <c r="I179" s="7" t="s">
        <v>55</v>
      </c>
      <c r="J179" s="8"/>
      <c r="K179" s="8"/>
      <c r="L179" s="7" t="s">
        <v>2541</v>
      </c>
      <c r="M179" s="7" t="s">
        <v>2540</v>
      </c>
      <c r="N179" s="7">
        <v>68</v>
      </c>
      <c r="O179" s="7" t="s">
        <v>2542</v>
      </c>
    </row>
    <row r="180" spans="1:15">
      <c r="A180" s="6" t="s">
        <v>31</v>
      </c>
      <c r="B180" s="7">
        <v>183164</v>
      </c>
      <c r="C180" s="7">
        <v>184018</v>
      </c>
      <c r="D180" s="8"/>
      <c r="E180" s="7" t="s">
        <v>53</v>
      </c>
      <c r="F180" s="7" t="s">
        <v>2095</v>
      </c>
      <c r="G180" s="8"/>
      <c r="H180" s="8"/>
      <c r="I180" s="7" t="s">
        <v>55</v>
      </c>
      <c r="J180" s="8"/>
      <c r="K180" s="8"/>
      <c r="L180" s="7" t="s">
        <v>2543</v>
      </c>
      <c r="M180" s="7" t="s">
        <v>2095</v>
      </c>
      <c r="N180" s="7">
        <v>284</v>
      </c>
      <c r="O180" s="7" t="s">
        <v>2544</v>
      </c>
    </row>
    <row r="181" spans="1:15">
      <c r="A181" s="6" t="s">
        <v>31</v>
      </c>
      <c r="B181" s="7">
        <v>184008</v>
      </c>
      <c r="C181" s="7">
        <v>184217</v>
      </c>
      <c r="D181" s="8"/>
      <c r="E181" s="7" t="s">
        <v>53</v>
      </c>
      <c r="F181" s="7" t="s">
        <v>2545</v>
      </c>
      <c r="G181" s="8"/>
      <c r="H181" s="8"/>
      <c r="I181" s="7" t="s">
        <v>55</v>
      </c>
      <c r="J181" s="8"/>
      <c r="K181" s="8"/>
      <c r="L181" s="7" t="s">
        <v>2546</v>
      </c>
      <c r="M181" s="7" t="s">
        <v>2545</v>
      </c>
      <c r="N181" s="7">
        <v>69</v>
      </c>
      <c r="O181" s="7" t="s">
        <v>2547</v>
      </c>
    </row>
    <row r="182" spans="1:15">
      <c r="A182" s="6" t="s">
        <v>31</v>
      </c>
      <c r="B182" s="7">
        <v>184228</v>
      </c>
      <c r="C182" s="7">
        <v>184374</v>
      </c>
      <c r="D182" s="8"/>
      <c r="E182" s="7" t="s">
        <v>53</v>
      </c>
      <c r="F182" s="7" t="s">
        <v>2130</v>
      </c>
      <c r="G182" s="8"/>
      <c r="H182" s="8"/>
      <c r="I182" s="7" t="s">
        <v>55</v>
      </c>
      <c r="J182" s="8"/>
      <c r="K182" s="8"/>
      <c r="L182" s="7" t="s">
        <v>2548</v>
      </c>
      <c r="M182" s="7" t="s">
        <v>2130</v>
      </c>
      <c r="N182" s="7">
        <v>48</v>
      </c>
      <c r="O182" s="7" t="s">
        <v>2549</v>
      </c>
    </row>
    <row r="183" spans="1:15">
      <c r="A183" s="6" t="s">
        <v>31</v>
      </c>
      <c r="B183" s="7">
        <v>184323</v>
      </c>
      <c r="C183" s="7">
        <v>184895</v>
      </c>
      <c r="D183" s="8"/>
      <c r="E183" s="7" t="s">
        <v>53</v>
      </c>
      <c r="F183" s="7" t="s">
        <v>2550</v>
      </c>
      <c r="G183" s="8"/>
      <c r="H183" s="8"/>
      <c r="I183" s="7" t="s">
        <v>55</v>
      </c>
      <c r="J183" s="8"/>
      <c r="K183" s="8"/>
      <c r="L183" s="7" t="s">
        <v>2551</v>
      </c>
      <c r="M183" s="7" t="s">
        <v>2550</v>
      </c>
      <c r="N183" s="7">
        <v>190</v>
      </c>
      <c r="O183" s="7" t="s">
        <v>2552</v>
      </c>
    </row>
    <row r="184" spans="1:15">
      <c r="A184" s="6" t="s">
        <v>31</v>
      </c>
      <c r="B184" s="7">
        <v>184876</v>
      </c>
      <c r="C184" s="7">
        <v>185262</v>
      </c>
      <c r="D184" s="8"/>
      <c r="E184" s="7" t="s">
        <v>53</v>
      </c>
      <c r="F184" s="7" t="s">
        <v>2550</v>
      </c>
      <c r="G184" s="8"/>
      <c r="H184" s="8"/>
      <c r="I184" s="7" t="s">
        <v>55</v>
      </c>
      <c r="J184" s="8"/>
      <c r="K184" s="8"/>
      <c r="L184" s="7" t="s">
        <v>2553</v>
      </c>
      <c r="M184" s="7" t="s">
        <v>2550</v>
      </c>
      <c r="N184" s="7">
        <v>128</v>
      </c>
      <c r="O184" s="7" t="s">
        <v>2554</v>
      </c>
    </row>
    <row r="185" spans="1:15">
      <c r="A185" s="6" t="s">
        <v>31</v>
      </c>
      <c r="B185" s="7">
        <v>185279</v>
      </c>
      <c r="C185" s="7">
        <v>185476</v>
      </c>
      <c r="D185" s="8"/>
      <c r="E185" s="7" t="s">
        <v>53</v>
      </c>
      <c r="F185" s="7" t="s">
        <v>2555</v>
      </c>
      <c r="G185" s="8"/>
      <c r="H185" s="8"/>
      <c r="I185" s="7" t="s">
        <v>55</v>
      </c>
      <c r="J185" s="8"/>
      <c r="K185" s="8"/>
      <c r="L185" s="7" t="s">
        <v>2556</v>
      </c>
      <c r="M185" s="7" t="s">
        <v>2555</v>
      </c>
      <c r="N185" s="7">
        <v>65</v>
      </c>
      <c r="O185" s="7" t="s">
        <v>2557</v>
      </c>
    </row>
    <row r="186" spans="1:15">
      <c r="A186" s="6" t="s">
        <v>31</v>
      </c>
      <c r="B186" s="7">
        <v>185506</v>
      </c>
      <c r="C186" s="7">
        <v>185709</v>
      </c>
      <c r="D186" s="8"/>
      <c r="E186" s="7" t="s">
        <v>53</v>
      </c>
      <c r="F186" s="7" t="s">
        <v>2555</v>
      </c>
      <c r="G186" s="8"/>
      <c r="H186" s="8"/>
      <c r="I186" s="7" t="s">
        <v>55</v>
      </c>
      <c r="J186" s="8"/>
      <c r="K186" s="8"/>
      <c r="L186" s="7" t="s">
        <v>2558</v>
      </c>
      <c r="M186" s="7" t="s">
        <v>2555</v>
      </c>
      <c r="N186" s="7">
        <v>67</v>
      </c>
      <c r="O186" s="7" t="s">
        <v>2559</v>
      </c>
    </row>
    <row r="187" spans="1:15">
      <c r="A187" s="6" t="s">
        <v>31</v>
      </c>
      <c r="B187" s="7">
        <v>185672</v>
      </c>
      <c r="C187" s="7">
        <v>186085</v>
      </c>
      <c r="D187" s="8"/>
      <c r="E187" s="7" t="s">
        <v>53</v>
      </c>
      <c r="F187" s="7" t="s">
        <v>2555</v>
      </c>
      <c r="G187" s="8"/>
      <c r="H187" s="8"/>
      <c r="I187" s="7" t="s">
        <v>55</v>
      </c>
      <c r="J187" s="8"/>
      <c r="K187" s="8"/>
      <c r="L187" s="7" t="s">
        <v>2560</v>
      </c>
      <c r="M187" s="7" t="s">
        <v>2555</v>
      </c>
      <c r="N187" s="7">
        <v>137</v>
      </c>
      <c r="O187" s="7" t="s">
        <v>2561</v>
      </c>
    </row>
    <row r="188" spans="1:15">
      <c r="A188" s="6" t="s">
        <v>31</v>
      </c>
      <c r="B188" s="7">
        <v>186052</v>
      </c>
      <c r="C188" s="7">
        <v>186318</v>
      </c>
      <c r="D188" s="8"/>
      <c r="E188" s="7" t="s">
        <v>53</v>
      </c>
      <c r="F188" s="7" t="s">
        <v>2095</v>
      </c>
      <c r="G188" s="8"/>
      <c r="H188" s="8"/>
      <c r="I188" s="7" t="s">
        <v>55</v>
      </c>
      <c r="J188" s="8"/>
      <c r="K188" s="8"/>
      <c r="L188" s="7" t="s">
        <v>2562</v>
      </c>
      <c r="M188" s="7" t="s">
        <v>2095</v>
      </c>
      <c r="N188" s="7">
        <v>88</v>
      </c>
      <c r="O188" s="7" t="s">
        <v>2563</v>
      </c>
    </row>
    <row r="189" spans="1:15">
      <c r="A189" s="6" t="s">
        <v>31</v>
      </c>
      <c r="B189" s="7">
        <v>186320</v>
      </c>
      <c r="C189" s="7">
        <v>187258</v>
      </c>
      <c r="D189" s="8"/>
      <c r="E189" s="7" t="s">
        <v>53</v>
      </c>
      <c r="F189" s="7" t="s">
        <v>2564</v>
      </c>
      <c r="G189" s="7" t="s">
        <v>2565</v>
      </c>
      <c r="H189" s="8"/>
      <c r="I189" s="7" t="s">
        <v>55</v>
      </c>
      <c r="J189" s="8"/>
      <c r="K189" s="8"/>
      <c r="L189" s="7" t="s">
        <v>2566</v>
      </c>
      <c r="M189" s="7" t="s">
        <v>2564</v>
      </c>
      <c r="N189" s="7">
        <v>312</v>
      </c>
      <c r="O189" s="7" t="s">
        <v>2567</v>
      </c>
    </row>
    <row r="190" spans="1:15">
      <c r="A190" s="6" t="s">
        <v>31</v>
      </c>
      <c r="B190" s="7">
        <v>187372</v>
      </c>
      <c r="C190" s="7">
        <v>187473</v>
      </c>
      <c r="D190" s="8"/>
      <c r="E190" s="7" t="s">
        <v>53</v>
      </c>
      <c r="F190" s="7" t="s">
        <v>2130</v>
      </c>
      <c r="G190" s="8"/>
      <c r="H190" s="8"/>
      <c r="I190" s="7" t="s">
        <v>55</v>
      </c>
      <c r="J190" s="8"/>
      <c r="K190" s="8"/>
      <c r="L190" s="7" t="s">
        <v>2568</v>
      </c>
      <c r="M190" s="7" t="s">
        <v>2130</v>
      </c>
      <c r="N190" s="7">
        <v>33</v>
      </c>
      <c r="O190" s="7" t="s">
        <v>2569</v>
      </c>
    </row>
    <row r="191" spans="1:15">
      <c r="A191" s="6" t="s">
        <v>31</v>
      </c>
      <c r="B191" s="7">
        <v>187480</v>
      </c>
      <c r="C191" s="7">
        <v>187668</v>
      </c>
      <c r="D191" s="8"/>
      <c r="E191" s="7" t="s">
        <v>53</v>
      </c>
      <c r="F191" s="7" t="s">
        <v>2130</v>
      </c>
      <c r="G191" s="8"/>
      <c r="H191" s="8"/>
      <c r="I191" s="7" t="s">
        <v>55</v>
      </c>
      <c r="J191" s="8"/>
      <c r="K191" s="8"/>
      <c r="L191" s="7" t="s">
        <v>2570</v>
      </c>
      <c r="M191" s="7" t="s">
        <v>2130</v>
      </c>
      <c r="N191" s="7">
        <v>62</v>
      </c>
      <c r="O191" s="7" t="s">
        <v>2571</v>
      </c>
    </row>
    <row r="192" spans="1:15">
      <c r="A192" s="6" t="s">
        <v>31</v>
      </c>
      <c r="B192" s="7">
        <v>187815</v>
      </c>
      <c r="C192" s="7">
        <v>188681</v>
      </c>
      <c r="D192" s="8"/>
      <c r="E192" s="7" t="s">
        <v>53</v>
      </c>
      <c r="F192" s="7" t="s">
        <v>2572</v>
      </c>
      <c r="G192" s="7" t="s">
        <v>240</v>
      </c>
      <c r="H192" s="8"/>
      <c r="I192" s="7" t="s">
        <v>55</v>
      </c>
      <c r="J192" s="8"/>
      <c r="K192" s="8"/>
      <c r="L192" s="7" t="s">
        <v>2573</v>
      </c>
      <c r="M192" s="7" t="s">
        <v>2572</v>
      </c>
      <c r="N192" s="7">
        <v>288</v>
      </c>
      <c r="O192" s="7" t="s">
        <v>2574</v>
      </c>
    </row>
    <row r="193" spans="1:16">
      <c r="A193" s="6" t="s">
        <v>31</v>
      </c>
      <c r="B193" s="7">
        <v>188674</v>
      </c>
      <c r="C193" s="7">
        <v>189651</v>
      </c>
      <c r="D193" s="8"/>
      <c r="E193" s="7" t="s">
        <v>53</v>
      </c>
      <c r="F193" s="7" t="s">
        <v>2575</v>
      </c>
      <c r="G193" s="7" t="s">
        <v>242</v>
      </c>
      <c r="H193" s="8"/>
      <c r="I193" s="7" t="s">
        <v>55</v>
      </c>
      <c r="J193" s="8"/>
      <c r="K193" s="8"/>
      <c r="L193" s="7" t="s">
        <v>2576</v>
      </c>
      <c r="M193" s="7" t="s">
        <v>2575</v>
      </c>
      <c r="N193" s="7">
        <v>325</v>
      </c>
      <c r="O193" s="7" t="s">
        <v>2577</v>
      </c>
      <c r="P193" s="7"/>
    </row>
    <row r="194" spans="1:16">
      <c r="A194" s="6" t="s">
        <v>31</v>
      </c>
      <c r="B194" s="7">
        <v>189854</v>
      </c>
      <c r="C194" s="7">
        <v>190717</v>
      </c>
      <c r="D194" s="8"/>
      <c r="E194" s="7" t="s">
        <v>53</v>
      </c>
      <c r="F194" s="7" t="s">
        <v>2578</v>
      </c>
      <c r="G194" s="8"/>
      <c r="H194" s="8"/>
      <c r="I194" s="7" t="s">
        <v>55</v>
      </c>
      <c r="J194" s="8"/>
      <c r="K194" s="8"/>
      <c r="L194" s="7" t="s">
        <v>2579</v>
      </c>
      <c r="M194" s="7" t="s">
        <v>2578</v>
      </c>
      <c r="N194" s="7">
        <v>287</v>
      </c>
      <c r="O194" s="7" t="s">
        <v>2580</v>
      </c>
    </row>
    <row r="195" spans="1:16">
      <c r="A195" s="6" t="s">
        <v>31</v>
      </c>
      <c r="B195" s="7">
        <v>190987</v>
      </c>
      <c r="C195" s="7">
        <v>193326</v>
      </c>
      <c r="D195" s="8"/>
      <c r="E195" s="7" t="s">
        <v>53</v>
      </c>
      <c r="F195" s="7" t="s">
        <v>2130</v>
      </c>
      <c r="G195" s="8"/>
      <c r="H195" s="8"/>
      <c r="I195" s="7" t="s">
        <v>55</v>
      </c>
      <c r="J195" s="8"/>
      <c r="K195" s="8"/>
      <c r="L195" s="7" t="s">
        <v>2581</v>
      </c>
      <c r="M195" s="7" t="s">
        <v>2130</v>
      </c>
      <c r="N195" s="7">
        <v>779</v>
      </c>
      <c r="O195" s="7" t="s">
        <v>2582</v>
      </c>
    </row>
    <row r="196" spans="1:16">
      <c r="A196" s="6" t="s">
        <v>31</v>
      </c>
      <c r="B196" s="7">
        <v>193327</v>
      </c>
      <c r="C196" s="7">
        <v>194595</v>
      </c>
      <c r="D196" s="8"/>
      <c r="E196" s="7" t="s">
        <v>53</v>
      </c>
      <c r="F196" s="7" t="s">
        <v>2583</v>
      </c>
      <c r="G196" s="8"/>
      <c r="H196" s="8"/>
      <c r="I196" s="7" t="s">
        <v>55</v>
      </c>
      <c r="J196" s="8"/>
      <c r="K196" s="8"/>
      <c r="L196" s="7" t="s">
        <v>2584</v>
      </c>
      <c r="M196" s="7" t="s">
        <v>2583</v>
      </c>
      <c r="N196" s="7">
        <v>422</v>
      </c>
      <c r="O196" s="7" t="s">
        <v>2585</v>
      </c>
    </row>
    <row r="197" spans="1:16">
      <c r="A197" s="6" t="s">
        <v>31</v>
      </c>
      <c r="B197" s="7">
        <v>194701</v>
      </c>
      <c r="C197" s="7">
        <v>195144</v>
      </c>
      <c r="D197" s="8"/>
      <c r="E197" s="7" t="s">
        <v>53</v>
      </c>
      <c r="F197" s="7" t="s">
        <v>2586</v>
      </c>
      <c r="G197" s="7" t="s">
        <v>2587</v>
      </c>
      <c r="H197" s="8"/>
      <c r="I197" s="7" t="s">
        <v>55</v>
      </c>
      <c r="J197" s="8"/>
      <c r="K197" s="8"/>
      <c r="L197" s="7" t="s">
        <v>2588</v>
      </c>
      <c r="M197" s="7" t="s">
        <v>2586</v>
      </c>
      <c r="N197" s="7">
        <v>147</v>
      </c>
      <c r="O197" s="7" t="s">
        <v>2589</v>
      </c>
    </row>
    <row r="198" spans="1:16">
      <c r="A198" s="6" t="s">
        <v>31</v>
      </c>
      <c r="B198" s="7">
        <v>195146</v>
      </c>
      <c r="C198" s="7">
        <v>195853</v>
      </c>
      <c r="D198" s="8"/>
      <c r="E198" s="7" t="s">
        <v>53</v>
      </c>
      <c r="F198" s="7" t="s">
        <v>2590</v>
      </c>
      <c r="G198" s="7" t="s">
        <v>2591</v>
      </c>
      <c r="H198" s="8"/>
      <c r="I198" s="7" t="s">
        <v>55</v>
      </c>
      <c r="J198" s="8"/>
      <c r="K198" s="8"/>
      <c r="L198" s="7" t="s">
        <v>2592</v>
      </c>
      <c r="M198" s="7" t="s">
        <v>2590</v>
      </c>
      <c r="N198" s="7">
        <v>235</v>
      </c>
      <c r="O198" s="7" t="s">
        <v>2593</v>
      </c>
    </row>
    <row r="199" spans="1:16">
      <c r="A199" s="6" t="s">
        <v>31</v>
      </c>
      <c r="B199" s="7">
        <v>195846</v>
      </c>
      <c r="C199" s="7">
        <v>196658</v>
      </c>
      <c r="D199" s="8"/>
      <c r="E199" s="7" t="s">
        <v>53</v>
      </c>
      <c r="F199" s="7" t="s">
        <v>2594</v>
      </c>
      <c r="G199" s="7" t="s">
        <v>2595</v>
      </c>
      <c r="H199" s="8"/>
      <c r="I199" s="7" t="s">
        <v>55</v>
      </c>
      <c r="J199" s="8"/>
      <c r="K199" s="8"/>
      <c r="L199" s="7" t="s">
        <v>2596</v>
      </c>
      <c r="M199" s="7" t="s">
        <v>2594</v>
      </c>
      <c r="N199" s="7">
        <v>270</v>
      </c>
      <c r="O199" s="7" t="s">
        <v>2597</v>
      </c>
    </row>
    <row r="200" spans="1:16">
      <c r="A200" s="6" t="s">
        <v>31</v>
      </c>
      <c r="B200" s="7">
        <v>196820</v>
      </c>
      <c r="C200" s="7">
        <v>197758</v>
      </c>
      <c r="D200" s="8"/>
      <c r="E200" s="7" t="s">
        <v>53</v>
      </c>
      <c r="F200" s="7" t="s">
        <v>2598</v>
      </c>
      <c r="G200" s="8"/>
      <c r="H200" s="8"/>
      <c r="I200" s="7" t="s">
        <v>55</v>
      </c>
      <c r="J200" s="8"/>
      <c r="K200" s="8"/>
      <c r="L200" s="7" t="s">
        <v>2599</v>
      </c>
      <c r="M200" s="7" t="s">
        <v>2598</v>
      </c>
      <c r="N200" s="7">
        <v>312</v>
      </c>
      <c r="O200" s="7" t="s">
        <v>2600</v>
      </c>
    </row>
    <row r="201" spans="1:16">
      <c r="A201" s="6" t="s">
        <v>31</v>
      </c>
      <c r="B201" s="7">
        <v>197909</v>
      </c>
      <c r="C201" s="7">
        <v>198304</v>
      </c>
      <c r="D201" s="8"/>
      <c r="E201" s="7" t="s">
        <v>53</v>
      </c>
      <c r="F201" s="7" t="s">
        <v>2601</v>
      </c>
      <c r="G201" s="8"/>
      <c r="H201" s="8"/>
      <c r="I201" s="7" t="s">
        <v>55</v>
      </c>
      <c r="J201" s="8"/>
      <c r="K201" s="8"/>
      <c r="L201" s="7" t="s">
        <v>2602</v>
      </c>
      <c r="M201" s="7" t="s">
        <v>2601</v>
      </c>
      <c r="N201" s="7">
        <v>131</v>
      </c>
      <c r="O201" s="7" t="s">
        <v>2603</v>
      </c>
      <c r="P201" s="7"/>
    </row>
    <row r="202" spans="1:16">
      <c r="A202" s="6" t="s">
        <v>31</v>
      </c>
      <c r="B202" s="7">
        <v>198550</v>
      </c>
      <c r="C202" s="7">
        <v>199476</v>
      </c>
      <c r="D202" s="8"/>
      <c r="E202" s="7" t="s">
        <v>53</v>
      </c>
      <c r="F202" s="7" t="s">
        <v>2604</v>
      </c>
      <c r="G202" s="8"/>
      <c r="H202" s="8"/>
      <c r="I202" s="7" t="s">
        <v>55</v>
      </c>
      <c r="J202" s="8"/>
      <c r="K202" s="8"/>
      <c r="L202" s="7" t="s">
        <v>2605</v>
      </c>
      <c r="M202" s="7" t="s">
        <v>2604</v>
      </c>
      <c r="N202" s="7">
        <v>308</v>
      </c>
      <c r="O202" s="7" t="s">
        <v>2606</v>
      </c>
      <c r="P202" s="7"/>
    </row>
    <row r="203" spans="1:16">
      <c r="A203" s="6" t="s">
        <v>31</v>
      </c>
      <c r="B203" s="7">
        <v>200196</v>
      </c>
      <c r="C203" s="7">
        <v>201008</v>
      </c>
      <c r="D203" s="8"/>
      <c r="E203" s="7" t="s">
        <v>53</v>
      </c>
      <c r="F203" s="7" t="s">
        <v>2607</v>
      </c>
      <c r="G203" s="7" t="s">
        <v>2608</v>
      </c>
      <c r="H203" s="8"/>
      <c r="I203" s="7" t="s">
        <v>55</v>
      </c>
      <c r="J203" s="8"/>
      <c r="K203" s="8"/>
      <c r="L203" s="7" t="s">
        <v>2609</v>
      </c>
      <c r="M203" s="7" t="s">
        <v>2607</v>
      </c>
      <c r="N203" s="7">
        <v>270</v>
      </c>
      <c r="O203" s="7" t="s">
        <v>2610</v>
      </c>
      <c r="P203" s="7"/>
    </row>
    <row r="204" spans="1:16">
      <c r="A204" s="6" t="s">
        <v>31</v>
      </c>
      <c r="B204" s="7">
        <v>201117</v>
      </c>
      <c r="C204" s="7">
        <v>202466</v>
      </c>
      <c r="D204" s="8"/>
      <c r="E204" s="7" t="s">
        <v>53</v>
      </c>
      <c r="F204" s="7" t="s">
        <v>252</v>
      </c>
      <c r="G204" s="7" t="s">
        <v>2611</v>
      </c>
      <c r="H204" s="8"/>
      <c r="I204" s="7" t="s">
        <v>55</v>
      </c>
      <c r="J204" s="8"/>
      <c r="K204" s="8"/>
      <c r="L204" s="7" t="s">
        <v>2612</v>
      </c>
      <c r="M204" s="7" t="s">
        <v>252</v>
      </c>
      <c r="N204" s="7">
        <v>449</v>
      </c>
      <c r="O204" s="7" t="s">
        <v>2613</v>
      </c>
      <c r="P204" s="7"/>
    </row>
    <row r="205" spans="1:16">
      <c r="A205" s="6" t="s">
        <v>31</v>
      </c>
      <c r="B205" s="7">
        <v>202654</v>
      </c>
      <c r="C205" s="7">
        <v>203370</v>
      </c>
      <c r="D205" s="8"/>
      <c r="E205" s="7" t="s">
        <v>53</v>
      </c>
      <c r="F205" s="7" t="s">
        <v>2614</v>
      </c>
      <c r="G205" s="7" t="s">
        <v>2615</v>
      </c>
      <c r="H205" s="8"/>
      <c r="I205" s="7" t="s">
        <v>55</v>
      </c>
      <c r="J205" s="8"/>
      <c r="K205" s="8"/>
      <c r="L205" s="7" t="s">
        <v>2616</v>
      </c>
      <c r="M205" s="7" t="s">
        <v>2614</v>
      </c>
      <c r="N205" s="7">
        <v>238</v>
      </c>
      <c r="O205" s="7" t="s">
        <v>2617</v>
      </c>
    </row>
    <row r="206" spans="1:16">
      <c r="A206" s="6" t="s">
        <v>31</v>
      </c>
      <c r="B206" s="7">
        <v>203496</v>
      </c>
      <c r="C206" s="7">
        <v>203834</v>
      </c>
      <c r="D206" s="8"/>
      <c r="E206" s="7" t="s">
        <v>53</v>
      </c>
      <c r="F206" s="7" t="s">
        <v>2618</v>
      </c>
      <c r="G206" s="8"/>
      <c r="H206" s="8"/>
      <c r="I206" s="7" t="s">
        <v>55</v>
      </c>
      <c r="J206" s="8"/>
      <c r="K206" s="8"/>
      <c r="L206" s="7" t="s">
        <v>2619</v>
      </c>
      <c r="M206" s="7" t="s">
        <v>2618</v>
      </c>
      <c r="N206" s="7">
        <v>112</v>
      </c>
      <c r="O206" s="7" t="s">
        <v>2620</v>
      </c>
    </row>
    <row r="207" spans="1:16">
      <c r="A207" s="6" t="s">
        <v>31</v>
      </c>
      <c r="B207" s="7">
        <v>203963</v>
      </c>
      <c r="C207" s="7">
        <v>204712</v>
      </c>
      <c r="D207" s="8"/>
      <c r="E207" s="7" t="s">
        <v>53</v>
      </c>
      <c r="F207" s="7" t="s">
        <v>2621</v>
      </c>
      <c r="G207" s="7" t="s">
        <v>2622</v>
      </c>
      <c r="H207" s="8"/>
      <c r="I207" s="7" t="s">
        <v>55</v>
      </c>
      <c r="J207" s="8"/>
      <c r="K207" s="8"/>
      <c r="L207" s="7" t="s">
        <v>2623</v>
      </c>
      <c r="M207" s="7" t="s">
        <v>2621</v>
      </c>
      <c r="N207" s="7">
        <v>249</v>
      </c>
      <c r="O207" s="7" t="s">
        <v>2624</v>
      </c>
      <c r="P207" s="7"/>
    </row>
    <row r="208" spans="1:16">
      <c r="A208" s="6" t="s">
        <v>31</v>
      </c>
      <c r="B208" s="7">
        <v>204725</v>
      </c>
      <c r="C208" s="7">
        <v>205519</v>
      </c>
      <c r="D208" s="8"/>
      <c r="E208" s="7" t="s">
        <v>53</v>
      </c>
      <c r="F208" s="7" t="s">
        <v>2625</v>
      </c>
      <c r="G208" s="7" t="s">
        <v>2626</v>
      </c>
      <c r="H208" s="8"/>
      <c r="I208" s="7" t="s">
        <v>55</v>
      </c>
      <c r="J208" s="8"/>
      <c r="K208" s="8"/>
      <c r="L208" s="7" t="s">
        <v>2627</v>
      </c>
      <c r="M208" s="7" t="s">
        <v>2625</v>
      </c>
      <c r="N208" s="7">
        <v>264</v>
      </c>
      <c r="O208" s="7" t="s">
        <v>2628</v>
      </c>
      <c r="P208" s="7"/>
    </row>
    <row r="209" spans="1:17">
      <c r="A209" s="6" t="s">
        <v>31</v>
      </c>
      <c r="B209" s="7">
        <v>205536</v>
      </c>
      <c r="C209" s="7">
        <v>206798</v>
      </c>
      <c r="D209" s="8"/>
      <c r="E209" s="7" t="s">
        <v>53</v>
      </c>
      <c r="F209" s="7" t="s">
        <v>2629</v>
      </c>
      <c r="G209" s="8"/>
      <c r="H209" s="8"/>
      <c r="I209" s="7" t="s">
        <v>55</v>
      </c>
      <c r="J209" s="8"/>
      <c r="K209" s="8"/>
      <c r="L209" s="7" t="s">
        <v>2630</v>
      </c>
      <c r="M209" s="7" t="s">
        <v>2629</v>
      </c>
      <c r="N209" s="7">
        <v>420</v>
      </c>
      <c r="O209" s="7" t="s">
        <v>2631</v>
      </c>
      <c r="P209" s="7"/>
    </row>
    <row r="210" spans="1:17">
      <c r="A210" s="6" t="s">
        <v>31</v>
      </c>
      <c r="B210" s="7">
        <v>206884</v>
      </c>
      <c r="C210" s="7">
        <v>208731</v>
      </c>
      <c r="D210" s="8"/>
      <c r="E210" s="7" t="s">
        <v>53</v>
      </c>
      <c r="F210" s="7" t="s">
        <v>2632</v>
      </c>
      <c r="G210" s="7" t="s">
        <v>2633</v>
      </c>
      <c r="H210" s="8"/>
      <c r="I210" s="7" t="s">
        <v>55</v>
      </c>
      <c r="J210" s="8"/>
      <c r="K210" s="8"/>
      <c r="L210" s="7" t="s">
        <v>2634</v>
      </c>
      <c r="M210" s="7" t="s">
        <v>2632</v>
      </c>
      <c r="N210" s="7">
        <v>615</v>
      </c>
      <c r="O210" s="7" t="s">
        <v>2635</v>
      </c>
      <c r="P210" s="7"/>
    </row>
    <row r="211" spans="1:17">
      <c r="A211" s="6" t="s">
        <v>31</v>
      </c>
      <c r="B211" s="7">
        <v>209348</v>
      </c>
      <c r="C211" s="7">
        <v>211288</v>
      </c>
      <c r="D211" s="8"/>
      <c r="E211" s="7" t="s">
        <v>53</v>
      </c>
      <c r="F211" s="7" t="s">
        <v>2636</v>
      </c>
      <c r="G211" s="8"/>
      <c r="H211" s="8"/>
      <c r="I211" s="7" t="s">
        <v>55</v>
      </c>
      <c r="J211" s="8"/>
      <c r="K211" s="8"/>
      <c r="L211" s="7" t="s">
        <v>2637</v>
      </c>
      <c r="M211" s="7" t="s">
        <v>2636</v>
      </c>
      <c r="N211" s="7">
        <v>646</v>
      </c>
      <c r="O211" s="7" t="s">
        <v>2638</v>
      </c>
    </row>
    <row r="212" spans="1:17">
      <c r="A212" s="6" t="s">
        <v>31</v>
      </c>
      <c r="B212" s="7">
        <v>211288</v>
      </c>
      <c r="C212" s="7">
        <v>212091</v>
      </c>
      <c r="D212" s="8"/>
      <c r="E212" s="7" t="s">
        <v>53</v>
      </c>
      <c r="F212" s="7" t="s">
        <v>237</v>
      </c>
      <c r="G212" s="8"/>
      <c r="H212" s="8"/>
      <c r="I212" s="7" t="s">
        <v>55</v>
      </c>
      <c r="J212" s="8"/>
      <c r="K212" s="8"/>
      <c r="L212" s="7" t="s">
        <v>2639</v>
      </c>
      <c r="M212" s="7" t="s">
        <v>237</v>
      </c>
      <c r="N212" s="7">
        <v>267</v>
      </c>
      <c r="O212" s="7" t="s">
        <v>2640</v>
      </c>
    </row>
    <row r="213" spans="1:17">
      <c r="A213" s="6" t="s">
        <v>31</v>
      </c>
      <c r="B213" s="7">
        <v>212259</v>
      </c>
      <c r="C213" s="7">
        <v>212546</v>
      </c>
      <c r="D213" s="8"/>
      <c r="E213" s="7" t="s">
        <v>53</v>
      </c>
      <c r="F213" s="7" t="s">
        <v>2641</v>
      </c>
      <c r="G213" s="7" t="s">
        <v>262</v>
      </c>
      <c r="H213" s="8"/>
      <c r="I213" s="7" t="s">
        <v>55</v>
      </c>
      <c r="J213" s="8"/>
      <c r="K213" s="8"/>
      <c r="L213" s="7" t="s">
        <v>2642</v>
      </c>
      <c r="M213" s="7" t="s">
        <v>2641</v>
      </c>
      <c r="N213" s="7">
        <v>95</v>
      </c>
      <c r="O213" s="7" t="s">
        <v>2643</v>
      </c>
      <c r="P213" s="7"/>
    </row>
    <row r="214" spans="1:17">
      <c r="A214" s="6" t="s">
        <v>31</v>
      </c>
      <c r="B214" s="7">
        <v>212595</v>
      </c>
      <c r="C214" s="7">
        <v>214214</v>
      </c>
      <c r="D214" s="8"/>
      <c r="E214" s="7" t="s">
        <v>53</v>
      </c>
      <c r="F214" s="7" t="s">
        <v>2644</v>
      </c>
      <c r="G214" s="7" t="s">
        <v>2645</v>
      </c>
      <c r="H214" s="8"/>
      <c r="I214" s="7" t="s">
        <v>55</v>
      </c>
      <c r="J214" s="8"/>
      <c r="K214" s="8"/>
      <c r="L214" s="7" t="s">
        <v>2646</v>
      </c>
      <c r="M214" s="7" t="s">
        <v>2644</v>
      </c>
      <c r="N214" s="7">
        <v>539</v>
      </c>
      <c r="O214" s="7" t="s">
        <v>2647</v>
      </c>
    </row>
    <row r="215" spans="1:17">
      <c r="A215" s="6" t="s">
        <v>31</v>
      </c>
      <c r="B215" s="7">
        <v>214347</v>
      </c>
      <c r="C215" s="7">
        <v>214766</v>
      </c>
      <c r="D215" s="8"/>
      <c r="E215" s="7" t="s">
        <v>53</v>
      </c>
      <c r="F215" s="7" t="s">
        <v>1280</v>
      </c>
      <c r="G215" s="8"/>
      <c r="H215" s="8"/>
      <c r="I215" s="7" t="s">
        <v>55</v>
      </c>
      <c r="J215" s="8"/>
      <c r="K215" s="8"/>
      <c r="L215" s="7" t="s">
        <v>2648</v>
      </c>
      <c r="M215" s="7" t="s">
        <v>1280</v>
      </c>
      <c r="N215" s="7">
        <v>139</v>
      </c>
      <c r="O215" s="7" t="s">
        <v>2649</v>
      </c>
    </row>
    <row r="216" spans="1:17">
      <c r="A216" s="6" t="s">
        <v>31</v>
      </c>
      <c r="B216" s="7">
        <v>214773</v>
      </c>
      <c r="C216" s="7">
        <v>215153</v>
      </c>
      <c r="D216" s="8"/>
      <c r="E216" s="7" t="s">
        <v>53</v>
      </c>
      <c r="F216" s="7" t="s">
        <v>1280</v>
      </c>
      <c r="G216" s="8"/>
      <c r="H216" s="8"/>
      <c r="I216" s="7" t="s">
        <v>55</v>
      </c>
      <c r="J216" s="8"/>
      <c r="K216" s="8"/>
      <c r="L216" s="7" t="s">
        <v>2650</v>
      </c>
      <c r="M216" s="7" t="s">
        <v>1280</v>
      </c>
      <c r="N216" s="7">
        <v>126</v>
      </c>
      <c r="O216" s="7" t="s">
        <v>2651</v>
      </c>
    </row>
    <row r="217" spans="1:17">
      <c r="A217" s="6" t="s">
        <v>31</v>
      </c>
      <c r="B217" s="7">
        <v>215211</v>
      </c>
      <c r="C217" s="7">
        <v>215429</v>
      </c>
      <c r="D217" s="8"/>
      <c r="E217" s="7" t="s">
        <v>53</v>
      </c>
      <c r="F217" s="7" t="s">
        <v>1280</v>
      </c>
      <c r="G217" s="8"/>
      <c r="H217" s="8"/>
      <c r="I217" s="7" t="s">
        <v>55</v>
      </c>
      <c r="J217" s="8"/>
      <c r="K217" s="8"/>
      <c r="L217" s="7" t="s">
        <v>2652</v>
      </c>
      <c r="M217" s="7" t="s">
        <v>1280</v>
      </c>
      <c r="N217" s="7">
        <v>72</v>
      </c>
      <c r="O217" s="7" t="s">
        <v>2653</v>
      </c>
    </row>
    <row r="218" spans="1:17">
      <c r="A218" s="6" t="s">
        <v>31</v>
      </c>
      <c r="B218" s="7">
        <v>215622</v>
      </c>
      <c r="C218" s="7">
        <v>215930</v>
      </c>
      <c r="D218" s="8"/>
      <c r="E218" s="7" t="s">
        <v>75</v>
      </c>
      <c r="F218" s="7" t="s">
        <v>2212</v>
      </c>
      <c r="G218" s="8"/>
      <c r="H218" s="8"/>
      <c r="I218" s="7" t="s">
        <v>55</v>
      </c>
      <c r="J218" s="8"/>
      <c r="K218" s="8"/>
      <c r="L218" s="7" t="s">
        <v>2654</v>
      </c>
      <c r="M218" s="7" t="s">
        <v>2212</v>
      </c>
      <c r="N218" s="7">
        <v>102</v>
      </c>
      <c r="O218" s="7" t="s">
        <v>2655</v>
      </c>
    </row>
    <row r="219" spans="1:17">
      <c r="A219" s="6" t="s">
        <v>31</v>
      </c>
      <c r="B219" s="7">
        <v>216244</v>
      </c>
      <c r="C219" s="7">
        <v>216360</v>
      </c>
      <c r="D219" s="8"/>
      <c r="E219" s="7" t="s">
        <v>75</v>
      </c>
      <c r="F219" s="7" t="s">
        <v>2130</v>
      </c>
      <c r="G219" s="8"/>
      <c r="H219" s="8"/>
      <c r="I219" s="7" t="s">
        <v>55</v>
      </c>
      <c r="J219" s="8"/>
      <c r="K219" s="8"/>
      <c r="L219" s="7" t="s">
        <v>2656</v>
      </c>
      <c r="M219" s="7" t="s">
        <v>2130</v>
      </c>
      <c r="N219" s="7">
        <v>38</v>
      </c>
      <c r="O219" s="7" t="s">
        <v>2657</v>
      </c>
    </row>
    <row r="220" spans="1:17">
      <c r="A220" s="6" t="s">
        <v>31</v>
      </c>
      <c r="B220" s="7">
        <v>216440</v>
      </c>
      <c r="C220" s="7">
        <v>216745</v>
      </c>
      <c r="D220" s="8"/>
      <c r="E220" s="7" t="s">
        <v>75</v>
      </c>
      <c r="F220" s="7" t="s">
        <v>2130</v>
      </c>
      <c r="G220" s="8"/>
      <c r="H220" s="8"/>
      <c r="I220" s="7" t="s">
        <v>55</v>
      </c>
      <c r="J220" s="8"/>
      <c r="K220" s="8"/>
      <c r="L220" s="7" t="s">
        <v>2658</v>
      </c>
      <c r="M220" s="7" t="s">
        <v>2130</v>
      </c>
      <c r="N220" s="7">
        <v>101</v>
      </c>
      <c r="O220" s="7" t="s">
        <v>2659</v>
      </c>
    </row>
    <row r="221" spans="1:17">
      <c r="A221" s="6" t="s">
        <v>31</v>
      </c>
      <c r="B221" s="7">
        <v>216745</v>
      </c>
      <c r="C221" s="7">
        <v>216936</v>
      </c>
      <c r="D221" s="8"/>
      <c r="E221" s="7" t="s">
        <v>75</v>
      </c>
      <c r="F221" s="7" t="s">
        <v>2130</v>
      </c>
      <c r="G221" s="8"/>
      <c r="H221" s="8"/>
      <c r="I221" s="7" t="s">
        <v>55</v>
      </c>
      <c r="J221" s="8"/>
      <c r="K221" s="8"/>
      <c r="L221" s="7" t="s">
        <v>2660</v>
      </c>
      <c r="M221" s="7" t="s">
        <v>2130</v>
      </c>
      <c r="N221" s="7">
        <v>63</v>
      </c>
      <c r="O221" s="7" t="s">
        <v>2661</v>
      </c>
    </row>
    <row r="222" spans="1:17">
      <c r="A222" s="6" t="s">
        <v>31</v>
      </c>
      <c r="B222" s="7">
        <v>217003</v>
      </c>
      <c r="C222" s="7">
        <v>217077</v>
      </c>
      <c r="D222" s="8"/>
      <c r="E222" s="7" t="s">
        <v>75</v>
      </c>
      <c r="F222" s="7" t="s">
        <v>2095</v>
      </c>
      <c r="G222" s="8"/>
      <c r="H222" s="8"/>
      <c r="I222" s="7" t="s">
        <v>55</v>
      </c>
      <c r="J222" s="8"/>
      <c r="K222" s="8"/>
      <c r="L222" s="7" t="s">
        <v>2662</v>
      </c>
      <c r="M222" s="7" t="s">
        <v>2095</v>
      </c>
      <c r="N222" s="7">
        <v>24</v>
      </c>
      <c r="O222" s="7" t="s">
        <v>2663</v>
      </c>
    </row>
    <row r="223" spans="1:17">
      <c r="A223" s="6" t="s">
        <v>31</v>
      </c>
      <c r="B223" s="7">
        <v>217257</v>
      </c>
      <c r="C223" s="7">
        <v>218129</v>
      </c>
      <c r="D223" s="8"/>
      <c r="E223" s="7" t="s">
        <v>75</v>
      </c>
      <c r="F223" s="7" t="s">
        <v>2664</v>
      </c>
      <c r="G223" s="8"/>
      <c r="H223" s="8"/>
      <c r="I223" s="7" t="s">
        <v>55</v>
      </c>
      <c r="J223" s="8"/>
      <c r="K223" s="8"/>
      <c r="L223" s="7" t="s">
        <v>2665</v>
      </c>
      <c r="M223" s="7" t="s">
        <v>2664</v>
      </c>
      <c r="N223" s="7">
        <v>290</v>
      </c>
      <c r="O223" s="7" t="s">
        <v>2666</v>
      </c>
      <c r="P223" s="7"/>
    </row>
    <row r="224" spans="1:17">
      <c r="A224" s="6" t="s">
        <v>31</v>
      </c>
      <c r="B224" s="7">
        <v>218195</v>
      </c>
      <c r="C224" s="7">
        <v>220522</v>
      </c>
      <c r="D224" s="8"/>
      <c r="E224" s="7" t="s">
        <v>53</v>
      </c>
      <c r="F224" s="7" t="s">
        <v>2667</v>
      </c>
      <c r="G224" s="8"/>
      <c r="H224" s="8"/>
      <c r="I224" s="7" t="s">
        <v>55</v>
      </c>
      <c r="J224" s="8"/>
      <c r="K224" s="8"/>
      <c r="L224" s="7" t="s">
        <v>2668</v>
      </c>
      <c r="M224" s="7" t="s">
        <v>2667</v>
      </c>
      <c r="N224" s="7">
        <v>775</v>
      </c>
      <c r="O224" s="7" t="s">
        <v>2669</v>
      </c>
      <c r="P224" s="7"/>
      <c r="Q224" s="7"/>
    </row>
    <row r="225" spans="1:16">
      <c r="A225" s="6" t="s">
        <v>31</v>
      </c>
      <c r="B225" s="7">
        <v>220732</v>
      </c>
      <c r="C225" s="7">
        <v>220908</v>
      </c>
      <c r="D225" s="8"/>
      <c r="E225" s="7" t="s">
        <v>53</v>
      </c>
      <c r="F225" s="7" t="s">
        <v>2670</v>
      </c>
      <c r="G225" s="8"/>
      <c r="H225" s="8"/>
      <c r="I225" s="7" t="s">
        <v>55</v>
      </c>
      <c r="J225" s="8"/>
      <c r="K225" s="8"/>
      <c r="L225" s="7" t="s">
        <v>2671</v>
      </c>
      <c r="M225" s="7" t="s">
        <v>2670</v>
      </c>
      <c r="N225" s="7">
        <v>58</v>
      </c>
      <c r="O225" s="7" t="s">
        <v>2672</v>
      </c>
    </row>
    <row r="226" spans="1:16">
      <c r="A226" s="6" t="s">
        <v>31</v>
      </c>
      <c r="B226" s="7">
        <v>221105</v>
      </c>
      <c r="C226" s="7">
        <v>221644</v>
      </c>
      <c r="D226" s="8"/>
      <c r="E226" s="7" t="s">
        <v>53</v>
      </c>
      <c r="F226" s="7" t="s">
        <v>2673</v>
      </c>
      <c r="G226" s="7" t="s">
        <v>271</v>
      </c>
      <c r="H226" s="8"/>
      <c r="I226" s="7" t="s">
        <v>55</v>
      </c>
      <c r="J226" s="8"/>
      <c r="K226" s="8"/>
      <c r="L226" s="7" t="s">
        <v>2674</v>
      </c>
      <c r="M226" s="7" t="s">
        <v>2673</v>
      </c>
      <c r="N226" s="7">
        <v>179</v>
      </c>
      <c r="O226" s="7" t="s">
        <v>2675</v>
      </c>
    </row>
    <row r="227" spans="1:16">
      <c r="A227" s="6" t="s">
        <v>31</v>
      </c>
      <c r="B227" s="7">
        <v>221769</v>
      </c>
      <c r="C227" s="7">
        <v>222254</v>
      </c>
      <c r="D227" s="8"/>
      <c r="E227" s="7" t="s">
        <v>53</v>
      </c>
      <c r="F227" s="7" t="s">
        <v>2676</v>
      </c>
      <c r="G227" s="8"/>
      <c r="H227" s="8"/>
      <c r="I227" s="7" t="s">
        <v>55</v>
      </c>
      <c r="J227" s="8"/>
      <c r="K227" s="8"/>
      <c r="L227" s="7" t="s">
        <v>2677</v>
      </c>
      <c r="M227" s="7" t="s">
        <v>2676</v>
      </c>
      <c r="N227" s="7">
        <v>161</v>
      </c>
      <c r="O227" s="7" t="s">
        <v>2678</v>
      </c>
      <c r="P227" s="7"/>
    </row>
    <row r="228" spans="1:16">
      <c r="A228" s="6" t="s">
        <v>31</v>
      </c>
      <c r="B228" s="7">
        <v>222386</v>
      </c>
      <c r="C228" s="7">
        <v>222727</v>
      </c>
      <c r="D228" s="8"/>
      <c r="E228" s="7" t="s">
        <v>75</v>
      </c>
      <c r="F228" s="7" t="s">
        <v>2679</v>
      </c>
      <c r="G228" s="8"/>
      <c r="H228" s="8"/>
      <c r="I228" s="7" t="s">
        <v>55</v>
      </c>
      <c r="J228" s="8"/>
      <c r="K228" s="8"/>
      <c r="L228" s="7" t="s">
        <v>2680</v>
      </c>
      <c r="M228" s="7" t="s">
        <v>2679</v>
      </c>
      <c r="N228" s="7">
        <v>113</v>
      </c>
      <c r="O228" s="7" t="s">
        <v>2681</v>
      </c>
    </row>
    <row r="229" spans="1:16">
      <c r="A229" s="6" t="s">
        <v>31</v>
      </c>
      <c r="B229" s="7">
        <v>222642</v>
      </c>
      <c r="C229" s="7">
        <v>222824</v>
      </c>
      <c r="D229" s="8"/>
      <c r="E229" s="7" t="s">
        <v>75</v>
      </c>
      <c r="F229" s="7" t="s">
        <v>2095</v>
      </c>
      <c r="G229" s="8"/>
      <c r="H229" s="8"/>
      <c r="I229" s="7" t="s">
        <v>55</v>
      </c>
      <c r="J229" s="8"/>
      <c r="K229" s="8"/>
      <c r="L229" s="7" t="s">
        <v>2682</v>
      </c>
      <c r="M229" s="7" t="s">
        <v>2095</v>
      </c>
      <c r="N229" s="7">
        <v>60</v>
      </c>
      <c r="O229" s="7" t="s">
        <v>2683</v>
      </c>
    </row>
    <row r="230" spans="1:16">
      <c r="A230" s="6" t="s">
        <v>31</v>
      </c>
      <c r="B230" s="7">
        <v>222980</v>
      </c>
      <c r="C230" s="7">
        <v>223216</v>
      </c>
      <c r="D230" s="8"/>
      <c r="E230" s="7" t="s">
        <v>75</v>
      </c>
      <c r="F230" s="7" t="s">
        <v>2130</v>
      </c>
      <c r="G230" s="8"/>
      <c r="H230" s="8"/>
      <c r="I230" s="7" t="s">
        <v>55</v>
      </c>
      <c r="J230" s="8"/>
      <c r="K230" s="8"/>
      <c r="L230" s="7" t="s">
        <v>2684</v>
      </c>
      <c r="M230" s="7" t="s">
        <v>2130</v>
      </c>
      <c r="N230" s="7">
        <v>78</v>
      </c>
      <c r="O230" s="7" t="s">
        <v>2685</v>
      </c>
    </row>
    <row r="231" spans="1:16">
      <c r="A231" s="6" t="s">
        <v>31</v>
      </c>
      <c r="B231" s="7">
        <v>223191</v>
      </c>
      <c r="C231" s="7">
        <v>223955</v>
      </c>
      <c r="D231" s="8"/>
      <c r="E231" s="7" t="s">
        <v>75</v>
      </c>
      <c r="F231" s="7" t="s">
        <v>2686</v>
      </c>
      <c r="G231" s="8"/>
      <c r="H231" s="8"/>
      <c r="I231" s="7" t="s">
        <v>55</v>
      </c>
      <c r="J231" s="8"/>
      <c r="K231" s="8"/>
      <c r="L231" s="7" t="s">
        <v>2687</v>
      </c>
      <c r="M231" s="7" t="s">
        <v>2686</v>
      </c>
      <c r="N231" s="7">
        <v>254</v>
      </c>
      <c r="O231" s="7" t="s">
        <v>2688</v>
      </c>
    </row>
    <row r="232" spans="1:16">
      <c r="A232" s="6" t="s">
        <v>31</v>
      </c>
      <c r="B232" s="7">
        <v>224129</v>
      </c>
      <c r="C232" s="7">
        <v>226630</v>
      </c>
      <c r="D232" s="8"/>
      <c r="E232" s="7" t="s">
        <v>53</v>
      </c>
      <c r="F232" s="7" t="s">
        <v>2689</v>
      </c>
      <c r="G232" s="7" t="s">
        <v>275</v>
      </c>
      <c r="H232" s="8"/>
      <c r="I232" s="7" t="s">
        <v>55</v>
      </c>
      <c r="J232" s="8"/>
      <c r="K232" s="8"/>
      <c r="L232" s="7" t="s">
        <v>2690</v>
      </c>
      <c r="M232" s="7" t="s">
        <v>2689</v>
      </c>
      <c r="N232" s="7">
        <v>833</v>
      </c>
      <c r="O232" s="7" t="s">
        <v>2691</v>
      </c>
      <c r="P232" s="7"/>
    </row>
    <row r="233" spans="1:16">
      <c r="A233" s="6" t="s">
        <v>31</v>
      </c>
      <c r="B233" s="7">
        <v>226719</v>
      </c>
      <c r="C233" s="7">
        <v>226910</v>
      </c>
      <c r="D233" s="8"/>
      <c r="E233" s="7" t="s">
        <v>53</v>
      </c>
      <c r="F233" s="7" t="s">
        <v>2130</v>
      </c>
      <c r="G233" s="8"/>
      <c r="H233" s="8"/>
      <c r="I233" s="7" t="s">
        <v>55</v>
      </c>
      <c r="J233" s="8"/>
      <c r="K233" s="8"/>
      <c r="L233" s="7" t="s">
        <v>2692</v>
      </c>
      <c r="M233" s="7" t="s">
        <v>2130</v>
      </c>
      <c r="N233" s="7">
        <v>63</v>
      </c>
      <c r="O233" s="7" t="s">
        <v>2693</v>
      </c>
    </row>
    <row r="234" spans="1:16">
      <c r="A234" s="6" t="s">
        <v>31</v>
      </c>
      <c r="B234" s="7">
        <v>227399</v>
      </c>
      <c r="C234" s="7">
        <v>228352</v>
      </c>
      <c r="D234" s="8"/>
      <c r="E234" s="7" t="s">
        <v>75</v>
      </c>
      <c r="F234" s="7" t="s">
        <v>1280</v>
      </c>
      <c r="G234" s="7" t="s">
        <v>2108</v>
      </c>
      <c r="H234" s="8"/>
      <c r="I234" s="7" t="s">
        <v>55</v>
      </c>
      <c r="J234" s="8"/>
      <c r="K234" s="8"/>
      <c r="L234" s="7" t="s">
        <v>2694</v>
      </c>
      <c r="M234" s="7" t="s">
        <v>1280</v>
      </c>
      <c r="N234" s="7">
        <v>317</v>
      </c>
      <c r="O234" s="7" t="s">
        <v>2695</v>
      </c>
    </row>
    <row r="235" spans="1:16">
      <c r="A235" s="6" t="s">
        <v>31</v>
      </c>
      <c r="B235" s="7">
        <v>228584</v>
      </c>
      <c r="C235" s="7">
        <v>229096</v>
      </c>
      <c r="D235" s="8"/>
      <c r="E235" s="7" t="s">
        <v>53</v>
      </c>
      <c r="F235" s="7" t="s">
        <v>2696</v>
      </c>
      <c r="G235" s="8"/>
      <c r="H235" s="8"/>
      <c r="I235" s="7" t="s">
        <v>55</v>
      </c>
      <c r="J235" s="8"/>
      <c r="K235" s="8"/>
      <c r="L235" s="7" t="s">
        <v>2697</v>
      </c>
      <c r="M235" s="7" t="s">
        <v>2696</v>
      </c>
      <c r="N235" s="7">
        <v>170</v>
      </c>
      <c r="O235" s="7" t="s">
        <v>2698</v>
      </c>
    </row>
    <row r="236" spans="1:16">
      <c r="A236" s="6" t="s">
        <v>31</v>
      </c>
      <c r="B236" s="7">
        <v>229047</v>
      </c>
      <c r="C236" s="7">
        <v>229805</v>
      </c>
      <c r="D236" s="8"/>
      <c r="E236" s="7" t="s">
        <v>53</v>
      </c>
      <c r="F236" s="7" t="s">
        <v>2699</v>
      </c>
      <c r="G236" s="8"/>
      <c r="H236" s="8"/>
      <c r="I236" s="7" t="s">
        <v>55</v>
      </c>
      <c r="J236" s="8"/>
      <c r="K236" s="8"/>
      <c r="L236" s="7" t="s">
        <v>2700</v>
      </c>
      <c r="M236" s="7" t="s">
        <v>2699</v>
      </c>
      <c r="N236" s="7">
        <v>252</v>
      </c>
      <c r="O236" s="7" t="s">
        <v>2701</v>
      </c>
    </row>
    <row r="237" spans="1:16">
      <c r="A237" s="6" t="s">
        <v>31</v>
      </c>
      <c r="B237" s="7">
        <v>230099</v>
      </c>
      <c r="C237" s="7">
        <v>231553</v>
      </c>
      <c r="D237" s="8"/>
      <c r="E237" s="7" t="s">
        <v>53</v>
      </c>
      <c r="F237" s="7" t="s">
        <v>277</v>
      </c>
      <c r="G237" s="7" t="s">
        <v>2702</v>
      </c>
      <c r="H237" s="8"/>
      <c r="I237" s="7" t="s">
        <v>55</v>
      </c>
      <c r="J237" s="8"/>
      <c r="K237" s="8"/>
      <c r="L237" s="7" t="s">
        <v>2703</v>
      </c>
      <c r="M237" s="7" t="s">
        <v>277</v>
      </c>
      <c r="N237" s="7">
        <v>484</v>
      </c>
      <c r="O237" s="7" t="s">
        <v>2704</v>
      </c>
      <c r="P237" s="7"/>
    </row>
    <row r="238" spans="1:16">
      <c r="A238" s="6" t="s">
        <v>31</v>
      </c>
      <c r="B238" s="7">
        <v>231565</v>
      </c>
      <c r="C238" s="7">
        <v>232386</v>
      </c>
      <c r="D238" s="8"/>
      <c r="E238" s="7" t="s">
        <v>53</v>
      </c>
      <c r="F238" s="7" t="s">
        <v>2705</v>
      </c>
      <c r="G238" s="7" t="s">
        <v>279</v>
      </c>
      <c r="H238" s="8"/>
      <c r="I238" s="7" t="s">
        <v>55</v>
      </c>
      <c r="J238" s="8"/>
      <c r="K238" s="8"/>
      <c r="L238" s="7" t="s">
        <v>2706</v>
      </c>
      <c r="M238" s="7" t="s">
        <v>2705</v>
      </c>
      <c r="N238" s="7">
        <v>273</v>
      </c>
      <c r="O238" s="7" t="s">
        <v>2707</v>
      </c>
      <c r="P238" s="7"/>
    </row>
    <row r="239" spans="1:16">
      <c r="A239" s="6" t="s">
        <v>31</v>
      </c>
      <c r="B239" s="7">
        <v>232402</v>
      </c>
      <c r="C239" s="7">
        <v>232842</v>
      </c>
      <c r="D239" s="8"/>
      <c r="E239" s="7" t="s">
        <v>53</v>
      </c>
      <c r="F239" s="7" t="s">
        <v>2708</v>
      </c>
      <c r="G239" s="8"/>
      <c r="H239" s="8"/>
      <c r="I239" s="7" t="s">
        <v>55</v>
      </c>
      <c r="J239" s="8"/>
      <c r="K239" s="8"/>
      <c r="L239" s="7" t="s">
        <v>2709</v>
      </c>
      <c r="M239" s="7" t="s">
        <v>2708</v>
      </c>
      <c r="N239" s="7">
        <v>146</v>
      </c>
      <c r="O239" s="7" t="s">
        <v>2710</v>
      </c>
    </row>
    <row r="240" spans="1:16">
      <c r="A240" s="6" t="s">
        <v>31</v>
      </c>
      <c r="B240" s="7">
        <v>232944</v>
      </c>
      <c r="C240" s="7">
        <v>234281</v>
      </c>
      <c r="D240" s="8"/>
      <c r="E240" s="7" t="s">
        <v>53</v>
      </c>
      <c r="F240" s="7" t="s">
        <v>2711</v>
      </c>
      <c r="G240" s="7" t="s">
        <v>282</v>
      </c>
      <c r="H240" s="8"/>
      <c r="I240" s="7" t="s">
        <v>55</v>
      </c>
      <c r="J240" s="8"/>
      <c r="K240" s="8"/>
      <c r="L240" s="7" t="s">
        <v>2712</v>
      </c>
      <c r="M240" s="7" t="s">
        <v>2711</v>
      </c>
      <c r="N240" s="7">
        <v>445</v>
      </c>
      <c r="O240" s="7" t="s">
        <v>2713</v>
      </c>
      <c r="P240" s="7"/>
    </row>
    <row r="241" spans="1:17">
      <c r="A241" s="6" t="s">
        <v>31</v>
      </c>
      <c r="B241" s="7">
        <v>234391</v>
      </c>
      <c r="C241" s="7">
        <v>236721</v>
      </c>
      <c r="D241" s="8"/>
      <c r="E241" s="7" t="s">
        <v>75</v>
      </c>
      <c r="F241" s="7" t="s">
        <v>2714</v>
      </c>
      <c r="G241" s="7" t="s">
        <v>2715</v>
      </c>
      <c r="H241" s="8"/>
      <c r="I241" s="7" t="s">
        <v>55</v>
      </c>
      <c r="J241" s="8"/>
      <c r="K241" s="8"/>
      <c r="L241" s="7" t="s">
        <v>2716</v>
      </c>
      <c r="M241" s="7" t="s">
        <v>2714</v>
      </c>
      <c r="N241" s="7">
        <v>776</v>
      </c>
      <c r="O241" s="7" t="s">
        <v>2717</v>
      </c>
      <c r="P241" s="7"/>
      <c r="Q241" s="7"/>
    </row>
    <row r="242" spans="1:17">
      <c r="A242" s="6" t="s">
        <v>31</v>
      </c>
      <c r="B242" s="7">
        <v>236721</v>
      </c>
      <c r="C242" s="7">
        <v>237317</v>
      </c>
      <c r="D242" s="8"/>
      <c r="E242" s="7" t="s">
        <v>75</v>
      </c>
      <c r="F242" s="7" t="s">
        <v>2718</v>
      </c>
      <c r="G242" s="7" t="s">
        <v>285</v>
      </c>
      <c r="H242" s="8"/>
      <c r="I242" s="7" t="s">
        <v>55</v>
      </c>
      <c r="J242" s="8"/>
      <c r="K242" s="8"/>
      <c r="L242" s="7" t="s">
        <v>2719</v>
      </c>
      <c r="M242" s="7" t="s">
        <v>2718</v>
      </c>
      <c r="N242" s="7">
        <v>198</v>
      </c>
      <c r="O242" s="7" t="s">
        <v>2720</v>
      </c>
    </row>
    <row r="243" spans="1:17">
      <c r="A243" s="6" t="s">
        <v>31</v>
      </c>
      <c r="B243" s="7">
        <v>237394</v>
      </c>
      <c r="C243" s="7">
        <v>237909</v>
      </c>
      <c r="D243" s="8"/>
      <c r="E243" s="7" t="s">
        <v>53</v>
      </c>
      <c r="F243" s="7" t="s">
        <v>2130</v>
      </c>
      <c r="G243" s="8"/>
      <c r="H243" s="8"/>
      <c r="I243" s="7" t="s">
        <v>55</v>
      </c>
      <c r="J243" s="8"/>
      <c r="K243" s="8"/>
      <c r="L243" s="7" t="s">
        <v>2721</v>
      </c>
      <c r="M243" s="7" t="s">
        <v>2130</v>
      </c>
      <c r="N243" s="7">
        <v>171</v>
      </c>
      <c r="O243" s="7" t="s">
        <v>2722</v>
      </c>
    </row>
    <row r="244" spans="1:17">
      <c r="A244" s="6" t="s">
        <v>31</v>
      </c>
      <c r="B244" s="7">
        <v>238018</v>
      </c>
      <c r="C244" s="7">
        <v>238350</v>
      </c>
      <c r="D244" s="8"/>
      <c r="E244" s="7" t="s">
        <v>53</v>
      </c>
      <c r="F244" s="7" t="s">
        <v>2723</v>
      </c>
      <c r="G244" s="7" t="s">
        <v>288</v>
      </c>
      <c r="H244" s="8"/>
      <c r="I244" s="7" t="s">
        <v>55</v>
      </c>
      <c r="J244" s="8"/>
      <c r="K244" s="8"/>
      <c r="L244" s="7" t="s">
        <v>2724</v>
      </c>
      <c r="M244" s="7" t="s">
        <v>2723</v>
      </c>
      <c r="N244" s="7">
        <v>110</v>
      </c>
      <c r="O244" s="7" t="s">
        <v>2725</v>
      </c>
    </row>
    <row r="245" spans="1:17">
      <c r="A245" s="6" t="s">
        <v>31</v>
      </c>
      <c r="B245" s="7">
        <v>238883</v>
      </c>
      <c r="C245" s="7">
        <v>240049</v>
      </c>
      <c r="D245" s="8"/>
      <c r="E245" s="7" t="s">
        <v>53</v>
      </c>
      <c r="F245" s="7" t="s">
        <v>2726</v>
      </c>
      <c r="G245" s="7" t="s">
        <v>2727</v>
      </c>
      <c r="H245" s="8"/>
      <c r="I245" s="7" t="s">
        <v>55</v>
      </c>
      <c r="J245" s="8"/>
      <c r="K245" s="8"/>
      <c r="L245" s="7" t="s">
        <v>2728</v>
      </c>
      <c r="M245" s="7" t="s">
        <v>2726</v>
      </c>
      <c r="N245" s="7">
        <v>388</v>
      </c>
      <c r="O245" s="7" t="s">
        <v>2729</v>
      </c>
      <c r="P245" s="7"/>
    </row>
    <row r="246" spans="1:17">
      <c r="A246" s="6" t="s">
        <v>31</v>
      </c>
      <c r="B246" s="7">
        <v>240052</v>
      </c>
      <c r="C246" s="7">
        <v>241914</v>
      </c>
      <c r="D246" s="8"/>
      <c r="E246" s="7" t="s">
        <v>53</v>
      </c>
      <c r="F246" s="7" t="s">
        <v>2730</v>
      </c>
      <c r="G246" s="7" t="s">
        <v>2731</v>
      </c>
      <c r="H246" s="8"/>
      <c r="I246" s="7" t="s">
        <v>55</v>
      </c>
      <c r="J246" s="8"/>
      <c r="K246" s="8"/>
      <c r="L246" s="7" t="s">
        <v>2732</v>
      </c>
      <c r="M246" s="7" t="s">
        <v>2730</v>
      </c>
      <c r="N246" s="7">
        <v>620</v>
      </c>
      <c r="O246" s="7" t="s">
        <v>2733</v>
      </c>
    </row>
    <row r="247" spans="1:17">
      <c r="A247" s="6" t="s">
        <v>31</v>
      </c>
      <c r="B247" s="7">
        <v>242025</v>
      </c>
      <c r="C247" s="7">
        <v>245120</v>
      </c>
      <c r="D247" s="8"/>
      <c r="E247" s="7" t="s">
        <v>53</v>
      </c>
      <c r="F247" s="7" t="s">
        <v>2734</v>
      </c>
      <c r="G247" s="8"/>
      <c r="H247" s="8"/>
      <c r="I247" s="7" t="s">
        <v>55</v>
      </c>
      <c r="J247" s="8"/>
      <c r="K247" s="8"/>
      <c r="L247" s="7" t="s">
        <v>2735</v>
      </c>
      <c r="M247" s="7" t="s">
        <v>2734</v>
      </c>
      <c r="N247" s="7">
        <v>1031</v>
      </c>
      <c r="O247" s="7" t="s">
        <v>2736</v>
      </c>
    </row>
    <row r="248" spans="1:17">
      <c r="A248" s="6" t="s">
        <v>31</v>
      </c>
      <c r="B248" s="7">
        <v>245276</v>
      </c>
      <c r="C248" s="7">
        <v>245992</v>
      </c>
      <c r="D248" s="8"/>
      <c r="E248" s="7" t="s">
        <v>53</v>
      </c>
      <c r="F248" s="7" t="s">
        <v>2130</v>
      </c>
      <c r="G248" s="8"/>
      <c r="H248" s="8"/>
      <c r="I248" s="7" t="s">
        <v>55</v>
      </c>
      <c r="J248" s="8"/>
      <c r="K248" s="8"/>
      <c r="L248" s="7" t="s">
        <v>2737</v>
      </c>
      <c r="M248" s="7" t="s">
        <v>2130</v>
      </c>
      <c r="N248" s="7">
        <v>238</v>
      </c>
      <c r="O248" s="7" t="s">
        <v>2738</v>
      </c>
    </row>
    <row r="249" spans="1:17">
      <c r="A249" s="6" t="s">
        <v>31</v>
      </c>
      <c r="B249" s="7">
        <v>246019</v>
      </c>
      <c r="C249" s="7">
        <v>247347</v>
      </c>
      <c r="D249" s="8"/>
      <c r="E249" s="7" t="s">
        <v>53</v>
      </c>
      <c r="F249" s="7" t="s">
        <v>2739</v>
      </c>
      <c r="G249" s="7" t="s">
        <v>294</v>
      </c>
      <c r="H249" s="8"/>
      <c r="I249" s="7" t="s">
        <v>55</v>
      </c>
      <c r="J249" s="8"/>
      <c r="K249" s="8"/>
      <c r="L249" s="7" t="s">
        <v>2740</v>
      </c>
      <c r="M249" s="7" t="s">
        <v>2739</v>
      </c>
      <c r="N249" s="7">
        <v>442</v>
      </c>
      <c r="O249" s="7" t="s">
        <v>2741</v>
      </c>
      <c r="P249" s="7"/>
    </row>
    <row r="250" spans="1:17">
      <c r="A250" s="6" t="s">
        <v>31</v>
      </c>
      <c r="B250" s="7">
        <v>247433</v>
      </c>
      <c r="C250" s="7">
        <v>247900</v>
      </c>
      <c r="D250" s="8"/>
      <c r="E250" s="7" t="s">
        <v>53</v>
      </c>
      <c r="F250" s="7" t="s">
        <v>2742</v>
      </c>
      <c r="G250" s="8"/>
      <c r="H250" s="8"/>
      <c r="I250" s="7" t="s">
        <v>55</v>
      </c>
      <c r="J250" s="8"/>
      <c r="K250" s="8"/>
      <c r="L250" s="7" t="s">
        <v>2743</v>
      </c>
      <c r="M250" s="7" t="s">
        <v>2742</v>
      </c>
      <c r="N250" s="7">
        <v>155</v>
      </c>
      <c r="O250" s="7" t="s">
        <v>2744</v>
      </c>
    </row>
    <row r="251" spans="1:17">
      <c r="A251" s="6" t="s">
        <v>31</v>
      </c>
      <c r="B251" s="7">
        <v>248000</v>
      </c>
      <c r="C251" s="7">
        <v>249976</v>
      </c>
      <c r="D251" s="8"/>
      <c r="E251" s="7" t="s">
        <v>53</v>
      </c>
      <c r="F251" s="7" t="s">
        <v>2745</v>
      </c>
      <c r="G251" s="7" t="s">
        <v>2746</v>
      </c>
      <c r="H251" s="8"/>
      <c r="I251" s="7" t="s">
        <v>55</v>
      </c>
      <c r="J251" s="8"/>
      <c r="K251" s="8"/>
      <c r="L251" s="7" t="s">
        <v>2747</v>
      </c>
      <c r="M251" s="7" t="s">
        <v>2745</v>
      </c>
      <c r="N251" s="7">
        <v>658</v>
      </c>
      <c r="O251" s="7" t="s">
        <v>2748</v>
      </c>
      <c r="P251" s="7"/>
    </row>
    <row r="252" spans="1:17">
      <c r="A252" s="6" t="s">
        <v>31</v>
      </c>
      <c r="B252" s="7">
        <v>250060</v>
      </c>
      <c r="C252" s="7">
        <v>250542</v>
      </c>
      <c r="D252" s="8"/>
      <c r="E252" s="7" t="s">
        <v>53</v>
      </c>
      <c r="F252" s="7" t="s">
        <v>2749</v>
      </c>
      <c r="G252" s="7" t="s">
        <v>298</v>
      </c>
      <c r="H252" s="8"/>
      <c r="I252" s="7" t="s">
        <v>55</v>
      </c>
      <c r="J252" s="8"/>
      <c r="K252" s="8"/>
      <c r="L252" s="7" t="s">
        <v>2750</v>
      </c>
      <c r="M252" s="7" t="s">
        <v>2749</v>
      </c>
      <c r="N252" s="7">
        <v>160</v>
      </c>
      <c r="O252" s="7" t="s">
        <v>2751</v>
      </c>
    </row>
    <row r="253" spans="1:17">
      <c r="A253" s="6" t="s">
        <v>31</v>
      </c>
      <c r="B253" s="7">
        <v>250855</v>
      </c>
      <c r="C253" s="7">
        <v>250971</v>
      </c>
      <c r="D253" s="8"/>
      <c r="E253" s="7" t="s">
        <v>53</v>
      </c>
      <c r="F253" s="7" t="s">
        <v>2095</v>
      </c>
      <c r="G253" s="8"/>
      <c r="H253" s="8"/>
      <c r="I253" s="7" t="s">
        <v>55</v>
      </c>
      <c r="J253" s="8"/>
      <c r="K253" s="8"/>
      <c r="L253" s="7" t="s">
        <v>2752</v>
      </c>
      <c r="M253" s="7" t="s">
        <v>2095</v>
      </c>
      <c r="N253" s="7">
        <v>38</v>
      </c>
      <c r="O253" s="7" t="s">
        <v>2753</v>
      </c>
    </row>
    <row r="254" spans="1:17">
      <c r="A254" s="6" t="s">
        <v>31</v>
      </c>
      <c r="B254" s="7">
        <v>251095</v>
      </c>
      <c r="C254" s="7">
        <v>251436</v>
      </c>
      <c r="D254" s="8"/>
      <c r="E254" s="7" t="s">
        <v>53</v>
      </c>
      <c r="F254" s="7" t="s">
        <v>2095</v>
      </c>
      <c r="G254" s="8"/>
      <c r="H254" s="8"/>
      <c r="I254" s="7" t="s">
        <v>55</v>
      </c>
      <c r="J254" s="8"/>
      <c r="K254" s="8"/>
      <c r="L254" s="7" t="s">
        <v>2754</v>
      </c>
      <c r="M254" s="7" t="s">
        <v>2095</v>
      </c>
      <c r="N254" s="7">
        <v>113</v>
      </c>
      <c r="O254" s="7" t="s">
        <v>2755</v>
      </c>
    </row>
    <row r="255" spans="1:17">
      <c r="A255" s="6" t="s">
        <v>31</v>
      </c>
      <c r="B255" s="7">
        <v>251492</v>
      </c>
      <c r="C255" s="7">
        <v>252409</v>
      </c>
      <c r="D255" s="8"/>
      <c r="E255" s="7" t="s">
        <v>75</v>
      </c>
      <c r="F255" s="7" t="s">
        <v>2756</v>
      </c>
      <c r="G255" s="7" t="s">
        <v>300</v>
      </c>
      <c r="H255" s="8"/>
      <c r="I255" s="7" t="s">
        <v>55</v>
      </c>
      <c r="J255" s="8"/>
      <c r="K255" s="8"/>
      <c r="L255" s="7" t="s">
        <v>2757</v>
      </c>
      <c r="M255" s="7" t="s">
        <v>2756</v>
      </c>
      <c r="N255" s="7">
        <v>305</v>
      </c>
      <c r="O255" s="7" t="s">
        <v>2758</v>
      </c>
    </row>
    <row r="256" spans="1:17">
      <c r="A256" s="6" t="s">
        <v>31</v>
      </c>
      <c r="B256" s="7">
        <v>252496</v>
      </c>
      <c r="C256" s="7">
        <v>252774</v>
      </c>
      <c r="D256" s="8"/>
      <c r="E256" s="7" t="s">
        <v>75</v>
      </c>
      <c r="F256" s="7" t="s">
        <v>2759</v>
      </c>
      <c r="G256" s="7" t="s">
        <v>2760</v>
      </c>
      <c r="H256" s="8"/>
      <c r="I256" s="7" t="s">
        <v>55</v>
      </c>
      <c r="J256" s="8"/>
      <c r="K256" s="8"/>
      <c r="L256" s="7" t="s">
        <v>2761</v>
      </c>
      <c r="M256" s="7" t="s">
        <v>2759</v>
      </c>
      <c r="N256" s="7">
        <v>92</v>
      </c>
      <c r="O256" s="7" t="s">
        <v>2762</v>
      </c>
      <c r="P256" s="7"/>
    </row>
    <row r="257" spans="1:16">
      <c r="A257" s="6" t="s">
        <v>31</v>
      </c>
      <c r="B257" s="7">
        <v>252877</v>
      </c>
      <c r="C257" s="7">
        <v>253614</v>
      </c>
      <c r="D257" s="8"/>
      <c r="E257" s="7" t="s">
        <v>53</v>
      </c>
      <c r="F257" s="7" t="s">
        <v>2763</v>
      </c>
      <c r="G257" s="7" t="s">
        <v>2764</v>
      </c>
      <c r="H257" s="8"/>
      <c r="I257" s="7" t="s">
        <v>55</v>
      </c>
      <c r="J257" s="8"/>
      <c r="K257" s="8"/>
      <c r="L257" s="7" t="s">
        <v>2765</v>
      </c>
      <c r="M257" s="7" t="s">
        <v>2763</v>
      </c>
      <c r="N257" s="7">
        <v>245</v>
      </c>
      <c r="O257" s="7" t="s">
        <v>2766</v>
      </c>
      <c r="P257" s="7"/>
    </row>
    <row r="258" spans="1:16">
      <c r="A258" s="6" t="s">
        <v>31</v>
      </c>
      <c r="B258" s="7">
        <v>253716</v>
      </c>
      <c r="C258" s="7">
        <v>254210</v>
      </c>
      <c r="D258" s="8"/>
      <c r="E258" s="7" t="s">
        <v>53</v>
      </c>
      <c r="F258" s="7" t="s">
        <v>2767</v>
      </c>
      <c r="G258" s="8"/>
      <c r="H258" s="8"/>
      <c r="I258" s="7" t="s">
        <v>55</v>
      </c>
      <c r="J258" s="8"/>
      <c r="K258" s="8"/>
      <c r="L258" s="7" t="s">
        <v>2768</v>
      </c>
      <c r="M258" s="7" t="s">
        <v>2767</v>
      </c>
      <c r="N258" s="7">
        <v>164</v>
      </c>
      <c r="O258" s="7" t="s">
        <v>2769</v>
      </c>
    </row>
    <row r="259" spans="1:16">
      <c r="A259" s="6" t="s">
        <v>31</v>
      </c>
      <c r="B259" s="7">
        <v>254244</v>
      </c>
      <c r="C259" s="7">
        <v>254933</v>
      </c>
      <c r="D259" s="8"/>
      <c r="E259" s="7" t="s">
        <v>53</v>
      </c>
      <c r="F259" s="7" t="s">
        <v>789</v>
      </c>
      <c r="G259" s="8"/>
      <c r="H259" s="8"/>
      <c r="I259" s="7" t="s">
        <v>55</v>
      </c>
      <c r="J259" s="8"/>
      <c r="K259" s="8"/>
      <c r="L259" s="7" t="s">
        <v>2770</v>
      </c>
      <c r="M259" s="7" t="s">
        <v>789</v>
      </c>
      <c r="N259" s="7">
        <v>229</v>
      </c>
      <c r="O259" s="7" t="s">
        <v>2771</v>
      </c>
    </row>
    <row r="260" spans="1:16">
      <c r="A260" s="6" t="s">
        <v>31</v>
      </c>
      <c r="B260" s="7">
        <v>255044</v>
      </c>
      <c r="C260" s="7">
        <v>255322</v>
      </c>
      <c r="D260" s="8"/>
      <c r="E260" s="7" t="s">
        <v>75</v>
      </c>
      <c r="F260" s="7" t="s">
        <v>2130</v>
      </c>
      <c r="G260" s="8"/>
      <c r="H260" s="8"/>
      <c r="I260" s="7" t="s">
        <v>55</v>
      </c>
      <c r="J260" s="8"/>
      <c r="K260" s="8"/>
      <c r="L260" s="7" t="s">
        <v>2772</v>
      </c>
      <c r="M260" s="7" t="s">
        <v>2130</v>
      </c>
      <c r="N260" s="7">
        <v>92</v>
      </c>
      <c r="O260" s="7" t="s">
        <v>2773</v>
      </c>
    </row>
    <row r="261" spans="1:16">
      <c r="A261" s="6" t="s">
        <v>31</v>
      </c>
      <c r="B261" s="7">
        <v>255715</v>
      </c>
      <c r="C261" s="7">
        <v>256053</v>
      </c>
      <c r="D261" s="8"/>
      <c r="E261" s="7" t="s">
        <v>75</v>
      </c>
      <c r="F261" s="7" t="s">
        <v>2130</v>
      </c>
      <c r="G261" s="8"/>
      <c r="H261" s="8"/>
      <c r="I261" s="7" t="s">
        <v>55</v>
      </c>
      <c r="J261" s="8"/>
      <c r="K261" s="8"/>
      <c r="L261" s="7" t="s">
        <v>2774</v>
      </c>
      <c r="M261" s="7" t="s">
        <v>2130</v>
      </c>
      <c r="N261" s="7">
        <v>112</v>
      </c>
      <c r="O261" s="7" t="s">
        <v>2775</v>
      </c>
    </row>
    <row r="262" spans="1:16">
      <c r="A262" s="6" t="s">
        <v>31</v>
      </c>
      <c r="B262" s="7">
        <v>256240</v>
      </c>
      <c r="C262" s="7">
        <v>257493</v>
      </c>
      <c r="D262" s="8"/>
      <c r="E262" s="7" t="s">
        <v>53</v>
      </c>
      <c r="F262" s="7" t="s">
        <v>2776</v>
      </c>
      <c r="G262" s="8"/>
      <c r="H262" s="8"/>
      <c r="I262" s="7" t="s">
        <v>55</v>
      </c>
      <c r="J262" s="8"/>
      <c r="K262" s="8"/>
      <c r="L262" s="7" t="s">
        <v>2777</v>
      </c>
      <c r="M262" s="7" t="s">
        <v>2776</v>
      </c>
      <c r="N262" s="7">
        <v>417</v>
      </c>
      <c r="O262" s="7" t="s">
        <v>2778</v>
      </c>
      <c r="P262" s="7"/>
    </row>
    <row r="263" spans="1:16">
      <c r="A263" s="6" t="s">
        <v>31</v>
      </c>
      <c r="B263" s="7">
        <v>257523</v>
      </c>
      <c r="C263" s="7">
        <v>258062</v>
      </c>
      <c r="D263" s="8"/>
      <c r="E263" s="7" t="s">
        <v>75</v>
      </c>
      <c r="F263" s="7" t="s">
        <v>2779</v>
      </c>
      <c r="G263" s="8"/>
      <c r="H263" s="8"/>
      <c r="I263" s="7" t="s">
        <v>55</v>
      </c>
      <c r="J263" s="8"/>
      <c r="K263" s="8"/>
      <c r="L263" s="7" t="s">
        <v>2780</v>
      </c>
      <c r="M263" s="7" t="s">
        <v>2779</v>
      </c>
      <c r="N263" s="7">
        <v>179</v>
      </c>
      <c r="O263" s="7" t="s">
        <v>2781</v>
      </c>
    </row>
    <row r="264" spans="1:16">
      <c r="A264" s="6" t="s">
        <v>31</v>
      </c>
      <c r="B264" s="7">
        <v>258303</v>
      </c>
      <c r="C264" s="7">
        <v>258548</v>
      </c>
      <c r="D264" s="8"/>
      <c r="E264" s="7" t="s">
        <v>53</v>
      </c>
      <c r="F264" s="7" t="s">
        <v>2130</v>
      </c>
      <c r="G264" s="8"/>
      <c r="H264" s="8"/>
      <c r="I264" s="7" t="s">
        <v>55</v>
      </c>
      <c r="J264" s="8"/>
      <c r="K264" s="8"/>
      <c r="L264" s="7" t="s">
        <v>2782</v>
      </c>
      <c r="M264" s="7" t="s">
        <v>2130</v>
      </c>
      <c r="N264" s="7">
        <v>81</v>
      </c>
      <c r="O264" s="7" t="s">
        <v>2783</v>
      </c>
    </row>
    <row r="265" spans="1:16">
      <c r="A265" s="6" t="s">
        <v>31</v>
      </c>
      <c r="B265" s="7">
        <v>258614</v>
      </c>
      <c r="C265" s="7">
        <v>259429</v>
      </c>
      <c r="D265" s="8"/>
      <c r="E265" s="7" t="s">
        <v>53</v>
      </c>
      <c r="F265" s="7" t="s">
        <v>311</v>
      </c>
      <c r="G265" s="7" t="s">
        <v>2784</v>
      </c>
      <c r="H265" s="8"/>
      <c r="I265" s="7" t="s">
        <v>55</v>
      </c>
      <c r="J265" s="8"/>
      <c r="K265" s="8"/>
      <c r="L265" s="7" t="s">
        <v>2785</v>
      </c>
      <c r="M265" s="7" t="s">
        <v>311</v>
      </c>
      <c r="N265" s="7">
        <v>271</v>
      </c>
      <c r="O265" s="7" t="s">
        <v>2786</v>
      </c>
      <c r="P265" s="7"/>
    </row>
    <row r="266" spans="1:16">
      <c r="A266" s="6" t="s">
        <v>31</v>
      </c>
      <c r="B266" s="7">
        <v>259422</v>
      </c>
      <c r="C266" s="7">
        <v>260396</v>
      </c>
      <c r="D266" s="8"/>
      <c r="E266" s="7" t="s">
        <v>53</v>
      </c>
      <c r="F266" s="7" t="s">
        <v>2787</v>
      </c>
      <c r="G266" s="8"/>
      <c r="H266" s="8"/>
      <c r="I266" s="7" t="s">
        <v>55</v>
      </c>
      <c r="J266" s="8"/>
      <c r="K266" s="8"/>
      <c r="L266" s="7" t="s">
        <v>2788</v>
      </c>
      <c r="M266" s="7" t="s">
        <v>2787</v>
      </c>
      <c r="N266" s="7">
        <v>324</v>
      </c>
      <c r="O266" s="7" t="s">
        <v>2789</v>
      </c>
      <c r="P266" s="7"/>
    </row>
    <row r="267" spans="1:16">
      <c r="A267" s="6" t="s">
        <v>31</v>
      </c>
      <c r="B267" s="7">
        <v>260378</v>
      </c>
      <c r="C267" s="7">
        <v>260899</v>
      </c>
      <c r="D267" s="8"/>
      <c r="E267" s="7" t="s">
        <v>53</v>
      </c>
      <c r="F267" s="7" t="s">
        <v>2790</v>
      </c>
      <c r="G267" s="8"/>
      <c r="H267" s="8"/>
      <c r="I267" s="7" t="s">
        <v>55</v>
      </c>
      <c r="J267" s="8"/>
      <c r="K267" s="8"/>
      <c r="L267" s="7" t="s">
        <v>2791</v>
      </c>
      <c r="M267" s="7" t="s">
        <v>2790</v>
      </c>
      <c r="N267" s="7">
        <v>173</v>
      </c>
      <c r="O267" s="7" t="s">
        <v>2792</v>
      </c>
      <c r="P267" s="7"/>
    </row>
    <row r="268" spans="1:16">
      <c r="A268" s="6" t="s">
        <v>31</v>
      </c>
      <c r="B268" s="7">
        <v>260896</v>
      </c>
      <c r="C268" s="7">
        <v>261378</v>
      </c>
      <c r="D268" s="8"/>
      <c r="E268" s="7" t="s">
        <v>53</v>
      </c>
      <c r="F268" s="7" t="s">
        <v>2793</v>
      </c>
      <c r="G268" s="8"/>
      <c r="H268" s="8"/>
      <c r="I268" s="7" t="s">
        <v>55</v>
      </c>
      <c r="J268" s="8"/>
      <c r="K268" s="8"/>
      <c r="L268" s="7" t="s">
        <v>2794</v>
      </c>
      <c r="M268" s="7" t="s">
        <v>2793</v>
      </c>
      <c r="N268" s="7">
        <v>160</v>
      </c>
      <c r="O268" s="7" t="s">
        <v>2795</v>
      </c>
    </row>
    <row r="269" spans="1:16">
      <c r="A269" s="6" t="s">
        <v>31</v>
      </c>
      <c r="B269" s="7">
        <v>261320</v>
      </c>
      <c r="C269" s="7">
        <v>262093</v>
      </c>
      <c r="D269" s="8"/>
      <c r="E269" s="7" t="s">
        <v>53</v>
      </c>
      <c r="F269" s="7" t="s">
        <v>2796</v>
      </c>
      <c r="G269" s="8"/>
      <c r="H269" s="8"/>
      <c r="I269" s="7" t="s">
        <v>55</v>
      </c>
      <c r="J269" s="8"/>
      <c r="K269" s="8"/>
      <c r="L269" s="7" t="s">
        <v>2797</v>
      </c>
      <c r="M269" s="7" t="s">
        <v>2796</v>
      </c>
      <c r="N269" s="7">
        <v>257</v>
      </c>
      <c r="O269" s="7" t="s">
        <v>2798</v>
      </c>
    </row>
    <row r="270" spans="1:16">
      <c r="A270" s="6" t="s">
        <v>31</v>
      </c>
      <c r="B270" s="7">
        <v>262093</v>
      </c>
      <c r="C270" s="7">
        <v>262806</v>
      </c>
      <c r="D270" s="8"/>
      <c r="E270" s="7" t="s">
        <v>53</v>
      </c>
      <c r="F270" s="7" t="s">
        <v>2799</v>
      </c>
      <c r="G270" s="7" t="s">
        <v>2800</v>
      </c>
      <c r="H270" s="8"/>
      <c r="I270" s="7" t="s">
        <v>55</v>
      </c>
      <c r="J270" s="8"/>
      <c r="K270" s="8"/>
      <c r="L270" s="7" t="s">
        <v>2801</v>
      </c>
      <c r="M270" s="7" t="s">
        <v>2799</v>
      </c>
      <c r="N270" s="7">
        <v>237</v>
      </c>
      <c r="O270" s="7" t="s">
        <v>2802</v>
      </c>
    </row>
    <row r="271" spans="1:16">
      <c r="A271" s="6" t="s">
        <v>31</v>
      </c>
      <c r="B271" s="7">
        <v>262799</v>
      </c>
      <c r="C271" s="7">
        <v>263380</v>
      </c>
      <c r="D271" s="8"/>
      <c r="E271" s="7" t="s">
        <v>53</v>
      </c>
      <c r="F271" s="7" t="s">
        <v>2803</v>
      </c>
      <c r="G271" s="7" t="s">
        <v>2804</v>
      </c>
      <c r="H271" s="8"/>
      <c r="I271" s="7" t="s">
        <v>55</v>
      </c>
      <c r="J271" s="8"/>
      <c r="K271" s="8"/>
      <c r="L271" s="7" t="s">
        <v>2805</v>
      </c>
      <c r="M271" s="7" t="s">
        <v>2803</v>
      </c>
      <c r="N271" s="7">
        <v>193</v>
      </c>
      <c r="O271" s="7" t="s">
        <v>2806</v>
      </c>
    </row>
    <row r="272" spans="1:16">
      <c r="A272" s="6" t="s">
        <v>31</v>
      </c>
      <c r="B272" s="7">
        <v>263431</v>
      </c>
      <c r="C272" s="7">
        <v>264198</v>
      </c>
      <c r="D272" s="8"/>
      <c r="E272" s="7" t="s">
        <v>53</v>
      </c>
      <c r="F272" s="7" t="s">
        <v>2807</v>
      </c>
      <c r="G272" s="7" t="s">
        <v>2808</v>
      </c>
      <c r="H272" s="8"/>
      <c r="I272" s="7" t="s">
        <v>55</v>
      </c>
      <c r="J272" s="8"/>
      <c r="K272" s="8"/>
      <c r="L272" s="7" t="s">
        <v>2809</v>
      </c>
      <c r="M272" s="7" t="s">
        <v>2807</v>
      </c>
      <c r="N272" s="7">
        <v>255</v>
      </c>
      <c r="O272" s="7" t="s">
        <v>2810</v>
      </c>
      <c r="P272" s="7"/>
    </row>
    <row r="273" spans="1:16">
      <c r="A273" s="6" t="s">
        <v>31</v>
      </c>
      <c r="B273" s="7">
        <v>264195</v>
      </c>
      <c r="C273" s="7">
        <v>264446</v>
      </c>
      <c r="D273" s="8"/>
      <c r="E273" s="7" t="s">
        <v>53</v>
      </c>
      <c r="F273" s="7" t="s">
        <v>2811</v>
      </c>
      <c r="G273" s="7" t="s">
        <v>2812</v>
      </c>
      <c r="H273" s="8"/>
      <c r="I273" s="7" t="s">
        <v>55</v>
      </c>
      <c r="J273" s="8"/>
      <c r="K273" s="8"/>
      <c r="L273" s="7" t="s">
        <v>2813</v>
      </c>
      <c r="M273" s="7" t="s">
        <v>2811</v>
      </c>
      <c r="N273" s="7">
        <v>83</v>
      </c>
      <c r="O273" s="7" t="s">
        <v>2814</v>
      </c>
    </row>
    <row r="274" spans="1:16">
      <c r="A274" s="6" t="s">
        <v>31</v>
      </c>
      <c r="B274" s="7">
        <v>264469</v>
      </c>
      <c r="C274" s="7">
        <v>265908</v>
      </c>
      <c r="D274" s="8"/>
      <c r="E274" s="7" t="s">
        <v>75</v>
      </c>
      <c r="F274" s="7" t="s">
        <v>2815</v>
      </c>
      <c r="G274" s="8"/>
      <c r="H274" s="8"/>
      <c r="I274" s="7" t="s">
        <v>55</v>
      </c>
      <c r="J274" s="8"/>
      <c r="K274" s="8"/>
      <c r="L274" s="7" t="s">
        <v>2816</v>
      </c>
      <c r="M274" s="7" t="s">
        <v>2815</v>
      </c>
      <c r="N274" s="7">
        <v>479</v>
      </c>
      <c r="O274" s="7" t="s">
        <v>2817</v>
      </c>
    </row>
    <row r="275" spans="1:16">
      <c r="A275" s="6" t="s">
        <v>31</v>
      </c>
      <c r="B275" s="7">
        <v>265915</v>
      </c>
      <c r="C275" s="7">
        <v>267264</v>
      </c>
      <c r="D275" s="8"/>
      <c r="E275" s="7" t="s">
        <v>75</v>
      </c>
      <c r="F275" s="7" t="s">
        <v>2818</v>
      </c>
      <c r="G275" s="8"/>
      <c r="H275" s="8"/>
      <c r="I275" s="7" t="s">
        <v>55</v>
      </c>
      <c r="J275" s="8"/>
      <c r="K275" s="8"/>
      <c r="L275" s="7" t="s">
        <v>2819</v>
      </c>
      <c r="M275" s="7" t="s">
        <v>2818</v>
      </c>
      <c r="N275" s="7">
        <v>449</v>
      </c>
      <c r="O275" s="7" t="s">
        <v>2820</v>
      </c>
    </row>
    <row r="276" spans="1:16">
      <c r="A276" s="6" t="s">
        <v>31</v>
      </c>
      <c r="B276" s="7">
        <v>267552</v>
      </c>
      <c r="C276" s="7">
        <v>268061</v>
      </c>
      <c r="D276" s="8"/>
      <c r="E276" s="7" t="s">
        <v>53</v>
      </c>
      <c r="F276" s="7" t="s">
        <v>323</v>
      </c>
      <c r="G276" s="7" t="s">
        <v>2821</v>
      </c>
      <c r="H276" s="8"/>
      <c r="I276" s="7" t="s">
        <v>55</v>
      </c>
      <c r="J276" s="8"/>
      <c r="K276" s="8"/>
      <c r="L276" s="7" t="s">
        <v>2822</v>
      </c>
      <c r="M276" s="7" t="s">
        <v>323</v>
      </c>
      <c r="N276" s="7">
        <v>169</v>
      </c>
      <c r="O276" s="7" t="s">
        <v>2823</v>
      </c>
      <c r="P276" s="7"/>
    </row>
    <row r="277" spans="1:16">
      <c r="A277" s="6" t="s">
        <v>31</v>
      </c>
      <c r="B277" s="7">
        <v>268373</v>
      </c>
      <c r="C277" s="7">
        <v>268930</v>
      </c>
      <c r="D277" s="8"/>
      <c r="E277" s="7" t="s">
        <v>53</v>
      </c>
      <c r="F277" s="7" t="s">
        <v>2824</v>
      </c>
      <c r="G277" s="7" t="s">
        <v>2825</v>
      </c>
      <c r="H277" s="8"/>
      <c r="I277" s="7" t="s">
        <v>55</v>
      </c>
      <c r="J277" s="8"/>
      <c r="K277" s="8"/>
      <c r="L277" s="7" t="s">
        <v>2826</v>
      </c>
      <c r="M277" s="7" t="s">
        <v>2824</v>
      </c>
      <c r="N277" s="7">
        <v>185</v>
      </c>
      <c r="O277" s="7" t="s">
        <v>2827</v>
      </c>
    </row>
    <row r="278" spans="1:16">
      <c r="A278" s="6" t="s">
        <v>31</v>
      </c>
      <c r="B278" s="7">
        <v>268933</v>
      </c>
      <c r="C278" s="7">
        <v>269583</v>
      </c>
      <c r="D278" s="8"/>
      <c r="E278" s="7" t="s">
        <v>53</v>
      </c>
      <c r="F278" s="7" t="s">
        <v>2828</v>
      </c>
      <c r="G278" s="8"/>
      <c r="H278" s="8"/>
      <c r="I278" s="7" t="s">
        <v>55</v>
      </c>
      <c r="J278" s="8"/>
      <c r="K278" s="8"/>
      <c r="L278" s="7" t="s">
        <v>2829</v>
      </c>
      <c r="M278" s="7" t="s">
        <v>2828</v>
      </c>
      <c r="N278" s="7">
        <v>216</v>
      </c>
      <c r="O278" s="7" t="s">
        <v>2830</v>
      </c>
    </row>
    <row r="279" spans="1:16">
      <c r="A279" s="6" t="s">
        <v>31</v>
      </c>
      <c r="B279" s="7">
        <v>269789</v>
      </c>
      <c r="C279" s="7">
        <v>270688</v>
      </c>
      <c r="D279" s="8"/>
      <c r="E279" s="7" t="s">
        <v>53</v>
      </c>
      <c r="F279" s="7" t="s">
        <v>2831</v>
      </c>
      <c r="G279" s="8"/>
      <c r="H279" s="8"/>
      <c r="I279" s="7" t="s">
        <v>55</v>
      </c>
      <c r="J279" s="8"/>
      <c r="K279" s="8"/>
      <c r="L279" s="7" t="s">
        <v>2832</v>
      </c>
      <c r="M279" s="7" t="s">
        <v>2831</v>
      </c>
      <c r="N279" s="7">
        <v>299</v>
      </c>
      <c r="O279" s="7" t="s">
        <v>2833</v>
      </c>
    </row>
    <row r="280" spans="1:16">
      <c r="A280" s="6" t="s">
        <v>31</v>
      </c>
      <c r="B280" s="7">
        <v>270863</v>
      </c>
      <c r="C280" s="7">
        <v>271087</v>
      </c>
      <c r="D280" s="8"/>
      <c r="E280" s="7" t="s">
        <v>53</v>
      </c>
      <c r="F280" s="7" t="s">
        <v>2834</v>
      </c>
      <c r="G280" s="8"/>
      <c r="H280" s="8"/>
      <c r="I280" s="7" t="s">
        <v>55</v>
      </c>
      <c r="J280" s="8"/>
      <c r="K280" s="8"/>
      <c r="L280" s="7" t="s">
        <v>2835</v>
      </c>
      <c r="M280" s="7" t="s">
        <v>2834</v>
      </c>
      <c r="N280" s="7">
        <v>74</v>
      </c>
      <c r="O280" s="7" t="s">
        <v>2836</v>
      </c>
    </row>
    <row r="281" spans="1:16">
      <c r="A281" s="6" t="s">
        <v>31</v>
      </c>
      <c r="B281" s="7">
        <v>271118</v>
      </c>
      <c r="C281" s="7">
        <v>271783</v>
      </c>
      <c r="D281" s="8"/>
      <c r="E281" s="7" t="s">
        <v>53</v>
      </c>
      <c r="F281" s="7" t="s">
        <v>2837</v>
      </c>
      <c r="G281" s="8"/>
      <c r="H281" s="8"/>
      <c r="I281" s="7" t="s">
        <v>55</v>
      </c>
      <c r="J281" s="8"/>
      <c r="K281" s="8"/>
      <c r="L281" s="7" t="s">
        <v>2838</v>
      </c>
      <c r="M281" s="7" t="s">
        <v>2837</v>
      </c>
      <c r="N281" s="7">
        <v>221</v>
      </c>
      <c r="O281" s="7" t="s">
        <v>2839</v>
      </c>
    </row>
    <row r="282" spans="1:16">
      <c r="A282" s="6" t="s">
        <v>31</v>
      </c>
      <c r="B282" s="7">
        <v>271865</v>
      </c>
      <c r="C282" s="7">
        <v>272104</v>
      </c>
      <c r="D282" s="8"/>
      <c r="E282" s="7" t="s">
        <v>53</v>
      </c>
      <c r="F282" s="7" t="s">
        <v>2130</v>
      </c>
      <c r="G282" s="8"/>
      <c r="H282" s="8"/>
      <c r="I282" s="7" t="s">
        <v>55</v>
      </c>
      <c r="J282" s="8"/>
      <c r="K282" s="8"/>
      <c r="L282" s="7" t="s">
        <v>2840</v>
      </c>
      <c r="M282" s="7" t="s">
        <v>2130</v>
      </c>
      <c r="N282" s="7">
        <v>79</v>
      </c>
      <c r="O282" s="7" t="s">
        <v>2841</v>
      </c>
    </row>
    <row r="283" spans="1:16">
      <c r="A283" s="6" t="s">
        <v>31</v>
      </c>
      <c r="B283" s="7">
        <v>272141</v>
      </c>
      <c r="C283" s="7">
        <v>272533</v>
      </c>
      <c r="D283" s="8"/>
      <c r="E283" s="7" t="s">
        <v>53</v>
      </c>
      <c r="F283" s="7" t="s">
        <v>2842</v>
      </c>
      <c r="G283" s="8"/>
      <c r="H283" s="8"/>
      <c r="I283" s="7" t="s">
        <v>55</v>
      </c>
      <c r="J283" s="8"/>
      <c r="K283" s="8"/>
      <c r="L283" s="7" t="s">
        <v>2843</v>
      </c>
      <c r="M283" s="7" t="s">
        <v>2842</v>
      </c>
      <c r="N283" s="7">
        <v>130</v>
      </c>
      <c r="O283" s="7" t="s">
        <v>2844</v>
      </c>
      <c r="P283" s="7"/>
    </row>
    <row r="284" spans="1:16">
      <c r="A284" s="6" t="s">
        <v>31</v>
      </c>
      <c r="B284" s="7">
        <v>272539</v>
      </c>
      <c r="C284" s="7">
        <v>272958</v>
      </c>
      <c r="D284" s="8"/>
      <c r="E284" s="7" t="s">
        <v>53</v>
      </c>
      <c r="F284" s="7" t="s">
        <v>2095</v>
      </c>
      <c r="G284" s="8"/>
      <c r="H284" s="8"/>
      <c r="I284" s="7" t="s">
        <v>55</v>
      </c>
      <c r="J284" s="8"/>
      <c r="K284" s="8"/>
      <c r="L284" s="7" t="s">
        <v>2845</v>
      </c>
      <c r="M284" s="7" t="s">
        <v>2095</v>
      </c>
      <c r="N284" s="7">
        <v>139</v>
      </c>
      <c r="O284" s="7" t="s">
        <v>2846</v>
      </c>
    </row>
    <row r="285" spans="1:16">
      <c r="A285" s="6" t="s">
        <v>31</v>
      </c>
      <c r="B285" s="7">
        <v>273066</v>
      </c>
      <c r="C285" s="7">
        <v>273383</v>
      </c>
      <c r="D285" s="8"/>
      <c r="E285" s="7" t="s">
        <v>53</v>
      </c>
      <c r="F285" s="7" t="s">
        <v>2847</v>
      </c>
      <c r="G285" s="8"/>
      <c r="H285" s="8"/>
      <c r="I285" s="7" t="s">
        <v>55</v>
      </c>
      <c r="J285" s="8"/>
      <c r="K285" s="8"/>
      <c r="L285" s="7" t="s">
        <v>2848</v>
      </c>
      <c r="M285" s="7" t="s">
        <v>2847</v>
      </c>
      <c r="N285" s="7">
        <v>105</v>
      </c>
      <c r="O285" s="7" t="s">
        <v>2849</v>
      </c>
    </row>
    <row r="286" spans="1:16">
      <c r="A286" s="6" t="s">
        <v>31</v>
      </c>
      <c r="B286" s="7">
        <v>273346</v>
      </c>
      <c r="C286" s="7">
        <v>273630</v>
      </c>
      <c r="D286" s="8"/>
      <c r="E286" s="7" t="s">
        <v>75</v>
      </c>
      <c r="F286" s="7" t="s">
        <v>2850</v>
      </c>
      <c r="G286" s="8"/>
      <c r="H286" s="8"/>
      <c r="I286" s="7" t="s">
        <v>55</v>
      </c>
      <c r="J286" s="8"/>
      <c r="K286" s="8"/>
      <c r="L286" s="7" t="s">
        <v>2851</v>
      </c>
      <c r="M286" s="7" t="s">
        <v>2850</v>
      </c>
      <c r="N286" s="7">
        <v>94</v>
      </c>
      <c r="O286" s="7" t="s">
        <v>2852</v>
      </c>
    </row>
    <row r="287" spans="1:16">
      <c r="A287" s="6" t="s">
        <v>31</v>
      </c>
      <c r="B287" s="7">
        <v>273718</v>
      </c>
      <c r="C287" s="7">
        <v>273945</v>
      </c>
      <c r="D287" s="8"/>
      <c r="E287" s="7" t="s">
        <v>75</v>
      </c>
      <c r="F287" s="7" t="s">
        <v>2095</v>
      </c>
      <c r="G287" s="8"/>
      <c r="H287" s="8"/>
      <c r="I287" s="7" t="s">
        <v>55</v>
      </c>
      <c r="J287" s="8"/>
      <c r="K287" s="8"/>
      <c r="L287" s="7" t="s">
        <v>2853</v>
      </c>
      <c r="M287" s="7" t="s">
        <v>2095</v>
      </c>
      <c r="N287" s="7">
        <v>75</v>
      </c>
      <c r="O287" s="7" t="s">
        <v>2854</v>
      </c>
    </row>
    <row r="288" spans="1:16">
      <c r="A288" s="6" t="s">
        <v>31</v>
      </c>
      <c r="B288" s="7">
        <v>273870</v>
      </c>
      <c r="C288" s="7">
        <v>274670</v>
      </c>
      <c r="D288" s="8"/>
      <c r="E288" s="7" t="s">
        <v>75</v>
      </c>
      <c r="F288" s="7" t="s">
        <v>2855</v>
      </c>
      <c r="G288" s="8"/>
      <c r="H288" s="8"/>
      <c r="I288" s="7" t="s">
        <v>55</v>
      </c>
      <c r="J288" s="8"/>
      <c r="K288" s="8"/>
      <c r="L288" s="7" t="s">
        <v>2856</v>
      </c>
      <c r="M288" s="7" t="s">
        <v>2855</v>
      </c>
      <c r="N288" s="7">
        <v>266</v>
      </c>
      <c r="O288" s="7" t="s">
        <v>2857</v>
      </c>
    </row>
    <row r="289" spans="1:16">
      <c r="A289" s="6" t="s">
        <v>31</v>
      </c>
      <c r="B289" s="7">
        <v>275171</v>
      </c>
      <c r="C289" s="7">
        <v>275686</v>
      </c>
      <c r="D289" s="8"/>
      <c r="E289" s="7" t="s">
        <v>53</v>
      </c>
      <c r="F289" s="7" t="s">
        <v>2858</v>
      </c>
      <c r="G289" s="7" t="s">
        <v>2859</v>
      </c>
      <c r="H289" s="8"/>
      <c r="I289" s="7" t="s">
        <v>55</v>
      </c>
      <c r="J289" s="8"/>
      <c r="K289" s="8"/>
      <c r="L289" s="7" t="s">
        <v>2860</v>
      </c>
      <c r="M289" s="7" t="s">
        <v>2858</v>
      </c>
      <c r="N289" s="7">
        <v>171</v>
      </c>
      <c r="O289" s="7" t="s">
        <v>2861</v>
      </c>
    </row>
    <row r="290" spans="1:16">
      <c r="A290" s="6" t="s">
        <v>31</v>
      </c>
      <c r="B290" s="7">
        <v>275711</v>
      </c>
      <c r="C290" s="7">
        <v>276013</v>
      </c>
      <c r="D290" s="8"/>
      <c r="E290" s="7" t="s">
        <v>53</v>
      </c>
      <c r="F290" s="7" t="s">
        <v>2862</v>
      </c>
      <c r="G290" s="7" t="s">
        <v>2863</v>
      </c>
      <c r="H290" s="8"/>
      <c r="I290" s="7" t="s">
        <v>55</v>
      </c>
      <c r="J290" s="8"/>
      <c r="K290" s="8"/>
      <c r="L290" s="7" t="s">
        <v>2864</v>
      </c>
      <c r="M290" s="7" t="s">
        <v>2862</v>
      </c>
      <c r="N290" s="7">
        <v>100</v>
      </c>
      <c r="O290" s="7" t="s">
        <v>2865</v>
      </c>
      <c r="P290" s="7"/>
    </row>
    <row r="291" spans="1:16">
      <c r="A291" s="6" t="s">
        <v>31</v>
      </c>
      <c r="B291" s="7">
        <v>276025</v>
      </c>
      <c r="C291" s="7">
        <v>276336</v>
      </c>
      <c r="D291" s="8"/>
      <c r="E291" s="7" t="s">
        <v>53</v>
      </c>
      <c r="F291" s="7" t="s">
        <v>2866</v>
      </c>
      <c r="G291" s="7" t="s">
        <v>2867</v>
      </c>
      <c r="H291" s="8"/>
      <c r="I291" s="7" t="s">
        <v>55</v>
      </c>
      <c r="J291" s="8"/>
      <c r="K291" s="8"/>
      <c r="L291" s="7" t="s">
        <v>2868</v>
      </c>
      <c r="M291" s="7" t="s">
        <v>2866</v>
      </c>
      <c r="N291" s="7">
        <v>103</v>
      </c>
      <c r="O291" s="7" t="s">
        <v>2869</v>
      </c>
      <c r="P291" s="7"/>
    </row>
    <row r="292" spans="1:16">
      <c r="A292" s="6" t="s">
        <v>31</v>
      </c>
      <c r="B292" s="7">
        <v>276352</v>
      </c>
      <c r="C292" s="7">
        <v>278070</v>
      </c>
      <c r="D292" s="8"/>
      <c r="E292" s="7" t="s">
        <v>53</v>
      </c>
      <c r="F292" s="7" t="s">
        <v>2870</v>
      </c>
      <c r="G292" s="7" t="s">
        <v>333</v>
      </c>
      <c r="H292" s="8"/>
      <c r="I292" s="7" t="s">
        <v>55</v>
      </c>
      <c r="J292" s="8"/>
      <c r="K292" s="8"/>
      <c r="L292" s="7" t="s">
        <v>2871</v>
      </c>
      <c r="M292" s="7" t="s">
        <v>2870</v>
      </c>
      <c r="N292" s="7">
        <v>572</v>
      </c>
      <c r="O292" s="7" t="s">
        <v>2872</v>
      </c>
      <c r="P292" s="7"/>
    </row>
    <row r="293" spans="1:16">
      <c r="A293" s="6" t="s">
        <v>31</v>
      </c>
      <c r="B293" s="7">
        <v>278211</v>
      </c>
      <c r="C293" s="7">
        <v>278663</v>
      </c>
      <c r="D293" s="8"/>
      <c r="E293" s="7" t="s">
        <v>53</v>
      </c>
      <c r="F293" s="7" t="s">
        <v>2873</v>
      </c>
      <c r="G293" s="7" t="s">
        <v>335</v>
      </c>
      <c r="H293" s="8"/>
      <c r="I293" s="7" t="s">
        <v>55</v>
      </c>
      <c r="J293" s="8"/>
      <c r="K293" s="8"/>
      <c r="L293" s="7" t="s">
        <v>2874</v>
      </c>
      <c r="M293" s="7" t="s">
        <v>2873</v>
      </c>
      <c r="N293" s="7">
        <v>150</v>
      </c>
      <c r="O293" s="7" t="s">
        <v>2875</v>
      </c>
    </row>
    <row r="294" spans="1:16">
      <c r="A294" s="6" t="s">
        <v>31</v>
      </c>
      <c r="B294" s="7">
        <v>278653</v>
      </c>
      <c r="C294" s="7">
        <v>279366</v>
      </c>
      <c r="D294" s="8"/>
      <c r="E294" s="7" t="s">
        <v>53</v>
      </c>
      <c r="F294" s="7" t="s">
        <v>2876</v>
      </c>
      <c r="G294" s="7" t="s">
        <v>2877</v>
      </c>
      <c r="H294" s="8"/>
      <c r="I294" s="7" t="s">
        <v>55</v>
      </c>
      <c r="J294" s="8"/>
      <c r="K294" s="8"/>
      <c r="L294" s="7" t="s">
        <v>2878</v>
      </c>
      <c r="M294" s="7" t="s">
        <v>2876</v>
      </c>
      <c r="N294" s="7">
        <v>237</v>
      </c>
      <c r="O294" s="7" t="s">
        <v>2879</v>
      </c>
    </row>
    <row r="295" spans="1:16">
      <c r="A295" s="6" t="s">
        <v>31</v>
      </c>
      <c r="B295" s="7">
        <v>279396</v>
      </c>
      <c r="C295" s="7">
        <v>280010</v>
      </c>
      <c r="D295" s="8"/>
      <c r="E295" s="7" t="s">
        <v>53</v>
      </c>
      <c r="F295" s="7" t="s">
        <v>2880</v>
      </c>
      <c r="G295" s="7" t="s">
        <v>338</v>
      </c>
      <c r="H295" s="8"/>
      <c r="I295" s="7" t="s">
        <v>55</v>
      </c>
      <c r="J295" s="8"/>
      <c r="K295" s="8"/>
      <c r="L295" s="7" t="s">
        <v>2881</v>
      </c>
      <c r="M295" s="7" t="s">
        <v>2880</v>
      </c>
      <c r="N295" s="7">
        <v>204</v>
      </c>
      <c r="O295" s="7" t="s">
        <v>2882</v>
      </c>
    </row>
    <row r="296" spans="1:16">
      <c r="A296" s="6" t="s">
        <v>31</v>
      </c>
      <c r="B296" s="7">
        <v>280012</v>
      </c>
      <c r="C296" s="7">
        <v>280851</v>
      </c>
      <c r="D296" s="8"/>
      <c r="E296" s="7" t="s">
        <v>53</v>
      </c>
      <c r="F296" s="7" t="s">
        <v>2883</v>
      </c>
      <c r="G296" s="7" t="s">
        <v>2884</v>
      </c>
      <c r="H296" s="8"/>
      <c r="I296" s="7" t="s">
        <v>55</v>
      </c>
      <c r="J296" s="8"/>
      <c r="K296" s="8"/>
      <c r="L296" s="7" t="s">
        <v>2885</v>
      </c>
      <c r="M296" s="7" t="s">
        <v>2883</v>
      </c>
      <c r="N296" s="7">
        <v>279</v>
      </c>
      <c r="O296" s="7" t="s">
        <v>2886</v>
      </c>
    </row>
    <row r="297" spans="1:16">
      <c r="A297" s="6" t="s">
        <v>31</v>
      </c>
      <c r="B297" s="7">
        <v>280855</v>
      </c>
      <c r="C297" s="7">
        <v>281832</v>
      </c>
      <c r="D297" s="8"/>
      <c r="E297" s="7" t="s">
        <v>53</v>
      </c>
      <c r="F297" s="7" t="s">
        <v>2887</v>
      </c>
      <c r="G297" s="7" t="s">
        <v>2888</v>
      </c>
      <c r="H297" s="8"/>
      <c r="I297" s="7" t="s">
        <v>55</v>
      </c>
      <c r="J297" s="8"/>
      <c r="K297" s="8"/>
      <c r="L297" s="7" t="s">
        <v>2889</v>
      </c>
      <c r="M297" s="7" t="s">
        <v>2887</v>
      </c>
      <c r="N297" s="7">
        <v>325</v>
      </c>
      <c r="O297" s="7" t="s">
        <v>2890</v>
      </c>
    </row>
    <row r="298" spans="1:16">
      <c r="A298" s="6" t="s">
        <v>31</v>
      </c>
      <c r="B298" s="7">
        <v>281829</v>
      </c>
      <c r="C298" s="7">
        <v>282608</v>
      </c>
      <c r="D298" s="8"/>
      <c r="E298" s="7" t="s">
        <v>53</v>
      </c>
      <c r="F298" s="7" t="s">
        <v>2891</v>
      </c>
      <c r="G298" s="8"/>
      <c r="H298" s="8"/>
      <c r="I298" s="7" t="s">
        <v>55</v>
      </c>
      <c r="J298" s="8"/>
      <c r="K298" s="8"/>
      <c r="L298" s="7" t="s">
        <v>2892</v>
      </c>
      <c r="M298" s="7" t="s">
        <v>2891</v>
      </c>
      <c r="N298" s="7">
        <v>259</v>
      </c>
      <c r="O298" s="7" t="s">
        <v>2893</v>
      </c>
    </row>
    <row r="299" spans="1:16">
      <c r="A299" s="6" t="s">
        <v>31</v>
      </c>
      <c r="B299" s="7">
        <v>282610</v>
      </c>
      <c r="C299" s="7">
        <v>283323</v>
      </c>
      <c r="D299" s="8"/>
      <c r="E299" s="7" t="s">
        <v>53</v>
      </c>
      <c r="F299" s="7" t="s">
        <v>2894</v>
      </c>
      <c r="G299" s="8"/>
      <c r="H299" s="8"/>
      <c r="I299" s="7" t="s">
        <v>55</v>
      </c>
      <c r="J299" s="8"/>
      <c r="K299" s="8"/>
      <c r="L299" s="7" t="s">
        <v>2895</v>
      </c>
      <c r="M299" s="7" t="s">
        <v>2894</v>
      </c>
      <c r="N299" s="7">
        <v>237</v>
      </c>
      <c r="O299" s="7" t="s">
        <v>2896</v>
      </c>
      <c r="P299" s="7"/>
    </row>
    <row r="300" spans="1:16">
      <c r="A300" s="6" t="s">
        <v>31</v>
      </c>
      <c r="B300" s="7">
        <v>283430</v>
      </c>
      <c r="C300" s="7">
        <v>283621</v>
      </c>
      <c r="D300" s="8"/>
      <c r="E300" s="7" t="s">
        <v>75</v>
      </c>
      <c r="F300" s="7" t="s">
        <v>2095</v>
      </c>
      <c r="G300" s="8"/>
      <c r="H300" s="8"/>
      <c r="I300" s="7" t="s">
        <v>55</v>
      </c>
      <c r="J300" s="8"/>
      <c r="K300" s="8"/>
      <c r="L300" s="7" t="s">
        <v>2897</v>
      </c>
      <c r="M300" s="7" t="s">
        <v>2095</v>
      </c>
      <c r="N300" s="7">
        <v>63</v>
      </c>
      <c r="O300" s="7" t="s">
        <v>2898</v>
      </c>
    </row>
    <row r="301" spans="1:16">
      <c r="A301" s="6" t="s">
        <v>31</v>
      </c>
      <c r="B301" s="7">
        <v>283443</v>
      </c>
      <c r="C301" s="7">
        <v>283568</v>
      </c>
      <c r="D301" s="8"/>
      <c r="E301" s="7" t="s">
        <v>53</v>
      </c>
      <c r="F301" s="7" t="s">
        <v>2095</v>
      </c>
      <c r="G301" s="8"/>
      <c r="H301" s="8"/>
      <c r="I301" s="7" t="s">
        <v>55</v>
      </c>
      <c r="J301" s="8"/>
      <c r="K301" s="8"/>
      <c r="L301" s="7" t="s">
        <v>2899</v>
      </c>
      <c r="M301" s="7" t="s">
        <v>2095</v>
      </c>
      <c r="N301" s="7">
        <v>41</v>
      </c>
      <c r="O301" s="7" t="s">
        <v>2900</v>
      </c>
    </row>
    <row r="302" spans="1:16">
      <c r="A302" s="6" t="s">
        <v>31</v>
      </c>
      <c r="B302" s="7">
        <v>283665</v>
      </c>
      <c r="C302" s="7">
        <v>284336</v>
      </c>
      <c r="D302" s="8"/>
      <c r="E302" s="7" t="s">
        <v>53</v>
      </c>
      <c r="F302" s="7" t="s">
        <v>2095</v>
      </c>
      <c r="G302" s="8"/>
      <c r="H302" s="8"/>
      <c r="I302" s="7" t="s">
        <v>55</v>
      </c>
      <c r="J302" s="8"/>
      <c r="K302" s="8"/>
      <c r="L302" s="7" t="s">
        <v>2901</v>
      </c>
      <c r="M302" s="7" t="s">
        <v>2095</v>
      </c>
      <c r="N302" s="7">
        <v>223</v>
      </c>
      <c r="O302" s="7" t="s">
        <v>2902</v>
      </c>
    </row>
    <row r="303" spans="1:16">
      <c r="A303" s="6" t="s">
        <v>31</v>
      </c>
      <c r="B303" s="7">
        <v>284526</v>
      </c>
      <c r="C303" s="7">
        <v>287417</v>
      </c>
      <c r="D303" s="8"/>
      <c r="E303" s="7" t="s">
        <v>53</v>
      </c>
      <c r="F303" s="7" t="s">
        <v>2903</v>
      </c>
      <c r="G303" s="8"/>
      <c r="H303" s="8"/>
      <c r="I303" s="7" t="s">
        <v>55</v>
      </c>
      <c r="J303" s="8"/>
      <c r="K303" s="8"/>
      <c r="L303" s="7" t="s">
        <v>2904</v>
      </c>
      <c r="M303" s="7" t="s">
        <v>2903</v>
      </c>
      <c r="N303" s="7">
        <v>963</v>
      </c>
      <c r="O303" s="7" t="s">
        <v>2905</v>
      </c>
    </row>
    <row r="304" spans="1:16">
      <c r="A304" s="6" t="s">
        <v>31</v>
      </c>
      <c r="B304" s="7">
        <v>287414</v>
      </c>
      <c r="C304" s="7">
        <v>289060</v>
      </c>
      <c r="D304" s="8"/>
      <c r="E304" s="7" t="s">
        <v>53</v>
      </c>
      <c r="F304" s="7" t="s">
        <v>2906</v>
      </c>
      <c r="G304" s="8"/>
      <c r="H304" s="8"/>
      <c r="I304" s="7" t="s">
        <v>55</v>
      </c>
      <c r="J304" s="8"/>
      <c r="K304" s="8"/>
      <c r="L304" s="7" t="s">
        <v>2907</v>
      </c>
      <c r="M304" s="7" t="s">
        <v>2906</v>
      </c>
      <c r="N304" s="7">
        <v>548</v>
      </c>
      <c r="O304" s="7" t="s">
        <v>2908</v>
      </c>
      <c r="P304" s="7"/>
    </row>
    <row r="305" spans="1:16">
      <c r="A305" s="6" t="s">
        <v>31</v>
      </c>
      <c r="B305" s="7">
        <v>289086</v>
      </c>
      <c r="C305" s="7">
        <v>290294</v>
      </c>
      <c r="D305" s="8"/>
      <c r="E305" s="7" t="s">
        <v>53</v>
      </c>
      <c r="F305" s="7" t="s">
        <v>2909</v>
      </c>
      <c r="G305" s="8"/>
      <c r="H305" s="8"/>
      <c r="I305" s="7" t="s">
        <v>55</v>
      </c>
      <c r="J305" s="8"/>
      <c r="K305" s="8"/>
      <c r="L305" s="7" t="s">
        <v>2910</v>
      </c>
      <c r="M305" s="7" t="s">
        <v>2909</v>
      </c>
      <c r="N305" s="7">
        <v>402</v>
      </c>
      <c r="O305" s="7" t="s">
        <v>2911</v>
      </c>
    </row>
    <row r="306" spans="1:16">
      <c r="A306" s="6" t="s">
        <v>31</v>
      </c>
      <c r="B306" s="7">
        <v>290264</v>
      </c>
      <c r="C306" s="7">
        <v>290383</v>
      </c>
      <c r="D306" s="8"/>
      <c r="E306" s="7" t="s">
        <v>75</v>
      </c>
      <c r="F306" s="7" t="s">
        <v>2095</v>
      </c>
      <c r="G306" s="8"/>
      <c r="H306" s="8"/>
      <c r="I306" s="7" t="s">
        <v>55</v>
      </c>
      <c r="J306" s="8"/>
      <c r="K306" s="8"/>
      <c r="L306" s="7" t="s">
        <v>2912</v>
      </c>
      <c r="M306" s="7" t="s">
        <v>2095</v>
      </c>
      <c r="N306" s="7">
        <v>39</v>
      </c>
      <c r="O306" s="7" t="s">
        <v>2913</v>
      </c>
    </row>
    <row r="307" spans="1:16">
      <c r="A307" s="6" t="s">
        <v>31</v>
      </c>
      <c r="B307" s="7">
        <v>290675</v>
      </c>
      <c r="C307" s="7">
        <v>290827</v>
      </c>
      <c r="D307" s="8"/>
      <c r="E307" s="7" t="s">
        <v>75</v>
      </c>
      <c r="F307" s="7" t="s">
        <v>2095</v>
      </c>
      <c r="G307" s="8"/>
      <c r="H307" s="8"/>
      <c r="I307" s="7" t="s">
        <v>55</v>
      </c>
      <c r="J307" s="8"/>
      <c r="K307" s="8"/>
      <c r="L307" s="7" t="s">
        <v>2914</v>
      </c>
      <c r="M307" s="7" t="s">
        <v>2095</v>
      </c>
      <c r="N307" s="7">
        <v>50</v>
      </c>
      <c r="O307" s="7" t="s">
        <v>2915</v>
      </c>
    </row>
    <row r="308" spans="1:16">
      <c r="A308" s="6" t="s">
        <v>31</v>
      </c>
      <c r="B308" s="7">
        <v>291001</v>
      </c>
      <c r="C308" s="7">
        <v>291849</v>
      </c>
      <c r="D308" s="8"/>
      <c r="E308" s="7" t="s">
        <v>53</v>
      </c>
      <c r="F308" s="7" t="s">
        <v>2916</v>
      </c>
      <c r="G308" s="8"/>
      <c r="H308" s="8"/>
      <c r="I308" s="7" t="s">
        <v>55</v>
      </c>
      <c r="J308" s="8"/>
      <c r="K308" s="8"/>
      <c r="L308" s="7" t="s">
        <v>2917</v>
      </c>
      <c r="M308" s="7" t="s">
        <v>2916</v>
      </c>
      <c r="N308" s="7">
        <v>282</v>
      </c>
      <c r="O308" s="7" t="s">
        <v>2918</v>
      </c>
    </row>
    <row r="309" spans="1:16">
      <c r="A309" s="6" t="s">
        <v>31</v>
      </c>
      <c r="B309" s="7">
        <v>292009</v>
      </c>
      <c r="C309" s="7">
        <v>292911</v>
      </c>
      <c r="D309" s="8"/>
      <c r="E309" s="7" t="s">
        <v>53</v>
      </c>
      <c r="F309" s="7" t="s">
        <v>2919</v>
      </c>
      <c r="G309" s="8"/>
      <c r="H309" s="8"/>
      <c r="I309" s="7" t="s">
        <v>55</v>
      </c>
      <c r="J309" s="8"/>
      <c r="K309" s="8"/>
      <c r="L309" s="7" t="s">
        <v>2920</v>
      </c>
      <c r="M309" s="7" t="s">
        <v>2919</v>
      </c>
      <c r="N309" s="7">
        <v>300</v>
      </c>
      <c r="O309" s="7" t="s">
        <v>2921</v>
      </c>
    </row>
    <row r="310" spans="1:16">
      <c r="A310" s="6" t="s">
        <v>31</v>
      </c>
      <c r="B310" s="7">
        <v>292972</v>
      </c>
      <c r="C310" s="7">
        <v>293454</v>
      </c>
      <c r="D310" s="8"/>
      <c r="E310" s="7" t="s">
        <v>53</v>
      </c>
      <c r="F310" s="7" t="s">
        <v>2922</v>
      </c>
      <c r="G310" s="8"/>
      <c r="H310" s="8"/>
      <c r="I310" s="7" t="s">
        <v>55</v>
      </c>
      <c r="J310" s="8"/>
      <c r="K310" s="8"/>
      <c r="L310" s="7" t="s">
        <v>2923</v>
      </c>
      <c r="M310" s="7" t="s">
        <v>2922</v>
      </c>
      <c r="N310" s="7">
        <v>160</v>
      </c>
      <c r="O310" s="7" t="s">
        <v>2924</v>
      </c>
      <c r="P310" s="7"/>
    </row>
    <row r="311" spans="1:16">
      <c r="A311" s="6" t="s">
        <v>31</v>
      </c>
      <c r="B311" s="7">
        <v>293512</v>
      </c>
      <c r="C311" s="7">
        <v>293877</v>
      </c>
      <c r="D311" s="8"/>
      <c r="E311" s="7" t="s">
        <v>53</v>
      </c>
      <c r="F311" s="7" t="s">
        <v>2922</v>
      </c>
      <c r="G311" s="8"/>
      <c r="H311" s="8"/>
      <c r="I311" s="7" t="s">
        <v>55</v>
      </c>
      <c r="J311" s="8"/>
      <c r="K311" s="8"/>
      <c r="L311" s="7" t="s">
        <v>2925</v>
      </c>
      <c r="M311" s="7" t="s">
        <v>2922</v>
      </c>
      <c r="N311" s="7">
        <v>121</v>
      </c>
      <c r="O311" s="7" t="s">
        <v>2926</v>
      </c>
      <c r="P311" s="7"/>
    </row>
    <row r="312" spans="1:16">
      <c r="A312" s="6" t="s">
        <v>31</v>
      </c>
      <c r="B312" s="7">
        <v>293974</v>
      </c>
      <c r="C312" s="7">
        <v>294345</v>
      </c>
      <c r="D312" s="8"/>
      <c r="E312" s="7" t="s">
        <v>53</v>
      </c>
      <c r="F312" s="7" t="s">
        <v>2922</v>
      </c>
      <c r="G312" s="8"/>
      <c r="H312" s="8"/>
      <c r="I312" s="7" t="s">
        <v>55</v>
      </c>
      <c r="J312" s="8"/>
      <c r="K312" s="8"/>
      <c r="L312" s="7" t="s">
        <v>2927</v>
      </c>
      <c r="M312" s="7" t="s">
        <v>2922</v>
      </c>
      <c r="N312" s="7">
        <v>123</v>
      </c>
      <c r="O312" s="7" t="s">
        <v>2928</v>
      </c>
      <c r="P312" s="7"/>
    </row>
    <row r="313" spans="1:16">
      <c r="A313" s="6" t="s">
        <v>31</v>
      </c>
      <c r="B313" s="7">
        <v>294338</v>
      </c>
      <c r="C313" s="7">
        <v>295405</v>
      </c>
      <c r="D313" s="8"/>
      <c r="E313" s="7" t="s">
        <v>53</v>
      </c>
      <c r="F313" s="7" t="s">
        <v>2929</v>
      </c>
      <c r="G313" s="7" t="s">
        <v>2930</v>
      </c>
      <c r="H313" s="8"/>
      <c r="I313" s="7" t="s">
        <v>55</v>
      </c>
      <c r="J313" s="8"/>
      <c r="K313" s="8"/>
      <c r="L313" s="7" t="s">
        <v>2931</v>
      </c>
      <c r="M313" s="7" t="s">
        <v>2929</v>
      </c>
      <c r="N313" s="7">
        <v>355</v>
      </c>
      <c r="O313" s="7" t="s">
        <v>2932</v>
      </c>
    </row>
    <row r="314" spans="1:16">
      <c r="A314" s="6" t="s">
        <v>31</v>
      </c>
      <c r="B314" s="7">
        <v>295405</v>
      </c>
      <c r="C314" s="7">
        <v>296097</v>
      </c>
      <c r="D314" s="8"/>
      <c r="E314" s="7" t="s">
        <v>53</v>
      </c>
      <c r="F314" s="7" t="s">
        <v>2933</v>
      </c>
      <c r="G314" s="7" t="s">
        <v>2934</v>
      </c>
      <c r="H314" s="8"/>
      <c r="I314" s="7" t="s">
        <v>55</v>
      </c>
      <c r="J314" s="8"/>
      <c r="K314" s="8"/>
      <c r="L314" s="7" t="s">
        <v>2935</v>
      </c>
      <c r="M314" s="7" t="s">
        <v>2933</v>
      </c>
      <c r="N314" s="7">
        <v>230</v>
      </c>
      <c r="O314" s="7" t="s">
        <v>2936</v>
      </c>
    </row>
    <row r="315" spans="1:16">
      <c r="A315" s="6" t="s">
        <v>31</v>
      </c>
      <c r="B315" s="7">
        <v>296220</v>
      </c>
      <c r="C315" s="7">
        <v>297428</v>
      </c>
      <c r="D315" s="8"/>
      <c r="E315" s="7" t="s">
        <v>53</v>
      </c>
      <c r="F315" s="7" t="s">
        <v>2937</v>
      </c>
      <c r="G315" s="7" t="s">
        <v>351</v>
      </c>
      <c r="H315" s="8"/>
      <c r="I315" s="7" t="s">
        <v>55</v>
      </c>
      <c r="J315" s="8"/>
      <c r="K315" s="8"/>
      <c r="L315" s="7" t="s">
        <v>2938</v>
      </c>
      <c r="M315" s="7" t="s">
        <v>2937</v>
      </c>
      <c r="N315" s="7">
        <v>402</v>
      </c>
      <c r="O315" s="7" t="s">
        <v>2939</v>
      </c>
    </row>
    <row r="316" spans="1:16">
      <c r="A316" s="6" t="s">
        <v>31</v>
      </c>
      <c r="B316" s="7">
        <v>297581</v>
      </c>
      <c r="C316" s="7">
        <v>297793</v>
      </c>
      <c r="D316" s="8"/>
      <c r="E316" s="7" t="s">
        <v>53</v>
      </c>
      <c r="F316" s="7" t="s">
        <v>2130</v>
      </c>
      <c r="G316" s="8"/>
      <c r="H316" s="8"/>
      <c r="I316" s="7" t="s">
        <v>55</v>
      </c>
      <c r="J316" s="8"/>
      <c r="K316" s="8"/>
      <c r="L316" s="7" t="s">
        <v>2940</v>
      </c>
      <c r="M316" s="7" t="s">
        <v>2130</v>
      </c>
      <c r="N316" s="7">
        <v>70</v>
      </c>
      <c r="O316" s="7" t="s">
        <v>2941</v>
      </c>
    </row>
    <row r="317" spans="1:16">
      <c r="A317" s="6" t="s">
        <v>31</v>
      </c>
      <c r="B317" s="7">
        <v>297826</v>
      </c>
      <c r="C317" s="7">
        <v>298431</v>
      </c>
      <c r="D317" s="8"/>
      <c r="E317" s="7" t="s">
        <v>53</v>
      </c>
      <c r="F317" s="7" t="s">
        <v>2130</v>
      </c>
      <c r="G317" s="8"/>
      <c r="H317" s="8"/>
      <c r="I317" s="7" t="s">
        <v>55</v>
      </c>
      <c r="J317" s="8"/>
      <c r="K317" s="8"/>
      <c r="L317" s="7" t="s">
        <v>2942</v>
      </c>
      <c r="M317" s="7" t="s">
        <v>2130</v>
      </c>
      <c r="N317" s="7">
        <v>201</v>
      </c>
      <c r="O317" s="7" t="s">
        <v>2943</v>
      </c>
    </row>
    <row r="318" spans="1:16">
      <c r="A318" s="6" t="s">
        <v>31</v>
      </c>
      <c r="B318" s="7">
        <v>298441</v>
      </c>
      <c r="C318" s="7">
        <v>298644</v>
      </c>
      <c r="D318" s="8"/>
      <c r="E318" s="7" t="s">
        <v>53</v>
      </c>
      <c r="F318" s="7" t="s">
        <v>2095</v>
      </c>
      <c r="G318" s="8"/>
      <c r="H318" s="8"/>
      <c r="I318" s="7" t="s">
        <v>55</v>
      </c>
      <c r="J318" s="8"/>
      <c r="K318" s="8"/>
      <c r="L318" s="7" t="s">
        <v>2944</v>
      </c>
      <c r="M318" s="7" t="s">
        <v>2095</v>
      </c>
      <c r="N318" s="7">
        <v>67</v>
      </c>
      <c r="O318" s="7" t="s">
        <v>2945</v>
      </c>
    </row>
    <row r="319" spans="1:16">
      <c r="A319" s="6" t="s">
        <v>31</v>
      </c>
      <c r="B319" s="7">
        <v>298744</v>
      </c>
      <c r="C319" s="7">
        <v>298992</v>
      </c>
      <c r="D319" s="8"/>
      <c r="E319" s="7" t="s">
        <v>53</v>
      </c>
      <c r="F319" s="7" t="s">
        <v>2095</v>
      </c>
      <c r="G319" s="8"/>
      <c r="H319" s="8"/>
      <c r="I319" s="7" t="s">
        <v>55</v>
      </c>
      <c r="J319" s="8"/>
      <c r="K319" s="8"/>
      <c r="L319" s="7" t="s">
        <v>2946</v>
      </c>
      <c r="M319" s="7" t="s">
        <v>2095</v>
      </c>
      <c r="N319" s="7">
        <v>82</v>
      </c>
      <c r="O319" s="7" t="s">
        <v>2947</v>
      </c>
    </row>
    <row r="320" spans="1:16">
      <c r="A320" s="6" t="s">
        <v>31</v>
      </c>
      <c r="B320" s="7">
        <v>299028</v>
      </c>
      <c r="C320" s="7">
        <v>299273</v>
      </c>
      <c r="D320" s="8"/>
      <c r="E320" s="7" t="s">
        <v>53</v>
      </c>
      <c r="F320" s="7" t="s">
        <v>2095</v>
      </c>
      <c r="G320" s="8"/>
      <c r="H320" s="8"/>
      <c r="I320" s="7" t="s">
        <v>55</v>
      </c>
      <c r="J320" s="8"/>
      <c r="K320" s="8"/>
      <c r="L320" s="7" t="s">
        <v>2948</v>
      </c>
      <c r="M320" s="7" t="s">
        <v>2095</v>
      </c>
      <c r="N320" s="7">
        <v>81</v>
      </c>
      <c r="O320" s="7" t="s">
        <v>2949</v>
      </c>
    </row>
    <row r="321" spans="1:16">
      <c r="A321" s="6" t="s">
        <v>31</v>
      </c>
      <c r="B321" s="7">
        <v>299329</v>
      </c>
      <c r="C321" s="7">
        <v>300735</v>
      </c>
      <c r="D321" s="8"/>
      <c r="E321" s="7" t="s">
        <v>53</v>
      </c>
      <c r="F321" s="7" t="s">
        <v>2950</v>
      </c>
      <c r="G321" s="7" t="s">
        <v>2951</v>
      </c>
      <c r="H321" s="8"/>
      <c r="I321" s="7" t="s">
        <v>55</v>
      </c>
      <c r="J321" s="8"/>
      <c r="K321" s="8"/>
      <c r="L321" s="7" t="s">
        <v>2952</v>
      </c>
      <c r="M321" s="7" t="s">
        <v>2950</v>
      </c>
      <c r="N321" s="7">
        <v>468</v>
      </c>
      <c r="O321" s="7" t="s">
        <v>2953</v>
      </c>
      <c r="P321" s="7"/>
    </row>
    <row r="322" spans="1:16">
      <c r="A322" s="6" t="s">
        <v>31</v>
      </c>
      <c r="B322" s="7">
        <v>300728</v>
      </c>
      <c r="C322" s="7">
        <v>300862</v>
      </c>
      <c r="D322" s="8"/>
      <c r="E322" s="7" t="s">
        <v>53</v>
      </c>
      <c r="F322" s="7" t="s">
        <v>2095</v>
      </c>
      <c r="G322" s="8"/>
      <c r="H322" s="8"/>
      <c r="I322" s="7" t="s">
        <v>55</v>
      </c>
      <c r="J322" s="8"/>
      <c r="K322" s="8"/>
      <c r="L322" s="7" t="s">
        <v>2954</v>
      </c>
      <c r="M322" s="7" t="s">
        <v>2095</v>
      </c>
      <c r="N322" s="7">
        <v>44</v>
      </c>
      <c r="O322" s="7" t="s">
        <v>2955</v>
      </c>
    </row>
    <row r="323" spans="1:16">
      <c r="A323" s="6" t="s">
        <v>31</v>
      </c>
      <c r="B323" s="7">
        <v>300841</v>
      </c>
      <c r="C323" s="7">
        <v>301380</v>
      </c>
      <c r="D323" s="8"/>
      <c r="E323" s="7" t="s">
        <v>53</v>
      </c>
      <c r="F323" s="7" t="s">
        <v>2850</v>
      </c>
      <c r="G323" s="8"/>
      <c r="H323" s="8"/>
      <c r="I323" s="7" t="s">
        <v>55</v>
      </c>
      <c r="J323" s="8"/>
      <c r="K323" s="8"/>
      <c r="L323" s="7" t="s">
        <v>2956</v>
      </c>
      <c r="M323" s="7" t="s">
        <v>2850</v>
      </c>
      <c r="N323" s="7">
        <v>179</v>
      </c>
      <c r="O323" s="7" t="s">
        <v>2957</v>
      </c>
    </row>
    <row r="324" spans="1:16">
      <c r="A324" s="6" t="s">
        <v>31</v>
      </c>
      <c r="B324" s="7">
        <v>301397</v>
      </c>
      <c r="C324" s="7">
        <v>301555</v>
      </c>
      <c r="D324" s="8"/>
      <c r="E324" s="7" t="s">
        <v>53</v>
      </c>
      <c r="F324" s="7" t="s">
        <v>2095</v>
      </c>
      <c r="G324" s="8"/>
      <c r="H324" s="8"/>
      <c r="I324" s="7" t="s">
        <v>55</v>
      </c>
      <c r="J324" s="8"/>
      <c r="K324" s="8"/>
      <c r="L324" s="7" t="s">
        <v>2958</v>
      </c>
      <c r="M324" s="7" t="s">
        <v>2095</v>
      </c>
      <c r="N324" s="7">
        <v>52</v>
      </c>
      <c r="O324" s="7" t="s">
        <v>2959</v>
      </c>
    </row>
    <row r="325" spans="1:16">
      <c r="A325" s="6" t="s">
        <v>31</v>
      </c>
      <c r="B325" s="7">
        <v>301731</v>
      </c>
      <c r="C325" s="7">
        <v>303707</v>
      </c>
      <c r="D325" s="8"/>
      <c r="E325" s="7" t="s">
        <v>53</v>
      </c>
      <c r="F325" s="7" t="s">
        <v>353</v>
      </c>
      <c r="G325" s="7" t="s">
        <v>2960</v>
      </c>
      <c r="H325" s="8"/>
      <c r="I325" s="7" t="s">
        <v>55</v>
      </c>
      <c r="J325" s="8"/>
      <c r="K325" s="8"/>
      <c r="L325" s="7" t="s">
        <v>2961</v>
      </c>
      <c r="M325" s="7" t="s">
        <v>353</v>
      </c>
      <c r="N325" s="7">
        <v>658</v>
      </c>
      <c r="O325" s="7" t="s">
        <v>2962</v>
      </c>
      <c r="P325" s="7"/>
    </row>
    <row r="326" spans="1:16">
      <c r="A326" s="6" t="s">
        <v>31</v>
      </c>
      <c r="B326" s="7">
        <v>303956</v>
      </c>
      <c r="C326" s="7">
        <v>304627</v>
      </c>
      <c r="D326" s="8"/>
      <c r="E326" s="7" t="s">
        <v>75</v>
      </c>
      <c r="F326" s="7" t="s">
        <v>2963</v>
      </c>
      <c r="G326" s="8"/>
      <c r="H326" s="8"/>
      <c r="I326" s="7" t="s">
        <v>55</v>
      </c>
      <c r="J326" s="8"/>
      <c r="K326" s="8"/>
      <c r="L326" s="7" t="s">
        <v>2964</v>
      </c>
      <c r="M326" s="7" t="s">
        <v>2963</v>
      </c>
      <c r="N326" s="7">
        <v>223</v>
      </c>
      <c r="O326" s="7" t="s">
        <v>2965</v>
      </c>
    </row>
    <row r="327" spans="1:16">
      <c r="A327" s="6" t="s">
        <v>31</v>
      </c>
      <c r="B327" s="7">
        <v>304667</v>
      </c>
      <c r="C327" s="7">
        <v>306031</v>
      </c>
      <c r="D327" s="8"/>
      <c r="E327" s="7" t="s">
        <v>75</v>
      </c>
      <c r="F327" s="7" t="s">
        <v>2966</v>
      </c>
      <c r="G327" s="8"/>
      <c r="H327" s="8"/>
      <c r="I327" s="7" t="s">
        <v>55</v>
      </c>
      <c r="J327" s="8"/>
      <c r="K327" s="8"/>
      <c r="L327" s="7" t="s">
        <v>2967</v>
      </c>
      <c r="M327" s="7" t="s">
        <v>2966</v>
      </c>
      <c r="N327" s="7">
        <v>454</v>
      </c>
      <c r="O327" s="7" t="s">
        <v>2968</v>
      </c>
    </row>
    <row r="328" spans="1:16">
      <c r="A328" s="6" t="s">
        <v>31</v>
      </c>
      <c r="B328" s="7">
        <v>306101</v>
      </c>
      <c r="C328" s="7">
        <v>306814</v>
      </c>
      <c r="D328" s="8"/>
      <c r="E328" s="7" t="s">
        <v>75</v>
      </c>
      <c r="F328" s="7" t="s">
        <v>2969</v>
      </c>
      <c r="G328" s="7" t="s">
        <v>357</v>
      </c>
      <c r="H328" s="8"/>
      <c r="I328" s="7" t="s">
        <v>55</v>
      </c>
      <c r="J328" s="8"/>
      <c r="K328" s="8"/>
      <c r="L328" s="7" t="s">
        <v>2970</v>
      </c>
      <c r="M328" s="7" t="s">
        <v>2969</v>
      </c>
      <c r="N328" s="7">
        <v>237</v>
      </c>
      <c r="O328" s="7" t="s">
        <v>2971</v>
      </c>
      <c r="P328" s="7"/>
    </row>
    <row r="329" spans="1:16">
      <c r="A329" s="6" t="s">
        <v>31</v>
      </c>
      <c r="B329" s="7">
        <v>307111</v>
      </c>
      <c r="C329" s="7">
        <v>307647</v>
      </c>
      <c r="D329" s="8"/>
      <c r="E329" s="7" t="s">
        <v>53</v>
      </c>
      <c r="F329" s="7" t="s">
        <v>2130</v>
      </c>
      <c r="G329" s="8"/>
      <c r="H329" s="8"/>
      <c r="I329" s="7" t="s">
        <v>55</v>
      </c>
      <c r="J329" s="8"/>
      <c r="K329" s="8"/>
      <c r="L329" s="7" t="s">
        <v>2972</v>
      </c>
      <c r="M329" s="7" t="s">
        <v>2130</v>
      </c>
      <c r="N329" s="7">
        <v>178</v>
      </c>
      <c r="O329" s="7" t="s">
        <v>2973</v>
      </c>
    </row>
    <row r="330" spans="1:16">
      <c r="A330" s="6" t="s">
        <v>31</v>
      </c>
      <c r="B330" s="7">
        <v>307803</v>
      </c>
      <c r="C330" s="7">
        <v>308492</v>
      </c>
      <c r="D330" s="8"/>
      <c r="E330" s="7" t="s">
        <v>53</v>
      </c>
      <c r="F330" s="7" t="s">
        <v>2974</v>
      </c>
      <c r="G330" s="7" t="s">
        <v>2975</v>
      </c>
      <c r="H330" s="8"/>
      <c r="I330" s="7" t="s">
        <v>55</v>
      </c>
      <c r="J330" s="8"/>
      <c r="K330" s="8"/>
      <c r="L330" s="7" t="s">
        <v>2976</v>
      </c>
      <c r="M330" s="7" t="s">
        <v>2974</v>
      </c>
      <c r="N330" s="7">
        <v>229</v>
      </c>
      <c r="O330" s="7" t="s">
        <v>2977</v>
      </c>
    </row>
    <row r="331" spans="1:16">
      <c r="A331" s="6" t="s">
        <v>31</v>
      </c>
      <c r="B331" s="7">
        <v>308489</v>
      </c>
      <c r="C331" s="7">
        <v>310006</v>
      </c>
      <c r="D331" s="8"/>
      <c r="E331" s="7" t="s">
        <v>53</v>
      </c>
      <c r="F331" s="7" t="s">
        <v>2978</v>
      </c>
      <c r="G331" s="8"/>
      <c r="H331" s="8"/>
      <c r="I331" s="7" t="s">
        <v>55</v>
      </c>
      <c r="J331" s="8"/>
      <c r="K331" s="8"/>
      <c r="L331" s="7" t="s">
        <v>2979</v>
      </c>
      <c r="M331" s="7" t="s">
        <v>2978</v>
      </c>
      <c r="N331" s="7">
        <v>505</v>
      </c>
      <c r="O331" s="7" t="s">
        <v>2980</v>
      </c>
    </row>
    <row r="332" spans="1:16">
      <c r="A332" s="6" t="s">
        <v>31</v>
      </c>
      <c r="B332" s="7">
        <v>310128</v>
      </c>
      <c r="C332" s="7">
        <v>310607</v>
      </c>
      <c r="D332" s="8"/>
      <c r="E332" s="7" t="s">
        <v>53</v>
      </c>
      <c r="F332" s="7" t="s">
        <v>2981</v>
      </c>
      <c r="G332" s="7" t="s">
        <v>362</v>
      </c>
      <c r="H332" s="8"/>
      <c r="I332" s="7" t="s">
        <v>55</v>
      </c>
      <c r="J332" s="8"/>
      <c r="K332" s="8"/>
      <c r="L332" s="7" t="s">
        <v>2982</v>
      </c>
      <c r="M332" s="7" t="s">
        <v>2981</v>
      </c>
      <c r="N332" s="7">
        <v>159</v>
      </c>
      <c r="O332" s="7" t="s">
        <v>2983</v>
      </c>
    </row>
    <row r="333" spans="1:16">
      <c r="A333" s="6" t="s">
        <v>31</v>
      </c>
      <c r="B333" s="7">
        <v>310604</v>
      </c>
      <c r="C333" s="7">
        <v>311779</v>
      </c>
      <c r="D333" s="8"/>
      <c r="E333" s="7" t="s">
        <v>53</v>
      </c>
      <c r="F333" s="7" t="s">
        <v>2984</v>
      </c>
      <c r="G333" s="8"/>
      <c r="H333" s="8"/>
      <c r="I333" s="7" t="s">
        <v>55</v>
      </c>
      <c r="J333" s="8"/>
      <c r="K333" s="8"/>
      <c r="L333" s="7" t="s">
        <v>2985</v>
      </c>
      <c r="M333" s="7" t="s">
        <v>2984</v>
      </c>
      <c r="N333" s="7">
        <v>391</v>
      </c>
      <c r="O333" s="7" t="s">
        <v>2986</v>
      </c>
    </row>
    <row r="334" spans="1:16">
      <c r="A334" s="6" t="s">
        <v>31</v>
      </c>
      <c r="B334" s="7">
        <v>311783</v>
      </c>
      <c r="C334" s="7">
        <v>312685</v>
      </c>
      <c r="D334" s="8"/>
      <c r="E334" s="7" t="s">
        <v>53</v>
      </c>
      <c r="F334" s="7" t="s">
        <v>2987</v>
      </c>
      <c r="G334" s="8"/>
      <c r="H334" s="8"/>
      <c r="I334" s="7" t="s">
        <v>55</v>
      </c>
      <c r="J334" s="8"/>
      <c r="K334" s="8"/>
      <c r="L334" s="7" t="s">
        <v>2988</v>
      </c>
      <c r="M334" s="7" t="s">
        <v>2987</v>
      </c>
      <c r="N334" s="7">
        <v>300</v>
      </c>
      <c r="O334" s="7" t="s">
        <v>2989</v>
      </c>
    </row>
    <row r="335" spans="1:16">
      <c r="A335" s="6" t="s">
        <v>31</v>
      </c>
      <c r="B335" s="7">
        <v>312791</v>
      </c>
      <c r="C335" s="7">
        <v>314101</v>
      </c>
      <c r="D335" s="8"/>
      <c r="E335" s="7" t="s">
        <v>53</v>
      </c>
      <c r="F335" s="7" t="s">
        <v>2990</v>
      </c>
      <c r="G335" s="7" t="s">
        <v>366</v>
      </c>
      <c r="H335" s="8"/>
      <c r="I335" s="7" t="s">
        <v>55</v>
      </c>
      <c r="J335" s="8"/>
      <c r="K335" s="8"/>
      <c r="L335" s="7" t="s">
        <v>2991</v>
      </c>
      <c r="M335" s="7" t="s">
        <v>2990</v>
      </c>
      <c r="N335" s="7">
        <v>436</v>
      </c>
      <c r="O335" s="7" t="s">
        <v>2992</v>
      </c>
      <c r="P335" s="7"/>
    </row>
    <row r="336" spans="1:16">
      <c r="A336" s="6" t="s">
        <v>31</v>
      </c>
      <c r="B336" s="7">
        <v>315288</v>
      </c>
      <c r="C336" s="7">
        <v>316877</v>
      </c>
      <c r="D336" s="8"/>
      <c r="E336" s="7" t="s">
        <v>75</v>
      </c>
      <c r="F336" s="7" t="s">
        <v>2993</v>
      </c>
      <c r="G336" s="8"/>
      <c r="H336" s="8"/>
      <c r="I336" s="7" t="s">
        <v>55</v>
      </c>
      <c r="J336" s="8"/>
      <c r="K336" s="8"/>
      <c r="L336" s="7" t="s">
        <v>2994</v>
      </c>
      <c r="M336" s="7" t="s">
        <v>2993</v>
      </c>
      <c r="N336" s="7">
        <v>529</v>
      </c>
      <c r="O336" s="7" t="s">
        <v>2995</v>
      </c>
    </row>
    <row r="337" spans="1:16">
      <c r="A337" s="6" t="s">
        <v>31</v>
      </c>
      <c r="B337" s="7">
        <v>316861</v>
      </c>
      <c r="C337" s="7">
        <v>317826</v>
      </c>
      <c r="D337" s="8"/>
      <c r="E337" s="7" t="s">
        <v>75</v>
      </c>
      <c r="F337" s="7" t="s">
        <v>2130</v>
      </c>
      <c r="G337" s="8"/>
      <c r="H337" s="8"/>
      <c r="I337" s="7" t="s">
        <v>55</v>
      </c>
      <c r="J337" s="8"/>
      <c r="K337" s="8"/>
      <c r="L337" s="7" t="s">
        <v>2996</v>
      </c>
      <c r="M337" s="7" t="s">
        <v>2130</v>
      </c>
      <c r="N337" s="7">
        <v>321</v>
      </c>
      <c r="O337" s="7" t="s">
        <v>2997</v>
      </c>
    </row>
    <row r="338" spans="1:16">
      <c r="A338" s="6" t="s">
        <v>31</v>
      </c>
      <c r="B338" s="7">
        <v>317854</v>
      </c>
      <c r="C338" s="7">
        <v>319029</v>
      </c>
      <c r="D338" s="8"/>
      <c r="E338" s="7" t="s">
        <v>53</v>
      </c>
      <c r="F338" s="7" t="s">
        <v>1280</v>
      </c>
      <c r="G338" s="7" t="s">
        <v>2998</v>
      </c>
      <c r="H338" s="8"/>
      <c r="I338" s="7" t="s">
        <v>55</v>
      </c>
      <c r="J338" s="8"/>
      <c r="K338" s="8"/>
      <c r="L338" s="7" t="s">
        <v>2999</v>
      </c>
      <c r="M338" s="7" t="s">
        <v>1280</v>
      </c>
      <c r="N338" s="7">
        <v>391</v>
      </c>
      <c r="O338" s="7" t="s">
        <v>3000</v>
      </c>
    </row>
    <row r="339" spans="1:16">
      <c r="A339" s="6" t="s">
        <v>31</v>
      </c>
      <c r="B339" s="7">
        <v>319076</v>
      </c>
      <c r="C339" s="7">
        <v>319309</v>
      </c>
      <c r="D339" s="8"/>
      <c r="E339" s="7" t="s">
        <v>75</v>
      </c>
      <c r="F339" s="7" t="s">
        <v>2130</v>
      </c>
      <c r="G339" s="8"/>
      <c r="H339" s="8"/>
      <c r="I339" s="7" t="s">
        <v>55</v>
      </c>
      <c r="J339" s="8"/>
      <c r="K339" s="8"/>
      <c r="L339" s="7" t="s">
        <v>3001</v>
      </c>
      <c r="M339" s="7" t="s">
        <v>2130</v>
      </c>
      <c r="N339" s="7">
        <v>77</v>
      </c>
      <c r="O339" s="7" t="s">
        <v>3002</v>
      </c>
    </row>
    <row r="340" spans="1:16">
      <c r="A340" s="6" t="s">
        <v>31</v>
      </c>
      <c r="B340" s="7">
        <v>319672</v>
      </c>
      <c r="C340" s="7">
        <v>320949</v>
      </c>
      <c r="D340" s="8"/>
      <c r="E340" s="7" t="s">
        <v>75</v>
      </c>
      <c r="F340" s="7" t="s">
        <v>3003</v>
      </c>
      <c r="G340" s="7" t="s">
        <v>371</v>
      </c>
      <c r="H340" s="8"/>
      <c r="I340" s="7" t="s">
        <v>55</v>
      </c>
      <c r="J340" s="8"/>
      <c r="K340" s="8"/>
      <c r="L340" s="7" t="s">
        <v>3004</v>
      </c>
      <c r="M340" s="7" t="s">
        <v>3003</v>
      </c>
      <c r="N340" s="7">
        <v>425</v>
      </c>
      <c r="O340" s="7" t="s">
        <v>3005</v>
      </c>
      <c r="P340" s="7"/>
    </row>
    <row r="341" spans="1:16">
      <c r="A341" s="6" t="s">
        <v>31</v>
      </c>
      <c r="B341" s="7">
        <v>321158</v>
      </c>
      <c r="C341" s="7">
        <v>321532</v>
      </c>
      <c r="D341" s="8"/>
      <c r="E341" s="7" t="s">
        <v>75</v>
      </c>
      <c r="F341" s="7" t="s">
        <v>3006</v>
      </c>
      <c r="G341" s="8"/>
      <c r="H341" s="8"/>
      <c r="I341" s="7" t="s">
        <v>55</v>
      </c>
      <c r="J341" s="8"/>
      <c r="K341" s="8"/>
      <c r="L341" s="7" t="s">
        <v>3007</v>
      </c>
      <c r="M341" s="7" t="s">
        <v>3006</v>
      </c>
      <c r="N341" s="7">
        <v>124</v>
      </c>
      <c r="O341" s="7" t="s">
        <v>3008</v>
      </c>
    </row>
    <row r="342" spans="1:16">
      <c r="A342" s="6" t="s">
        <v>31</v>
      </c>
      <c r="B342" s="7">
        <v>321611</v>
      </c>
      <c r="C342" s="7">
        <v>322522</v>
      </c>
      <c r="D342" s="8"/>
      <c r="E342" s="7" t="s">
        <v>75</v>
      </c>
      <c r="F342" s="7" t="s">
        <v>3009</v>
      </c>
      <c r="G342" s="7" t="s">
        <v>3010</v>
      </c>
      <c r="H342" s="8"/>
      <c r="I342" s="7" t="s">
        <v>55</v>
      </c>
      <c r="J342" s="8"/>
      <c r="K342" s="8"/>
      <c r="L342" s="7" t="s">
        <v>3011</v>
      </c>
      <c r="M342" s="7" t="s">
        <v>3009</v>
      </c>
      <c r="N342" s="7">
        <v>303</v>
      </c>
      <c r="O342" s="7" t="s">
        <v>3012</v>
      </c>
    </row>
    <row r="343" spans="1:16">
      <c r="A343" s="6" t="s">
        <v>31</v>
      </c>
      <c r="B343" s="7">
        <v>322537</v>
      </c>
      <c r="C343" s="7">
        <v>323364</v>
      </c>
      <c r="D343" s="8"/>
      <c r="E343" s="7" t="s">
        <v>75</v>
      </c>
      <c r="F343" s="7" t="s">
        <v>3013</v>
      </c>
      <c r="G343" s="7" t="s">
        <v>3014</v>
      </c>
      <c r="H343" s="8"/>
      <c r="I343" s="7" t="s">
        <v>55</v>
      </c>
      <c r="J343" s="8"/>
      <c r="K343" s="8"/>
      <c r="L343" s="7" t="s">
        <v>3015</v>
      </c>
      <c r="M343" s="7" t="s">
        <v>3013</v>
      </c>
      <c r="N343" s="7">
        <v>275</v>
      </c>
      <c r="O343" s="7" t="s">
        <v>3016</v>
      </c>
    </row>
    <row r="344" spans="1:16">
      <c r="A344" s="6" t="s">
        <v>31</v>
      </c>
      <c r="B344" s="7">
        <v>323432</v>
      </c>
      <c r="C344" s="7">
        <v>324424</v>
      </c>
      <c r="D344" s="8"/>
      <c r="E344" s="7" t="s">
        <v>75</v>
      </c>
      <c r="F344" s="7" t="s">
        <v>3017</v>
      </c>
      <c r="G344" s="7" t="s">
        <v>3018</v>
      </c>
      <c r="H344" s="8"/>
      <c r="I344" s="7" t="s">
        <v>55</v>
      </c>
      <c r="J344" s="8"/>
      <c r="K344" s="8"/>
      <c r="L344" s="7" t="s">
        <v>3019</v>
      </c>
      <c r="M344" s="7" t="s">
        <v>3017</v>
      </c>
      <c r="N344" s="7">
        <v>330</v>
      </c>
      <c r="O344" s="7" t="s">
        <v>3020</v>
      </c>
    </row>
    <row r="345" spans="1:16">
      <c r="A345" s="6" t="s">
        <v>31</v>
      </c>
      <c r="B345" s="7">
        <v>324355</v>
      </c>
      <c r="C345" s="7">
        <v>324492</v>
      </c>
      <c r="D345" s="8"/>
      <c r="E345" s="7" t="s">
        <v>75</v>
      </c>
      <c r="F345" s="7" t="s">
        <v>2095</v>
      </c>
      <c r="G345" s="8"/>
      <c r="H345" s="8"/>
      <c r="I345" s="7" t="s">
        <v>55</v>
      </c>
      <c r="J345" s="8"/>
      <c r="K345" s="8"/>
      <c r="L345" s="7" t="s">
        <v>3021</v>
      </c>
      <c r="M345" s="7" t="s">
        <v>2095</v>
      </c>
      <c r="N345" s="7">
        <v>45</v>
      </c>
      <c r="O345" s="7" t="s">
        <v>3022</v>
      </c>
    </row>
    <row r="346" spans="1:16">
      <c r="A346" s="6" t="s">
        <v>31</v>
      </c>
      <c r="B346" s="7">
        <v>324800</v>
      </c>
      <c r="C346" s="7">
        <v>325531</v>
      </c>
      <c r="D346" s="8"/>
      <c r="E346" s="7" t="s">
        <v>53</v>
      </c>
      <c r="F346" s="7" t="s">
        <v>3023</v>
      </c>
      <c r="G346" s="8"/>
      <c r="H346" s="8"/>
      <c r="I346" s="7" t="s">
        <v>55</v>
      </c>
      <c r="J346" s="8"/>
      <c r="K346" s="8"/>
      <c r="L346" s="7" t="s">
        <v>3024</v>
      </c>
      <c r="M346" s="7" t="s">
        <v>3023</v>
      </c>
      <c r="N346" s="7">
        <v>243</v>
      </c>
      <c r="O346" s="7" t="s">
        <v>3025</v>
      </c>
      <c r="P346" s="7"/>
    </row>
    <row r="347" spans="1:16">
      <c r="A347" s="6" t="s">
        <v>31</v>
      </c>
      <c r="B347" s="7">
        <v>325576</v>
      </c>
      <c r="C347" s="7">
        <v>326388</v>
      </c>
      <c r="D347" s="8"/>
      <c r="E347" s="7" t="s">
        <v>75</v>
      </c>
      <c r="F347" s="7" t="s">
        <v>3026</v>
      </c>
      <c r="G347" s="8"/>
      <c r="H347" s="8"/>
      <c r="I347" s="7" t="s">
        <v>55</v>
      </c>
      <c r="J347" s="8"/>
      <c r="K347" s="8"/>
      <c r="L347" s="7" t="s">
        <v>3027</v>
      </c>
      <c r="M347" s="7" t="s">
        <v>3026</v>
      </c>
      <c r="N347" s="7">
        <v>270</v>
      </c>
      <c r="O347" s="7" t="s">
        <v>3028</v>
      </c>
    </row>
    <row r="348" spans="1:16">
      <c r="A348" s="6" t="s">
        <v>31</v>
      </c>
      <c r="B348" s="7">
        <v>326597</v>
      </c>
      <c r="C348" s="7">
        <v>328018</v>
      </c>
      <c r="D348" s="8"/>
      <c r="E348" s="7" t="s">
        <v>53</v>
      </c>
      <c r="F348" s="7" t="s">
        <v>3029</v>
      </c>
      <c r="G348" s="8"/>
      <c r="H348" s="8"/>
      <c r="I348" s="7" t="s">
        <v>55</v>
      </c>
      <c r="J348" s="8"/>
      <c r="K348" s="8"/>
      <c r="L348" s="7" t="s">
        <v>3030</v>
      </c>
      <c r="M348" s="7" t="s">
        <v>3029</v>
      </c>
      <c r="N348" s="7">
        <v>473</v>
      </c>
      <c r="O348" s="7" t="s">
        <v>3031</v>
      </c>
    </row>
    <row r="349" spans="1:16">
      <c r="A349" s="6" t="s">
        <v>31</v>
      </c>
      <c r="B349" s="7">
        <v>328290</v>
      </c>
      <c r="C349" s="7">
        <v>328733</v>
      </c>
      <c r="D349" s="8"/>
      <c r="E349" s="7" t="s">
        <v>53</v>
      </c>
      <c r="F349" s="7" t="s">
        <v>3032</v>
      </c>
      <c r="G349" s="7" t="s">
        <v>380</v>
      </c>
      <c r="H349" s="8"/>
      <c r="I349" s="7" t="s">
        <v>55</v>
      </c>
      <c r="J349" s="8"/>
      <c r="K349" s="8"/>
      <c r="L349" s="7" t="s">
        <v>3033</v>
      </c>
      <c r="M349" s="7" t="s">
        <v>3032</v>
      </c>
      <c r="N349" s="7">
        <v>147</v>
      </c>
      <c r="O349" s="7" t="s">
        <v>3034</v>
      </c>
    </row>
    <row r="350" spans="1:16">
      <c r="A350" s="6" t="s">
        <v>31</v>
      </c>
      <c r="B350" s="7">
        <v>328726</v>
      </c>
      <c r="C350" s="7">
        <v>329247</v>
      </c>
      <c r="D350" s="8"/>
      <c r="E350" s="7" t="s">
        <v>53</v>
      </c>
      <c r="F350" s="7" t="s">
        <v>3035</v>
      </c>
      <c r="G350" s="8"/>
      <c r="H350" s="8"/>
      <c r="I350" s="7" t="s">
        <v>55</v>
      </c>
      <c r="J350" s="8"/>
      <c r="K350" s="8"/>
      <c r="L350" s="7" t="s">
        <v>3036</v>
      </c>
      <c r="M350" s="7" t="s">
        <v>3035</v>
      </c>
      <c r="N350" s="7">
        <v>173</v>
      </c>
      <c r="O350" s="7" t="s">
        <v>3037</v>
      </c>
      <c r="P350" s="7"/>
    </row>
    <row r="351" spans="1:16">
      <c r="A351" s="6" t="s">
        <v>31</v>
      </c>
      <c r="B351" s="7">
        <v>329256</v>
      </c>
      <c r="C351" s="7">
        <v>330482</v>
      </c>
      <c r="D351" s="8"/>
      <c r="E351" s="7" t="s">
        <v>53</v>
      </c>
      <c r="F351" s="7" t="s">
        <v>3038</v>
      </c>
      <c r="G351" s="7" t="s">
        <v>383</v>
      </c>
      <c r="H351" s="8"/>
      <c r="I351" s="7" t="s">
        <v>55</v>
      </c>
      <c r="J351" s="8"/>
      <c r="K351" s="8"/>
      <c r="L351" s="7" t="s">
        <v>3039</v>
      </c>
      <c r="M351" s="7" t="s">
        <v>3038</v>
      </c>
      <c r="N351" s="7">
        <v>408</v>
      </c>
      <c r="O351" s="7" t="s">
        <v>3040</v>
      </c>
    </row>
    <row r="352" spans="1:16">
      <c r="A352" s="6" t="s">
        <v>31</v>
      </c>
      <c r="B352" s="7">
        <v>330623</v>
      </c>
      <c r="C352" s="7">
        <v>331096</v>
      </c>
      <c r="D352" s="8"/>
      <c r="E352" s="7" t="s">
        <v>53</v>
      </c>
      <c r="F352" s="7" t="s">
        <v>3041</v>
      </c>
      <c r="G352" s="7" t="s">
        <v>385</v>
      </c>
      <c r="H352" s="8"/>
      <c r="I352" s="7" t="s">
        <v>55</v>
      </c>
      <c r="J352" s="8"/>
      <c r="K352" s="8"/>
      <c r="L352" s="7" t="s">
        <v>3042</v>
      </c>
      <c r="M352" s="7" t="s">
        <v>3041</v>
      </c>
      <c r="N352" s="7">
        <v>157</v>
      </c>
      <c r="O352" s="7" t="s">
        <v>3043</v>
      </c>
    </row>
    <row r="353" spans="1:17">
      <c r="A353" s="6" t="s">
        <v>31</v>
      </c>
      <c r="B353" s="7">
        <v>331174</v>
      </c>
      <c r="C353" s="7">
        <v>332349</v>
      </c>
      <c r="D353" s="8"/>
      <c r="E353" s="7" t="s">
        <v>53</v>
      </c>
      <c r="F353" s="7" t="s">
        <v>3044</v>
      </c>
      <c r="G353" s="7" t="s">
        <v>387</v>
      </c>
      <c r="H353" s="8"/>
      <c r="I353" s="7" t="s">
        <v>55</v>
      </c>
      <c r="J353" s="8"/>
      <c r="K353" s="8"/>
      <c r="L353" s="7" t="s">
        <v>3045</v>
      </c>
      <c r="M353" s="7" t="s">
        <v>3044</v>
      </c>
      <c r="N353" s="7">
        <v>391</v>
      </c>
      <c r="O353" s="7" t="s">
        <v>3046</v>
      </c>
    </row>
    <row r="354" spans="1:17">
      <c r="A354" s="6" t="s">
        <v>31</v>
      </c>
      <c r="B354" s="7">
        <v>332370</v>
      </c>
      <c r="C354" s="7">
        <v>332666</v>
      </c>
      <c r="D354" s="8"/>
      <c r="E354" s="7" t="s">
        <v>53</v>
      </c>
      <c r="F354" s="7" t="s">
        <v>3047</v>
      </c>
      <c r="G354" s="7" t="s">
        <v>3048</v>
      </c>
      <c r="H354" s="8"/>
      <c r="I354" s="7" t="s">
        <v>55</v>
      </c>
      <c r="J354" s="8"/>
      <c r="K354" s="8"/>
      <c r="L354" s="7" t="s">
        <v>3049</v>
      </c>
      <c r="M354" s="7" t="s">
        <v>3047</v>
      </c>
      <c r="N354" s="7">
        <v>98</v>
      </c>
      <c r="O354" s="7" t="s">
        <v>3050</v>
      </c>
    </row>
    <row r="355" spans="1:17">
      <c r="A355" s="6" t="s">
        <v>31</v>
      </c>
      <c r="B355" s="7">
        <v>332659</v>
      </c>
      <c r="C355" s="7">
        <v>332961</v>
      </c>
      <c r="D355" s="8"/>
      <c r="E355" s="7" t="s">
        <v>53</v>
      </c>
      <c r="F355" s="7" t="s">
        <v>3051</v>
      </c>
      <c r="G355" s="7" t="s">
        <v>3052</v>
      </c>
      <c r="H355" s="8"/>
      <c r="I355" s="7" t="s">
        <v>55</v>
      </c>
      <c r="J355" s="8"/>
      <c r="K355" s="8"/>
      <c r="L355" s="7" t="s">
        <v>3053</v>
      </c>
      <c r="M355" s="7" t="s">
        <v>3051</v>
      </c>
      <c r="N355" s="7">
        <v>100</v>
      </c>
      <c r="O355" s="7" t="s">
        <v>3054</v>
      </c>
    </row>
    <row r="356" spans="1:17">
      <c r="A356" s="6" t="s">
        <v>31</v>
      </c>
      <c r="B356" s="7">
        <v>332980</v>
      </c>
      <c r="C356" s="7">
        <v>335811</v>
      </c>
      <c r="D356" s="8"/>
      <c r="E356" s="7" t="s">
        <v>53</v>
      </c>
      <c r="F356" s="7" t="s">
        <v>391</v>
      </c>
      <c r="G356" s="7" t="s">
        <v>392</v>
      </c>
      <c r="H356" s="8"/>
      <c r="I356" s="7" t="s">
        <v>55</v>
      </c>
      <c r="J356" s="8"/>
      <c r="K356" s="8"/>
      <c r="L356" s="7" t="s">
        <v>3055</v>
      </c>
      <c r="M356" s="7" t="s">
        <v>391</v>
      </c>
      <c r="N356" s="7">
        <v>943</v>
      </c>
      <c r="O356" s="7" t="s">
        <v>3056</v>
      </c>
    </row>
    <row r="357" spans="1:17">
      <c r="A357" s="6" t="s">
        <v>31</v>
      </c>
      <c r="B357" s="7">
        <v>335905</v>
      </c>
      <c r="C357" s="7">
        <v>336258</v>
      </c>
      <c r="D357" s="8"/>
      <c r="E357" s="7" t="s">
        <v>53</v>
      </c>
      <c r="F357" s="7" t="s">
        <v>3057</v>
      </c>
      <c r="G357" s="7" t="s">
        <v>394</v>
      </c>
      <c r="H357" s="8"/>
      <c r="I357" s="7" t="s">
        <v>55</v>
      </c>
      <c r="J357" s="8"/>
      <c r="K357" s="8"/>
      <c r="L357" s="7" t="s">
        <v>3058</v>
      </c>
      <c r="M357" s="7" t="s">
        <v>3057</v>
      </c>
      <c r="N357" s="7">
        <v>117</v>
      </c>
      <c r="O357" s="7" t="s">
        <v>3059</v>
      </c>
    </row>
    <row r="358" spans="1:17">
      <c r="A358" s="6" t="s">
        <v>31</v>
      </c>
      <c r="B358" s="7">
        <v>336766</v>
      </c>
      <c r="C358" s="7">
        <v>336888</v>
      </c>
      <c r="D358" s="8"/>
      <c r="E358" s="7" t="s">
        <v>53</v>
      </c>
      <c r="F358" s="7" t="s">
        <v>2095</v>
      </c>
      <c r="G358" s="8"/>
      <c r="H358" s="8"/>
      <c r="I358" s="7" t="s">
        <v>55</v>
      </c>
      <c r="J358" s="8"/>
      <c r="K358" s="8"/>
      <c r="L358" s="7" t="s">
        <v>3060</v>
      </c>
      <c r="M358" s="7" t="s">
        <v>2095</v>
      </c>
      <c r="N358" s="7">
        <v>40</v>
      </c>
      <c r="O358" s="7" t="s">
        <v>3061</v>
      </c>
    </row>
    <row r="359" spans="1:17">
      <c r="A359" s="6" t="s">
        <v>31</v>
      </c>
      <c r="B359" s="7">
        <v>336944</v>
      </c>
      <c r="C359" s="7">
        <v>337060</v>
      </c>
      <c r="D359" s="8"/>
      <c r="E359" s="7" t="s">
        <v>53</v>
      </c>
      <c r="F359" s="7" t="s">
        <v>2130</v>
      </c>
      <c r="G359" s="8"/>
      <c r="H359" s="8"/>
      <c r="I359" s="7" t="s">
        <v>55</v>
      </c>
      <c r="J359" s="8"/>
      <c r="K359" s="8"/>
      <c r="L359" s="7" t="s">
        <v>3062</v>
      </c>
      <c r="M359" s="7" t="s">
        <v>2130</v>
      </c>
      <c r="N359" s="7">
        <v>38</v>
      </c>
      <c r="O359" s="7" t="s">
        <v>3063</v>
      </c>
    </row>
    <row r="360" spans="1:17">
      <c r="A360" s="6" t="s">
        <v>31</v>
      </c>
      <c r="B360" s="7">
        <v>337154</v>
      </c>
      <c r="C360" s="7">
        <v>338413</v>
      </c>
      <c r="D360" s="8"/>
      <c r="E360" s="7" t="s">
        <v>53</v>
      </c>
      <c r="F360" s="7" t="s">
        <v>3064</v>
      </c>
      <c r="G360" s="7" t="s">
        <v>3065</v>
      </c>
      <c r="H360" s="8"/>
      <c r="I360" s="7" t="s">
        <v>55</v>
      </c>
      <c r="J360" s="8"/>
      <c r="K360" s="8"/>
      <c r="L360" s="7" t="s">
        <v>3066</v>
      </c>
      <c r="M360" s="7" t="s">
        <v>3064</v>
      </c>
      <c r="N360" s="7">
        <v>419</v>
      </c>
      <c r="O360" s="7" t="s">
        <v>3067</v>
      </c>
    </row>
    <row r="361" spans="1:17">
      <c r="A361" s="6" t="s">
        <v>31</v>
      </c>
      <c r="B361" s="7">
        <v>338482</v>
      </c>
      <c r="C361" s="7">
        <v>339927</v>
      </c>
      <c r="D361" s="8"/>
      <c r="E361" s="7" t="s">
        <v>75</v>
      </c>
      <c r="F361" s="7" t="s">
        <v>399</v>
      </c>
      <c r="G361" s="7" t="s">
        <v>3068</v>
      </c>
      <c r="H361" s="8"/>
      <c r="I361" s="7" t="s">
        <v>55</v>
      </c>
      <c r="J361" s="8"/>
      <c r="K361" s="8"/>
      <c r="L361" s="7" t="s">
        <v>3069</v>
      </c>
      <c r="M361" s="7" t="s">
        <v>399</v>
      </c>
      <c r="N361" s="7">
        <v>481</v>
      </c>
      <c r="O361" s="7" t="s">
        <v>3070</v>
      </c>
      <c r="P361" s="7"/>
    </row>
    <row r="362" spans="1:17">
      <c r="A362" s="6" t="s">
        <v>31</v>
      </c>
      <c r="B362" s="7">
        <v>340079</v>
      </c>
      <c r="C362" s="7">
        <v>341653</v>
      </c>
      <c r="D362" s="8"/>
      <c r="E362" s="7" t="s">
        <v>53</v>
      </c>
      <c r="F362" s="7" t="s">
        <v>3071</v>
      </c>
      <c r="G362" s="8"/>
      <c r="H362" s="8"/>
      <c r="I362" s="7" t="s">
        <v>55</v>
      </c>
      <c r="J362" s="8"/>
      <c r="K362" s="8"/>
      <c r="L362" s="7" t="s">
        <v>3072</v>
      </c>
      <c r="M362" s="7" t="s">
        <v>3071</v>
      </c>
      <c r="N362" s="7">
        <v>524</v>
      </c>
      <c r="O362" s="7" t="s">
        <v>3073</v>
      </c>
    </row>
    <row r="363" spans="1:17">
      <c r="A363" s="6" t="s">
        <v>31</v>
      </c>
      <c r="B363" s="7">
        <v>341737</v>
      </c>
      <c r="C363" s="7">
        <v>342288</v>
      </c>
      <c r="D363" s="8"/>
      <c r="E363" s="7" t="s">
        <v>53</v>
      </c>
      <c r="F363" s="7" t="s">
        <v>3074</v>
      </c>
      <c r="G363" s="8"/>
      <c r="H363" s="8"/>
      <c r="I363" s="7" t="s">
        <v>55</v>
      </c>
      <c r="J363" s="8"/>
      <c r="K363" s="8"/>
      <c r="L363" s="7" t="s">
        <v>3075</v>
      </c>
      <c r="M363" s="7" t="s">
        <v>3074</v>
      </c>
      <c r="N363" s="7">
        <v>183</v>
      </c>
      <c r="O363" s="7" t="s">
        <v>3076</v>
      </c>
    </row>
    <row r="364" spans="1:17">
      <c r="A364" s="6" t="s">
        <v>31</v>
      </c>
      <c r="B364" s="7">
        <v>342592</v>
      </c>
      <c r="C364" s="7">
        <v>343686</v>
      </c>
      <c r="D364" s="8"/>
      <c r="E364" s="7" t="s">
        <v>53</v>
      </c>
      <c r="F364" s="7" t="s">
        <v>3077</v>
      </c>
      <c r="G364" s="7" t="s">
        <v>3078</v>
      </c>
      <c r="H364" s="8"/>
      <c r="I364" s="7" t="s">
        <v>55</v>
      </c>
      <c r="J364" s="8"/>
      <c r="K364" s="8"/>
      <c r="L364" s="7" t="s">
        <v>3079</v>
      </c>
      <c r="M364" s="7" t="s">
        <v>3077</v>
      </c>
      <c r="N364" s="7">
        <v>364</v>
      </c>
      <c r="O364" s="7" t="s">
        <v>3080</v>
      </c>
      <c r="P364" s="7"/>
      <c r="Q364" s="7"/>
    </row>
    <row r="365" spans="1:17">
      <c r="A365" s="6" t="s">
        <v>31</v>
      </c>
      <c r="B365" s="7">
        <v>343697</v>
      </c>
      <c r="C365" s="7">
        <v>344860</v>
      </c>
      <c r="D365" s="8"/>
      <c r="E365" s="7" t="s">
        <v>53</v>
      </c>
      <c r="F365" s="7" t="s">
        <v>3081</v>
      </c>
      <c r="G365" s="8"/>
      <c r="H365" s="8"/>
      <c r="I365" s="7" t="s">
        <v>55</v>
      </c>
      <c r="J365" s="8"/>
      <c r="K365" s="8"/>
      <c r="L365" s="7" t="s">
        <v>3082</v>
      </c>
      <c r="M365" s="7" t="s">
        <v>3081</v>
      </c>
      <c r="N365" s="7">
        <v>387</v>
      </c>
      <c r="O365" s="7" t="s">
        <v>3083</v>
      </c>
      <c r="P365" s="7"/>
    </row>
    <row r="366" spans="1:17">
      <c r="A366" s="6" t="s">
        <v>31</v>
      </c>
      <c r="B366" s="7">
        <v>344936</v>
      </c>
      <c r="C366" s="7">
        <v>345106</v>
      </c>
      <c r="D366" s="8"/>
      <c r="E366" s="7" t="s">
        <v>53</v>
      </c>
      <c r="F366" s="7" t="s">
        <v>3084</v>
      </c>
      <c r="G366" s="8"/>
      <c r="H366" s="8"/>
      <c r="I366" s="7" t="s">
        <v>55</v>
      </c>
      <c r="J366" s="8"/>
      <c r="K366" s="8"/>
      <c r="L366" s="7" t="s">
        <v>3085</v>
      </c>
      <c r="M366" s="7" t="s">
        <v>3084</v>
      </c>
      <c r="N366" s="7">
        <v>56</v>
      </c>
      <c r="O366" s="7" t="s">
        <v>3086</v>
      </c>
    </row>
    <row r="367" spans="1:17">
      <c r="A367" s="6" t="s">
        <v>31</v>
      </c>
      <c r="B367" s="7">
        <v>345144</v>
      </c>
      <c r="C367" s="7">
        <v>345278</v>
      </c>
      <c r="D367" s="8"/>
      <c r="E367" s="7" t="s">
        <v>53</v>
      </c>
      <c r="F367" s="7" t="s">
        <v>2095</v>
      </c>
      <c r="G367" s="8"/>
      <c r="H367" s="8"/>
      <c r="I367" s="7" t="s">
        <v>55</v>
      </c>
      <c r="J367" s="8"/>
      <c r="K367" s="8"/>
      <c r="L367" s="7" t="s">
        <v>3087</v>
      </c>
      <c r="M367" s="7" t="s">
        <v>2095</v>
      </c>
      <c r="N367" s="7">
        <v>44</v>
      </c>
      <c r="O367" s="7" t="s">
        <v>3088</v>
      </c>
    </row>
    <row r="368" spans="1:17">
      <c r="A368" s="6" t="s">
        <v>31</v>
      </c>
      <c r="B368" s="7">
        <v>345548</v>
      </c>
      <c r="C368" s="7">
        <v>346177</v>
      </c>
      <c r="D368" s="8"/>
      <c r="E368" s="7" t="s">
        <v>53</v>
      </c>
      <c r="F368" s="7" t="s">
        <v>406</v>
      </c>
      <c r="G368" s="7" t="s">
        <v>407</v>
      </c>
      <c r="H368" s="8"/>
      <c r="I368" s="7" t="s">
        <v>55</v>
      </c>
      <c r="J368" s="8"/>
      <c r="K368" s="8"/>
      <c r="L368" s="7" t="s">
        <v>3089</v>
      </c>
      <c r="M368" s="7" t="s">
        <v>406</v>
      </c>
      <c r="N368" s="7">
        <v>209</v>
      </c>
      <c r="O368" s="7" t="s">
        <v>3090</v>
      </c>
      <c r="P368" s="7"/>
    </row>
    <row r="369" spans="1:17">
      <c r="A369" s="6" t="s">
        <v>31</v>
      </c>
      <c r="B369" s="7">
        <v>346315</v>
      </c>
      <c r="C369" s="7">
        <v>346905</v>
      </c>
      <c r="D369" s="8"/>
      <c r="E369" s="7" t="s">
        <v>53</v>
      </c>
      <c r="F369" s="7" t="s">
        <v>3091</v>
      </c>
      <c r="G369" s="7" t="s">
        <v>3092</v>
      </c>
      <c r="H369" s="8"/>
      <c r="I369" s="7" t="s">
        <v>55</v>
      </c>
      <c r="J369" s="8"/>
      <c r="K369" s="8"/>
      <c r="L369" s="7" t="s">
        <v>3093</v>
      </c>
      <c r="M369" s="7" t="s">
        <v>3091</v>
      </c>
      <c r="N369" s="7">
        <v>196</v>
      </c>
      <c r="O369" s="7" t="s">
        <v>3094</v>
      </c>
      <c r="P369" s="7"/>
    </row>
    <row r="370" spans="1:17">
      <c r="A370" s="6" t="s">
        <v>31</v>
      </c>
      <c r="B370" s="7">
        <v>346992</v>
      </c>
      <c r="C370" s="7">
        <v>347441</v>
      </c>
      <c r="D370" s="8"/>
      <c r="E370" s="7" t="s">
        <v>53</v>
      </c>
      <c r="F370" s="7" t="s">
        <v>2130</v>
      </c>
      <c r="G370" s="8"/>
      <c r="H370" s="8"/>
      <c r="I370" s="7" t="s">
        <v>55</v>
      </c>
      <c r="J370" s="8"/>
      <c r="K370" s="8"/>
      <c r="L370" s="7" t="s">
        <v>3095</v>
      </c>
      <c r="M370" s="7" t="s">
        <v>2130</v>
      </c>
      <c r="N370" s="7">
        <v>149</v>
      </c>
      <c r="O370" s="7" t="s">
        <v>3096</v>
      </c>
    </row>
    <row r="371" spans="1:17">
      <c r="A371" s="6" t="s">
        <v>31</v>
      </c>
      <c r="B371" s="7">
        <v>347434</v>
      </c>
      <c r="C371" s="7">
        <v>347715</v>
      </c>
      <c r="D371" s="8"/>
      <c r="E371" s="7" t="s">
        <v>53</v>
      </c>
      <c r="F371" s="7" t="s">
        <v>2130</v>
      </c>
      <c r="G371" s="8"/>
      <c r="H371" s="8"/>
      <c r="I371" s="7" t="s">
        <v>55</v>
      </c>
      <c r="J371" s="8"/>
      <c r="K371" s="8"/>
      <c r="L371" s="7" t="s">
        <v>3097</v>
      </c>
      <c r="M371" s="7" t="s">
        <v>2130</v>
      </c>
      <c r="N371" s="7">
        <v>93</v>
      </c>
      <c r="O371" s="7" t="s">
        <v>3098</v>
      </c>
    </row>
    <row r="372" spans="1:17">
      <c r="A372" s="6" t="s">
        <v>31</v>
      </c>
      <c r="B372" s="7">
        <v>347872</v>
      </c>
      <c r="C372" s="7">
        <v>349047</v>
      </c>
      <c r="D372" s="8"/>
      <c r="E372" s="7" t="s">
        <v>53</v>
      </c>
      <c r="F372" s="7" t="s">
        <v>3099</v>
      </c>
      <c r="G372" s="8"/>
      <c r="H372" s="8"/>
      <c r="I372" s="7" t="s">
        <v>55</v>
      </c>
      <c r="J372" s="8"/>
      <c r="K372" s="8"/>
      <c r="L372" s="7" t="s">
        <v>3100</v>
      </c>
      <c r="M372" s="7" t="s">
        <v>3099</v>
      </c>
      <c r="N372" s="7">
        <v>391</v>
      </c>
      <c r="O372" s="7" t="s">
        <v>3101</v>
      </c>
    </row>
    <row r="373" spans="1:17">
      <c r="A373" s="6" t="s">
        <v>31</v>
      </c>
      <c r="B373" s="7">
        <v>349091</v>
      </c>
      <c r="C373" s="7">
        <v>349975</v>
      </c>
      <c r="D373" s="8"/>
      <c r="E373" s="7" t="s">
        <v>53</v>
      </c>
      <c r="F373" s="7" t="s">
        <v>3102</v>
      </c>
      <c r="G373" s="7" t="s">
        <v>3103</v>
      </c>
      <c r="H373" s="8"/>
      <c r="I373" s="7" t="s">
        <v>55</v>
      </c>
      <c r="J373" s="8"/>
      <c r="K373" s="8"/>
      <c r="L373" s="7" t="s">
        <v>3104</v>
      </c>
      <c r="M373" s="7" t="s">
        <v>3102</v>
      </c>
      <c r="N373" s="7">
        <v>294</v>
      </c>
      <c r="O373" s="7" t="s">
        <v>3105</v>
      </c>
    </row>
    <row r="374" spans="1:17">
      <c r="A374" s="6" t="s">
        <v>31</v>
      </c>
      <c r="B374" s="7">
        <v>349979</v>
      </c>
      <c r="C374" s="7">
        <v>350929</v>
      </c>
      <c r="D374" s="8"/>
      <c r="E374" s="7" t="s">
        <v>53</v>
      </c>
      <c r="F374" s="7" t="s">
        <v>3106</v>
      </c>
      <c r="G374" s="8"/>
      <c r="H374" s="8"/>
      <c r="I374" s="7" t="s">
        <v>55</v>
      </c>
      <c r="J374" s="8"/>
      <c r="K374" s="8"/>
      <c r="L374" s="7" t="s">
        <v>3107</v>
      </c>
      <c r="M374" s="7" t="s">
        <v>3106</v>
      </c>
      <c r="N374" s="7">
        <v>316</v>
      </c>
      <c r="O374" s="7" t="s">
        <v>3108</v>
      </c>
    </row>
    <row r="375" spans="1:17">
      <c r="A375" s="6" t="s">
        <v>31</v>
      </c>
      <c r="B375" s="7">
        <v>350932</v>
      </c>
      <c r="C375" s="7">
        <v>351696</v>
      </c>
      <c r="D375" s="8"/>
      <c r="E375" s="7" t="s">
        <v>53</v>
      </c>
      <c r="F375" s="7" t="s">
        <v>3109</v>
      </c>
      <c r="G375" s="7" t="s">
        <v>3110</v>
      </c>
      <c r="H375" s="8"/>
      <c r="I375" s="7" t="s">
        <v>55</v>
      </c>
      <c r="J375" s="8"/>
      <c r="K375" s="8"/>
      <c r="L375" s="7" t="s">
        <v>3111</v>
      </c>
      <c r="M375" s="7" t="s">
        <v>3109</v>
      </c>
      <c r="N375" s="7">
        <v>254</v>
      </c>
      <c r="O375" s="7" t="s">
        <v>3112</v>
      </c>
    </row>
    <row r="376" spans="1:17">
      <c r="A376" s="6" t="s">
        <v>31</v>
      </c>
      <c r="B376" s="7">
        <v>351696</v>
      </c>
      <c r="C376" s="7">
        <v>352406</v>
      </c>
      <c r="D376" s="8"/>
      <c r="E376" s="7" t="s">
        <v>53</v>
      </c>
      <c r="F376" s="7" t="s">
        <v>3109</v>
      </c>
      <c r="G376" s="7" t="s">
        <v>3113</v>
      </c>
      <c r="H376" s="8"/>
      <c r="I376" s="7" t="s">
        <v>55</v>
      </c>
      <c r="J376" s="8"/>
      <c r="K376" s="8"/>
      <c r="L376" s="7" t="s">
        <v>3114</v>
      </c>
      <c r="M376" s="7" t="s">
        <v>3109</v>
      </c>
      <c r="N376" s="7">
        <v>236</v>
      </c>
      <c r="O376" s="7" t="s">
        <v>3115</v>
      </c>
    </row>
    <row r="377" spans="1:17">
      <c r="A377" s="6" t="s">
        <v>31</v>
      </c>
      <c r="B377" s="7">
        <v>352560</v>
      </c>
      <c r="C377" s="7">
        <v>352979</v>
      </c>
      <c r="D377" s="8"/>
      <c r="E377" s="7" t="s">
        <v>53</v>
      </c>
      <c r="F377" s="7" t="s">
        <v>3116</v>
      </c>
      <c r="G377" s="8"/>
      <c r="H377" s="8"/>
      <c r="I377" s="7" t="s">
        <v>55</v>
      </c>
      <c r="J377" s="8"/>
      <c r="K377" s="8"/>
      <c r="L377" s="7" t="s">
        <v>3117</v>
      </c>
      <c r="M377" s="7" t="s">
        <v>3116</v>
      </c>
      <c r="N377" s="7">
        <v>139</v>
      </c>
      <c r="O377" s="7" t="s">
        <v>3118</v>
      </c>
    </row>
    <row r="378" spans="1:17">
      <c r="A378" s="6" t="s">
        <v>31</v>
      </c>
      <c r="B378" s="7">
        <v>352924</v>
      </c>
      <c r="C378" s="7">
        <v>353202</v>
      </c>
      <c r="D378" s="8"/>
      <c r="E378" s="7" t="s">
        <v>53</v>
      </c>
      <c r="F378" s="7" t="s">
        <v>3119</v>
      </c>
      <c r="G378" s="8"/>
      <c r="H378" s="8"/>
      <c r="I378" s="7" t="s">
        <v>55</v>
      </c>
      <c r="J378" s="8"/>
      <c r="K378" s="8"/>
      <c r="L378" s="7" t="s">
        <v>3120</v>
      </c>
      <c r="M378" s="7" t="s">
        <v>3119</v>
      </c>
      <c r="N378" s="7">
        <v>92</v>
      </c>
      <c r="O378" s="7" t="s">
        <v>3121</v>
      </c>
    </row>
    <row r="379" spans="1:17">
      <c r="A379" s="6" t="s">
        <v>31</v>
      </c>
      <c r="B379" s="7">
        <v>353369</v>
      </c>
      <c r="C379" s="7">
        <v>354295</v>
      </c>
      <c r="D379" s="8"/>
      <c r="E379" s="7" t="s">
        <v>75</v>
      </c>
      <c r="F379" s="7" t="s">
        <v>3122</v>
      </c>
      <c r="G379" s="7" t="s">
        <v>418</v>
      </c>
      <c r="H379" s="8"/>
      <c r="I379" s="7" t="s">
        <v>55</v>
      </c>
      <c r="J379" s="8"/>
      <c r="K379" s="8"/>
      <c r="L379" s="7" t="s">
        <v>3123</v>
      </c>
      <c r="M379" s="7" t="s">
        <v>3122</v>
      </c>
      <c r="N379" s="7">
        <v>308</v>
      </c>
      <c r="O379" s="7" t="s">
        <v>3124</v>
      </c>
      <c r="P379" s="7"/>
      <c r="Q379" s="7"/>
    </row>
    <row r="380" spans="1:17">
      <c r="A380" s="6" t="s">
        <v>31</v>
      </c>
      <c r="B380" s="7">
        <v>354397</v>
      </c>
      <c r="C380" s="7">
        <v>355023</v>
      </c>
      <c r="D380" s="8"/>
      <c r="E380" s="7" t="s">
        <v>75</v>
      </c>
      <c r="F380" s="7" t="s">
        <v>3125</v>
      </c>
      <c r="G380" s="7" t="s">
        <v>3126</v>
      </c>
      <c r="H380" s="8"/>
      <c r="I380" s="7" t="s">
        <v>55</v>
      </c>
      <c r="J380" s="8"/>
      <c r="K380" s="8"/>
      <c r="L380" s="7" t="s">
        <v>3127</v>
      </c>
      <c r="M380" s="7" t="s">
        <v>3125</v>
      </c>
      <c r="N380" s="7">
        <v>208</v>
      </c>
      <c r="O380" s="7" t="s">
        <v>3128</v>
      </c>
    </row>
    <row r="381" spans="1:17">
      <c r="A381" s="6" t="s">
        <v>31</v>
      </c>
      <c r="B381" s="7">
        <v>355078</v>
      </c>
      <c r="C381" s="7">
        <v>356397</v>
      </c>
      <c r="D381" s="8"/>
      <c r="E381" s="7" t="s">
        <v>53</v>
      </c>
      <c r="F381" s="7" t="s">
        <v>3129</v>
      </c>
      <c r="G381" s="8"/>
      <c r="H381" s="8"/>
      <c r="I381" s="7" t="s">
        <v>55</v>
      </c>
      <c r="J381" s="8"/>
      <c r="K381" s="8"/>
      <c r="L381" s="7" t="s">
        <v>3130</v>
      </c>
      <c r="M381" s="7" t="s">
        <v>3129</v>
      </c>
      <c r="N381" s="7">
        <v>439</v>
      </c>
      <c r="O381" s="7" t="s">
        <v>3131</v>
      </c>
    </row>
    <row r="382" spans="1:17">
      <c r="A382" s="6" t="s">
        <v>31</v>
      </c>
      <c r="B382" s="7">
        <v>356378</v>
      </c>
      <c r="C382" s="7">
        <v>357040</v>
      </c>
      <c r="D382" s="8"/>
      <c r="E382" s="7" t="s">
        <v>53</v>
      </c>
      <c r="F382" s="7" t="s">
        <v>3132</v>
      </c>
      <c r="G382" s="8"/>
      <c r="H382" s="8"/>
      <c r="I382" s="7" t="s">
        <v>55</v>
      </c>
      <c r="J382" s="8"/>
      <c r="K382" s="8"/>
      <c r="L382" s="7" t="s">
        <v>3133</v>
      </c>
      <c r="M382" s="7" t="s">
        <v>3132</v>
      </c>
      <c r="N382" s="7">
        <v>220</v>
      </c>
      <c r="O382" s="7" t="s">
        <v>3134</v>
      </c>
    </row>
    <row r="383" spans="1:17">
      <c r="A383" s="6" t="s">
        <v>31</v>
      </c>
      <c r="B383" s="7">
        <v>357119</v>
      </c>
      <c r="C383" s="7">
        <v>357667</v>
      </c>
      <c r="D383" s="8"/>
      <c r="E383" s="7" t="s">
        <v>53</v>
      </c>
      <c r="F383" s="7" t="s">
        <v>3135</v>
      </c>
      <c r="G383" s="7" t="s">
        <v>423</v>
      </c>
      <c r="H383" s="8"/>
      <c r="I383" s="7" t="s">
        <v>55</v>
      </c>
      <c r="J383" s="8"/>
      <c r="K383" s="8"/>
      <c r="L383" s="7" t="s">
        <v>3136</v>
      </c>
      <c r="M383" s="7" t="s">
        <v>3135</v>
      </c>
      <c r="N383" s="7">
        <v>182</v>
      </c>
      <c r="O383" s="7" t="s">
        <v>3137</v>
      </c>
    </row>
    <row r="384" spans="1:17">
      <c r="A384" s="6" t="s">
        <v>31</v>
      </c>
      <c r="B384" s="7">
        <v>363579</v>
      </c>
      <c r="C384" s="7">
        <v>364511</v>
      </c>
      <c r="D384" s="8"/>
      <c r="E384" s="7" t="s">
        <v>53</v>
      </c>
      <c r="F384" s="7" t="s">
        <v>3138</v>
      </c>
      <c r="G384" s="7" t="s">
        <v>3139</v>
      </c>
      <c r="H384" s="8"/>
      <c r="I384" s="7" t="s">
        <v>55</v>
      </c>
      <c r="J384" s="8"/>
      <c r="K384" s="8"/>
      <c r="L384" s="7" t="s">
        <v>3140</v>
      </c>
      <c r="M384" s="7" t="s">
        <v>3138</v>
      </c>
      <c r="N384" s="7">
        <v>310</v>
      </c>
      <c r="O384" s="7" t="s">
        <v>3141</v>
      </c>
      <c r="P384" s="7"/>
    </row>
    <row r="385" spans="1:16">
      <c r="A385" s="6" t="s">
        <v>31</v>
      </c>
      <c r="B385" s="7">
        <v>364565</v>
      </c>
      <c r="C385" s="7">
        <v>365224</v>
      </c>
      <c r="D385" s="8"/>
      <c r="E385" s="7" t="s">
        <v>53</v>
      </c>
      <c r="F385" s="7" t="s">
        <v>2130</v>
      </c>
      <c r="G385" s="8"/>
      <c r="H385" s="8"/>
      <c r="I385" s="7" t="s">
        <v>55</v>
      </c>
      <c r="J385" s="8"/>
      <c r="K385" s="8"/>
      <c r="L385" s="7" t="s">
        <v>3142</v>
      </c>
      <c r="M385" s="7" t="s">
        <v>2130</v>
      </c>
      <c r="N385" s="7">
        <v>219</v>
      </c>
      <c r="O385" s="7" t="s">
        <v>3143</v>
      </c>
    </row>
    <row r="386" spans="1:16">
      <c r="A386" s="6" t="s">
        <v>31</v>
      </c>
      <c r="B386" s="7">
        <v>365254</v>
      </c>
      <c r="C386" s="7">
        <v>365787</v>
      </c>
      <c r="D386" s="8"/>
      <c r="E386" s="7" t="s">
        <v>75</v>
      </c>
      <c r="F386" s="7" t="s">
        <v>3144</v>
      </c>
      <c r="G386" s="7" t="s">
        <v>3145</v>
      </c>
      <c r="H386" s="8"/>
      <c r="I386" s="7" t="s">
        <v>55</v>
      </c>
      <c r="J386" s="8"/>
      <c r="K386" s="8"/>
      <c r="L386" s="7" t="s">
        <v>3146</v>
      </c>
      <c r="M386" s="7" t="s">
        <v>3144</v>
      </c>
      <c r="N386" s="7">
        <v>177</v>
      </c>
      <c r="O386" s="7" t="s">
        <v>3147</v>
      </c>
    </row>
    <row r="387" spans="1:16">
      <c r="A387" s="6" t="s">
        <v>31</v>
      </c>
      <c r="B387" s="7">
        <v>365858</v>
      </c>
      <c r="C387" s="7">
        <v>366634</v>
      </c>
      <c r="D387" s="8"/>
      <c r="E387" s="7" t="s">
        <v>75</v>
      </c>
      <c r="F387" s="7" t="s">
        <v>3148</v>
      </c>
      <c r="G387" s="7" t="s">
        <v>428</v>
      </c>
      <c r="H387" s="8"/>
      <c r="I387" s="7" t="s">
        <v>55</v>
      </c>
      <c r="J387" s="8"/>
      <c r="K387" s="8"/>
      <c r="L387" s="7" t="s">
        <v>3149</v>
      </c>
      <c r="M387" s="7" t="s">
        <v>3148</v>
      </c>
      <c r="N387" s="7">
        <v>258</v>
      </c>
      <c r="O387" s="7" t="s">
        <v>3150</v>
      </c>
    </row>
    <row r="388" spans="1:16">
      <c r="A388" s="6" t="s">
        <v>31</v>
      </c>
      <c r="B388" s="7">
        <v>366669</v>
      </c>
      <c r="C388" s="7">
        <v>368033</v>
      </c>
      <c r="D388" s="8"/>
      <c r="E388" s="7" t="s">
        <v>53</v>
      </c>
      <c r="F388" s="7" t="s">
        <v>3151</v>
      </c>
      <c r="G388" s="8"/>
      <c r="H388" s="8"/>
      <c r="I388" s="7" t="s">
        <v>55</v>
      </c>
      <c r="J388" s="8"/>
      <c r="K388" s="8"/>
      <c r="L388" s="7" t="s">
        <v>3152</v>
      </c>
      <c r="M388" s="7" t="s">
        <v>3151</v>
      </c>
      <c r="N388" s="7">
        <v>454</v>
      </c>
      <c r="O388" s="7" t="s">
        <v>3153</v>
      </c>
    </row>
    <row r="389" spans="1:16">
      <c r="A389" s="6" t="s">
        <v>31</v>
      </c>
      <c r="B389" s="7">
        <v>368132</v>
      </c>
      <c r="C389" s="7">
        <v>369124</v>
      </c>
      <c r="D389" s="8"/>
      <c r="E389" s="7" t="s">
        <v>53</v>
      </c>
      <c r="F389" s="7" t="s">
        <v>3154</v>
      </c>
      <c r="G389" s="7" t="s">
        <v>431</v>
      </c>
      <c r="H389" s="8"/>
      <c r="I389" s="7" t="s">
        <v>55</v>
      </c>
      <c r="J389" s="8"/>
      <c r="K389" s="8"/>
      <c r="L389" s="7" t="s">
        <v>3155</v>
      </c>
      <c r="M389" s="7" t="s">
        <v>3154</v>
      </c>
      <c r="N389" s="7">
        <v>330</v>
      </c>
      <c r="O389" s="7" t="s">
        <v>3156</v>
      </c>
      <c r="P389" s="7"/>
    </row>
    <row r="390" spans="1:16">
      <c r="A390" s="6" t="s">
        <v>31</v>
      </c>
      <c r="B390" s="7">
        <v>369276</v>
      </c>
      <c r="C390" s="7">
        <v>370634</v>
      </c>
      <c r="D390" s="8"/>
      <c r="E390" s="7" t="s">
        <v>75</v>
      </c>
      <c r="F390" s="7" t="s">
        <v>3157</v>
      </c>
      <c r="G390" s="7" t="s">
        <v>3158</v>
      </c>
      <c r="H390" s="8"/>
      <c r="I390" s="7" t="s">
        <v>55</v>
      </c>
      <c r="J390" s="8"/>
      <c r="K390" s="8"/>
      <c r="L390" s="7" t="s">
        <v>3159</v>
      </c>
      <c r="M390" s="7" t="s">
        <v>3157</v>
      </c>
      <c r="N390" s="7">
        <v>452</v>
      </c>
      <c r="O390" s="7" t="s">
        <v>3160</v>
      </c>
      <c r="P390" s="7"/>
    </row>
    <row r="391" spans="1:16">
      <c r="A391" s="6" t="s">
        <v>31</v>
      </c>
      <c r="B391" s="7">
        <v>370766</v>
      </c>
      <c r="C391" s="7">
        <v>371404</v>
      </c>
      <c r="D391" s="8"/>
      <c r="E391" s="7" t="s">
        <v>53</v>
      </c>
      <c r="F391" s="7" t="s">
        <v>2679</v>
      </c>
      <c r="G391" s="8"/>
      <c r="H391" s="8"/>
      <c r="I391" s="7" t="s">
        <v>55</v>
      </c>
      <c r="J391" s="8"/>
      <c r="K391" s="8"/>
      <c r="L391" s="7" t="s">
        <v>3161</v>
      </c>
      <c r="M391" s="7" t="s">
        <v>2679</v>
      </c>
      <c r="N391" s="7">
        <v>212</v>
      </c>
      <c r="O391" s="7" t="s">
        <v>3162</v>
      </c>
    </row>
    <row r="392" spans="1:16">
      <c r="A392" s="6" t="s">
        <v>31</v>
      </c>
      <c r="B392" s="7">
        <v>371617</v>
      </c>
      <c r="C392" s="7">
        <v>372408</v>
      </c>
      <c r="D392" s="8"/>
      <c r="E392" s="7" t="s">
        <v>53</v>
      </c>
      <c r="F392" s="7" t="s">
        <v>3163</v>
      </c>
      <c r="G392" s="7" t="s">
        <v>3164</v>
      </c>
      <c r="H392" s="8"/>
      <c r="I392" s="7" t="s">
        <v>55</v>
      </c>
      <c r="J392" s="8"/>
      <c r="K392" s="8"/>
      <c r="L392" s="7" t="s">
        <v>3165</v>
      </c>
      <c r="M392" s="7" t="s">
        <v>3163</v>
      </c>
      <c r="N392" s="7">
        <v>263</v>
      </c>
      <c r="O392" s="7" t="s">
        <v>3166</v>
      </c>
      <c r="P392" s="7"/>
    </row>
    <row r="393" spans="1:16">
      <c r="A393" s="6" t="s">
        <v>31</v>
      </c>
      <c r="B393" s="7">
        <v>372512</v>
      </c>
      <c r="C393" s="7">
        <v>372946</v>
      </c>
      <c r="D393" s="8"/>
      <c r="E393" s="7" t="s">
        <v>53</v>
      </c>
      <c r="F393" s="7" t="s">
        <v>3167</v>
      </c>
      <c r="G393" s="8"/>
      <c r="H393" s="8"/>
      <c r="I393" s="7" t="s">
        <v>55</v>
      </c>
      <c r="J393" s="8"/>
      <c r="K393" s="8"/>
      <c r="L393" s="7" t="s">
        <v>3168</v>
      </c>
      <c r="M393" s="7" t="s">
        <v>3167</v>
      </c>
      <c r="N393" s="7">
        <v>144</v>
      </c>
      <c r="O393" s="7" t="s">
        <v>3169</v>
      </c>
    </row>
    <row r="394" spans="1:16">
      <c r="A394" s="6" t="s">
        <v>31</v>
      </c>
      <c r="B394" s="7">
        <v>372946</v>
      </c>
      <c r="C394" s="7">
        <v>373908</v>
      </c>
      <c r="D394" s="8"/>
      <c r="E394" s="7" t="s">
        <v>53</v>
      </c>
      <c r="F394" s="7" t="s">
        <v>3170</v>
      </c>
      <c r="G394" s="7" t="s">
        <v>3171</v>
      </c>
      <c r="H394" s="8"/>
      <c r="I394" s="7" t="s">
        <v>55</v>
      </c>
      <c r="J394" s="8"/>
      <c r="K394" s="8"/>
      <c r="L394" s="7" t="s">
        <v>3172</v>
      </c>
      <c r="M394" s="7" t="s">
        <v>3170</v>
      </c>
      <c r="N394" s="7">
        <v>320</v>
      </c>
      <c r="O394" s="7" t="s">
        <v>3173</v>
      </c>
      <c r="P394" s="7"/>
    </row>
    <row r="395" spans="1:16">
      <c r="A395" s="6" t="s">
        <v>31</v>
      </c>
      <c r="B395" s="7">
        <v>373972</v>
      </c>
      <c r="C395" s="7">
        <v>374196</v>
      </c>
      <c r="D395" s="8"/>
      <c r="E395" s="7" t="s">
        <v>53</v>
      </c>
      <c r="F395" s="7" t="s">
        <v>438</v>
      </c>
      <c r="G395" s="7" t="s">
        <v>3174</v>
      </c>
      <c r="H395" s="8"/>
      <c r="I395" s="7" t="s">
        <v>55</v>
      </c>
      <c r="J395" s="8"/>
      <c r="K395" s="8"/>
      <c r="L395" s="7" t="s">
        <v>3175</v>
      </c>
      <c r="M395" s="7" t="s">
        <v>438</v>
      </c>
      <c r="N395" s="7">
        <v>74</v>
      </c>
      <c r="O395" s="7" t="s">
        <v>3176</v>
      </c>
    </row>
    <row r="396" spans="1:16">
      <c r="A396" s="6" t="s">
        <v>31</v>
      </c>
      <c r="B396" s="7">
        <v>374302</v>
      </c>
      <c r="C396" s="7">
        <v>375267</v>
      </c>
      <c r="D396" s="8"/>
      <c r="E396" s="7" t="s">
        <v>53</v>
      </c>
      <c r="F396" s="7" t="s">
        <v>3177</v>
      </c>
      <c r="G396" s="8"/>
      <c r="H396" s="8"/>
      <c r="I396" s="7" t="s">
        <v>55</v>
      </c>
      <c r="J396" s="8"/>
      <c r="K396" s="8"/>
      <c r="L396" s="7" t="s">
        <v>3178</v>
      </c>
      <c r="M396" s="7" t="s">
        <v>3177</v>
      </c>
      <c r="N396" s="7">
        <v>321</v>
      </c>
      <c r="O396" s="7" t="s">
        <v>3179</v>
      </c>
      <c r="P396" s="7"/>
    </row>
    <row r="397" spans="1:16">
      <c r="A397" s="6" t="s">
        <v>31</v>
      </c>
      <c r="B397" s="7">
        <v>375290</v>
      </c>
      <c r="C397" s="7">
        <v>376210</v>
      </c>
      <c r="D397" s="8"/>
      <c r="E397" s="7" t="s">
        <v>53</v>
      </c>
      <c r="F397" s="7" t="s">
        <v>3180</v>
      </c>
      <c r="G397" s="7" t="s">
        <v>441</v>
      </c>
      <c r="H397" s="8"/>
      <c r="I397" s="7" t="s">
        <v>55</v>
      </c>
      <c r="J397" s="8"/>
      <c r="K397" s="8"/>
      <c r="L397" s="7" t="s">
        <v>3181</v>
      </c>
      <c r="M397" s="7" t="s">
        <v>3180</v>
      </c>
      <c r="N397" s="7">
        <v>306</v>
      </c>
      <c r="O397" s="7" t="s">
        <v>3182</v>
      </c>
      <c r="P397" s="7"/>
    </row>
    <row r="398" spans="1:16">
      <c r="A398" s="6" t="s">
        <v>31</v>
      </c>
      <c r="B398" s="7">
        <v>376223</v>
      </c>
      <c r="C398" s="7">
        <v>376957</v>
      </c>
      <c r="D398" s="8"/>
      <c r="E398" s="7" t="s">
        <v>53</v>
      </c>
      <c r="F398" s="7" t="s">
        <v>3183</v>
      </c>
      <c r="G398" s="7" t="s">
        <v>443</v>
      </c>
      <c r="H398" s="8"/>
      <c r="I398" s="7" t="s">
        <v>55</v>
      </c>
      <c r="J398" s="8"/>
      <c r="K398" s="8"/>
      <c r="L398" s="7" t="s">
        <v>3184</v>
      </c>
      <c r="M398" s="7" t="s">
        <v>3183</v>
      </c>
      <c r="N398" s="7">
        <v>244</v>
      </c>
      <c r="O398" s="7" t="s">
        <v>3185</v>
      </c>
      <c r="P398" s="7"/>
    </row>
    <row r="399" spans="1:16">
      <c r="A399" s="6" t="s">
        <v>31</v>
      </c>
      <c r="B399" s="7">
        <v>377019</v>
      </c>
      <c r="C399" s="7">
        <v>378251</v>
      </c>
      <c r="D399" s="8"/>
      <c r="E399" s="7" t="s">
        <v>53</v>
      </c>
      <c r="F399" s="7" t="s">
        <v>3186</v>
      </c>
      <c r="G399" s="7" t="s">
        <v>445</v>
      </c>
      <c r="H399" s="8"/>
      <c r="I399" s="7" t="s">
        <v>55</v>
      </c>
      <c r="J399" s="8"/>
      <c r="K399" s="8"/>
      <c r="L399" s="7" t="s">
        <v>3187</v>
      </c>
      <c r="M399" s="7" t="s">
        <v>3186</v>
      </c>
      <c r="N399" s="7">
        <v>410</v>
      </c>
      <c r="O399" s="7" t="s">
        <v>3188</v>
      </c>
      <c r="P399" s="7"/>
    </row>
    <row r="400" spans="1:16">
      <c r="A400" s="6" t="s">
        <v>31</v>
      </c>
      <c r="B400" s="7">
        <v>378255</v>
      </c>
      <c r="C400" s="7">
        <v>378743</v>
      </c>
      <c r="D400" s="8"/>
      <c r="E400" s="7" t="s">
        <v>53</v>
      </c>
      <c r="F400" s="7" t="s">
        <v>3189</v>
      </c>
      <c r="G400" s="7" t="s">
        <v>447</v>
      </c>
      <c r="H400" s="8"/>
      <c r="I400" s="7" t="s">
        <v>55</v>
      </c>
      <c r="J400" s="8"/>
      <c r="K400" s="8"/>
      <c r="L400" s="7" t="s">
        <v>3190</v>
      </c>
      <c r="M400" s="7" t="s">
        <v>3189</v>
      </c>
      <c r="N400" s="7">
        <v>162</v>
      </c>
      <c r="O400" s="7" t="s">
        <v>3191</v>
      </c>
      <c r="P400" s="7"/>
    </row>
    <row r="401" spans="1:17">
      <c r="A401" s="6" t="s">
        <v>31</v>
      </c>
      <c r="B401" s="7">
        <v>378740</v>
      </c>
      <c r="C401" s="7">
        <v>379165</v>
      </c>
      <c r="D401" s="8"/>
      <c r="E401" s="7" t="s">
        <v>53</v>
      </c>
      <c r="F401" s="7" t="s">
        <v>3192</v>
      </c>
      <c r="G401" s="7" t="s">
        <v>449</v>
      </c>
      <c r="H401" s="8"/>
      <c r="I401" s="7" t="s">
        <v>55</v>
      </c>
      <c r="J401" s="8"/>
      <c r="K401" s="8"/>
      <c r="L401" s="7" t="s">
        <v>3193</v>
      </c>
      <c r="M401" s="7" t="s">
        <v>3192</v>
      </c>
      <c r="N401" s="7">
        <v>141</v>
      </c>
      <c r="O401" s="7" t="s">
        <v>3194</v>
      </c>
      <c r="P401" s="7"/>
    </row>
    <row r="402" spans="1:17">
      <c r="A402" s="6" t="s">
        <v>31</v>
      </c>
      <c r="B402" s="7">
        <v>379285</v>
      </c>
      <c r="C402" s="7">
        <v>380655</v>
      </c>
      <c r="D402" s="8"/>
      <c r="E402" s="7" t="s">
        <v>53</v>
      </c>
      <c r="F402" s="7" t="s">
        <v>3195</v>
      </c>
      <c r="G402" s="7" t="s">
        <v>3196</v>
      </c>
      <c r="H402" s="8"/>
      <c r="I402" s="7" t="s">
        <v>55</v>
      </c>
      <c r="J402" s="8"/>
      <c r="K402" s="8"/>
      <c r="L402" s="7" t="s">
        <v>3197</v>
      </c>
      <c r="M402" s="7" t="s">
        <v>3195</v>
      </c>
      <c r="N402" s="7">
        <v>456</v>
      </c>
      <c r="O402" s="7" t="s">
        <v>3198</v>
      </c>
      <c r="P402" s="7"/>
    </row>
    <row r="403" spans="1:17">
      <c r="A403" s="6" t="s">
        <v>31</v>
      </c>
      <c r="B403" s="7">
        <v>380661</v>
      </c>
      <c r="C403" s="7">
        <v>381527</v>
      </c>
      <c r="D403" s="8"/>
      <c r="E403" s="7" t="s">
        <v>53</v>
      </c>
      <c r="F403" s="7" t="s">
        <v>3199</v>
      </c>
      <c r="G403" s="7" t="s">
        <v>452</v>
      </c>
      <c r="H403" s="8"/>
      <c r="I403" s="7" t="s">
        <v>55</v>
      </c>
      <c r="J403" s="8"/>
      <c r="K403" s="8"/>
      <c r="L403" s="7" t="s">
        <v>3200</v>
      </c>
      <c r="M403" s="7" t="s">
        <v>3199</v>
      </c>
      <c r="N403" s="7">
        <v>288</v>
      </c>
      <c r="O403" s="7" t="s">
        <v>3201</v>
      </c>
      <c r="P403" s="7"/>
    </row>
    <row r="404" spans="1:17">
      <c r="A404" s="6" t="s">
        <v>31</v>
      </c>
      <c r="B404" s="7">
        <v>381524</v>
      </c>
      <c r="C404" s="7">
        <v>382294</v>
      </c>
      <c r="D404" s="8"/>
      <c r="E404" s="7" t="s">
        <v>53</v>
      </c>
      <c r="F404" s="7" t="s">
        <v>3202</v>
      </c>
      <c r="G404" s="7" t="s">
        <v>3203</v>
      </c>
      <c r="H404" s="8"/>
      <c r="I404" s="7" t="s">
        <v>55</v>
      </c>
      <c r="J404" s="8"/>
      <c r="K404" s="8"/>
      <c r="L404" s="7" t="s">
        <v>3204</v>
      </c>
      <c r="M404" s="7" t="s">
        <v>3202</v>
      </c>
      <c r="N404" s="7">
        <v>256</v>
      </c>
      <c r="O404" s="7" t="s">
        <v>3205</v>
      </c>
      <c r="P404" s="7"/>
    </row>
    <row r="405" spans="1:17">
      <c r="A405" s="6" t="s">
        <v>31</v>
      </c>
      <c r="B405" s="7">
        <v>382325</v>
      </c>
      <c r="C405" s="7">
        <v>382807</v>
      </c>
      <c r="D405" s="8"/>
      <c r="E405" s="7" t="s">
        <v>75</v>
      </c>
      <c r="F405" s="7" t="s">
        <v>455</v>
      </c>
      <c r="G405" s="7" t="s">
        <v>3206</v>
      </c>
      <c r="H405" s="8"/>
      <c r="I405" s="7" t="s">
        <v>55</v>
      </c>
      <c r="J405" s="8"/>
      <c r="K405" s="8"/>
      <c r="L405" s="7" t="s">
        <v>3207</v>
      </c>
      <c r="M405" s="7" t="s">
        <v>455</v>
      </c>
      <c r="N405" s="7">
        <v>160</v>
      </c>
      <c r="O405" s="7" t="s">
        <v>3208</v>
      </c>
      <c r="P405" s="7"/>
    </row>
    <row r="406" spans="1:17">
      <c r="A406" s="6" t="s">
        <v>31</v>
      </c>
      <c r="B406" s="7">
        <v>382954</v>
      </c>
      <c r="C406" s="7">
        <v>383190</v>
      </c>
      <c r="D406" s="8"/>
      <c r="E406" s="7" t="s">
        <v>53</v>
      </c>
      <c r="F406" s="7" t="s">
        <v>3209</v>
      </c>
      <c r="G406" s="8"/>
      <c r="H406" s="8"/>
      <c r="I406" s="7" t="s">
        <v>55</v>
      </c>
      <c r="J406" s="8"/>
      <c r="K406" s="8"/>
      <c r="L406" s="7" t="s">
        <v>3210</v>
      </c>
      <c r="M406" s="7" t="s">
        <v>3209</v>
      </c>
      <c r="N406" s="7">
        <v>78</v>
      </c>
      <c r="O406" s="7" t="s">
        <v>3211</v>
      </c>
    </row>
    <row r="407" spans="1:17">
      <c r="A407" s="6" t="s">
        <v>31</v>
      </c>
      <c r="B407" s="7">
        <v>383341</v>
      </c>
      <c r="C407" s="7">
        <v>384021</v>
      </c>
      <c r="D407" s="8"/>
      <c r="E407" s="7" t="s">
        <v>53</v>
      </c>
      <c r="F407" s="7" t="s">
        <v>1280</v>
      </c>
      <c r="G407" s="7" t="s">
        <v>2108</v>
      </c>
      <c r="H407" s="8"/>
      <c r="I407" s="7" t="s">
        <v>55</v>
      </c>
      <c r="J407" s="8"/>
      <c r="K407" s="8"/>
      <c r="L407" s="7" t="s">
        <v>3212</v>
      </c>
      <c r="M407" s="7" t="s">
        <v>1280</v>
      </c>
      <c r="N407" s="7">
        <v>226</v>
      </c>
      <c r="O407" s="7" t="s">
        <v>3213</v>
      </c>
    </row>
    <row r="408" spans="1:17">
      <c r="A408" s="6" t="s">
        <v>31</v>
      </c>
      <c r="B408" s="7">
        <v>384435</v>
      </c>
      <c r="C408" s="7">
        <v>386042</v>
      </c>
      <c r="D408" s="8"/>
      <c r="E408" s="7" t="s">
        <v>53</v>
      </c>
      <c r="F408" s="7" t="s">
        <v>3214</v>
      </c>
      <c r="G408" s="7" t="s">
        <v>3215</v>
      </c>
      <c r="H408" s="8"/>
      <c r="I408" s="7" t="s">
        <v>55</v>
      </c>
      <c r="J408" s="8"/>
      <c r="K408" s="8"/>
      <c r="L408" s="7" t="s">
        <v>3216</v>
      </c>
      <c r="M408" s="7" t="s">
        <v>3214</v>
      </c>
      <c r="N408" s="7">
        <v>535</v>
      </c>
      <c r="O408" s="7" t="s">
        <v>3217</v>
      </c>
      <c r="P408" s="7"/>
    </row>
    <row r="409" spans="1:17">
      <c r="A409" s="6" t="s">
        <v>31</v>
      </c>
      <c r="B409" s="7">
        <v>386371</v>
      </c>
      <c r="C409" s="7">
        <v>386871</v>
      </c>
      <c r="D409" s="8"/>
      <c r="E409" s="7" t="s">
        <v>75</v>
      </c>
      <c r="F409" s="7" t="s">
        <v>1280</v>
      </c>
      <c r="G409" s="8"/>
      <c r="H409" s="8"/>
      <c r="I409" s="7" t="s">
        <v>55</v>
      </c>
      <c r="J409" s="8"/>
      <c r="K409" s="8"/>
      <c r="L409" s="7" t="s">
        <v>3218</v>
      </c>
      <c r="M409" s="7" t="s">
        <v>1280</v>
      </c>
      <c r="N409" s="7">
        <v>166</v>
      </c>
      <c r="O409" s="7" t="s">
        <v>3219</v>
      </c>
    </row>
    <row r="410" spans="1:17">
      <c r="A410" s="6" t="s">
        <v>31</v>
      </c>
      <c r="B410" s="7">
        <v>387468</v>
      </c>
      <c r="C410" s="7">
        <v>388214</v>
      </c>
      <c r="D410" s="8"/>
      <c r="E410" s="7" t="s">
        <v>53</v>
      </c>
      <c r="F410" s="7" t="s">
        <v>3220</v>
      </c>
      <c r="G410" s="7" t="s">
        <v>3221</v>
      </c>
      <c r="H410" s="8"/>
      <c r="I410" s="7" t="s">
        <v>55</v>
      </c>
      <c r="J410" s="8"/>
      <c r="K410" s="8"/>
      <c r="L410" s="7" t="s">
        <v>3222</v>
      </c>
      <c r="M410" s="7" t="s">
        <v>3220</v>
      </c>
      <c r="N410" s="7">
        <v>248</v>
      </c>
      <c r="O410" s="7" t="s">
        <v>3223</v>
      </c>
    </row>
    <row r="411" spans="1:17">
      <c r="A411" s="6" t="s">
        <v>31</v>
      </c>
      <c r="B411" s="7">
        <v>388211</v>
      </c>
      <c r="C411" s="7">
        <v>389122</v>
      </c>
      <c r="D411" s="8"/>
      <c r="E411" s="7" t="s">
        <v>53</v>
      </c>
      <c r="F411" s="7" t="s">
        <v>3224</v>
      </c>
      <c r="G411" s="7" t="s">
        <v>3225</v>
      </c>
      <c r="H411" s="8"/>
      <c r="I411" s="7" t="s">
        <v>55</v>
      </c>
      <c r="J411" s="8"/>
      <c r="K411" s="8"/>
      <c r="L411" s="7" t="s">
        <v>3226</v>
      </c>
      <c r="M411" s="7" t="s">
        <v>3224</v>
      </c>
      <c r="N411" s="7">
        <v>303</v>
      </c>
      <c r="O411" s="7" t="s">
        <v>3227</v>
      </c>
      <c r="P411" s="7"/>
    </row>
    <row r="412" spans="1:17">
      <c r="A412" s="6" t="s">
        <v>31</v>
      </c>
      <c r="B412" s="7">
        <v>391245</v>
      </c>
      <c r="C412" s="7">
        <v>392597</v>
      </c>
      <c r="D412" s="8"/>
      <c r="E412" s="7" t="s">
        <v>53</v>
      </c>
      <c r="F412" s="7" t="s">
        <v>3228</v>
      </c>
      <c r="G412" s="7" t="s">
        <v>3229</v>
      </c>
      <c r="H412" s="8"/>
      <c r="I412" s="7" t="s">
        <v>55</v>
      </c>
      <c r="J412" s="8"/>
      <c r="K412" s="8"/>
      <c r="L412" s="7" t="s">
        <v>3230</v>
      </c>
      <c r="M412" s="7" t="s">
        <v>3228</v>
      </c>
      <c r="N412" s="7">
        <v>450</v>
      </c>
      <c r="O412" s="7" t="s">
        <v>3231</v>
      </c>
      <c r="P412" s="7"/>
    </row>
    <row r="413" spans="1:17">
      <c r="A413" s="6" t="s">
        <v>31</v>
      </c>
      <c r="B413" s="7">
        <v>392699</v>
      </c>
      <c r="C413" s="7">
        <v>393955</v>
      </c>
      <c r="D413" s="8"/>
      <c r="E413" s="7" t="s">
        <v>75</v>
      </c>
      <c r="F413" s="7" t="s">
        <v>3232</v>
      </c>
      <c r="G413" s="8"/>
      <c r="H413" s="8"/>
      <c r="I413" s="7" t="s">
        <v>55</v>
      </c>
      <c r="J413" s="8"/>
      <c r="K413" s="8"/>
      <c r="L413" s="7" t="s">
        <v>3233</v>
      </c>
      <c r="M413" s="7" t="s">
        <v>3232</v>
      </c>
      <c r="N413" s="7">
        <v>418</v>
      </c>
      <c r="O413" s="7" t="s">
        <v>3234</v>
      </c>
      <c r="P413" s="7"/>
      <c r="Q413" s="7"/>
    </row>
    <row r="414" spans="1:17">
      <c r="A414" s="6" t="s">
        <v>31</v>
      </c>
      <c r="B414" s="7">
        <v>394001</v>
      </c>
      <c r="C414" s="7">
        <v>394543</v>
      </c>
      <c r="D414" s="8"/>
      <c r="E414" s="7" t="s">
        <v>75</v>
      </c>
      <c r="F414" s="7" t="s">
        <v>2130</v>
      </c>
      <c r="G414" s="8"/>
      <c r="H414" s="8"/>
      <c r="I414" s="7" t="s">
        <v>55</v>
      </c>
      <c r="J414" s="8"/>
      <c r="K414" s="8"/>
      <c r="L414" s="7" t="s">
        <v>3235</v>
      </c>
      <c r="M414" s="7" t="s">
        <v>2130</v>
      </c>
      <c r="N414" s="7">
        <v>180</v>
      </c>
      <c r="O414" s="7" t="s">
        <v>3236</v>
      </c>
    </row>
    <row r="415" spans="1:17">
      <c r="A415" s="6" t="s">
        <v>31</v>
      </c>
      <c r="B415" s="7">
        <v>394652</v>
      </c>
      <c r="C415" s="7">
        <v>395797</v>
      </c>
      <c r="D415" s="8"/>
      <c r="E415" s="7" t="s">
        <v>53</v>
      </c>
      <c r="F415" s="7" t="s">
        <v>231</v>
      </c>
      <c r="G415" s="7" t="s">
        <v>3237</v>
      </c>
      <c r="H415" s="8"/>
      <c r="I415" s="7" t="s">
        <v>55</v>
      </c>
      <c r="J415" s="8"/>
      <c r="K415" s="8"/>
      <c r="L415" s="7" t="s">
        <v>3238</v>
      </c>
      <c r="M415" s="7" t="s">
        <v>231</v>
      </c>
      <c r="N415" s="7">
        <v>381</v>
      </c>
      <c r="O415" s="7" t="s">
        <v>3239</v>
      </c>
      <c r="P415" s="7"/>
    </row>
    <row r="416" spans="1:17">
      <c r="A416" s="6" t="s">
        <v>31</v>
      </c>
      <c r="B416" s="7">
        <v>395852</v>
      </c>
      <c r="C416" s="7">
        <v>397075</v>
      </c>
      <c r="D416" s="8"/>
      <c r="E416" s="7" t="s">
        <v>53</v>
      </c>
      <c r="F416" s="7" t="s">
        <v>3240</v>
      </c>
      <c r="G416" s="7" t="s">
        <v>3241</v>
      </c>
      <c r="H416" s="8"/>
      <c r="I416" s="7" t="s">
        <v>55</v>
      </c>
      <c r="J416" s="8"/>
      <c r="K416" s="8"/>
      <c r="L416" s="7" t="s">
        <v>3242</v>
      </c>
      <c r="M416" s="7" t="s">
        <v>3240</v>
      </c>
      <c r="N416" s="7">
        <v>407</v>
      </c>
      <c r="O416" s="7" t="s">
        <v>3243</v>
      </c>
      <c r="P416" s="7"/>
    </row>
    <row r="417" spans="1:16">
      <c r="A417" s="6" t="s">
        <v>31</v>
      </c>
      <c r="B417" s="7">
        <v>397181</v>
      </c>
      <c r="C417" s="7">
        <v>398692</v>
      </c>
      <c r="D417" s="8"/>
      <c r="E417" s="7" t="s">
        <v>53</v>
      </c>
      <c r="F417" s="7" t="s">
        <v>3244</v>
      </c>
      <c r="G417" s="7" t="s">
        <v>466</v>
      </c>
      <c r="H417" s="8"/>
      <c r="I417" s="7" t="s">
        <v>55</v>
      </c>
      <c r="J417" s="8"/>
      <c r="K417" s="8"/>
      <c r="L417" s="7" t="s">
        <v>3245</v>
      </c>
      <c r="M417" s="7" t="s">
        <v>3244</v>
      </c>
      <c r="N417" s="7">
        <v>503</v>
      </c>
      <c r="O417" s="7" t="s">
        <v>3246</v>
      </c>
      <c r="P417" s="7"/>
    </row>
    <row r="418" spans="1:16">
      <c r="A418" s="6" t="s">
        <v>31</v>
      </c>
      <c r="B418" s="7">
        <v>398685</v>
      </c>
      <c r="C418" s="7">
        <v>400004</v>
      </c>
      <c r="D418" s="8"/>
      <c r="E418" s="7" t="s">
        <v>53</v>
      </c>
      <c r="F418" s="7" t="s">
        <v>3247</v>
      </c>
      <c r="G418" s="7" t="s">
        <v>468</v>
      </c>
      <c r="H418" s="8"/>
      <c r="I418" s="7" t="s">
        <v>55</v>
      </c>
      <c r="J418" s="8"/>
      <c r="K418" s="8"/>
      <c r="L418" s="7" t="s">
        <v>3248</v>
      </c>
      <c r="M418" s="7" t="s">
        <v>3247</v>
      </c>
      <c r="N418" s="7">
        <v>439</v>
      </c>
      <c r="O418" s="7" t="s">
        <v>3249</v>
      </c>
    </row>
    <row r="419" spans="1:16">
      <c r="A419" s="6" t="s">
        <v>31</v>
      </c>
      <c r="B419" s="7">
        <v>400009</v>
      </c>
      <c r="C419" s="7">
        <v>400374</v>
      </c>
      <c r="D419" s="8"/>
      <c r="E419" s="7" t="s">
        <v>53</v>
      </c>
      <c r="F419" s="7" t="s">
        <v>1495</v>
      </c>
      <c r="G419" s="8"/>
      <c r="H419" s="8"/>
      <c r="I419" s="7" t="s">
        <v>55</v>
      </c>
      <c r="J419" s="8"/>
      <c r="K419" s="8"/>
      <c r="L419" s="7" t="s">
        <v>3250</v>
      </c>
      <c r="M419" s="7" t="s">
        <v>1495</v>
      </c>
      <c r="N419" s="7">
        <v>121</v>
      </c>
      <c r="O419" s="7" t="s">
        <v>3251</v>
      </c>
    </row>
    <row r="420" spans="1:16">
      <c r="A420" s="6" t="s">
        <v>31</v>
      </c>
      <c r="B420" s="7">
        <v>400317</v>
      </c>
      <c r="C420" s="7">
        <v>400544</v>
      </c>
      <c r="D420" s="8"/>
      <c r="E420" s="7" t="s">
        <v>53</v>
      </c>
      <c r="F420" s="7" t="s">
        <v>2130</v>
      </c>
      <c r="G420" s="8"/>
      <c r="H420" s="8"/>
      <c r="I420" s="7" t="s">
        <v>55</v>
      </c>
      <c r="J420" s="8"/>
      <c r="K420" s="8"/>
      <c r="L420" s="7" t="s">
        <v>3252</v>
      </c>
      <c r="M420" s="7" t="s">
        <v>2130</v>
      </c>
      <c r="N420" s="7">
        <v>75</v>
      </c>
      <c r="O420" s="7" t="s">
        <v>3253</v>
      </c>
    </row>
    <row r="421" spans="1:16">
      <c r="A421" s="6" t="s">
        <v>31</v>
      </c>
      <c r="B421" s="7">
        <v>400773</v>
      </c>
      <c r="C421" s="7">
        <v>401087</v>
      </c>
      <c r="D421" s="8"/>
      <c r="E421" s="7" t="s">
        <v>53</v>
      </c>
      <c r="F421" s="7" t="s">
        <v>3254</v>
      </c>
      <c r="G421" s="7" t="s">
        <v>470</v>
      </c>
      <c r="H421" s="8"/>
      <c r="I421" s="7" t="s">
        <v>55</v>
      </c>
      <c r="J421" s="8"/>
      <c r="K421" s="8"/>
      <c r="L421" s="7" t="s">
        <v>3255</v>
      </c>
      <c r="M421" s="7" t="s">
        <v>3254</v>
      </c>
      <c r="N421" s="7">
        <v>104</v>
      </c>
      <c r="O421" s="7" t="s">
        <v>3256</v>
      </c>
    </row>
    <row r="422" spans="1:16">
      <c r="A422" s="6" t="s">
        <v>31</v>
      </c>
      <c r="B422" s="7">
        <v>401124</v>
      </c>
      <c r="C422" s="7">
        <v>401414</v>
      </c>
      <c r="D422" s="8"/>
      <c r="E422" s="7" t="s">
        <v>53</v>
      </c>
      <c r="F422" s="7" t="s">
        <v>3257</v>
      </c>
      <c r="G422" s="7" t="s">
        <v>472</v>
      </c>
      <c r="H422" s="8"/>
      <c r="I422" s="7" t="s">
        <v>55</v>
      </c>
      <c r="J422" s="8"/>
      <c r="K422" s="8"/>
      <c r="L422" s="7" t="s">
        <v>3258</v>
      </c>
      <c r="M422" s="7" t="s">
        <v>3257</v>
      </c>
      <c r="N422" s="7">
        <v>96</v>
      </c>
      <c r="O422" s="7" t="s">
        <v>3259</v>
      </c>
    </row>
    <row r="423" spans="1:16">
      <c r="A423" s="6" t="s">
        <v>31</v>
      </c>
      <c r="B423" s="7">
        <v>401473</v>
      </c>
      <c r="C423" s="7">
        <v>402000</v>
      </c>
      <c r="D423" s="8"/>
      <c r="E423" s="7" t="s">
        <v>53</v>
      </c>
      <c r="F423" s="7" t="s">
        <v>2742</v>
      </c>
      <c r="G423" s="8"/>
      <c r="H423" s="8"/>
      <c r="I423" s="7" t="s">
        <v>55</v>
      </c>
      <c r="J423" s="8"/>
      <c r="K423" s="8"/>
      <c r="L423" s="7" t="s">
        <v>3260</v>
      </c>
      <c r="M423" s="7" t="s">
        <v>2742</v>
      </c>
      <c r="N423" s="7">
        <v>175</v>
      </c>
      <c r="O423" s="7" t="s">
        <v>3261</v>
      </c>
    </row>
    <row r="424" spans="1:16">
      <c r="A424" s="6" t="s">
        <v>31</v>
      </c>
      <c r="B424" s="7">
        <v>401942</v>
      </c>
      <c r="C424" s="7">
        <v>402169</v>
      </c>
      <c r="D424" s="8"/>
      <c r="E424" s="7" t="s">
        <v>53</v>
      </c>
      <c r="F424" s="7" t="s">
        <v>2095</v>
      </c>
      <c r="G424" s="8"/>
      <c r="H424" s="8"/>
      <c r="I424" s="7" t="s">
        <v>55</v>
      </c>
      <c r="J424" s="8"/>
      <c r="K424" s="8"/>
      <c r="L424" s="7" t="s">
        <v>3262</v>
      </c>
      <c r="M424" s="7" t="s">
        <v>2095</v>
      </c>
      <c r="N424" s="7">
        <v>75</v>
      </c>
      <c r="O424" s="7" t="s">
        <v>3263</v>
      </c>
    </row>
    <row r="425" spans="1:16">
      <c r="A425" s="6" t="s">
        <v>31</v>
      </c>
      <c r="B425" s="7">
        <v>402370</v>
      </c>
      <c r="C425" s="7">
        <v>402744</v>
      </c>
      <c r="D425" s="8"/>
      <c r="E425" s="7" t="s">
        <v>53</v>
      </c>
      <c r="F425" s="7" t="s">
        <v>2130</v>
      </c>
      <c r="G425" s="8"/>
      <c r="H425" s="8"/>
      <c r="I425" s="7" t="s">
        <v>55</v>
      </c>
      <c r="J425" s="8"/>
      <c r="K425" s="8"/>
      <c r="L425" s="7" t="s">
        <v>3264</v>
      </c>
      <c r="M425" s="7" t="s">
        <v>2130</v>
      </c>
      <c r="N425" s="7">
        <v>124</v>
      </c>
      <c r="O425" s="7" t="s">
        <v>3265</v>
      </c>
    </row>
    <row r="426" spans="1:16">
      <c r="A426" s="6" t="s">
        <v>31</v>
      </c>
      <c r="B426" s="7">
        <v>402746</v>
      </c>
      <c r="C426" s="7">
        <v>402958</v>
      </c>
      <c r="D426" s="8"/>
      <c r="E426" s="7" t="s">
        <v>53</v>
      </c>
      <c r="F426" s="7" t="s">
        <v>153</v>
      </c>
      <c r="G426" s="8"/>
      <c r="H426" s="8"/>
      <c r="I426" s="7" t="s">
        <v>55</v>
      </c>
      <c r="J426" s="8"/>
      <c r="K426" s="8"/>
      <c r="L426" s="7" t="s">
        <v>3266</v>
      </c>
      <c r="M426" s="7" t="s">
        <v>153</v>
      </c>
      <c r="N426" s="7">
        <v>70</v>
      </c>
      <c r="O426" s="7" t="s">
        <v>3267</v>
      </c>
    </row>
    <row r="427" spans="1:16">
      <c r="A427" s="6" t="s">
        <v>31</v>
      </c>
      <c r="B427" s="7">
        <v>402966</v>
      </c>
      <c r="C427" s="7">
        <v>403589</v>
      </c>
      <c r="D427" s="8"/>
      <c r="E427" s="7" t="s">
        <v>53</v>
      </c>
      <c r="F427" s="7" t="s">
        <v>153</v>
      </c>
      <c r="G427" s="8"/>
      <c r="H427" s="8"/>
      <c r="I427" s="7" t="s">
        <v>55</v>
      </c>
      <c r="J427" s="8"/>
      <c r="K427" s="8"/>
      <c r="L427" s="7" t="s">
        <v>3268</v>
      </c>
      <c r="M427" s="7" t="s">
        <v>153</v>
      </c>
      <c r="N427" s="7">
        <v>207</v>
      </c>
      <c r="O427" s="7" t="s">
        <v>3269</v>
      </c>
    </row>
    <row r="428" spans="1:16">
      <c r="A428" s="6" t="s">
        <v>31</v>
      </c>
      <c r="B428" s="7">
        <v>403650</v>
      </c>
      <c r="C428" s="7">
        <v>404417</v>
      </c>
      <c r="D428" s="8"/>
      <c r="E428" s="7" t="s">
        <v>53</v>
      </c>
      <c r="F428" s="7" t="s">
        <v>3270</v>
      </c>
      <c r="G428" s="7" t="s">
        <v>475</v>
      </c>
      <c r="H428" s="8"/>
      <c r="I428" s="7" t="s">
        <v>55</v>
      </c>
      <c r="J428" s="8"/>
      <c r="K428" s="8"/>
      <c r="L428" s="7" t="s">
        <v>3271</v>
      </c>
      <c r="M428" s="7" t="s">
        <v>3270</v>
      </c>
      <c r="N428" s="7">
        <v>255</v>
      </c>
      <c r="O428" s="7" t="s">
        <v>3272</v>
      </c>
      <c r="P428" s="7"/>
    </row>
    <row r="429" spans="1:16">
      <c r="A429" s="6" t="s">
        <v>31</v>
      </c>
      <c r="B429" s="7">
        <v>404414</v>
      </c>
      <c r="C429" s="7">
        <v>405622</v>
      </c>
      <c r="D429" s="8"/>
      <c r="E429" s="7" t="s">
        <v>53</v>
      </c>
      <c r="F429" s="7" t="s">
        <v>3273</v>
      </c>
      <c r="G429" s="7" t="s">
        <v>3274</v>
      </c>
      <c r="H429" s="8"/>
      <c r="I429" s="7" t="s">
        <v>55</v>
      </c>
      <c r="J429" s="8"/>
      <c r="K429" s="8"/>
      <c r="L429" s="7" t="s">
        <v>3275</v>
      </c>
      <c r="M429" s="7" t="s">
        <v>3273</v>
      </c>
      <c r="N429" s="7">
        <v>402</v>
      </c>
      <c r="O429" s="7" t="s">
        <v>3276</v>
      </c>
      <c r="P429" s="7"/>
    </row>
    <row r="430" spans="1:16">
      <c r="A430" s="6" t="s">
        <v>31</v>
      </c>
      <c r="B430" s="7">
        <v>405700</v>
      </c>
      <c r="C430" s="7">
        <v>407580</v>
      </c>
      <c r="D430" s="8"/>
      <c r="E430" s="7" t="s">
        <v>53</v>
      </c>
      <c r="F430" s="7" t="s">
        <v>3277</v>
      </c>
      <c r="G430" s="7" t="s">
        <v>3278</v>
      </c>
      <c r="H430" s="8"/>
      <c r="I430" s="7" t="s">
        <v>55</v>
      </c>
      <c r="J430" s="8"/>
      <c r="K430" s="8"/>
      <c r="L430" s="7" t="s">
        <v>3279</v>
      </c>
      <c r="M430" s="7" t="s">
        <v>3277</v>
      </c>
      <c r="N430" s="7">
        <v>626</v>
      </c>
      <c r="O430" s="7" t="s">
        <v>3280</v>
      </c>
      <c r="P430" s="7"/>
    </row>
    <row r="431" spans="1:16">
      <c r="A431" s="6" t="s">
        <v>31</v>
      </c>
      <c r="B431" s="7">
        <v>407662</v>
      </c>
      <c r="C431" s="7">
        <v>408165</v>
      </c>
      <c r="D431" s="8"/>
      <c r="E431" s="7" t="s">
        <v>75</v>
      </c>
      <c r="F431" s="7" t="s">
        <v>2212</v>
      </c>
      <c r="G431" s="8"/>
      <c r="H431" s="8"/>
      <c r="I431" s="7" t="s">
        <v>55</v>
      </c>
      <c r="J431" s="8"/>
      <c r="K431" s="8"/>
      <c r="L431" s="7" t="s">
        <v>3281</v>
      </c>
      <c r="M431" s="7" t="s">
        <v>2212</v>
      </c>
      <c r="N431" s="7">
        <v>167</v>
      </c>
      <c r="O431" s="7" t="s">
        <v>3282</v>
      </c>
    </row>
    <row r="432" spans="1:16">
      <c r="A432" s="6" t="s">
        <v>31</v>
      </c>
      <c r="B432" s="7">
        <v>408242</v>
      </c>
      <c r="C432" s="7">
        <v>408928</v>
      </c>
      <c r="D432" s="8"/>
      <c r="E432" s="7" t="s">
        <v>75</v>
      </c>
      <c r="F432" s="7" t="s">
        <v>2452</v>
      </c>
      <c r="G432" s="8"/>
      <c r="H432" s="8"/>
      <c r="I432" s="7" t="s">
        <v>55</v>
      </c>
      <c r="J432" s="8"/>
      <c r="K432" s="8"/>
      <c r="L432" s="7" t="s">
        <v>3283</v>
      </c>
      <c r="M432" s="7" t="s">
        <v>2452</v>
      </c>
      <c r="N432" s="7">
        <v>228</v>
      </c>
      <c r="O432" s="7" t="s">
        <v>3284</v>
      </c>
    </row>
    <row r="433" spans="1:17">
      <c r="A433" s="6" t="s">
        <v>31</v>
      </c>
      <c r="B433" s="7">
        <v>408929</v>
      </c>
      <c r="C433" s="7">
        <v>408994</v>
      </c>
      <c r="D433" s="8"/>
      <c r="E433" s="7" t="s">
        <v>75</v>
      </c>
      <c r="F433" s="7" t="s">
        <v>2095</v>
      </c>
      <c r="G433" s="8"/>
      <c r="H433" s="8"/>
      <c r="I433" s="7" t="s">
        <v>55</v>
      </c>
      <c r="J433" s="8"/>
      <c r="K433" s="8"/>
      <c r="L433" s="7" t="s">
        <v>3285</v>
      </c>
      <c r="M433" s="7" t="s">
        <v>2095</v>
      </c>
      <c r="N433" s="7">
        <v>21</v>
      </c>
      <c r="O433" s="7" t="s">
        <v>3286</v>
      </c>
    </row>
    <row r="434" spans="1:17">
      <c r="A434" s="6" t="s">
        <v>31</v>
      </c>
      <c r="B434" s="7">
        <v>409058</v>
      </c>
      <c r="C434" s="7">
        <v>410164</v>
      </c>
      <c r="D434" s="8"/>
      <c r="E434" s="7" t="s">
        <v>75</v>
      </c>
      <c r="F434" s="7" t="s">
        <v>3287</v>
      </c>
      <c r="G434" s="8"/>
      <c r="H434" s="8"/>
      <c r="I434" s="7" t="s">
        <v>55</v>
      </c>
      <c r="J434" s="8"/>
      <c r="K434" s="8"/>
      <c r="L434" s="7" t="s">
        <v>3288</v>
      </c>
      <c r="M434" s="7" t="s">
        <v>3287</v>
      </c>
      <c r="N434" s="7">
        <v>368</v>
      </c>
      <c r="O434" s="7" t="s">
        <v>3289</v>
      </c>
      <c r="P434" s="7"/>
      <c r="Q434" s="7"/>
    </row>
    <row r="435" spans="1:17">
      <c r="A435" s="6" t="s">
        <v>31</v>
      </c>
      <c r="B435" s="7">
        <v>410508</v>
      </c>
      <c r="C435" s="7">
        <v>411860</v>
      </c>
      <c r="D435" s="8"/>
      <c r="E435" s="7" t="s">
        <v>53</v>
      </c>
      <c r="F435" s="7" t="s">
        <v>3290</v>
      </c>
      <c r="G435" s="7" t="s">
        <v>481</v>
      </c>
      <c r="H435" s="8"/>
      <c r="I435" s="7" t="s">
        <v>55</v>
      </c>
      <c r="J435" s="8"/>
      <c r="K435" s="8"/>
      <c r="L435" s="7" t="s">
        <v>3291</v>
      </c>
      <c r="M435" s="7" t="s">
        <v>3290</v>
      </c>
      <c r="N435" s="7">
        <v>450</v>
      </c>
      <c r="O435" s="7" t="s">
        <v>3292</v>
      </c>
      <c r="P435" s="7"/>
    </row>
    <row r="436" spans="1:17">
      <c r="A436" s="6" t="s">
        <v>31</v>
      </c>
      <c r="B436" s="7">
        <v>412119</v>
      </c>
      <c r="C436" s="7">
        <v>412529</v>
      </c>
      <c r="D436" s="8"/>
      <c r="E436" s="7" t="s">
        <v>53</v>
      </c>
      <c r="F436" s="7" t="s">
        <v>2489</v>
      </c>
      <c r="G436" s="7" t="s">
        <v>209</v>
      </c>
      <c r="H436" s="8"/>
      <c r="I436" s="7" t="s">
        <v>55</v>
      </c>
      <c r="J436" s="8"/>
      <c r="K436" s="8"/>
      <c r="L436" s="7" t="s">
        <v>3293</v>
      </c>
      <c r="M436" s="7" t="s">
        <v>2489</v>
      </c>
      <c r="N436" s="7">
        <v>136</v>
      </c>
      <c r="O436" s="7" t="s">
        <v>3294</v>
      </c>
      <c r="P436" s="7"/>
    </row>
    <row r="437" spans="1:17">
      <c r="A437" s="6" t="s">
        <v>31</v>
      </c>
      <c r="B437" s="7">
        <v>412721</v>
      </c>
      <c r="C437" s="7">
        <v>413164</v>
      </c>
      <c r="D437" s="8"/>
      <c r="E437" s="7" t="s">
        <v>53</v>
      </c>
      <c r="F437" s="7" t="s">
        <v>2249</v>
      </c>
      <c r="G437" s="8"/>
      <c r="H437" s="8"/>
      <c r="I437" s="7" t="s">
        <v>55</v>
      </c>
      <c r="J437" s="8"/>
      <c r="K437" s="8"/>
      <c r="L437" s="7" t="s">
        <v>3295</v>
      </c>
      <c r="M437" s="7" t="s">
        <v>2249</v>
      </c>
      <c r="N437" s="7">
        <v>147</v>
      </c>
      <c r="O437" s="7" t="s">
        <v>3296</v>
      </c>
    </row>
    <row r="438" spans="1:17">
      <c r="A438" s="6" t="s">
        <v>31</v>
      </c>
      <c r="B438" s="7">
        <v>413168</v>
      </c>
      <c r="C438" s="7">
        <v>414982</v>
      </c>
      <c r="D438" s="8"/>
      <c r="E438" s="7" t="s">
        <v>53</v>
      </c>
      <c r="F438" s="7" t="s">
        <v>3297</v>
      </c>
      <c r="G438" s="7" t="s">
        <v>3298</v>
      </c>
      <c r="H438" s="8"/>
      <c r="I438" s="7" t="s">
        <v>55</v>
      </c>
      <c r="J438" s="8"/>
      <c r="K438" s="8"/>
      <c r="L438" s="7" t="s">
        <v>3299</v>
      </c>
      <c r="M438" s="7" t="s">
        <v>3297</v>
      </c>
      <c r="N438" s="7">
        <v>604</v>
      </c>
      <c r="O438" s="7" t="s">
        <v>3300</v>
      </c>
    </row>
    <row r="439" spans="1:17">
      <c r="A439" s="6" t="s">
        <v>31</v>
      </c>
      <c r="B439" s="7">
        <v>414972</v>
      </c>
      <c r="C439" s="7">
        <v>416750</v>
      </c>
      <c r="D439" s="8"/>
      <c r="E439" s="7" t="s">
        <v>53</v>
      </c>
      <c r="F439" s="7" t="s">
        <v>3301</v>
      </c>
      <c r="G439" s="8"/>
      <c r="H439" s="8"/>
      <c r="I439" s="7" t="s">
        <v>55</v>
      </c>
      <c r="J439" s="8"/>
      <c r="K439" s="8"/>
      <c r="L439" s="7" t="s">
        <v>3302</v>
      </c>
      <c r="M439" s="7" t="s">
        <v>3301</v>
      </c>
      <c r="N439" s="7">
        <v>592</v>
      </c>
      <c r="O439" s="7" t="s">
        <v>3303</v>
      </c>
    </row>
    <row r="440" spans="1:17">
      <c r="A440" s="6" t="s">
        <v>31</v>
      </c>
      <c r="B440" s="7">
        <v>416906</v>
      </c>
      <c r="C440" s="7">
        <v>417154</v>
      </c>
      <c r="D440" s="8"/>
      <c r="E440" s="7" t="s">
        <v>53</v>
      </c>
      <c r="F440" s="7" t="s">
        <v>2130</v>
      </c>
      <c r="G440" s="8"/>
      <c r="H440" s="8"/>
      <c r="I440" s="7" t="s">
        <v>55</v>
      </c>
      <c r="J440" s="8"/>
      <c r="K440" s="8"/>
      <c r="L440" s="7" t="s">
        <v>3304</v>
      </c>
      <c r="M440" s="7" t="s">
        <v>2130</v>
      </c>
      <c r="N440" s="7">
        <v>82</v>
      </c>
      <c r="O440" s="7" t="s">
        <v>3305</v>
      </c>
    </row>
    <row r="441" spans="1:17">
      <c r="A441" s="6" t="s">
        <v>31</v>
      </c>
      <c r="B441" s="7">
        <v>417489</v>
      </c>
      <c r="C441" s="7">
        <v>417656</v>
      </c>
      <c r="D441" s="8"/>
      <c r="E441" s="7" t="s">
        <v>53</v>
      </c>
      <c r="F441" s="7" t="s">
        <v>2130</v>
      </c>
      <c r="G441" s="8"/>
      <c r="H441" s="8"/>
      <c r="I441" s="7" t="s">
        <v>55</v>
      </c>
      <c r="J441" s="8"/>
      <c r="K441" s="8"/>
      <c r="L441" s="7" t="s">
        <v>3306</v>
      </c>
      <c r="M441" s="7" t="s">
        <v>2130</v>
      </c>
      <c r="N441" s="7">
        <v>55</v>
      </c>
      <c r="O441" s="7" t="s">
        <v>3307</v>
      </c>
    </row>
    <row r="442" spans="1:17">
      <c r="A442" s="6" t="s">
        <v>31</v>
      </c>
      <c r="B442" s="7">
        <v>417650</v>
      </c>
      <c r="C442" s="7">
        <v>417844</v>
      </c>
      <c r="D442" s="8"/>
      <c r="E442" s="7" t="s">
        <v>53</v>
      </c>
      <c r="F442" s="7" t="s">
        <v>2095</v>
      </c>
      <c r="G442" s="8"/>
      <c r="H442" s="8"/>
      <c r="I442" s="7" t="s">
        <v>55</v>
      </c>
      <c r="J442" s="8"/>
      <c r="K442" s="8"/>
      <c r="L442" s="7" t="s">
        <v>3308</v>
      </c>
      <c r="M442" s="7" t="s">
        <v>2095</v>
      </c>
      <c r="N442" s="7">
        <v>64</v>
      </c>
      <c r="O442" s="7" t="s">
        <v>3309</v>
      </c>
    </row>
    <row r="443" spans="1:17">
      <c r="A443" s="6" t="s">
        <v>31</v>
      </c>
      <c r="B443" s="7">
        <v>417892</v>
      </c>
      <c r="C443" s="7">
        <v>418365</v>
      </c>
      <c r="D443" s="8"/>
      <c r="E443" s="7" t="s">
        <v>53</v>
      </c>
      <c r="F443" s="7" t="s">
        <v>2095</v>
      </c>
      <c r="G443" s="8"/>
      <c r="H443" s="8"/>
      <c r="I443" s="7" t="s">
        <v>55</v>
      </c>
      <c r="J443" s="8"/>
      <c r="K443" s="8"/>
      <c r="L443" s="7" t="s">
        <v>3310</v>
      </c>
      <c r="M443" s="7" t="s">
        <v>2095</v>
      </c>
      <c r="N443" s="7">
        <v>157</v>
      </c>
      <c r="O443" s="7" t="s">
        <v>3311</v>
      </c>
    </row>
    <row r="444" spans="1:17">
      <c r="A444" s="6" t="s">
        <v>31</v>
      </c>
      <c r="B444" s="7">
        <v>418697</v>
      </c>
      <c r="C444" s="7">
        <v>419434</v>
      </c>
      <c r="D444" s="8"/>
      <c r="E444" s="7" t="s">
        <v>53</v>
      </c>
      <c r="F444" s="7" t="s">
        <v>3312</v>
      </c>
      <c r="G444" s="7" t="s">
        <v>488</v>
      </c>
      <c r="H444" s="8"/>
      <c r="I444" s="7" t="s">
        <v>55</v>
      </c>
      <c r="J444" s="8"/>
      <c r="K444" s="8"/>
      <c r="L444" s="7" t="s">
        <v>3313</v>
      </c>
      <c r="M444" s="7" t="s">
        <v>3312</v>
      </c>
      <c r="N444" s="7">
        <v>245</v>
      </c>
      <c r="O444" s="7" t="s">
        <v>3314</v>
      </c>
      <c r="P444" s="7"/>
    </row>
    <row r="445" spans="1:17">
      <c r="A445" s="6" t="s">
        <v>31</v>
      </c>
      <c r="B445" s="7">
        <v>419449</v>
      </c>
      <c r="C445" s="7">
        <v>420006</v>
      </c>
      <c r="D445" s="8"/>
      <c r="E445" s="7" t="s">
        <v>53</v>
      </c>
      <c r="F445" s="7" t="s">
        <v>490</v>
      </c>
      <c r="G445" s="7" t="s">
        <v>491</v>
      </c>
      <c r="H445" s="8"/>
      <c r="I445" s="7" t="s">
        <v>55</v>
      </c>
      <c r="J445" s="8"/>
      <c r="K445" s="8"/>
      <c r="L445" s="7" t="s">
        <v>3315</v>
      </c>
      <c r="M445" s="7" t="s">
        <v>490</v>
      </c>
      <c r="N445" s="7">
        <v>185</v>
      </c>
      <c r="O445" s="7" t="s">
        <v>3316</v>
      </c>
    </row>
    <row r="446" spans="1:17">
      <c r="A446" s="6" t="s">
        <v>31</v>
      </c>
      <c r="B446" s="7">
        <v>420097</v>
      </c>
      <c r="C446" s="7">
        <v>420954</v>
      </c>
      <c r="D446" s="8"/>
      <c r="E446" s="7" t="s">
        <v>53</v>
      </c>
      <c r="F446" s="7" t="s">
        <v>3317</v>
      </c>
      <c r="G446" s="8"/>
      <c r="H446" s="8"/>
      <c r="I446" s="7" t="s">
        <v>55</v>
      </c>
      <c r="J446" s="8"/>
      <c r="K446" s="8"/>
      <c r="L446" s="7" t="s">
        <v>3318</v>
      </c>
      <c r="M446" s="7" t="s">
        <v>3317</v>
      </c>
      <c r="N446" s="7">
        <v>285</v>
      </c>
      <c r="O446" s="7" t="s">
        <v>3319</v>
      </c>
    </row>
    <row r="447" spans="1:17">
      <c r="A447" s="6" t="s">
        <v>31</v>
      </c>
      <c r="B447" s="7">
        <v>420963</v>
      </c>
      <c r="C447" s="7">
        <v>421178</v>
      </c>
      <c r="D447" s="8"/>
      <c r="E447" s="7" t="s">
        <v>53</v>
      </c>
      <c r="F447" s="7" t="s">
        <v>2130</v>
      </c>
      <c r="G447" s="8"/>
      <c r="H447" s="8"/>
      <c r="I447" s="7" t="s">
        <v>55</v>
      </c>
      <c r="J447" s="8"/>
      <c r="K447" s="8"/>
      <c r="L447" s="7" t="s">
        <v>3320</v>
      </c>
      <c r="M447" s="7" t="s">
        <v>2130</v>
      </c>
      <c r="N447" s="7">
        <v>71</v>
      </c>
      <c r="O447" s="7" t="s">
        <v>3321</v>
      </c>
    </row>
    <row r="448" spans="1:17">
      <c r="A448" s="6" t="s">
        <v>31</v>
      </c>
      <c r="B448" s="7">
        <v>421419</v>
      </c>
      <c r="C448" s="7">
        <v>422867</v>
      </c>
      <c r="D448" s="8"/>
      <c r="E448" s="7" t="s">
        <v>53</v>
      </c>
      <c r="F448" s="7" t="s">
        <v>3322</v>
      </c>
      <c r="G448" s="8"/>
      <c r="H448" s="8"/>
      <c r="I448" s="7" t="s">
        <v>55</v>
      </c>
      <c r="J448" s="8"/>
      <c r="K448" s="8"/>
      <c r="L448" s="7" t="s">
        <v>3323</v>
      </c>
      <c r="M448" s="7" t="s">
        <v>3322</v>
      </c>
      <c r="N448" s="7">
        <v>482</v>
      </c>
      <c r="O448" s="7" t="s">
        <v>3324</v>
      </c>
    </row>
    <row r="449" spans="1:16">
      <c r="A449" s="6" t="s">
        <v>31</v>
      </c>
      <c r="B449" s="7">
        <v>423080</v>
      </c>
      <c r="C449" s="7">
        <v>423625</v>
      </c>
      <c r="D449" s="8"/>
      <c r="E449" s="7" t="s">
        <v>53</v>
      </c>
      <c r="F449" s="7" t="s">
        <v>3325</v>
      </c>
      <c r="G449" s="8"/>
      <c r="H449" s="8"/>
      <c r="I449" s="7" t="s">
        <v>55</v>
      </c>
      <c r="J449" s="8"/>
      <c r="K449" s="8"/>
      <c r="L449" s="7" t="s">
        <v>3326</v>
      </c>
      <c r="M449" s="7" t="s">
        <v>3325</v>
      </c>
      <c r="N449" s="7">
        <v>181</v>
      </c>
      <c r="O449" s="7" t="s">
        <v>3327</v>
      </c>
    </row>
    <row r="450" spans="1:16">
      <c r="A450" s="6" t="s">
        <v>31</v>
      </c>
      <c r="B450" s="7">
        <v>423705</v>
      </c>
      <c r="C450" s="7">
        <v>424766</v>
      </c>
      <c r="D450" s="8"/>
      <c r="E450" s="7" t="s">
        <v>53</v>
      </c>
      <c r="F450" s="7" t="s">
        <v>3328</v>
      </c>
      <c r="G450" s="7" t="s">
        <v>3329</v>
      </c>
      <c r="H450" s="8"/>
      <c r="I450" s="7" t="s">
        <v>55</v>
      </c>
      <c r="J450" s="8"/>
      <c r="K450" s="8"/>
      <c r="L450" s="7" t="s">
        <v>3330</v>
      </c>
      <c r="M450" s="7" t="s">
        <v>3328</v>
      </c>
      <c r="N450" s="7">
        <v>353</v>
      </c>
      <c r="O450" s="7" t="s">
        <v>3331</v>
      </c>
    </row>
    <row r="451" spans="1:16">
      <c r="A451" s="6" t="s">
        <v>31</v>
      </c>
      <c r="B451" s="7">
        <v>424928</v>
      </c>
      <c r="C451" s="7">
        <v>425203</v>
      </c>
      <c r="D451" s="8"/>
      <c r="E451" s="7" t="s">
        <v>53</v>
      </c>
      <c r="F451" s="7" t="s">
        <v>2095</v>
      </c>
      <c r="G451" s="8"/>
      <c r="H451" s="8"/>
      <c r="I451" s="7" t="s">
        <v>55</v>
      </c>
      <c r="J451" s="8"/>
      <c r="K451" s="8"/>
      <c r="L451" s="7" t="s">
        <v>3332</v>
      </c>
      <c r="M451" s="7" t="s">
        <v>2095</v>
      </c>
      <c r="N451" s="7">
        <v>91</v>
      </c>
      <c r="O451" s="7" t="s">
        <v>3333</v>
      </c>
    </row>
    <row r="452" spans="1:16">
      <c r="A452" s="6" t="s">
        <v>31</v>
      </c>
      <c r="B452" s="7">
        <v>425974</v>
      </c>
      <c r="C452" s="7">
        <v>426387</v>
      </c>
      <c r="D452" s="8"/>
      <c r="E452" s="7" t="s">
        <v>53</v>
      </c>
      <c r="F452" s="7" t="s">
        <v>2130</v>
      </c>
      <c r="G452" s="8"/>
      <c r="H452" s="8"/>
      <c r="I452" s="7" t="s">
        <v>55</v>
      </c>
      <c r="J452" s="8"/>
      <c r="K452" s="8"/>
      <c r="L452" s="7" t="s">
        <v>3334</v>
      </c>
      <c r="M452" s="7" t="s">
        <v>2130</v>
      </c>
      <c r="N452" s="7">
        <v>137</v>
      </c>
      <c r="O452" s="7" t="s">
        <v>3335</v>
      </c>
    </row>
    <row r="453" spans="1:16">
      <c r="A453" s="6" t="s">
        <v>31</v>
      </c>
      <c r="B453" s="7">
        <v>426828</v>
      </c>
      <c r="C453" s="7">
        <v>427064</v>
      </c>
      <c r="D453" s="8"/>
      <c r="E453" s="7" t="s">
        <v>53</v>
      </c>
      <c r="F453" s="7" t="s">
        <v>2130</v>
      </c>
      <c r="G453" s="8"/>
      <c r="H453" s="8"/>
      <c r="I453" s="7" t="s">
        <v>55</v>
      </c>
      <c r="J453" s="8"/>
      <c r="K453" s="8"/>
      <c r="L453" s="7" t="s">
        <v>3336</v>
      </c>
      <c r="M453" s="7" t="s">
        <v>2130</v>
      </c>
      <c r="N453" s="7">
        <v>78</v>
      </c>
      <c r="O453" s="7" t="s">
        <v>3337</v>
      </c>
    </row>
    <row r="454" spans="1:16">
      <c r="A454" s="6" t="s">
        <v>31</v>
      </c>
      <c r="B454" s="7">
        <v>427061</v>
      </c>
      <c r="C454" s="7">
        <v>427468</v>
      </c>
      <c r="D454" s="8"/>
      <c r="E454" s="7" t="s">
        <v>53</v>
      </c>
      <c r="F454" s="7" t="s">
        <v>2130</v>
      </c>
      <c r="G454" s="8"/>
      <c r="H454" s="8"/>
      <c r="I454" s="7" t="s">
        <v>55</v>
      </c>
      <c r="J454" s="8"/>
      <c r="K454" s="8"/>
      <c r="L454" s="7" t="s">
        <v>3338</v>
      </c>
      <c r="M454" s="7" t="s">
        <v>2130</v>
      </c>
      <c r="N454" s="7">
        <v>135</v>
      </c>
      <c r="O454" s="7" t="s">
        <v>3339</v>
      </c>
    </row>
    <row r="455" spans="1:16">
      <c r="A455" s="6" t="s">
        <v>31</v>
      </c>
      <c r="B455" s="7">
        <v>427662</v>
      </c>
      <c r="C455" s="7">
        <v>429665</v>
      </c>
      <c r="D455" s="8"/>
      <c r="E455" s="7" t="s">
        <v>53</v>
      </c>
      <c r="F455" s="7" t="s">
        <v>3340</v>
      </c>
      <c r="G455" s="7" t="s">
        <v>3341</v>
      </c>
      <c r="H455" s="8"/>
      <c r="I455" s="7" t="s">
        <v>55</v>
      </c>
      <c r="J455" s="8"/>
      <c r="K455" s="8"/>
      <c r="L455" s="7" t="s">
        <v>3342</v>
      </c>
      <c r="M455" s="7" t="s">
        <v>3340</v>
      </c>
      <c r="N455" s="7">
        <v>667</v>
      </c>
      <c r="O455" s="7" t="s">
        <v>3343</v>
      </c>
      <c r="P455" s="7"/>
    </row>
    <row r="456" spans="1:16">
      <c r="A456" s="6" t="s">
        <v>31</v>
      </c>
      <c r="B456" s="7">
        <v>429943</v>
      </c>
      <c r="C456" s="7">
        <v>430839</v>
      </c>
      <c r="D456" s="8"/>
      <c r="E456" s="7" t="s">
        <v>75</v>
      </c>
      <c r="F456" s="7" t="s">
        <v>3344</v>
      </c>
      <c r="G456" s="8"/>
      <c r="H456" s="8"/>
      <c r="I456" s="7" t="s">
        <v>55</v>
      </c>
      <c r="J456" s="8"/>
      <c r="K456" s="8"/>
      <c r="L456" s="7" t="s">
        <v>3345</v>
      </c>
      <c r="M456" s="7" t="s">
        <v>3344</v>
      </c>
      <c r="N456" s="7">
        <v>298</v>
      </c>
      <c r="O456" s="7" t="s">
        <v>3346</v>
      </c>
    </row>
    <row r="457" spans="1:16">
      <c r="A457" s="6" t="s">
        <v>31</v>
      </c>
      <c r="B457" s="7">
        <v>432137</v>
      </c>
      <c r="C457" s="7">
        <v>433096</v>
      </c>
      <c r="D457" s="8"/>
      <c r="E457" s="7" t="s">
        <v>53</v>
      </c>
      <c r="F457" s="7" t="s">
        <v>3347</v>
      </c>
      <c r="G457" s="8"/>
      <c r="H457" s="8"/>
      <c r="I457" s="7" t="s">
        <v>55</v>
      </c>
      <c r="J457" s="8"/>
      <c r="K457" s="8"/>
      <c r="L457" s="7" t="s">
        <v>3348</v>
      </c>
      <c r="M457" s="7" t="s">
        <v>3347</v>
      </c>
      <c r="N457" s="7">
        <v>319</v>
      </c>
      <c r="O457" s="7" t="s">
        <v>3349</v>
      </c>
    </row>
    <row r="458" spans="1:16">
      <c r="A458" s="6" t="s">
        <v>31</v>
      </c>
      <c r="B458" s="7">
        <v>433107</v>
      </c>
      <c r="C458" s="7">
        <v>434912</v>
      </c>
      <c r="D458" s="8"/>
      <c r="E458" s="7" t="s">
        <v>53</v>
      </c>
      <c r="F458" s="7" t="s">
        <v>504</v>
      </c>
      <c r="G458" s="7" t="s">
        <v>505</v>
      </c>
      <c r="H458" s="8"/>
      <c r="I458" s="7" t="s">
        <v>55</v>
      </c>
      <c r="J458" s="8"/>
      <c r="K458" s="8"/>
      <c r="L458" s="7" t="s">
        <v>3350</v>
      </c>
      <c r="M458" s="7" t="s">
        <v>504</v>
      </c>
      <c r="N458" s="7">
        <v>601</v>
      </c>
      <c r="O458" s="7" t="s">
        <v>3351</v>
      </c>
    </row>
    <row r="459" spans="1:16">
      <c r="A459" s="6" t="s">
        <v>31</v>
      </c>
      <c r="B459" s="7">
        <v>435095</v>
      </c>
      <c r="C459" s="7">
        <v>435802</v>
      </c>
      <c r="D459" s="8"/>
      <c r="E459" s="7" t="s">
        <v>53</v>
      </c>
      <c r="F459" s="7" t="s">
        <v>3352</v>
      </c>
      <c r="G459" s="8"/>
      <c r="H459" s="8"/>
      <c r="I459" s="7" t="s">
        <v>55</v>
      </c>
      <c r="J459" s="8"/>
      <c r="K459" s="8"/>
      <c r="L459" s="7" t="s">
        <v>3353</v>
      </c>
      <c r="M459" s="7" t="s">
        <v>3352</v>
      </c>
      <c r="N459" s="7">
        <v>235</v>
      </c>
      <c r="O459" s="7" t="s">
        <v>3354</v>
      </c>
    </row>
    <row r="460" spans="1:16">
      <c r="A460" s="6" t="s">
        <v>31</v>
      </c>
      <c r="B460" s="7">
        <v>435864</v>
      </c>
      <c r="C460" s="7">
        <v>436979</v>
      </c>
      <c r="D460" s="8"/>
      <c r="E460" s="7" t="s">
        <v>53</v>
      </c>
      <c r="F460" s="7" t="s">
        <v>3355</v>
      </c>
      <c r="G460" s="8"/>
      <c r="H460" s="8"/>
      <c r="I460" s="7" t="s">
        <v>55</v>
      </c>
      <c r="J460" s="8"/>
      <c r="K460" s="8"/>
      <c r="L460" s="7" t="s">
        <v>3356</v>
      </c>
      <c r="M460" s="7" t="s">
        <v>3355</v>
      </c>
      <c r="N460" s="7">
        <v>371</v>
      </c>
      <c r="O460" s="7" t="s">
        <v>3357</v>
      </c>
      <c r="P460" s="7"/>
    </row>
    <row r="461" spans="1:16">
      <c r="A461" s="6" t="s">
        <v>31</v>
      </c>
      <c r="B461" s="7">
        <v>437321</v>
      </c>
      <c r="C461" s="7">
        <v>439939</v>
      </c>
      <c r="D461" s="8"/>
      <c r="E461" s="7" t="s">
        <v>53</v>
      </c>
      <c r="F461" s="7" t="s">
        <v>3358</v>
      </c>
      <c r="G461" s="7" t="s">
        <v>509</v>
      </c>
      <c r="H461" s="8"/>
      <c r="I461" s="7" t="s">
        <v>55</v>
      </c>
      <c r="J461" s="8"/>
      <c r="K461" s="8"/>
      <c r="L461" s="7" t="s">
        <v>3359</v>
      </c>
      <c r="M461" s="7" t="s">
        <v>3358</v>
      </c>
      <c r="N461" s="7">
        <v>872</v>
      </c>
      <c r="O461" s="7" t="s">
        <v>3360</v>
      </c>
      <c r="P461" s="7"/>
    </row>
    <row r="462" spans="1:16">
      <c r="A462" s="6" t="s">
        <v>31</v>
      </c>
      <c r="B462" s="7">
        <v>440101</v>
      </c>
      <c r="C462" s="7">
        <v>440322</v>
      </c>
      <c r="D462" s="8"/>
      <c r="E462" s="7" t="s">
        <v>53</v>
      </c>
      <c r="F462" s="7" t="s">
        <v>2130</v>
      </c>
      <c r="G462" s="8"/>
      <c r="H462" s="8"/>
      <c r="I462" s="7" t="s">
        <v>55</v>
      </c>
      <c r="J462" s="8"/>
      <c r="K462" s="8"/>
      <c r="L462" s="7" t="s">
        <v>3361</v>
      </c>
      <c r="M462" s="7" t="s">
        <v>2130</v>
      </c>
      <c r="N462" s="7">
        <v>73</v>
      </c>
      <c r="O462" s="7" t="s">
        <v>3362</v>
      </c>
    </row>
    <row r="463" spans="1:16">
      <c r="A463" s="6" t="s">
        <v>31</v>
      </c>
      <c r="B463" s="7">
        <v>440353</v>
      </c>
      <c r="C463" s="7">
        <v>440976</v>
      </c>
      <c r="D463" s="8"/>
      <c r="E463" s="7" t="s">
        <v>53</v>
      </c>
      <c r="F463" s="7" t="s">
        <v>2095</v>
      </c>
      <c r="G463" s="8"/>
      <c r="H463" s="8"/>
      <c r="I463" s="7" t="s">
        <v>55</v>
      </c>
      <c r="J463" s="8"/>
      <c r="K463" s="8"/>
      <c r="L463" s="7" t="s">
        <v>3363</v>
      </c>
      <c r="M463" s="7" t="s">
        <v>2095</v>
      </c>
      <c r="N463" s="7">
        <v>207</v>
      </c>
      <c r="O463" s="7" t="s">
        <v>3364</v>
      </c>
    </row>
    <row r="464" spans="1:16">
      <c r="A464" s="6" t="s">
        <v>31</v>
      </c>
      <c r="B464" s="7">
        <v>441103</v>
      </c>
      <c r="C464" s="7">
        <v>441366</v>
      </c>
      <c r="D464" s="8"/>
      <c r="E464" s="7" t="s">
        <v>53</v>
      </c>
      <c r="F464" s="7" t="s">
        <v>2095</v>
      </c>
      <c r="G464" s="8"/>
      <c r="H464" s="8"/>
      <c r="I464" s="7" t="s">
        <v>55</v>
      </c>
      <c r="J464" s="8"/>
      <c r="K464" s="8"/>
      <c r="L464" s="7" t="s">
        <v>3365</v>
      </c>
      <c r="M464" s="7" t="s">
        <v>2095</v>
      </c>
      <c r="N464" s="7">
        <v>87</v>
      </c>
      <c r="O464" s="7" t="s">
        <v>3366</v>
      </c>
    </row>
    <row r="465" spans="1:17">
      <c r="A465" s="6" t="s">
        <v>31</v>
      </c>
      <c r="B465" s="7">
        <v>441667</v>
      </c>
      <c r="C465" s="7">
        <v>442635</v>
      </c>
      <c r="D465" s="8"/>
      <c r="E465" s="7" t="s">
        <v>53</v>
      </c>
      <c r="F465" s="7" t="s">
        <v>3367</v>
      </c>
      <c r="G465" s="7" t="s">
        <v>3368</v>
      </c>
      <c r="H465" s="8"/>
      <c r="I465" s="7" t="s">
        <v>55</v>
      </c>
      <c r="J465" s="8"/>
      <c r="K465" s="8"/>
      <c r="L465" s="7" t="s">
        <v>3369</v>
      </c>
      <c r="M465" s="7" t="s">
        <v>3367</v>
      </c>
      <c r="N465" s="7">
        <v>322</v>
      </c>
      <c r="O465" s="7" t="s">
        <v>3370</v>
      </c>
    </row>
    <row r="466" spans="1:17">
      <c r="A466" s="6" t="s">
        <v>31</v>
      </c>
      <c r="B466" s="7">
        <v>442768</v>
      </c>
      <c r="C466" s="7">
        <v>443556</v>
      </c>
      <c r="D466" s="8"/>
      <c r="E466" s="7" t="s">
        <v>53</v>
      </c>
      <c r="F466" s="7" t="s">
        <v>3371</v>
      </c>
      <c r="G466" s="7" t="s">
        <v>3372</v>
      </c>
      <c r="H466" s="8"/>
      <c r="I466" s="7" t="s">
        <v>55</v>
      </c>
      <c r="J466" s="8"/>
      <c r="K466" s="8"/>
      <c r="L466" s="7" t="s">
        <v>3373</v>
      </c>
      <c r="M466" s="7" t="s">
        <v>3371</v>
      </c>
      <c r="N466" s="7">
        <v>262</v>
      </c>
      <c r="O466" s="7" t="s">
        <v>3374</v>
      </c>
      <c r="P466" s="7"/>
    </row>
    <row r="467" spans="1:17">
      <c r="A467" s="6" t="s">
        <v>31</v>
      </c>
      <c r="B467" s="7">
        <v>443566</v>
      </c>
      <c r="C467" s="7">
        <v>444747</v>
      </c>
      <c r="D467" s="8"/>
      <c r="E467" s="7" t="s">
        <v>53</v>
      </c>
      <c r="F467" s="7" t="s">
        <v>3375</v>
      </c>
      <c r="G467" s="7" t="s">
        <v>3376</v>
      </c>
      <c r="H467" s="8"/>
      <c r="I467" s="7" t="s">
        <v>55</v>
      </c>
      <c r="J467" s="8"/>
      <c r="K467" s="8"/>
      <c r="L467" s="7" t="s">
        <v>3377</v>
      </c>
      <c r="M467" s="7" t="s">
        <v>3375</v>
      </c>
      <c r="N467" s="7">
        <v>393</v>
      </c>
      <c r="O467" s="7" t="s">
        <v>3378</v>
      </c>
      <c r="P467" s="7"/>
    </row>
    <row r="468" spans="1:17">
      <c r="A468" s="6" t="s">
        <v>31</v>
      </c>
      <c r="B468" s="7">
        <v>444876</v>
      </c>
      <c r="C468" s="7">
        <v>445898</v>
      </c>
      <c r="D468" s="8"/>
      <c r="E468" s="7" t="s">
        <v>53</v>
      </c>
      <c r="F468" s="7" t="s">
        <v>3379</v>
      </c>
      <c r="G468" s="7" t="s">
        <v>513</v>
      </c>
      <c r="H468" s="8"/>
      <c r="I468" s="7" t="s">
        <v>55</v>
      </c>
      <c r="J468" s="8"/>
      <c r="K468" s="8"/>
      <c r="L468" s="7" t="s">
        <v>3380</v>
      </c>
      <c r="M468" s="7" t="s">
        <v>3379</v>
      </c>
      <c r="N468" s="7">
        <v>340</v>
      </c>
      <c r="O468" s="7" t="s">
        <v>3381</v>
      </c>
      <c r="P468" s="7"/>
    </row>
    <row r="469" spans="1:17">
      <c r="A469" s="6" t="s">
        <v>31</v>
      </c>
      <c r="B469" s="7">
        <v>445927</v>
      </c>
      <c r="C469" s="7">
        <v>447120</v>
      </c>
      <c r="D469" s="8"/>
      <c r="E469" s="7" t="s">
        <v>53</v>
      </c>
      <c r="F469" s="7" t="s">
        <v>3382</v>
      </c>
      <c r="G469" s="7" t="s">
        <v>515</v>
      </c>
      <c r="H469" s="8"/>
      <c r="I469" s="7" t="s">
        <v>55</v>
      </c>
      <c r="J469" s="8"/>
      <c r="K469" s="8"/>
      <c r="L469" s="7" t="s">
        <v>3383</v>
      </c>
      <c r="M469" s="7" t="s">
        <v>3382</v>
      </c>
      <c r="N469" s="7">
        <v>397</v>
      </c>
      <c r="O469" s="7" t="s">
        <v>3384</v>
      </c>
      <c r="P469" s="7"/>
      <c r="Q469" s="7"/>
    </row>
    <row r="470" spans="1:17">
      <c r="A470" s="6" t="s">
        <v>31</v>
      </c>
      <c r="B470" s="7">
        <v>447147</v>
      </c>
      <c r="C470" s="7">
        <v>447884</v>
      </c>
      <c r="D470" s="8"/>
      <c r="E470" s="7" t="s">
        <v>53</v>
      </c>
      <c r="F470" s="7" t="s">
        <v>3385</v>
      </c>
      <c r="G470" s="7" t="s">
        <v>517</v>
      </c>
      <c r="H470" s="8"/>
      <c r="I470" s="7" t="s">
        <v>55</v>
      </c>
      <c r="J470" s="8"/>
      <c r="K470" s="8"/>
      <c r="L470" s="7" t="s">
        <v>3386</v>
      </c>
      <c r="M470" s="7" t="s">
        <v>3385</v>
      </c>
      <c r="N470" s="7">
        <v>245</v>
      </c>
      <c r="O470" s="7" t="s">
        <v>3387</v>
      </c>
      <c r="P470" s="7"/>
    </row>
    <row r="471" spans="1:17">
      <c r="A471" s="6" t="s">
        <v>31</v>
      </c>
      <c r="B471" s="7">
        <v>447888</v>
      </c>
      <c r="C471" s="7">
        <v>449018</v>
      </c>
      <c r="D471" s="8"/>
      <c r="E471" s="7" t="s">
        <v>53</v>
      </c>
      <c r="F471" s="7" t="s">
        <v>3388</v>
      </c>
      <c r="G471" s="7" t="s">
        <v>3389</v>
      </c>
      <c r="H471" s="8"/>
      <c r="I471" s="7" t="s">
        <v>55</v>
      </c>
      <c r="J471" s="8"/>
      <c r="K471" s="8"/>
      <c r="L471" s="7" t="s">
        <v>3390</v>
      </c>
      <c r="M471" s="7" t="s">
        <v>3388</v>
      </c>
      <c r="N471" s="7">
        <v>376</v>
      </c>
      <c r="O471" s="7" t="s">
        <v>3391</v>
      </c>
      <c r="P471" s="7"/>
    </row>
    <row r="472" spans="1:17">
      <c r="A472" s="6" t="s">
        <v>31</v>
      </c>
      <c r="B472" s="7">
        <v>449059</v>
      </c>
      <c r="C472" s="7">
        <v>449835</v>
      </c>
      <c r="D472" s="8"/>
      <c r="E472" s="7" t="s">
        <v>75</v>
      </c>
      <c r="F472" s="7" t="s">
        <v>3392</v>
      </c>
      <c r="G472" s="8"/>
      <c r="H472" s="8"/>
      <c r="I472" s="7" t="s">
        <v>55</v>
      </c>
      <c r="J472" s="8"/>
      <c r="K472" s="8"/>
      <c r="L472" s="7" t="s">
        <v>3393</v>
      </c>
      <c r="M472" s="7" t="s">
        <v>3392</v>
      </c>
      <c r="N472" s="7">
        <v>258</v>
      </c>
      <c r="O472" s="7" t="s">
        <v>3394</v>
      </c>
    </row>
    <row r="473" spans="1:17">
      <c r="A473" s="6" t="s">
        <v>31</v>
      </c>
      <c r="B473" s="7">
        <v>450110</v>
      </c>
      <c r="C473" s="7">
        <v>451396</v>
      </c>
      <c r="D473" s="8"/>
      <c r="E473" s="7" t="s">
        <v>53</v>
      </c>
      <c r="F473" s="7" t="s">
        <v>3395</v>
      </c>
      <c r="G473" s="7" t="s">
        <v>3396</v>
      </c>
      <c r="H473" s="8"/>
      <c r="I473" s="7" t="s">
        <v>55</v>
      </c>
      <c r="J473" s="8"/>
      <c r="K473" s="8"/>
      <c r="L473" s="7" t="s">
        <v>3397</v>
      </c>
      <c r="M473" s="7" t="s">
        <v>3395</v>
      </c>
      <c r="N473" s="7">
        <v>428</v>
      </c>
      <c r="O473" s="7" t="s">
        <v>3398</v>
      </c>
      <c r="P473" s="7"/>
    </row>
    <row r="474" spans="1:17">
      <c r="A474" s="6" t="s">
        <v>31</v>
      </c>
      <c r="B474" s="7">
        <v>451480</v>
      </c>
      <c r="C474" s="7">
        <v>452340</v>
      </c>
      <c r="D474" s="8"/>
      <c r="E474" s="7" t="s">
        <v>53</v>
      </c>
      <c r="F474" s="7" t="s">
        <v>522</v>
      </c>
      <c r="G474" s="7" t="s">
        <v>523</v>
      </c>
      <c r="H474" s="8"/>
      <c r="I474" s="7" t="s">
        <v>55</v>
      </c>
      <c r="J474" s="8"/>
      <c r="K474" s="8"/>
      <c r="L474" s="7" t="s">
        <v>3399</v>
      </c>
      <c r="M474" s="7" t="s">
        <v>522</v>
      </c>
      <c r="N474" s="7">
        <v>286</v>
      </c>
      <c r="O474" s="7" t="s">
        <v>3400</v>
      </c>
      <c r="P474" s="7"/>
    </row>
    <row r="475" spans="1:17">
      <c r="A475" s="6" t="s">
        <v>31</v>
      </c>
      <c r="B475" s="7">
        <v>452333</v>
      </c>
      <c r="C475" s="7">
        <v>453217</v>
      </c>
      <c r="D475" s="8"/>
      <c r="E475" s="7" t="s">
        <v>53</v>
      </c>
      <c r="F475" s="7" t="s">
        <v>3401</v>
      </c>
      <c r="G475" s="8"/>
      <c r="H475" s="8"/>
      <c r="I475" s="7" t="s">
        <v>55</v>
      </c>
      <c r="J475" s="8"/>
      <c r="K475" s="8"/>
      <c r="L475" s="7" t="s">
        <v>3402</v>
      </c>
      <c r="M475" s="7" t="s">
        <v>3401</v>
      </c>
      <c r="N475" s="7">
        <v>294</v>
      </c>
      <c r="O475" s="7" t="s">
        <v>3403</v>
      </c>
    </row>
    <row r="476" spans="1:17">
      <c r="A476" s="6" t="s">
        <v>31</v>
      </c>
      <c r="B476" s="7">
        <v>453330</v>
      </c>
      <c r="C476" s="7">
        <v>453947</v>
      </c>
      <c r="D476" s="8"/>
      <c r="E476" s="7" t="s">
        <v>53</v>
      </c>
      <c r="F476" s="7" t="s">
        <v>3404</v>
      </c>
      <c r="G476" s="8"/>
      <c r="H476" s="8"/>
      <c r="I476" s="7" t="s">
        <v>55</v>
      </c>
      <c r="J476" s="8"/>
      <c r="K476" s="8"/>
      <c r="L476" s="7" t="s">
        <v>3405</v>
      </c>
      <c r="M476" s="7" t="s">
        <v>3404</v>
      </c>
      <c r="N476" s="7">
        <v>205</v>
      </c>
      <c r="O476" s="7" t="s">
        <v>3406</v>
      </c>
    </row>
    <row r="477" spans="1:17">
      <c r="A477" s="6" t="s">
        <v>31</v>
      </c>
      <c r="B477" s="7">
        <v>453974</v>
      </c>
      <c r="C477" s="7">
        <v>454165</v>
      </c>
      <c r="D477" s="8"/>
      <c r="E477" s="7" t="s">
        <v>75</v>
      </c>
      <c r="F477" s="7" t="s">
        <v>2095</v>
      </c>
      <c r="G477" s="8"/>
      <c r="H477" s="8"/>
      <c r="I477" s="7" t="s">
        <v>55</v>
      </c>
      <c r="J477" s="8"/>
      <c r="K477" s="8"/>
      <c r="L477" s="7" t="s">
        <v>3407</v>
      </c>
      <c r="M477" s="7" t="s">
        <v>2095</v>
      </c>
      <c r="N477" s="7">
        <v>63</v>
      </c>
      <c r="O477" s="7" t="s">
        <v>3408</v>
      </c>
    </row>
    <row r="478" spans="1:17">
      <c r="A478" s="6" t="s">
        <v>31</v>
      </c>
      <c r="B478" s="7">
        <v>454082</v>
      </c>
      <c r="C478" s="7">
        <v>454285</v>
      </c>
      <c r="D478" s="8"/>
      <c r="E478" s="7" t="s">
        <v>53</v>
      </c>
      <c r="F478" s="7" t="s">
        <v>2130</v>
      </c>
      <c r="G478" s="8"/>
      <c r="H478" s="8"/>
      <c r="I478" s="7" t="s">
        <v>55</v>
      </c>
      <c r="J478" s="8"/>
      <c r="K478" s="8"/>
      <c r="L478" s="7" t="s">
        <v>3409</v>
      </c>
      <c r="M478" s="7" t="s">
        <v>2130</v>
      </c>
      <c r="N478" s="7">
        <v>67</v>
      </c>
      <c r="O478" s="7" t="s">
        <v>3410</v>
      </c>
    </row>
    <row r="479" spans="1:17">
      <c r="A479" s="6" t="s">
        <v>31</v>
      </c>
      <c r="B479" s="7">
        <v>454755</v>
      </c>
      <c r="C479" s="7">
        <v>455063</v>
      </c>
      <c r="D479" s="8"/>
      <c r="E479" s="7" t="s">
        <v>53</v>
      </c>
      <c r="F479" s="7" t="s">
        <v>2130</v>
      </c>
      <c r="G479" s="8"/>
      <c r="H479" s="8"/>
      <c r="I479" s="7" t="s">
        <v>55</v>
      </c>
      <c r="J479" s="8"/>
      <c r="K479" s="8"/>
      <c r="L479" s="7" t="s">
        <v>3411</v>
      </c>
      <c r="M479" s="7" t="s">
        <v>2130</v>
      </c>
      <c r="N479" s="7">
        <v>102</v>
      </c>
      <c r="O479" s="7" t="s">
        <v>3412</v>
      </c>
    </row>
    <row r="480" spans="1:17">
      <c r="A480" s="6" t="s">
        <v>31</v>
      </c>
      <c r="B480" s="7">
        <v>455087</v>
      </c>
      <c r="C480" s="7">
        <v>455398</v>
      </c>
      <c r="D480" s="8"/>
      <c r="E480" s="7" t="s">
        <v>53</v>
      </c>
      <c r="F480" s="7" t="s">
        <v>2130</v>
      </c>
      <c r="G480" s="8"/>
      <c r="H480" s="8"/>
      <c r="I480" s="7" t="s">
        <v>55</v>
      </c>
      <c r="J480" s="8"/>
      <c r="K480" s="8"/>
      <c r="L480" s="7" t="s">
        <v>3413</v>
      </c>
      <c r="M480" s="7" t="s">
        <v>2130</v>
      </c>
      <c r="N480" s="7">
        <v>103</v>
      </c>
      <c r="O480" s="7" t="s">
        <v>3414</v>
      </c>
    </row>
    <row r="481" spans="1:16">
      <c r="A481" s="6" t="s">
        <v>31</v>
      </c>
      <c r="B481" s="7">
        <v>455439</v>
      </c>
      <c r="C481" s="7">
        <v>455744</v>
      </c>
      <c r="D481" s="8"/>
      <c r="E481" s="7" t="s">
        <v>53</v>
      </c>
      <c r="F481" s="7" t="s">
        <v>2742</v>
      </c>
      <c r="G481" s="8"/>
      <c r="H481" s="8"/>
      <c r="I481" s="7" t="s">
        <v>55</v>
      </c>
      <c r="J481" s="8"/>
      <c r="K481" s="8"/>
      <c r="L481" s="7" t="s">
        <v>3415</v>
      </c>
      <c r="M481" s="7" t="s">
        <v>2742</v>
      </c>
      <c r="N481" s="7">
        <v>101</v>
      </c>
      <c r="O481" s="7" t="s">
        <v>3416</v>
      </c>
    </row>
    <row r="482" spans="1:16">
      <c r="A482" s="6" t="s">
        <v>31</v>
      </c>
      <c r="B482" s="7">
        <v>455593</v>
      </c>
      <c r="C482" s="7">
        <v>455856</v>
      </c>
      <c r="D482" s="8"/>
      <c r="E482" s="7" t="s">
        <v>53</v>
      </c>
      <c r="F482" s="7" t="s">
        <v>2095</v>
      </c>
      <c r="G482" s="8"/>
      <c r="H482" s="8"/>
      <c r="I482" s="7" t="s">
        <v>55</v>
      </c>
      <c r="J482" s="8"/>
      <c r="K482" s="8"/>
      <c r="L482" s="7" t="s">
        <v>3417</v>
      </c>
      <c r="M482" s="7" t="s">
        <v>2095</v>
      </c>
      <c r="N482" s="7">
        <v>87</v>
      </c>
      <c r="O482" s="7" t="s">
        <v>3418</v>
      </c>
    </row>
    <row r="483" spans="1:16">
      <c r="A483" s="6" t="s">
        <v>31</v>
      </c>
      <c r="B483" s="7">
        <v>455975</v>
      </c>
      <c r="C483" s="7">
        <v>458626</v>
      </c>
      <c r="D483" s="8"/>
      <c r="E483" s="7" t="s">
        <v>53</v>
      </c>
      <c r="F483" s="7" t="s">
        <v>3419</v>
      </c>
      <c r="G483" s="7" t="s">
        <v>3420</v>
      </c>
      <c r="H483" s="8"/>
      <c r="I483" s="7" t="s">
        <v>55</v>
      </c>
      <c r="J483" s="8"/>
      <c r="K483" s="8"/>
      <c r="L483" s="7" t="s">
        <v>3421</v>
      </c>
      <c r="M483" s="7" t="s">
        <v>3419</v>
      </c>
      <c r="N483" s="7">
        <v>883</v>
      </c>
      <c r="O483" s="7" t="s">
        <v>3422</v>
      </c>
      <c r="P483" s="7"/>
    </row>
    <row r="484" spans="1:16">
      <c r="A484" s="6" t="s">
        <v>31</v>
      </c>
      <c r="B484" s="7">
        <v>458803</v>
      </c>
      <c r="C484" s="7">
        <v>459000</v>
      </c>
      <c r="D484" s="8"/>
      <c r="E484" s="7" t="s">
        <v>53</v>
      </c>
      <c r="F484" s="7" t="s">
        <v>3423</v>
      </c>
      <c r="G484" s="7" t="s">
        <v>3424</v>
      </c>
      <c r="H484" s="8"/>
      <c r="I484" s="7" t="s">
        <v>55</v>
      </c>
      <c r="J484" s="8"/>
      <c r="K484" s="8"/>
      <c r="L484" s="7" t="s">
        <v>3425</v>
      </c>
      <c r="M484" s="7" t="s">
        <v>3423</v>
      </c>
      <c r="N484" s="7">
        <v>65</v>
      </c>
      <c r="O484" s="7" t="s">
        <v>3426</v>
      </c>
    </row>
    <row r="485" spans="1:16">
      <c r="A485" s="6" t="s">
        <v>31</v>
      </c>
      <c r="B485" s="7">
        <v>459035</v>
      </c>
      <c r="C485" s="7">
        <v>459742</v>
      </c>
      <c r="D485" s="8"/>
      <c r="E485" s="7" t="s">
        <v>53</v>
      </c>
      <c r="F485" s="7" t="s">
        <v>3427</v>
      </c>
      <c r="G485" s="7" t="s">
        <v>530</v>
      </c>
      <c r="H485" s="8"/>
      <c r="I485" s="7" t="s">
        <v>55</v>
      </c>
      <c r="J485" s="8"/>
      <c r="K485" s="8"/>
      <c r="L485" s="7" t="s">
        <v>3428</v>
      </c>
      <c r="M485" s="7" t="s">
        <v>3427</v>
      </c>
      <c r="N485" s="7">
        <v>235</v>
      </c>
      <c r="O485" s="7" t="s">
        <v>3429</v>
      </c>
    </row>
    <row r="486" spans="1:16">
      <c r="A486" s="6" t="s">
        <v>31</v>
      </c>
      <c r="B486" s="7">
        <v>459763</v>
      </c>
      <c r="C486" s="7">
        <v>460260</v>
      </c>
      <c r="D486" s="8"/>
      <c r="E486" s="7" t="s">
        <v>53</v>
      </c>
      <c r="F486" s="7" t="s">
        <v>3430</v>
      </c>
      <c r="G486" s="7" t="s">
        <v>532</v>
      </c>
      <c r="H486" s="8"/>
      <c r="I486" s="7" t="s">
        <v>55</v>
      </c>
      <c r="J486" s="8"/>
      <c r="K486" s="8"/>
      <c r="L486" s="7" t="s">
        <v>3431</v>
      </c>
      <c r="M486" s="7" t="s">
        <v>3430</v>
      </c>
      <c r="N486" s="7">
        <v>165</v>
      </c>
      <c r="O486" s="7" t="s">
        <v>3432</v>
      </c>
    </row>
    <row r="487" spans="1:16">
      <c r="A487" s="6" t="s">
        <v>31</v>
      </c>
      <c r="B487" s="7">
        <v>460260</v>
      </c>
      <c r="C487" s="7">
        <v>460796</v>
      </c>
      <c r="D487" s="8"/>
      <c r="E487" s="7" t="s">
        <v>53</v>
      </c>
      <c r="F487" s="7" t="s">
        <v>3433</v>
      </c>
      <c r="G487" s="7" t="s">
        <v>3434</v>
      </c>
      <c r="H487" s="8"/>
      <c r="I487" s="7" t="s">
        <v>55</v>
      </c>
      <c r="J487" s="8"/>
      <c r="K487" s="8"/>
      <c r="L487" s="7" t="s">
        <v>3435</v>
      </c>
      <c r="M487" s="7" t="s">
        <v>3433</v>
      </c>
      <c r="N487" s="7">
        <v>178</v>
      </c>
      <c r="O487" s="7" t="s">
        <v>3436</v>
      </c>
    </row>
    <row r="488" spans="1:16">
      <c r="A488" s="6" t="s">
        <v>31</v>
      </c>
      <c r="B488" s="7">
        <v>460812</v>
      </c>
      <c r="C488" s="7">
        <v>462317</v>
      </c>
      <c r="D488" s="8"/>
      <c r="E488" s="7" t="s">
        <v>53</v>
      </c>
      <c r="F488" s="7" t="s">
        <v>3437</v>
      </c>
      <c r="G488" s="7" t="s">
        <v>535</v>
      </c>
      <c r="H488" s="8"/>
      <c r="I488" s="7" t="s">
        <v>55</v>
      </c>
      <c r="J488" s="8"/>
      <c r="K488" s="8"/>
      <c r="L488" s="7" t="s">
        <v>3438</v>
      </c>
      <c r="M488" s="7" t="s">
        <v>3437</v>
      </c>
      <c r="N488" s="7">
        <v>501</v>
      </c>
      <c r="O488" s="7" t="s">
        <v>3439</v>
      </c>
      <c r="P488" s="7"/>
    </row>
    <row r="489" spans="1:16">
      <c r="A489" s="6" t="s">
        <v>31</v>
      </c>
      <c r="B489" s="7">
        <v>462336</v>
      </c>
      <c r="C489" s="7">
        <v>463214</v>
      </c>
      <c r="D489" s="8"/>
      <c r="E489" s="7" t="s">
        <v>53</v>
      </c>
      <c r="F489" s="7" t="s">
        <v>3440</v>
      </c>
      <c r="G489" s="7" t="s">
        <v>3441</v>
      </c>
      <c r="H489" s="8"/>
      <c r="I489" s="7" t="s">
        <v>55</v>
      </c>
      <c r="J489" s="8"/>
      <c r="K489" s="8"/>
      <c r="L489" s="7" t="s">
        <v>3442</v>
      </c>
      <c r="M489" s="7" t="s">
        <v>3440</v>
      </c>
      <c r="N489" s="7">
        <v>292</v>
      </c>
      <c r="O489" s="7" t="s">
        <v>3443</v>
      </c>
      <c r="P489" s="7"/>
    </row>
    <row r="490" spans="1:16">
      <c r="A490" s="6" t="s">
        <v>31</v>
      </c>
      <c r="B490" s="7">
        <v>463291</v>
      </c>
      <c r="C490" s="7">
        <v>464697</v>
      </c>
      <c r="D490" s="8"/>
      <c r="E490" s="7" t="s">
        <v>53</v>
      </c>
      <c r="F490" s="7" t="s">
        <v>3444</v>
      </c>
      <c r="G490" s="7" t="s">
        <v>538</v>
      </c>
      <c r="H490" s="8"/>
      <c r="I490" s="7" t="s">
        <v>55</v>
      </c>
      <c r="J490" s="8"/>
      <c r="K490" s="8"/>
      <c r="L490" s="7" t="s">
        <v>3445</v>
      </c>
      <c r="M490" s="7" t="s">
        <v>3444</v>
      </c>
      <c r="N490" s="7">
        <v>468</v>
      </c>
      <c r="O490" s="7" t="s">
        <v>3446</v>
      </c>
      <c r="P490" s="7"/>
    </row>
    <row r="491" spans="1:16">
      <c r="A491" s="6" t="s">
        <v>31</v>
      </c>
      <c r="B491" s="7">
        <v>464710</v>
      </c>
      <c r="C491" s="7">
        <v>465156</v>
      </c>
      <c r="D491" s="8"/>
      <c r="E491" s="7" t="s">
        <v>53</v>
      </c>
      <c r="F491" s="7" t="s">
        <v>3447</v>
      </c>
      <c r="G491" s="7" t="s">
        <v>3448</v>
      </c>
      <c r="H491" s="8"/>
      <c r="I491" s="7" t="s">
        <v>55</v>
      </c>
      <c r="J491" s="8"/>
      <c r="K491" s="8"/>
      <c r="L491" s="7" t="s">
        <v>3449</v>
      </c>
      <c r="M491" s="7" t="s">
        <v>3447</v>
      </c>
      <c r="N491" s="7">
        <v>148</v>
      </c>
      <c r="O491" s="7" t="s">
        <v>3450</v>
      </c>
    </row>
    <row r="492" spans="1:16">
      <c r="A492" s="6" t="s">
        <v>31</v>
      </c>
      <c r="B492" s="7">
        <v>465408</v>
      </c>
      <c r="C492" s="7">
        <v>466688</v>
      </c>
      <c r="D492" s="8"/>
      <c r="E492" s="7" t="s">
        <v>53</v>
      </c>
      <c r="F492" s="7" t="s">
        <v>3451</v>
      </c>
      <c r="G492" s="7" t="s">
        <v>541</v>
      </c>
      <c r="H492" s="8"/>
      <c r="I492" s="7" t="s">
        <v>55</v>
      </c>
      <c r="J492" s="8"/>
      <c r="K492" s="8"/>
      <c r="L492" s="7" t="s">
        <v>3452</v>
      </c>
      <c r="M492" s="7" t="s">
        <v>3451</v>
      </c>
      <c r="N492" s="7">
        <v>426</v>
      </c>
      <c r="O492" s="7" t="s">
        <v>3453</v>
      </c>
      <c r="P492" s="7"/>
    </row>
    <row r="493" spans="1:16">
      <c r="A493" s="6" t="s">
        <v>31</v>
      </c>
      <c r="B493" s="7">
        <v>466926</v>
      </c>
      <c r="C493" s="7">
        <v>468122</v>
      </c>
      <c r="D493" s="8"/>
      <c r="E493" s="7" t="s">
        <v>53</v>
      </c>
      <c r="F493" s="7" t="s">
        <v>543</v>
      </c>
      <c r="G493" s="7" t="s">
        <v>3454</v>
      </c>
      <c r="H493" s="8"/>
      <c r="I493" s="7" t="s">
        <v>55</v>
      </c>
      <c r="J493" s="8"/>
      <c r="K493" s="8"/>
      <c r="L493" s="7" t="s">
        <v>3455</v>
      </c>
      <c r="M493" s="7" t="s">
        <v>543</v>
      </c>
      <c r="N493" s="7">
        <v>398</v>
      </c>
      <c r="O493" s="7" t="s">
        <v>3456</v>
      </c>
    </row>
    <row r="494" spans="1:16">
      <c r="A494" s="6" t="s">
        <v>31</v>
      </c>
      <c r="B494" s="7">
        <v>468371</v>
      </c>
      <c r="C494" s="7">
        <v>469129</v>
      </c>
      <c r="D494" s="8"/>
      <c r="E494" s="7" t="s">
        <v>53</v>
      </c>
      <c r="F494" s="7" t="s">
        <v>3457</v>
      </c>
      <c r="G494" s="7" t="s">
        <v>545</v>
      </c>
      <c r="H494" s="8"/>
      <c r="I494" s="7" t="s">
        <v>55</v>
      </c>
      <c r="J494" s="8"/>
      <c r="K494" s="8"/>
      <c r="L494" s="7" t="s">
        <v>3458</v>
      </c>
      <c r="M494" s="7" t="s">
        <v>3457</v>
      </c>
      <c r="N494" s="7">
        <v>252</v>
      </c>
      <c r="O494" s="7" t="s">
        <v>3459</v>
      </c>
      <c r="P494" s="7"/>
    </row>
    <row r="495" spans="1:16">
      <c r="A495" s="6" t="s">
        <v>31</v>
      </c>
      <c r="B495" s="7">
        <v>469367</v>
      </c>
      <c r="C495" s="7">
        <v>469996</v>
      </c>
      <c r="D495" s="8"/>
      <c r="E495" s="7" t="s">
        <v>53</v>
      </c>
      <c r="F495" s="7" t="s">
        <v>3460</v>
      </c>
      <c r="G495" s="7" t="s">
        <v>547</v>
      </c>
      <c r="H495" s="8"/>
      <c r="I495" s="7" t="s">
        <v>55</v>
      </c>
      <c r="J495" s="8"/>
      <c r="K495" s="8"/>
      <c r="L495" s="7" t="s">
        <v>3461</v>
      </c>
      <c r="M495" s="7" t="s">
        <v>3460</v>
      </c>
      <c r="N495" s="7">
        <v>209</v>
      </c>
      <c r="O495" s="7" t="s">
        <v>3462</v>
      </c>
      <c r="P495" s="7"/>
    </row>
    <row r="496" spans="1:16">
      <c r="A496" s="6" t="s">
        <v>31</v>
      </c>
      <c r="B496" s="7">
        <v>470005</v>
      </c>
      <c r="C496" s="7">
        <v>470880</v>
      </c>
      <c r="D496" s="8"/>
      <c r="E496" s="7" t="s">
        <v>53</v>
      </c>
      <c r="F496" s="7" t="s">
        <v>3463</v>
      </c>
      <c r="G496" s="8"/>
      <c r="H496" s="8"/>
      <c r="I496" s="7" t="s">
        <v>55</v>
      </c>
      <c r="J496" s="8"/>
      <c r="K496" s="8"/>
      <c r="L496" s="7" t="s">
        <v>3464</v>
      </c>
      <c r="M496" s="7" t="s">
        <v>3463</v>
      </c>
      <c r="N496" s="7">
        <v>291</v>
      </c>
      <c r="O496" s="7" t="s">
        <v>3465</v>
      </c>
      <c r="P496" s="7"/>
    </row>
    <row r="497" spans="1:16">
      <c r="A497" s="6" t="s">
        <v>31</v>
      </c>
      <c r="B497" s="7">
        <v>470877</v>
      </c>
      <c r="C497" s="7">
        <v>471683</v>
      </c>
      <c r="D497" s="8"/>
      <c r="E497" s="7" t="s">
        <v>53</v>
      </c>
      <c r="F497" s="7" t="s">
        <v>3466</v>
      </c>
      <c r="G497" s="7" t="s">
        <v>550</v>
      </c>
      <c r="H497" s="8"/>
      <c r="I497" s="7" t="s">
        <v>55</v>
      </c>
      <c r="J497" s="8"/>
      <c r="K497" s="8"/>
      <c r="L497" s="7" t="s">
        <v>3467</v>
      </c>
      <c r="M497" s="7" t="s">
        <v>3466</v>
      </c>
      <c r="N497" s="7">
        <v>268</v>
      </c>
      <c r="O497" s="7" t="s">
        <v>3468</v>
      </c>
    </row>
    <row r="498" spans="1:16">
      <c r="A498" s="6" t="s">
        <v>31</v>
      </c>
      <c r="B498" s="7">
        <v>471670</v>
      </c>
      <c r="C498" s="7">
        <v>471990</v>
      </c>
      <c r="D498" s="8"/>
      <c r="E498" s="7" t="s">
        <v>53</v>
      </c>
      <c r="F498" s="7" t="s">
        <v>3469</v>
      </c>
      <c r="G498" s="8"/>
      <c r="H498" s="8"/>
      <c r="I498" s="7" t="s">
        <v>55</v>
      </c>
      <c r="J498" s="8"/>
      <c r="K498" s="8"/>
      <c r="L498" s="7" t="s">
        <v>3470</v>
      </c>
      <c r="M498" s="7" t="s">
        <v>3469</v>
      </c>
      <c r="N498" s="7">
        <v>106</v>
      </c>
      <c r="O498" s="7" t="s">
        <v>3471</v>
      </c>
    </row>
    <row r="499" spans="1:16">
      <c r="A499" s="6" t="s">
        <v>31</v>
      </c>
      <c r="B499" s="7">
        <v>471993</v>
      </c>
      <c r="C499" s="7">
        <v>472859</v>
      </c>
      <c r="D499" s="8"/>
      <c r="E499" s="7" t="s">
        <v>53</v>
      </c>
      <c r="F499" s="7" t="s">
        <v>3472</v>
      </c>
      <c r="G499" s="7" t="s">
        <v>553</v>
      </c>
      <c r="H499" s="8"/>
      <c r="I499" s="7" t="s">
        <v>55</v>
      </c>
      <c r="J499" s="8"/>
      <c r="K499" s="8"/>
      <c r="L499" s="7" t="s">
        <v>3473</v>
      </c>
      <c r="M499" s="7" t="s">
        <v>3472</v>
      </c>
      <c r="N499" s="7">
        <v>288</v>
      </c>
      <c r="O499" s="7" t="s">
        <v>3474</v>
      </c>
      <c r="P499" s="7"/>
    </row>
    <row r="500" spans="1:16">
      <c r="A500" s="6" t="s">
        <v>31</v>
      </c>
      <c r="B500" s="7">
        <v>472997</v>
      </c>
      <c r="C500" s="7">
        <v>474232</v>
      </c>
      <c r="D500" s="8"/>
      <c r="E500" s="7" t="s">
        <v>53</v>
      </c>
      <c r="F500" s="7" t="s">
        <v>555</v>
      </c>
      <c r="G500" s="7" t="s">
        <v>3475</v>
      </c>
      <c r="H500" s="8"/>
      <c r="I500" s="7" t="s">
        <v>55</v>
      </c>
      <c r="J500" s="8"/>
      <c r="K500" s="8"/>
      <c r="L500" s="7" t="s">
        <v>3476</v>
      </c>
      <c r="M500" s="7" t="s">
        <v>555</v>
      </c>
      <c r="N500" s="7">
        <v>411</v>
      </c>
      <c r="O500" s="7" t="s">
        <v>3477</v>
      </c>
    </row>
    <row r="501" spans="1:16">
      <c r="A501" s="6" t="s">
        <v>31</v>
      </c>
      <c r="B501" s="7">
        <v>474243</v>
      </c>
      <c r="C501" s="7">
        <v>474584</v>
      </c>
      <c r="D501" s="8"/>
      <c r="E501" s="7" t="s">
        <v>53</v>
      </c>
      <c r="F501" s="7" t="s">
        <v>3478</v>
      </c>
      <c r="G501" s="7" t="s">
        <v>3479</v>
      </c>
      <c r="H501" s="8"/>
      <c r="I501" s="7" t="s">
        <v>55</v>
      </c>
      <c r="J501" s="8"/>
      <c r="K501" s="8"/>
      <c r="L501" s="7" t="s">
        <v>3480</v>
      </c>
      <c r="M501" s="7" t="s">
        <v>3478</v>
      </c>
      <c r="N501" s="7">
        <v>113</v>
      </c>
      <c r="O501" s="7" t="s">
        <v>3481</v>
      </c>
    </row>
    <row r="502" spans="1:16">
      <c r="A502" s="6" t="s">
        <v>31</v>
      </c>
      <c r="B502" s="7">
        <v>474682</v>
      </c>
      <c r="C502" s="7">
        <v>475338</v>
      </c>
      <c r="D502" s="8"/>
      <c r="E502" s="7" t="s">
        <v>53</v>
      </c>
      <c r="F502" s="7" t="s">
        <v>3482</v>
      </c>
      <c r="G502" s="7" t="s">
        <v>3483</v>
      </c>
      <c r="H502" s="8"/>
      <c r="I502" s="7" t="s">
        <v>55</v>
      </c>
      <c r="J502" s="8"/>
      <c r="K502" s="8"/>
      <c r="L502" s="7" t="s">
        <v>3484</v>
      </c>
      <c r="M502" s="7" t="s">
        <v>3482</v>
      </c>
      <c r="N502" s="7">
        <v>218</v>
      </c>
      <c r="O502" s="7" t="s">
        <v>3485</v>
      </c>
    </row>
    <row r="503" spans="1:16">
      <c r="A503" s="6" t="s">
        <v>31</v>
      </c>
      <c r="B503" s="7">
        <v>475361</v>
      </c>
      <c r="C503" s="7">
        <v>476182</v>
      </c>
      <c r="D503" s="8"/>
      <c r="E503" s="7" t="s">
        <v>53</v>
      </c>
      <c r="F503" s="7" t="s">
        <v>3026</v>
      </c>
      <c r="G503" s="8"/>
      <c r="H503" s="8"/>
      <c r="I503" s="7" t="s">
        <v>55</v>
      </c>
      <c r="J503" s="8"/>
      <c r="K503" s="8"/>
      <c r="L503" s="7" t="s">
        <v>3486</v>
      </c>
      <c r="M503" s="7" t="s">
        <v>3026</v>
      </c>
      <c r="N503" s="7">
        <v>273</v>
      </c>
      <c r="O503" s="7" t="s">
        <v>3487</v>
      </c>
    </row>
    <row r="504" spans="1:16">
      <c r="A504" s="6" t="s">
        <v>31</v>
      </c>
      <c r="B504" s="7">
        <v>476201</v>
      </c>
      <c r="C504" s="7">
        <v>476323</v>
      </c>
      <c r="D504" s="8"/>
      <c r="E504" s="7" t="s">
        <v>75</v>
      </c>
      <c r="F504" s="7" t="s">
        <v>2130</v>
      </c>
      <c r="G504" s="8"/>
      <c r="H504" s="8"/>
      <c r="I504" s="7" t="s">
        <v>55</v>
      </c>
      <c r="J504" s="8"/>
      <c r="K504" s="8"/>
      <c r="L504" s="7" t="s">
        <v>3488</v>
      </c>
      <c r="M504" s="7" t="s">
        <v>2130</v>
      </c>
      <c r="N504" s="7">
        <v>40</v>
      </c>
      <c r="O504" s="7" t="s">
        <v>3489</v>
      </c>
    </row>
    <row r="505" spans="1:16">
      <c r="A505" s="6" t="s">
        <v>31</v>
      </c>
      <c r="B505" s="7">
        <v>476708</v>
      </c>
      <c r="C505" s="7">
        <v>476953</v>
      </c>
      <c r="D505" s="8"/>
      <c r="E505" s="7" t="s">
        <v>53</v>
      </c>
      <c r="F505" s="7" t="s">
        <v>2095</v>
      </c>
      <c r="G505" s="8"/>
      <c r="H505" s="8"/>
      <c r="I505" s="7" t="s">
        <v>55</v>
      </c>
      <c r="J505" s="8"/>
      <c r="K505" s="8"/>
      <c r="L505" s="7" t="s">
        <v>3490</v>
      </c>
      <c r="M505" s="7" t="s">
        <v>2095</v>
      </c>
      <c r="N505" s="7">
        <v>81</v>
      </c>
      <c r="O505" s="7" t="s">
        <v>3491</v>
      </c>
    </row>
    <row r="506" spans="1:16">
      <c r="A506" s="6" t="s">
        <v>31</v>
      </c>
      <c r="B506" s="7">
        <v>476913</v>
      </c>
      <c r="C506" s="7">
        <v>477485</v>
      </c>
      <c r="D506" s="8"/>
      <c r="E506" s="7" t="s">
        <v>53</v>
      </c>
      <c r="F506" s="7" t="s">
        <v>2095</v>
      </c>
      <c r="G506" s="8"/>
      <c r="H506" s="8"/>
      <c r="I506" s="7" t="s">
        <v>55</v>
      </c>
      <c r="J506" s="8"/>
      <c r="K506" s="8"/>
      <c r="L506" s="7" t="s">
        <v>3492</v>
      </c>
      <c r="M506" s="7" t="s">
        <v>2095</v>
      </c>
      <c r="N506" s="7">
        <v>190</v>
      </c>
      <c r="O506" s="7" t="s">
        <v>3493</v>
      </c>
    </row>
    <row r="507" spans="1:16">
      <c r="A507" s="6" t="s">
        <v>31</v>
      </c>
      <c r="B507" s="7">
        <v>477570</v>
      </c>
      <c r="C507" s="7">
        <v>478718</v>
      </c>
      <c r="D507" s="8"/>
      <c r="E507" s="7" t="s">
        <v>53</v>
      </c>
      <c r="F507" s="7" t="s">
        <v>562</v>
      </c>
      <c r="G507" s="7" t="s">
        <v>3494</v>
      </c>
      <c r="H507" s="8"/>
      <c r="I507" s="7" t="s">
        <v>55</v>
      </c>
      <c r="J507" s="8"/>
      <c r="K507" s="8"/>
      <c r="L507" s="7" t="s">
        <v>3495</v>
      </c>
      <c r="M507" s="7" t="s">
        <v>562</v>
      </c>
      <c r="N507" s="7">
        <v>382</v>
      </c>
      <c r="O507" s="7" t="s">
        <v>3496</v>
      </c>
      <c r="P507" s="7"/>
    </row>
    <row r="508" spans="1:16">
      <c r="A508" s="6" t="s">
        <v>31</v>
      </c>
      <c r="B508" s="7">
        <v>478823</v>
      </c>
      <c r="C508" s="7">
        <v>479146</v>
      </c>
      <c r="D508" s="8"/>
      <c r="E508" s="7" t="s">
        <v>53</v>
      </c>
      <c r="F508" s="7" t="s">
        <v>3497</v>
      </c>
      <c r="G508" s="8"/>
      <c r="H508" s="8"/>
      <c r="I508" s="7" t="s">
        <v>55</v>
      </c>
      <c r="J508" s="8"/>
      <c r="K508" s="8"/>
      <c r="L508" s="7" t="s">
        <v>3498</v>
      </c>
      <c r="M508" s="7" t="s">
        <v>3497</v>
      </c>
      <c r="N508" s="7">
        <v>107</v>
      </c>
      <c r="O508" s="7" t="s">
        <v>3499</v>
      </c>
    </row>
    <row r="509" spans="1:16">
      <c r="A509" s="6" t="s">
        <v>31</v>
      </c>
      <c r="B509" s="7">
        <v>479124</v>
      </c>
      <c r="C509" s="7">
        <v>479321</v>
      </c>
      <c r="D509" s="8"/>
      <c r="E509" s="7" t="s">
        <v>53</v>
      </c>
      <c r="F509" s="7" t="s">
        <v>3500</v>
      </c>
      <c r="G509" s="8"/>
      <c r="H509" s="8"/>
      <c r="I509" s="7" t="s">
        <v>55</v>
      </c>
      <c r="J509" s="8"/>
      <c r="K509" s="8"/>
      <c r="L509" s="7" t="s">
        <v>3501</v>
      </c>
      <c r="M509" s="7" t="s">
        <v>3500</v>
      </c>
      <c r="N509" s="7">
        <v>65</v>
      </c>
      <c r="O509" s="7" t="s">
        <v>3502</v>
      </c>
    </row>
    <row r="510" spans="1:16">
      <c r="A510" s="6" t="s">
        <v>31</v>
      </c>
      <c r="B510" s="7">
        <v>479305</v>
      </c>
      <c r="C510" s="7">
        <v>479673</v>
      </c>
      <c r="D510" s="8"/>
      <c r="E510" s="7" t="s">
        <v>53</v>
      </c>
      <c r="F510" s="7" t="s">
        <v>3500</v>
      </c>
      <c r="G510" s="8"/>
      <c r="H510" s="8"/>
      <c r="I510" s="7" t="s">
        <v>55</v>
      </c>
      <c r="J510" s="8"/>
      <c r="K510" s="8"/>
      <c r="L510" s="7" t="s">
        <v>3503</v>
      </c>
      <c r="M510" s="7" t="s">
        <v>3500</v>
      </c>
      <c r="N510" s="7">
        <v>122</v>
      </c>
      <c r="O510" s="7" t="s">
        <v>3504</v>
      </c>
    </row>
    <row r="511" spans="1:16">
      <c r="A511" s="6" t="s">
        <v>31</v>
      </c>
      <c r="B511" s="7">
        <v>479618</v>
      </c>
      <c r="C511" s="7">
        <v>479722</v>
      </c>
      <c r="D511" s="8"/>
      <c r="E511" s="7" t="s">
        <v>53</v>
      </c>
      <c r="F511" s="7" t="s">
        <v>2095</v>
      </c>
      <c r="G511" s="8"/>
      <c r="H511" s="8"/>
      <c r="I511" s="7" t="s">
        <v>55</v>
      </c>
      <c r="J511" s="8"/>
      <c r="K511" s="8"/>
      <c r="L511" s="7" t="s">
        <v>3505</v>
      </c>
      <c r="M511" s="7" t="s">
        <v>2095</v>
      </c>
      <c r="N511" s="7">
        <v>34</v>
      </c>
      <c r="O511" s="7" t="s">
        <v>3506</v>
      </c>
    </row>
    <row r="512" spans="1:16">
      <c r="A512" s="6" t="s">
        <v>31</v>
      </c>
      <c r="B512" s="7">
        <v>479735</v>
      </c>
      <c r="C512" s="7">
        <v>479914</v>
      </c>
      <c r="D512" s="8"/>
      <c r="E512" s="7" t="s">
        <v>53</v>
      </c>
      <c r="F512" s="7" t="s">
        <v>2095</v>
      </c>
      <c r="G512" s="8"/>
      <c r="H512" s="8"/>
      <c r="I512" s="7" t="s">
        <v>55</v>
      </c>
      <c r="J512" s="8"/>
      <c r="K512" s="8"/>
      <c r="L512" s="7" t="s">
        <v>3507</v>
      </c>
      <c r="M512" s="7" t="s">
        <v>2095</v>
      </c>
      <c r="N512" s="7">
        <v>59</v>
      </c>
      <c r="O512" s="7" t="s">
        <v>3508</v>
      </c>
    </row>
    <row r="513" spans="1:16">
      <c r="A513" s="6" t="s">
        <v>31</v>
      </c>
      <c r="B513" s="7">
        <v>480348</v>
      </c>
      <c r="C513" s="7">
        <v>481265</v>
      </c>
      <c r="D513" s="8"/>
      <c r="E513" s="7" t="s">
        <v>53</v>
      </c>
      <c r="F513" s="7" t="s">
        <v>3509</v>
      </c>
      <c r="G513" s="7" t="s">
        <v>568</v>
      </c>
      <c r="H513" s="8"/>
      <c r="I513" s="7" t="s">
        <v>55</v>
      </c>
      <c r="J513" s="8"/>
      <c r="K513" s="8"/>
      <c r="L513" s="7" t="s">
        <v>3510</v>
      </c>
      <c r="M513" s="7" t="s">
        <v>3509</v>
      </c>
      <c r="N513" s="7">
        <v>305</v>
      </c>
      <c r="O513" s="7" t="s">
        <v>3511</v>
      </c>
      <c r="P513" s="7"/>
    </row>
    <row r="514" spans="1:16">
      <c r="A514" s="6" t="s">
        <v>31</v>
      </c>
      <c r="B514" s="7">
        <v>481549</v>
      </c>
      <c r="C514" s="7">
        <v>483585</v>
      </c>
      <c r="D514" s="8"/>
      <c r="E514" s="7" t="s">
        <v>53</v>
      </c>
      <c r="F514" s="7" t="s">
        <v>3512</v>
      </c>
      <c r="G514" s="7" t="s">
        <v>570</v>
      </c>
      <c r="H514" s="8"/>
      <c r="I514" s="7" t="s">
        <v>55</v>
      </c>
      <c r="J514" s="8"/>
      <c r="K514" s="8"/>
      <c r="L514" s="7" t="s">
        <v>3513</v>
      </c>
      <c r="M514" s="7" t="s">
        <v>3512</v>
      </c>
      <c r="N514" s="7">
        <v>678</v>
      </c>
      <c r="O514" s="7" t="s">
        <v>3514</v>
      </c>
      <c r="P514" s="7"/>
    </row>
    <row r="515" spans="1:16">
      <c r="A515" s="6" t="s">
        <v>31</v>
      </c>
      <c r="B515" s="7">
        <v>483598</v>
      </c>
      <c r="C515" s="7">
        <v>483855</v>
      </c>
      <c r="D515" s="8"/>
      <c r="E515" s="7" t="s">
        <v>53</v>
      </c>
      <c r="F515" s="7" t="s">
        <v>2130</v>
      </c>
      <c r="G515" s="8"/>
      <c r="H515" s="8"/>
      <c r="I515" s="7" t="s">
        <v>55</v>
      </c>
      <c r="J515" s="8"/>
      <c r="K515" s="8"/>
      <c r="L515" s="7" t="s">
        <v>3515</v>
      </c>
      <c r="M515" s="7" t="s">
        <v>2130</v>
      </c>
      <c r="N515" s="7">
        <v>85</v>
      </c>
      <c r="O515" s="7" t="s">
        <v>3516</v>
      </c>
      <c r="P515" s="7"/>
    </row>
    <row r="516" spans="1:16">
      <c r="A516" s="6" t="s">
        <v>31</v>
      </c>
      <c r="B516" s="7">
        <v>484026</v>
      </c>
      <c r="C516" s="7">
        <v>485417</v>
      </c>
      <c r="D516" s="8"/>
      <c r="E516" s="7" t="s">
        <v>53</v>
      </c>
      <c r="F516" s="7" t="s">
        <v>3517</v>
      </c>
      <c r="G516" s="7" t="s">
        <v>3518</v>
      </c>
      <c r="H516" s="8"/>
      <c r="I516" s="7" t="s">
        <v>55</v>
      </c>
      <c r="J516" s="8"/>
      <c r="K516" s="8"/>
      <c r="L516" s="7" t="s">
        <v>3519</v>
      </c>
      <c r="M516" s="7" t="s">
        <v>3517</v>
      </c>
      <c r="N516" s="7">
        <v>463</v>
      </c>
      <c r="O516" s="7" t="s">
        <v>3520</v>
      </c>
    </row>
    <row r="517" spans="1:16">
      <c r="A517" s="6" t="s">
        <v>31</v>
      </c>
      <c r="B517" s="7">
        <v>485488</v>
      </c>
      <c r="C517" s="7">
        <v>486123</v>
      </c>
      <c r="D517" s="8"/>
      <c r="E517" s="7" t="s">
        <v>75</v>
      </c>
      <c r="F517" s="7" t="s">
        <v>2130</v>
      </c>
      <c r="G517" s="8"/>
      <c r="H517" s="8"/>
      <c r="I517" s="7" t="s">
        <v>55</v>
      </c>
      <c r="J517" s="8"/>
      <c r="K517" s="8"/>
      <c r="L517" s="7" t="s">
        <v>3521</v>
      </c>
      <c r="M517" s="7" t="s">
        <v>2130</v>
      </c>
      <c r="N517" s="7">
        <v>211</v>
      </c>
      <c r="O517" s="7" t="s">
        <v>3522</v>
      </c>
    </row>
    <row r="518" spans="1:16">
      <c r="A518" s="6" t="s">
        <v>31</v>
      </c>
      <c r="B518" s="7">
        <v>488368</v>
      </c>
      <c r="C518" s="7">
        <v>489126</v>
      </c>
      <c r="D518" s="8"/>
      <c r="E518" s="7" t="s">
        <v>75</v>
      </c>
      <c r="F518" s="7" t="s">
        <v>3523</v>
      </c>
      <c r="G518" s="8"/>
      <c r="H518" s="8"/>
      <c r="I518" s="7" t="s">
        <v>55</v>
      </c>
      <c r="J518" s="8"/>
      <c r="K518" s="8"/>
      <c r="L518" s="7" t="s">
        <v>3524</v>
      </c>
      <c r="M518" s="7" t="s">
        <v>3523</v>
      </c>
      <c r="N518" s="7">
        <v>252</v>
      </c>
      <c r="O518" s="7" t="s">
        <v>3525</v>
      </c>
    </row>
    <row r="519" spans="1:16">
      <c r="A519" s="6" t="s">
        <v>31</v>
      </c>
      <c r="B519" s="7">
        <v>489487</v>
      </c>
      <c r="C519" s="7">
        <v>489750</v>
      </c>
      <c r="D519" s="8"/>
      <c r="E519" s="7" t="s">
        <v>53</v>
      </c>
      <c r="F519" s="7" t="s">
        <v>3526</v>
      </c>
      <c r="G519" s="8"/>
      <c r="H519" s="8"/>
      <c r="I519" s="7" t="s">
        <v>55</v>
      </c>
      <c r="J519" s="8"/>
      <c r="K519" s="8"/>
      <c r="L519" s="7" t="s">
        <v>3527</v>
      </c>
      <c r="M519" s="7" t="s">
        <v>3526</v>
      </c>
      <c r="N519" s="7">
        <v>87</v>
      </c>
      <c r="O519" s="7" t="s">
        <v>3528</v>
      </c>
    </row>
    <row r="520" spans="1:16">
      <c r="A520" s="6" t="s">
        <v>31</v>
      </c>
      <c r="B520" s="7">
        <v>489814</v>
      </c>
      <c r="C520" s="7">
        <v>490221</v>
      </c>
      <c r="D520" s="8"/>
      <c r="E520" s="7" t="s">
        <v>53</v>
      </c>
      <c r="F520" s="7" t="s">
        <v>2212</v>
      </c>
      <c r="G520" s="8"/>
      <c r="H520" s="8"/>
      <c r="I520" s="7" t="s">
        <v>55</v>
      </c>
      <c r="J520" s="8"/>
      <c r="K520" s="8"/>
      <c r="L520" s="7" t="s">
        <v>3529</v>
      </c>
      <c r="M520" s="7" t="s">
        <v>2212</v>
      </c>
      <c r="N520" s="7">
        <v>135</v>
      </c>
      <c r="O520" s="7" t="s">
        <v>3530</v>
      </c>
    </row>
    <row r="521" spans="1:16">
      <c r="A521" s="6" t="s">
        <v>31</v>
      </c>
      <c r="B521" s="7">
        <v>490218</v>
      </c>
      <c r="C521" s="7">
        <v>490694</v>
      </c>
      <c r="D521" s="8"/>
      <c r="E521" s="7" t="s">
        <v>53</v>
      </c>
      <c r="F521" s="7" t="s">
        <v>2130</v>
      </c>
      <c r="G521" s="8"/>
      <c r="H521" s="8"/>
      <c r="I521" s="7" t="s">
        <v>55</v>
      </c>
      <c r="J521" s="8"/>
      <c r="K521" s="8"/>
      <c r="L521" s="7" t="s">
        <v>3531</v>
      </c>
      <c r="M521" s="7" t="s">
        <v>2130</v>
      </c>
      <c r="N521" s="7">
        <v>158</v>
      </c>
      <c r="O521" s="7" t="s">
        <v>3532</v>
      </c>
    </row>
    <row r="522" spans="1:16">
      <c r="A522" s="6" t="s">
        <v>31</v>
      </c>
      <c r="B522" s="7">
        <v>490840</v>
      </c>
      <c r="C522" s="7">
        <v>491064</v>
      </c>
      <c r="D522" s="8"/>
      <c r="E522" s="7" t="s">
        <v>53</v>
      </c>
      <c r="F522" s="7" t="s">
        <v>2130</v>
      </c>
      <c r="G522" s="8"/>
      <c r="H522" s="8"/>
      <c r="I522" s="7" t="s">
        <v>55</v>
      </c>
      <c r="J522" s="8"/>
      <c r="K522" s="8"/>
      <c r="L522" s="7" t="s">
        <v>3533</v>
      </c>
      <c r="M522" s="7" t="s">
        <v>2130</v>
      </c>
      <c r="N522" s="7">
        <v>74</v>
      </c>
      <c r="O522" s="7" t="s">
        <v>3534</v>
      </c>
    </row>
    <row r="523" spans="1:16">
      <c r="A523" s="6" t="s">
        <v>31</v>
      </c>
      <c r="B523" s="7">
        <v>491180</v>
      </c>
      <c r="C523" s="7">
        <v>492085</v>
      </c>
      <c r="D523" s="8"/>
      <c r="E523" s="7" t="s">
        <v>53</v>
      </c>
      <c r="F523" s="7" t="s">
        <v>3344</v>
      </c>
      <c r="G523" s="8"/>
      <c r="H523" s="8"/>
      <c r="I523" s="7" t="s">
        <v>55</v>
      </c>
      <c r="J523" s="8"/>
      <c r="K523" s="8"/>
      <c r="L523" s="7" t="s">
        <v>3535</v>
      </c>
      <c r="M523" s="7" t="s">
        <v>3344</v>
      </c>
      <c r="N523" s="7">
        <v>301</v>
      </c>
      <c r="O523" s="7" t="s">
        <v>3536</v>
      </c>
    </row>
    <row r="524" spans="1:16">
      <c r="A524" s="6" t="s">
        <v>31</v>
      </c>
      <c r="B524" s="7">
        <v>492094</v>
      </c>
      <c r="C524" s="7">
        <v>492555</v>
      </c>
      <c r="D524" s="8"/>
      <c r="E524" s="7" t="s">
        <v>53</v>
      </c>
      <c r="F524" s="7" t="s">
        <v>581</v>
      </c>
      <c r="G524" s="7" t="s">
        <v>582</v>
      </c>
      <c r="H524" s="8"/>
      <c r="I524" s="7" t="s">
        <v>55</v>
      </c>
      <c r="J524" s="8"/>
      <c r="K524" s="8"/>
      <c r="L524" s="7" t="s">
        <v>3537</v>
      </c>
      <c r="M524" s="7" t="s">
        <v>581</v>
      </c>
      <c r="N524" s="7">
        <v>153</v>
      </c>
      <c r="O524" s="7" t="s">
        <v>3538</v>
      </c>
      <c r="P524" s="7"/>
    </row>
    <row r="525" spans="1:16">
      <c r="A525" s="6" t="s">
        <v>31</v>
      </c>
      <c r="B525" s="7">
        <v>492539</v>
      </c>
      <c r="C525" s="7">
        <v>493429</v>
      </c>
      <c r="D525" s="8"/>
      <c r="E525" s="7" t="s">
        <v>53</v>
      </c>
      <c r="F525" s="7" t="s">
        <v>3539</v>
      </c>
      <c r="G525" s="7" t="s">
        <v>3540</v>
      </c>
      <c r="H525" s="8"/>
      <c r="I525" s="7" t="s">
        <v>55</v>
      </c>
      <c r="J525" s="8"/>
      <c r="K525" s="8"/>
      <c r="L525" s="7" t="s">
        <v>3541</v>
      </c>
      <c r="M525" s="7" t="s">
        <v>3539</v>
      </c>
      <c r="N525" s="7">
        <v>296</v>
      </c>
      <c r="O525" s="7" t="s">
        <v>3542</v>
      </c>
      <c r="P525" s="7"/>
    </row>
    <row r="526" spans="1:16">
      <c r="A526" s="6" t="s">
        <v>31</v>
      </c>
      <c r="B526" s="7">
        <v>493661</v>
      </c>
      <c r="C526" s="7">
        <v>494182</v>
      </c>
      <c r="D526" s="8"/>
      <c r="E526" s="7" t="s">
        <v>53</v>
      </c>
      <c r="F526" s="7" t="s">
        <v>3543</v>
      </c>
      <c r="G526" s="7" t="s">
        <v>585</v>
      </c>
      <c r="H526" s="8"/>
      <c r="I526" s="7" t="s">
        <v>55</v>
      </c>
      <c r="J526" s="8"/>
      <c r="K526" s="8"/>
      <c r="L526" s="7" t="s">
        <v>3544</v>
      </c>
      <c r="M526" s="7" t="s">
        <v>3543</v>
      </c>
      <c r="N526" s="7">
        <v>173</v>
      </c>
      <c r="O526" s="7" t="s">
        <v>3545</v>
      </c>
      <c r="P526" s="7"/>
    </row>
    <row r="527" spans="1:16">
      <c r="A527" s="6" t="s">
        <v>31</v>
      </c>
      <c r="B527" s="7">
        <v>494529</v>
      </c>
      <c r="C527" s="7">
        <v>495806</v>
      </c>
      <c r="D527" s="8"/>
      <c r="E527" s="7" t="s">
        <v>53</v>
      </c>
      <c r="F527" s="7" t="s">
        <v>3546</v>
      </c>
      <c r="G527" s="7" t="s">
        <v>3547</v>
      </c>
      <c r="H527" s="8"/>
      <c r="I527" s="7" t="s">
        <v>55</v>
      </c>
      <c r="J527" s="8"/>
      <c r="K527" s="8"/>
      <c r="L527" s="7" t="s">
        <v>3548</v>
      </c>
      <c r="M527" s="7" t="s">
        <v>3546</v>
      </c>
      <c r="N527" s="7">
        <v>425</v>
      </c>
      <c r="O527" s="7" t="s">
        <v>3549</v>
      </c>
    </row>
    <row r="528" spans="1:16">
      <c r="A528" s="6" t="s">
        <v>31</v>
      </c>
      <c r="B528" s="7">
        <v>495831</v>
      </c>
      <c r="C528" s="7">
        <v>496757</v>
      </c>
      <c r="D528" s="8"/>
      <c r="E528" s="7" t="s">
        <v>53</v>
      </c>
      <c r="F528" s="7" t="s">
        <v>3550</v>
      </c>
      <c r="G528" s="7" t="s">
        <v>3551</v>
      </c>
      <c r="H528" s="8"/>
      <c r="I528" s="7" t="s">
        <v>55</v>
      </c>
      <c r="J528" s="8"/>
      <c r="K528" s="8"/>
      <c r="L528" s="7" t="s">
        <v>3552</v>
      </c>
      <c r="M528" s="7" t="s">
        <v>3550</v>
      </c>
      <c r="N528" s="7">
        <v>308</v>
      </c>
      <c r="O528" s="7" t="s">
        <v>3553</v>
      </c>
      <c r="P528" s="7"/>
    </row>
    <row r="529" spans="1:16">
      <c r="A529" s="6" t="s">
        <v>31</v>
      </c>
      <c r="B529" s="7">
        <v>496910</v>
      </c>
      <c r="C529" s="7">
        <v>497998</v>
      </c>
      <c r="D529" s="8"/>
      <c r="E529" s="7" t="s">
        <v>53</v>
      </c>
      <c r="F529" s="7" t="s">
        <v>3554</v>
      </c>
      <c r="G529" s="7" t="s">
        <v>3555</v>
      </c>
      <c r="H529" s="8"/>
      <c r="I529" s="7" t="s">
        <v>55</v>
      </c>
      <c r="J529" s="8"/>
      <c r="K529" s="8"/>
      <c r="L529" s="7" t="s">
        <v>3556</v>
      </c>
      <c r="M529" s="7" t="s">
        <v>3554</v>
      </c>
      <c r="N529" s="7">
        <v>362</v>
      </c>
      <c r="O529" s="7" t="s">
        <v>3557</v>
      </c>
      <c r="P529" s="7"/>
    </row>
    <row r="530" spans="1:16">
      <c r="A530" s="6" t="s">
        <v>31</v>
      </c>
      <c r="B530" s="7">
        <v>498343</v>
      </c>
      <c r="C530" s="7">
        <v>501522</v>
      </c>
      <c r="D530" s="8"/>
      <c r="E530" s="7" t="s">
        <v>53</v>
      </c>
      <c r="F530" s="7" t="s">
        <v>3558</v>
      </c>
      <c r="G530" s="7" t="s">
        <v>3559</v>
      </c>
      <c r="H530" s="8"/>
      <c r="I530" s="7" t="s">
        <v>55</v>
      </c>
      <c r="J530" s="8"/>
      <c r="K530" s="8"/>
      <c r="L530" s="7" t="s">
        <v>3560</v>
      </c>
      <c r="M530" s="7" t="s">
        <v>3558</v>
      </c>
      <c r="N530" s="7">
        <v>1059</v>
      </c>
      <c r="O530" s="7" t="s">
        <v>3561</v>
      </c>
      <c r="P530" s="7"/>
    </row>
    <row r="531" spans="1:16">
      <c r="A531" s="6" t="s">
        <v>31</v>
      </c>
      <c r="B531" s="7">
        <v>501899</v>
      </c>
      <c r="C531" s="7">
        <v>502657</v>
      </c>
      <c r="D531" s="8"/>
      <c r="E531" s="7" t="s">
        <v>53</v>
      </c>
      <c r="F531" s="7" t="s">
        <v>3562</v>
      </c>
      <c r="G531" s="8"/>
      <c r="H531" s="8"/>
      <c r="I531" s="7" t="s">
        <v>55</v>
      </c>
      <c r="J531" s="8"/>
      <c r="K531" s="8"/>
      <c r="L531" s="7" t="s">
        <v>3563</v>
      </c>
      <c r="M531" s="7" t="s">
        <v>3562</v>
      </c>
      <c r="N531" s="7">
        <v>252</v>
      </c>
      <c r="O531" s="7" t="s">
        <v>3564</v>
      </c>
    </row>
    <row r="532" spans="1:16">
      <c r="A532" s="6" t="s">
        <v>31</v>
      </c>
      <c r="B532" s="7">
        <v>502808</v>
      </c>
      <c r="C532" s="7">
        <v>502942</v>
      </c>
      <c r="D532" s="8"/>
      <c r="E532" s="7" t="s">
        <v>53</v>
      </c>
      <c r="F532" s="7" t="s">
        <v>2130</v>
      </c>
      <c r="G532" s="8"/>
      <c r="H532" s="8"/>
      <c r="I532" s="7" t="s">
        <v>55</v>
      </c>
      <c r="J532" s="8"/>
      <c r="K532" s="8"/>
      <c r="L532" s="7" t="s">
        <v>3565</v>
      </c>
      <c r="M532" s="7" t="s">
        <v>2130</v>
      </c>
      <c r="N532" s="7">
        <v>44</v>
      </c>
      <c r="O532" s="7" t="s">
        <v>3566</v>
      </c>
    </row>
    <row r="533" spans="1:16">
      <c r="A533" s="6" t="s">
        <v>31</v>
      </c>
      <c r="B533" s="7">
        <v>502923</v>
      </c>
      <c r="C533" s="7">
        <v>503276</v>
      </c>
      <c r="D533" s="8"/>
      <c r="E533" s="7" t="s">
        <v>53</v>
      </c>
      <c r="F533" s="7" t="s">
        <v>2130</v>
      </c>
      <c r="G533" s="8"/>
      <c r="H533" s="8"/>
      <c r="I533" s="7" t="s">
        <v>55</v>
      </c>
      <c r="J533" s="8"/>
      <c r="K533" s="8"/>
      <c r="L533" s="7" t="s">
        <v>3567</v>
      </c>
      <c r="M533" s="7" t="s">
        <v>2130</v>
      </c>
      <c r="N533" s="7">
        <v>117</v>
      </c>
      <c r="O533" s="7" t="s">
        <v>3568</v>
      </c>
    </row>
    <row r="534" spans="1:16">
      <c r="A534" s="6" t="s">
        <v>31</v>
      </c>
      <c r="B534" s="7">
        <v>503516</v>
      </c>
      <c r="C534" s="7">
        <v>503761</v>
      </c>
      <c r="D534" s="8"/>
      <c r="E534" s="7" t="s">
        <v>53</v>
      </c>
      <c r="F534" s="7" t="s">
        <v>3569</v>
      </c>
      <c r="G534" s="8"/>
      <c r="H534" s="8"/>
      <c r="I534" s="7" t="s">
        <v>55</v>
      </c>
      <c r="J534" s="8"/>
      <c r="K534" s="8"/>
      <c r="L534" s="7" t="s">
        <v>3570</v>
      </c>
      <c r="M534" s="7" t="s">
        <v>3569</v>
      </c>
      <c r="N534" s="7">
        <v>81</v>
      </c>
      <c r="O534" s="7" t="s">
        <v>3571</v>
      </c>
    </row>
    <row r="535" spans="1:16">
      <c r="A535" s="6" t="s">
        <v>31</v>
      </c>
      <c r="B535" s="7">
        <v>503754</v>
      </c>
      <c r="C535" s="7">
        <v>504077</v>
      </c>
      <c r="D535" s="8"/>
      <c r="E535" s="7" t="s">
        <v>53</v>
      </c>
      <c r="F535" s="7" t="s">
        <v>2095</v>
      </c>
      <c r="G535" s="8"/>
      <c r="H535" s="8"/>
      <c r="I535" s="7" t="s">
        <v>55</v>
      </c>
      <c r="J535" s="8"/>
      <c r="K535" s="8"/>
      <c r="L535" s="7" t="s">
        <v>3572</v>
      </c>
      <c r="M535" s="7" t="s">
        <v>2095</v>
      </c>
      <c r="N535" s="7">
        <v>107</v>
      </c>
      <c r="O535" s="7" t="s">
        <v>3573</v>
      </c>
    </row>
    <row r="536" spans="1:16">
      <c r="A536" s="6" t="s">
        <v>31</v>
      </c>
      <c r="B536" s="7">
        <v>504078</v>
      </c>
      <c r="C536" s="7">
        <v>504320</v>
      </c>
      <c r="D536" s="8"/>
      <c r="E536" s="7" t="s">
        <v>53</v>
      </c>
      <c r="F536" s="7" t="s">
        <v>2095</v>
      </c>
      <c r="G536" s="8"/>
      <c r="H536" s="8"/>
      <c r="I536" s="7" t="s">
        <v>55</v>
      </c>
      <c r="J536" s="8"/>
      <c r="K536" s="8"/>
      <c r="L536" s="7" t="s">
        <v>3574</v>
      </c>
      <c r="M536" s="7" t="s">
        <v>2095</v>
      </c>
      <c r="N536" s="7">
        <v>80</v>
      </c>
      <c r="O536" s="7" t="s">
        <v>3575</v>
      </c>
    </row>
    <row r="537" spans="1:16">
      <c r="A537" s="6" t="s">
        <v>31</v>
      </c>
      <c r="B537" s="7">
        <v>505087</v>
      </c>
      <c r="C537" s="7">
        <v>505590</v>
      </c>
      <c r="D537" s="8"/>
      <c r="E537" s="7" t="s">
        <v>53</v>
      </c>
      <c r="F537" s="7" t="s">
        <v>3576</v>
      </c>
      <c r="G537" s="7" t="s">
        <v>594</v>
      </c>
      <c r="H537" s="8"/>
      <c r="I537" s="7" t="s">
        <v>55</v>
      </c>
      <c r="J537" s="8"/>
      <c r="K537" s="8"/>
      <c r="L537" s="7" t="s">
        <v>3577</v>
      </c>
      <c r="M537" s="7" t="s">
        <v>3576</v>
      </c>
      <c r="N537" s="7">
        <v>167</v>
      </c>
      <c r="O537" s="7" t="s">
        <v>3578</v>
      </c>
    </row>
    <row r="538" spans="1:16">
      <c r="A538" s="6" t="s">
        <v>31</v>
      </c>
      <c r="B538" s="7">
        <v>505665</v>
      </c>
      <c r="C538" s="7">
        <v>506033</v>
      </c>
      <c r="D538" s="8"/>
      <c r="E538" s="7" t="s">
        <v>53</v>
      </c>
      <c r="F538" s="7" t="s">
        <v>3579</v>
      </c>
      <c r="G538" s="7" t="s">
        <v>596</v>
      </c>
      <c r="H538" s="8"/>
      <c r="I538" s="7" t="s">
        <v>55</v>
      </c>
      <c r="J538" s="8"/>
      <c r="K538" s="8"/>
      <c r="L538" s="7" t="s">
        <v>3580</v>
      </c>
      <c r="M538" s="7" t="s">
        <v>3579</v>
      </c>
      <c r="N538" s="7">
        <v>122</v>
      </c>
      <c r="O538" s="7" t="s">
        <v>3581</v>
      </c>
    </row>
    <row r="539" spans="1:16">
      <c r="A539" s="6" t="s">
        <v>31</v>
      </c>
      <c r="B539" s="7">
        <v>506767</v>
      </c>
      <c r="C539" s="7">
        <v>506895</v>
      </c>
      <c r="D539" s="8"/>
      <c r="E539" s="7" t="s">
        <v>53</v>
      </c>
      <c r="F539" s="7" t="s">
        <v>2095</v>
      </c>
      <c r="G539" s="8"/>
      <c r="H539" s="8"/>
      <c r="I539" s="7" t="s">
        <v>55</v>
      </c>
      <c r="J539" s="8"/>
      <c r="K539" s="8"/>
      <c r="L539" s="7" t="s">
        <v>3582</v>
      </c>
      <c r="M539" s="7" t="s">
        <v>2095</v>
      </c>
      <c r="N539" s="7">
        <v>42</v>
      </c>
      <c r="O539" s="7" t="s">
        <v>3583</v>
      </c>
    </row>
    <row r="540" spans="1:16">
      <c r="A540" s="6" t="s">
        <v>31</v>
      </c>
      <c r="B540" s="7">
        <v>507287</v>
      </c>
      <c r="C540" s="7">
        <v>509023</v>
      </c>
      <c r="D540" s="8"/>
      <c r="E540" s="7" t="s">
        <v>53</v>
      </c>
      <c r="F540" s="7" t="s">
        <v>3584</v>
      </c>
      <c r="G540" s="8"/>
      <c r="H540" s="8"/>
      <c r="I540" s="7" t="s">
        <v>55</v>
      </c>
      <c r="J540" s="8"/>
      <c r="K540" s="8"/>
      <c r="L540" s="7" t="s">
        <v>3585</v>
      </c>
      <c r="M540" s="7" t="s">
        <v>3584</v>
      </c>
      <c r="N540" s="7">
        <v>578</v>
      </c>
      <c r="O540" s="7" t="s">
        <v>3586</v>
      </c>
    </row>
    <row r="541" spans="1:16">
      <c r="A541" s="6" t="s">
        <v>31</v>
      </c>
      <c r="B541" s="7">
        <v>509036</v>
      </c>
      <c r="C541" s="7">
        <v>510823</v>
      </c>
      <c r="D541" s="8"/>
      <c r="E541" s="7" t="s">
        <v>53</v>
      </c>
      <c r="F541" s="7" t="s">
        <v>3584</v>
      </c>
      <c r="G541" s="8"/>
      <c r="H541" s="8"/>
      <c r="I541" s="7" t="s">
        <v>55</v>
      </c>
      <c r="J541" s="8"/>
      <c r="K541" s="8"/>
      <c r="L541" s="7" t="s">
        <v>3587</v>
      </c>
      <c r="M541" s="7" t="s">
        <v>3584</v>
      </c>
      <c r="N541" s="7">
        <v>595</v>
      </c>
      <c r="O541" s="7" t="s">
        <v>3588</v>
      </c>
    </row>
    <row r="542" spans="1:16">
      <c r="A542" s="6" t="s">
        <v>31</v>
      </c>
      <c r="B542" s="7">
        <v>510921</v>
      </c>
      <c r="C542" s="7">
        <v>511964</v>
      </c>
      <c r="D542" s="8"/>
      <c r="E542" s="7" t="s">
        <v>75</v>
      </c>
      <c r="F542" s="7" t="s">
        <v>3589</v>
      </c>
      <c r="G542" s="7" t="s">
        <v>600</v>
      </c>
      <c r="H542" s="8"/>
      <c r="I542" s="7" t="s">
        <v>55</v>
      </c>
      <c r="J542" s="8"/>
      <c r="K542" s="8"/>
      <c r="L542" s="7" t="s">
        <v>3590</v>
      </c>
      <c r="M542" s="7" t="s">
        <v>3589</v>
      </c>
      <c r="N542" s="7">
        <v>347</v>
      </c>
      <c r="O542" s="7" t="s">
        <v>3591</v>
      </c>
      <c r="P542" s="7"/>
    </row>
    <row r="543" spans="1:16">
      <c r="A543" s="6" t="s">
        <v>31</v>
      </c>
      <c r="B543" s="7">
        <v>512114</v>
      </c>
      <c r="C543" s="7">
        <v>512815</v>
      </c>
      <c r="D543" s="8"/>
      <c r="E543" s="7" t="s">
        <v>53</v>
      </c>
      <c r="F543" s="7" t="s">
        <v>3592</v>
      </c>
      <c r="G543" s="7" t="s">
        <v>3593</v>
      </c>
      <c r="H543" s="8"/>
      <c r="I543" s="7" t="s">
        <v>55</v>
      </c>
      <c r="J543" s="8"/>
      <c r="K543" s="8"/>
      <c r="L543" s="7" t="s">
        <v>3594</v>
      </c>
      <c r="M543" s="7" t="s">
        <v>3592</v>
      </c>
      <c r="N543" s="7">
        <v>233</v>
      </c>
      <c r="O543" s="7" t="s">
        <v>3595</v>
      </c>
      <c r="P543" s="7"/>
    </row>
    <row r="544" spans="1:16">
      <c r="A544" s="6" t="s">
        <v>31</v>
      </c>
      <c r="B544" s="7">
        <v>512981</v>
      </c>
      <c r="C544" s="7">
        <v>514276</v>
      </c>
      <c r="D544" s="8"/>
      <c r="E544" s="7" t="s">
        <v>75</v>
      </c>
      <c r="F544" s="7" t="s">
        <v>3596</v>
      </c>
      <c r="G544" s="8"/>
      <c r="H544" s="8"/>
      <c r="I544" s="7" t="s">
        <v>55</v>
      </c>
      <c r="J544" s="8"/>
      <c r="K544" s="8"/>
      <c r="L544" s="7" t="s">
        <v>3597</v>
      </c>
      <c r="M544" s="7" t="s">
        <v>3596</v>
      </c>
      <c r="N544" s="7">
        <v>431</v>
      </c>
      <c r="O544" s="7" t="s">
        <v>3598</v>
      </c>
    </row>
    <row r="545" spans="1:16">
      <c r="A545" s="6" t="s">
        <v>31</v>
      </c>
      <c r="B545" s="7">
        <v>514276</v>
      </c>
      <c r="C545" s="7">
        <v>514986</v>
      </c>
      <c r="D545" s="8"/>
      <c r="E545" s="7" t="s">
        <v>75</v>
      </c>
      <c r="F545" s="7" t="s">
        <v>3599</v>
      </c>
      <c r="G545" s="8"/>
      <c r="H545" s="8"/>
      <c r="I545" s="7" t="s">
        <v>55</v>
      </c>
      <c r="J545" s="8"/>
      <c r="K545" s="8"/>
      <c r="L545" s="7" t="s">
        <v>3600</v>
      </c>
      <c r="M545" s="7" t="s">
        <v>3599</v>
      </c>
      <c r="N545" s="7">
        <v>236</v>
      </c>
      <c r="O545" s="7" t="s">
        <v>3601</v>
      </c>
    </row>
    <row r="546" spans="1:16">
      <c r="A546" s="6" t="s">
        <v>31</v>
      </c>
      <c r="B546" s="7">
        <v>515209</v>
      </c>
      <c r="C546" s="7">
        <v>516456</v>
      </c>
      <c r="D546" s="8"/>
      <c r="E546" s="7" t="s">
        <v>53</v>
      </c>
      <c r="F546" s="7" t="s">
        <v>3602</v>
      </c>
      <c r="G546" s="8"/>
      <c r="H546" s="8"/>
      <c r="I546" s="7" t="s">
        <v>55</v>
      </c>
      <c r="J546" s="8"/>
      <c r="K546" s="8"/>
      <c r="L546" s="7" t="s">
        <v>3603</v>
      </c>
      <c r="M546" s="7" t="s">
        <v>3602</v>
      </c>
      <c r="N546" s="7">
        <v>415</v>
      </c>
      <c r="O546" s="7" t="s">
        <v>3604</v>
      </c>
    </row>
    <row r="547" spans="1:16">
      <c r="A547" s="6" t="s">
        <v>31</v>
      </c>
      <c r="B547" s="7">
        <v>516453</v>
      </c>
      <c r="C547" s="7">
        <v>517364</v>
      </c>
      <c r="D547" s="8"/>
      <c r="E547" s="7" t="s">
        <v>53</v>
      </c>
      <c r="F547" s="7" t="s">
        <v>2993</v>
      </c>
      <c r="G547" s="8"/>
      <c r="H547" s="8"/>
      <c r="I547" s="7" t="s">
        <v>55</v>
      </c>
      <c r="J547" s="8"/>
      <c r="K547" s="8"/>
      <c r="L547" s="7" t="s">
        <v>3605</v>
      </c>
      <c r="M547" s="7" t="s">
        <v>2993</v>
      </c>
      <c r="N547" s="7">
        <v>303</v>
      </c>
      <c r="O547" s="7" t="s">
        <v>3606</v>
      </c>
    </row>
    <row r="548" spans="1:16">
      <c r="A548" s="6" t="s">
        <v>31</v>
      </c>
      <c r="B548" s="7">
        <v>517366</v>
      </c>
      <c r="C548" s="7">
        <v>518088</v>
      </c>
      <c r="D548" s="8"/>
      <c r="E548" s="7" t="s">
        <v>53</v>
      </c>
      <c r="F548" s="7" t="s">
        <v>2636</v>
      </c>
      <c r="G548" s="8"/>
      <c r="H548" s="8"/>
      <c r="I548" s="7" t="s">
        <v>55</v>
      </c>
      <c r="J548" s="8"/>
      <c r="K548" s="8"/>
      <c r="L548" s="7" t="s">
        <v>3607</v>
      </c>
      <c r="M548" s="7" t="s">
        <v>2636</v>
      </c>
      <c r="N548" s="7">
        <v>240</v>
      </c>
      <c r="O548" s="7" t="s">
        <v>3608</v>
      </c>
    </row>
    <row r="549" spans="1:16">
      <c r="A549" s="6" t="s">
        <v>31</v>
      </c>
      <c r="B549" s="7">
        <v>518277</v>
      </c>
      <c r="C549" s="7">
        <v>519260</v>
      </c>
      <c r="D549" s="8"/>
      <c r="E549" s="7" t="s">
        <v>53</v>
      </c>
      <c r="F549" s="7" t="s">
        <v>3609</v>
      </c>
      <c r="G549" s="7" t="s">
        <v>3610</v>
      </c>
      <c r="H549" s="8"/>
      <c r="I549" s="7" t="s">
        <v>55</v>
      </c>
      <c r="J549" s="8"/>
      <c r="K549" s="8"/>
      <c r="L549" s="7" t="s">
        <v>3611</v>
      </c>
      <c r="M549" s="7" t="s">
        <v>3609</v>
      </c>
      <c r="N549" s="7">
        <v>327</v>
      </c>
      <c r="O549" s="7" t="s">
        <v>3612</v>
      </c>
    </row>
    <row r="550" spans="1:16">
      <c r="A550" s="6" t="s">
        <v>31</v>
      </c>
      <c r="B550" s="7">
        <v>519439</v>
      </c>
      <c r="C550" s="7">
        <v>519636</v>
      </c>
      <c r="D550" s="8"/>
      <c r="E550" s="7" t="s">
        <v>53</v>
      </c>
      <c r="F550" s="7" t="s">
        <v>2686</v>
      </c>
      <c r="G550" s="8"/>
      <c r="H550" s="8"/>
      <c r="I550" s="7" t="s">
        <v>55</v>
      </c>
      <c r="J550" s="8"/>
      <c r="K550" s="8"/>
      <c r="L550" s="7" t="s">
        <v>3613</v>
      </c>
      <c r="M550" s="7" t="s">
        <v>2686</v>
      </c>
      <c r="N550" s="7">
        <v>65</v>
      </c>
      <c r="O550" s="7" t="s">
        <v>3614</v>
      </c>
    </row>
    <row r="551" spans="1:16">
      <c r="A551" s="6" t="s">
        <v>31</v>
      </c>
      <c r="B551" s="7">
        <v>519650</v>
      </c>
      <c r="C551" s="7">
        <v>520147</v>
      </c>
      <c r="D551" s="8"/>
      <c r="E551" s="7" t="s">
        <v>53</v>
      </c>
      <c r="F551" s="7" t="s">
        <v>2212</v>
      </c>
      <c r="G551" s="8"/>
      <c r="H551" s="8"/>
      <c r="I551" s="7" t="s">
        <v>55</v>
      </c>
      <c r="J551" s="8"/>
      <c r="K551" s="8"/>
      <c r="L551" s="7" t="s">
        <v>3615</v>
      </c>
      <c r="M551" s="7" t="s">
        <v>2212</v>
      </c>
      <c r="N551" s="7">
        <v>165</v>
      </c>
      <c r="O551" s="7" t="s">
        <v>3616</v>
      </c>
    </row>
    <row r="552" spans="1:16">
      <c r="A552" s="6" t="s">
        <v>31</v>
      </c>
      <c r="B552" s="7">
        <v>520226</v>
      </c>
      <c r="C552" s="7">
        <v>520996</v>
      </c>
      <c r="D552" s="8"/>
      <c r="E552" s="7" t="s">
        <v>53</v>
      </c>
      <c r="F552" s="7" t="s">
        <v>3617</v>
      </c>
      <c r="G552" s="8"/>
      <c r="H552" s="8"/>
      <c r="I552" s="7" t="s">
        <v>55</v>
      </c>
      <c r="J552" s="8"/>
      <c r="K552" s="8"/>
      <c r="L552" s="7" t="s">
        <v>3618</v>
      </c>
      <c r="M552" s="7" t="s">
        <v>3617</v>
      </c>
      <c r="N552" s="7">
        <v>256</v>
      </c>
      <c r="O552" s="7" t="s">
        <v>3619</v>
      </c>
      <c r="P552" s="7"/>
    </row>
    <row r="553" spans="1:16">
      <c r="A553" s="6" t="s">
        <v>31</v>
      </c>
      <c r="B553" s="7">
        <v>521088</v>
      </c>
      <c r="C553" s="7">
        <v>521771</v>
      </c>
      <c r="D553" s="8"/>
      <c r="E553" s="7" t="s">
        <v>53</v>
      </c>
      <c r="F553" s="7" t="s">
        <v>2212</v>
      </c>
      <c r="G553" s="8"/>
      <c r="H553" s="8"/>
      <c r="I553" s="7" t="s">
        <v>55</v>
      </c>
      <c r="J553" s="8"/>
      <c r="K553" s="8"/>
      <c r="L553" s="7" t="s">
        <v>3620</v>
      </c>
      <c r="M553" s="7" t="s">
        <v>2212</v>
      </c>
      <c r="N553" s="7">
        <v>227</v>
      </c>
      <c r="O553" s="7" t="s">
        <v>3621</v>
      </c>
    </row>
    <row r="554" spans="1:16">
      <c r="A554" s="6" t="s">
        <v>31</v>
      </c>
      <c r="B554" s="7">
        <v>521851</v>
      </c>
      <c r="C554" s="7">
        <v>522570</v>
      </c>
      <c r="D554" s="8"/>
      <c r="E554" s="7" t="s">
        <v>53</v>
      </c>
      <c r="F554" s="7" t="s">
        <v>3622</v>
      </c>
      <c r="G554" s="7" t="s">
        <v>3623</v>
      </c>
      <c r="H554" s="8"/>
      <c r="I554" s="7" t="s">
        <v>55</v>
      </c>
      <c r="J554" s="8"/>
      <c r="K554" s="8"/>
      <c r="L554" s="7" t="s">
        <v>3624</v>
      </c>
      <c r="M554" s="7" t="s">
        <v>3622</v>
      </c>
      <c r="N554" s="7">
        <v>239</v>
      </c>
      <c r="O554" s="7" t="s">
        <v>3625</v>
      </c>
      <c r="P554" s="7"/>
    </row>
    <row r="555" spans="1:16">
      <c r="A555" s="6" t="s">
        <v>31</v>
      </c>
      <c r="B555" s="7">
        <v>522806</v>
      </c>
      <c r="C555" s="7">
        <v>523951</v>
      </c>
      <c r="D555" s="8"/>
      <c r="E555" s="7" t="s">
        <v>53</v>
      </c>
      <c r="F555" s="7" t="s">
        <v>3626</v>
      </c>
      <c r="G555" s="7" t="s">
        <v>3627</v>
      </c>
      <c r="H555" s="8"/>
      <c r="I555" s="7" t="s">
        <v>55</v>
      </c>
      <c r="J555" s="8"/>
      <c r="K555" s="8"/>
      <c r="L555" s="7" t="s">
        <v>3628</v>
      </c>
      <c r="M555" s="7" t="s">
        <v>3626</v>
      </c>
      <c r="N555" s="7">
        <v>381</v>
      </c>
      <c r="O555" s="7" t="s">
        <v>3629</v>
      </c>
      <c r="P555" s="7"/>
    </row>
    <row r="556" spans="1:16">
      <c r="A556" s="6" t="s">
        <v>31</v>
      </c>
      <c r="B556" s="7">
        <v>525492</v>
      </c>
      <c r="C556" s="7">
        <v>526808</v>
      </c>
      <c r="D556" s="8"/>
      <c r="E556" s="7" t="s">
        <v>53</v>
      </c>
      <c r="F556" s="7" t="s">
        <v>3630</v>
      </c>
      <c r="G556" s="7" t="s">
        <v>3631</v>
      </c>
      <c r="H556" s="8"/>
      <c r="I556" s="7" t="s">
        <v>55</v>
      </c>
      <c r="J556" s="8"/>
      <c r="K556" s="8"/>
      <c r="L556" s="7" t="s">
        <v>3632</v>
      </c>
      <c r="M556" s="7" t="s">
        <v>3630</v>
      </c>
      <c r="N556" s="7">
        <v>438</v>
      </c>
      <c r="O556" s="7" t="s">
        <v>3633</v>
      </c>
    </row>
    <row r="557" spans="1:16">
      <c r="A557" s="6" t="s">
        <v>31</v>
      </c>
      <c r="B557" s="7">
        <v>527027</v>
      </c>
      <c r="C557" s="7">
        <v>527590</v>
      </c>
      <c r="D557" s="8"/>
      <c r="E557" s="7" t="s">
        <v>75</v>
      </c>
      <c r="F557" s="7" t="s">
        <v>2130</v>
      </c>
      <c r="G557" s="8"/>
      <c r="H557" s="8"/>
      <c r="I557" s="7" t="s">
        <v>55</v>
      </c>
      <c r="J557" s="8"/>
      <c r="K557" s="8"/>
      <c r="L557" s="7" t="s">
        <v>3634</v>
      </c>
      <c r="M557" s="7" t="s">
        <v>2130</v>
      </c>
      <c r="N557" s="7">
        <v>187</v>
      </c>
      <c r="O557" s="7" t="s">
        <v>3635</v>
      </c>
    </row>
    <row r="558" spans="1:16">
      <c r="A558" s="6" t="s">
        <v>31</v>
      </c>
      <c r="B558" s="7">
        <v>527853</v>
      </c>
      <c r="C558" s="7">
        <v>528731</v>
      </c>
      <c r="D558" s="8"/>
      <c r="E558" s="7" t="s">
        <v>53</v>
      </c>
      <c r="F558" s="7" t="s">
        <v>3636</v>
      </c>
      <c r="G558" s="8"/>
      <c r="H558" s="8"/>
      <c r="I558" s="7" t="s">
        <v>55</v>
      </c>
      <c r="J558" s="8"/>
      <c r="K558" s="8"/>
      <c r="L558" s="7" t="s">
        <v>3637</v>
      </c>
      <c r="M558" s="7" t="s">
        <v>3636</v>
      </c>
      <c r="N558" s="7">
        <v>292</v>
      </c>
      <c r="O558" s="7" t="s">
        <v>3638</v>
      </c>
      <c r="P558" s="7"/>
    </row>
    <row r="559" spans="1:16">
      <c r="A559" s="6" t="s">
        <v>31</v>
      </c>
      <c r="B559" s="7">
        <v>528713</v>
      </c>
      <c r="C559" s="7">
        <v>529657</v>
      </c>
      <c r="D559" s="8"/>
      <c r="E559" s="7" t="s">
        <v>53</v>
      </c>
      <c r="F559" s="7" t="s">
        <v>3639</v>
      </c>
      <c r="G559" s="8"/>
      <c r="H559" s="8"/>
      <c r="I559" s="7" t="s">
        <v>55</v>
      </c>
      <c r="J559" s="8"/>
      <c r="K559" s="8"/>
      <c r="L559" s="7" t="s">
        <v>3640</v>
      </c>
      <c r="M559" s="7" t="s">
        <v>3639</v>
      </c>
      <c r="N559" s="7">
        <v>314</v>
      </c>
      <c r="O559" s="7" t="s">
        <v>3641</v>
      </c>
      <c r="P559" s="7"/>
    </row>
    <row r="560" spans="1:16">
      <c r="A560" s="6" t="s">
        <v>31</v>
      </c>
      <c r="B560" s="7">
        <v>529650</v>
      </c>
      <c r="C560" s="7">
        <v>530645</v>
      </c>
      <c r="D560" s="8"/>
      <c r="E560" s="7" t="s">
        <v>53</v>
      </c>
      <c r="F560" s="7" t="s">
        <v>3642</v>
      </c>
      <c r="G560" s="8"/>
      <c r="H560" s="8"/>
      <c r="I560" s="7" t="s">
        <v>55</v>
      </c>
      <c r="J560" s="8"/>
      <c r="K560" s="8"/>
      <c r="L560" s="7" t="s">
        <v>3643</v>
      </c>
      <c r="M560" s="7" t="s">
        <v>3642</v>
      </c>
      <c r="N560" s="7">
        <v>331</v>
      </c>
      <c r="O560" s="7" t="s">
        <v>3644</v>
      </c>
      <c r="P560" s="7"/>
    </row>
    <row r="561" spans="1:17">
      <c r="A561" s="6" t="s">
        <v>31</v>
      </c>
      <c r="B561" s="7">
        <v>530695</v>
      </c>
      <c r="C561" s="7">
        <v>531702</v>
      </c>
      <c r="D561" s="8"/>
      <c r="E561" s="7" t="s">
        <v>53</v>
      </c>
      <c r="F561" s="7" t="s">
        <v>3645</v>
      </c>
      <c r="G561" s="7" t="s">
        <v>622</v>
      </c>
      <c r="H561" s="8"/>
      <c r="I561" s="7" t="s">
        <v>55</v>
      </c>
      <c r="J561" s="8"/>
      <c r="K561" s="8"/>
      <c r="L561" s="7" t="s">
        <v>3646</v>
      </c>
      <c r="M561" s="7" t="s">
        <v>3645</v>
      </c>
      <c r="N561" s="7">
        <v>335</v>
      </c>
      <c r="O561" s="7" t="s">
        <v>3647</v>
      </c>
      <c r="P561" s="7"/>
    </row>
    <row r="562" spans="1:17">
      <c r="A562" s="6" t="s">
        <v>31</v>
      </c>
      <c r="B562" s="7">
        <v>531748</v>
      </c>
      <c r="C562" s="7">
        <v>531876</v>
      </c>
      <c r="D562" s="8"/>
      <c r="E562" s="7" t="s">
        <v>53</v>
      </c>
      <c r="F562" s="7" t="s">
        <v>2130</v>
      </c>
      <c r="G562" s="8"/>
      <c r="H562" s="8"/>
      <c r="I562" s="7" t="s">
        <v>55</v>
      </c>
      <c r="J562" s="8"/>
      <c r="K562" s="8"/>
      <c r="L562" s="7" t="s">
        <v>3648</v>
      </c>
      <c r="M562" s="7" t="s">
        <v>2130</v>
      </c>
      <c r="N562" s="7">
        <v>42</v>
      </c>
      <c r="O562" s="7" t="s">
        <v>3649</v>
      </c>
    </row>
    <row r="563" spans="1:17">
      <c r="A563" s="6" t="s">
        <v>31</v>
      </c>
      <c r="B563" s="7">
        <v>532251</v>
      </c>
      <c r="C563" s="7">
        <v>533633</v>
      </c>
      <c r="D563" s="8"/>
      <c r="E563" s="7" t="s">
        <v>53</v>
      </c>
      <c r="F563" s="7" t="s">
        <v>3650</v>
      </c>
      <c r="G563" s="7" t="s">
        <v>624</v>
      </c>
      <c r="H563" s="8"/>
      <c r="I563" s="7" t="s">
        <v>55</v>
      </c>
      <c r="J563" s="8"/>
      <c r="K563" s="8"/>
      <c r="L563" s="7" t="s">
        <v>3651</v>
      </c>
      <c r="M563" s="7" t="s">
        <v>3650</v>
      </c>
      <c r="N563" s="7">
        <v>460</v>
      </c>
      <c r="O563" s="7" t="s">
        <v>3652</v>
      </c>
      <c r="P563" s="7"/>
      <c r="Q563" s="7"/>
    </row>
    <row r="564" spans="1:17">
      <c r="A564" s="6" t="s">
        <v>31</v>
      </c>
      <c r="B564" s="7">
        <v>533709</v>
      </c>
      <c r="C564" s="7">
        <v>534257</v>
      </c>
      <c r="D564" s="8"/>
      <c r="E564" s="7" t="s">
        <v>53</v>
      </c>
      <c r="F564" s="7" t="s">
        <v>3653</v>
      </c>
      <c r="G564" s="7" t="s">
        <v>3654</v>
      </c>
      <c r="H564" s="8"/>
      <c r="I564" s="7" t="s">
        <v>55</v>
      </c>
      <c r="J564" s="8"/>
      <c r="K564" s="8"/>
      <c r="L564" s="7" t="s">
        <v>3655</v>
      </c>
      <c r="M564" s="7" t="s">
        <v>3653</v>
      </c>
      <c r="N564" s="7">
        <v>182</v>
      </c>
      <c r="O564" s="7" t="s">
        <v>3656</v>
      </c>
      <c r="P564" s="7"/>
      <c r="Q564" s="7"/>
    </row>
    <row r="565" spans="1:17">
      <c r="A565" s="6" t="s">
        <v>31</v>
      </c>
      <c r="B565" s="7">
        <v>534261</v>
      </c>
      <c r="C565" s="7">
        <v>534521</v>
      </c>
      <c r="D565" s="8"/>
      <c r="E565" s="7" t="s">
        <v>53</v>
      </c>
      <c r="F565" s="7" t="s">
        <v>3657</v>
      </c>
      <c r="G565" s="8"/>
      <c r="H565" s="8"/>
      <c r="I565" s="7" t="s">
        <v>55</v>
      </c>
      <c r="J565" s="8"/>
      <c r="K565" s="8"/>
      <c r="L565" s="7" t="s">
        <v>3658</v>
      </c>
      <c r="M565" s="7" t="s">
        <v>3657</v>
      </c>
      <c r="N565" s="7">
        <v>86</v>
      </c>
      <c r="O565" s="7" t="s">
        <v>3659</v>
      </c>
    </row>
    <row r="566" spans="1:17">
      <c r="A566" s="6" t="s">
        <v>31</v>
      </c>
      <c r="B566" s="7">
        <v>534589</v>
      </c>
      <c r="C566" s="7">
        <v>535281</v>
      </c>
      <c r="D566" s="8"/>
      <c r="E566" s="7" t="s">
        <v>53</v>
      </c>
      <c r="F566" s="7" t="s">
        <v>3660</v>
      </c>
      <c r="G566" s="7" t="s">
        <v>3661</v>
      </c>
      <c r="H566" s="8"/>
      <c r="I566" s="7" t="s">
        <v>55</v>
      </c>
      <c r="J566" s="8"/>
      <c r="K566" s="8"/>
      <c r="L566" s="7" t="s">
        <v>3662</v>
      </c>
      <c r="M566" s="7" t="s">
        <v>3660</v>
      </c>
      <c r="N566" s="7">
        <v>230</v>
      </c>
      <c r="O566" s="7" t="s">
        <v>3663</v>
      </c>
      <c r="P566" s="7"/>
    </row>
    <row r="567" spans="1:17">
      <c r="A567" s="6" t="s">
        <v>31</v>
      </c>
      <c r="B567" s="7">
        <v>535777</v>
      </c>
      <c r="C567" s="7">
        <v>535929</v>
      </c>
      <c r="D567" s="8"/>
      <c r="E567" s="7" t="s">
        <v>53</v>
      </c>
      <c r="F567" s="7" t="s">
        <v>2130</v>
      </c>
      <c r="G567" s="8"/>
      <c r="H567" s="8"/>
      <c r="I567" s="7" t="s">
        <v>55</v>
      </c>
      <c r="J567" s="8"/>
      <c r="K567" s="8"/>
      <c r="L567" s="7" t="s">
        <v>3664</v>
      </c>
      <c r="M567" s="7" t="s">
        <v>2130</v>
      </c>
      <c r="N567" s="7">
        <v>50</v>
      </c>
      <c r="O567" s="7" t="s">
        <v>3665</v>
      </c>
    </row>
    <row r="568" spans="1:17">
      <c r="A568" s="6" t="s">
        <v>31</v>
      </c>
      <c r="B568" s="7">
        <v>536200</v>
      </c>
      <c r="C568" s="7">
        <v>536670</v>
      </c>
      <c r="D568" s="8"/>
      <c r="E568" s="7" t="s">
        <v>53</v>
      </c>
      <c r="F568" s="7" t="s">
        <v>2130</v>
      </c>
      <c r="G568" s="8"/>
      <c r="H568" s="8"/>
      <c r="I568" s="7" t="s">
        <v>55</v>
      </c>
      <c r="J568" s="8"/>
      <c r="K568" s="8"/>
      <c r="L568" s="7" t="s">
        <v>3666</v>
      </c>
      <c r="M568" s="7" t="s">
        <v>2130</v>
      </c>
      <c r="N568" s="7">
        <v>156</v>
      </c>
      <c r="O568" s="7" t="s">
        <v>3667</v>
      </c>
    </row>
    <row r="569" spans="1:17">
      <c r="A569" s="6" t="s">
        <v>31</v>
      </c>
      <c r="B569" s="7">
        <v>536630</v>
      </c>
      <c r="C569" s="7">
        <v>536800</v>
      </c>
      <c r="D569" s="8"/>
      <c r="E569" s="7" t="s">
        <v>53</v>
      </c>
      <c r="F569" s="7" t="s">
        <v>2095</v>
      </c>
      <c r="G569" s="8"/>
      <c r="H569" s="8"/>
      <c r="I569" s="7" t="s">
        <v>55</v>
      </c>
      <c r="J569" s="8"/>
      <c r="K569" s="8"/>
      <c r="L569" s="7" t="s">
        <v>3668</v>
      </c>
      <c r="M569" s="7" t="s">
        <v>2095</v>
      </c>
      <c r="N569" s="7">
        <v>56</v>
      </c>
      <c r="O569" s="7" t="s">
        <v>3669</v>
      </c>
    </row>
    <row r="570" spans="1:17">
      <c r="A570" s="6" t="s">
        <v>31</v>
      </c>
      <c r="B570" s="7">
        <v>536801</v>
      </c>
      <c r="C570" s="7">
        <v>537091</v>
      </c>
      <c r="D570" s="8"/>
      <c r="E570" s="7" t="s">
        <v>53</v>
      </c>
      <c r="F570" s="7" t="s">
        <v>2130</v>
      </c>
      <c r="G570" s="8"/>
      <c r="H570" s="8"/>
      <c r="I570" s="7" t="s">
        <v>55</v>
      </c>
      <c r="J570" s="8"/>
      <c r="K570" s="8"/>
      <c r="L570" s="7" t="s">
        <v>3670</v>
      </c>
      <c r="M570" s="7" t="s">
        <v>2130</v>
      </c>
      <c r="N570" s="7">
        <v>96</v>
      </c>
      <c r="O570" s="7" t="s">
        <v>3671</v>
      </c>
    </row>
    <row r="571" spans="1:17">
      <c r="A571" s="6" t="s">
        <v>31</v>
      </c>
      <c r="B571" s="7">
        <v>537216</v>
      </c>
      <c r="C571" s="7">
        <v>538220</v>
      </c>
      <c r="D571" s="8"/>
      <c r="E571" s="7" t="s">
        <v>53</v>
      </c>
      <c r="F571" s="7" t="s">
        <v>3672</v>
      </c>
      <c r="G571" s="7" t="s">
        <v>3673</v>
      </c>
      <c r="H571" s="8"/>
      <c r="I571" s="7" t="s">
        <v>55</v>
      </c>
      <c r="J571" s="8"/>
      <c r="K571" s="8"/>
      <c r="L571" s="7" t="s">
        <v>3674</v>
      </c>
      <c r="M571" s="7" t="s">
        <v>3672</v>
      </c>
      <c r="N571" s="7">
        <v>334</v>
      </c>
      <c r="O571" s="7" t="s">
        <v>3675</v>
      </c>
      <c r="P571" s="7"/>
      <c r="Q571" s="7"/>
    </row>
    <row r="572" spans="1:17">
      <c r="A572" s="6" t="s">
        <v>31</v>
      </c>
      <c r="B572" s="7">
        <v>538221</v>
      </c>
      <c r="C572" s="7">
        <v>539543</v>
      </c>
      <c r="D572" s="8"/>
      <c r="E572" s="7" t="s">
        <v>53</v>
      </c>
      <c r="F572" s="7" t="s">
        <v>3676</v>
      </c>
      <c r="G572" s="8"/>
      <c r="H572" s="8"/>
      <c r="I572" s="7" t="s">
        <v>55</v>
      </c>
      <c r="J572" s="8"/>
      <c r="K572" s="8"/>
      <c r="L572" s="7" t="s">
        <v>3677</v>
      </c>
      <c r="M572" s="7" t="s">
        <v>3676</v>
      </c>
      <c r="N572" s="7">
        <v>440</v>
      </c>
      <c r="O572" s="7" t="s">
        <v>3678</v>
      </c>
      <c r="P572" s="7"/>
    </row>
    <row r="573" spans="1:17">
      <c r="A573" s="6" t="s">
        <v>31</v>
      </c>
      <c r="B573" s="7">
        <v>539875</v>
      </c>
      <c r="C573" s="7">
        <v>540102</v>
      </c>
      <c r="D573" s="8"/>
      <c r="E573" s="7" t="s">
        <v>53</v>
      </c>
      <c r="F573" s="7" t="s">
        <v>2095</v>
      </c>
      <c r="G573" s="8"/>
      <c r="H573" s="8"/>
      <c r="I573" s="7" t="s">
        <v>55</v>
      </c>
      <c r="J573" s="8"/>
      <c r="K573" s="8"/>
      <c r="L573" s="7" t="s">
        <v>3679</v>
      </c>
      <c r="M573" s="7" t="s">
        <v>2095</v>
      </c>
      <c r="N573" s="7">
        <v>75</v>
      </c>
      <c r="O573" s="7" t="s">
        <v>3680</v>
      </c>
    </row>
    <row r="574" spans="1:17">
      <c r="A574" s="6" t="s">
        <v>31</v>
      </c>
      <c r="B574" s="7">
        <v>540256</v>
      </c>
      <c r="C574" s="7">
        <v>542202</v>
      </c>
      <c r="D574" s="8"/>
      <c r="E574" s="7" t="s">
        <v>53</v>
      </c>
      <c r="F574" s="7" t="s">
        <v>3681</v>
      </c>
      <c r="G574" s="7" t="s">
        <v>633</v>
      </c>
      <c r="H574" s="8"/>
      <c r="I574" s="7" t="s">
        <v>55</v>
      </c>
      <c r="J574" s="8"/>
      <c r="K574" s="8"/>
      <c r="L574" s="7" t="s">
        <v>3682</v>
      </c>
      <c r="M574" s="7" t="s">
        <v>3681</v>
      </c>
      <c r="N574" s="7">
        <v>648</v>
      </c>
      <c r="O574" s="7" t="s">
        <v>3683</v>
      </c>
      <c r="P574" s="7"/>
    </row>
    <row r="575" spans="1:17">
      <c r="A575" s="6" t="s">
        <v>31</v>
      </c>
      <c r="B575" s="7">
        <v>542252</v>
      </c>
      <c r="C575" s="7">
        <v>543193</v>
      </c>
      <c r="D575" s="8"/>
      <c r="E575" s="7" t="s">
        <v>53</v>
      </c>
      <c r="F575" s="7" t="s">
        <v>2130</v>
      </c>
      <c r="G575" s="8"/>
      <c r="H575" s="8"/>
      <c r="I575" s="7" t="s">
        <v>55</v>
      </c>
      <c r="J575" s="8"/>
      <c r="K575" s="8"/>
      <c r="L575" s="7" t="s">
        <v>3684</v>
      </c>
      <c r="M575" s="7" t="s">
        <v>2130</v>
      </c>
      <c r="N575" s="7">
        <v>313</v>
      </c>
      <c r="O575" s="7" t="s">
        <v>3685</v>
      </c>
    </row>
    <row r="576" spans="1:17">
      <c r="A576" s="6" t="s">
        <v>31</v>
      </c>
      <c r="B576" s="7">
        <v>543213</v>
      </c>
      <c r="C576" s="7">
        <v>544079</v>
      </c>
      <c r="D576" s="8"/>
      <c r="E576" s="7" t="s">
        <v>53</v>
      </c>
      <c r="F576" s="7" t="s">
        <v>2130</v>
      </c>
      <c r="G576" s="8"/>
      <c r="H576" s="8"/>
      <c r="I576" s="7" t="s">
        <v>55</v>
      </c>
      <c r="J576" s="8"/>
      <c r="K576" s="8"/>
      <c r="L576" s="7" t="s">
        <v>3686</v>
      </c>
      <c r="M576" s="7" t="s">
        <v>2130</v>
      </c>
      <c r="N576" s="7">
        <v>288</v>
      </c>
      <c r="O576" s="7" t="s">
        <v>3687</v>
      </c>
    </row>
    <row r="577" spans="1:16">
      <c r="A577" s="6" t="s">
        <v>31</v>
      </c>
      <c r="B577" s="7">
        <v>544091</v>
      </c>
      <c r="C577" s="7">
        <v>544273</v>
      </c>
      <c r="D577" s="8"/>
      <c r="E577" s="7" t="s">
        <v>53</v>
      </c>
      <c r="F577" s="7" t="s">
        <v>2130</v>
      </c>
      <c r="G577" s="8"/>
      <c r="H577" s="8"/>
      <c r="I577" s="7" t="s">
        <v>55</v>
      </c>
      <c r="J577" s="8"/>
      <c r="K577" s="8"/>
      <c r="L577" s="7" t="s">
        <v>3688</v>
      </c>
      <c r="M577" s="7" t="s">
        <v>2130</v>
      </c>
      <c r="N577" s="7">
        <v>60</v>
      </c>
      <c r="O577" s="7" t="s">
        <v>3689</v>
      </c>
    </row>
    <row r="578" spans="1:16">
      <c r="A578" s="6" t="s">
        <v>31</v>
      </c>
      <c r="B578" s="7">
        <v>544586</v>
      </c>
      <c r="C578" s="7">
        <v>545263</v>
      </c>
      <c r="D578" s="8"/>
      <c r="E578" s="7" t="s">
        <v>75</v>
      </c>
      <c r="F578" s="7" t="s">
        <v>3690</v>
      </c>
      <c r="G578" s="8"/>
      <c r="H578" s="8"/>
      <c r="I578" s="7" t="s">
        <v>55</v>
      </c>
      <c r="J578" s="8"/>
      <c r="K578" s="8"/>
      <c r="L578" s="7" t="s">
        <v>3691</v>
      </c>
      <c r="M578" s="7" t="s">
        <v>3690</v>
      </c>
      <c r="N578" s="7">
        <v>225</v>
      </c>
      <c r="O578" s="7" t="s">
        <v>3692</v>
      </c>
    </row>
    <row r="579" spans="1:16">
      <c r="A579" s="6" t="s">
        <v>31</v>
      </c>
      <c r="B579" s="7">
        <v>545256</v>
      </c>
      <c r="C579" s="7">
        <v>545375</v>
      </c>
      <c r="D579" s="8"/>
      <c r="E579" s="7" t="s">
        <v>75</v>
      </c>
      <c r="F579" s="7" t="s">
        <v>2095</v>
      </c>
      <c r="G579" s="8"/>
      <c r="H579" s="8"/>
      <c r="I579" s="7" t="s">
        <v>55</v>
      </c>
      <c r="J579" s="8"/>
      <c r="K579" s="8"/>
      <c r="L579" s="7" t="s">
        <v>3693</v>
      </c>
      <c r="M579" s="7" t="s">
        <v>2095</v>
      </c>
      <c r="N579" s="7">
        <v>39</v>
      </c>
      <c r="O579" s="7" t="s">
        <v>3694</v>
      </c>
    </row>
    <row r="580" spans="1:16">
      <c r="A580" s="6" t="s">
        <v>31</v>
      </c>
      <c r="B580" s="7">
        <v>545881</v>
      </c>
      <c r="C580" s="7">
        <v>547152</v>
      </c>
      <c r="D580" s="8"/>
      <c r="E580" s="7" t="s">
        <v>75</v>
      </c>
      <c r="F580" s="7" t="s">
        <v>3695</v>
      </c>
      <c r="G580" s="7" t="s">
        <v>3696</v>
      </c>
      <c r="H580" s="8"/>
      <c r="I580" s="7" t="s">
        <v>55</v>
      </c>
      <c r="J580" s="8"/>
      <c r="K580" s="8"/>
      <c r="L580" s="7" t="s">
        <v>3697</v>
      </c>
      <c r="M580" s="7" t="s">
        <v>3695</v>
      </c>
      <c r="N580" s="7">
        <v>423</v>
      </c>
      <c r="O580" s="7" t="s">
        <v>3698</v>
      </c>
      <c r="P580" s="7"/>
    </row>
    <row r="581" spans="1:16">
      <c r="A581" s="6" t="s">
        <v>31</v>
      </c>
      <c r="B581" s="7">
        <v>547145</v>
      </c>
      <c r="C581" s="7">
        <v>548320</v>
      </c>
      <c r="D581" s="8"/>
      <c r="E581" s="7" t="s">
        <v>75</v>
      </c>
      <c r="F581" s="7" t="s">
        <v>3699</v>
      </c>
      <c r="G581" s="7" t="s">
        <v>3700</v>
      </c>
      <c r="H581" s="8"/>
      <c r="I581" s="7" t="s">
        <v>55</v>
      </c>
      <c r="J581" s="8"/>
      <c r="K581" s="8"/>
      <c r="L581" s="7" t="s">
        <v>3701</v>
      </c>
      <c r="M581" s="7" t="s">
        <v>3699</v>
      </c>
      <c r="N581" s="7">
        <v>391</v>
      </c>
      <c r="O581" s="7" t="s">
        <v>3702</v>
      </c>
      <c r="P581" s="7"/>
    </row>
    <row r="582" spans="1:16">
      <c r="A582" s="6" t="s">
        <v>31</v>
      </c>
      <c r="B582" s="7">
        <v>548642</v>
      </c>
      <c r="C582" s="7">
        <v>549502</v>
      </c>
      <c r="D582" s="8"/>
      <c r="E582" s="7" t="s">
        <v>53</v>
      </c>
      <c r="F582" s="7" t="s">
        <v>3703</v>
      </c>
      <c r="G582" s="7" t="s">
        <v>3704</v>
      </c>
      <c r="H582" s="8"/>
      <c r="I582" s="7" t="s">
        <v>55</v>
      </c>
      <c r="J582" s="8"/>
      <c r="K582" s="8"/>
      <c r="L582" s="7" t="s">
        <v>3705</v>
      </c>
      <c r="M582" s="7" t="s">
        <v>3703</v>
      </c>
      <c r="N582" s="7">
        <v>286</v>
      </c>
      <c r="O582" s="7" t="s">
        <v>3706</v>
      </c>
      <c r="P582" s="7"/>
    </row>
    <row r="583" spans="1:16">
      <c r="A583" s="6" t="s">
        <v>31</v>
      </c>
      <c r="B583" s="7">
        <v>549610</v>
      </c>
      <c r="C583" s="7">
        <v>550113</v>
      </c>
      <c r="D583" s="8"/>
      <c r="E583" s="7" t="s">
        <v>53</v>
      </c>
      <c r="F583" s="7" t="s">
        <v>3707</v>
      </c>
      <c r="G583" s="7" t="s">
        <v>3708</v>
      </c>
      <c r="H583" s="8"/>
      <c r="I583" s="7" t="s">
        <v>55</v>
      </c>
      <c r="J583" s="8"/>
      <c r="K583" s="8"/>
      <c r="L583" s="7" t="s">
        <v>3709</v>
      </c>
      <c r="M583" s="7" t="s">
        <v>3707</v>
      </c>
      <c r="N583" s="7">
        <v>167</v>
      </c>
      <c r="O583" s="7" t="s">
        <v>3710</v>
      </c>
      <c r="P583" s="7"/>
    </row>
    <row r="584" spans="1:16">
      <c r="A584" s="6" t="s">
        <v>31</v>
      </c>
      <c r="B584" s="7">
        <v>550118</v>
      </c>
      <c r="C584" s="7">
        <v>550288</v>
      </c>
      <c r="D584" s="8"/>
      <c r="E584" s="7" t="s">
        <v>53</v>
      </c>
      <c r="F584" s="7" t="s">
        <v>2130</v>
      </c>
      <c r="G584" s="8"/>
      <c r="H584" s="8"/>
      <c r="I584" s="7" t="s">
        <v>55</v>
      </c>
      <c r="J584" s="8"/>
      <c r="K584" s="8"/>
      <c r="L584" s="7" t="s">
        <v>3711</v>
      </c>
      <c r="M584" s="7" t="s">
        <v>2130</v>
      </c>
      <c r="N584" s="7">
        <v>56</v>
      </c>
      <c r="O584" s="7" t="s">
        <v>3712</v>
      </c>
    </row>
    <row r="585" spans="1:16">
      <c r="A585" s="6" t="s">
        <v>31</v>
      </c>
      <c r="B585" s="7">
        <v>550306</v>
      </c>
      <c r="C585" s="7">
        <v>551532</v>
      </c>
      <c r="D585" s="8"/>
      <c r="E585" s="7" t="s">
        <v>53</v>
      </c>
      <c r="F585" s="7" t="s">
        <v>3713</v>
      </c>
      <c r="G585" s="7" t="s">
        <v>644</v>
      </c>
      <c r="H585" s="8"/>
      <c r="I585" s="7" t="s">
        <v>55</v>
      </c>
      <c r="J585" s="8"/>
      <c r="K585" s="8"/>
      <c r="L585" s="7" t="s">
        <v>3714</v>
      </c>
      <c r="M585" s="7" t="s">
        <v>3713</v>
      </c>
      <c r="N585" s="7">
        <v>408</v>
      </c>
      <c r="O585" s="7" t="s">
        <v>3715</v>
      </c>
    </row>
    <row r="586" spans="1:16">
      <c r="A586" s="6" t="s">
        <v>31</v>
      </c>
      <c r="B586" s="7">
        <v>551542</v>
      </c>
      <c r="C586" s="7">
        <v>552141</v>
      </c>
      <c r="D586" s="8"/>
      <c r="E586" s="7" t="s">
        <v>53</v>
      </c>
      <c r="F586" s="7" t="s">
        <v>3716</v>
      </c>
      <c r="G586" s="7" t="s">
        <v>3717</v>
      </c>
      <c r="H586" s="8"/>
      <c r="I586" s="7" t="s">
        <v>55</v>
      </c>
      <c r="J586" s="8"/>
      <c r="K586" s="8"/>
      <c r="L586" s="7" t="s">
        <v>3718</v>
      </c>
      <c r="M586" s="7" t="s">
        <v>3716</v>
      </c>
      <c r="N586" s="7">
        <v>199</v>
      </c>
      <c r="O586" s="7" t="s">
        <v>3719</v>
      </c>
    </row>
    <row r="587" spans="1:16">
      <c r="A587" s="6" t="s">
        <v>31</v>
      </c>
      <c r="B587" s="7">
        <v>552271</v>
      </c>
      <c r="C587" s="7">
        <v>553647</v>
      </c>
      <c r="D587" s="8"/>
      <c r="E587" s="7" t="s">
        <v>53</v>
      </c>
      <c r="F587" s="7" t="s">
        <v>3720</v>
      </c>
      <c r="G587" s="7" t="s">
        <v>3721</v>
      </c>
      <c r="H587" s="8"/>
      <c r="I587" s="7" t="s">
        <v>55</v>
      </c>
      <c r="J587" s="8"/>
      <c r="K587" s="8"/>
      <c r="L587" s="7" t="s">
        <v>3722</v>
      </c>
      <c r="M587" s="7" t="s">
        <v>3720</v>
      </c>
      <c r="N587" s="7">
        <v>458</v>
      </c>
      <c r="O587" s="7" t="s">
        <v>3723</v>
      </c>
    </row>
    <row r="588" spans="1:16">
      <c r="A588" s="6" t="s">
        <v>31</v>
      </c>
      <c r="B588" s="7">
        <v>553659</v>
      </c>
      <c r="C588" s="7">
        <v>554609</v>
      </c>
      <c r="D588" s="8"/>
      <c r="E588" s="7" t="s">
        <v>53</v>
      </c>
      <c r="F588" s="7" t="s">
        <v>3724</v>
      </c>
      <c r="G588" s="7" t="s">
        <v>3725</v>
      </c>
      <c r="H588" s="8"/>
      <c r="I588" s="7" t="s">
        <v>55</v>
      </c>
      <c r="J588" s="8"/>
      <c r="K588" s="8"/>
      <c r="L588" s="7" t="s">
        <v>3726</v>
      </c>
      <c r="M588" s="7" t="s">
        <v>3724</v>
      </c>
      <c r="N588" s="7">
        <v>316</v>
      </c>
      <c r="O588" s="7" t="s">
        <v>3727</v>
      </c>
      <c r="P588" s="7"/>
    </row>
    <row r="589" spans="1:16">
      <c r="A589" s="6" t="s">
        <v>31</v>
      </c>
      <c r="B589" s="7">
        <v>554722</v>
      </c>
      <c r="C589" s="7">
        <v>554976</v>
      </c>
      <c r="D589" s="8"/>
      <c r="E589" s="7" t="s">
        <v>53</v>
      </c>
      <c r="F589" s="7" t="s">
        <v>3728</v>
      </c>
      <c r="G589" s="8"/>
      <c r="H589" s="8"/>
      <c r="I589" s="7" t="s">
        <v>55</v>
      </c>
      <c r="J589" s="8"/>
      <c r="K589" s="8"/>
      <c r="L589" s="7" t="s">
        <v>3729</v>
      </c>
      <c r="M589" s="7" t="s">
        <v>3728</v>
      </c>
      <c r="N589" s="7">
        <v>84</v>
      </c>
      <c r="O589" s="7" t="s">
        <v>3730</v>
      </c>
    </row>
    <row r="590" spans="1:16">
      <c r="A590" s="6" t="s">
        <v>31</v>
      </c>
      <c r="B590" s="7">
        <v>555048</v>
      </c>
      <c r="C590" s="7">
        <v>555407</v>
      </c>
      <c r="D590" s="8"/>
      <c r="E590" s="7" t="s">
        <v>53</v>
      </c>
      <c r="F590" s="7" t="s">
        <v>2130</v>
      </c>
      <c r="G590" s="8"/>
      <c r="H590" s="8"/>
      <c r="I590" s="7" t="s">
        <v>55</v>
      </c>
      <c r="J590" s="8"/>
      <c r="K590" s="8"/>
      <c r="L590" s="7" t="s">
        <v>3731</v>
      </c>
      <c r="M590" s="7" t="s">
        <v>2130</v>
      </c>
      <c r="N590" s="7">
        <v>119</v>
      </c>
      <c r="O590" s="7" t="s">
        <v>3732</v>
      </c>
    </row>
    <row r="591" spans="1:16">
      <c r="A591" s="6" t="s">
        <v>31</v>
      </c>
      <c r="B591" s="7">
        <v>555521</v>
      </c>
      <c r="C591" s="7">
        <v>556162</v>
      </c>
      <c r="D591" s="8"/>
      <c r="E591" s="7" t="s">
        <v>75</v>
      </c>
      <c r="F591" s="7" t="s">
        <v>3733</v>
      </c>
      <c r="G591" s="7" t="s">
        <v>651</v>
      </c>
      <c r="H591" s="8"/>
      <c r="I591" s="7" t="s">
        <v>55</v>
      </c>
      <c r="J591" s="8"/>
      <c r="K591" s="8"/>
      <c r="L591" s="7" t="s">
        <v>3734</v>
      </c>
      <c r="M591" s="7" t="s">
        <v>3733</v>
      </c>
      <c r="N591" s="7">
        <v>213</v>
      </c>
      <c r="O591" s="7" t="s">
        <v>3735</v>
      </c>
    </row>
    <row r="592" spans="1:16">
      <c r="A592" s="6" t="s">
        <v>31</v>
      </c>
      <c r="B592" s="7">
        <v>556300</v>
      </c>
      <c r="C592" s="7">
        <v>558249</v>
      </c>
      <c r="D592" s="8"/>
      <c r="E592" s="7" t="s">
        <v>53</v>
      </c>
      <c r="F592" s="7" t="s">
        <v>3736</v>
      </c>
      <c r="G592" s="7" t="s">
        <v>653</v>
      </c>
      <c r="H592" s="8"/>
      <c r="I592" s="7" t="s">
        <v>55</v>
      </c>
      <c r="J592" s="8"/>
      <c r="K592" s="8"/>
      <c r="L592" s="7" t="s">
        <v>3737</v>
      </c>
      <c r="M592" s="7" t="s">
        <v>3736</v>
      </c>
      <c r="N592" s="7">
        <v>649</v>
      </c>
      <c r="O592" s="7" t="s">
        <v>3738</v>
      </c>
      <c r="P592" s="7"/>
    </row>
    <row r="593" spans="1:16">
      <c r="A593" s="6" t="s">
        <v>31</v>
      </c>
      <c r="B593" s="7">
        <v>558886</v>
      </c>
      <c r="C593" s="7">
        <v>561342</v>
      </c>
      <c r="D593" s="8"/>
      <c r="E593" s="7" t="s">
        <v>53</v>
      </c>
      <c r="F593" s="7" t="s">
        <v>3739</v>
      </c>
      <c r="G593" s="7" t="s">
        <v>655</v>
      </c>
      <c r="H593" s="8"/>
      <c r="I593" s="7" t="s">
        <v>55</v>
      </c>
      <c r="J593" s="8"/>
      <c r="K593" s="8"/>
      <c r="L593" s="7" t="s">
        <v>3740</v>
      </c>
      <c r="M593" s="7" t="s">
        <v>3739</v>
      </c>
      <c r="N593" s="7">
        <v>818</v>
      </c>
      <c r="O593" s="7" t="s">
        <v>3741</v>
      </c>
      <c r="P593" s="7"/>
    </row>
    <row r="594" spans="1:16">
      <c r="A594" s="6" t="s">
        <v>31</v>
      </c>
      <c r="B594" s="7">
        <v>561345</v>
      </c>
      <c r="C594" s="7">
        <v>561479</v>
      </c>
      <c r="D594" s="8"/>
      <c r="E594" s="7" t="s">
        <v>75</v>
      </c>
      <c r="F594" s="7" t="s">
        <v>2095</v>
      </c>
      <c r="G594" s="8"/>
      <c r="H594" s="8"/>
      <c r="I594" s="7" t="s">
        <v>55</v>
      </c>
      <c r="J594" s="8"/>
      <c r="K594" s="8"/>
      <c r="L594" s="7" t="s">
        <v>3742</v>
      </c>
      <c r="M594" s="7" t="s">
        <v>2095</v>
      </c>
      <c r="N594" s="7">
        <v>44</v>
      </c>
      <c r="O594" s="7" t="s">
        <v>3743</v>
      </c>
    </row>
    <row r="595" spans="1:16">
      <c r="A595" s="6" t="s">
        <v>31</v>
      </c>
      <c r="B595" s="7">
        <v>561506</v>
      </c>
      <c r="C595" s="7">
        <v>562528</v>
      </c>
      <c r="D595" s="8"/>
      <c r="E595" s="7" t="s">
        <v>53</v>
      </c>
      <c r="F595" s="7" t="s">
        <v>3744</v>
      </c>
      <c r="G595" s="7" t="s">
        <v>3745</v>
      </c>
      <c r="H595" s="8"/>
      <c r="I595" s="7" t="s">
        <v>55</v>
      </c>
      <c r="J595" s="8"/>
      <c r="K595" s="8"/>
      <c r="L595" s="7" t="s">
        <v>3746</v>
      </c>
      <c r="M595" s="7" t="s">
        <v>3744</v>
      </c>
      <c r="N595" s="7">
        <v>340</v>
      </c>
      <c r="O595" s="7" t="s">
        <v>3747</v>
      </c>
      <c r="P595" s="7"/>
    </row>
    <row r="596" spans="1:16">
      <c r="A596" s="6" t="s">
        <v>31</v>
      </c>
      <c r="B596" s="7">
        <v>562647</v>
      </c>
      <c r="C596" s="7">
        <v>562877</v>
      </c>
      <c r="D596" s="8"/>
      <c r="E596" s="7" t="s">
        <v>53</v>
      </c>
      <c r="F596" s="7" t="s">
        <v>2130</v>
      </c>
      <c r="G596" s="8"/>
      <c r="H596" s="8"/>
      <c r="I596" s="7" t="s">
        <v>55</v>
      </c>
      <c r="J596" s="8"/>
      <c r="K596" s="8"/>
      <c r="L596" s="7" t="s">
        <v>3748</v>
      </c>
      <c r="M596" s="7" t="s">
        <v>2130</v>
      </c>
      <c r="N596" s="7">
        <v>76</v>
      </c>
      <c r="O596" s="7" t="s">
        <v>3749</v>
      </c>
    </row>
    <row r="597" spans="1:16">
      <c r="A597" s="6" t="s">
        <v>31</v>
      </c>
      <c r="B597" s="7">
        <v>563279</v>
      </c>
      <c r="C597" s="7">
        <v>564481</v>
      </c>
      <c r="D597" s="8"/>
      <c r="E597" s="7" t="s">
        <v>53</v>
      </c>
      <c r="F597" s="7" t="s">
        <v>3750</v>
      </c>
      <c r="G597" s="7" t="s">
        <v>658</v>
      </c>
      <c r="H597" s="8"/>
      <c r="I597" s="7" t="s">
        <v>55</v>
      </c>
      <c r="J597" s="8"/>
      <c r="K597" s="8"/>
      <c r="L597" s="7" t="s">
        <v>3751</v>
      </c>
      <c r="M597" s="7" t="s">
        <v>3750</v>
      </c>
      <c r="N597" s="7">
        <v>400</v>
      </c>
      <c r="O597" s="7" t="s">
        <v>3752</v>
      </c>
    </row>
    <row r="598" spans="1:16">
      <c r="A598" s="6" t="s">
        <v>31</v>
      </c>
      <c r="B598" s="7">
        <v>565309</v>
      </c>
      <c r="C598" s="7">
        <v>565545</v>
      </c>
      <c r="D598" s="8"/>
      <c r="E598" s="7" t="s">
        <v>53</v>
      </c>
      <c r="F598" s="7" t="s">
        <v>2078</v>
      </c>
      <c r="G598" s="8"/>
      <c r="H598" s="8"/>
      <c r="I598" s="7" t="s">
        <v>55</v>
      </c>
      <c r="J598" s="8"/>
      <c r="K598" s="8"/>
      <c r="L598" s="7" t="s">
        <v>3753</v>
      </c>
      <c r="M598" s="7" t="s">
        <v>2078</v>
      </c>
      <c r="N598" s="7">
        <v>78</v>
      </c>
      <c r="O598" s="7" t="s">
        <v>3754</v>
      </c>
    </row>
    <row r="599" spans="1:16">
      <c r="A599" s="6" t="s">
        <v>31</v>
      </c>
      <c r="B599" s="7">
        <v>565709</v>
      </c>
      <c r="C599" s="7">
        <v>565930</v>
      </c>
      <c r="D599" s="8"/>
      <c r="E599" s="7" t="s">
        <v>53</v>
      </c>
      <c r="F599" s="7" t="s">
        <v>2130</v>
      </c>
      <c r="G599" s="8"/>
      <c r="H599" s="8"/>
      <c r="I599" s="7" t="s">
        <v>55</v>
      </c>
      <c r="J599" s="8"/>
      <c r="K599" s="8"/>
      <c r="L599" s="7" t="s">
        <v>3755</v>
      </c>
      <c r="M599" s="7" t="s">
        <v>2130</v>
      </c>
      <c r="N599" s="7">
        <v>73</v>
      </c>
      <c r="O599" s="7" t="s">
        <v>3756</v>
      </c>
    </row>
    <row r="600" spans="1:16">
      <c r="A600" s="6" t="s">
        <v>31</v>
      </c>
      <c r="B600" s="7">
        <v>566142</v>
      </c>
      <c r="C600" s="7">
        <v>566567</v>
      </c>
      <c r="D600" s="8"/>
      <c r="E600" s="7" t="s">
        <v>53</v>
      </c>
      <c r="F600" s="7" t="s">
        <v>2130</v>
      </c>
      <c r="G600" s="8"/>
      <c r="H600" s="8"/>
      <c r="I600" s="7" t="s">
        <v>55</v>
      </c>
      <c r="J600" s="8"/>
      <c r="K600" s="8"/>
      <c r="L600" s="7" t="s">
        <v>3757</v>
      </c>
      <c r="M600" s="7" t="s">
        <v>2130</v>
      </c>
      <c r="N600" s="7">
        <v>141</v>
      </c>
      <c r="O600" s="7" t="s">
        <v>3758</v>
      </c>
    </row>
    <row r="601" spans="1:16">
      <c r="A601" s="6" t="s">
        <v>31</v>
      </c>
      <c r="B601" s="7">
        <v>566663</v>
      </c>
      <c r="C601" s="7">
        <v>567898</v>
      </c>
      <c r="D601" s="8"/>
      <c r="E601" s="7" t="s">
        <v>53</v>
      </c>
      <c r="F601" s="7" t="s">
        <v>3759</v>
      </c>
      <c r="G601" s="8"/>
      <c r="H601" s="8"/>
      <c r="I601" s="7" t="s">
        <v>55</v>
      </c>
      <c r="J601" s="8"/>
      <c r="K601" s="8"/>
      <c r="L601" s="7" t="s">
        <v>3760</v>
      </c>
      <c r="M601" s="7" t="s">
        <v>3759</v>
      </c>
      <c r="N601" s="7">
        <v>411</v>
      </c>
      <c r="O601" s="7" t="s">
        <v>3761</v>
      </c>
    </row>
    <row r="602" spans="1:16">
      <c r="A602" s="6" t="s">
        <v>31</v>
      </c>
      <c r="B602" s="7">
        <v>567997</v>
      </c>
      <c r="C602" s="7">
        <v>568125</v>
      </c>
      <c r="D602" s="8"/>
      <c r="E602" s="7" t="s">
        <v>53</v>
      </c>
      <c r="F602" s="7" t="s">
        <v>3762</v>
      </c>
      <c r="G602" s="8"/>
      <c r="H602" s="8"/>
      <c r="I602" s="7" t="s">
        <v>55</v>
      </c>
      <c r="J602" s="8"/>
      <c r="K602" s="8"/>
      <c r="L602" s="7" t="s">
        <v>3763</v>
      </c>
      <c r="M602" s="7" t="s">
        <v>3762</v>
      </c>
      <c r="N602" s="7">
        <v>42</v>
      </c>
      <c r="O602" s="7" t="s">
        <v>3764</v>
      </c>
    </row>
    <row r="603" spans="1:16">
      <c r="A603" s="6" t="s">
        <v>31</v>
      </c>
      <c r="B603" s="7">
        <v>568173</v>
      </c>
      <c r="C603" s="7">
        <v>568331</v>
      </c>
      <c r="D603" s="8"/>
      <c r="E603" s="7" t="s">
        <v>53</v>
      </c>
      <c r="F603" s="7" t="s">
        <v>2095</v>
      </c>
      <c r="G603" s="8"/>
      <c r="H603" s="8"/>
      <c r="I603" s="7" t="s">
        <v>55</v>
      </c>
      <c r="J603" s="8"/>
      <c r="K603" s="8"/>
      <c r="L603" s="7" t="s">
        <v>3765</v>
      </c>
      <c r="M603" s="7" t="s">
        <v>2095</v>
      </c>
      <c r="N603" s="7">
        <v>52</v>
      </c>
      <c r="O603" s="7" t="s">
        <v>3766</v>
      </c>
    </row>
    <row r="604" spans="1:16">
      <c r="A604" s="6" t="s">
        <v>31</v>
      </c>
      <c r="B604" s="7">
        <v>568347</v>
      </c>
      <c r="C604" s="7">
        <v>568532</v>
      </c>
      <c r="D604" s="8"/>
      <c r="E604" s="7" t="s">
        <v>53</v>
      </c>
      <c r="F604" s="7" t="s">
        <v>3767</v>
      </c>
      <c r="G604" s="8"/>
      <c r="H604" s="8"/>
      <c r="I604" s="7" t="s">
        <v>55</v>
      </c>
      <c r="J604" s="8"/>
      <c r="K604" s="8"/>
      <c r="L604" s="7" t="s">
        <v>3768</v>
      </c>
      <c r="M604" s="7" t="s">
        <v>3767</v>
      </c>
      <c r="N604" s="7">
        <v>61</v>
      </c>
      <c r="O604" s="7" t="s">
        <v>3769</v>
      </c>
    </row>
    <row r="605" spans="1:16">
      <c r="A605" s="6" t="s">
        <v>31</v>
      </c>
      <c r="B605" s="7">
        <v>568644</v>
      </c>
      <c r="C605" s="7">
        <v>568958</v>
      </c>
      <c r="D605" s="8"/>
      <c r="E605" s="7" t="s">
        <v>53</v>
      </c>
      <c r="F605" s="7" t="s">
        <v>2095</v>
      </c>
      <c r="G605" s="8"/>
      <c r="H605" s="8"/>
      <c r="I605" s="7" t="s">
        <v>55</v>
      </c>
      <c r="J605" s="8"/>
      <c r="K605" s="8"/>
      <c r="L605" s="7" t="s">
        <v>3770</v>
      </c>
      <c r="M605" s="7" t="s">
        <v>2095</v>
      </c>
      <c r="N605" s="7">
        <v>104</v>
      </c>
      <c r="O605" s="7" t="s">
        <v>3771</v>
      </c>
    </row>
    <row r="606" spans="1:16">
      <c r="A606" s="6" t="s">
        <v>31</v>
      </c>
      <c r="B606" s="7">
        <v>568999</v>
      </c>
      <c r="C606" s="7">
        <v>569301</v>
      </c>
      <c r="D606" s="8"/>
      <c r="E606" s="7" t="s">
        <v>75</v>
      </c>
      <c r="F606" s="7" t="s">
        <v>2130</v>
      </c>
      <c r="G606" s="8"/>
      <c r="H606" s="8"/>
      <c r="I606" s="7" t="s">
        <v>55</v>
      </c>
      <c r="J606" s="8"/>
      <c r="K606" s="8"/>
      <c r="L606" s="7" t="s">
        <v>3772</v>
      </c>
      <c r="M606" s="7" t="s">
        <v>2130</v>
      </c>
      <c r="N606" s="7">
        <v>100</v>
      </c>
      <c r="O606" s="7" t="s">
        <v>3773</v>
      </c>
    </row>
    <row r="607" spans="1:16">
      <c r="A607" s="6" t="s">
        <v>31</v>
      </c>
      <c r="B607" s="7">
        <v>569311</v>
      </c>
      <c r="C607" s="7">
        <v>569769</v>
      </c>
      <c r="D607" s="8"/>
      <c r="E607" s="7" t="s">
        <v>75</v>
      </c>
      <c r="F607" s="7" t="s">
        <v>3774</v>
      </c>
      <c r="G607" s="8"/>
      <c r="H607" s="8"/>
      <c r="I607" s="7" t="s">
        <v>55</v>
      </c>
      <c r="J607" s="8"/>
      <c r="K607" s="8"/>
      <c r="L607" s="7" t="s">
        <v>3775</v>
      </c>
      <c r="M607" s="7" t="s">
        <v>3774</v>
      </c>
      <c r="N607" s="7">
        <v>152</v>
      </c>
      <c r="O607" s="7" t="s">
        <v>3776</v>
      </c>
      <c r="P607" s="7"/>
    </row>
    <row r="608" spans="1:16">
      <c r="A608" s="6" t="s">
        <v>31</v>
      </c>
      <c r="B608" s="7">
        <v>569912</v>
      </c>
      <c r="C608" s="7">
        <v>572170</v>
      </c>
      <c r="D608" s="8"/>
      <c r="E608" s="7" t="s">
        <v>75</v>
      </c>
      <c r="F608" s="7" t="s">
        <v>3777</v>
      </c>
      <c r="G608" s="7" t="s">
        <v>3778</v>
      </c>
      <c r="H608" s="8"/>
      <c r="I608" s="7" t="s">
        <v>55</v>
      </c>
      <c r="J608" s="8"/>
      <c r="K608" s="8"/>
      <c r="L608" s="7" t="s">
        <v>3779</v>
      </c>
      <c r="M608" s="7" t="s">
        <v>3777</v>
      </c>
      <c r="N608" s="7">
        <v>752</v>
      </c>
      <c r="O608" s="7" t="s">
        <v>3780</v>
      </c>
    </row>
    <row r="609" spans="1:17">
      <c r="A609" s="6" t="s">
        <v>31</v>
      </c>
      <c r="B609" s="7">
        <v>572411</v>
      </c>
      <c r="C609" s="7">
        <v>573391</v>
      </c>
      <c r="D609" s="8"/>
      <c r="E609" s="7" t="s">
        <v>53</v>
      </c>
      <c r="F609" s="7" t="s">
        <v>3781</v>
      </c>
      <c r="G609" s="7" t="s">
        <v>666</v>
      </c>
      <c r="H609" s="8"/>
      <c r="I609" s="7" t="s">
        <v>55</v>
      </c>
      <c r="J609" s="8"/>
      <c r="K609" s="8"/>
      <c r="L609" s="7" t="s">
        <v>3782</v>
      </c>
      <c r="M609" s="7" t="s">
        <v>3781</v>
      </c>
      <c r="N609" s="7">
        <v>326</v>
      </c>
      <c r="O609" s="7" t="s">
        <v>3783</v>
      </c>
      <c r="P609" s="7"/>
    </row>
    <row r="610" spans="1:17">
      <c r="A610" s="6" t="s">
        <v>31</v>
      </c>
      <c r="B610" s="7">
        <v>573460</v>
      </c>
      <c r="C610" s="7">
        <v>573690</v>
      </c>
      <c r="D610" s="8"/>
      <c r="E610" s="7" t="s">
        <v>53</v>
      </c>
      <c r="F610" s="7" t="s">
        <v>2130</v>
      </c>
      <c r="G610" s="8"/>
      <c r="H610" s="8"/>
      <c r="I610" s="7" t="s">
        <v>55</v>
      </c>
      <c r="J610" s="8"/>
      <c r="K610" s="8"/>
      <c r="L610" s="7" t="s">
        <v>3784</v>
      </c>
      <c r="M610" s="7" t="s">
        <v>2130</v>
      </c>
      <c r="N610" s="7">
        <v>76</v>
      </c>
      <c r="O610" s="7" t="s">
        <v>3785</v>
      </c>
    </row>
    <row r="611" spans="1:17">
      <c r="A611" s="6" t="s">
        <v>31</v>
      </c>
      <c r="B611" s="7">
        <v>573959</v>
      </c>
      <c r="C611" s="7">
        <v>574639</v>
      </c>
      <c r="D611" s="8"/>
      <c r="E611" s="7" t="s">
        <v>53</v>
      </c>
      <c r="F611" s="7" t="s">
        <v>3786</v>
      </c>
      <c r="G611" s="7" t="s">
        <v>3787</v>
      </c>
      <c r="H611" s="8"/>
      <c r="I611" s="7" t="s">
        <v>55</v>
      </c>
      <c r="J611" s="8"/>
      <c r="K611" s="8"/>
      <c r="L611" s="7" t="s">
        <v>3788</v>
      </c>
      <c r="M611" s="7" t="s">
        <v>3786</v>
      </c>
      <c r="N611" s="7">
        <v>226</v>
      </c>
      <c r="O611" s="7" t="s">
        <v>3789</v>
      </c>
    </row>
    <row r="612" spans="1:17">
      <c r="A612" s="6" t="s">
        <v>31</v>
      </c>
      <c r="B612" s="7">
        <v>574639</v>
      </c>
      <c r="C612" s="7">
        <v>575373</v>
      </c>
      <c r="D612" s="8"/>
      <c r="E612" s="7" t="s">
        <v>53</v>
      </c>
      <c r="F612" s="7" t="s">
        <v>2509</v>
      </c>
      <c r="G612" s="7" t="s">
        <v>2510</v>
      </c>
      <c r="H612" s="8"/>
      <c r="I612" s="7" t="s">
        <v>55</v>
      </c>
      <c r="J612" s="8"/>
      <c r="K612" s="8"/>
      <c r="L612" s="7" t="s">
        <v>3790</v>
      </c>
      <c r="M612" s="7" t="s">
        <v>2509</v>
      </c>
      <c r="N612" s="7">
        <v>244</v>
      </c>
      <c r="O612" s="7" t="s">
        <v>3791</v>
      </c>
    </row>
    <row r="613" spans="1:17">
      <c r="A613" s="6" t="s">
        <v>31</v>
      </c>
      <c r="B613" s="7">
        <v>575547</v>
      </c>
      <c r="C613" s="7">
        <v>576023</v>
      </c>
      <c r="D613" s="8"/>
      <c r="E613" s="7" t="s">
        <v>53</v>
      </c>
      <c r="F613" s="7" t="s">
        <v>3792</v>
      </c>
      <c r="G613" s="8"/>
      <c r="H613" s="8"/>
      <c r="I613" s="7" t="s">
        <v>55</v>
      </c>
      <c r="J613" s="8"/>
      <c r="K613" s="8"/>
      <c r="L613" s="7" t="s">
        <v>3793</v>
      </c>
      <c r="M613" s="7" t="s">
        <v>3792</v>
      </c>
      <c r="N613" s="7">
        <v>158</v>
      </c>
      <c r="O613" s="7" t="s">
        <v>3794</v>
      </c>
    </row>
    <row r="614" spans="1:17">
      <c r="A614" s="6" t="s">
        <v>31</v>
      </c>
      <c r="B614" s="7">
        <v>576020</v>
      </c>
      <c r="C614" s="7">
        <v>578158</v>
      </c>
      <c r="D614" s="8"/>
      <c r="E614" s="7" t="s">
        <v>53</v>
      </c>
      <c r="F614" s="7" t="s">
        <v>3795</v>
      </c>
      <c r="G614" s="8"/>
      <c r="H614" s="8"/>
      <c r="I614" s="7" t="s">
        <v>55</v>
      </c>
      <c r="J614" s="8"/>
      <c r="K614" s="8"/>
      <c r="L614" s="7" t="s">
        <v>3796</v>
      </c>
      <c r="M614" s="7" t="s">
        <v>3795</v>
      </c>
      <c r="N614" s="7">
        <v>712</v>
      </c>
      <c r="O614" s="7" t="s">
        <v>3797</v>
      </c>
    </row>
    <row r="615" spans="1:17">
      <c r="A615" s="6" t="s">
        <v>31</v>
      </c>
      <c r="B615" s="7">
        <v>578170</v>
      </c>
      <c r="C615" s="7">
        <v>578310</v>
      </c>
      <c r="D615" s="8"/>
      <c r="E615" s="7" t="s">
        <v>53</v>
      </c>
      <c r="F615" s="7" t="s">
        <v>2130</v>
      </c>
      <c r="G615" s="8"/>
      <c r="H615" s="8"/>
      <c r="I615" s="7" t="s">
        <v>55</v>
      </c>
      <c r="J615" s="8"/>
      <c r="K615" s="8"/>
      <c r="L615" s="7" t="s">
        <v>3798</v>
      </c>
      <c r="M615" s="7" t="s">
        <v>2130</v>
      </c>
      <c r="N615" s="7">
        <v>46</v>
      </c>
      <c r="O615" s="7" t="s">
        <v>3799</v>
      </c>
    </row>
    <row r="616" spans="1:17">
      <c r="A616" s="6" t="s">
        <v>31</v>
      </c>
      <c r="B616" s="7">
        <v>578545</v>
      </c>
      <c r="C616" s="7">
        <v>578769</v>
      </c>
      <c r="D616" s="8"/>
      <c r="E616" s="7" t="s">
        <v>53</v>
      </c>
      <c r="F616" s="7" t="s">
        <v>2130</v>
      </c>
      <c r="G616" s="8"/>
      <c r="H616" s="8"/>
      <c r="I616" s="7" t="s">
        <v>55</v>
      </c>
      <c r="J616" s="8"/>
      <c r="K616" s="8"/>
      <c r="L616" s="7" t="s">
        <v>3800</v>
      </c>
      <c r="M616" s="7" t="s">
        <v>2130</v>
      </c>
      <c r="N616" s="7">
        <v>74</v>
      </c>
      <c r="O616" s="7" t="s">
        <v>3801</v>
      </c>
    </row>
    <row r="617" spans="1:17">
      <c r="A617" s="6" t="s">
        <v>31</v>
      </c>
      <c r="B617" s="7">
        <v>578841</v>
      </c>
      <c r="C617" s="7">
        <v>578993</v>
      </c>
      <c r="D617" s="8"/>
      <c r="E617" s="7" t="s">
        <v>53</v>
      </c>
      <c r="F617" s="7" t="s">
        <v>2095</v>
      </c>
      <c r="G617" s="8"/>
      <c r="H617" s="8"/>
      <c r="I617" s="7" t="s">
        <v>55</v>
      </c>
      <c r="J617" s="8"/>
      <c r="K617" s="8"/>
      <c r="L617" s="7" t="s">
        <v>3802</v>
      </c>
      <c r="M617" s="7" t="s">
        <v>2095</v>
      </c>
      <c r="N617" s="7">
        <v>50</v>
      </c>
      <c r="O617" s="7" t="s">
        <v>3803</v>
      </c>
    </row>
    <row r="618" spans="1:17">
      <c r="A618" s="6" t="s">
        <v>31</v>
      </c>
      <c r="B618" s="7">
        <v>579018</v>
      </c>
      <c r="C618" s="7">
        <v>579209</v>
      </c>
      <c r="D618" s="8"/>
      <c r="E618" s="7" t="s">
        <v>53</v>
      </c>
      <c r="F618" s="7" t="s">
        <v>3804</v>
      </c>
      <c r="G618" s="8"/>
      <c r="H618" s="8"/>
      <c r="I618" s="7" t="s">
        <v>55</v>
      </c>
      <c r="J618" s="8"/>
      <c r="K618" s="8"/>
      <c r="L618" s="7" t="s">
        <v>3805</v>
      </c>
      <c r="M618" s="7" t="s">
        <v>3804</v>
      </c>
      <c r="N618" s="7">
        <v>63</v>
      </c>
      <c r="O618" s="7" t="s">
        <v>3806</v>
      </c>
    </row>
    <row r="619" spans="1:17">
      <c r="A619" s="6" t="s">
        <v>31</v>
      </c>
      <c r="B619" s="7">
        <v>579382</v>
      </c>
      <c r="C619" s="7">
        <v>580236</v>
      </c>
      <c r="D619" s="8"/>
      <c r="E619" s="7" t="s">
        <v>53</v>
      </c>
      <c r="F619" s="7" t="s">
        <v>3807</v>
      </c>
      <c r="G619" s="7" t="s">
        <v>3808</v>
      </c>
      <c r="H619" s="8"/>
      <c r="I619" s="7" t="s">
        <v>55</v>
      </c>
      <c r="J619" s="8"/>
      <c r="K619" s="8"/>
      <c r="L619" s="7" t="s">
        <v>3809</v>
      </c>
      <c r="M619" s="7" t="s">
        <v>3807</v>
      </c>
      <c r="N619" s="7">
        <v>284</v>
      </c>
      <c r="O619" s="7" t="s">
        <v>3810</v>
      </c>
      <c r="P619" s="7"/>
      <c r="Q619" s="7"/>
    </row>
    <row r="620" spans="1:17">
      <c r="A620" s="6" t="s">
        <v>31</v>
      </c>
      <c r="B620" s="7">
        <v>580240</v>
      </c>
      <c r="C620" s="7">
        <v>581076</v>
      </c>
      <c r="D620" s="8"/>
      <c r="E620" s="7" t="s">
        <v>53</v>
      </c>
      <c r="F620" s="7" t="s">
        <v>3811</v>
      </c>
      <c r="G620" s="7" t="s">
        <v>3812</v>
      </c>
      <c r="H620" s="8"/>
      <c r="I620" s="7" t="s">
        <v>55</v>
      </c>
      <c r="J620" s="8"/>
      <c r="K620" s="8"/>
      <c r="L620" s="7" t="s">
        <v>3813</v>
      </c>
      <c r="M620" s="7" t="s">
        <v>3811</v>
      </c>
      <c r="N620" s="7">
        <v>278</v>
      </c>
      <c r="O620" s="7" t="s">
        <v>3814</v>
      </c>
      <c r="P620" s="7"/>
    </row>
    <row r="621" spans="1:17">
      <c r="A621" s="6" t="s">
        <v>31</v>
      </c>
      <c r="B621" s="7">
        <v>581198</v>
      </c>
      <c r="C621" s="7">
        <v>583312</v>
      </c>
      <c r="D621" s="8"/>
      <c r="E621" s="7" t="s">
        <v>53</v>
      </c>
      <c r="F621" s="7" t="s">
        <v>3815</v>
      </c>
      <c r="G621" s="7" t="s">
        <v>3816</v>
      </c>
      <c r="H621" s="8"/>
      <c r="I621" s="7" t="s">
        <v>55</v>
      </c>
      <c r="J621" s="8"/>
      <c r="K621" s="8"/>
      <c r="L621" s="7" t="s">
        <v>3817</v>
      </c>
      <c r="M621" s="7" t="s">
        <v>3815</v>
      </c>
      <c r="N621" s="7">
        <v>704</v>
      </c>
      <c r="O621" s="7" t="s">
        <v>3818</v>
      </c>
    </row>
    <row r="622" spans="1:17">
      <c r="A622" s="6" t="s">
        <v>31</v>
      </c>
      <c r="B622" s="7">
        <v>583422</v>
      </c>
      <c r="C622" s="7">
        <v>584018</v>
      </c>
      <c r="D622" s="8"/>
      <c r="E622" s="7" t="s">
        <v>53</v>
      </c>
      <c r="F622" s="7" t="s">
        <v>3819</v>
      </c>
      <c r="G622" s="7" t="s">
        <v>679</v>
      </c>
      <c r="H622" s="8"/>
      <c r="I622" s="7" t="s">
        <v>55</v>
      </c>
      <c r="J622" s="8"/>
      <c r="K622" s="8"/>
      <c r="L622" s="7" t="s">
        <v>3820</v>
      </c>
      <c r="M622" s="7" t="s">
        <v>3819</v>
      </c>
      <c r="N622" s="7">
        <v>198</v>
      </c>
      <c r="O622" s="7" t="s">
        <v>3821</v>
      </c>
    </row>
    <row r="623" spans="1:17">
      <c r="A623" s="6" t="s">
        <v>31</v>
      </c>
      <c r="B623" s="7">
        <v>585177</v>
      </c>
      <c r="C623" s="7">
        <v>585674</v>
      </c>
      <c r="D623" s="8"/>
      <c r="E623" s="7" t="s">
        <v>53</v>
      </c>
      <c r="F623" s="7" t="s">
        <v>3822</v>
      </c>
      <c r="G623" s="7" t="s">
        <v>3823</v>
      </c>
      <c r="H623" s="8"/>
      <c r="I623" s="7" t="s">
        <v>55</v>
      </c>
      <c r="J623" s="8"/>
      <c r="K623" s="8"/>
      <c r="L623" s="7" t="s">
        <v>3824</v>
      </c>
      <c r="M623" s="7" t="s">
        <v>3822</v>
      </c>
      <c r="N623" s="7">
        <v>165</v>
      </c>
      <c r="O623" s="7" t="s">
        <v>3825</v>
      </c>
    </row>
    <row r="624" spans="1:17">
      <c r="A624" s="6" t="s">
        <v>31</v>
      </c>
      <c r="B624" s="7">
        <v>585655</v>
      </c>
      <c r="C624" s="7">
        <v>586059</v>
      </c>
      <c r="D624" s="8"/>
      <c r="E624" s="7" t="s">
        <v>53</v>
      </c>
      <c r="F624" s="7" t="s">
        <v>3826</v>
      </c>
      <c r="G624" s="7" t="s">
        <v>3827</v>
      </c>
      <c r="H624" s="8"/>
      <c r="I624" s="7" t="s">
        <v>55</v>
      </c>
      <c r="J624" s="8"/>
      <c r="K624" s="8"/>
      <c r="L624" s="7" t="s">
        <v>3828</v>
      </c>
      <c r="M624" s="7" t="s">
        <v>3826</v>
      </c>
      <c r="N624" s="7">
        <v>134</v>
      </c>
      <c r="O624" s="7" t="s">
        <v>3829</v>
      </c>
      <c r="P624" s="7"/>
    </row>
    <row r="625" spans="1:17">
      <c r="A625" s="6" t="s">
        <v>31</v>
      </c>
      <c r="B625" s="7">
        <v>586078</v>
      </c>
      <c r="C625" s="7">
        <v>586977</v>
      </c>
      <c r="D625" s="8"/>
      <c r="E625" s="7" t="s">
        <v>53</v>
      </c>
      <c r="F625" s="7" t="s">
        <v>3830</v>
      </c>
      <c r="G625" s="7" t="s">
        <v>683</v>
      </c>
      <c r="H625" s="8"/>
      <c r="I625" s="7" t="s">
        <v>55</v>
      </c>
      <c r="J625" s="8"/>
      <c r="K625" s="8"/>
      <c r="L625" s="7" t="s">
        <v>3831</v>
      </c>
      <c r="M625" s="7" t="s">
        <v>3830</v>
      </c>
      <c r="N625" s="7">
        <v>299</v>
      </c>
      <c r="O625" s="7" t="s">
        <v>3832</v>
      </c>
    </row>
    <row r="626" spans="1:17">
      <c r="A626" s="6" t="s">
        <v>31</v>
      </c>
      <c r="B626" s="7">
        <v>587024</v>
      </c>
      <c r="C626" s="7">
        <v>587845</v>
      </c>
      <c r="D626" s="8"/>
      <c r="E626" s="7" t="s">
        <v>53</v>
      </c>
      <c r="F626" s="7" t="s">
        <v>3833</v>
      </c>
      <c r="G626" s="7" t="s">
        <v>685</v>
      </c>
      <c r="H626" s="8"/>
      <c r="I626" s="7" t="s">
        <v>55</v>
      </c>
      <c r="J626" s="8"/>
      <c r="K626" s="8"/>
      <c r="L626" s="7" t="s">
        <v>3834</v>
      </c>
      <c r="M626" s="7" t="s">
        <v>3833</v>
      </c>
      <c r="N626" s="7">
        <v>273</v>
      </c>
      <c r="O626" s="7" t="s">
        <v>3835</v>
      </c>
      <c r="P626" s="7"/>
    </row>
    <row r="627" spans="1:17">
      <c r="A627" s="6" t="s">
        <v>31</v>
      </c>
      <c r="B627" s="7">
        <v>587821</v>
      </c>
      <c r="C627" s="7">
        <v>588435</v>
      </c>
      <c r="D627" s="8"/>
      <c r="E627" s="7" t="s">
        <v>53</v>
      </c>
      <c r="F627" s="7" t="s">
        <v>3836</v>
      </c>
      <c r="G627" s="7" t="s">
        <v>687</v>
      </c>
      <c r="H627" s="8"/>
      <c r="I627" s="7" t="s">
        <v>55</v>
      </c>
      <c r="J627" s="8"/>
      <c r="K627" s="8"/>
      <c r="L627" s="7" t="s">
        <v>3837</v>
      </c>
      <c r="M627" s="7" t="s">
        <v>3836</v>
      </c>
      <c r="N627" s="7">
        <v>204</v>
      </c>
      <c r="O627" s="7" t="s">
        <v>3838</v>
      </c>
      <c r="P627" s="7"/>
    </row>
    <row r="628" spans="1:17">
      <c r="A628" s="6" t="s">
        <v>31</v>
      </c>
      <c r="B628" s="7">
        <v>588486</v>
      </c>
      <c r="C628" s="7">
        <v>589709</v>
      </c>
      <c r="D628" s="8"/>
      <c r="E628" s="7" t="s">
        <v>53</v>
      </c>
      <c r="F628" s="7" t="s">
        <v>3839</v>
      </c>
      <c r="G628" s="7" t="s">
        <v>3840</v>
      </c>
      <c r="H628" s="8"/>
      <c r="I628" s="7" t="s">
        <v>55</v>
      </c>
      <c r="J628" s="8"/>
      <c r="K628" s="8"/>
      <c r="L628" s="7" t="s">
        <v>3841</v>
      </c>
      <c r="M628" s="7" t="s">
        <v>3839</v>
      </c>
      <c r="N628" s="7">
        <v>407</v>
      </c>
      <c r="O628" s="7" t="s">
        <v>3842</v>
      </c>
    </row>
    <row r="629" spans="1:17">
      <c r="A629" s="6" t="s">
        <v>31</v>
      </c>
      <c r="B629" s="7">
        <v>589832</v>
      </c>
      <c r="C629" s="7">
        <v>589978</v>
      </c>
      <c r="D629" s="8"/>
      <c r="E629" s="7" t="s">
        <v>53</v>
      </c>
      <c r="F629" s="7" t="s">
        <v>2095</v>
      </c>
      <c r="G629" s="8"/>
      <c r="H629" s="8"/>
      <c r="I629" s="7" t="s">
        <v>55</v>
      </c>
      <c r="J629" s="8"/>
      <c r="K629" s="8"/>
      <c r="L629" s="7" t="s">
        <v>3843</v>
      </c>
      <c r="M629" s="7" t="s">
        <v>2095</v>
      </c>
      <c r="N629" s="7">
        <v>48</v>
      </c>
      <c r="O629" s="7" t="s">
        <v>3844</v>
      </c>
    </row>
    <row r="630" spans="1:17">
      <c r="A630" s="6" t="s">
        <v>31</v>
      </c>
      <c r="B630" s="7">
        <v>589890</v>
      </c>
      <c r="C630" s="7">
        <v>590126</v>
      </c>
      <c r="D630" s="8"/>
      <c r="E630" s="7" t="s">
        <v>53</v>
      </c>
      <c r="F630" s="7" t="s">
        <v>3845</v>
      </c>
      <c r="G630" s="8"/>
      <c r="H630" s="8"/>
      <c r="I630" s="7" t="s">
        <v>55</v>
      </c>
      <c r="J630" s="8"/>
      <c r="K630" s="8"/>
      <c r="L630" s="7" t="s">
        <v>3846</v>
      </c>
      <c r="M630" s="7" t="s">
        <v>3845</v>
      </c>
      <c r="N630" s="7">
        <v>78</v>
      </c>
      <c r="O630" s="7" t="s">
        <v>3847</v>
      </c>
    </row>
    <row r="631" spans="1:17">
      <c r="A631" s="6" t="s">
        <v>31</v>
      </c>
      <c r="B631" s="7">
        <v>590185</v>
      </c>
      <c r="C631" s="7">
        <v>592638</v>
      </c>
      <c r="D631" s="8"/>
      <c r="E631" s="7" t="s">
        <v>53</v>
      </c>
      <c r="F631" s="7" t="s">
        <v>692</v>
      </c>
      <c r="G631" s="7" t="s">
        <v>693</v>
      </c>
      <c r="H631" s="8"/>
      <c r="I631" s="7" t="s">
        <v>55</v>
      </c>
      <c r="J631" s="8"/>
      <c r="K631" s="8"/>
      <c r="L631" s="7" t="s">
        <v>3848</v>
      </c>
      <c r="M631" s="7" t="s">
        <v>692</v>
      </c>
      <c r="N631" s="7">
        <v>817</v>
      </c>
      <c r="O631" s="7" t="s">
        <v>3849</v>
      </c>
      <c r="P631" s="7"/>
    </row>
    <row r="632" spans="1:17">
      <c r="A632" s="6" t="s">
        <v>31</v>
      </c>
      <c r="B632" s="7">
        <v>592660</v>
      </c>
      <c r="C632" s="7">
        <v>593124</v>
      </c>
      <c r="D632" s="8"/>
      <c r="E632" s="7" t="s">
        <v>53</v>
      </c>
      <c r="F632" s="7" t="s">
        <v>3850</v>
      </c>
      <c r="G632" s="7" t="s">
        <v>695</v>
      </c>
      <c r="H632" s="8"/>
      <c r="I632" s="7" t="s">
        <v>55</v>
      </c>
      <c r="J632" s="8"/>
      <c r="K632" s="8"/>
      <c r="L632" s="7" t="s">
        <v>3851</v>
      </c>
      <c r="M632" s="7" t="s">
        <v>3850</v>
      </c>
      <c r="N632" s="7">
        <v>154</v>
      </c>
      <c r="O632" s="7" t="s">
        <v>3852</v>
      </c>
    </row>
    <row r="633" spans="1:17">
      <c r="A633" s="6" t="s">
        <v>31</v>
      </c>
      <c r="B633" s="7">
        <v>593278</v>
      </c>
      <c r="C633" s="7">
        <v>594684</v>
      </c>
      <c r="D633" s="8"/>
      <c r="E633" s="7" t="s">
        <v>53</v>
      </c>
      <c r="F633" s="7" t="s">
        <v>3853</v>
      </c>
      <c r="G633" s="8"/>
      <c r="H633" s="8"/>
      <c r="I633" s="7" t="s">
        <v>55</v>
      </c>
      <c r="J633" s="8"/>
      <c r="K633" s="8"/>
      <c r="L633" s="7" t="s">
        <v>3854</v>
      </c>
      <c r="M633" s="7" t="s">
        <v>3853</v>
      </c>
      <c r="N633" s="7">
        <v>468</v>
      </c>
      <c r="O633" s="7" t="s">
        <v>3855</v>
      </c>
      <c r="P633" s="7"/>
      <c r="Q633" s="7"/>
    </row>
    <row r="634" spans="1:17">
      <c r="A634" s="6" t="s">
        <v>31</v>
      </c>
      <c r="B634" s="7">
        <v>594686</v>
      </c>
      <c r="C634" s="7">
        <v>595051</v>
      </c>
      <c r="D634" s="8"/>
      <c r="E634" s="7" t="s">
        <v>53</v>
      </c>
      <c r="F634" s="7" t="s">
        <v>3856</v>
      </c>
      <c r="G634" s="8"/>
      <c r="H634" s="8"/>
      <c r="I634" s="7" t="s">
        <v>55</v>
      </c>
      <c r="J634" s="8"/>
      <c r="K634" s="8"/>
      <c r="L634" s="7" t="s">
        <v>3857</v>
      </c>
      <c r="M634" s="7" t="s">
        <v>3856</v>
      </c>
      <c r="N634" s="7">
        <v>121</v>
      </c>
      <c r="O634" s="7" t="s">
        <v>3858</v>
      </c>
    </row>
    <row r="635" spans="1:17">
      <c r="A635" s="6" t="s">
        <v>31</v>
      </c>
      <c r="B635" s="7">
        <v>595154</v>
      </c>
      <c r="C635" s="7">
        <v>596239</v>
      </c>
      <c r="D635" s="8"/>
      <c r="E635" s="7" t="s">
        <v>75</v>
      </c>
      <c r="F635" s="7" t="s">
        <v>3859</v>
      </c>
      <c r="G635" s="7" t="s">
        <v>3860</v>
      </c>
      <c r="H635" s="8"/>
      <c r="I635" s="7" t="s">
        <v>55</v>
      </c>
      <c r="J635" s="8"/>
      <c r="K635" s="8"/>
      <c r="L635" s="7" t="s">
        <v>3861</v>
      </c>
      <c r="M635" s="7" t="s">
        <v>3859</v>
      </c>
      <c r="N635" s="7">
        <v>361</v>
      </c>
      <c r="O635" s="7" t="s">
        <v>3862</v>
      </c>
      <c r="P635" s="7"/>
    </row>
    <row r="636" spans="1:17">
      <c r="A636" s="6" t="s">
        <v>31</v>
      </c>
      <c r="B636" s="7">
        <v>596554</v>
      </c>
      <c r="C636" s="7">
        <v>597555</v>
      </c>
      <c r="D636" s="8"/>
      <c r="E636" s="7" t="s">
        <v>53</v>
      </c>
      <c r="F636" s="7" t="s">
        <v>3863</v>
      </c>
      <c r="G636" s="7" t="s">
        <v>700</v>
      </c>
      <c r="H636" s="8"/>
      <c r="I636" s="7" t="s">
        <v>55</v>
      </c>
      <c r="J636" s="8"/>
      <c r="K636" s="8"/>
      <c r="L636" s="7" t="s">
        <v>3864</v>
      </c>
      <c r="M636" s="7" t="s">
        <v>3863</v>
      </c>
      <c r="N636" s="7">
        <v>333</v>
      </c>
      <c r="O636" s="7" t="s">
        <v>3865</v>
      </c>
    </row>
    <row r="637" spans="1:17">
      <c r="A637" s="6" t="s">
        <v>31</v>
      </c>
      <c r="B637" s="7">
        <v>597614</v>
      </c>
      <c r="C637" s="7">
        <v>597811</v>
      </c>
      <c r="D637" s="8"/>
      <c r="E637" s="7" t="s">
        <v>53</v>
      </c>
      <c r="F637" s="7" t="s">
        <v>2130</v>
      </c>
      <c r="G637" s="8"/>
      <c r="H637" s="8"/>
      <c r="I637" s="7" t="s">
        <v>55</v>
      </c>
      <c r="J637" s="8"/>
      <c r="K637" s="8"/>
      <c r="L637" s="7" t="s">
        <v>3866</v>
      </c>
      <c r="M637" s="7" t="s">
        <v>2130</v>
      </c>
      <c r="N637" s="7">
        <v>65</v>
      </c>
      <c r="O637" s="7" t="s">
        <v>3867</v>
      </c>
    </row>
    <row r="638" spans="1:17">
      <c r="A638" s="6" t="s">
        <v>31</v>
      </c>
      <c r="B638" s="7">
        <v>597917</v>
      </c>
      <c r="C638" s="7">
        <v>598681</v>
      </c>
      <c r="D638" s="8"/>
      <c r="E638" s="7" t="s">
        <v>53</v>
      </c>
      <c r="F638" s="7" t="s">
        <v>2130</v>
      </c>
      <c r="G638" s="8"/>
      <c r="H638" s="8"/>
      <c r="I638" s="7" t="s">
        <v>55</v>
      </c>
      <c r="J638" s="8"/>
      <c r="K638" s="8"/>
      <c r="L638" s="7" t="s">
        <v>3868</v>
      </c>
      <c r="M638" s="7" t="s">
        <v>2130</v>
      </c>
      <c r="N638" s="7">
        <v>254</v>
      </c>
      <c r="O638" s="7" t="s">
        <v>3869</v>
      </c>
    </row>
    <row r="639" spans="1:17">
      <c r="A639" s="6" t="s">
        <v>31</v>
      </c>
      <c r="B639" s="7">
        <v>598696</v>
      </c>
      <c r="C639" s="7">
        <v>599811</v>
      </c>
      <c r="D639" s="8"/>
      <c r="E639" s="7" t="s">
        <v>53</v>
      </c>
      <c r="F639" s="7" t="s">
        <v>3870</v>
      </c>
      <c r="G639" s="7" t="s">
        <v>3871</v>
      </c>
      <c r="H639" s="8"/>
      <c r="I639" s="7" t="s">
        <v>55</v>
      </c>
      <c r="J639" s="8"/>
      <c r="K639" s="8"/>
      <c r="L639" s="7" t="s">
        <v>3872</v>
      </c>
      <c r="M639" s="7" t="s">
        <v>3870</v>
      </c>
      <c r="N639" s="7">
        <v>371</v>
      </c>
      <c r="O639" s="7" t="s">
        <v>3873</v>
      </c>
      <c r="P639" s="7"/>
    </row>
    <row r="640" spans="1:17">
      <c r="A640" s="6" t="s">
        <v>31</v>
      </c>
      <c r="B640" s="7">
        <v>599850</v>
      </c>
      <c r="C640" s="7">
        <v>600305</v>
      </c>
      <c r="D640" s="8"/>
      <c r="E640" s="7" t="s">
        <v>75</v>
      </c>
      <c r="F640" s="7" t="s">
        <v>2130</v>
      </c>
      <c r="G640" s="8"/>
      <c r="H640" s="8"/>
      <c r="I640" s="7" t="s">
        <v>55</v>
      </c>
      <c r="J640" s="8"/>
      <c r="K640" s="8"/>
      <c r="L640" s="7" t="s">
        <v>3874</v>
      </c>
      <c r="M640" s="7" t="s">
        <v>2130</v>
      </c>
      <c r="N640" s="7">
        <v>151</v>
      </c>
      <c r="O640" s="7" t="s">
        <v>3875</v>
      </c>
    </row>
    <row r="641" spans="1:16">
      <c r="A641" s="6" t="s">
        <v>31</v>
      </c>
      <c r="B641" s="7">
        <v>600514</v>
      </c>
      <c r="C641" s="7">
        <v>601818</v>
      </c>
      <c r="D641" s="8"/>
      <c r="E641" s="7" t="s">
        <v>53</v>
      </c>
      <c r="F641" s="7" t="s">
        <v>3876</v>
      </c>
      <c r="G641" s="7" t="s">
        <v>706</v>
      </c>
      <c r="H641" s="8"/>
      <c r="I641" s="7" t="s">
        <v>55</v>
      </c>
      <c r="J641" s="8"/>
      <c r="K641" s="8"/>
      <c r="L641" s="7" t="s">
        <v>3877</v>
      </c>
      <c r="M641" s="7" t="s">
        <v>3876</v>
      </c>
      <c r="N641" s="7">
        <v>434</v>
      </c>
      <c r="O641" s="7" t="s">
        <v>3878</v>
      </c>
      <c r="P641" s="7"/>
    </row>
    <row r="642" spans="1:16">
      <c r="A642" s="6" t="s">
        <v>31</v>
      </c>
      <c r="B642" s="7">
        <v>602316</v>
      </c>
      <c r="C642" s="7">
        <v>604502</v>
      </c>
      <c r="D642" s="8"/>
      <c r="E642" s="7" t="s">
        <v>75</v>
      </c>
      <c r="F642" s="7" t="s">
        <v>3879</v>
      </c>
      <c r="G642" s="7" t="s">
        <v>3880</v>
      </c>
      <c r="H642" s="8"/>
      <c r="I642" s="7" t="s">
        <v>55</v>
      </c>
      <c r="J642" s="8"/>
      <c r="K642" s="8"/>
      <c r="L642" s="7" t="s">
        <v>3881</v>
      </c>
      <c r="M642" s="7" t="s">
        <v>3879</v>
      </c>
      <c r="N642" s="7">
        <v>728</v>
      </c>
      <c r="O642" s="7" t="s">
        <v>3882</v>
      </c>
    </row>
    <row r="643" spans="1:16">
      <c r="A643" s="6" t="s">
        <v>31</v>
      </c>
      <c r="B643" s="7">
        <v>604664</v>
      </c>
      <c r="C643" s="7">
        <v>605827</v>
      </c>
      <c r="D643" s="8"/>
      <c r="E643" s="7" t="s">
        <v>53</v>
      </c>
      <c r="F643" s="7" t="s">
        <v>3883</v>
      </c>
      <c r="G643" s="7" t="s">
        <v>3884</v>
      </c>
      <c r="H643" s="8"/>
      <c r="I643" s="7" t="s">
        <v>55</v>
      </c>
      <c r="J643" s="8"/>
      <c r="K643" s="8"/>
      <c r="L643" s="7" t="s">
        <v>3885</v>
      </c>
      <c r="M643" s="7" t="s">
        <v>3883</v>
      </c>
      <c r="N643" s="7">
        <v>387</v>
      </c>
      <c r="O643" s="7" t="s">
        <v>3886</v>
      </c>
      <c r="P643" s="7"/>
    </row>
    <row r="644" spans="1:16">
      <c r="A644" s="6" t="s">
        <v>31</v>
      </c>
      <c r="B644" s="7">
        <v>605824</v>
      </c>
      <c r="C644" s="7">
        <v>606501</v>
      </c>
      <c r="D644" s="8"/>
      <c r="E644" s="7" t="s">
        <v>53</v>
      </c>
      <c r="F644" s="7" t="s">
        <v>3887</v>
      </c>
      <c r="G644" s="7" t="s">
        <v>710</v>
      </c>
      <c r="H644" s="8"/>
      <c r="I644" s="7" t="s">
        <v>55</v>
      </c>
      <c r="J644" s="8"/>
      <c r="K644" s="8"/>
      <c r="L644" s="7" t="s">
        <v>3888</v>
      </c>
      <c r="M644" s="7" t="s">
        <v>3887</v>
      </c>
      <c r="N644" s="7">
        <v>225</v>
      </c>
      <c r="O644" s="7" t="s">
        <v>3889</v>
      </c>
      <c r="P644" s="7"/>
    </row>
    <row r="645" spans="1:16">
      <c r="A645" s="6" t="s">
        <v>31</v>
      </c>
      <c r="B645" s="7">
        <v>606491</v>
      </c>
      <c r="C645" s="7">
        <v>607348</v>
      </c>
      <c r="D645" s="8"/>
      <c r="E645" s="7" t="s">
        <v>53</v>
      </c>
      <c r="F645" s="7" t="s">
        <v>3890</v>
      </c>
      <c r="G645" s="7" t="s">
        <v>3891</v>
      </c>
      <c r="H645" s="8"/>
      <c r="I645" s="7" t="s">
        <v>55</v>
      </c>
      <c r="J645" s="8"/>
      <c r="K645" s="8"/>
      <c r="L645" s="7" t="s">
        <v>3892</v>
      </c>
      <c r="M645" s="7" t="s">
        <v>3890</v>
      </c>
      <c r="N645" s="7">
        <v>285</v>
      </c>
      <c r="O645" s="7" t="s">
        <v>3893</v>
      </c>
      <c r="P645" s="7"/>
    </row>
    <row r="646" spans="1:16">
      <c r="A646" s="6" t="s">
        <v>31</v>
      </c>
      <c r="B646" s="7">
        <v>607361</v>
      </c>
      <c r="C646" s="7">
        <v>608428</v>
      </c>
      <c r="D646" s="8"/>
      <c r="E646" s="7" t="s">
        <v>53</v>
      </c>
      <c r="F646" s="7" t="s">
        <v>713</v>
      </c>
      <c r="G646" s="7" t="s">
        <v>714</v>
      </c>
      <c r="H646" s="8"/>
      <c r="I646" s="7" t="s">
        <v>55</v>
      </c>
      <c r="J646" s="8"/>
      <c r="K646" s="8"/>
      <c r="L646" s="7" t="s">
        <v>3894</v>
      </c>
      <c r="M646" s="7" t="s">
        <v>713</v>
      </c>
      <c r="N646" s="7">
        <v>355</v>
      </c>
      <c r="O646" s="7" t="s">
        <v>3895</v>
      </c>
      <c r="P646" s="7"/>
    </row>
    <row r="647" spans="1:16">
      <c r="A647" s="6" t="s">
        <v>31</v>
      </c>
      <c r="B647" s="7">
        <v>608429</v>
      </c>
      <c r="C647" s="7">
        <v>609595</v>
      </c>
      <c r="D647" s="8"/>
      <c r="E647" s="7" t="s">
        <v>53</v>
      </c>
      <c r="F647" s="7" t="s">
        <v>716</v>
      </c>
      <c r="G647" s="7" t="s">
        <v>3896</v>
      </c>
      <c r="H647" s="8"/>
      <c r="I647" s="7" t="s">
        <v>55</v>
      </c>
      <c r="J647" s="8"/>
      <c r="K647" s="8"/>
      <c r="L647" s="7" t="s">
        <v>3897</v>
      </c>
      <c r="M647" s="7" t="s">
        <v>716</v>
      </c>
      <c r="N647" s="7">
        <v>388</v>
      </c>
      <c r="O647" s="7" t="s">
        <v>3898</v>
      </c>
      <c r="P647" s="7"/>
    </row>
    <row r="648" spans="1:16">
      <c r="A648" s="6" t="s">
        <v>31</v>
      </c>
      <c r="B648" s="7">
        <v>609625</v>
      </c>
      <c r="C648" s="7">
        <v>610731</v>
      </c>
      <c r="D648" s="8"/>
      <c r="E648" s="7" t="s">
        <v>53</v>
      </c>
      <c r="F648" s="7" t="s">
        <v>718</v>
      </c>
      <c r="G648" s="7" t="s">
        <v>3899</v>
      </c>
      <c r="H648" s="8"/>
      <c r="I648" s="7" t="s">
        <v>55</v>
      </c>
      <c r="J648" s="8"/>
      <c r="K648" s="8"/>
      <c r="L648" s="7" t="s">
        <v>3900</v>
      </c>
      <c r="M648" s="7" t="s">
        <v>718</v>
      </c>
      <c r="N648" s="7">
        <v>368</v>
      </c>
      <c r="O648" s="7" t="s">
        <v>3901</v>
      </c>
      <c r="P648" s="7"/>
    </row>
    <row r="649" spans="1:16">
      <c r="A649" s="6" t="s">
        <v>31</v>
      </c>
      <c r="B649" s="7">
        <v>610741</v>
      </c>
      <c r="C649" s="7">
        <v>611079</v>
      </c>
      <c r="D649" s="8"/>
      <c r="E649" s="7" t="s">
        <v>53</v>
      </c>
      <c r="F649" s="7" t="s">
        <v>3902</v>
      </c>
      <c r="G649" s="8"/>
      <c r="H649" s="8"/>
      <c r="I649" s="7" t="s">
        <v>55</v>
      </c>
      <c r="J649" s="8"/>
      <c r="K649" s="8"/>
      <c r="L649" s="7" t="s">
        <v>3903</v>
      </c>
      <c r="M649" s="7" t="s">
        <v>3902</v>
      </c>
      <c r="N649" s="7">
        <v>112</v>
      </c>
      <c r="O649" s="7" t="s">
        <v>3904</v>
      </c>
    </row>
    <row r="650" spans="1:16">
      <c r="A650" s="6" t="s">
        <v>31</v>
      </c>
      <c r="B650" s="7">
        <v>611135</v>
      </c>
      <c r="C650" s="7">
        <v>612085</v>
      </c>
      <c r="D650" s="8"/>
      <c r="E650" s="7" t="s">
        <v>53</v>
      </c>
      <c r="F650" s="7" t="s">
        <v>3905</v>
      </c>
      <c r="G650" s="8"/>
      <c r="H650" s="8"/>
      <c r="I650" s="7" t="s">
        <v>55</v>
      </c>
      <c r="J650" s="8"/>
      <c r="K650" s="8"/>
      <c r="L650" s="7" t="s">
        <v>3906</v>
      </c>
      <c r="M650" s="7" t="s">
        <v>3905</v>
      </c>
      <c r="N650" s="7">
        <v>316</v>
      </c>
      <c r="O650" s="7" t="s">
        <v>3907</v>
      </c>
      <c r="P650" s="7"/>
    </row>
    <row r="651" spans="1:16">
      <c r="A651" s="6" t="s">
        <v>31</v>
      </c>
      <c r="B651" s="7">
        <v>612166</v>
      </c>
      <c r="C651" s="7">
        <v>613449</v>
      </c>
      <c r="D651" s="8"/>
      <c r="E651" s="7" t="s">
        <v>53</v>
      </c>
      <c r="F651" s="7" t="s">
        <v>3908</v>
      </c>
      <c r="G651" s="7" t="s">
        <v>723</v>
      </c>
      <c r="H651" s="8"/>
      <c r="I651" s="7" t="s">
        <v>55</v>
      </c>
      <c r="J651" s="8"/>
      <c r="K651" s="8"/>
      <c r="L651" s="7" t="s">
        <v>3909</v>
      </c>
      <c r="M651" s="7" t="s">
        <v>3908</v>
      </c>
      <c r="N651" s="7">
        <v>427</v>
      </c>
      <c r="O651" s="7" t="s">
        <v>3910</v>
      </c>
      <c r="P651" s="7"/>
    </row>
    <row r="652" spans="1:16">
      <c r="A652" s="6" t="s">
        <v>31</v>
      </c>
      <c r="B652" s="7">
        <v>613442</v>
      </c>
      <c r="C652" s="7">
        <v>613933</v>
      </c>
      <c r="D652" s="8"/>
      <c r="E652" s="7" t="s">
        <v>53</v>
      </c>
      <c r="F652" s="7" t="s">
        <v>3911</v>
      </c>
      <c r="G652" s="7" t="s">
        <v>3912</v>
      </c>
      <c r="H652" s="8"/>
      <c r="I652" s="7" t="s">
        <v>55</v>
      </c>
      <c r="J652" s="8"/>
      <c r="K652" s="8"/>
      <c r="L652" s="7" t="s">
        <v>3913</v>
      </c>
      <c r="M652" s="7" t="s">
        <v>3911</v>
      </c>
      <c r="N652" s="7">
        <v>163</v>
      </c>
      <c r="O652" s="7" t="s">
        <v>3914</v>
      </c>
      <c r="P652" s="7"/>
    </row>
    <row r="653" spans="1:16">
      <c r="A653" s="6" t="s">
        <v>31</v>
      </c>
      <c r="B653" s="7">
        <v>613924</v>
      </c>
      <c r="C653" s="7">
        <v>614748</v>
      </c>
      <c r="D653" s="8"/>
      <c r="E653" s="7" t="s">
        <v>53</v>
      </c>
      <c r="F653" s="7" t="s">
        <v>3915</v>
      </c>
      <c r="G653" s="7" t="s">
        <v>726</v>
      </c>
      <c r="H653" s="8"/>
      <c r="I653" s="7" t="s">
        <v>55</v>
      </c>
      <c r="J653" s="8"/>
      <c r="K653" s="8"/>
      <c r="L653" s="7" t="s">
        <v>3916</v>
      </c>
      <c r="M653" s="7" t="s">
        <v>3915</v>
      </c>
      <c r="N653" s="7">
        <v>274</v>
      </c>
      <c r="O653" s="7" t="s">
        <v>3917</v>
      </c>
      <c r="P653" s="7"/>
    </row>
    <row r="654" spans="1:16">
      <c r="A654" s="6" t="s">
        <v>31</v>
      </c>
      <c r="B654" s="7">
        <v>614760</v>
      </c>
      <c r="C654" s="7">
        <v>615209</v>
      </c>
      <c r="D654" s="8"/>
      <c r="E654" s="7" t="s">
        <v>53</v>
      </c>
      <c r="F654" s="7" t="s">
        <v>2095</v>
      </c>
      <c r="G654" s="8"/>
      <c r="H654" s="8"/>
      <c r="I654" s="7" t="s">
        <v>55</v>
      </c>
      <c r="J654" s="8"/>
      <c r="K654" s="8"/>
      <c r="L654" s="7" t="s">
        <v>3918</v>
      </c>
      <c r="M654" s="7" t="s">
        <v>2095</v>
      </c>
      <c r="N654" s="7">
        <v>149</v>
      </c>
      <c r="O654" s="7" t="s">
        <v>3919</v>
      </c>
    </row>
    <row r="655" spans="1:16">
      <c r="A655" s="6" t="s">
        <v>31</v>
      </c>
      <c r="B655" s="7">
        <v>615239</v>
      </c>
      <c r="C655" s="7">
        <v>616189</v>
      </c>
      <c r="D655" s="8"/>
      <c r="E655" s="7" t="s">
        <v>53</v>
      </c>
      <c r="F655" s="7" t="s">
        <v>3920</v>
      </c>
      <c r="G655" s="8"/>
      <c r="H655" s="8"/>
      <c r="I655" s="7" t="s">
        <v>55</v>
      </c>
      <c r="J655" s="8"/>
      <c r="K655" s="8"/>
      <c r="L655" s="7" t="s">
        <v>3921</v>
      </c>
      <c r="M655" s="7" t="s">
        <v>3920</v>
      </c>
      <c r="N655" s="7">
        <v>316</v>
      </c>
      <c r="O655" s="7" t="s">
        <v>3922</v>
      </c>
    </row>
    <row r="656" spans="1:16">
      <c r="A656" s="6" t="s">
        <v>31</v>
      </c>
      <c r="B656" s="7">
        <v>616205</v>
      </c>
      <c r="C656" s="7">
        <v>617146</v>
      </c>
      <c r="D656" s="8"/>
      <c r="E656" s="7" t="s">
        <v>75</v>
      </c>
      <c r="F656" s="7" t="s">
        <v>3923</v>
      </c>
      <c r="G656" s="8"/>
      <c r="H656" s="8"/>
      <c r="I656" s="7" t="s">
        <v>55</v>
      </c>
      <c r="J656" s="8"/>
      <c r="K656" s="8"/>
      <c r="L656" s="7" t="s">
        <v>3924</v>
      </c>
      <c r="M656" s="7" t="s">
        <v>3923</v>
      </c>
      <c r="N656" s="7">
        <v>313</v>
      </c>
      <c r="O656" s="7" t="s">
        <v>3925</v>
      </c>
    </row>
    <row r="657" spans="1:16">
      <c r="A657" s="6" t="s">
        <v>31</v>
      </c>
      <c r="B657" s="7">
        <v>617162</v>
      </c>
      <c r="C657" s="7">
        <v>618226</v>
      </c>
      <c r="D657" s="8"/>
      <c r="E657" s="7" t="s">
        <v>75</v>
      </c>
      <c r="F657" s="7" t="s">
        <v>3926</v>
      </c>
      <c r="G657" s="8"/>
      <c r="H657" s="8"/>
      <c r="I657" s="7" t="s">
        <v>55</v>
      </c>
      <c r="J657" s="8"/>
      <c r="K657" s="8"/>
      <c r="L657" s="7" t="s">
        <v>3927</v>
      </c>
      <c r="M657" s="7" t="s">
        <v>3926</v>
      </c>
      <c r="N657" s="7">
        <v>354</v>
      </c>
      <c r="O657" s="7" t="s">
        <v>3928</v>
      </c>
      <c r="P657" s="7"/>
    </row>
    <row r="658" spans="1:16">
      <c r="A658" s="6" t="s">
        <v>31</v>
      </c>
      <c r="B658" s="7">
        <v>618266</v>
      </c>
      <c r="C658" s="7">
        <v>618814</v>
      </c>
      <c r="D658" s="8"/>
      <c r="E658" s="7" t="s">
        <v>75</v>
      </c>
      <c r="F658" s="7" t="s">
        <v>3929</v>
      </c>
      <c r="G658" s="8"/>
      <c r="H658" s="8"/>
      <c r="I658" s="7" t="s">
        <v>55</v>
      </c>
      <c r="J658" s="8"/>
      <c r="K658" s="8"/>
      <c r="L658" s="7" t="s">
        <v>3930</v>
      </c>
      <c r="M658" s="7" t="s">
        <v>3929</v>
      </c>
      <c r="N658" s="7">
        <v>182</v>
      </c>
      <c r="O658" s="7" t="s">
        <v>3931</v>
      </c>
    </row>
    <row r="659" spans="1:16">
      <c r="A659" s="6" t="s">
        <v>31</v>
      </c>
      <c r="B659" s="7">
        <v>619030</v>
      </c>
      <c r="C659" s="7">
        <v>620391</v>
      </c>
      <c r="D659" s="8"/>
      <c r="E659" s="7" t="s">
        <v>53</v>
      </c>
      <c r="F659" s="7" t="s">
        <v>3151</v>
      </c>
      <c r="G659" s="8"/>
      <c r="H659" s="8"/>
      <c r="I659" s="7" t="s">
        <v>55</v>
      </c>
      <c r="J659" s="8"/>
      <c r="K659" s="8"/>
      <c r="L659" s="7" t="s">
        <v>3932</v>
      </c>
      <c r="M659" s="7" t="s">
        <v>3151</v>
      </c>
      <c r="N659" s="7">
        <v>453</v>
      </c>
      <c r="O659" s="7" t="s">
        <v>3933</v>
      </c>
    </row>
    <row r="660" spans="1:16">
      <c r="A660" s="6" t="s">
        <v>31</v>
      </c>
      <c r="B660" s="7">
        <v>620586</v>
      </c>
      <c r="C660" s="7">
        <v>620663</v>
      </c>
      <c r="D660" s="8"/>
      <c r="E660" s="7" t="s">
        <v>53</v>
      </c>
      <c r="F660" s="7" t="s">
        <v>2095</v>
      </c>
      <c r="G660" s="8"/>
      <c r="H660" s="8"/>
      <c r="I660" s="7" t="s">
        <v>55</v>
      </c>
      <c r="J660" s="8"/>
      <c r="K660" s="8"/>
      <c r="L660" s="7" t="s">
        <v>3934</v>
      </c>
      <c r="M660" s="7" t="s">
        <v>2095</v>
      </c>
      <c r="N660" s="7">
        <v>25</v>
      </c>
      <c r="O660" s="7" t="s">
        <v>3935</v>
      </c>
    </row>
    <row r="661" spans="1:16">
      <c r="A661" s="6" t="s">
        <v>31</v>
      </c>
      <c r="B661" s="7">
        <v>620670</v>
      </c>
      <c r="C661" s="7">
        <v>621431</v>
      </c>
      <c r="D661" s="8"/>
      <c r="E661" s="7" t="s">
        <v>53</v>
      </c>
      <c r="F661" s="7" t="s">
        <v>3936</v>
      </c>
      <c r="G661" s="8"/>
      <c r="H661" s="8"/>
      <c r="I661" s="7" t="s">
        <v>55</v>
      </c>
      <c r="J661" s="8"/>
      <c r="K661" s="8"/>
      <c r="L661" s="7" t="s">
        <v>3937</v>
      </c>
      <c r="M661" s="7" t="s">
        <v>3936</v>
      </c>
      <c r="N661" s="7">
        <v>253</v>
      </c>
      <c r="O661" s="7" t="s">
        <v>3938</v>
      </c>
    </row>
    <row r="662" spans="1:16">
      <c r="A662" s="6" t="s">
        <v>31</v>
      </c>
      <c r="B662" s="7">
        <v>621599</v>
      </c>
      <c r="C662" s="7">
        <v>621820</v>
      </c>
      <c r="D662" s="8"/>
      <c r="E662" s="7" t="s">
        <v>53</v>
      </c>
      <c r="F662" s="7" t="s">
        <v>3939</v>
      </c>
      <c r="G662" s="7" t="s">
        <v>3940</v>
      </c>
      <c r="H662" s="8"/>
      <c r="I662" s="7" t="s">
        <v>55</v>
      </c>
      <c r="J662" s="8"/>
      <c r="K662" s="8"/>
      <c r="L662" s="7" t="s">
        <v>3941</v>
      </c>
      <c r="M662" s="7" t="s">
        <v>3939</v>
      </c>
      <c r="N662" s="7">
        <v>73</v>
      </c>
      <c r="O662" s="7" t="s">
        <v>3942</v>
      </c>
    </row>
    <row r="663" spans="1:16">
      <c r="A663" s="6" t="s">
        <v>31</v>
      </c>
      <c r="B663" s="7">
        <v>621817</v>
      </c>
      <c r="C663" s="7">
        <v>622278</v>
      </c>
      <c r="D663" s="8"/>
      <c r="E663" s="7" t="s">
        <v>53</v>
      </c>
      <c r="F663" s="7" t="s">
        <v>3943</v>
      </c>
      <c r="G663" s="8"/>
      <c r="H663" s="8"/>
      <c r="I663" s="7" t="s">
        <v>55</v>
      </c>
      <c r="J663" s="8"/>
      <c r="K663" s="8"/>
      <c r="L663" s="7" t="s">
        <v>3944</v>
      </c>
      <c r="M663" s="7" t="s">
        <v>3943</v>
      </c>
      <c r="N663" s="7">
        <v>153</v>
      </c>
      <c r="O663" s="7" t="s">
        <v>3945</v>
      </c>
    </row>
    <row r="664" spans="1:16">
      <c r="A664" s="6" t="s">
        <v>31</v>
      </c>
      <c r="B664" s="7">
        <v>622480</v>
      </c>
      <c r="C664" s="7">
        <v>622704</v>
      </c>
      <c r="D664" s="8"/>
      <c r="E664" s="7" t="s">
        <v>75</v>
      </c>
      <c r="F664" s="7" t="s">
        <v>2130</v>
      </c>
      <c r="G664" s="8"/>
      <c r="H664" s="8"/>
      <c r="I664" s="7" t="s">
        <v>55</v>
      </c>
      <c r="J664" s="8"/>
      <c r="K664" s="8"/>
      <c r="L664" s="7" t="s">
        <v>3946</v>
      </c>
      <c r="M664" s="7" t="s">
        <v>2130</v>
      </c>
      <c r="N664" s="7">
        <v>74</v>
      </c>
      <c r="O664" s="7" t="s">
        <v>3947</v>
      </c>
    </row>
    <row r="665" spans="1:16">
      <c r="A665" s="6" t="s">
        <v>31</v>
      </c>
      <c r="B665" s="7">
        <v>622875</v>
      </c>
      <c r="C665" s="7">
        <v>623486</v>
      </c>
      <c r="D665" s="8"/>
      <c r="E665" s="7" t="s">
        <v>53</v>
      </c>
      <c r="F665" s="7" t="s">
        <v>2130</v>
      </c>
      <c r="G665" s="8"/>
      <c r="H665" s="8"/>
      <c r="I665" s="7" t="s">
        <v>55</v>
      </c>
      <c r="J665" s="8"/>
      <c r="K665" s="8"/>
      <c r="L665" s="7" t="s">
        <v>3948</v>
      </c>
      <c r="M665" s="7" t="s">
        <v>2130</v>
      </c>
      <c r="N665" s="7">
        <v>203</v>
      </c>
      <c r="O665" s="7" t="s">
        <v>3949</v>
      </c>
    </row>
    <row r="666" spans="1:16">
      <c r="A666" s="6" t="s">
        <v>31</v>
      </c>
      <c r="B666" s="7">
        <v>623743</v>
      </c>
      <c r="C666" s="7">
        <v>627129</v>
      </c>
      <c r="D666" s="8"/>
      <c r="E666" s="7" t="s">
        <v>53</v>
      </c>
      <c r="F666" s="7" t="s">
        <v>3950</v>
      </c>
      <c r="G666" s="7" t="s">
        <v>736</v>
      </c>
      <c r="H666" s="8"/>
      <c r="I666" s="7" t="s">
        <v>55</v>
      </c>
      <c r="J666" s="8"/>
      <c r="K666" s="8"/>
      <c r="L666" s="7" t="s">
        <v>3951</v>
      </c>
      <c r="M666" s="7" t="s">
        <v>3950</v>
      </c>
      <c r="N666" s="7">
        <v>1128</v>
      </c>
      <c r="O666" s="7" t="s">
        <v>3952</v>
      </c>
      <c r="P666" s="7"/>
    </row>
    <row r="667" spans="1:16">
      <c r="A667" s="6" t="s">
        <v>31</v>
      </c>
      <c r="B667" s="7">
        <v>627307</v>
      </c>
      <c r="C667" s="7">
        <v>628218</v>
      </c>
      <c r="D667" s="8"/>
      <c r="E667" s="7" t="s">
        <v>53</v>
      </c>
      <c r="F667" s="7" t="s">
        <v>991</v>
      </c>
      <c r="G667" s="7" t="s">
        <v>738</v>
      </c>
      <c r="H667" s="8"/>
      <c r="I667" s="7" t="s">
        <v>55</v>
      </c>
      <c r="J667" s="8"/>
      <c r="K667" s="8"/>
      <c r="L667" s="7" t="s">
        <v>3953</v>
      </c>
      <c r="M667" s="7" t="s">
        <v>991</v>
      </c>
      <c r="N667" s="7">
        <v>303</v>
      </c>
      <c r="O667" s="7" t="s">
        <v>3954</v>
      </c>
      <c r="P667" s="7"/>
    </row>
    <row r="668" spans="1:16">
      <c r="A668" s="6" t="s">
        <v>31</v>
      </c>
      <c r="B668" s="7">
        <v>628220</v>
      </c>
      <c r="C668" s="7">
        <v>628543</v>
      </c>
      <c r="D668" s="8"/>
      <c r="E668" s="7" t="s">
        <v>53</v>
      </c>
      <c r="F668" s="7" t="s">
        <v>3955</v>
      </c>
      <c r="G668" s="7" t="s">
        <v>740</v>
      </c>
      <c r="H668" s="8"/>
      <c r="I668" s="7" t="s">
        <v>55</v>
      </c>
      <c r="J668" s="8"/>
      <c r="K668" s="8"/>
      <c r="L668" s="7" t="s">
        <v>3956</v>
      </c>
      <c r="M668" s="7" t="s">
        <v>3955</v>
      </c>
      <c r="N668" s="7">
        <v>107</v>
      </c>
      <c r="O668" s="7" t="s">
        <v>3957</v>
      </c>
      <c r="P668" s="7"/>
    </row>
    <row r="669" spans="1:16">
      <c r="A669" s="6" t="s">
        <v>31</v>
      </c>
      <c r="B669" s="7">
        <v>628540</v>
      </c>
      <c r="C669" s="7">
        <v>629592</v>
      </c>
      <c r="D669" s="8"/>
      <c r="E669" s="7" t="s">
        <v>53</v>
      </c>
      <c r="F669" s="7" t="s">
        <v>3958</v>
      </c>
      <c r="G669" s="8"/>
      <c r="H669" s="8"/>
      <c r="I669" s="7" t="s">
        <v>55</v>
      </c>
      <c r="J669" s="8"/>
      <c r="K669" s="8"/>
      <c r="L669" s="7" t="s">
        <v>3959</v>
      </c>
      <c r="M669" s="7" t="s">
        <v>3958</v>
      </c>
      <c r="N669" s="7">
        <v>350</v>
      </c>
      <c r="O669" s="7" t="s">
        <v>3960</v>
      </c>
    </row>
    <row r="670" spans="1:16">
      <c r="A670" s="6" t="s">
        <v>31</v>
      </c>
      <c r="B670" s="7">
        <v>629791</v>
      </c>
      <c r="C670" s="7">
        <v>630183</v>
      </c>
      <c r="D670" s="8"/>
      <c r="E670" s="7" t="s">
        <v>53</v>
      </c>
      <c r="F670" s="7" t="s">
        <v>2130</v>
      </c>
      <c r="G670" s="8"/>
      <c r="H670" s="8"/>
      <c r="I670" s="7" t="s">
        <v>55</v>
      </c>
      <c r="J670" s="8"/>
      <c r="K670" s="8"/>
      <c r="L670" s="7" t="s">
        <v>3961</v>
      </c>
      <c r="M670" s="7" t="s">
        <v>2130</v>
      </c>
      <c r="N670" s="7">
        <v>130</v>
      </c>
      <c r="O670" s="7" t="s">
        <v>3962</v>
      </c>
    </row>
    <row r="671" spans="1:16">
      <c r="A671" s="6" t="s">
        <v>31</v>
      </c>
      <c r="B671" s="7">
        <v>631021</v>
      </c>
      <c r="C671" s="7">
        <v>631206</v>
      </c>
      <c r="D671" s="8"/>
      <c r="E671" s="7" t="s">
        <v>75</v>
      </c>
      <c r="F671" s="7" t="s">
        <v>2095</v>
      </c>
      <c r="G671" s="8"/>
      <c r="H671" s="8"/>
      <c r="I671" s="7" t="s">
        <v>55</v>
      </c>
      <c r="J671" s="8"/>
      <c r="K671" s="8"/>
      <c r="L671" s="7" t="s">
        <v>3963</v>
      </c>
      <c r="M671" s="7" t="s">
        <v>2095</v>
      </c>
      <c r="N671" s="7">
        <v>61</v>
      </c>
      <c r="O671" s="7" t="s">
        <v>3964</v>
      </c>
    </row>
    <row r="672" spans="1:16">
      <c r="A672" s="6" t="s">
        <v>31</v>
      </c>
      <c r="B672" s="7">
        <v>631315</v>
      </c>
      <c r="C672" s="7">
        <v>632130</v>
      </c>
      <c r="D672" s="8"/>
      <c r="E672" s="7" t="s">
        <v>75</v>
      </c>
      <c r="F672" s="7" t="s">
        <v>3965</v>
      </c>
      <c r="G672" s="8"/>
      <c r="H672" s="8"/>
      <c r="I672" s="7" t="s">
        <v>55</v>
      </c>
      <c r="J672" s="8"/>
      <c r="K672" s="8"/>
      <c r="L672" s="7" t="s">
        <v>3966</v>
      </c>
      <c r="M672" s="7" t="s">
        <v>3965</v>
      </c>
      <c r="N672" s="7">
        <v>271</v>
      </c>
      <c r="O672" s="7" t="s">
        <v>3967</v>
      </c>
    </row>
    <row r="673" spans="1:17">
      <c r="A673" s="6" t="s">
        <v>31</v>
      </c>
      <c r="B673" s="7">
        <v>632130</v>
      </c>
      <c r="C673" s="7">
        <v>633032</v>
      </c>
      <c r="D673" s="8"/>
      <c r="E673" s="7" t="s">
        <v>75</v>
      </c>
      <c r="F673" s="7" t="s">
        <v>3968</v>
      </c>
      <c r="G673" s="7" t="s">
        <v>3969</v>
      </c>
      <c r="H673" s="8"/>
      <c r="I673" s="7" t="s">
        <v>55</v>
      </c>
      <c r="J673" s="8"/>
      <c r="K673" s="8"/>
      <c r="L673" s="7" t="s">
        <v>3970</v>
      </c>
      <c r="M673" s="7" t="s">
        <v>3968</v>
      </c>
      <c r="N673" s="7">
        <v>300</v>
      </c>
      <c r="O673" s="7" t="s">
        <v>3971</v>
      </c>
    </row>
    <row r="674" spans="1:17">
      <c r="A674" s="6" t="s">
        <v>31</v>
      </c>
      <c r="B674" s="7">
        <v>633038</v>
      </c>
      <c r="C674" s="7">
        <v>633169</v>
      </c>
      <c r="D674" s="8"/>
      <c r="E674" s="7" t="s">
        <v>75</v>
      </c>
      <c r="F674" s="7" t="s">
        <v>2130</v>
      </c>
      <c r="G674" s="8"/>
      <c r="H674" s="8"/>
      <c r="I674" s="7" t="s">
        <v>55</v>
      </c>
      <c r="J674" s="8"/>
      <c r="K674" s="8"/>
      <c r="L674" s="7" t="s">
        <v>3972</v>
      </c>
      <c r="M674" s="7" t="s">
        <v>2130</v>
      </c>
      <c r="N674" s="7">
        <v>43</v>
      </c>
      <c r="O674" s="7" t="s">
        <v>3973</v>
      </c>
    </row>
    <row r="675" spans="1:17">
      <c r="A675" s="6" t="s">
        <v>31</v>
      </c>
      <c r="B675" s="7">
        <v>633396</v>
      </c>
      <c r="C675" s="7">
        <v>635528</v>
      </c>
      <c r="D675" s="8"/>
      <c r="E675" s="7" t="s">
        <v>53</v>
      </c>
      <c r="F675" s="7" t="s">
        <v>3974</v>
      </c>
      <c r="G675" s="7" t="s">
        <v>3975</v>
      </c>
      <c r="H675" s="8"/>
      <c r="I675" s="7" t="s">
        <v>55</v>
      </c>
      <c r="J675" s="8"/>
      <c r="K675" s="8"/>
      <c r="L675" s="7" t="s">
        <v>3976</v>
      </c>
      <c r="M675" s="7" t="s">
        <v>3974</v>
      </c>
      <c r="N675" s="7">
        <v>710</v>
      </c>
      <c r="O675" s="7" t="s">
        <v>3977</v>
      </c>
    </row>
    <row r="676" spans="1:17">
      <c r="A676" s="6" t="s">
        <v>31</v>
      </c>
      <c r="B676" s="7">
        <v>636022</v>
      </c>
      <c r="C676" s="7">
        <v>636285</v>
      </c>
      <c r="D676" s="8"/>
      <c r="E676" s="7" t="s">
        <v>53</v>
      </c>
      <c r="F676" s="7" t="s">
        <v>3978</v>
      </c>
      <c r="G676" s="8"/>
      <c r="H676" s="8"/>
      <c r="I676" s="7" t="s">
        <v>55</v>
      </c>
      <c r="J676" s="8"/>
      <c r="K676" s="8"/>
      <c r="L676" s="7" t="s">
        <v>3979</v>
      </c>
      <c r="M676" s="7" t="s">
        <v>3978</v>
      </c>
      <c r="N676" s="7">
        <v>87</v>
      </c>
      <c r="O676" s="7" t="s">
        <v>3980</v>
      </c>
    </row>
    <row r="677" spans="1:17">
      <c r="A677" s="6" t="s">
        <v>31</v>
      </c>
      <c r="B677" s="7">
        <v>636414</v>
      </c>
      <c r="C677" s="7">
        <v>637343</v>
      </c>
      <c r="D677" s="8"/>
      <c r="E677" s="7" t="s">
        <v>53</v>
      </c>
      <c r="F677" s="7" t="s">
        <v>3981</v>
      </c>
      <c r="G677" s="7" t="s">
        <v>749</v>
      </c>
      <c r="H677" s="8"/>
      <c r="I677" s="7" t="s">
        <v>55</v>
      </c>
      <c r="J677" s="8"/>
      <c r="K677" s="8"/>
      <c r="L677" s="7" t="s">
        <v>3982</v>
      </c>
      <c r="M677" s="7" t="s">
        <v>3981</v>
      </c>
      <c r="N677" s="7">
        <v>309</v>
      </c>
      <c r="O677" s="7" t="s">
        <v>3983</v>
      </c>
      <c r="P677" s="7"/>
      <c r="Q677" s="7"/>
    </row>
    <row r="678" spans="1:17">
      <c r="A678" s="6" t="s">
        <v>31</v>
      </c>
      <c r="B678" s="7">
        <v>637343</v>
      </c>
      <c r="C678" s="7">
        <v>638134</v>
      </c>
      <c r="D678" s="8"/>
      <c r="E678" s="7" t="s">
        <v>53</v>
      </c>
      <c r="F678" s="7" t="s">
        <v>3984</v>
      </c>
      <c r="G678" s="7" t="s">
        <v>751</v>
      </c>
      <c r="H678" s="8"/>
      <c r="I678" s="7" t="s">
        <v>55</v>
      </c>
      <c r="J678" s="8"/>
      <c r="K678" s="8"/>
      <c r="L678" s="7" t="s">
        <v>3985</v>
      </c>
      <c r="M678" s="7" t="s">
        <v>3984</v>
      </c>
      <c r="N678" s="7">
        <v>263</v>
      </c>
      <c r="O678" s="7" t="s">
        <v>3986</v>
      </c>
      <c r="P678" s="7"/>
    </row>
    <row r="679" spans="1:17">
      <c r="A679" s="6" t="s">
        <v>31</v>
      </c>
      <c r="B679" s="7">
        <v>638257</v>
      </c>
      <c r="C679" s="7">
        <v>638655</v>
      </c>
      <c r="D679" s="8"/>
      <c r="E679" s="7" t="s">
        <v>53</v>
      </c>
      <c r="F679" s="7" t="s">
        <v>3987</v>
      </c>
      <c r="G679" s="8"/>
      <c r="H679" s="8"/>
      <c r="I679" s="7" t="s">
        <v>55</v>
      </c>
      <c r="J679" s="8"/>
      <c r="K679" s="8"/>
      <c r="L679" s="7" t="s">
        <v>3988</v>
      </c>
      <c r="M679" s="7" t="s">
        <v>3987</v>
      </c>
      <c r="N679" s="7">
        <v>132</v>
      </c>
      <c r="O679" s="7" t="s">
        <v>3989</v>
      </c>
    </row>
    <row r="680" spans="1:17">
      <c r="A680" s="6" t="s">
        <v>31</v>
      </c>
      <c r="B680" s="7">
        <v>638668</v>
      </c>
      <c r="C680" s="7">
        <v>639102</v>
      </c>
      <c r="D680" s="8"/>
      <c r="E680" s="7" t="s">
        <v>53</v>
      </c>
      <c r="F680" s="7" t="s">
        <v>3990</v>
      </c>
      <c r="G680" s="8"/>
      <c r="H680" s="8"/>
      <c r="I680" s="7" t="s">
        <v>55</v>
      </c>
      <c r="J680" s="8"/>
      <c r="K680" s="8"/>
      <c r="L680" s="7" t="s">
        <v>3991</v>
      </c>
      <c r="M680" s="7" t="s">
        <v>3990</v>
      </c>
      <c r="N680" s="7">
        <v>144</v>
      </c>
      <c r="O680" s="7" t="s">
        <v>3992</v>
      </c>
    </row>
    <row r="681" spans="1:17">
      <c r="A681" s="6" t="s">
        <v>31</v>
      </c>
      <c r="B681" s="7">
        <v>639129</v>
      </c>
      <c r="C681" s="7">
        <v>639425</v>
      </c>
      <c r="D681" s="8"/>
      <c r="E681" s="7" t="s">
        <v>75</v>
      </c>
      <c r="F681" s="7" t="s">
        <v>2130</v>
      </c>
      <c r="G681" s="8"/>
      <c r="H681" s="8"/>
      <c r="I681" s="7" t="s">
        <v>55</v>
      </c>
      <c r="J681" s="8"/>
      <c r="K681" s="8"/>
      <c r="L681" s="7" t="s">
        <v>3993</v>
      </c>
      <c r="M681" s="7" t="s">
        <v>2130</v>
      </c>
      <c r="N681" s="7">
        <v>98</v>
      </c>
      <c r="O681" s="7" t="s">
        <v>3994</v>
      </c>
    </row>
    <row r="682" spans="1:17">
      <c r="A682" s="6" t="s">
        <v>31</v>
      </c>
      <c r="B682" s="7">
        <v>639658</v>
      </c>
      <c r="C682" s="7">
        <v>640587</v>
      </c>
      <c r="D682" s="8"/>
      <c r="E682" s="7" t="s">
        <v>53</v>
      </c>
      <c r="F682" s="7" t="s">
        <v>3995</v>
      </c>
      <c r="G682" s="8"/>
      <c r="H682" s="8"/>
      <c r="I682" s="7" t="s">
        <v>55</v>
      </c>
      <c r="J682" s="8"/>
      <c r="K682" s="8"/>
      <c r="L682" s="7" t="s">
        <v>3996</v>
      </c>
      <c r="M682" s="7" t="s">
        <v>3995</v>
      </c>
      <c r="N682" s="7">
        <v>309</v>
      </c>
      <c r="O682" s="7" t="s">
        <v>3997</v>
      </c>
    </row>
    <row r="683" spans="1:17">
      <c r="A683" s="6" t="s">
        <v>31</v>
      </c>
      <c r="B683" s="7">
        <v>640684</v>
      </c>
      <c r="C683" s="7">
        <v>641970</v>
      </c>
      <c r="D683" s="8"/>
      <c r="E683" s="7" t="s">
        <v>53</v>
      </c>
      <c r="F683" s="7" t="s">
        <v>3998</v>
      </c>
      <c r="G683" s="7" t="s">
        <v>3999</v>
      </c>
      <c r="H683" s="8"/>
      <c r="I683" s="7" t="s">
        <v>55</v>
      </c>
      <c r="J683" s="8"/>
      <c r="K683" s="8"/>
      <c r="L683" s="7" t="s">
        <v>4000</v>
      </c>
      <c r="M683" s="7" t="s">
        <v>3998</v>
      </c>
      <c r="N683" s="7">
        <v>428</v>
      </c>
      <c r="O683" s="7" t="s">
        <v>4001</v>
      </c>
    </row>
    <row r="684" spans="1:17">
      <c r="A684" s="6" t="s">
        <v>31</v>
      </c>
      <c r="B684" s="7">
        <v>642340</v>
      </c>
      <c r="C684" s="7">
        <v>642879</v>
      </c>
      <c r="D684" s="8"/>
      <c r="E684" s="7" t="s">
        <v>75</v>
      </c>
      <c r="F684" s="7" t="s">
        <v>4002</v>
      </c>
      <c r="G684" s="7" t="s">
        <v>4003</v>
      </c>
      <c r="H684" s="8"/>
      <c r="I684" s="7" t="s">
        <v>55</v>
      </c>
      <c r="J684" s="8"/>
      <c r="K684" s="8"/>
      <c r="L684" s="7" t="s">
        <v>4004</v>
      </c>
      <c r="M684" s="7" t="s">
        <v>4002</v>
      </c>
      <c r="N684" s="7">
        <v>179</v>
      </c>
      <c r="O684" s="7" t="s">
        <v>4005</v>
      </c>
    </row>
    <row r="685" spans="1:17">
      <c r="A685" s="6" t="s">
        <v>31</v>
      </c>
      <c r="B685" s="7">
        <v>642974</v>
      </c>
      <c r="C685" s="7">
        <v>643258</v>
      </c>
      <c r="D685" s="8"/>
      <c r="E685" s="7" t="s">
        <v>75</v>
      </c>
      <c r="F685" s="7" t="s">
        <v>2130</v>
      </c>
      <c r="G685" s="8"/>
      <c r="H685" s="8"/>
      <c r="I685" s="7" t="s">
        <v>55</v>
      </c>
      <c r="J685" s="8"/>
      <c r="K685" s="8"/>
      <c r="L685" s="7" t="s">
        <v>4006</v>
      </c>
      <c r="M685" s="7" t="s">
        <v>2130</v>
      </c>
      <c r="N685" s="7">
        <v>94</v>
      </c>
      <c r="O685" s="7" t="s">
        <v>4007</v>
      </c>
    </row>
    <row r="686" spans="1:17">
      <c r="A686" s="6" t="s">
        <v>31</v>
      </c>
      <c r="B686" s="7">
        <v>643384</v>
      </c>
      <c r="C686" s="7">
        <v>643596</v>
      </c>
      <c r="D686" s="8"/>
      <c r="E686" s="7" t="s">
        <v>53</v>
      </c>
      <c r="F686" s="7" t="s">
        <v>4008</v>
      </c>
      <c r="G686" s="8"/>
      <c r="H686" s="8"/>
      <c r="I686" s="7" t="s">
        <v>55</v>
      </c>
      <c r="J686" s="8"/>
      <c r="K686" s="8"/>
      <c r="L686" s="7" t="s">
        <v>4009</v>
      </c>
      <c r="M686" s="7" t="s">
        <v>4008</v>
      </c>
      <c r="N686" s="7">
        <v>70</v>
      </c>
      <c r="O686" s="7" t="s">
        <v>4010</v>
      </c>
    </row>
    <row r="687" spans="1:17">
      <c r="A687" s="6" t="s">
        <v>31</v>
      </c>
      <c r="B687" s="7">
        <v>643632</v>
      </c>
      <c r="C687" s="7">
        <v>644969</v>
      </c>
      <c r="D687" s="8"/>
      <c r="E687" s="7" t="s">
        <v>75</v>
      </c>
      <c r="F687" s="7" t="s">
        <v>4011</v>
      </c>
      <c r="G687" s="7" t="s">
        <v>4012</v>
      </c>
      <c r="H687" s="8"/>
      <c r="I687" s="7" t="s">
        <v>55</v>
      </c>
      <c r="J687" s="8"/>
      <c r="K687" s="8"/>
      <c r="L687" s="7" t="s">
        <v>4013</v>
      </c>
      <c r="M687" s="7" t="s">
        <v>4011</v>
      </c>
      <c r="N687" s="7">
        <v>445</v>
      </c>
      <c r="O687" s="7" t="s">
        <v>4014</v>
      </c>
    </row>
    <row r="688" spans="1:17">
      <c r="A688" s="6" t="s">
        <v>31</v>
      </c>
      <c r="B688" s="7">
        <v>645165</v>
      </c>
      <c r="C688" s="7">
        <v>645473</v>
      </c>
      <c r="D688" s="8"/>
      <c r="E688" s="7" t="s">
        <v>53</v>
      </c>
      <c r="F688" s="7" t="s">
        <v>2130</v>
      </c>
      <c r="G688" s="8"/>
      <c r="H688" s="8"/>
      <c r="I688" s="7" t="s">
        <v>55</v>
      </c>
      <c r="J688" s="8"/>
      <c r="K688" s="8"/>
      <c r="L688" s="7" t="s">
        <v>4015</v>
      </c>
      <c r="M688" s="7" t="s">
        <v>2130</v>
      </c>
      <c r="N688" s="7">
        <v>102</v>
      </c>
      <c r="O688" s="7" t="s">
        <v>4016</v>
      </c>
    </row>
    <row r="689" spans="1:16">
      <c r="A689" s="6" t="s">
        <v>31</v>
      </c>
      <c r="B689" s="7">
        <v>645576</v>
      </c>
      <c r="C689" s="7">
        <v>645965</v>
      </c>
      <c r="D689" s="8"/>
      <c r="E689" s="7" t="s">
        <v>53</v>
      </c>
      <c r="F689" s="7" t="s">
        <v>3774</v>
      </c>
      <c r="G689" s="8"/>
      <c r="H689" s="8"/>
      <c r="I689" s="7" t="s">
        <v>55</v>
      </c>
      <c r="J689" s="8"/>
      <c r="K689" s="8"/>
      <c r="L689" s="7" t="s">
        <v>4017</v>
      </c>
      <c r="M689" s="7" t="s">
        <v>3774</v>
      </c>
      <c r="N689" s="7">
        <v>129</v>
      </c>
      <c r="O689" s="7" t="s">
        <v>4018</v>
      </c>
      <c r="P689" s="7"/>
    </row>
    <row r="690" spans="1:16">
      <c r="A690" s="6" t="s">
        <v>31</v>
      </c>
      <c r="B690" s="7">
        <v>645988</v>
      </c>
      <c r="C690" s="7">
        <v>648060</v>
      </c>
      <c r="D690" s="8"/>
      <c r="E690" s="7" t="s">
        <v>75</v>
      </c>
      <c r="F690" s="7" t="s">
        <v>2130</v>
      </c>
      <c r="G690" s="8"/>
      <c r="H690" s="8"/>
      <c r="I690" s="7" t="s">
        <v>55</v>
      </c>
      <c r="J690" s="8"/>
      <c r="K690" s="8"/>
      <c r="L690" s="7" t="s">
        <v>4019</v>
      </c>
      <c r="M690" s="7" t="s">
        <v>2130</v>
      </c>
      <c r="N690" s="7">
        <v>690</v>
      </c>
      <c r="O690" s="7" t="s">
        <v>4020</v>
      </c>
    </row>
    <row r="691" spans="1:16">
      <c r="A691" s="6" t="s">
        <v>31</v>
      </c>
      <c r="B691" s="7">
        <v>648151</v>
      </c>
      <c r="C691" s="7">
        <v>648873</v>
      </c>
      <c r="D691" s="8"/>
      <c r="E691" s="7" t="s">
        <v>75</v>
      </c>
      <c r="F691" s="7" t="s">
        <v>2130</v>
      </c>
      <c r="G691" s="8"/>
      <c r="H691" s="8"/>
      <c r="I691" s="7" t="s">
        <v>55</v>
      </c>
      <c r="J691" s="8"/>
      <c r="K691" s="8"/>
      <c r="L691" s="7" t="s">
        <v>4021</v>
      </c>
      <c r="M691" s="7" t="s">
        <v>2130</v>
      </c>
      <c r="N691" s="7">
        <v>240</v>
      </c>
      <c r="O691" s="7" t="s">
        <v>4022</v>
      </c>
    </row>
    <row r="692" spans="1:16">
      <c r="A692" s="6" t="s">
        <v>31</v>
      </c>
      <c r="B692" s="7">
        <v>649511</v>
      </c>
      <c r="C692" s="7">
        <v>651001</v>
      </c>
      <c r="D692" s="8"/>
      <c r="E692" s="7" t="s">
        <v>75</v>
      </c>
      <c r="F692" s="7" t="s">
        <v>4023</v>
      </c>
      <c r="G692" s="7" t="s">
        <v>764</v>
      </c>
      <c r="H692" s="8"/>
      <c r="I692" s="7" t="s">
        <v>55</v>
      </c>
      <c r="J692" s="8"/>
      <c r="K692" s="8"/>
      <c r="L692" s="7" t="s">
        <v>4024</v>
      </c>
      <c r="M692" s="7" t="s">
        <v>4023</v>
      </c>
      <c r="N692" s="7">
        <v>496</v>
      </c>
      <c r="O692" s="7" t="s">
        <v>4025</v>
      </c>
      <c r="P692" s="7"/>
    </row>
    <row r="693" spans="1:16">
      <c r="A693" s="6" t="s">
        <v>31</v>
      </c>
      <c r="B693" s="7">
        <v>651130</v>
      </c>
      <c r="C693" s="7">
        <v>651270</v>
      </c>
      <c r="D693" s="8"/>
      <c r="E693" s="7" t="s">
        <v>53</v>
      </c>
      <c r="F693" s="7" t="s">
        <v>2130</v>
      </c>
      <c r="G693" s="8"/>
      <c r="H693" s="8"/>
      <c r="I693" s="7" t="s">
        <v>55</v>
      </c>
      <c r="J693" s="8"/>
      <c r="K693" s="8"/>
      <c r="L693" s="7" t="s">
        <v>4026</v>
      </c>
      <c r="M693" s="7" t="s">
        <v>2130</v>
      </c>
      <c r="N693" s="7">
        <v>46</v>
      </c>
      <c r="O693" s="7" t="s">
        <v>4027</v>
      </c>
    </row>
    <row r="694" spans="1:16">
      <c r="A694" s="6" t="s">
        <v>31</v>
      </c>
      <c r="B694" s="7">
        <v>651304</v>
      </c>
      <c r="C694" s="7">
        <v>651651</v>
      </c>
      <c r="D694" s="8"/>
      <c r="E694" s="7" t="s">
        <v>53</v>
      </c>
      <c r="F694" s="7" t="s">
        <v>2130</v>
      </c>
      <c r="G694" s="8"/>
      <c r="H694" s="8"/>
      <c r="I694" s="7" t="s">
        <v>55</v>
      </c>
      <c r="J694" s="8"/>
      <c r="K694" s="8"/>
      <c r="L694" s="7" t="s">
        <v>4028</v>
      </c>
      <c r="M694" s="7" t="s">
        <v>2130</v>
      </c>
      <c r="N694" s="7">
        <v>115</v>
      </c>
      <c r="O694" s="7" t="s">
        <v>4029</v>
      </c>
    </row>
    <row r="695" spans="1:16">
      <c r="A695" s="6" t="s">
        <v>31</v>
      </c>
      <c r="B695" s="7">
        <v>651658</v>
      </c>
      <c r="C695" s="7">
        <v>651876</v>
      </c>
      <c r="D695" s="8"/>
      <c r="E695" s="7" t="s">
        <v>75</v>
      </c>
      <c r="F695" s="7" t="s">
        <v>2130</v>
      </c>
      <c r="G695" s="8"/>
      <c r="H695" s="8"/>
      <c r="I695" s="7" t="s">
        <v>55</v>
      </c>
      <c r="J695" s="8"/>
      <c r="K695" s="8"/>
      <c r="L695" s="7" t="s">
        <v>4030</v>
      </c>
      <c r="M695" s="7" t="s">
        <v>2130</v>
      </c>
      <c r="N695" s="7">
        <v>72</v>
      </c>
      <c r="O695" s="7" t="s">
        <v>4031</v>
      </c>
    </row>
    <row r="696" spans="1:16">
      <c r="A696" s="6" t="s">
        <v>31</v>
      </c>
      <c r="B696" s="7">
        <v>651851</v>
      </c>
      <c r="C696" s="7">
        <v>652405</v>
      </c>
      <c r="D696" s="8"/>
      <c r="E696" s="7" t="s">
        <v>53</v>
      </c>
      <c r="F696" s="7" t="s">
        <v>2130</v>
      </c>
      <c r="G696" s="8"/>
      <c r="H696" s="8"/>
      <c r="I696" s="7" t="s">
        <v>55</v>
      </c>
      <c r="J696" s="8"/>
      <c r="K696" s="8"/>
      <c r="L696" s="7" t="s">
        <v>4032</v>
      </c>
      <c r="M696" s="7" t="s">
        <v>2130</v>
      </c>
      <c r="N696" s="7">
        <v>184</v>
      </c>
      <c r="O696" s="7" t="s">
        <v>4033</v>
      </c>
    </row>
    <row r="697" spans="1:16">
      <c r="A697" s="6" t="s">
        <v>31</v>
      </c>
      <c r="B697" s="7">
        <v>652419</v>
      </c>
      <c r="C697" s="7">
        <v>652898</v>
      </c>
      <c r="D697" s="8"/>
      <c r="E697" s="7" t="s">
        <v>53</v>
      </c>
      <c r="F697" s="7" t="s">
        <v>2078</v>
      </c>
      <c r="G697" s="8"/>
      <c r="H697" s="8"/>
      <c r="I697" s="7" t="s">
        <v>55</v>
      </c>
      <c r="J697" s="8"/>
      <c r="K697" s="8"/>
      <c r="L697" s="7" t="s">
        <v>4034</v>
      </c>
      <c r="M697" s="7" t="s">
        <v>2078</v>
      </c>
      <c r="N697" s="7">
        <v>159</v>
      </c>
      <c r="O697" s="7" t="s">
        <v>4035</v>
      </c>
    </row>
    <row r="698" spans="1:16">
      <c r="A698" s="6" t="s">
        <v>31</v>
      </c>
      <c r="B698" s="7">
        <v>653223</v>
      </c>
      <c r="C698" s="7">
        <v>654125</v>
      </c>
      <c r="D698" s="8"/>
      <c r="E698" s="7" t="s">
        <v>53</v>
      </c>
      <c r="F698" s="7" t="s">
        <v>4036</v>
      </c>
      <c r="G698" s="8"/>
      <c r="H698" s="8"/>
      <c r="I698" s="7" t="s">
        <v>55</v>
      </c>
      <c r="J698" s="8"/>
      <c r="K698" s="8"/>
      <c r="L698" s="7" t="s">
        <v>4037</v>
      </c>
      <c r="M698" s="7" t="s">
        <v>4036</v>
      </c>
      <c r="N698" s="7">
        <v>300</v>
      </c>
      <c r="O698" s="7" t="s">
        <v>4038</v>
      </c>
      <c r="P698" s="7"/>
    </row>
    <row r="699" spans="1:16">
      <c r="A699" s="6" t="s">
        <v>31</v>
      </c>
      <c r="B699" s="7">
        <v>654183</v>
      </c>
      <c r="C699" s="7">
        <v>654254</v>
      </c>
      <c r="D699" s="8"/>
      <c r="E699" s="7" t="s">
        <v>53</v>
      </c>
      <c r="F699" s="7" t="s">
        <v>2095</v>
      </c>
      <c r="G699" s="8"/>
      <c r="H699" s="8"/>
      <c r="I699" s="7" t="s">
        <v>55</v>
      </c>
      <c r="J699" s="8"/>
      <c r="K699" s="8"/>
      <c r="L699" s="7" t="s">
        <v>4039</v>
      </c>
      <c r="M699" s="7" t="s">
        <v>2095</v>
      </c>
      <c r="N699" s="7">
        <v>23</v>
      </c>
      <c r="O699" s="7" t="s">
        <v>4040</v>
      </c>
    </row>
    <row r="700" spans="1:16">
      <c r="A700" s="6" t="s">
        <v>31</v>
      </c>
      <c r="B700" s="7">
        <v>654549</v>
      </c>
      <c r="C700" s="7">
        <v>655187</v>
      </c>
      <c r="D700" s="8"/>
      <c r="E700" s="7" t="s">
        <v>75</v>
      </c>
      <c r="F700" s="7" t="s">
        <v>4041</v>
      </c>
      <c r="G700" s="8"/>
      <c r="H700" s="8"/>
      <c r="I700" s="7" t="s">
        <v>55</v>
      </c>
      <c r="J700" s="8"/>
      <c r="K700" s="8"/>
      <c r="L700" s="7" t="s">
        <v>4042</v>
      </c>
      <c r="M700" s="7" t="s">
        <v>4041</v>
      </c>
      <c r="N700" s="7">
        <v>212</v>
      </c>
      <c r="O700" s="7" t="s">
        <v>4043</v>
      </c>
    </row>
    <row r="701" spans="1:16">
      <c r="A701" s="6" t="s">
        <v>31</v>
      </c>
      <c r="B701" s="7">
        <v>655190</v>
      </c>
      <c r="C701" s="7">
        <v>655663</v>
      </c>
      <c r="D701" s="8"/>
      <c r="E701" s="7" t="s">
        <v>75</v>
      </c>
      <c r="F701" s="7" t="s">
        <v>4044</v>
      </c>
      <c r="G701" s="8"/>
      <c r="H701" s="8"/>
      <c r="I701" s="7" t="s">
        <v>55</v>
      </c>
      <c r="J701" s="8"/>
      <c r="K701" s="8"/>
      <c r="L701" s="7" t="s">
        <v>4045</v>
      </c>
      <c r="M701" s="7" t="s">
        <v>4044</v>
      </c>
      <c r="N701" s="7">
        <v>157</v>
      </c>
      <c r="O701" s="7" t="s">
        <v>4046</v>
      </c>
      <c r="P701" s="7"/>
    </row>
    <row r="702" spans="1:16">
      <c r="A702" s="6" t="s">
        <v>31</v>
      </c>
      <c r="B702" s="7">
        <v>655778</v>
      </c>
      <c r="C702" s="7">
        <v>656725</v>
      </c>
      <c r="D702" s="8"/>
      <c r="E702" s="7" t="s">
        <v>75</v>
      </c>
      <c r="F702" s="7" t="s">
        <v>4047</v>
      </c>
      <c r="G702" s="8"/>
      <c r="H702" s="8"/>
      <c r="I702" s="7" t="s">
        <v>55</v>
      </c>
      <c r="J702" s="8"/>
      <c r="K702" s="8"/>
      <c r="L702" s="7" t="s">
        <v>4048</v>
      </c>
      <c r="M702" s="7" t="s">
        <v>4047</v>
      </c>
      <c r="N702" s="7">
        <v>315</v>
      </c>
      <c r="O702" s="7" t="s">
        <v>4049</v>
      </c>
    </row>
    <row r="703" spans="1:16">
      <c r="A703" s="6" t="s">
        <v>31</v>
      </c>
      <c r="B703" s="7">
        <v>656917</v>
      </c>
      <c r="C703" s="7">
        <v>657306</v>
      </c>
      <c r="D703" s="8"/>
      <c r="E703" s="7" t="s">
        <v>75</v>
      </c>
      <c r="F703" s="7" t="s">
        <v>4050</v>
      </c>
      <c r="G703" s="8"/>
      <c r="H703" s="8"/>
      <c r="I703" s="7" t="s">
        <v>55</v>
      </c>
      <c r="J703" s="8"/>
      <c r="K703" s="8"/>
      <c r="L703" s="7" t="s">
        <v>4051</v>
      </c>
      <c r="M703" s="7" t="s">
        <v>4050</v>
      </c>
      <c r="N703" s="7">
        <v>129</v>
      </c>
      <c r="O703" s="7" t="s">
        <v>4052</v>
      </c>
    </row>
    <row r="704" spans="1:16">
      <c r="A704" s="6" t="s">
        <v>31</v>
      </c>
      <c r="B704" s="7">
        <v>657562</v>
      </c>
      <c r="C704" s="7">
        <v>658188</v>
      </c>
      <c r="D704" s="8"/>
      <c r="E704" s="7" t="s">
        <v>75</v>
      </c>
      <c r="F704" s="7" t="s">
        <v>4053</v>
      </c>
      <c r="G704" s="8"/>
      <c r="H704" s="8"/>
      <c r="I704" s="7" t="s">
        <v>55</v>
      </c>
      <c r="J704" s="8"/>
      <c r="K704" s="8"/>
      <c r="L704" s="7" t="s">
        <v>4054</v>
      </c>
      <c r="M704" s="7" t="s">
        <v>4053</v>
      </c>
      <c r="N704" s="7">
        <v>208</v>
      </c>
      <c r="O704" s="7" t="s">
        <v>4055</v>
      </c>
    </row>
    <row r="705" spans="1:16">
      <c r="A705" s="6" t="s">
        <v>31</v>
      </c>
      <c r="B705" s="7">
        <v>658435</v>
      </c>
      <c r="C705" s="7">
        <v>658716</v>
      </c>
      <c r="D705" s="8"/>
      <c r="E705" s="7" t="s">
        <v>53</v>
      </c>
      <c r="F705" s="7" t="s">
        <v>2130</v>
      </c>
      <c r="G705" s="8"/>
      <c r="H705" s="8"/>
      <c r="I705" s="7" t="s">
        <v>55</v>
      </c>
      <c r="J705" s="8"/>
      <c r="K705" s="8"/>
      <c r="L705" s="7" t="s">
        <v>4056</v>
      </c>
      <c r="M705" s="7" t="s">
        <v>2130</v>
      </c>
      <c r="N705" s="7">
        <v>93</v>
      </c>
      <c r="O705" s="7" t="s">
        <v>4057</v>
      </c>
    </row>
    <row r="706" spans="1:16">
      <c r="A706" s="6" t="s">
        <v>31</v>
      </c>
      <c r="B706" s="7">
        <v>658999</v>
      </c>
      <c r="C706" s="7">
        <v>659163</v>
      </c>
      <c r="D706" s="8"/>
      <c r="E706" s="7" t="s">
        <v>53</v>
      </c>
      <c r="F706" s="7" t="s">
        <v>2095</v>
      </c>
      <c r="G706" s="8"/>
      <c r="H706" s="8"/>
      <c r="I706" s="7" t="s">
        <v>55</v>
      </c>
      <c r="J706" s="8"/>
      <c r="K706" s="8"/>
      <c r="L706" s="7" t="s">
        <v>4058</v>
      </c>
      <c r="M706" s="7" t="s">
        <v>2095</v>
      </c>
      <c r="N706" s="7">
        <v>54</v>
      </c>
      <c r="O706" s="7" t="s">
        <v>4059</v>
      </c>
    </row>
    <row r="707" spans="1:16">
      <c r="A707" s="6" t="s">
        <v>31</v>
      </c>
      <c r="B707" s="7">
        <v>659488</v>
      </c>
      <c r="C707" s="7">
        <v>660255</v>
      </c>
      <c r="D707" s="8"/>
      <c r="E707" s="7" t="s">
        <v>53</v>
      </c>
      <c r="F707" s="7" t="s">
        <v>4060</v>
      </c>
      <c r="G707" s="7" t="s">
        <v>4061</v>
      </c>
      <c r="H707" s="8"/>
      <c r="I707" s="7" t="s">
        <v>55</v>
      </c>
      <c r="J707" s="8"/>
      <c r="K707" s="8"/>
      <c r="L707" s="7" t="s">
        <v>4062</v>
      </c>
      <c r="M707" s="7" t="s">
        <v>4060</v>
      </c>
      <c r="N707" s="7">
        <v>255</v>
      </c>
      <c r="O707" s="7" t="s">
        <v>4063</v>
      </c>
    </row>
    <row r="708" spans="1:16">
      <c r="A708" s="6" t="s">
        <v>31</v>
      </c>
      <c r="B708" s="7">
        <v>660515</v>
      </c>
      <c r="C708" s="7">
        <v>663505</v>
      </c>
      <c r="D708" s="8"/>
      <c r="E708" s="7" t="s">
        <v>53</v>
      </c>
      <c r="F708" s="7" t="s">
        <v>4064</v>
      </c>
      <c r="G708" s="8"/>
      <c r="H708" s="8"/>
      <c r="I708" s="7" t="s">
        <v>55</v>
      </c>
      <c r="J708" s="8"/>
      <c r="K708" s="8"/>
      <c r="L708" s="7" t="s">
        <v>4065</v>
      </c>
      <c r="M708" s="7" t="s">
        <v>4064</v>
      </c>
      <c r="N708" s="7">
        <v>996</v>
      </c>
      <c r="O708" s="7" t="s">
        <v>4066</v>
      </c>
      <c r="P708" s="7"/>
    </row>
    <row r="709" spans="1:16">
      <c r="A709" s="6" t="s">
        <v>31</v>
      </c>
      <c r="B709" s="7">
        <v>663519</v>
      </c>
      <c r="C709" s="7">
        <v>665129</v>
      </c>
      <c r="D709" s="8"/>
      <c r="E709" s="7" t="s">
        <v>53</v>
      </c>
      <c r="F709" s="7" t="s">
        <v>2130</v>
      </c>
      <c r="G709" s="8"/>
      <c r="H709" s="8"/>
      <c r="I709" s="7" t="s">
        <v>55</v>
      </c>
      <c r="J709" s="8"/>
      <c r="K709" s="8"/>
      <c r="L709" s="7" t="s">
        <v>4067</v>
      </c>
      <c r="M709" s="7" t="s">
        <v>2130</v>
      </c>
      <c r="N709" s="7">
        <v>536</v>
      </c>
      <c r="O709" s="7" t="s">
        <v>4068</v>
      </c>
    </row>
    <row r="710" spans="1:16">
      <c r="A710" s="6" t="s">
        <v>31</v>
      </c>
      <c r="B710" s="7">
        <v>665130</v>
      </c>
      <c r="C710" s="7">
        <v>666029</v>
      </c>
      <c r="D710" s="8"/>
      <c r="E710" s="7" t="s">
        <v>53</v>
      </c>
      <c r="F710" s="7" t="s">
        <v>2130</v>
      </c>
      <c r="G710" s="8"/>
      <c r="H710" s="8"/>
      <c r="I710" s="7" t="s">
        <v>55</v>
      </c>
      <c r="J710" s="8"/>
      <c r="K710" s="8"/>
      <c r="L710" s="7" t="s">
        <v>4069</v>
      </c>
      <c r="M710" s="7" t="s">
        <v>2130</v>
      </c>
      <c r="N710" s="7">
        <v>299</v>
      </c>
      <c r="O710" s="7" t="s">
        <v>4070</v>
      </c>
    </row>
    <row r="711" spans="1:16">
      <c r="A711" s="6" t="s">
        <v>31</v>
      </c>
      <c r="B711" s="7">
        <v>666044</v>
      </c>
      <c r="C711" s="7">
        <v>667264</v>
      </c>
      <c r="D711" s="8"/>
      <c r="E711" s="7" t="s">
        <v>53</v>
      </c>
      <c r="F711" s="7" t="s">
        <v>4071</v>
      </c>
      <c r="G711" s="8"/>
      <c r="H711" s="8"/>
      <c r="I711" s="7" t="s">
        <v>55</v>
      </c>
      <c r="J711" s="8"/>
      <c r="K711" s="8"/>
      <c r="L711" s="7" t="s">
        <v>4072</v>
      </c>
      <c r="M711" s="7" t="s">
        <v>4071</v>
      </c>
      <c r="N711" s="7">
        <v>406</v>
      </c>
      <c r="O711" s="7" t="s">
        <v>4073</v>
      </c>
      <c r="P711" s="7"/>
    </row>
    <row r="712" spans="1:16">
      <c r="A712" s="6" t="s">
        <v>31</v>
      </c>
      <c r="B712" s="7">
        <v>667279</v>
      </c>
      <c r="C712" s="7">
        <v>669147</v>
      </c>
      <c r="D712" s="8"/>
      <c r="E712" s="7" t="s">
        <v>53</v>
      </c>
      <c r="F712" s="7" t="s">
        <v>2130</v>
      </c>
      <c r="G712" s="8"/>
      <c r="H712" s="8"/>
      <c r="I712" s="7" t="s">
        <v>55</v>
      </c>
      <c r="J712" s="8"/>
      <c r="K712" s="8"/>
      <c r="L712" s="7" t="s">
        <v>4074</v>
      </c>
      <c r="M712" s="7" t="s">
        <v>2130</v>
      </c>
      <c r="N712" s="7">
        <v>622</v>
      </c>
      <c r="O712" s="7" t="s">
        <v>4075</v>
      </c>
    </row>
    <row r="713" spans="1:16">
      <c r="A713" s="6" t="s">
        <v>31</v>
      </c>
      <c r="B713" s="7">
        <v>669182</v>
      </c>
      <c r="C713" s="7">
        <v>669934</v>
      </c>
      <c r="D713" s="8"/>
      <c r="E713" s="7" t="s">
        <v>53</v>
      </c>
      <c r="F713" s="7" t="s">
        <v>2130</v>
      </c>
      <c r="G713" s="8"/>
      <c r="H713" s="8"/>
      <c r="I713" s="7" t="s">
        <v>55</v>
      </c>
      <c r="J713" s="8"/>
      <c r="K713" s="8"/>
      <c r="L713" s="7" t="s">
        <v>4076</v>
      </c>
      <c r="M713" s="7" t="s">
        <v>2130</v>
      </c>
      <c r="N713" s="7">
        <v>250</v>
      </c>
      <c r="O713" s="7" t="s">
        <v>4077</v>
      </c>
    </row>
    <row r="714" spans="1:16">
      <c r="A714" s="6" t="s">
        <v>31</v>
      </c>
      <c r="B714" s="7">
        <v>669977</v>
      </c>
      <c r="C714" s="7">
        <v>671581</v>
      </c>
      <c r="D714" s="8"/>
      <c r="E714" s="7" t="s">
        <v>53</v>
      </c>
      <c r="F714" s="7" t="s">
        <v>4078</v>
      </c>
      <c r="G714" s="8"/>
      <c r="H714" s="8"/>
      <c r="I714" s="7" t="s">
        <v>55</v>
      </c>
      <c r="J714" s="8"/>
      <c r="K714" s="8"/>
      <c r="L714" s="7" t="s">
        <v>4079</v>
      </c>
      <c r="M714" s="7" t="s">
        <v>4078</v>
      </c>
      <c r="N714" s="7">
        <v>534</v>
      </c>
      <c r="O714" s="7" t="s">
        <v>4080</v>
      </c>
      <c r="P714" s="7"/>
    </row>
    <row r="715" spans="1:16">
      <c r="A715" s="6" t="s">
        <v>31</v>
      </c>
      <c r="B715" s="7">
        <v>671659</v>
      </c>
      <c r="C715" s="7">
        <v>671784</v>
      </c>
      <c r="D715" s="8"/>
      <c r="E715" s="7" t="s">
        <v>53</v>
      </c>
      <c r="F715" s="7" t="s">
        <v>2095</v>
      </c>
      <c r="G715" s="8"/>
      <c r="H715" s="8"/>
      <c r="I715" s="7" t="s">
        <v>55</v>
      </c>
      <c r="J715" s="8"/>
      <c r="K715" s="8"/>
      <c r="L715" s="7" t="s">
        <v>4081</v>
      </c>
      <c r="M715" s="7" t="s">
        <v>2095</v>
      </c>
      <c r="N715" s="7">
        <v>41</v>
      </c>
      <c r="O715" s="7" t="s">
        <v>4082</v>
      </c>
    </row>
    <row r="716" spans="1:16">
      <c r="A716" s="6" t="s">
        <v>31</v>
      </c>
      <c r="B716" s="7">
        <v>671788</v>
      </c>
      <c r="C716" s="7">
        <v>671988</v>
      </c>
      <c r="D716" s="8"/>
      <c r="E716" s="7" t="s">
        <v>53</v>
      </c>
      <c r="F716" s="7" t="s">
        <v>2130</v>
      </c>
      <c r="G716" s="8"/>
      <c r="H716" s="8"/>
      <c r="I716" s="7" t="s">
        <v>55</v>
      </c>
      <c r="J716" s="8"/>
      <c r="K716" s="8"/>
      <c r="L716" s="7" t="s">
        <v>4083</v>
      </c>
      <c r="M716" s="7" t="s">
        <v>2130</v>
      </c>
      <c r="N716" s="7">
        <v>66</v>
      </c>
      <c r="O716" s="7" t="s">
        <v>4084</v>
      </c>
    </row>
    <row r="717" spans="1:16">
      <c r="A717" s="6" t="s">
        <v>31</v>
      </c>
      <c r="B717" s="7">
        <v>672176</v>
      </c>
      <c r="C717" s="7">
        <v>673180</v>
      </c>
      <c r="D717" s="8"/>
      <c r="E717" s="7" t="s">
        <v>53</v>
      </c>
      <c r="F717" s="7" t="s">
        <v>4085</v>
      </c>
      <c r="G717" s="8"/>
      <c r="H717" s="8"/>
      <c r="I717" s="7" t="s">
        <v>55</v>
      </c>
      <c r="J717" s="8"/>
      <c r="K717" s="8"/>
      <c r="L717" s="7" t="s">
        <v>4086</v>
      </c>
      <c r="M717" s="7" t="s">
        <v>4085</v>
      </c>
      <c r="N717" s="7">
        <v>334</v>
      </c>
      <c r="O717" s="7" t="s">
        <v>4087</v>
      </c>
    </row>
    <row r="718" spans="1:16">
      <c r="A718" s="6" t="s">
        <v>31</v>
      </c>
      <c r="B718" s="7">
        <v>673331</v>
      </c>
      <c r="C718" s="7">
        <v>673891</v>
      </c>
      <c r="D718" s="8"/>
      <c r="E718" s="7" t="s">
        <v>53</v>
      </c>
      <c r="F718" s="7" t="s">
        <v>4088</v>
      </c>
      <c r="G718" s="7" t="s">
        <v>4089</v>
      </c>
      <c r="H718" s="8"/>
      <c r="I718" s="7" t="s">
        <v>55</v>
      </c>
      <c r="J718" s="8"/>
      <c r="K718" s="8"/>
      <c r="L718" s="7" t="s">
        <v>4090</v>
      </c>
      <c r="M718" s="7" t="s">
        <v>4088</v>
      </c>
      <c r="N718" s="7">
        <v>186</v>
      </c>
      <c r="O718" s="7" t="s">
        <v>4091</v>
      </c>
    </row>
    <row r="719" spans="1:16">
      <c r="A719" s="6" t="s">
        <v>31</v>
      </c>
      <c r="B719" s="7">
        <v>673893</v>
      </c>
      <c r="C719" s="7">
        <v>674792</v>
      </c>
      <c r="D719" s="8"/>
      <c r="E719" s="7" t="s">
        <v>53</v>
      </c>
      <c r="F719" s="7" t="s">
        <v>4092</v>
      </c>
      <c r="G719" s="7" t="s">
        <v>787</v>
      </c>
      <c r="H719" s="8"/>
      <c r="I719" s="7" t="s">
        <v>55</v>
      </c>
      <c r="J719" s="8"/>
      <c r="K719" s="8"/>
      <c r="L719" s="7" t="s">
        <v>4093</v>
      </c>
      <c r="M719" s="7" t="s">
        <v>4092</v>
      </c>
      <c r="N719" s="7">
        <v>299</v>
      </c>
      <c r="O719" s="7" t="s">
        <v>4094</v>
      </c>
      <c r="P719" s="7"/>
    </row>
    <row r="720" spans="1:16">
      <c r="A720" s="6" t="s">
        <v>31</v>
      </c>
      <c r="B720" s="7">
        <v>674910</v>
      </c>
      <c r="C720" s="7">
        <v>675383</v>
      </c>
      <c r="D720" s="8"/>
      <c r="E720" s="7" t="s">
        <v>53</v>
      </c>
      <c r="F720" s="7" t="s">
        <v>2212</v>
      </c>
      <c r="G720" s="8"/>
      <c r="H720" s="8"/>
      <c r="I720" s="7" t="s">
        <v>55</v>
      </c>
      <c r="J720" s="8"/>
      <c r="K720" s="8"/>
      <c r="L720" s="7" t="s">
        <v>4095</v>
      </c>
      <c r="M720" s="7" t="s">
        <v>2212</v>
      </c>
      <c r="N720" s="7">
        <v>157</v>
      </c>
      <c r="O720" s="7" t="s">
        <v>4096</v>
      </c>
    </row>
    <row r="721" spans="1:17">
      <c r="A721" s="6" t="s">
        <v>31</v>
      </c>
      <c r="B721" s="7">
        <v>675380</v>
      </c>
      <c r="C721" s="7">
        <v>675775</v>
      </c>
      <c r="D721" s="8"/>
      <c r="E721" s="7" t="s">
        <v>53</v>
      </c>
      <c r="F721" s="7" t="s">
        <v>4097</v>
      </c>
      <c r="G721" s="8"/>
      <c r="H721" s="8"/>
      <c r="I721" s="7" t="s">
        <v>55</v>
      </c>
      <c r="J721" s="8"/>
      <c r="K721" s="8"/>
      <c r="L721" s="7" t="s">
        <v>4098</v>
      </c>
      <c r="M721" s="7" t="s">
        <v>4097</v>
      </c>
      <c r="N721" s="7">
        <v>131</v>
      </c>
      <c r="O721" s="7" t="s">
        <v>4099</v>
      </c>
    </row>
    <row r="722" spans="1:17">
      <c r="A722" s="6" t="s">
        <v>31</v>
      </c>
      <c r="B722" s="7">
        <v>675949</v>
      </c>
      <c r="C722" s="7">
        <v>678771</v>
      </c>
      <c r="D722" s="8"/>
      <c r="E722" s="7" t="s">
        <v>53</v>
      </c>
      <c r="F722" s="7" t="s">
        <v>4100</v>
      </c>
      <c r="G722" s="7" t="s">
        <v>792</v>
      </c>
      <c r="H722" s="8"/>
      <c r="I722" s="7" t="s">
        <v>55</v>
      </c>
      <c r="J722" s="8"/>
      <c r="K722" s="8"/>
      <c r="L722" s="7" t="s">
        <v>4101</v>
      </c>
      <c r="M722" s="7" t="s">
        <v>4100</v>
      </c>
      <c r="N722" s="7">
        <v>940</v>
      </c>
      <c r="O722" s="7" t="s">
        <v>4102</v>
      </c>
      <c r="P722" s="7"/>
    </row>
    <row r="723" spans="1:17">
      <c r="A723" s="6" t="s">
        <v>31</v>
      </c>
      <c r="B723" s="7">
        <v>678839</v>
      </c>
      <c r="C723" s="7">
        <v>679873</v>
      </c>
      <c r="D723" s="8"/>
      <c r="E723" s="7" t="s">
        <v>53</v>
      </c>
      <c r="F723" s="7" t="s">
        <v>4103</v>
      </c>
      <c r="G723" s="8"/>
      <c r="H723" s="8"/>
      <c r="I723" s="7" t="s">
        <v>55</v>
      </c>
      <c r="J723" s="8"/>
      <c r="K723" s="8"/>
      <c r="L723" s="7" t="s">
        <v>4104</v>
      </c>
      <c r="M723" s="7" t="s">
        <v>4103</v>
      </c>
      <c r="N723" s="7">
        <v>344</v>
      </c>
      <c r="O723" s="7" t="s">
        <v>4105</v>
      </c>
      <c r="P723" s="7"/>
    </row>
    <row r="724" spans="1:17">
      <c r="A724" s="6" t="s">
        <v>31</v>
      </c>
      <c r="B724" s="7">
        <v>679911</v>
      </c>
      <c r="C724" s="7">
        <v>680573</v>
      </c>
      <c r="D724" s="8"/>
      <c r="E724" s="7" t="s">
        <v>53</v>
      </c>
      <c r="F724" s="7" t="s">
        <v>4106</v>
      </c>
      <c r="G724" s="7" t="s">
        <v>795</v>
      </c>
      <c r="H724" s="8"/>
      <c r="I724" s="7" t="s">
        <v>55</v>
      </c>
      <c r="J724" s="8"/>
      <c r="K724" s="8"/>
      <c r="L724" s="7" t="s">
        <v>4107</v>
      </c>
      <c r="M724" s="7" t="s">
        <v>4106</v>
      </c>
      <c r="N724" s="7">
        <v>220</v>
      </c>
      <c r="O724" s="7" t="s">
        <v>4108</v>
      </c>
      <c r="P724" s="7"/>
    </row>
    <row r="725" spans="1:17">
      <c r="A725" s="6" t="s">
        <v>31</v>
      </c>
      <c r="B725" s="7">
        <v>680670</v>
      </c>
      <c r="C725" s="7">
        <v>682049</v>
      </c>
      <c r="D725" s="8"/>
      <c r="E725" s="7" t="s">
        <v>53</v>
      </c>
      <c r="F725" s="7" t="s">
        <v>2130</v>
      </c>
      <c r="G725" s="8"/>
      <c r="H725" s="8"/>
      <c r="I725" s="7" t="s">
        <v>55</v>
      </c>
      <c r="J725" s="8"/>
      <c r="K725" s="8"/>
      <c r="L725" s="7" t="s">
        <v>4109</v>
      </c>
      <c r="M725" s="7" t="s">
        <v>2130</v>
      </c>
      <c r="N725" s="7">
        <v>459</v>
      </c>
      <c r="O725" s="7" t="s">
        <v>4110</v>
      </c>
    </row>
    <row r="726" spans="1:17">
      <c r="A726" s="6" t="s">
        <v>31</v>
      </c>
      <c r="B726" s="7">
        <v>682089</v>
      </c>
      <c r="C726" s="7">
        <v>682736</v>
      </c>
      <c r="D726" s="8"/>
      <c r="E726" s="7" t="s">
        <v>75</v>
      </c>
      <c r="F726" s="7" t="s">
        <v>4111</v>
      </c>
      <c r="G726" s="8"/>
      <c r="H726" s="8"/>
      <c r="I726" s="7" t="s">
        <v>55</v>
      </c>
      <c r="J726" s="8"/>
      <c r="K726" s="8"/>
      <c r="L726" s="7" t="s">
        <v>4112</v>
      </c>
      <c r="M726" s="7" t="s">
        <v>4111</v>
      </c>
      <c r="N726" s="7">
        <v>215</v>
      </c>
      <c r="O726" s="7" t="s">
        <v>4113</v>
      </c>
    </row>
    <row r="727" spans="1:17">
      <c r="A727" s="6" t="s">
        <v>31</v>
      </c>
      <c r="B727" s="7">
        <v>682845</v>
      </c>
      <c r="C727" s="7">
        <v>683366</v>
      </c>
      <c r="D727" s="8"/>
      <c r="E727" s="7" t="s">
        <v>53</v>
      </c>
      <c r="F727" s="7" t="s">
        <v>4114</v>
      </c>
      <c r="G727" s="7" t="s">
        <v>4115</v>
      </c>
      <c r="H727" s="8"/>
      <c r="I727" s="7" t="s">
        <v>55</v>
      </c>
      <c r="J727" s="8"/>
      <c r="K727" s="8"/>
      <c r="L727" s="7" t="s">
        <v>4116</v>
      </c>
      <c r="M727" s="7" t="s">
        <v>4114</v>
      </c>
      <c r="N727" s="7">
        <v>173</v>
      </c>
      <c r="O727" s="7" t="s">
        <v>4117</v>
      </c>
      <c r="P727" s="7"/>
    </row>
    <row r="728" spans="1:17">
      <c r="A728" s="6" t="s">
        <v>31</v>
      </c>
      <c r="B728" s="7">
        <v>683455</v>
      </c>
      <c r="C728" s="7">
        <v>683892</v>
      </c>
      <c r="D728" s="8"/>
      <c r="E728" s="7" t="s">
        <v>53</v>
      </c>
      <c r="F728" s="7" t="s">
        <v>4118</v>
      </c>
      <c r="G728" s="8"/>
      <c r="H728" s="8"/>
      <c r="I728" s="7" t="s">
        <v>55</v>
      </c>
      <c r="J728" s="8"/>
      <c r="K728" s="8"/>
      <c r="L728" s="7" t="s">
        <v>4119</v>
      </c>
      <c r="M728" s="7" t="s">
        <v>4118</v>
      </c>
      <c r="N728" s="7">
        <v>145</v>
      </c>
      <c r="O728" s="7" t="s">
        <v>4120</v>
      </c>
    </row>
    <row r="729" spans="1:17">
      <c r="A729" s="6" t="s">
        <v>31</v>
      </c>
      <c r="B729" s="7">
        <v>684193</v>
      </c>
      <c r="C729" s="7">
        <v>685146</v>
      </c>
      <c r="D729" s="8"/>
      <c r="E729" s="7" t="s">
        <v>53</v>
      </c>
      <c r="F729" s="7" t="s">
        <v>1280</v>
      </c>
      <c r="G729" s="7" t="s">
        <v>2108</v>
      </c>
      <c r="H729" s="8"/>
      <c r="I729" s="7" t="s">
        <v>55</v>
      </c>
      <c r="J729" s="8"/>
      <c r="K729" s="8"/>
      <c r="L729" s="7" t="s">
        <v>4121</v>
      </c>
      <c r="M729" s="7" t="s">
        <v>1280</v>
      </c>
      <c r="N729" s="7">
        <v>317</v>
      </c>
      <c r="O729" s="7" t="s">
        <v>4122</v>
      </c>
    </row>
    <row r="730" spans="1:17">
      <c r="A730" s="6" t="s">
        <v>31</v>
      </c>
      <c r="B730" s="7">
        <v>685247</v>
      </c>
      <c r="C730" s="7">
        <v>685453</v>
      </c>
      <c r="D730" s="8"/>
      <c r="E730" s="7" t="s">
        <v>53</v>
      </c>
      <c r="F730" s="7" t="s">
        <v>4123</v>
      </c>
      <c r="G730" s="7" t="s">
        <v>4124</v>
      </c>
      <c r="H730" s="8"/>
      <c r="I730" s="7" t="s">
        <v>55</v>
      </c>
      <c r="J730" s="8"/>
      <c r="K730" s="8"/>
      <c r="L730" s="7" t="s">
        <v>4125</v>
      </c>
      <c r="M730" s="7" t="s">
        <v>4123</v>
      </c>
      <c r="N730" s="7">
        <v>68</v>
      </c>
      <c r="O730" s="7" t="s">
        <v>4126</v>
      </c>
    </row>
    <row r="731" spans="1:17">
      <c r="A731" s="6" t="s">
        <v>31</v>
      </c>
      <c r="B731" s="7">
        <v>685446</v>
      </c>
      <c r="C731" s="7">
        <v>686414</v>
      </c>
      <c r="D731" s="8"/>
      <c r="E731" s="7" t="s">
        <v>53</v>
      </c>
      <c r="F731" s="7" t="s">
        <v>4127</v>
      </c>
      <c r="G731" s="7" t="s">
        <v>4128</v>
      </c>
      <c r="H731" s="8"/>
      <c r="I731" s="7" t="s">
        <v>55</v>
      </c>
      <c r="J731" s="8"/>
      <c r="K731" s="8"/>
      <c r="L731" s="7" t="s">
        <v>4129</v>
      </c>
      <c r="M731" s="7" t="s">
        <v>4127</v>
      </c>
      <c r="N731" s="7">
        <v>322</v>
      </c>
      <c r="O731" s="7" t="s">
        <v>4130</v>
      </c>
      <c r="P731" s="7"/>
      <c r="Q731" s="7"/>
    </row>
    <row r="732" spans="1:17">
      <c r="A732" s="6" t="s">
        <v>31</v>
      </c>
      <c r="B732" s="7">
        <v>686552</v>
      </c>
      <c r="C732" s="7">
        <v>688399</v>
      </c>
      <c r="D732" s="8"/>
      <c r="E732" s="7" t="s">
        <v>53</v>
      </c>
      <c r="F732" s="7" t="s">
        <v>4131</v>
      </c>
      <c r="G732" s="7" t="s">
        <v>4132</v>
      </c>
      <c r="H732" s="8"/>
      <c r="I732" s="7" t="s">
        <v>55</v>
      </c>
      <c r="J732" s="8"/>
      <c r="K732" s="8"/>
      <c r="L732" s="7" t="s">
        <v>4133</v>
      </c>
      <c r="M732" s="7" t="s">
        <v>4131</v>
      </c>
      <c r="N732" s="7">
        <v>615</v>
      </c>
      <c r="O732" s="7" t="s">
        <v>4134</v>
      </c>
    </row>
    <row r="733" spans="1:17">
      <c r="A733" s="6" t="s">
        <v>31</v>
      </c>
      <c r="B733" s="7">
        <v>688423</v>
      </c>
      <c r="C733" s="7">
        <v>688695</v>
      </c>
      <c r="D733" s="8"/>
      <c r="E733" s="7" t="s">
        <v>53</v>
      </c>
      <c r="F733" s="7" t="s">
        <v>2847</v>
      </c>
      <c r="G733" s="8"/>
      <c r="H733" s="8"/>
      <c r="I733" s="7" t="s">
        <v>55</v>
      </c>
      <c r="J733" s="8"/>
      <c r="K733" s="8"/>
      <c r="L733" s="7" t="s">
        <v>4135</v>
      </c>
      <c r="M733" s="7" t="s">
        <v>2847</v>
      </c>
      <c r="N733" s="7">
        <v>90</v>
      </c>
      <c r="O733" s="7" t="s">
        <v>4136</v>
      </c>
    </row>
    <row r="734" spans="1:17">
      <c r="A734" s="6" t="s">
        <v>31</v>
      </c>
      <c r="B734" s="7">
        <v>688818</v>
      </c>
      <c r="C734" s="7">
        <v>690170</v>
      </c>
      <c r="D734" s="8"/>
      <c r="E734" s="7" t="s">
        <v>53</v>
      </c>
      <c r="F734" s="7" t="s">
        <v>4137</v>
      </c>
      <c r="G734" s="7" t="s">
        <v>805</v>
      </c>
      <c r="H734" s="8"/>
      <c r="I734" s="7" t="s">
        <v>55</v>
      </c>
      <c r="J734" s="8"/>
      <c r="K734" s="8"/>
      <c r="L734" s="7" t="s">
        <v>4138</v>
      </c>
      <c r="M734" s="7" t="s">
        <v>4137</v>
      </c>
      <c r="N734" s="7">
        <v>450</v>
      </c>
      <c r="O734" s="7" t="s">
        <v>4139</v>
      </c>
      <c r="P734" s="7"/>
    </row>
    <row r="735" spans="1:17">
      <c r="A735" s="6" t="s">
        <v>31</v>
      </c>
      <c r="B735" s="7">
        <v>690174</v>
      </c>
      <c r="C735" s="7">
        <v>691244</v>
      </c>
      <c r="D735" s="8"/>
      <c r="E735" s="7" t="s">
        <v>53</v>
      </c>
      <c r="F735" s="7" t="s">
        <v>807</v>
      </c>
      <c r="G735" s="7" t="s">
        <v>4140</v>
      </c>
      <c r="H735" s="8"/>
      <c r="I735" s="7" t="s">
        <v>55</v>
      </c>
      <c r="J735" s="8"/>
      <c r="K735" s="8"/>
      <c r="L735" s="7" t="s">
        <v>4141</v>
      </c>
      <c r="M735" s="7" t="s">
        <v>807</v>
      </c>
      <c r="N735" s="7">
        <v>356</v>
      </c>
      <c r="O735" s="7" t="s">
        <v>4142</v>
      </c>
      <c r="P735" s="7"/>
    </row>
    <row r="736" spans="1:17">
      <c r="A736" s="6" t="s">
        <v>31</v>
      </c>
      <c r="B736" s="7">
        <v>691254</v>
      </c>
      <c r="C736" s="7">
        <v>692378</v>
      </c>
      <c r="D736" s="8"/>
      <c r="E736" s="7" t="s">
        <v>53</v>
      </c>
      <c r="F736" s="7" t="s">
        <v>4143</v>
      </c>
      <c r="G736" s="8"/>
      <c r="H736" s="8"/>
      <c r="I736" s="7" t="s">
        <v>55</v>
      </c>
      <c r="J736" s="8"/>
      <c r="K736" s="8"/>
      <c r="L736" s="7" t="s">
        <v>4144</v>
      </c>
      <c r="M736" s="7" t="s">
        <v>4143</v>
      </c>
      <c r="N736" s="7">
        <v>374</v>
      </c>
      <c r="O736" s="7" t="s">
        <v>4145</v>
      </c>
    </row>
    <row r="737" spans="1:16">
      <c r="A737" s="6" t="s">
        <v>31</v>
      </c>
      <c r="B737" s="7">
        <v>692502</v>
      </c>
      <c r="C737" s="7">
        <v>693878</v>
      </c>
      <c r="D737" s="8"/>
      <c r="E737" s="7" t="s">
        <v>53</v>
      </c>
      <c r="F737" s="7" t="s">
        <v>4146</v>
      </c>
      <c r="G737" s="7" t="s">
        <v>810</v>
      </c>
      <c r="H737" s="8"/>
      <c r="I737" s="7" t="s">
        <v>55</v>
      </c>
      <c r="J737" s="8"/>
      <c r="K737" s="8"/>
      <c r="L737" s="7" t="s">
        <v>4147</v>
      </c>
      <c r="M737" s="7" t="s">
        <v>4146</v>
      </c>
      <c r="N737" s="7">
        <v>458</v>
      </c>
      <c r="O737" s="7" t="s">
        <v>4148</v>
      </c>
    </row>
    <row r="738" spans="1:16">
      <c r="A738" s="6" t="s">
        <v>31</v>
      </c>
      <c r="B738" s="7">
        <v>693907</v>
      </c>
      <c r="C738" s="7">
        <v>695229</v>
      </c>
      <c r="D738" s="8"/>
      <c r="E738" s="7" t="s">
        <v>53</v>
      </c>
      <c r="F738" s="7" t="s">
        <v>4149</v>
      </c>
      <c r="G738" s="7" t="s">
        <v>4150</v>
      </c>
      <c r="H738" s="8"/>
      <c r="I738" s="7" t="s">
        <v>55</v>
      </c>
      <c r="J738" s="8"/>
      <c r="K738" s="8"/>
      <c r="L738" s="7" t="s">
        <v>4151</v>
      </c>
      <c r="M738" s="7" t="s">
        <v>4149</v>
      </c>
      <c r="N738" s="7">
        <v>440</v>
      </c>
      <c r="O738" s="7" t="s">
        <v>4152</v>
      </c>
    </row>
    <row r="739" spans="1:16">
      <c r="A739" s="6" t="s">
        <v>31</v>
      </c>
      <c r="B739" s="7">
        <v>695232</v>
      </c>
      <c r="C739" s="7">
        <v>695915</v>
      </c>
      <c r="D739" s="8"/>
      <c r="E739" s="7" t="s">
        <v>53</v>
      </c>
      <c r="F739" s="7" t="s">
        <v>4153</v>
      </c>
      <c r="G739" s="7" t="s">
        <v>4154</v>
      </c>
      <c r="H739" s="8"/>
      <c r="I739" s="7" t="s">
        <v>55</v>
      </c>
      <c r="J739" s="8"/>
      <c r="K739" s="8"/>
      <c r="L739" s="7" t="s">
        <v>4155</v>
      </c>
      <c r="M739" s="7" t="s">
        <v>4153</v>
      </c>
      <c r="N739" s="7">
        <v>227</v>
      </c>
      <c r="O739" s="7" t="s">
        <v>4156</v>
      </c>
    </row>
    <row r="740" spans="1:16">
      <c r="A740" s="6" t="s">
        <v>31</v>
      </c>
      <c r="B740" s="7">
        <v>695920</v>
      </c>
      <c r="C740" s="7">
        <v>696489</v>
      </c>
      <c r="D740" s="8"/>
      <c r="E740" s="7" t="s">
        <v>53</v>
      </c>
      <c r="F740" s="7" t="s">
        <v>4157</v>
      </c>
      <c r="G740" s="7" t="s">
        <v>4158</v>
      </c>
      <c r="H740" s="8"/>
      <c r="I740" s="7" t="s">
        <v>55</v>
      </c>
      <c r="J740" s="8"/>
      <c r="K740" s="8"/>
      <c r="L740" s="7" t="s">
        <v>4159</v>
      </c>
      <c r="M740" s="7" t="s">
        <v>4157</v>
      </c>
      <c r="N740" s="7">
        <v>189</v>
      </c>
      <c r="O740" s="7" t="s">
        <v>4160</v>
      </c>
    </row>
    <row r="741" spans="1:16">
      <c r="A741" s="6" t="s">
        <v>31</v>
      </c>
      <c r="B741" s="7">
        <v>696493</v>
      </c>
      <c r="C741" s="7">
        <v>696750</v>
      </c>
      <c r="D741" s="8"/>
      <c r="E741" s="7" t="s">
        <v>53</v>
      </c>
      <c r="F741" s="7" t="s">
        <v>4161</v>
      </c>
      <c r="G741" s="8"/>
      <c r="H741" s="8"/>
      <c r="I741" s="7" t="s">
        <v>55</v>
      </c>
      <c r="J741" s="8"/>
      <c r="K741" s="8"/>
      <c r="L741" s="7" t="s">
        <v>4162</v>
      </c>
      <c r="M741" s="7" t="s">
        <v>4161</v>
      </c>
      <c r="N741" s="7">
        <v>85</v>
      </c>
      <c r="O741" s="7" t="s">
        <v>4163</v>
      </c>
    </row>
    <row r="742" spans="1:16">
      <c r="A742" s="6" t="s">
        <v>31</v>
      </c>
      <c r="B742" s="7">
        <v>696750</v>
      </c>
      <c r="C742" s="7">
        <v>697550</v>
      </c>
      <c r="D742" s="8"/>
      <c r="E742" s="7" t="s">
        <v>53</v>
      </c>
      <c r="F742" s="7" t="s">
        <v>4164</v>
      </c>
      <c r="G742" s="8"/>
      <c r="H742" s="8"/>
      <c r="I742" s="7" t="s">
        <v>55</v>
      </c>
      <c r="J742" s="8"/>
      <c r="K742" s="8"/>
      <c r="L742" s="7" t="s">
        <v>4165</v>
      </c>
      <c r="M742" s="7" t="s">
        <v>4164</v>
      </c>
      <c r="N742" s="7">
        <v>266</v>
      </c>
      <c r="O742" s="7" t="s">
        <v>4166</v>
      </c>
    </row>
    <row r="743" spans="1:16">
      <c r="A743" s="6" t="s">
        <v>31</v>
      </c>
      <c r="B743" s="7">
        <v>697794</v>
      </c>
      <c r="C743" s="7">
        <v>698669</v>
      </c>
      <c r="D743" s="8"/>
      <c r="E743" s="7" t="s">
        <v>53</v>
      </c>
      <c r="F743" s="7" t="s">
        <v>4167</v>
      </c>
      <c r="G743" s="7" t="s">
        <v>4168</v>
      </c>
      <c r="H743" s="8"/>
      <c r="I743" s="7" t="s">
        <v>55</v>
      </c>
      <c r="J743" s="8"/>
      <c r="K743" s="8"/>
      <c r="L743" s="7" t="s">
        <v>4169</v>
      </c>
      <c r="M743" s="7" t="s">
        <v>4167</v>
      </c>
      <c r="N743" s="7">
        <v>291</v>
      </c>
      <c r="O743" s="7" t="s">
        <v>4170</v>
      </c>
    </row>
    <row r="744" spans="1:16">
      <c r="A744" s="6" t="s">
        <v>31</v>
      </c>
      <c r="B744" s="7">
        <v>698917</v>
      </c>
      <c r="C744" s="7">
        <v>701706</v>
      </c>
      <c r="D744" s="8"/>
      <c r="E744" s="7" t="s">
        <v>53</v>
      </c>
      <c r="F744" s="7" t="s">
        <v>4171</v>
      </c>
      <c r="G744" s="7" t="s">
        <v>817</v>
      </c>
      <c r="H744" s="8"/>
      <c r="I744" s="7" t="s">
        <v>55</v>
      </c>
      <c r="J744" s="8"/>
      <c r="K744" s="8"/>
      <c r="L744" s="7" t="s">
        <v>4172</v>
      </c>
      <c r="M744" s="7" t="s">
        <v>4171</v>
      </c>
      <c r="N744" s="7">
        <v>929</v>
      </c>
      <c r="O744" s="7" t="s">
        <v>4173</v>
      </c>
      <c r="P744" s="7"/>
    </row>
    <row r="745" spans="1:16">
      <c r="A745" s="6" t="s">
        <v>31</v>
      </c>
      <c r="B745" s="7">
        <v>701735</v>
      </c>
      <c r="C745" s="7">
        <v>701857</v>
      </c>
      <c r="D745" s="8"/>
      <c r="E745" s="7" t="s">
        <v>53</v>
      </c>
      <c r="F745" s="7" t="s">
        <v>2130</v>
      </c>
      <c r="G745" s="8"/>
      <c r="H745" s="8"/>
      <c r="I745" s="7" t="s">
        <v>55</v>
      </c>
      <c r="J745" s="8"/>
      <c r="K745" s="8"/>
      <c r="L745" s="7" t="s">
        <v>4174</v>
      </c>
      <c r="M745" s="7" t="s">
        <v>2130</v>
      </c>
      <c r="N745" s="7">
        <v>40</v>
      </c>
      <c r="O745" s="7" t="s">
        <v>4175</v>
      </c>
    </row>
    <row r="746" spans="1:16">
      <c r="A746" s="6" t="s">
        <v>31</v>
      </c>
      <c r="B746" s="7">
        <v>702091</v>
      </c>
      <c r="C746" s="7">
        <v>702327</v>
      </c>
      <c r="D746" s="8"/>
      <c r="E746" s="7" t="s">
        <v>75</v>
      </c>
      <c r="F746" s="7" t="s">
        <v>1280</v>
      </c>
      <c r="G746" s="8"/>
      <c r="H746" s="8"/>
      <c r="I746" s="7" t="s">
        <v>55</v>
      </c>
      <c r="J746" s="8"/>
      <c r="K746" s="8"/>
      <c r="L746" s="7" t="s">
        <v>4176</v>
      </c>
      <c r="M746" s="7" t="s">
        <v>1280</v>
      </c>
      <c r="N746" s="7">
        <v>78</v>
      </c>
      <c r="O746" s="7" t="s">
        <v>4177</v>
      </c>
    </row>
    <row r="747" spans="1:16">
      <c r="A747" s="6" t="s">
        <v>31</v>
      </c>
      <c r="B747" s="7">
        <v>702471</v>
      </c>
      <c r="C747" s="7">
        <v>702692</v>
      </c>
      <c r="D747" s="8"/>
      <c r="E747" s="7" t="s">
        <v>75</v>
      </c>
      <c r="F747" s="7" t="s">
        <v>2130</v>
      </c>
      <c r="G747" s="8"/>
      <c r="H747" s="8"/>
      <c r="I747" s="7" t="s">
        <v>55</v>
      </c>
      <c r="J747" s="8"/>
      <c r="K747" s="8"/>
      <c r="L747" s="7" t="s">
        <v>4178</v>
      </c>
      <c r="M747" s="7" t="s">
        <v>2130</v>
      </c>
      <c r="N747" s="7">
        <v>73</v>
      </c>
      <c r="O747" s="7" t="s">
        <v>4179</v>
      </c>
    </row>
    <row r="748" spans="1:16">
      <c r="A748" s="6" t="s">
        <v>31</v>
      </c>
      <c r="B748" s="7">
        <v>702921</v>
      </c>
      <c r="C748" s="7">
        <v>704183</v>
      </c>
      <c r="D748" s="8"/>
      <c r="E748" s="7" t="s">
        <v>53</v>
      </c>
      <c r="F748" s="7" t="s">
        <v>4180</v>
      </c>
      <c r="G748" s="8"/>
      <c r="H748" s="8"/>
      <c r="I748" s="7" t="s">
        <v>55</v>
      </c>
      <c r="J748" s="8"/>
      <c r="K748" s="8"/>
      <c r="L748" s="7" t="s">
        <v>4181</v>
      </c>
      <c r="M748" s="7" t="s">
        <v>4180</v>
      </c>
      <c r="N748" s="7">
        <v>420</v>
      </c>
      <c r="O748" s="7" t="s">
        <v>4182</v>
      </c>
    </row>
    <row r="749" spans="1:16">
      <c r="A749" s="6" t="s">
        <v>31</v>
      </c>
      <c r="B749" s="7">
        <v>704307</v>
      </c>
      <c r="C749" s="7">
        <v>704573</v>
      </c>
      <c r="D749" s="8"/>
      <c r="E749" s="7" t="s">
        <v>75</v>
      </c>
      <c r="F749" s="7" t="s">
        <v>4183</v>
      </c>
      <c r="G749" s="7" t="s">
        <v>4184</v>
      </c>
      <c r="H749" s="8"/>
      <c r="I749" s="7" t="s">
        <v>55</v>
      </c>
      <c r="J749" s="8"/>
      <c r="K749" s="8"/>
      <c r="L749" s="7" t="s">
        <v>4185</v>
      </c>
      <c r="M749" s="7" t="s">
        <v>4183</v>
      </c>
      <c r="N749" s="7">
        <v>88</v>
      </c>
      <c r="O749" s="7" t="s">
        <v>4186</v>
      </c>
    </row>
    <row r="750" spans="1:16">
      <c r="A750" s="6" t="s">
        <v>31</v>
      </c>
      <c r="B750" s="7">
        <v>704655</v>
      </c>
      <c r="C750" s="7">
        <v>705587</v>
      </c>
      <c r="D750" s="8"/>
      <c r="E750" s="7" t="s">
        <v>75</v>
      </c>
      <c r="F750" s="7" t="s">
        <v>821</v>
      </c>
      <c r="G750" s="7" t="s">
        <v>4187</v>
      </c>
      <c r="H750" s="8"/>
      <c r="I750" s="7" t="s">
        <v>55</v>
      </c>
      <c r="J750" s="8"/>
      <c r="K750" s="8"/>
      <c r="L750" s="7" t="s">
        <v>4188</v>
      </c>
      <c r="M750" s="7" t="s">
        <v>821</v>
      </c>
      <c r="N750" s="7">
        <v>310</v>
      </c>
      <c r="O750" s="7" t="s">
        <v>4189</v>
      </c>
      <c r="P750" s="7"/>
    </row>
    <row r="751" spans="1:16">
      <c r="A751" s="6" t="s">
        <v>31</v>
      </c>
      <c r="B751" s="7">
        <v>705574</v>
      </c>
      <c r="C751" s="7">
        <v>706518</v>
      </c>
      <c r="D751" s="8"/>
      <c r="E751" s="7" t="s">
        <v>75</v>
      </c>
      <c r="F751" s="7" t="s">
        <v>4190</v>
      </c>
      <c r="G751" s="7" t="s">
        <v>4191</v>
      </c>
      <c r="H751" s="8"/>
      <c r="I751" s="7" t="s">
        <v>55</v>
      </c>
      <c r="J751" s="8"/>
      <c r="K751" s="8"/>
      <c r="L751" s="7" t="s">
        <v>4192</v>
      </c>
      <c r="M751" s="7" t="s">
        <v>4190</v>
      </c>
      <c r="N751" s="7">
        <v>314</v>
      </c>
      <c r="O751" s="7" t="s">
        <v>4193</v>
      </c>
      <c r="P751" s="7"/>
    </row>
    <row r="752" spans="1:16">
      <c r="A752" s="6" t="s">
        <v>31</v>
      </c>
      <c r="B752" s="7">
        <v>706599</v>
      </c>
      <c r="C752" s="7">
        <v>707387</v>
      </c>
      <c r="D752" s="8"/>
      <c r="E752" s="7" t="s">
        <v>75</v>
      </c>
      <c r="F752" s="7" t="s">
        <v>4194</v>
      </c>
      <c r="G752" s="7" t="s">
        <v>824</v>
      </c>
      <c r="H752" s="8"/>
      <c r="I752" s="7" t="s">
        <v>55</v>
      </c>
      <c r="J752" s="8"/>
      <c r="K752" s="8"/>
      <c r="L752" s="7" t="s">
        <v>4195</v>
      </c>
      <c r="M752" s="7" t="s">
        <v>4194</v>
      </c>
      <c r="N752" s="7">
        <v>262</v>
      </c>
      <c r="O752" s="7" t="s">
        <v>4196</v>
      </c>
      <c r="P752" s="7"/>
    </row>
    <row r="753" spans="1:16">
      <c r="A753" s="6" t="s">
        <v>31</v>
      </c>
      <c r="B753" s="7">
        <v>707557</v>
      </c>
      <c r="C753" s="7">
        <v>708567</v>
      </c>
      <c r="D753" s="8"/>
      <c r="E753" s="7" t="s">
        <v>53</v>
      </c>
      <c r="F753" s="7" t="s">
        <v>4197</v>
      </c>
      <c r="G753" s="7" t="s">
        <v>826</v>
      </c>
      <c r="H753" s="8"/>
      <c r="I753" s="7" t="s">
        <v>55</v>
      </c>
      <c r="J753" s="8"/>
      <c r="K753" s="8"/>
      <c r="L753" s="7" t="s">
        <v>4198</v>
      </c>
      <c r="M753" s="7" t="s">
        <v>4197</v>
      </c>
      <c r="N753" s="7">
        <v>336</v>
      </c>
      <c r="O753" s="7" t="s">
        <v>4199</v>
      </c>
      <c r="P753" s="7"/>
    </row>
    <row r="754" spans="1:16">
      <c r="A754" s="6" t="s">
        <v>31</v>
      </c>
      <c r="B754" s="7">
        <v>708796</v>
      </c>
      <c r="C754" s="7">
        <v>709392</v>
      </c>
      <c r="D754" s="8"/>
      <c r="E754" s="7" t="s">
        <v>53</v>
      </c>
      <c r="F754" s="7" t="s">
        <v>4200</v>
      </c>
      <c r="G754" s="7" t="s">
        <v>4201</v>
      </c>
      <c r="H754" s="8"/>
      <c r="I754" s="7" t="s">
        <v>55</v>
      </c>
      <c r="J754" s="8"/>
      <c r="K754" s="8"/>
      <c r="L754" s="7" t="s">
        <v>4202</v>
      </c>
      <c r="M754" s="7" t="s">
        <v>4200</v>
      </c>
      <c r="N754" s="7">
        <v>198</v>
      </c>
      <c r="O754" s="7" t="s">
        <v>4203</v>
      </c>
      <c r="P754" s="7"/>
    </row>
    <row r="755" spans="1:16">
      <c r="A755" s="6" t="s">
        <v>31</v>
      </c>
      <c r="B755" s="7">
        <v>709429</v>
      </c>
      <c r="C755" s="7">
        <v>710508</v>
      </c>
      <c r="D755" s="8"/>
      <c r="E755" s="7" t="s">
        <v>53</v>
      </c>
      <c r="F755" s="7" t="s">
        <v>829</v>
      </c>
      <c r="G755" s="7" t="s">
        <v>830</v>
      </c>
      <c r="H755" s="8"/>
      <c r="I755" s="7" t="s">
        <v>55</v>
      </c>
      <c r="J755" s="8"/>
      <c r="K755" s="8"/>
      <c r="L755" s="7" t="s">
        <v>4204</v>
      </c>
      <c r="M755" s="7" t="s">
        <v>829</v>
      </c>
      <c r="N755" s="7">
        <v>359</v>
      </c>
      <c r="O755" s="7" t="s">
        <v>4205</v>
      </c>
    </row>
    <row r="756" spans="1:16">
      <c r="A756" s="6" t="s">
        <v>31</v>
      </c>
      <c r="B756" s="7">
        <v>710505</v>
      </c>
      <c r="C756" s="7">
        <v>711338</v>
      </c>
      <c r="D756" s="8"/>
      <c r="E756" s="7" t="s">
        <v>53</v>
      </c>
      <c r="F756" s="7" t="s">
        <v>4206</v>
      </c>
      <c r="G756" s="7" t="s">
        <v>832</v>
      </c>
      <c r="H756" s="8"/>
      <c r="I756" s="7" t="s">
        <v>55</v>
      </c>
      <c r="J756" s="8"/>
      <c r="K756" s="8"/>
      <c r="L756" s="7" t="s">
        <v>4207</v>
      </c>
      <c r="M756" s="7" t="s">
        <v>4206</v>
      </c>
      <c r="N756" s="7">
        <v>277</v>
      </c>
      <c r="O756" s="7" t="s">
        <v>4208</v>
      </c>
      <c r="P756" s="7"/>
    </row>
    <row r="757" spans="1:16">
      <c r="A757" s="6" t="s">
        <v>31</v>
      </c>
      <c r="B757" s="7">
        <v>711325</v>
      </c>
      <c r="C757" s="7">
        <v>711930</v>
      </c>
      <c r="D757" s="8"/>
      <c r="E757" s="7" t="s">
        <v>53</v>
      </c>
      <c r="F757" s="7" t="s">
        <v>4209</v>
      </c>
      <c r="G757" s="8"/>
      <c r="H757" s="8"/>
      <c r="I757" s="7" t="s">
        <v>55</v>
      </c>
      <c r="J757" s="8"/>
      <c r="K757" s="8"/>
      <c r="L757" s="7" t="s">
        <v>4210</v>
      </c>
      <c r="M757" s="7" t="s">
        <v>4209</v>
      </c>
      <c r="N757" s="7">
        <v>201</v>
      </c>
      <c r="O757" s="7" t="s">
        <v>4211</v>
      </c>
    </row>
    <row r="758" spans="1:16">
      <c r="A758" s="6" t="s">
        <v>31</v>
      </c>
      <c r="B758" s="7">
        <v>712025</v>
      </c>
      <c r="C758" s="7">
        <v>713275</v>
      </c>
      <c r="D758" s="8"/>
      <c r="E758" s="7" t="s">
        <v>53</v>
      </c>
      <c r="F758" s="7" t="s">
        <v>835</v>
      </c>
      <c r="G758" s="7" t="s">
        <v>836</v>
      </c>
      <c r="H758" s="8"/>
      <c r="I758" s="7" t="s">
        <v>55</v>
      </c>
      <c r="J758" s="8"/>
      <c r="K758" s="8"/>
      <c r="L758" s="7" t="s">
        <v>4212</v>
      </c>
      <c r="M758" s="7" t="s">
        <v>835</v>
      </c>
      <c r="N758" s="7">
        <v>416</v>
      </c>
      <c r="O758" s="7" t="s">
        <v>4213</v>
      </c>
      <c r="P758" s="7"/>
    </row>
    <row r="759" spans="1:16">
      <c r="A759" s="6" t="s">
        <v>31</v>
      </c>
      <c r="B759" s="7">
        <v>713282</v>
      </c>
      <c r="C759" s="7">
        <v>714259</v>
      </c>
      <c r="D759" s="8"/>
      <c r="E759" s="7" t="s">
        <v>53</v>
      </c>
      <c r="F759" s="7" t="s">
        <v>4214</v>
      </c>
      <c r="G759" s="8"/>
      <c r="H759" s="8"/>
      <c r="I759" s="7" t="s">
        <v>55</v>
      </c>
      <c r="J759" s="8"/>
      <c r="K759" s="8"/>
      <c r="L759" s="7" t="s">
        <v>4215</v>
      </c>
      <c r="M759" s="7" t="s">
        <v>4214</v>
      </c>
      <c r="N759" s="7">
        <v>325</v>
      </c>
      <c r="O759" s="7" t="s">
        <v>4216</v>
      </c>
    </row>
    <row r="760" spans="1:16">
      <c r="A760" s="6" t="s">
        <v>31</v>
      </c>
      <c r="B760" s="7">
        <v>714261</v>
      </c>
      <c r="C760" s="7">
        <v>714872</v>
      </c>
      <c r="D760" s="8"/>
      <c r="E760" s="7" t="s">
        <v>53</v>
      </c>
      <c r="F760" s="7" t="s">
        <v>4217</v>
      </c>
      <c r="G760" s="7" t="s">
        <v>4218</v>
      </c>
      <c r="H760" s="8"/>
      <c r="I760" s="7" t="s">
        <v>55</v>
      </c>
      <c r="J760" s="8"/>
      <c r="K760" s="8"/>
      <c r="L760" s="7" t="s">
        <v>4219</v>
      </c>
      <c r="M760" s="7" t="s">
        <v>4217</v>
      </c>
      <c r="N760" s="7">
        <v>203</v>
      </c>
      <c r="O760" s="7" t="s">
        <v>4220</v>
      </c>
    </row>
    <row r="761" spans="1:16">
      <c r="A761" s="6" t="s">
        <v>31</v>
      </c>
      <c r="B761" s="7">
        <v>714905</v>
      </c>
      <c r="C761" s="7">
        <v>716644</v>
      </c>
      <c r="D761" s="8"/>
      <c r="E761" s="7" t="s">
        <v>53</v>
      </c>
      <c r="F761" s="7" t="s">
        <v>2993</v>
      </c>
      <c r="G761" s="8"/>
      <c r="H761" s="8"/>
      <c r="I761" s="7" t="s">
        <v>55</v>
      </c>
      <c r="J761" s="8"/>
      <c r="K761" s="8"/>
      <c r="L761" s="7" t="s">
        <v>4221</v>
      </c>
      <c r="M761" s="7" t="s">
        <v>2993</v>
      </c>
      <c r="N761" s="7">
        <v>579</v>
      </c>
      <c r="O761" s="7" t="s">
        <v>4222</v>
      </c>
    </row>
    <row r="762" spans="1:16">
      <c r="A762" s="6" t="s">
        <v>31</v>
      </c>
      <c r="B762" s="7">
        <v>716634</v>
      </c>
      <c r="C762" s="7">
        <v>718382</v>
      </c>
      <c r="D762" s="8"/>
      <c r="E762" s="7" t="s">
        <v>53</v>
      </c>
      <c r="F762" s="7" t="s">
        <v>2993</v>
      </c>
      <c r="G762" s="8"/>
      <c r="H762" s="8"/>
      <c r="I762" s="7" t="s">
        <v>55</v>
      </c>
      <c r="J762" s="8"/>
      <c r="K762" s="8"/>
      <c r="L762" s="7" t="s">
        <v>4223</v>
      </c>
      <c r="M762" s="7" t="s">
        <v>2993</v>
      </c>
      <c r="N762" s="7">
        <v>582</v>
      </c>
      <c r="O762" s="7" t="s">
        <v>4224</v>
      </c>
    </row>
    <row r="763" spans="1:16">
      <c r="A763" s="6" t="s">
        <v>31</v>
      </c>
      <c r="B763" s="7">
        <v>718424</v>
      </c>
      <c r="C763" s="7">
        <v>718690</v>
      </c>
      <c r="D763" s="8"/>
      <c r="E763" s="7" t="s">
        <v>53</v>
      </c>
      <c r="F763" s="7" t="s">
        <v>4225</v>
      </c>
      <c r="G763" s="8"/>
      <c r="H763" s="8"/>
      <c r="I763" s="7" t="s">
        <v>55</v>
      </c>
      <c r="J763" s="8"/>
      <c r="K763" s="8"/>
      <c r="L763" s="7" t="s">
        <v>4226</v>
      </c>
      <c r="M763" s="7" t="s">
        <v>4225</v>
      </c>
      <c r="N763" s="7">
        <v>88</v>
      </c>
      <c r="O763" s="7" t="s">
        <v>4227</v>
      </c>
    </row>
    <row r="764" spans="1:16">
      <c r="A764" s="6" t="s">
        <v>31</v>
      </c>
      <c r="B764" s="7">
        <v>718699</v>
      </c>
      <c r="C764" s="7">
        <v>720249</v>
      </c>
      <c r="D764" s="8"/>
      <c r="E764" s="7" t="s">
        <v>53</v>
      </c>
      <c r="F764" s="7" t="s">
        <v>4228</v>
      </c>
      <c r="G764" s="7" t="s">
        <v>843</v>
      </c>
      <c r="H764" s="8"/>
      <c r="I764" s="7" t="s">
        <v>55</v>
      </c>
      <c r="J764" s="8"/>
      <c r="K764" s="8"/>
      <c r="L764" s="7" t="s">
        <v>4229</v>
      </c>
      <c r="M764" s="7" t="s">
        <v>4228</v>
      </c>
      <c r="N764" s="7">
        <v>516</v>
      </c>
      <c r="O764" s="7" t="s">
        <v>4230</v>
      </c>
      <c r="P764" s="7"/>
    </row>
    <row r="765" spans="1:16">
      <c r="A765" s="6" t="s">
        <v>31</v>
      </c>
      <c r="B765" s="7">
        <v>720246</v>
      </c>
      <c r="C765" s="7">
        <v>721493</v>
      </c>
      <c r="D765" s="8"/>
      <c r="E765" s="7" t="s">
        <v>53</v>
      </c>
      <c r="F765" s="7" t="s">
        <v>4231</v>
      </c>
      <c r="G765" s="7" t="s">
        <v>845</v>
      </c>
      <c r="H765" s="8"/>
      <c r="I765" s="7" t="s">
        <v>55</v>
      </c>
      <c r="J765" s="8"/>
      <c r="K765" s="8"/>
      <c r="L765" s="7" t="s">
        <v>4232</v>
      </c>
      <c r="M765" s="7" t="s">
        <v>4231</v>
      </c>
      <c r="N765" s="7">
        <v>415</v>
      </c>
      <c r="O765" s="7" t="s">
        <v>4233</v>
      </c>
      <c r="P765" s="7"/>
    </row>
    <row r="766" spans="1:16">
      <c r="A766" s="6" t="s">
        <v>31</v>
      </c>
      <c r="B766" s="7">
        <v>721511</v>
      </c>
      <c r="C766" s="7">
        <v>721750</v>
      </c>
      <c r="D766" s="8"/>
      <c r="E766" s="7" t="s">
        <v>53</v>
      </c>
      <c r="F766" s="7" t="s">
        <v>4234</v>
      </c>
      <c r="G766" s="7" t="s">
        <v>847</v>
      </c>
      <c r="H766" s="8"/>
      <c r="I766" s="7" t="s">
        <v>55</v>
      </c>
      <c r="J766" s="8"/>
      <c r="K766" s="8"/>
      <c r="L766" s="7" t="s">
        <v>4235</v>
      </c>
      <c r="M766" s="7" t="s">
        <v>4234</v>
      </c>
      <c r="N766" s="7">
        <v>79</v>
      </c>
      <c r="O766" s="7" t="s">
        <v>4236</v>
      </c>
    </row>
    <row r="767" spans="1:16">
      <c r="A767" s="6" t="s">
        <v>31</v>
      </c>
      <c r="B767" s="7">
        <v>721743</v>
      </c>
      <c r="C767" s="7">
        <v>723011</v>
      </c>
      <c r="D767" s="8"/>
      <c r="E767" s="7" t="s">
        <v>53</v>
      </c>
      <c r="F767" s="7" t="s">
        <v>4237</v>
      </c>
      <c r="G767" s="8"/>
      <c r="H767" s="8"/>
      <c r="I767" s="7" t="s">
        <v>55</v>
      </c>
      <c r="J767" s="8"/>
      <c r="K767" s="8"/>
      <c r="L767" s="7" t="s">
        <v>4238</v>
      </c>
      <c r="M767" s="7" t="s">
        <v>4237</v>
      </c>
      <c r="N767" s="7">
        <v>422</v>
      </c>
      <c r="O767" s="7" t="s">
        <v>4239</v>
      </c>
    </row>
    <row r="768" spans="1:16">
      <c r="A768" s="6" t="s">
        <v>31</v>
      </c>
      <c r="B768" s="7">
        <v>723064</v>
      </c>
      <c r="C768" s="7">
        <v>723282</v>
      </c>
      <c r="D768" s="8"/>
      <c r="E768" s="7" t="s">
        <v>75</v>
      </c>
      <c r="F768" s="7" t="s">
        <v>1280</v>
      </c>
      <c r="G768" s="8"/>
      <c r="H768" s="8"/>
      <c r="I768" s="7" t="s">
        <v>55</v>
      </c>
      <c r="J768" s="8"/>
      <c r="K768" s="8"/>
      <c r="L768" s="7" t="s">
        <v>4240</v>
      </c>
      <c r="M768" s="7" t="s">
        <v>1280</v>
      </c>
      <c r="N768" s="7">
        <v>72</v>
      </c>
      <c r="O768" s="7" t="s">
        <v>4241</v>
      </c>
    </row>
    <row r="769" spans="1:17">
      <c r="A769" s="6" t="s">
        <v>31</v>
      </c>
      <c r="B769" s="7">
        <v>723346</v>
      </c>
      <c r="C769" s="7">
        <v>723552</v>
      </c>
      <c r="D769" s="8"/>
      <c r="E769" s="7" t="s">
        <v>75</v>
      </c>
      <c r="F769" s="7" t="s">
        <v>2095</v>
      </c>
      <c r="G769" s="8"/>
      <c r="H769" s="8"/>
      <c r="I769" s="7" t="s">
        <v>55</v>
      </c>
      <c r="J769" s="8"/>
      <c r="K769" s="8"/>
      <c r="L769" s="7" t="s">
        <v>4242</v>
      </c>
      <c r="M769" s="7" t="s">
        <v>2095</v>
      </c>
      <c r="N769" s="7">
        <v>68</v>
      </c>
      <c r="O769" s="7" t="s">
        <v>4243</v>
      </c>
    </row>
    <row r="770" spans="1:17">
      <c r="A770" s="6" t="s">
        <v>31</v>
      </c>
      <c r="B770" s="7">
        <v>723566</v>
      </c>
      <c r="C770" s="7">
        <v>723901</v>
      </c>
      <c r="D770" s="8"/>
      <c r="E770" s="7" t="s">
        <v>75</v>
      </c>
      <c r="F770" s="7" t="s">
        <v>1280</v>
      </c>
      <c r="G770" s="8"/>
      <c r="H770" s="8"/>
      <c r="I770" s="7" t="s">
        <v>55</v>
      </c>
      <c r="J770" s="8"/>
      <c r="K770" s="8"/>
      <c r="L770" s="7" t="s">
        <v>4244</v>
      </c>
      <c r="M770" s="7" t="s">
        <v>1280</v>
      </c>
      <c r="N770" s="7">
        <v>111</v>
      </c>
      <c r="O770" s="7" t="s">
        <v>4245</v>
      </c>
    </row>
    <row r="771" spans="1:17">
      <c r="A771" s="6" t="s">
        <v>31</v>
      </c>
      <c r="B771" s="7">
        <v>723960</v>
      </c>
      <c r="C771" s="7">
        <v>724142</v>
      </c>
      <c r="D771" s="8"/>
      <c r="E771" s="7" t="s">
        <v>75</v>
      </c>
      <c r="F771" s="7" t="s">
        <v>2095</v>
      </c>
      <c r="G771" s="8"/>
      <c r="H771" s="8"/>
      <c r="I771" s="7" t="s">
        <v>55</v>
      </c>
      <c r="J771" s="8"/>
      <c r="K771" s="8"/>
      <c r="L771" s="7" t="s">
        <v>4246</v>
      </c>
      <c r="M771" s="7" t="s">
        <v>2095</v>
      </c>
      <c r="N771" s="7">
        <v>60</v>
      </c>
      <c r="O771" s="7" t="s">
        <v>4247</v>
      </c>
    </row>
    <row r="772" spans="1:17">
      <c r="A772" s="6" t="s">
        <v>31</v>
      </c>
      <c r="B772" s="7">
        <v>724135</v>
      </c>
      <c r="C772" s="7">
        <v>724413</v>
      </c>
      <c r="D772" s="8"/>
      <c r="E772" s="7" t="s">
        <v>75</v>
      </c>
      <c r="F772" s="7" t="s">
        <v>1280</v>
      </c>
      <c r="G772" s="8"/>
      <c r="H772" s="8"/>
      <c r="I772" s="7" t="s">
        <v>55</v>
      </c>
      <c r="J772" s="8"/>
      <c r="K772" s="8"/>
      <c r="L772" s="7" t="s">
        <v>4248</v>
      </c>
      <c r="M772" s="7" t="s">
        <v>1280</v>
      </c>
      <c r="N772" s="7">
        <v>92</v>
      </c>
      <c r="O772" s="7" t="s">
        <v>4249</v>
      </c>
    </row>
    <row r="773" spans="1:17">
      <c r="A773" s="6" t="s">
        <v>31</v>
      </c>
      <c r="B773" s="7">
        <v>724611</v>
      </c>
      <c r="C773" s="7">
        <v>727247</v>
      </c>
      <c r="D773" s="8"/>
      <c r="E773" s="7" t="s">
        <v>75</v>
      </c>
      <c r="F773" s="7" t="s">
        <v>4250</v>
      </c>
      <c r="G773" s="8"/>
      <c r="H773" s="8"/>
      <c r="I773" s="7" t="s">
        <v>55</v>
      </c>
      <c r="J773" s="8"/>
      <c r="K773" s="8"/>
      <c r="L773" s="7" t="s">
        <v>4251</v>
      </c>
      <c r="M773" s="7" t="s">
        <v>4250</v>
      </c>
      <c r="N773" s="7">
        <v>878</v>
      </c>
      <c r="O773" s="7" t="s">
        <v>4252</v>
      </c>
      <c r="P773" s="7"/>
    </row>
    <row r="774" spans="1:17">
      <c r="A774" s="6" t="s">
        <v>31</v>
      </c>
      <c r="B774" s="7">
        <v>727424</v>
      </c>
      <c r="C774" s="7">
        <v>729142</v>
      </c>
      <c r="D774" s="8"/>
      <c r="E774" s="7" t="s">
        <v>75</v>
      </c>
      <c r="F774" s="7" t="s">
        <v>4253</v>
      </c>
      <c r="G774" s="8"/>
      <c r="H774" s="8"/>
      <c r="I774" s="7" t="s">
        <v>55</v>
      </c>
      <c r="J774" s="8"/>
      <c r="K774" s="8"/>
      <c r="L774" s="7" t="s">
        <v>4254</v>
      </c>
      <c r="M774" s="7" t="s">
        <v>4253</v>
      </c>
      <c r="N774" s="7">
        <v>572</v>
      </c>
      <c r="O774" s="7" t="s">
        <v>4255</v>
      </c>
      <c r="P774" s="7"/>
      <c r="Q774" s="7"/>
    </row>
    <row r="775" spans="1:17">
      <c r="A775" s="6" t="s">
        <v>31</v>
      </c>
      <c r="B775" s="7">
        <v>729725</v>
      </c>
      <c r="C775" s="7">
        <v>729922</v>
      </c>
      <c r="D775" s="8"/>
      <c r="E775" s="7" t="s">
        <v>75</v>
      </c>
      <c r="F775" s="7" t="s">
        <v>2095</v>
      </c>
      <c r="G775" s="8"/>
      <c r="H775" s="8"/>
      <c r="I775" s="7" t="s">
        <v>55</v>
      </c>
      <c r="J775" s="8"/>
      <c r="K775" s="8"/>
      <c r="L775" s="7" t="s">
        <v>4256</v>
      </c>
      <c r="M775" s="7" t="s">
        <v>2095</v>
      </c>
      <c r="N775" s="7">
        <v>65</v>
      </c>
      <c r="O775" s="7" t="s">
        <v>4257</v>
      </c>
    </row>
    <row r="776" spans="1:17">
      <c r="A776" s="6" t="s">
        <v>31</v>
      </c>
      <c r="B776" s="7">
        <v>730200</v>
      </c>
      <c r="C776" s="7">
        <v>730475</v>
      </c>
      <c r="D776" s="8"/>
      <c r="E776" s="7" t="s">
        <v>75</v>
      </c>
      <c r="F776" s="7" t="s">
        <v>2130</v>
      </c>
      <c r="G776" s="8"/>
      <c r="H776" s="8"/>
      <c r="I776" s="7" t="s">
        <v>55</v>
      </c>
      <c r="J776" s="8"/>
      <c r="K776" s="8"/>
      <c r="L776" s="7" t="s">
        <v>4258</v>
      </c>
      <c r="M776" s="7" t="s">
        <v>2130</v>
      </c>
      <c r="N776" s="7">
        <v>91</v>
      </c>
      <c r="O776" s="7" t="s">
        <v>4259</v>
      </c>
    </row>
    <row r="777" spans="1:17">
      <c r="A777" s="6" t="s">
        <v>31</v>
      </c>
      <c r="B777" s="7">
        <v>730492</v>
      </c>
      <c r="C777" s="7">
        <v>730677</v>
      </c>
      <c r="D777" s="8"/>
      <c r="E777" s="7" t="s">
        <v>75</v>
      </c>
      <c r="F777" s="7" t="s">
        <v>2130</v>
      </c>
      <c r="G777" s="8"/>
      <c r="H777" s="8"/>
      <c r="I777" s="7" t="s">
        <v>55</v>
      </c>
      <c r="J777" s="8"/>
      <c r="K777" s="8"/>
      <c r="L777" s="7" t="s">
        <v>4260</v>
      </c>
      <c r="M777" s="7" t="s">
        <v>2130</v>
      </c>
      <c r="N777" s="7">
        <v>61</v>
      </c>
      <c r="O777" s="7" t="s">
        <v>4261</v>
      </c>
    </row>
    <row r="778" spans="1:17">
      <c r="A778" s="6" t="s">
        <v>31</v>
      </c>
      <c r="B778" s="7">
        <v>730978</v>
      </c>
      <c r="C778" s="7">
        <v>732480</v>
      </c>
      <c r="D778" s="8"/>
      <c r="E778" s="7" t="s">
        <v>75</v>
      </c>
      <c r="F778" s="7" t="s">
        <v>4262</v>
      </c>
      <c r="G778" s="8"/>
      <c r="H778" s="8"/>
      <c r="I778" s="7" t="s">
        <v>55</v>
      </c>
      <c r="J778" s="8"/>
      <c r="K778" s="8"/>
      <c r="L778" s="7" t="s">
        <v>4263</v>
      </c>
      <c r="M778" s="7" t="s">
        <v>4262</v>
      </c>
      <c r="N778" s="7">
        <v>500</v>
      </c>
      <c r="O778" s="7" t="s">
        <v>4264</v>
      </c>
    </row>
    <row r="779" spans="1:17">
      <c r="A779" s="6" t="s">
        <v>31</v>
      </c>
      <c r="B779" s="7">
        <v>732470</v>
      </c>
      <c r="C779" s="7">
        <v>733330</v>
      </c>
      <c r="D779" s="8"/>
      <c r="E779" s="7" t="s">
        <v>75</v>
      </c>
      <c r="F779" s="7" t="s">
        <v>4265</v>
      </c>
      <c r="G779" s="8"/>
      <c r="H779" s="8"/>
      <c r="I779" s="7" t="s">
        <v>55</v>
      </c>
      <c r="J779" s="8"/>
      <c r="K779" s="8"/>
      <c r="L779" s="7" t="s">
        <v>4266</v>
      </c>
      <c r="M779" s="7" t="s">
        <v>4265</v>
      </c>
      <c r="N779" s="7">
        <v>286</v>
      </c>
      <c r="O779" s="7" t="s">
        <v>4267</v>
      </c>
    </row>
    <row r="780" spans="1:17">
      <c r="A780" s="6" t="s">
        <v>31</v>
      </c>
      <c r="B780" s="7">
        <v>733345</v>
      </c>
      <c r="C780" s="7">
        <v>733617</v>
      </c>
      <c r="D780" s="8"/>
      <c r="E780" s="7" t="s">
        <v>75</v>
      </c>
      <c r="F780" s="7" t="s">
        <v>2831</v>
      </c>
      <c r="G780" s="8"/>
      <c r="H780" s="8"/>
      <c r="I780" s="7" t="s">
        <v>55</v>
      </c>
      <c r="J780" s="8"/>
      <c r="K780" s="8"/>
      <c r="L780" s="7" t="s">
        <v>4268</v>
      </c>
      <c r="M780" s="7" t="s">
        <v>2831</v>
      </c>
      <c r="N780" s="7">
        <v>90</v>
      </c>
      <c r="O780" s="7" t="s">
        <v>4269</v>
      </c>
    </row>
    <row r="781" spans="1:17">
      <c r="A781" s="6" t="s">
        <v>31</v>
      </c>
      <c r="B781" s="7">
        <v>733619</v>
      </c>
      <c r="C781" s="7">
        <v>733930</v>
      </c>
      <c r="D781" s="8"/>
      <c r="E781" s="7" t="s">
        <v>75</v>
      </c>
      <c r="F781" s="7" t="s">
        <v>2130</v>
      </c>
      <c r="G781" s="8"/>
      <c r="H781" s="8"/>
      <c r="I781" s="7" t="s">
        <v>55</v>
      </c>
      <c r="J781" s="8"/>
      <c r="K781" s="8"/>
      <c r="L781" s="7" t="s">
        <v>4270</v>
      </c>
      <c r="M781" s="7" t="s">
        <v>2130</v>
      </c>
      <c r="N781" s="7">
        <v>103</v>
      </c>
      <c r="O781" s="7" t="s">
        <v>4271</v>
      </c>
    </row>
    <row r="782" spans="1:17">
      <c r="A782" s="6" t="s">
        <v>31</v>
      </c>
      <c r="B782" s="7">
        <v>733947</v>
      </c>
      <c r="C782" s="7">
        <v>734183</v>
      </c>
      <c r="D782" s="8"/>
      <c r="E782" s="7" t="s">
        <v>75</v>
      </c>
      <c r="F782" s="7" t="s">
        <v>2130</v>
      </c>
      <c r="G782" s="8"/>
      <c r="H782" s="8"/>
      <c r="I782" s="7" t="s">
        <v>55</v>
      </c>
      <c r="J782" s="8"/>
      <c r="K782" s="8"/>
      <c r="L782" s="7" t="s">
        <v>4272</v>
      </c>
      <c r="M782" s="7" t="s">
        <v>2130</v>
      </c>
      <c r="N782" s="7">
        <v>78</v>
      </c>
      <c r="O782" s="7" t="s">
        <v>4273</v>
      </c>
    </row>
    <row r="783" spans="1:17">
      <c r="A783" s="6" t="s">
        <v>31</v>
      </c>
      <c r="B783" s="7">
        <v>734197</v>
      </c>
      <c r="C783" s="7">
        <v>734391</v>
      </c>
      <c r="D783" s="8"/>
      <c r="E783" s="7" t="s">
        <v>75</v>
      </c>
      <c r="F783" s="7" t="s">
        <v>2130</v>
      </c>
      <c r="G783" s="8"/>
      <c r="H783" s="8"/>
      <c r="I783" s="7" t="s">
        <v>55</v>
      </c>
      <c r="J783" s="8"/>
      <c r="K783" s="8"/>
      <c r="L783" s="7" t="s">
        <v>4274</v>
      </c>
      <c r="M783" s="7" t="s">
        <v>2130</v>
      </c>
      <c r="N783" s="7">
        <v>64</v>
      </c>
      <c r="O783" s="7" t="s">
        <v>4275</v>
      </c>
    </row>
    <row r="784" spans="1:17">
      <c r="A784" s="6" t="s">
        <v>31</v>
      </c>
      <c r="B784" s="7">
        <v>734395</v>
      </c>
      <c r="C784" s="7">
        <v>734697</v>
      </c>
      <c r="D784" s="8"/>
      <c r="E784" s="7" t="s">
        <v>75</v>
      </c>
      <c r="F784" s="7" t="s">
        <v>2130</v>
      </c>
      <c r="G784" s="8"/>
      <c r="H784" s="8"/>
      <c r="I784" s="7" t="s">
        <v>55</v>
      </c>
      <c r="J784" s="8"/>
      <c r="K784" s="8"/>
      <c r="L784" s="7" t="s">
        <v>4276</v>
      </c>
      <c r="M784" s="7" t="s">
        <v>2130</v>
      </c>
      <c r="N784" s="7">
        <v>100</v>
      </c>
      <c r="O784" s="7" t="s">
        <v>4277</v>
      </c>
    </row>
    <row r="785" spans="1:17">
      <c r="A785" s="6" t="s">
        <v>31</v>
      </c>
      <c r="B785" s="7">
        <v>734910</v>
      </c>
      <c r="C785" s="7">
        <v>735107</v>
      </c>
      <c r="D785" s="8"/>
      <c r="E785" s="7" t="s">
        <v>75</v>
      </c>
      <c r="F785" s="7" t="s">
        <v>4278</v>
      </c>
      <c r="G785" s="8"/>
      <c r="H785" s="8"/>
      <c r="I785" s="7" t="s">
        <v>55</v>
      </c>
      <c r="J785" s="8"/>
      <c r="K785" s="8"/>
      <c r="L785" s="7" t="s">
        <v>4279</v>
      </c>
      <c r="M785" s="7" t="s">
        <v>4278</v>
      </c>
      <c r="N785" s="7">
        <v>65</v>
      </c>
      <c r="O785" s="7" t="s">
        <v>4280</v>
      </c>
    </row>
    <row r="786" spans="1:17">
      <c r="A786" s="6" t="s">
        <v>31</v>
      </c>
      <c r="B786" s="7">
        <v>735236</v>
      </c>
      <c r="C786" s="7">
        <v>736084</v>
      </c>
      <c r="D786" s="8"/>
      <c r="E786" s="7" t="s">
        <v>53</v>
      </c>
      <c r="F786" s="7" t="s">
        <v>4281</v>
      </c>
      <c r="G786" s="8"/>
      <c r="H786" s="8"/>
      <c r="I786" s="7" t="s">
        <v>55</v>
      </c>
      <c r="J786" s="8"/>
      <c r="K786" s="8"/>
      <c r="L786" s="7" t="s">
        <v>4282</v>
      </c>
      <c r="M786" s="7" t="s">
        <v>4281</v>
      </c>
      <c r="N786" s="7">
        <v>282</v>
      </c>
      <c r="O786" s="7" t="s">
        <v>4283</v>
      </c>
    </row>
    <row r="787" spans="1:17">
      <c r="A787" s="6" t="s">
        <v>31</v>
      </c>
      <c r="B787" s="7">
        <v>736164</v>
      </c>
      <c r="C787" s="7">
        <v>737330</v>
      </c>
      <c r="D787" s="8"/>
      <c r="E787" s="7" t="s">
        <v>53</v>
      </c>
      <c r="F787" s="7" t="s">
        <v>4284</v>
      </c>
      <c r="G787" s="8"/>
      <c r="H787" s="8"/>
      <c r="I787" s="7" t="s">
        <v>55</v>
      </c>
      <c r="J787" s="8"/>
      <c r="K787" s="8"/>
      <c r="L787" s="7" t="s">
        <v>4285</v>
      </c>
      <c r="M787" s="7" t="s">
        <v>4284</v>
      </c>
      <c r="N787" s="7">
        <v>388</v>
      </c>
      <c r="O787" s="7" t="s">
        <v>4286</v>
      </c>
    </row>
    <row r="788" spans="1:17">
      <c r="A788" s="6" t="s">
        <v>31</v>
      </c>
      <c r="B788" s="7">
        <v>737446</v>
      </c>
      <c r="C788" s="7">
        <v>737781</v>
      </c>
      <c r="D788" s="8"/>
      <c r="E788" s="7" t="s">
        <v>53</v>
      </c>
      <c r="F788" s="7" t="s">
        <v>2130</v>
      </c>
      <c r="G788" s="8"/>
      <c r="H788" s="8"/>
      <c r="I788" s="7" t="s">
        <v>55</v>
      </c>
      <c r="J788" s="8"/>
      <c r="K788" s="8"/>
      <c r="L788" s="7" t="s">
        <v>4287</v>
      </c>
      <c r="M788" s="7" t="s">
        <v>2130</v>
      </c>
      <c r="N788" s="7">
        <v>111</v>
      </c>
      <c r="O788" s="7" t="s">
        <v>4288</v>
      </c>
    </row>
    <row r="789" spans="1:17">
      <c r="A789" s="6" t="s">
        <v>31</v>
      </c>
      <c r="B789" s="7">
        <v>738109</v>
      </c>
      <c r="C789" s="7">
        <v>740358</v>
      </c>
      <c r="D789" s="8"/>
      <c r="E789" s="7" t="s">
        <v>53</v>
      </c>
      <c r="F789" s="7" t="s">
        <v>4289</v>
      </c>
      <c r="G789" s="7" t="s">
        <v>867</v>
      </c>
      <c r="H789" s="8"/>
      <c r="I789" s="7" t="s">
        <v>55</v>
      </c>
      <c r="J789" s="8"/>
      <c r="K789" s="8"/>
      <c r="L789" s="7" t="s">
        <v>4290</v>
      </c>
      <c r="M789" s="7" t="s">
        <v>4289</v>
      </c>
      <c r="N789" s="7">
        <v>749</v>
      </c>
      <c r="O789" s="7" t="s">
        <v>4291</v>
      </c>
      <c r="P789" s="7"/>
      <c r="Q789" s="7"/>
    </row>
    <row r="790" spans="1:17">
      <c r="A790" s="6" t="s">
        <v>31</v>
      </c>
      <c r="B790" s="7">
        <v>740547</v>
      </c>
      <c r="C790" s="7">
        <v>741422</v>
      </c>
      <c r="D790" s="8"/>
      <c r="E790" s="7" t="s">
        <v>53</v>
      </c>
      <c r="F790" s="7" t="s">
        <v>4292</v>
      </c>
      <c r="G790" s="8"/>
      <c r="H790" s="8"/>
      <c r="I790" s="7" t="s">
        <v>55</v>
      </c>
      <c r="J790" s="8"/>
      <c r="K790" s="8"/>
      <c r="L790" s="7" t="s">
        <v>4293</v>
      </c>
      <c r="M790" s="7" t="s">
        <v>4292</v>
      </c>
      <c r="N790" s="7">
        <v>291</v>
      </c>
      <c r="O790" s="7" t="s">
        <v>4294</v>
      </c>
      <c r="P790" s="7"/>
      <c r="Q790" s="7"/>
    </row>
    <row r="791" spans="1:17">
      <c r="A791" s="6" t="s">
        <v>31</v>
      </c>
      <c r="B791" s="7">
        <v>741562</v>
      </c>
      <c r="C791" s="7">
        <v>743280</v>
      </c>
      <c r="D791" s="8"/>
      <c r="E791" s="7" t="s">
        <v>75</v>
      </c>
      <c r="F791" s="7" t="s">
        <v>4295</v>
      </c>
      <c r="G791" s="7" t="s">
        <v>4296</v>
      </c>
      <c r="H791" s="8"/>
      <c r="I791" s="7" t="s">
        <v>55</v>
      </c>
      <c r="J791" s="8"/>
      <c r="K791" s="8"/>
      <c r="L791" s="7" t="s">
        <v>4297</v>
      </c>
      <c r="M791" s="7" t="s">
        <v>4295</v>
      </c>
      <c r="N791" s="7">
        <v>572</v>
      </c>
      <c r="O791" s="7" t="s">
        <v>4298</v>
      </c>
      <c r="P791" s="7"/>
      <c r="Q791" s="7"/>
    </row>
    <row r="792" spans="1:17">
      <c r="A792" s="6" t="s">
        <v>31</v>
      </c>
      <c r="B792" s="7">
        <v>743363</v>
      </c>
      <c r="C792" s="7">
        <v>743935</v>
      </c>
      <c r="D792" s="8"/>
      <c r="E792" s="7" t="s">
        <v>75</v>
      </c>
      <c r="F792" s="7" t="s">
        <v>4299</v>
      </c>
      <c r="G792" s="7" t="s">
        <v>4300</v>
      </c>
      <c r="H792" s="8"/>
      <c r="I792" s="7" t="s">
        <v>55</v>
      </c>
      <c r="J792" s="8"/>
      <c r="K792" s="8"/>
      <c r="L792" s="7" t="s">
        <v>4301</v>
      </c>
      <c r="M792" s="7" t="s">
        <v>4299</v>
      </c>
      <c r="N792" s="7">
        <v>190</v>
      </c>
      <c r="O792" s="7" t="s">
        <v>4302</v>
      </c>
    </row>
    <row r="793" spans="1:17">
      <c r="A793" s="6" t="s">
        <v>31</v>
      </c>
      <c r="B793" s="7">
        <v>743963</v>
      </c>
      <c r="C793" s="7">
        <v>744508</v>
      </c>
      <c r="D793" s="8"/>
      <c r="E793" s="7" t="s">
        <v>75</v>
      </c>
      <c r="F793" s="7" t="s">
        <v>4303</v>
      </c>
      <c r="G793" s="7" t="s">
        <v>872</v>
      </c>
      <c r="H793" s="8"/>
      <c r="I793" s="7" t="s">
        <v>55</v>
      </c>
      <c r="J793" s="8"/>
      <c r="K793" s="8"/>
      <c r="L793" s="7" t="s">
        <v>4304</v>
      </c>
      <c r="M793" s="7" t="s">
        <v>4303</v>
      </c>
      <c r="N793" s="7">
        <v>181</v>
      </c>
      <c r="O793" s="7" t="s">
        <v>4305</v>
      </c>
      <c r="P793" s="7"/>
      <c r="Q793" s="7"/>
    </row>
    <row r="794" spans="1:17">
      <c r="A794" s="6" t="s">
        <v>31</v>
      </c>
      <c r="B794" s="7">
        <v>744501</v>
      </c>
      <c r="C794" s="7">
        <v>745184</v>
      </c>
      <c r="D794" s="8"/>
      <c r="E794" s="7" t="s">
        <v>75</v>
      </c>
      <c r="F794" s="7" t="s">
        <v>4306</v>
      </c>
      <c r="G794" s="8"/>
      <c r="H794" s="8"/>
      <c r="I794" s="7" t="s">
        <v>55</v>
      </c>
      <c r="J794" s="8"/>
      <c r="K794" s="8"/>
      <c r="L794" s="7" t="s">
        <v>4307</v>
      </c>
      <c r="M794" s="7" t="s">
        <v>4306</v>
      </c>
      <c r="N794" s="7">
        <v>227</v>
      </c>
      <c r="O794" s="7" t="s">
        <v>4308</v>
      </c>
      <c r="P794" s="7"/>
      <c r="Q794" s="7"/>
    </row>
    <row r="795" spans="1:17">
      <c r="A795" s="6" t="s">
        <v>31</v>
      </c>
      <c r="B795" s="7">
        <v>745378</v>
      </c>
      <c r="C795" s="7">
        <v>747048</v>
      </c>
      <c r="D795" s="8"/>
      <c r="E795" s="7" t="s">
        <v>53</v>
      </c>
      <c r="F795" s="7" t="s">
        <v>4309</v>
      </c>
      <c r="G795" s="7" t="s">
        <v>4310</v>
      </c>
      <c r="H795" s="8"/>
      <c r="I795" s="7" t="s">
        <v>55</v>
      </c>
      <c r="J795" s="8"/>
      <c r="K795" s="8"/>
      <c r="L795" s="7" t="s">
        <v>4311</v>
      </c>
      <c r="M795" s="7" t="s">
        <v>4309</v>
      </c>
      <c r="N795" s="7">
        <v>556</v>
      </c>
      <c r="O795" s="7" t="s">
        <v>4312</v>
      </c>
      <c r="P795" s="7"/>
      <c r="Q795" s="7"/>
    </row>
    <row r="796" spans="1:17">
      <c r="A796" s="6" t="s">
        <v>31</v>
      </c>
      <c r="B796" s="7">
        <v>747234</v>
      </c>
      <c r="C796" s="7">
        <v>747320</v>
      </c>
      <c r="D796" s="8"/>
      <c r="E796" s="7" t="s">
        <v>53</v>
      </c>
      <c r="F796" s="7" t="s">
        <v>2095</v>
      </c>
      <c r="G796" s="8"/>
      <c r="H796" s="8"/>
      <c r="I796" s="7" t="s">
        <v>55</v>
      </c>
      <c r="J796" s="8"/>
      <c r="K796" s="8"/>
      <c r="L796" s="7" t="s">
        <v>4313</v>
      </c>
      <c r="M796" s="7" t="s">
        <v>2095</v>
      </c>
      <c r="N796" s="7">
        <v>28</v>
      </c>
      <c r="O796" s="7" t="s">
        <v>4314</v>
      </c>
    </row>
    <row r="797" spans="1:17">
      <c r="A797" s="6" t="s">
        <v>31</v>
      </c>
      <c r="B797" s="7">
        <v>747390</v>
      </c>
      <c r="C797" s="7">
        <v>747770</v>
      </c>
      <c r="D797" s="8"/>
      <c r="E797" s="7" t="s">
        <v>53</v>
      </c>
      <c r="F797" s="7" t="s">
        <v>4315</v>
      </c>
      <c r="G797" s="8"/>
      <c r="H797" s="8"/>
      <c r="I797" s="7" t="s">
        <v>55</v>
      </c>
      <c r="J797" s="8"/>
      <c r="K797" s="8"/>
      <c r="L797" s="7" t="s">
        <v>4316</v>
      </c>
      <c r="M797" s="7" t="s">
        <v>4315</v>
      </c>
      <c r="N797" s="7">
        <v>126</v>
      </c>
      <c r="O797" s="7" t="s">
        <v>4317</v>
      </c>
    </row>
    <row r="798" spans="1:17">
      <c r="A798" s="6" t="s">
        <v>31</v>
      </c>
      <c r="B798" s="7">
        <v>747898</v>
      </c>
      <c r="C798" s="7">
        <v>748197</v>
      </c>
      <c r="D798" s="8"/>
      <c r="E798" s="7" t="s">
        <v>53</v>
      </c>
      <c r="F798" s="7" t="s">
        <v>4318</v>
      </c>
      <c r="G798" s="8"/>
      <c r="H798" s="8"/>
      <c r="I798" s="7" t="s">
        <v>55</v>
      </c>
      <c r="J798" s="8"/>
      <c r="K798" s="8"/>
      <c r="L798" s="7" t="s">
        <v>4319</v>
      </c>
      <c r="M798" s="7" t="s">
        <v>4318</v>
      </c>
      <c r="N798" s="7">
        <v>99</v>
      </c>
      <c r="O798" s="7" t="s">
        <v>4320</v>
      </c>
    </row>
    <row r="799" spans="1:17">
      <c r="A799" s="6" t="s">
        <v>31</v>
      </c>
      <c r="B799" s="7">
        <v>748275</v>
      </c>
      <c r="C799" s="7">
        <v>748598</v>
      </c>
      <c r="D799" s="8"/>
      <c r="E799" s="7" t="s">
        <v>53</v>
      </c>
      <c r="F799" s="7" t="s">
        <v>4321</v>
      </c>
      <c r="G799" s="8"/>
      <c r="H799" s="8"/>
      <c r="I799" s="7" t="s">
        <v>55</v>
      </c>
      <c r="J799" s="8"/>
      <c r="K799" s="8"/>
      <c r="L799" s="7" t="s">
        <v>4322</v>
      </c>
      <c r="M799" s="7" t="s">
        <v>4321</v>
      </c>
      <c r="N799" s="7">
        <v>107</v>
      </c>
      <c r="O799" s="7" t="s">
        <v>4323</v>
      </c>
    </row>
    <row r="800" spans="1:17">
      <c r="A800" s="6" t="s">
        <v>31</v>
      </c>
      <c r="B800" s="7">
        <v>748600</v>
      </c>
      <c r="C800" s="7">
        <v>749316</v>
      </c>
      <c r="D800" s="8"/>
      <c r="E800" s="7" t="s">
        <v>53</v>
      </c>
      <c r="F800" s="7" t="s">
        <v>4324</v>
      </c>
      <c r="G800" s="8"/>
      <c r="H800" s="8"/>
      <c r="I800" s="7" t="s">
        <v>55</v>
      </c>
      <c r="J800" s="8"/>
      <c r="K800" s="8"/>
      <c r="L800" s="7" t="s">
        <v>4325</v>
      </c>
      <c r="M800" s="7" t="s">
        <v>4324</v>
      </c>
      <c r="N800" s="7">
        <v>238</v>
      </c>
      <c r="O800" s="7" t="s">
        <v>4326</v>
      </c>
      <c r="P800" s="7"/>
      <c r="Q800" s="7"/>
    </row>
    <row r="801" spans="1:17">
      <c r="A801" s="6" t="s">
        <v>31</v>
      </c>
      <c r="B801" s="7">
        <v>749386</v>
      </c>
      <c r="C801" s="7">
        <v>750255</v>
      </c>
      <c r="D801" s="8"/>
      <c r="E801" s="7" t="s">
        <v>75</v>
      </c>
      <c r="F801" s="7" t="s">
        <v>2095</v>
      </c>
      <c r="G801" s="8"/>
      <c r="H801" s="8"/>
      <c r="I801" s="7" t="s">
        <v>55</v>
      </c>
      <c r="J801" s="8"/>
      <c r="K801" s="8"/>
      <c r="L801" s="7" t="s">
        <v>4327</v>
      </c>
      <c r="M801" s="7" t="s">
        <v>2095</v>
      </c>
      <c r="N801" s="7">
        <v>289</v>
      </c>
      <c r="O801" s="7" t="s">
        <v>4328</v>
      </c>
    </row>
    <row r="802" spans="1:17">
      <c r="A802" s="6" t="s">
        <v>31</v>
      </c>
      <c r="B802" s="7">
        <v>750270</v>
      </c>
      <c r="C802" s="7">
        <v>750956</v>
      </c>
      <c r="D802" s="8"/>
      <c r="E802" s="7" t="s">
        <v>75</v>
      </c>
      <c r="F802" s="7" t="s">
        <v>1280</v>
      </c>
      <c r="G802" s="8"/>
      <c r="H802" s="8"/>
      <c r="I802" s="7" t="s">
        <v>55</v>
      </c>
      <c r="J802" s="8"/>
      <c r="K802" s="8"/>
      <c r="L802" s="7" t="s">
        <v>4329</v>
      </c>
      <c r="M802" s="7" t="s">
        <v>1280</v>
      </c>
      <c r="N802" s="7">
        <v>228</v>
      </c>
      <c r="O802" s="7" t="s">
        <v>4330</v>
      </c>
    </row>
    <row r="803" spans="1:17">
      <c r="A803" s="6" t="s">
        <v>31</v>
      </c>
      <c r="B803" s="7">
        <v>751092</v>
      </c>
      <c r="C803" s="7">
        <v>751328</v>
      </c>
      <c r="D803" s="8"/>
      <c r="E803" s="7" t="s">
        <v>75</v>
      </c>
      <c r="F803" s="7" t="s">
        <v>877</v>
      </c>
      <c r="G803" s="7" t="s">
        <v>878</v>
      </c>
      <c r="H803" s="8"/>
      <c r="I803" s="7" t="s">
        <v>55</v>
      </c>
      <c r="J803" s="8"/>
      <c r="K803" s="8"/>
      <c r="L803" s="7" t="s">
        <v>4331</v>
      </c>
      <c r="M803" s="7" t="s">
        <v>877</v>
      </c>
      <c r="N803" s="7">
        <v>78</v>
      </c>
      <c r="O803" s="7" t="s">
        <v>4332</v>
      </c>
    </row>
    <row r="804" spans="1:17">
      <c r="A804" s="6" t="s">
        <v>31</v>
      </c>
      <c r="B804" s="7">
        <v>751397</v>
      </c>
      <c r="C804" s="7">
        <v>752317</v>
      </c>
      <c r="D804" s="8"/>
      <c r="E804" s="7" t="s">
        <v>75</v>
      </c>
      <c r="F804" s="7" t="s">
        <v>4333</v>
      </c>
      <c r="G804" s="7" t="s">
        <v>880</v>
      </c>
      <c r="H804" s="8"/>
      <c r="I804" s="7" t="s">
        <v>55</v>
      </c>
      <c r="J804" s="8"/>
      <c r="K804" s="8"/>
      <c r="L804" s="7" t="s">
        <v>4334</v>
      </c>
      <c r="M804" s="7" t="s">
        <v>4333</v>
      </c>
      <c r="N804" s="7">
        <v>306</v>
      </c>
      <c r="O804" s="7" t="s">
        <v>4335</v>
      </c>
      <c r="P804" s="7"/>
      <c r="Q804" s="7"/>
    </row>
    <row r="805" spans="1:17">
      <c r="A805" s="6" t="s">
        <v>31</v>
      </c>
      <c r="B805" s="7">
        <v>752641</v>
      </c>
      <c r="C805" s="7">
        <v>753231</v>
      </c>
      <c r="D805" s="8"/>
      <c r="E805" s="7" t="s">
        <v>53</v>
      </c>
      <c r="F805" s="7" t="s">
        <v>4336</v>
      </c>
      <c r="G805" s="8"/>
      <c r="H805" s="8"/>
      <c r="I805" s="7" t="s">
        <v>55</v>
      </c>
      <c r="J805" s="8"/>
      <c r="K805" s="8"/>
      <c r="L805" s="7" t="s">
        <v>4337</v>
      </c>
      <c r="M805" s="7" t="s">
        <v>4336</v>
      </c>
      <c r="N805" s="7">
        <v>196</v>
      </c>
      <c r="O805" s="7" t="s">
        <v>4338</v>
      </c>
      <c r="P805" s="7"/>
      <c r="Q805" s="7"/>
    </row>
    <row r="806" spans="1:17">
      <c r="A806" s="6" t="s">
        <v>31</v>
      </c>
      <c r="B806" s="7">
        <v>755183</v>
      </c>
      <c r="C806" s="7">
        <v>755515</v>
      </c>
      <c r="D806" s="8"/>
      <c r="E806" s="7" t="s">
        <v>53</v>
      </c>
      <c r="F806" s="7" t="s">
        <v>4339</v>
      </c>
      <c r="G806" s="8"/>
      <c r="H806" s="8"/>
      <c r="I806" s="7" t="s">
        <v>55</v>
      </c>
      <c r="J806" s="8"/>
      <c r="K806" s="8"/>
      <c r="L806" s="7" t="s">
        <v>4340</v>
      </c>
      <c r="M806" s="7" t="s">
        <v>4339</v>
      </c>
      <c r="N806" s="7">
        <v>110</v>
      </c>
      <c r="O806" s="7" t="s">
        <v>4341</v>
      </c>
      <c r="P806" s="7"/>
      <c r="Q806" s="7"/>
    </row>
    <row r="807" spans="1:17">
      <c r="A807" s="6" t="s">
        <v>31</v>
      </c>
      <c r="B807" s="7">
        <v>755644</v>
      </c>
      <c r="C807" s="7">
        <v>756714</v>
      </c>
      <c r="D807" s="8"/>
      <c r="E807" s="7" t="s">
        <v>53</v>
      </c>
      <c r="F807" s="7" t="s">
        <v>4342</v>
      </c>
      <c r="G807" s="7" t="s">
        <v>4343</v>
      </c>
      <c r="H807" s="8"/>
      <c r="I807" s="7" t="s">
        <v>55</v>
      </c>
      <c r="J807" s="8"/>
      <c r="K807" s="8"/>
      <c r="L807" s="7" t="s">
        <v>4344</v>
      </c>
      <c r="M807" s="7" t="s">
        <v>4342</v>
      </c>
      <c r="N807" s="7">
        <v>356</v>
      </c>
      <c r="O807" s="7" t="s">
        <v>4345</v>
      </c>
    </row>
    <row r="808" spans="1:17">
      <c r="A808" s="6" t="s">
        <v>31</v>
      </c>
      <c r="B808" s="7">
        <v>756828</v>
      </c>
      <c r="C808" s="7">
        <v>758366</v>
      </c>
      <c r="D808" s="8"/>
      <c r="E808" s="7" t="s">
        <v>53</v>
      </c>
      <c r="F808" s="7" t="s">
        <v>4346</v>
      </c>
      <c r="G808" s="7" t="s">
        <v>4347</v>
      </c>
      <c r="H808" s="8"/>
      <c r="I808" s="7" t="s">
        <v>55</v>
      </c>
      <c r="J808" s="8"/>
      <c r="K808" s="8"/>
      <c r="L808" s="7" t="s">
        <v>4348</v>
      </c>
      <c r="M808" s="7" t="s">
        <v>4346</v>
      </c>
      <c r="N808" s="7">
        <v>512</v>
      </c>
      <c r="O808" s="7" t="s">
        <v>4349</v>
      </c>
    </row>
    <row r="809" spans="1:17">
      <c r="A809" s="6" t="s">
        <v>31</v>
      </c>
      <c r="B809" s="7">
        <v>758359</v>
      </c>
      <c r="C809" s="7">
        <v>759426</v>
      </c>
      <c r="D809" s="8"/>
      <c r="E809" s="7" t="s">
        <v>53</v>
      </c>
      <c r="F809" s="7" t="s">
        <v>4350</v>
      </c>
      <c r="G809" s="7" t="s">
        <v>4351</v>
      </c>
      <c r="H809" s="8"/>
      <c r="I809" s="7" t="s">
        <v>55</v>
      </c>
      <c r="J809" s="8"/>
      <c r="K809" s="8"/>
      <c r="L809" s="7" t="s">
        <v>4352</v>
      </c>
      <c r="M809" s="7" t="s">
        <v>4350</v>
      </c>
      <c r="N809" s="7">
        <v>355</v>
      </c>
      <c r="O809" s="7" t="s">
        <v>4353</v>
      </c>
    </row>
    <row r="810" spans="1:17">
      <c r="A810" s="6" t="s">
        <v>31</v>
      </c>
      <c r="B810" s="7">
        <v>759428</v>
      </c>
      <c r="C810" s="7">
        <v>760384</v>
      </c>
      <c r="D810" s="8"/>
      <c r="E810" s="7" t="s">
        <v>53</v>
      </c>
      <c r="F810" s="7" t="s">
        <v>4350</v>
      </c>
      <c r="G810" s="7" t="s">
        <v>4354</v>
      </c>
      <c r="H810" s="8"/>
      <c r="I810" s="7" t="s">
        <v>55</v>
      </c>
      <c r="J810" s="8"/>
      <c r="K810" s="8"/>
      <c r="L810" s="7" t="s">
        <v>4355</v>
      </c>
      <c r="M810" s="7" t="s">
        <v>4350</v>
      </c>
      <c r="N810" s="7">
        <v>318</v>
      </c>
      <c r="O810" s="7" t="s">
        <v>4356</v>
      </c>
    </row>
    <row r="811" spans="1:17">
      <c r="A811" s="6" t="s">
        <v>31</v>
      </c>
      <c r="B811" s="7">
        <v>760488</v>
      </c>
      <c r="C811" s="7">
        <v>761123</v>
      </c>
      <c r="D811" s="8"/>
      <c r="E811" s="7" t="s">
        <v>75</v>
      </c>
      <c r="F811" s="7" t="s">
        <v>4357</v>
      </c>
      <c r="G811" s="8"/>
      <c r="H811" s="8"/>
      <c r="I811" s="7" t="s">
        <v>55</v>
      </c>
      <c r="J811" s="8"/>
      <c r="K811" s="8"/>
      <c r="L811" s="7" t="s">
        <v>4358</v>
      </c>
      <c r="M811" s="7" t="s">
        <v>4357</v>
      </c>
      <c r="N811" s="7">
        <v>211</v>
      </c>
      <c r="O811" s="7" t="s">
        <v>4359</v>
      </c>
      <c r="P811" s="7"/>
      <c r="Q811" s="7"/>
    </row>
    <row r="812" spans="1:17">
      <c r="A812" s="6" t="s">
        <v>31</v>
      </c>
      <c r="B812" s="7">
        <v>761219</v>
      </c>
      <c r="C812" s="7">
        <v>763705</v>
      </c>
      <c r="D812" s="8"/>
      <c r="E812" s="7" t="s">
        <v>53</v>
      </c>
      <c r="F812" s="7" t="s">
        <v>4360</v>
      </c>
      <c r="G812" s="7" t="s">
        <v>4361</v>
      </c>
      <c r="H812" s="8"/>
      <c r="I812" s="7" t="s">
        <v>55</v>
      </c>
      <c r="J812" s="8"/>
      <c r="K812" s="8"/>
      <c r="L812" s="7" t="s">
        <v>4362</v>
      </c>
      <c r="M812" s="7" t="s">
        <v>4360</v>
      </c>
      <c r="N812" s="7">
        <v>828</v>
      </c>
      <c r="O812" s="7" t="s">
        <v>4363</v>
      </c>
      <c r="P812" s="7"/>
      <c r="Q812" s="7"/>
    </row>
    <row r="813" spans="1:17">
      <c r="A813" s="6" t="s">
        <v>31</v>
      </c>
      <c r="B813" s="7">
        <v>763714</v>
      </c>
      <c r="C813" s="7">
        <v>763848</v>
      </c>
      <c r="D813" s="8"/>
      <c r="E813" s="7" t="s">
        <v>75</v>
      </c>
      <c r="F813" s="7" t="s">
        <v>2130</v>
      </c>
      <c r="G813" s="8"/>
      <c r="H813" s="8"/>
      <c r="I813" s="7" t="s">
        <v>55</v>
      </c>
      <c r="J813" s="8"/>
      <c r="K813" s="8"/>
      <c r="L813" s="7" t="s">
        <v>4364</v>
      </c>
      <c r="M813" s="7" t="s">
        <v>2130</v>
      </c>
      <c r="N813" s="7">
        <v>44</v>
      </c>
      <c r="O813" s="7" t="s">
        <v>4365</v>
      </c>
    </row>
    <row r="814" spans="1:17">
      <c r="A814" s="6" t="s">
        <v>31</v>
      </c>
      <c r="B814" s="7">
        <v>763850</v>
      </c>
      <c r="C814" s="7">
        <v>764332</v>
      </c>
      <c r="D814" s="8"/>
      <c r="E814" s="7" t="s">
        <v>53</v>
      </c>
      <c r="F814" s="7" t="s">
        <v>2130</v>
      </c>
      <c r="G814" s="8"/>
      <c r="H814" s="8"/>
      <c r="I814" s="7" t="s">
        <v>55</v>
      </c>
      <c r="J814" s="8"/>
      <c r="K814" s="8"/>
      <c r="L814" s="7" t="s">
        <v>4366</v>
      </c>
      <c r="M814" s="7" t="s">
        <v>2130</v>
      </c>
      <c r="N814" s="7">
        <v>160</v>
      </c>
      <c r="O814" s="7" t="s">
        <v>4367</v>
      </c>
    </row>
    <row r="815" spans="1:17">
      <c r="A815" s="6" t="s">
        <v>31</v>
      </c>
      <c r="B815" s="7">
        <v>764337</v>
      </c>
      <c r="C815" s="7">
        <v>765518</v>
      </c>
      <c r="D815" s="8"/>
      <c r="E815" s="7" t="s">
        <v>53</v>
      </c>
      <c r="F815" s="7" t="s">
        <v>4368</v>
      </c>
      <c r="G815" s="7" t="s">
        <v>4369</v>
      </c>
      <c r="H815" s="8"/>
      <c r="I815" s="7" t="s">
        <v>55</v>
      </c>
      <c r="J815" s="8"/>
      <c r="K815" s="8"/>
      <c r="L815" s="7" t="s">
        <v>4370</v>
      </c>
      <c r="M815" s="7" t="s">
        <v>4368</v>
      </c>
      <c r="N815" s="7">
        <v>393</v>
      </c>
      <c r="O815" s="7" t="s">
        <v>4371</v>
      </c>
      <c r="P815" s="7"/>
      <c r="Q815" s="7"/>
    </row>
    <row r="816" spans="1:17">
      <c r="A816" s="6" t="s">
        <v>31</v>
      </c>
      <c r="B816" s="7">
        <v>765555</v>
      </c>
      <c r="C816" s="7">
        <v>766901</v>
      </c>
      <c r="D816" s="8"/>
      <c r="E816" s="7" t="s">
        <v>53</v>
      </c>
      <c r="F816" s="7" t="s">
        <v>4372</v>
      </c>
      <c r="G816" s="7" t="s">
        <v>891</v>
      </c>
      <c r="H816" s="8"/>
      <c r="I816" s="7" t="s">
        <v>55</v>
      </c>
      <c r="J816" s="8"/>
      <c r="K816" s="8"/>
      <c r="L816" s="7" t="s">
        <v>4373</v>
      </c>
      <c r="M816" s="7" t="s">
        <v>4372</v>
      </c>
      <c r="N816" s="7">
        <v>448</v>
      </c>
      <c r="O816" s="7" t="s">
        <v>4374</v>
      </c>
      <c r="P816" s="7"/>
      <c r="Q816" s="7"/>
    </row>
    <row r="817" spans="1:17">
      <c r="A817" s="6" t="s">
        <v>31</v>
      </c>
      <c r="B817" s="7">
        <v>766928</v>
      </c>
      <c r="C817" s="7">
        <v>767092</v>
      </c>
      <c r="D817" s="8"/>
      <c r="E817" s="7" t="s">
        <v>53</v>
      </c>
      <c r="F817" s="7" t="s">
        <v>2078</v>
      </c>
      <c r="G817" s="8"/>
      <c r="H817" s="8"/>
      <c r="I817" s="7" t="s">
        <v>55</v>
      </c>
      <c r="J817" s="8"/>
      <c r="K817" s="8"/>
      <c r="L817" s="7" t="s">
        <v>4375</v>
      </c>
      <c r="M817" s="7" t="s">
        <v>2078</v>
      </c>
      <c r="N817" s="7">
        <v>54</v>
      </c>
      <c r="O817" s="7" t="s">
        <v>4376</v>
      </c>
    </row>
    <row r="818" spans="1:17">
      <c r="A818" s="6" t="s">
        <v>31</v>
      </c>
      <c r="B818" s="7">
        <v>767108</v>
      </c>
      <c r="C818" s="7">
        <v>767335</v>
      </c>
      <c r="D818" s="8"/>
      <c r="E818" s="7" t="s">
        <v>53</v>
      </c>
      <c r="F818" s="7" t="s">
        <v>2130</v>
      </c>
      <c r="G818" s="8"/>
      <c r="H818" s="8"/>
      <c r="I818" s="7" t="s">
        <v>55</v>
      </c>
      <c r="J818" s="8"/>
      <c r="K818" s="8"/>
      <c r="L818" s="7" t="s">
        <v>4377</v>
      </c>
      <c r="M818" s="7" t="s">
        <v>2130</v>
      </c>
      <c r="N818" s="7">
        <v>75</v>
      </c>
      <c r="O818" s="7" t="s">
        <v>4378</v>
      </c>
    </row>
    <row r="819" spans="1:17">
      <c r="A819" s="6" t="s">
        <v>31</v>
      </c>
      <c r="B819" s="7">
        <v>767435</v>
      </c>
      <c r="C819" s="7">
        <v>767551</v>
      </c>
      <c r="D819" s="8"/>
      <c r="E819" s="7" t="s">
        <v>53</v>
      </c>
      <c r="F819" s="7" t="s">
        <v>2095</v>
      </c>
      <c r="G819" s="8"/>
      <c r="H819" s="8"/>
      <c r="I819" s="7" t="s">
        <v>55</v>
      </c>
      <c r="J819" s="8"/>
      <c r="K819" s="8"/>
      <c r="L819" s="7" t="s">
        <v>4379</v>
      </c>
      <c r="M819" s="7" t="s">
        <v>2095</v>
      </c>
      <c r="N819" s="7">
        <v>38</v>
      </c>
      <c r="O819" s="7" t="s">
        <v>4380</v>
      </c>
    </row>
    <row r="820" spans="1:17">
      <c r="A820" s="6" t="s">
        <v>31</v>
      </c>
      <c r="B820" s="7">
        <v>767563</v>
      </c>
      <c r="C820" s="7">
        <v>767751</v>
      </c>
      <c r="D820" s="8"/>
      <c r="E820" s="7" t="s">
        <v>75</v>
      </c>
      <c r="F820" s="7" t="s">
        <v>1280</v>
      </c>
      <c r="G820" s="8"/>
      <c r="H820" s="8"/>
      <c r="I820" s="7" t="s">
        <v>55</v>
      </c>
      <c r="J820" s="8"/>
      <c r="K820" s="8"/>
      <c r="L820" s="7" t="s">
        <v>4381</v>
      </c>
      <c r="M820" s="7" t="s">
        <v>1280</v>
      </c>
      <c r="N820" s="7">
        <v>62</v>
      </c>
      <c r="O820" s="7" t="s">
        <v>4382</v>
      </c>
    </row>
    <row r="821" spans="1:17">
      <c r="A821" s="6" t="s">
        <v>31</v>
      </c>
      <c r="B821" s="7">
        <v>767869</v>
      </c>
      <c r="C821" s="7">
        <v>768030</v>
      </c>
      <c r="D821" s="8"/>
      <c r="E821" s="7" t="s">
        <v>75</v>
      </c>
      <c r="F821" s="7" t="s">
        <v>2095</v>
      </c>
      <c r="G821" s="8"/>
      <c r="H821" s="8"/>
      <c r="I821" s="7" t="s">
        <v>55</v>
      </c>
      <c r="J821" s="8"/>
      <c r="K821" s="8"/>
      <c r="L821" s="7" t="s">
        <v>4383</v>
      </c>
      <c r="M821" s="7" t="s">
        <v>2095</v>
      </c>
      <c r="N821" s="7">
        <v>53</v>
      </c>
      <c r="O821" s="7" t="s">
        <v>4384</v>
      </c>
    </row>
    <row r="822" spans="1:17">
      <c r="A822" s="6" t="s">
        <v>31</v>
      </c>
      <c r="B822" s="7">
        <v>768072</v>
      </c>
      <c r="C822" s="7">
        <v>768209</v>
      </c>
      <c r="D822" s="8"/>
      <c r="E822" s="7" t="s">
        <v>75</v>
      </c>
      <c r="F822" s="7" t="s">
        <v>1280</v>
      </c>
      <c r="G822" s="8"/>
      <c r="H822" s="8"/>
      <c r="I822" s="7" t="s">
        <v>55</v>
      </c>
      <c r="J822" s="8"/>
      <c r="K822" s="8"/>
      <c r="L822" s="7" t="s">
        <v>4385</v>
      </c>
      <c r="M822" s="7" t="s">
        <v>1280</v>
      </c>
      <c r="N822" s="7">
        <v>45</v>
      </c>
      <c r="O822" s="7" t="s">
        <v>4386</v>
      </c>
    </row>
    <row r="823" spans="1:17">
      <c r="A823" s="6" t="s">
        <v>31</v>
      </c>
      <c r="B823" s="7">
        <v>768417</v>
      </c>
      <c r="C823" s="7">
        <v>768797</v>
      </c>
      <c r="D823" s="8"/>
      <c r="E823" s="7" t="s">
        <v>53</v>
      </c>
      <c r="F823" s="7" t="s">
        <v>4387</v>
      </c>
      <c r="G823" s="7" t="s">
        <v>4388</v>
      </c>
      <c r="H823" s="8"/>
      <c r="I823" s="7" t="s">
        <v>55</v>
      </c>
      <c r="J823" s="8"/>
      <c r="K823" s="8"/>
      <c r="L823" s="7" t="s">
        <v>4389</v>
      </c>
      <c r="M823" s="7" t="s">
        <v>4387</v>
      </c>
      <c r="N823" s="7">
        <v>126</v>
      </c>
      <c r="O823" s="7" t="s">
        <v>4390</v>
      </c>
      <c r="P823" s="7"/>
      <c r="Q823" s="7"/>
    </row>
    <row r="824" spans="1:17">
      <c r="A824" s="6" t="s">
        <v>31</v>
      </c>
      <c r="B824" s="7">
        <v>768971</v>
      </c>
      <c r="C824" s="7">
        <v>769624</v>
      </c>
      <c r="D824" s="8"/>
      <c r="E824" s="7" t="s">
        <v>53</v>
      </c>
      <c r="F824" s="7" t="s">
        <v>4391</v>
      </c>
      <c r="G824" s="7" t="s">
        <v>895</v>
      </c>
      <c r="H824" s="8"/>
      <c r="I824" s="7" t="s">
        <v>55</v>
      </c>
      <c r="J824" s="8"/>
      <c r="K824" s="8"/>
      <c r="L824" s="7" t="s">
        <v>4392</v>
      </c>
      <c r="M824" s="7" t="s">
        <v>4391</v>
      </c>
      <c r="N824" s="7">
        <v>217</v>
      </c>
      <c r="O824" s="7" t="s">
        <v>4393</v>
      </c>
      <c r="P824" s="7"/>
      <c r="Q824" s="7"/>
    </row>
    <row r="825" spans="1:17">
      <c r="A825" s="6" t="s">
        <v>31</v>
      </c>
      <c r="B825" s="7">
        <v>769624</v>
      </c>
      <c r="C825" s="7">
        <v>770067</v>
      </c>
      <c r="D825" s="8"/>
      <c r="E825" s="7" t="s">
        <v>53</v>
      </c>
      <c r="F825" s="7" t="s">
        <v>4394</v>
      </c>
      <c r="G825" s="8"/>
      <c r="H825" s="8"/>
      <c r="I825" s="7" t="s">
        <v>55</v>
      </c>
      <c r="J825" s="8"/>
      <c r="K825" s="8"/>
      <c r="L825" s="7" t="s">
        <v>4395</v>
      </c>
      <c r="M825" s="7" t="s">
        <v>4394</v>
      </c>
      <c r="N825" s="7">
        <v>147</v>
      </c>
      <c r="O825" s="7" t="s">
        <v>4396</v>
      </c>
      <c r="P825" s="7"/>
      <c r="Q825" s="7"/>
    </row>
    <row r="826" spans="1:17">
      <c r="A826" s="6" t="s">
        <v>31</v>
      </c>
      <c r="B826" s="7">
        <v>770060</v>
      </c>
      <c r="C826" s="7">
        <v>770776</v>
      </c>
      <c r="D826" s="8"/>
      <c r="E826" s="7" t="s">
        <v>53</v>
      </c>
      <c r="F826" s="7" t="s">
        <v>4397</v>
      </c>
      <c r="G826" s="7" t="s">
        <v>898</v>
      </c>
      <c r="H826" s="8"/>
      <c r="I826" s="7" t="s">
        <v>55</v>
      </c>
      <c r="J826" s="8"/>
      <c r="K826" s="8"/>
      <c r="L826" s="7" t="s">
        <v>4398</v>
      </c>
      <c r="M826" s="7" t="s">
        <v>4397</v>
      </c>
      <c r="N826" s="7">
        <v>238</v>
      </c>
      <c r="O826" s="7" t="s">
        <v>4399</v>
      </c>
      <c r="P826" s="7"/>
      <c r="Q826" s="7"/>
    </row>
    <row r="827" spans="1:17">
      <c r="A827" s="6" t="s">
        <v>31</v>
      </c>
      <c r="B827" s="7">
        <v>770896</v>
      </c>
      <c r="C827" s="7">
        <v>771387</v>
      </c>
      <c r="D827" s="8"/>
      <c r="E827" s="7" t="s">
        <v>53</v>
      </c>
      <c r="F827" s="7" t="s">
        <v>4400</v>
      </c>
      <c r="G827" s="7" t="s">
        <v>900</v>
      </c>
      <c r="H827" s="8"/>
      <c r="I827" s="7" t="s">
        <v>55</v>
      </c>
      <c r="J827" s="8"/>
      <c r="K827" s="8"/>
      <c r="L827" s="7" t="s">
        <v>4401</v>
      </c>
      <c r="M827" s="7" t="s">
        <v>4400</v>
      </c>
      <c r="N827" s="7">
        <v>163</v>
      </c>
      <c r="O827" s="7" t="s">
        <v>4402</v>
      </c>
      <c r="P827" s="7"/>
      <c r="Q827" s="7"/>
    </row>
    <row r="828" spans="1:17">
      <c r="A828" s="6" t="s">
        <v>31</v>
      </c>
      <c r="B828" s="7">
        <v>771535</v>
      </c>
      <c r="C828" s="7">
        <v>771741</v>
      </c>
      <c r="D828" s="8"/>
      <c r="E828" s="7" t="s">
        <v>75</v>
      </c>
      <c r="F828" s="7" t="s">
        <v>2095</v>
      </c>
      <c r="G828" s="8"/>
      <c r="H828" s="8"/>
      <c r="I828" s="7" t="s">
        <v>55</v>
      </c>
      <c r="J828" s="8"/>
      <c r="K828" s="8"/>
      <c r="L828" s="7" t="s">
        <v>4403</v>
      </c>
      <c r="M828" s="7" t="s">
        <v>2095</v>
      </c>
      <c r="N828" s="7">
        <v>68</v>
      </c>
      <c r="O828" s="7" t="s">
        <v>4404</v>
      </c>
    </row>
    <row r="829" spans="1:17">
      <c r="A829" s="6" t="s">
        <v>31</v>
      </c>
      <c r="B829" s="7">
        <v>771863</v>
      </c>
      <c r="C829" s="7">
        <v>771988</v>
      </c>
      <c r="D829" s="8"/>
      <c r="E829" s="7" t="s">
        <v>75</v>
      </c>
      <c r="F829" s="7" t="s">
        <v>2095</v>
      </c>
      <c r="G829" s="8"/>
      <c r="H829" s="8"/>
      <c r="I829" s="7" t="s">
        <v>55</v>
      </c>
      <c r="J829" s="8"/>
      <c r="K829" s="8"/>
      <c r="L829" s="7" t="s">
        <v>4405</v>
      </c>
      <c r="M829" s="7" t="s">
        <v>2095</v>
      </c>
      <c r="N829" s="7">
        <v>41</v>
      </c>
      <c r="O829" s="7" t="s">
        <v>4406</v>
      </c>
    </row>
    <row r="830" spans="1:17">
      <c r="A830" s="6" t="s">
        <v>31</v>
      </c>
      <c r="B830" s="7">
        <v>772207</v>
      </c>
      <c r="C830" s="7">
        <v>772395</v>
      </c>
      <c r="D830" s="8"/>
      <c r="E830" s="7" t="s">
        <v>53</v>
      </c>
      <c r="F830" s="7" t="s">
        <v>2130</v>
      </c>
      <c r="G830" s="8"/>
      <c r="H830" s="8"/>
      <c r="I830" s="7" t="s">
        <v>55</v>
      </c>
      <c r="J830" s="8"/>
      <c r="K830" s="8"/>
      <c r="L830" s="7" t="s">
        <v>4407</v>
      </c>
      <c r="M830" s="7" t="s">
        <v>2130</v>
      </c>
      <c r="N830" s="7">
        <v>62</v>
      </c>
      <c r="O830" s="7" t="s">
        <v>4408</v>
      </c>
    </row>
    <row r="831" spans="1:17">
      <c r="A831" s="6" t="s">
        <v>31</v>
      </c>
      <c r="B831" s="7">
        <v>772600</v>
      </c>
      <c r="C831" s="7">
        <v>773370</v>
      </c>
      <c r="D831" s="8"/>
      <c r="E831" s="7" t="s">
        <v>53</v>
      </c>
      <c r="F831" s="7" t="s">
        <v>4409</v>
      </c>
      <c r="G831" s="8"/>
      <c r="H831" s="8"/>
      <c r="I831" s="7" t="s">
        <v>55</v>
      </c>
      <c r="J831" s="8"/>
      <c r="K831" s="8"/>
      <c r="L831" s="7" t="s">
        <v>4410</v>
      </c>
      <c r="M831" s="7" t="s">
        <v>4409</v>
      </c>
      <c r="N831" s="7">
        <v>256</v>
      </c>
      <c r="O831" s="7" t="s">
        <v>4411</v>
      </c>
    </row>
    <row r="832" spans="1:17">
      <c r="A832" s="6" t="s">
        <v>31</v>
      </c>
      <c r="B832" s="7">
        <v>773351</v>
      </c>
      <c r="C832" s="7">
        <v>774241</v>
      </c>
      <c r="D832" s="8"/>
      <c r="E832" s="7" t="s">
        <v>53</v>
      </c>
      <c r="F832" s="7" t="s">
        <v>4412</v>
      </c>
      <c r="G832" s="7" t="s">
        <v>4413</v>
      </c>
      <c r="H832" s="8"/>
      <c r="I832" s="7" t="s">
        <v>55</v>
      </c>
      <c r="J832" s="8"/>
      <c r="K832" s="8"/>
      <c r="L832" s="7" t="s">
        <v>4414</v>
      </c>
      <c r="M832" s="7" t="s">
        <v>4412</v>
      </c>
      <c r="N832" s="7">
        <v>296</v>
      </c>
      <c r="O832" s="7" t="s">
        <v>4415</v>
      </c>
    </row>
    <row r="833" spans="1:18">
      <c r="A833" s="6" t="s">
        <v>31</v>
      </c>
      <c r="B833" s="7">
        <v>774238</v>
      </c>
      <c r="C833" s="7">
        <v>775212</v>
      </c>
      <c r="D833" s="8"/>
      <c r="E833" s="7" t="s">
        <v>53</v>
      </c>
      <c r="F833" s="7" t="s">
        <v>4416</v>
      </c>
      <c r="G833" s="7" t="s">
        <v>4417</v>
      </c>
      <c r="H833" s="8"/>
      <c r="I833" s="7" t="s">
        <v>55</v>
      </c>
      <c r="J833" s="8"/>
      <c r="K833" s="8"/>
      <c r="L833" s="7" t="s">
        <v>4418</v>
      </c>
      <c r="M833" s="7" t="s">
        <v>4416</v>
      </c>
      <c r="N833" s="7">
        <v>324</v>
      </c>
      <c r="O833" s="7" t="s">
        <v>4419</v>
      </c>
    </row>
    <row r="834" spans="1:18">
      <c r="A834" s="6" t="s">
        <v>31</v>
      </c>
      <c r="B834" s="7">
        <v>775209</v>
      </c>
      <c r="C834" s="7">
        <v>776120</v>
      </c>
      <c r="D834" s="8"/>
      <c r="E834" s="7" t="s">
        <v>53</v>
      </c>
      <c r="F834" s="7" t="s">
        <v>4420</v>
      </c>
      <c r="G834" s="7" t="s">
        <v>906</v>
      </c>
      <c r="H834" s="8"/>
      <c r="I834" s="7" t="s">
        <v>55</v>
      </c>
      <c r="J834" s="8"/>
      <c r="K834" s="8"/>
      <c r="L834" s="7" t="s">
        <v>4421</v>
      </c>
      <c r="M834" s="7" t="s">
        <v>4420</v>
      </c>
      <c r="N834" s="7">
        <v>303</v>
      </c>
      <c r="O834" s="7" t="s">
        <v>4422</v>
      </c>
    </row>
    <row r="835" spans="1:18">
      <c r="A835" s="6" t="s">
        <v>31</v>
      </c>
      <c r="B835" s="7">
        <v>776138</v>
      </c>
      <c r="C835" s="7">
        <v>776359</v>
      </c>
      <c r="D835" s="8"/>
      <c r="E835" s="7" t="s">
        <v>53</v>
      </c>
      <c r="F835" s="7" t="s">
        <v>4423</v>
      </c>
      <c r="G835" s="8"/>
      <c r="H835" s="8"/>
      <c r="I835" s="7" t="s">
        <v>55</v>
      </c>
      <c r="J835" s="8"/>
      <c r="K835" s="8"/>
      <c r="L835" s="7" t="s">
        <v>4424</v>
      </c>
      <c r="M835" s="7" t="s">
        <v>4423</v>
      </c>
      <c r="N835" s="7">
        <v>73</v>
      </c>
      <c r="O835" s="7" t="s">
        <v>4425</v>
      </c>
      <c r="P835" s="7"/>
      <c r="Q835" s="7"/>
    </row>
    <row r="836" spans="1:18">
      <c r="A836" s="6" t="s">
        <v>31</v>
      </c>
      <c r="B836" s="7">
        <v>776409</v>
      </c>
      <c r="C836" s="7">
        <v>776888</v>
      </c>
      <c r="D836" s="8"/>
      <c r="E836" s="7" t="s">
        <v>53</v>
      </c>
      <c r="F836" s="7" t="s">
        <v>4423</v>
      </c>
      <c r="G836" s="8"/>
      <c r="H836" s="8"/>
      <c r="I836" s="7" t="s">
        <v>55</v>
      </c>
      <c r="J836" s="8"/>
      <c r="K836" s="8"/>
      <c r="L836" s="7" t="s">
        <v>4426</v>
      </c>
      <c r="M836" s="7" t="s">
        <v>4423</v>
      </c>
      <c r="N836" s="7">
        <v>159</v>
      </c>
      <c r="O836" s="7" t="s">
        <v>4427</v>
      </c>
      <c r="P836" s="7"/>
      <c r="Q836" s="7"/>
    </row>
    <row r="837" spans="1:18">
      <c r="A837" s="6" t="s">
        <v>31</v>
      </c>
      <c r="B837" s="7">
        <v>776895</v>
      </c>
      <c r="C837" s="7">
        <v>777131</v>
      </c>
      <c r="D837" s="8"/>
      <c r="E837" s="7" t="s">
        <v>53</v>
      </c>
      <c r="F837" s="7" t="s">
        <v>4423</v>
      </c>
      <c r="G837" s="8"/>
      <c r="H837" s="8"/>
      <c r="I837" s="7" t="s">
        <v>55</v>
      </c>
      <c r="J837" s="8"/>
      <c r="K837" s="8"/>
      <c r="L837" s="7" t="s">
        <v>4428</v>
      </c>
      <c r="M837" s="7" t="s">
        <v>4423</v>
      </c>
      <c r="N837" s="7">
        <v>78</v>
      </c>
      <c r="O837" s="7" t="s">
        <v>4429</v>
      </c>
      <c r="P837" s="7"/>
      <c r="Q837" s="7"/>
    </row>
    <row r="838" spans="1:18">
      <c r="A838" s="6" t="s">
        <v>31</v>
      </c>
      <c r="B838" s="7">
        <v>777431</v>
      </c>
      <c r="C838" s="7">
        <v>777631</v>
      </c>
      <c r="D838" s="8"/>
      <c r="E838" s="7" t="s">
        <v>53</v>
      </c>
      <c r="F838" s="7" t="s">
        <v>909</v>
      </c>
      <c r="G838" s="7" t="s">
        <v>4430</v>
      </c>
      <c r="H838" s="8"/>
      <c r="I838" s="7" t="s">
        <v>55</v>
      </c>
      <c r="J838" s="8"/>
      <c r="K838" s="8"/>
      <c r="L838" s="7" t="s">
        <v>4431</v>
      </c>
      <c r="M838" s="7" t="s">
        <v>909</v>
      </c>
      <c r="N838" s="7">
        <v>66</v>
      </c>
      <c r="O838" s="7" t="s">
        <v>4432</v>
      </c>
    </row>
    <row r="839" spans="1:18">
      <c r="A839" s="6" t="s">
        <v>31</v>
      </c>
      <c r="B839" s="7">
        <v>777836</v>
      </c>
      <c r="C839" s="7">
        <v>778111</v>
      </c>
      <c r="D839" s="8"/>
      <c r="E839" s="7" t="s">
        <v>53</v>
      </c>
      <c r="F839" s="7" t="s">
        <v>4433</v>
      </c>
      <c r="G839" s="8"/>
      <c r="H839" s="8"/>
      <c r="I839" s="7" t="s">
        <v>55</v>
      </c>
      <c r="J839" s="8"/>
      <c r="K839" s="8"/>
      <c r="L839" s="7" t="s">
        <v>4434</v>
      </c>
      <c r="M839" s="7" t="s">
        <v>4433</v>
      </c>
      <c r="N839" s="7">
        <v>91</v>
      </c>
      <c r="O839" s="7" t="s">
        <v>4435</v>
      </c>
    </row>
    <row r="840" spans="1:18">
      <c r="A840" s="6" t="s">
        <v>31</v>
      </c>
      <c r="B840" s="7">
        <v>778319</v>
      </c>
      <c r="C840" s="7">
        <v>778414</v>
      </c>
      <c r="D840" s="8"/>
      <c r="E840" s="7" t="s">
        <v>75</v>
      </c>
      <c r="F840" s="7" t="s">
        <v>2095</v>
      </c>
      <c r="G840" s="8"/>
      <c r="H840" s="8"/>
      <c r="I840" s="7" t="s">
        <v>55</v>
      </c>
      <c r="J840" s="8"/>
      <c r="K840" s="8"/>
      <c r="L840" s="7" t="s">
        <v>4436</v>
      </c>
      <c r="M840" s="7" t="s">
        <v>2095</v>
      </c>
      <c r="N840" s="7">
        <v>31</v>
      </c>
      <c r="O840" s="7" t="s">
        <v>4437</v>
      </c>
    </row>
    <row r="841" spans="1:18">
      <c r="A841" s="6" t="s">
        <v>31</v>
      </c>
      <c r="B841" s="7">
        <v>778442</v>
      </c>
      <c r="C841" s="7">
        <v>779617</v>
      </c>
      <c r="D841" s="8"/>
      <c r="E841" s="7" t="s">
        <v>53</v>
      </c>
      <c r="F841" s="7" t="s">
        <v>1280</v>
      </c>
      <c r="G841" s="7" t="s">
        <v>2998</v>
      </c>
      <c r="H841" s="8"/>
      <c r="I841" s="7" t="s">
        <v>55</v>
      </c>
      <c r="J841" s="8"/>
      <c r="K841" s="8"/>
      <c r="L841" s="7" t="s">
        <v>4438</v>
      </c>
      <c r="M841" s="7" t="s">
        <v>1280</v>
      </c>
      <c r="N841" s="7">
        <v>391</v>
      </c>
      <c r="O841" s="7" t="s">
        <v>4439</v>
      </c>
    </row>
    <row r="842" spans="1:18">
      <c r="A842" s="6" t="s">
        <v>31</v>
      </c>
      <c r="B842" s="7">
        <v>779738</v>
      </c>
      <c r="C842" s="7">
        <v>781918</v>
      </c>
      <c r="D842" s="8"/>
      <c r="E842" s="7" t="s">
        <v>75</v>
      </c>
      <c r="F842" s="7" t="s">
        <v>4440</v>
      </c>
      <c r="G842" s="7" t="s">
        <v>4441</v>
      </c>
      <c r="H842" s="8"/>
      <c r="I842" s="7" t="s">
        <v>55</v>
      </c>
      <c r="J842" s="8"/>
      <c r="K842" s="8"/>
      <c r="L842" s="7" t="s">
        <v>4442</v>
      </c>
      <c r="M842" s="7" t="s">
        <v>4440</v>
      </c>
      <c r="N842" s="7">
        <v>726</v>
      </c>
      <c r="O842" s="7" t="s">
        <v>4443</v>
      </c>
      <c r="P842" s="7"/>
      <c r="Q842" s="7"/>
    </row>
    <row r="843" spans="1:18">
      <c r="A843" s="6" t="s">
        <v>31</v>
      </c>
      <c r="B843" s="7">
        <v>782109</v>
      </c>
      <c r="C843" s="7">
        <v>783284</v>
      </c>
      <c r="D843" s="8"/>
      <c r="E843" s="7" t="s">
        <v>75</v>
      </c>
      <c r="F843" s="7" t="s">
        <v>1280</v>
      </c>
      <c r="G843" s="7" t="s">
        <v>2998</v>
      </c>
      <c r="H843" s="8"/>
      <c r="I843" s="7" t="s">
        <v>55</v>
      </c>
      <c r="J843" s="8"/>
      <c r="K843" s="8"/>
      <c r="L843" s="7" t="s">
        <v>4444</v>
      </c>
      <c r="M843" s="7" t="s">
        <v>1280</v>
      </c>
      <c r="N843" s="7">
        <v>391</v>
      </c>
      <c r="O843" s="7" t="s">
        <v>4445</v>
      </c>
    </row>
    <row r="844" spans="1:18">
      <c r="A844" s="6" t="s">
        <v>31</v>
      </c>
      <c r="B844" s="7">
        <v>783364</v>
      </c>
      <c r="C844" s="7">
        <v>784389</v>
      </c>
      <c r="D844" s="8"/>
      <c r="E844" s="7" t="s">
        <v>75</v>
      </c>
      <c r="F844" s="7" t="s">
        <v>4064</v>
      </c>
      <c r="G844" s="8"/>
      <c r="H844" s="8"/>
      <c r="I844" s="7" t="s">
        <v>55</v>
      </c>
      <c r="J844" s="8"/>
      <c r="K844" s="8"/>
      <c r="L844" s="7" t="s">
        <v>4446</v>
      </c>
      <c r="M844" s="7" t="s">
        <v>4064</v>
      </c>
      <c r="N844" s="7">
        <v>341</v>
      </c>
      <c r="O844" s="7" t="s">
        <v>4447</v>
      </c>
      <c r="P844" s="7"/>
      <c r="Q844" s="7"/>
    </row>
    <row r="845" spans="1:18">
      <c r="A845" s="6" t="s">
        <v>31</v>
      </c>
      <c r="B845" s="7">
        <v>784454</v>
      </c>
      <c r="C845" s="7">
        <v>784663</v>
      </c>
      <c r="D845" s="8"/>
      <c r="E845" s="7" t="s">
        <v>75</v>
      </c>
      <c r="F845" s="7" t="s">
        <v>2130</v>
      </c>
      <c r="G845" s="8"/>
      <c r="H845" s="8"/>
      <c r="I845" s="7" t="s">
        <v>55</v>
      </c>
      <c r="J845" s="8"/>
      <c r="K845" s="8"/>
      <c r="L845" s="7" t="s">
        <v>4448</v>
      </c>
      <c r="M845" s="7" t="s">
        <v>2130</v>
      </c>
      <c r="N845" s="7">
        <v>69</v>
      </c>
      <c r="O845" s="7" t="s">
        <v>4449</v>
      </c>
    </row>
    <row r="846" spans="1:18">
      <c r="A846" s="6" t="s">
        <v>31</v>
      </c>
      <c r="B846" s="7">
        <v>785135</v>
      </c>
      <c r="C846" s="7">
        <v>786046</v>
      </c>
      <c r="D846" s="8"/>
      <c r="E846" s="7" t="s">
        <v>53</v>
      </c>
      <c r="F846" s="7" t="s">
        <v>4450</v>
      </c>
      <c r="G846" s="7" t="s">
        <v>4451</v>
      </c>
      <c r="H846" s="8"/>
      <c r="I846" s="7" t="s">
        <v>55</v>
      </c>
      <c r="J846" s="8"/>
      <c r="K846" s="8"/>
      <c r="L846" s="7" t="s">
        <v>4452</v>
      </c>
      <c r="M846" s="7" t="s">
        <v>4450</v>
      </c>
      <c r="N846" s="7">
        <v>303</v>
      </c>
      <c r="O846" s="7" t="s">
        <v>4453</v>
      </c>
      <c r="P846" s="7"/>
      <c r="Q846" s="7"/>
      <c r="R846" s="7"/>
    </row>
    <row r="847" spans="1:18">
      <c r="A847" s="6" t="s">
        <v>31</v>
      </c>
      <c r="B847" s="7">
        <v>786068</v>
      </c>
      <c r="C847" s="7">
        <v>787252</v>
      </c>
      <c r="D847" s="8"/>
      <c r="E847" s="7" t="s">
        <v>53</v>
      </c>
      <c r="F847" s="7" t="s">
        <v>4454</v>
      </c>
      <c r="G847" s="7" t="s">
        <v>4455</v>
      </c>
      <c r="H847" s="8"/>
      <c r="I847" s="7" t="s">
        <v>55</v>
      </c>
      <c r="J847" s="8"/>
      <c r="K847" s="8"/>
      <c r="L847" s="7" t="s">
        <v>4456</v>
      </c>
      <c r="M847" s="7" t="s">
        <v>4454</v>
      </c>
      <c r="N847" s="7">
        <v>394</v>
      </c>
      <c r="O847" s="7" t="s">
        <v>4457</v>
      </c>
      <c r="P847" s="7"/>
      <c r="Q847" s="7"/>
      <c r="R847" s="7"/>
    </row>
    <row r="848" spans="1:18">
      <c r="A848" s="6" t="s">
        <v>31</v>
      </c>
      <c r="B848" s="7">
        <v>787194</v>
      </c>
      <c r="C848" s="7">
        <v>787658</v>
      </c>
      <c r="D848" s="8"/>
      <c r="E848" s="7" t="s">
        <v>53</v>
      </c>
      <c r="F848" s="7" t="s">
        <v>2298</v>
      </c>
      <c r="G848" s="8"/>
      <c r="H848" s="8"/>
      <c r="I848" s="7" t="s">
        <v>55</v>
      </c>
      <c r="J848" s="8"/>
      <c r="K848" s="8"/>
      <c r="L848" s="7" t="s">
        <v>4458</v>
      </c>
      <c r="M848" s="7" t="s">
        <v>2298</v>
      </c>
      <c r="N848" s="7">
        <v>154</v>
      </c>
      <c r="O848" s="7" t="s">
        <v>4459</v>
      </c>
      <c r="P848" s="7"/>
    </row>
    <row r="849" spans="1:16">
      <c r="A849" s="6" t="s">
        <v>31</v>
      </c>
      <c r="B849" s="7">
        <v>787598</v>
      </c>
      <c r="C849" s="7">
        <v>787774</v>
      </c>
      <c r="D849" s="8"/>
      <c r="E849" s="7" t="s">
        <v>53</v>
      </c>
      <c r="F849" s="7" t="s">
        <v>2095</v>
      </c>
      <c r="G849" s="8"/>
      <c r="H849" s="8"/>
      <c r="I849" s="7" t="s">
        <v>55</v>
      </c>
      <c r="J849" s="8"/>
      <c r="K849" s="8"/>
      <c r="L849" s="7" t="s">
        <v>4460</v>
      </c>
      <c r="M849" s="7" t="s">
        <v>2095</v>
      </c>
      <c r="N849" s="7">
        <v>58</v>
      </c>
      <c r="O849" s="7" t="s">
        <v>4461</v>
      </c>
    </row>
    <row r="850" spans="1:16">
      <c r="A850" s="6" t="s">
        <v>31</v>
      </c>
      <c r="B850" s="7">
        <v>788049</v>
      </c>
      <c r="C850" s="7">
        <v>788219</v>
      </c>
      <c r="D850" s="8"/>
      <c r="E850" s="7" t="s">
        <v>53</v>
      </c>
      <c r="F850" s="7" t="s">
        <v>4278</v>
      </c>
      <c r="G850" s="8"/>
      <c r="H850" s="8"/>
      <c r="I850" s="7" t="s">
        <v>55</v>
      </c>
      <c r="J850" s="8"/>
      <c r="K850" s="8"/>
      <c r="L850" s="7" t="s">
        <v>4462</v>
      </c>
      <c r="M850" s="7" t="s">
        <v>4278</v>
      </c>
      <c r="N850" s="7">
        <v>56</v>
      </c>
      <c r="O850" s="7" t="s">
        <v>4463</v>
      </c>
    </row>
    <row r="851" spans="1:16">
      <c r="A851" s="6" t="s">
        <v>31</v>
      </c>
      <c r="B851" s="7">
        <v>788142</v>
      </c>
      <c r="C851" s="7">
        <v>788276</v>
      </c>
      <c r="D851" s="8"/>
      <c r="E851" s="7" t="s">
        <v>75</v>
      </c>
      <c r="F851" s="7" t="s">
        <v>2095</v>
      </c>
      <c r="G851" s="8"/>
      <c r="H851" s="8"/>
      <c r="I851" s="7" t="s">
        <v>55</v>
      </c>
      <c r="J851" s="8"/>
      <c r="K851" s="8"/>
      <c r="L851" s="7" t="s">
        <v>4464</v>
      </c>
      <c r="M851" s="7" t="s">
        <v>2095</v>
      </c>
      <c r="N851" s="7">
        <v>44</v>
      </c>
      <c r="O851" s="7" t="s">
        <v>4465</v>
      </c>
    </row>
    <row r="852" spans="1:16">
      <c r="A852" s="6" t="s">
        <v>31</v>
      </c>
      <c r="B852" s="7">
        <v>788304</v>
      </c>
      <c r="C852" s="7">
        <v>789479</v>
      </c>
      <c r="D852" s="8"/>
      <c r="E852" s="7" t="s">
        <v>53</v>
      </c>
      <c r="F852" s="7" t="s">
        <v>1280</v>
      </c>
      <c r="G852" s="7" t="s">
        <v>2998</v>
      </c>
      <c r="H852" s="8"/>
      <c r="I852" s="7" t="s">
        <v>55</v>
      </c>
      <c r="J852" s="8"/>
      <c r="K852" s="8"/>
      <c r="L852" s="7" t="s">
        <v>4466</v>
      </c>
      <c r="M852" s="7" t="s">
        <v>1280</v>
      </c>
      <c r="N852" s="7">
        <v>391</v>
      </c>
      <c r="O852" s="7" t="s">
        <v>4467</v>
      </c>
    </row>
    <row r="853" spans="1:16">
      <c r="A853" s="6" t="s">
        <v>31</v>
      </c>
      <c r="B853" s="7">
        <v>789394</v>
      </c>
      <c r="C853" s="7">
        <v>789513</v>
      </c>
      <c r="D853" s="8"/>
      <c r="E853" s="7" t="s">
        <v>53</v>
      </c>
      <c r="F853" s="7" t="s">
        <v>2095</v>
      </c>
      <c r="G853" s="8"/>
      <c r="H853" s="8"/>
      <c r="I853" s="7" t="s">
        <v>55</v>
      </c>
      <c r="J853" s="8"/>
      <c r="K853" s="8"/>
      <c r="L853" s="7" t="s">
        <v>4468</v>
      </c>
      <c r="M853" s="7" t="s">
        <v>2095</v>
      </c>
      <c r="N853" s="7">
        <v>39</v>
      </c>
      <c r="O853" s="7" t="s">
        <v>4469</v>
      </c>
    </row>
    <row r="854" spans="1:16">
      <c r="A854" s="6" t="s">
        <v>31</v>
      </c>
      <c r="B854" s="7">
        <v>789517</v>
      </c>
      <c r="C854" s="7">
        <v>789681</v>
      </c>
      <c r="D854" s="8"/>
      <c r="E854" s="7" t="s">
        <v>53</v>
      </c>
      <c r="F854" s="7" t="s">
        <v>2095</v>
      </c>
      <c r="G854" s="8"/>
      <c r="H854" s="8"/>
      <c r="I854" s="7" t="s">
        <v>55</v>
      </c>
      <c r="J854" s="8"/>
      <c r="K854" s="8"/>
      <c r="L854" s="7" t="s">
        <v>4470</v>
      </c>
      <c r="M854" s="7" t="s">
        <v>2095</v>
      </c>
      <c r="N854" s="7">
        <v>54</v>
      </c>
      <c r="O854" s="7" t="s">
        <v>4471</v>
      </c>
    </row>
    <row r="855" spans="1:16">
      <c r="A855" s="6" t="s">
        <v>31</v>
      </c>
      <c r="B855" s="7">
        <v>789736</v>
      </c>
      <c r="C855" s="7">
        <v>789882</v>
      </c>
      <c r="D855" s="8"/>
      <c r="E855" s="7" t="s">
        <v>75</v>
      </c>
      <c r="F855" s="7" t="s">
        <v>4472</v>
      </c>
      <c r="G855" s="8"/>
      <c r="H855" s="8"/>
      <c r="I855" s="7" t="s">
        <v>55</v>
      </c>
      <c r="J855" s="8"/>
      <c r="K855" s="8"/>
      <c r="L855" s="7" t="s">
        <v>4473</v>
      </c>
      <c r="M855" s="7" t="s">
        <v>4472</v>
      </c>
      <c r="N855" s="7">
        <v>48</v>
      </c>
      <c r="O855" s="7" t="s">
        <v>4474</v>
      </c>
      <c r="P855" s="7"/>
    </row>
    <row r="856" spans="1:16">
      <c r="A856" s="6" t="s">
        <v>31</v>
      </c>
      <c r="B856" s="7">
        <v>789952</v>
      </c>
      <c r="C856" s="7">
        <v>790278</v>
      </c>
      <c r="D856" s="8"/>
      <c r="E856" s="7" t="s">
        <v>75</v>
      </c>
      <c r="F856" s="7" t="s">
        <v>4475</v>
      </c>
      <c r="G856" s="8"/>
      <c r="H856" s="8"/>
      <c r="I856" s="7" t="s">
        <v>55</v>
      </c>
      <c r="J856" s="8"/>
      <c r="K856" s="8"/>
      <c r="L856" s="7" t="s">
        <v>4476</v>
      </c>
      <c r="M856" s="7" t="s">
        <v>4475</v>
      </c>
      <c r="N856" s="7">
        <v>108</v>
      </c>
      <c r="O856" s="7" t="s">
        <v>4477</v>
      </c>
    </row>
    <row r="857" spans="1:16">
      <c r="A857" s="6" t="s">
        <v>31</v>
      </c>
      <c r="B857" s="7">
        <v>790275</v>
      </c>
      <c r="C857" s="7">
        <v>790907</v>
      </c>
      <c r="D857" s="8"/>
      <c r="E857" s="7" t="s">
        <v>75</v>
      </c>
      <c r="F857" s="7" t="s">
        <v>4478</v>
      </c>
      <c r="G857" s="8"/>
      <c r="H857" s="8"/>
      <c r="I857" s="7" t="s">
        <v>55</v>
      </c>
      <c r="J857" s="8"/>
      <c r="K857" s="8"/>
      <c r="L857" s="7" t="s">
        <v>4479</v>
      </c>
      <c r="M857" s="7" t="s">
        <v>4478</v>
      </c>
      <c r="N857" s="7">
        <v>210</v>
      </c>
      <c r="O857" s="7" t="s">
        <v>4480</v>
      </c>
      <c r="P857" s="7"/>
    </row>
    <row r="858" spans="1:16">
      <c r="A858" s="6" t="s">
        <v>31</v>
      </c>
      <c r="B858" s="7">
        <v>791386</v>
      </c>
      <c r="C858" s="7">
        <v>792273</v>
      </c>
      <c r="D858" s="8"/>
      <c r="E858" s="7" t="s">
        <v>53</v>
      </c>
      <c r="F858" s="7" t="s">
        <v>4481</v>
      </c>
      <c r="G858" s="7" t="s">
        <v>4482</v>
      </c>
      <c r="H858" s="8"/>
      <c r="I858" s="7" t="s">
        <v>55</v>
      </c>
      <c r="J858" s="8"/>
      <c r="K858" s="8"/>
      <c r="L858" s="7" t="s">
        <v>4483</v>
      </c>
      <c r="M858" s="7" t="s">
        <v>4481</v>
      </c>
      <c r="N858" s="7">
        <v>295</v>
      </c>
      <c r="O858" s="7" t="s">
        <v>4484</v>
      </c>
    </row>
    <row r="859" spans="1:16">
      <c r="A859" s="6" t="s">
        <v>31</v>
      </c>
      <c r="B859" s="7">
        <v>792382</v>
      </c>
      <c r="C859" s="7">
        <v>792561</v>
      </c>
      <c r="D859" s="8"/>
      <c r="E859" s="7" t="s">
        <v>75</v>
      </c>
      <c r="F859" s="7" t="s">
        <v>2095</v>
      </c>
      <c r="G859" s="8"/>
      <c r="H859" s="8"/>
      <c r="I859" s="7" t="s">
        <v>55</v>
      </c>
      <c r="J859" s="8"/>
      <c r="K859" s="8"/>
      <c r="L859" s="7" t="s">
        <v>4485</v>
      </c>
      <c r="M859" s="7" t="s">
        <v>2095</v>
      </c>
      <c r="N859" s="7">
        <v>59</v>
      </c>
      <c r="O859" s="7" t="s">
        <v>4486</v>
      </c>
    </row>
    <row r="860" spans="1:16">
      <c r="A860" s="6" t="s">
        <v>31</v>
      </c>
      <c r="B860" s="7">
        <v>792530</v>
      </c>
      <c r="C860" s="7">
        <v>792694</v>
      </c>
      <c r="D860" s="8"/>
      <c r="E860" s="7" t="s">
        <v>75</v>
      </c>
      <c r="F860" s="7" t="s">
        <v>2095</v>
      </c>
      <c r="G860" s="8"/>
      <c r="H860" s="8"/>
      <c r="I860" s="7" t="s">
        <v>55</v>
      </c>
      <c r="J860" s="8"/>
      <c r="K860" s="8"/>
      <c r="L860" s="7" t="s">
        <v>4487</v>
      </c>
      <c r="M860" s="7" t="s">
        <v>2095</v>
      </c>
      <c r="N860" s="7">
        <v>54</v>
      </c>
      <c r="O860" s="7" t="s">
        <v>4488</v>
      </c>
    </row>
    <row r="861" spans="1:16">
      <c r="A861" s="6" t="s">
        <v>31</v>
      </c>
      <c r="B861" s="7">
        <v>792889</v>
      </c>
      <c r="C861" s="7">
        <v>793083</v>
      </c>
      <c r="D861" s="8"/>
      <c r="E861" s="7" t="s">
        <v>53</v>
      </c>
      <c r="F861" s="7" t="s">
        <v>4489</v>
      </c>
      <c r="G861" s="8"/>
      <c r="H861" s="8"/>
      <c r="I861" s="7" t="s">
        <v>55</v>
      </c>
      <c r="J861" s="8"/>
      <c r="K861" s="8"/>
      <c r="L861" s="7" t="s">
        <v>4490</v>
      </c>
      <c r="M861" s="7" t="s">
        <v>4489</v>
      </c>
      <c r="N861" s="7">
        <v>64</v>
      </c>
      <c r="O861" s="7" t="s">
        <v>4491</v>
      </c>
    </row>
    <row r="862" spans="1:16">
      <c r="A862" s="6" t="s">
        <v>31</v>
      </c>
      <c r="B862" s="7">
        <v>792969</v>
      </c>
      <c r="C862" s="7">
        <v>793103</v>
      </c>
      <c r="D862" s="8"/>
      <c r="E862" s="7" t="s">
        <v>75</v>
      </c>
      <c r="F862" s="7" t="s">
        <v>2095</v>
      </c>
      <c r="G862" s="8"/>
      <c r="H862" s="8"/>
      <c r="I862" s="7" t="s">
        <v>55</v>
      </c>
      <c r="J862" s="8"/>
      <c r="K862" s="8"/>
      <c r="L862" s="7" t="s">
        <v>4492</v>
      </c>
      <c r="M862" s="7" t="s">
        <v>2095</v>
      </c>
      <c r="N862" s="7">
        <v>44</v>
      </c>
      <c r="O862" s="7" t="s">
        <v>4493</v>
      </c>
    </row>
    <row r="863" spans="1:16">
      <c r="A863" s="6" t="s">
        <v>31</v>
      </c>
      <c r="B863" s="7">
        <v>793263</v>
      </c>
      <c r="C863" s="7">
        <v>793595</v>
      </c>
      <c r="D863" s="8"/>
      <c r="E863" s="7" t="s">
        <v>53</v>
      </c>
      <c r="F863" s="7" t="s">
        <v>2095</v>
      </c>
      <c r="G863" s="8"/>
      <c r="H863" s="8"/>
      <c r="I863" s="7" t="s">
        <v>55</v>
      </c>
      <c r="J863" s="8"/>
      <c r="K863" s="8"/>
      <c r="L863" s="7" t="s">
        <v>4494</v>
      </c>
      <c r="M863" s="7" t="s">
        <v>2095</v>
      </c>
      <c r="N863" s="7">
        <v>110</v>
      </c>
      <c r="O863" s="7" t="s">
        <v>4495</v>
      </c>
    </row>
    <row r="864" spans="1:16">
      <c r="A864" s="6" t="s">
        <v>31</v>
      </c>
      <c r="B864" s="7">
        <v>793883</v>
      </c>
      <c r="C864" s="7">
        <v>794407</v>
      </c>
      <c r="D864" s="8"/>
      <c r="E864" s="7" t="s">
        <v>75</v>
      </c>
      <c r="F864" s="7" t="s">
        <v>2212</v>
      </c>
      <c r="G864" s="8"/>
      <c r="H864" s="8"/>
      <c r="I864" s="7" t="s">
        <v>55</v>
      </c>
      <c r="J864" s="8"/>
      <c r="K864" s="8"/>
      <c r="L864" s="7" t="s">
        <v>4496</v>
      </c>
      <c r="M864" s="7" t="s">
        <v>2212</v>
      </c>
      <c r="N864" s="7">
        <v>174</v>
      </c>
      <c r="O864" s="7" t="s">
        <v>4497</v>
      </c>
    </row>
    <row r="865" spans="1:16">
      <c r="A865" s="6" t="s">
        <v>31</v>
      </c>
      <c r="B865" s="7">
        <v>794757</v>
      </c>
      <c r="C865" s="7">
        <v>796301</v>
      </c>
      <c r="D865" s="8"/>
      <c r="E865" s="7" t="s">
        <v>53</v>
      </c>
      <c r="F865" s="7" t="s">
        <v>4498</v>
      </c>
      <c r="G865" s="7" t="s">
        <v>4499</v>
      </c>
      <c r="H865" s="8"/>
      <c r="I865" s="7" t="s">
        <v>55</v>
      </c>
      <c r="J865" s="8"/>
      <c r="K865" s="8"/>
      <c r="L865" s="7" t="s">
        <v>4500</v>
      </c>
      <c r="M865" s="7" t="s">
        <v>4498</v>
      </c>
      <c r="N865" s="7">
        <v>514</v>
      </c>
      <c r="O865" s="7" t="s">
        <v>4501</v>
      </c>
    </row>
    <row r="866" spans="1:16">
      <c r="A866" s="6" t="s">
        <v>31</v>
      </c>
      <c r="B866" s="7">
        <v>796519</v>
      </c>
      <c r="C866" s="7">
        <v>796917</v>
      </c>
      <c r="D866" s="8"/>
      <c r="E866" s="7" t="s">
        <v>53</v>
      </c>
      <c r="F866" s="7" t="s">
        <v>2130</v>
      </c>
      <c r="G866" s="8"/>
      <c r="H866" s="8"/>
      <c r="I866" s="7" t="s">
        <v>55</v>
      </c>
      <c r="J866" s="8"/>
      <c r="K866" s="8"/>
      <c r="L866" s="7" t="s">
        <v>4502</v>
      </c>
      <c r="M866" s="7" t="s">
        <v>2130</v>
      </c>
      <c r="N866" s="7">
        <v>132</v>
      </c>
      <c r="O866" s="7" t="s">
        <v>4503</v>
      </c>
    </row>
    <row r="867" spans="1:16">
      <c r="A867" s="6" t="s">
        <v>31</v>
      </c>
      <c r="B867" s="7">
        <v>797316</v>
      </c>
      <c r="C867" s="7">
        <v>797378</v>
      </c>
      <c r="D867" s="8"/>
      <c r="E867" s="7" t="s">
        <v>53</v>
      </c>
      <c r="F867" s="7" t="s">
        <v>2095</v>
      </c>
      <c r="G867" s="8"/>
      <c r="H867" s="8"/>
      <c r="I867" s="7" t="s">
        <v>55</v>
      </c>
      <c r="J867" s="8"/>
      <c r="K867" s="8"/>
      <c r="L867" s="7" t="s">
        <v>4504</v>
      </c>
      <c r="M867" s="7" t="s">
        <v>2095</v>
      </c>
      <c r="N867" s="7">
        <v>20</v>
      </c>
      <c r="O867" s="7" t="s">
        <v>4505</v>
      </c>
    </row>
    <row r="868" spans="1:16">
      <c r="A868" s="6" t="s">
        <v>31</v>
      </c>
      <c r="B868" s="7">
        <v>797669</v>
      </c>
      <c r="C868" s="7">
        <v>798148</v>
      </c>
      <c r="D868" s="8"/>
      <c r="E868" s="7" t="s">
        <v>75</v>
      </c>
      <c r="F868" s="7" t="s">
        <v>2095</v>
      </c>
      <c r="G868" s="8"/>
      <c r="H868" s="8"/>
      <c r="I868" s="7" t="s">
        <v>55</v>
      </c>
      <c r="J868" s="8"/>
      <c r="K868" s="8"/>
      <c r="L868" s="7" t="s">
        <v>4506</v>
      </c>
      <c r="M868" s="7" t="s">
        <v>2095</v>
      </c>
      <c r="N868" s="7">
        <v>159</v>
      </c>
      <c r="O868" s="7" t="s">
        <v>4507</v>
      </c>
    </row>
    <row r="869" spans="1:16">
      <c r="A869" s="6" t="s">
        <v>31</v>
      </c>
      <c r="B869" s="7">
        <v>798123</v>
      </c>
      <c r="C869" s="7">
        <v>798416</v>
      </c>
      <c r="D869" s="8"/>
      <c r="E869" s="7" t="s">
        <v>75</v>
      </c>
      <c r="F869" s="7" t="s">
        <v>2095</v>
      </c>
      <c r="G869" s="8"/>
      <c r="H869" s="8"/>
      <c r="I869" s="7" t="s">
        <v>55</v>
      </c>
      <c r="J869" s="8"/>
      <c r="K869" s="8"/>
      <c r="L869" s="7" t="s">
        <v>4508</v>
      </c>
      <c r="M869" s="7" t="s">
        <v>2095</v>
      </c>
      <c r="N869" s="7">
        <v>97</v>
      </c>
      <c r="O869" s="7" t="s">
        <v>4509</v>
      </c>
    </row>
    <row r="870" spans="1:16">
      <c r="A870" s="6" t="s">
        <v>31</v>
      </c>
      <c r="B870" s="7">
        <v>798849</v>
      </c>
      <c r="C870" s="7">
        <v>799856</v>
      </c>
      <c r="D870" s="8"/>
      <c r="E870" s="7" t="s">
        <v>75</v>
      </c>
      <c r="F870" s="7" t="s">
        <v>2212</v>
      </c>
      <c r="G870" s="8"/>
      <c r="H870" s="8"/>
      <c r="I870" s="7" t="s">
        <v>55</v>
      </c>
      <c r="J870" s="8"/>
      <c r="K870" s="8"/>
      <c r="L870" s="7" t="s">
        <v>4510</v>
      </c>
      <c r="M870" s="7" t="s">
        <v>2212</v>
      </c>
      <c r="N870" s="7">
        <v>335</v>
      </c>
      <c r="O870" s="7" t="s">
        <v>4511</v>
      </c>
    </row>
    <row r="871" spans="1:16">
      <c r="A871" s="6" t="s">
        <v>31</v>
      </c>
      <c r="B871" s="7">
        <v>800264</v>
      </c>
      <c r="C871" s="7">
        <v>800743</v>
      </c>
      <c r="D871" s="8"/>
      <c r="E871" s="7" t="s">
        <v>53</v>
      </c>
      <c r="F871" s="7" t="s">
        <v>3482</v>
      </c>
      <c r="G871" s="7" t="s">
        <v>3483</v>
      </c>
      <c r="H871" s="8"/>
      <c r="I871" s="7" t="s">
        <v>55</v>
      </c>
      <c r="J871" s="8"/>
      <c r="K871" s="8"/>
      <c r="L871" s="7" t="s">
        <v>4512</v>
      </c>
      <c r="M871" s="7" t="s">
        <v>3482</v>
      </c>
      <c r="N871" s="7">
        <v>159</v>
      </c>
      <c r="O871" s="7" t="s">
        <v>4513</v>
      </c>
    </row>
    <row r="872" spans="1:16">
      <c r="A872" s="6" t="s">
        <v>31</v>
      </c>
      <c r="B872" s="7">
        <v>800755</v>
      </c>
      <c r="C872" s="7">
        <v>800973</v>
      </c>
      <c r="D872" s="8"/>
      <c r="E872" s="7" t="s">
        <v>53</v>
      </c>
      <c r="F872" s="7" t="s">
        <v>2095</v>
      </c>
      <c r="G872" s="8"/>
      <c r="H872" s="8"/>
      <c r="I872" s="7" t="s">
        <v>55</v>
      </c>
      <c r="J872" s="8"/>
      <c r="K872" s="8"/>
      <c r="L872" s="7" t="s">
        <v>4514</v>
      </c>
      <c r="M872" s="7" t="s">
        <v>2095</v>
      </c>
      <c r="N872" s="7">
        <v>72</v>
      </c>
      <c r="O872" s="7" t="s">
        <v>4515</v>
      </c>
    </row>
    <row r="873" spans="1:16">
      <c r="A873" s="6" t="s">
        <v>31</v>
      </c>
      <c r="B873" s="7">
        <v>801055</v>
      </c>
      <c r="C873" s="7">
        <v>801531</v>
      </c>
      <c r="D873" s="8"/>
      <c r="E873" s="7" t="s">
        <v>53</v>
      </c>
      <c r="F873" s="7" t="s">
        <v>2130</v>
      </c>
      <c r="G873" s="8"/>
      <c r="H873" s="8"/>
      <c r="I873" s="7" t="s">
        <v>55</v>
      </c>
      <c r="J873" s="8"/>
      <c r="K873" s="8"/>
      <c r="L873" s="7" t="s">
        <v>4516</v>
      </c>
      <c r="M873" s="7" t="s">
        <v>2130</v>
      </c>
      <c r="N873" s="7">
        <v>158</v>
      </c>
      <c r="O873" s="7" t="s">
        <v>4517</v>
      </c>
    </row>
    <row r="874" spans="1:16">
      <c r="A874" s="6" t="s">
        <v>31</v>
      </c>
      <c r="B874" s="7">
        <v>801729</v>
      </c>
      <c r="C874" s="7">
        <v>802637</v>
      </c>
      <c r="D874" s="8"/>
      <c r="E874" s="7" t="s">
        <v>75</v>
      </c>
      <c r="F874" s="7" t="s">
        <v>4518</v>
      </c>
      <c r="G874" s="8"/>
      <c r="H874" s="8"/>
      <c r="I874" s="7" t="s">
        <v>55</v>
      </c>
      <c r="J874" s="8"/>
      <c r="K874" s="8"/>
      <c r="L874" s="7" t="s">
        <v>4519</v>
      </c>
      <c r="M874" s="7" t="s">
        <v>4518</v>
      </c>
      <c r="N874" s="7">
        <v>302</v>
      </c>
      <c r="O874" s="7" t="s">
        <v>4520</v>
      </c>
    </row>
    <row r="875" spans="1:16">
      <c r="A875" s="6" t="s">
        <v>31</v>
      </c>
      <c r="B875" s="7">
        <v>802844</v>
      </c>
      <c r="C875" s="7">
        <v>804652</v>
      </c>
      <c r="D875" s="8"/>
      <c r="E875" s="7" t="s">
        <v>53</v>
      </c>
      <c r="F875" s="7" t="s">
        <v>4521</v>
      </c>
      <c r="G875" s="7" t="s">
        <v>927</v>
      </c>
      <c r="H875" s="8"/>
      <c r="I875" s="7" t="s">
        <v>55</v>
      </c>
      <c r="J875" s="8"/>
      <c r="K875" s="8"/>
      <c r="L875" s="7" t="s">
        <v>4522</v>
      </c>
      <c r="M875" s="7" t="s">
        <v>4521</v>
      </c>
      <c r="N875" s="7">
        <v>602</v>
      </c>
      <c r="O875" s="7" t="s">
        <v>4523</v>
      </c>
      <c r="P875" s="7"/>
    </row>
    <row r="876" spans="1:16">
      <c r="A876" s="6" t="s">
        <v>31</v>
      </c>
      <c r="B876" s="7">
        <v>804770</v>
      </c>
      <c r="C876" s="7">
        <v>805099</v>
      </c>
      <c r="D876" s="8"/>
      <c r="E876" s="7" t="s">
        <v>53</v>
      </c>
      <c r="F876" s="7" t="s">
        <v>4524</v>
      </c>
      <c r="G876" s="7" t="s">
        <v>4525</v>
      </c>
      <c r="H876" s="8"/>
      <c r="I876" s="7" t="s">
        <v>55</v>
      </c>
      <c r="J876" s="8"/>
      <c r="K876" s="8"/>
      <c r="L876" s="7" t="s">
        <v>4526</v>
      </c>
      <c r="M876" s="7" t="s">
        <v>4524</v>
      </c>
      <c r="N876" s="7">
        <v>109</v>
      </c>
      <c r="O876" s="7" t="s">
        <v>4527</v>
      </c>
    </row>
    <row r="877" spans="1:16">
      <c r="A877" s="6" t="s">
        <v>31</v>
      </c>
      <c r="B877" s="7">
        <v>805293</v>
      </c>
      <c r="C877" s="7">
        <v>805934</v>
      </c>
      <c r="D877" s="8"/>
      <c r="E877" s="7" t="s">
        <v>53</v>
      </c>
      <c r="F877" s="7" t="s">
        <v>4528</v>
      </c>
      <c r="G877" s="8"/>
      <c r="H877" s="8"/>
      <c r="I877" s="7" t="s">
        <v>55</v>
      </c>
      <c r="J877" s="8"/>
      <c r="K877" s="8"/>
      <c r="L877" s="7" t="s">
        <v>4529</v>
      </c>
      <c r="M877" s="7" t="s">
        <v>4528</v>
      </c>
      <c r="N877" s="7">
        <v>213</v>
      </c>
      <c r="O877" s="7" t="s">
        <v>4530</v>
      </c>
    </row>
    <row r="878" spans="1:16">
      <c r="A878" s="6" t="s">
        <v>31</v>
      </c>
      <c r="B878" s="7">
        <v>805943</v>
      </c>
      <c r="C878" s="7">
        <v>806572</v>
      </c>
      <c r="D878" s="8"/>
      <c r="E878" s="7" t="s">
        <v>53</v>
      </c>
      <c r="F878" s="7" t="s">
        <v>2509</v>
      </c>
      <c r="G878" s="7" t="s">
        <v>2510</v>
      </c>
      <c r="H878" s="8"/>
      <c r="I878" s="7" t="s">
        <v>55</v>
      </c>
      <c r="J878" s="8"/>
      <c r="K878" s="8"/>
      <c r="L878" s="7" t="s">
        <v>4531</v>
      </c>
      <c r="M878" s="7" t="s">
        <v>2509</v>
      </c>
      <c r="N878" s="7">
        <v>209</v>
      </c>
      <c r="O878" s="7" t="s">
        <v>4532</v>
      </c>
    </row>
    <row r="879" spans="1:16">
      <c r="A879" s="6" t="s">
        <v>31</v>
      </c>
      <c r="B879" s="7">
        <v>806585</v>
      </c>
      <c r="C879" s="7">
        <v>807436</v>
      </c>
      <c r="D879" s="8"/>
      <c r="E879" s="7" t="s">
        <v>53</v>
      </c>
      <c r="F879" s="7" t="s">
        <v>4533</v>
      </c>
      <c r="G879" s="8"/>
      <c r="H879" s="8"/>
      <c r="I879" s="7" t="s">
        <v>55</v>
      </c>
      <c r="J879" s="8"/>
      <c r="K879" s="8"/>
      <c r="L879" s="7" t="s">
        <v>4534</v>
      </c>
      <c r="M879" s="7" t="s">
        <v>4533</v>
      </c>
      <c r="N879" s="7">
        <v>283</v>
      </c>
      <c r="O879" s="7" t="s">
        <v>4535</v>
      </c>
    </row>
    <row r="880" spans="1:16">
      <c r="A880" s="6" t="s">
        <v>31</v>
      </c>
      <c r="B880" s="7">
        <v>807615</v>
      </c>
      <c r="C880" s="7">
        <v>807929</v>
      </c>
      <c r="D880" s="8"/>
      <c r="E880" s="7" t="s">
        <v>53</v>
      </c>
      <c r="F880" s="7" t="s">
        <v>2095</v>
      </c>
      <c r="G880" s="8"/>
      <c r="H880" s="8"/>
      <c r="I880" s="7" t="s">
        <v>55</v>
      </c>
      <c r="J880" s="8"/>
      <c r="K880" s="8"/>
      <c r="L880" s="7" t="s">
        <v>4536</v>
      </c>
      <c r="M880" s="7" t="s">
        <v>2095</v>
      </c>
      <c r="N880" s="7">
        <v>104</v>
      </c>
      <c r="O880" s="7" t="s">
        <v>4537</v>
      </c>
    </row>
    <row r="881" spans="1:16">
      <c r="A881" s="6" t="s">
        <v>31</v>
      </c>
      <c r="B881" s="7">
        <v>807899</v>
      </c>
      <c r="C881" s="7">
        <v>808582</v>
      </c>
      <c r="D881" s="8"/>
      <c r="E881" s="7" t="s">
        <v>53</v>
      </c>
      <c r="F881" s="7" t="s">
        <v>4538</v>
      </c>
      <c r="G881" s="8"/>
      <c r="H881" s="8"/>
      <c r="I881" s="7" t="s">
        <v>55</v>
      </c>
      <c r="J881" s="8"/>
      <c r="K881" s="8"/>
      <c r="L881" s="7" t="s">
        <v>4539</v>
      </c>
      <c r="M881" s="7" t="s">
        <v>4538</v>
      </c>
      <c r="N881" s="7">
        <v>227</v>
      </c>
      <c r="O881" s="7" t="s">
        <v>4540</v>
      </c>
    </row>
    <row r="882" spans="1:16">
      <c r="A882" s="6" t="s">
        <v>31</v>
      </c>
      <c r="B882" s="7">
        <v>808798</v>
      </c>
      <c r="C882" s="7">
        <v>808989</v>
      </c>
      <c r="D882" s="8"/>
      <c r="E882" s="7" t="s">
        <v>53</v>
      </c>
      <c r="F882" s="7" t="s">
        <v>2130</v>
      </c>
      <c r="G882" s="8"/>
      <c r="H882" s="8"/>
      <c r="I882" s="7" t="s">
        <v>55</v>
      </c>
      <c r="J882" s="8"/>
      <c r="K882" s="8"/>
      <c r="L882" s="7" t="s">
        <v>4541</v>
      </c>
      <c r="M882" s="7" t="s">
        <v>2130</v>
      </c>
      <c r="N882" s="7">
        <v>63</v>
      </c>
      <c r="O882" s="7" t="s">
        <v>4542</v>
      </c>
    </row>
    <row r="883" spans="1:16">
      <c r="A883" s="6" t="s">
        <v>31</v>
      </c>
      <c r="B883" s="7">
        <v>809169</v>
      </c>
      <c r="C883" s="7">
        <v>809324</v>
      </c>
      <c r="D883" s="8"/>
      <c r="E883" s="7" t="s">
        <v>53</v>
      </c>
      <c r="F883" s="7" t="s">
        <v>2095</v>
      </c>
      <c r="G883" s="8"/>
      <c r="H883" s="8"/>
      <c r="I883" s="7" t="s">
        <v>55</v>
      </c>
      <c r="J883" s="8"/>
      <c r="K883" s="8"/>
      <c r="L883" s="7" t="s">
        <v>4543</v>
      </c>
      <c r="M883" s="7" t="s">
        <v>2095</v>
      </c>
      <c r="N883" s="7">
        <v>51</v>
      </c>
      <c r="O883" s="7" t="s">
        <v>4544</v>
      </c>
    </row>
    <row r="884" spans="1:16">
      <c r="A884" s="6" t="s">
        <v>31</v>
      </c>
      <c r="B884" s="7">
        <v>810970</v>
      </c>
      <c r="C884" s="7">
        <v>811152</v>
      </c>
      <c r="D884" s="8"/>
      <c r="E884" s="7" t="s">
        <v>75</v>
      </c>
      <c r="F884" s="7" t="s">
        <v>2130</v>
      </c>
      <c r="G884" s="8"/>
      <c r="H884" s="8"/>
      <c r="I884" s="7" t="s">
        <v>55</v>
      </c>
      <c r="J884" s="8"/>
      <c r="K884" s="8"/>
      <c r="L884" s="7" t="s">
        <v>4545</v>
      </c>
      <c r="M884" s="7" t="s">
        <v>2130</v>
      </c>
      <c r="N884" s="7">
        <v>60</v>
      </c>
      <c r="O884" s="7" t="s">
        <v>4546</v>
      </c>
    </row>
    <row r="885" spans="1:16">
      <c r="A885" s="6" t="s">
        <v>31</v>
      </c>
      <c r="B885" s="7">
        <v>811154</v>
      </c>
      <c r="C885" s="7">
        <v>813940</v>
      </c>
      <c r="D885" s="8"/>
      <c r="E885" s="7" t="s">
        <v>75</v>
      </c>
      <c r="F885" s="7" t="s">
        <v>4547</v>
      </c>
      <c r="G885" s="8"/>
      <c r="H885" s="8"/>
      <c r="I885" s="7" t="s">
        <v>55</v>
      </c>
      <c r="J885" s="8"/>
      <c r="K885" s="8"/>
      <c r="L885" s="7" t="s">
        <v>4548</v>
      </c>
      <c r="M885" s="7" t="s">
        <v>4547</v>
      </c>
      <c r="N885" s="7">
        <v>928</v>
      </c>
      <c r="O885" s="7" t="s">
        <v>4549</v>
      </c>
      <c r="P885" s="7"/>
    </row>
    <row r="886" spans="1:16">
      <c r="A886" s="6" t="s">
        <v>31</v>
      </c>
      <c r="B886" s="7">
        <v>813942</v>
      </c>
      <c r="C886" s="7">
        <v>816095</v>
      </c>
      <c r="D886" s="8"/>
      <c r="E886" s="7" t="s">
        <v>75</v>
      </c>
      <c r="F886" s="7" t="s">
        <v>4550</v>
      </c>
      <c r="G886" s="8"/>
      <c r="H886" s="8"/>
      <c r="I886" s="7" t="s">
        <v>55</v>
      </c>
      <c r="J886" s="8"/>
      <c r="K886" s="8"/>
      <c r="L886" s="7" t="s">
        <v>4551</v>
      </c>
      <c r="M886" s="7" t="s">
        <v>4550</v>
      </c>
      <c r="N886" s="7">
        <v>717</v>
      </c>
      <c r="O886" s="7" t="s">
        <v>4552</v>
      </c>
      <c r="P886" s="7"/>
    </row>
    <row r="887" spans="1:16">
      <c r="A887" s="6" t="s">
        <v>31</v>
      </c>
      <c r="B887" s="7">
        <v>816318</v>
      </c>
      <c r="C887" s="7">
        <v>817880</v>
      </c>
      <c r="D887" s="8"/>
      <c r="E887" s="7" t="s">
        <v>75</v>
      </c>
      <c r="F887" s="7" t="s">
        <v>4553</v>
      </c>
      <c r="G887" s="7" t="s">
        <v>936</v>
      </c>
      <c r="H887" s="8"/>
      <c r="I887" s="7" t="s">
        <v>55</v>
      </c>
      <c r="J887" s="8"/>
      <c r="K887" s="8"/>
      <c r="L887" s="7" t="s">
        <v>4554</v>
      </c>
      <c r="M887" s="7" t="s">
        <v>4553</v>
      </c>
      <c r="N887" s="7">
        <v>520</v>
      </c>
      <c r="O887" s="7" t="s">
        <v>4555</v>
      </c>
      <c r="P887" s="7"/>
    </row>
    <row r="888" spans="1:16">
      <c r="A888" s="6" t="s">
        <v>31</v>
      </c>
      <c r="B888" s="7">
        <v>818049</v>
      </c>
      <c r="C888" s="7">
        <v>818747</v>
      </c>
      <c r="D888" s="8"/>
      <c r="E888" s="7" t="s">
        <v>53</v>
      </c>
      <c r="F888" s="7" t="s">
        <v>4556</v>
      </c>
      <c r="G888" s="8"/>
      <c r="H888" s="8"/>
      <c r="I888" s="7" t="s">
        <v>55</v>
      </c>
      <c r="J888" s="8"/>
      <c r="K888" s="8"/>
      <c r="L888" s="7" t="s">
        <v>4557</v>
      </c>
      <c r="M888" s="7" t="s">
        <v>4556</v>
      </c>
      <c r="N888" s="7">
        <v>232</v>
      </c>
      <c r="O888" s="7" t="s">
        <v>4558</v>
      </c>
    </row>
    <row r="889" spans="1:16">
      <c r="A889" s="6" t="s">
        <v>31</v>
      </c>
      <c r="B889" s="7">
        <v>818814</v>
      </c>
      <c r="C889" s="7">
        <v>819146</v>
      </c>
      <c r="D889" s="8"/>
      <c r="E889" s="7" t="s">
        <v>53</v>
      </c>
      <c r="F889" s="7" t="s">
        <v>4559</v>
      </c>
      <c r="G889" s="7" t="s">
        <v>4560</v>
      </c>
      <c r="H889" s="8"/>
      <c r="I889" s="7" t="s">
        <v>55</v>
      </c>
      <c r="J889" s="8"/>
      <c r="K889" s="8"/>
      <c r="L889" s="7" t="s">
        <v>4561</v>
      </c>
      <c r="M889" s="7" t="s">
        <v>4559</v>
      </c>
      <c r="N889" s="7">
        <v>110</v>
      </c>
      <c r="O889" s="7" t="s">
        <v>4562</v>
      </c>
    </row>
    <row r="890" spans="1:16">
      <c r="A890" s="6" t="s">
        <v>31</v>
      </c>
      <c r="B890" s="7">
        <v>819179</v>
      </c>
      <c r="C890" s="7">
        <v>820741</v>
      </c>
      <c r="D890" s="8"/>
      <c r="E890" s="7" t="s">
        <v>53</v>
      </c>
      <c r="F890" s="7" t="s">
        <v>4563</v>
      </c>
      <c r="G890" s="7" t="s">
        <v>940</v>
      </c>
      <c r="H890" s="8"/>
      <c r="I890" s="7" t="s">
        <v>55</v>
      </c>
      <c r="J890" s="8"/>
      <c r="K890" s="8"/>
      <c r="L890" s="7" t="s">
        <v>4564</v>
      </c>
      <c r="M890" s="7" t="s">
        <v>4563</v>
      </c>
      <c r="N890" s="7">
        <v>520</v>
      </c>
      <c r="O890" s="7" t="s">
        <v>4565</v>
      </c>
    </row>
    <row r="891" spans="1:16">
      <c r="A891" s="6" t="s">
        <v>31</v>
      </c>
      <c r="B891" s="7">
        <v>820843</v>
      </c>
      <c r="C891" s="7">
        <v>821370</v>
      </c>
      <c r="D891" s="8"/>
      <c r="E891" s="7" t="s">
        <v>53</v>
      </c>
      <c r="F891" s="7" t="s">
        <v>2212</v>
      </c>
      <c r="G891" s="8"/>
      <c r="H891" s="8"/>
      <c r="I891" s="7" t="s">
        <v>55</v>
      </c>
      <c r="J891" s="8"/>
      <c r="K891" s="8"/>
      <c r="L891" s="7" t="s">
        <v>4566</v>
      </c>
      <c r="M891" s="7" t="s">
        <v>2212</v>
      </c>
      <c r="N891" s="7">
        <v>175</v>
      </c>
      <c r="O891" s="7" t="s">
        <v>4567</v>
      </c>
    </row>
    <row r="892" spans="1:16">
      <c r="A892" s="6" t="s">
        <v>31</v>
      </c>
      <c r="B892" s="7">
        <v>821394</v>
      </c>
      <c r="C892" s="7">
        <v>821909</v>
      </c>
      <c r="D892" s="8"/>
      <c r="E892" s="7" t="s">
        <v>53</v>
      </c>
      <c r="F892" s="7" t="s">
        <v>4568</v>
      </c>
      <c r="G892" s="8"/>
      <c r="H892" s="8"/>
      <c r="I892" s="7" t="s">
        <v>55</v>
      </c>
      <c r="J892" s="8"/>
      <c r="K892" s="8"/>
      <c r="L892" s="7" t="s">
        <v>4569</v>
      </c>
      <c r="M892" s="7" t="s">
        <v>4568</v>
      </c>
      <c r="N892" s="7">
        <v>171</v>
      </c>
      <c r="O892" s="7" t="s">
        <v>4570</v>
      </c>
    </row>
    <row r="893" spans="1:16">
      <c r="A893" s="6" t="s">
        <v>31</v>
      </c>
      <c r="B893" s="7">
        <v>822004</v>
      </c>
      <c r="C893" s="7">
        <v>822693</v>
      </c>
      <c r="D893" s="8"/>
      <c r="E893" s="7" t="s">
        <v>53</v>
      </c>
      <c r="F893" s="7" t="s">
        <v>4571</v>
      </c>
      <c r="G893" s="8"/>
      <c r="H893" s="8"/>
      <c r="I893" s="7" t="s">
        <v>55</v>
      </c>
      <c r="J893" s="8"/>
      <c r="K893" s="8"/>
      <c r="L893" s="7" t="s">
        <v>4572</v>
      </c>
      <c r="M893" s="7" t="s">
        <v>4571</v>
      </c>
      <c r="N893" s="7">
        <v>229</v>
      </c>
      <c r="O893" s="7" t="s">
        <v>4573</v>
      </c>
    </row>
    <row r="894" spans="1:16">
      <c r="A894" s="6" t="s">
        <v>31</v>
      </c>
      <c r="B894" s="7">
        <v>822821</v>
      </c>
      <c r="C894" s="7">
        <v>823675</v>
      </c>
      <c r="D894" s="8"/>
      <c r="E894" s="7" t="s">
        <v>53</v>
      </c>
      <c r="F894" s="7" t="s">
        <v>4574</v>
      </c>
      <c r="G894" s="7" t="s">
        <v>4575</v>
      </c>
      <c r="H894" s="8"/>
      <c r="I894" s="7" t="s">
        <v>55</v>
      </c>
      <c r="J894" s="8"/>
      <c r="K894" s="8"/>
      <c r="L894" s="7" t="s">
        <v>4576</v>
      </c>
      <c r="M894" s="7" t="s">
        <v>4574</v>
      </c>
      <c r="N894" s="7">
        <v>284</v>
      </c>
      <c r="O894" s="7" t="s">
        <v>4577</v>
      </c>
    </row>
    <row r="895" spans="1:16">
      <c r="A895" s="6" t="s">
        <v>31</v>
      </c>
      <c r="B895" s="7">
        <v>823662</v>
      </c>
      <c r="C895" s="7">
        <v>824429</v>
      </c>
      <c r="D895" s="8"/>
      <c r="E895" s="7" t="s">
        <v>53</v>
      </c>
      <c r="F895" s="7" t="s">
        <v>946</v>
      </c>
      <c r="G895" s="7" t="s">
        <v>4578</v>
      </c>
      <c r="H895" s="8"/>
      <c r="I895" s="7" t="s">
        <v>55</v>
      </c>
      <c r="J895" s="8"/>
      <c r="K895" s="8"/>
      <c r="L895" s="7" t="s">
        <v>4579</v>
      </c>
      <c r="M895" s="7" t="s">
        <v>946</v>
      </c>
      <c r="N895" s="7">
        <v>255</v>
      </c>
      <c r="O895" s="7" t="s">
        <v>4580</v>
      </c>
      <c r="P895" s="7"/>
    </row>
    <row r="896" spans="1:16">
      <c r="A896" s="6" t="s">
        <v>31</v>
      </c>
      <c r="B896" s="7">
        <v>824440</v>
      </c>
      <c r="C896" s="7">
        <v>825360</v>
      </c>
      <c r="D896" s="8"/>
      <c r="E896" s="7" t="s">
        <v>53</v>
      </c>
      <c r="F896" s="7" t="s">
        <v>2831</v>
      </c>
      <c r="G896" s="8"/>
      <c r="H896" s="8"/>
      <c r="I896" s="7" t="s">
        <v>55</v>
      </c>
      <c r="J896" s="8"/>
      <c r="K896" s="8"/>
      <c r="L896" s="7" t="s">
        <v>4581</v>
      </c>
      <c r="M896" s="7" t="s">
        <v>2831</v>
      </c>
      <c r="N896" s="7">
        <v>306</v>
      </c>
      <c r="O896" s="7" t="s">
        <v>4582</v>
      </c>
    </row>
    <row r="897" spans="1:16">
      <c r="A897" s="6" t="s">
        <v>31</v>
      </c>
      <c r="B897" s="7">
        <v>825428</v>
      </c>
      <c r="C897" s="7">
        <v>826267</v>
      </c>
      <c r="D897" s="8"/>
      <c r="E897" s="7" t="s">
        <v>53</v>
      </c>
      <c r="F897" s="7" t="s">
        <v>4583</v>
      </c>
      <c r="G897" s="7" t="s">
        <v>949</v>
      </c>
      <c r="H897" s="8"/>
      <c r="I897" s="7" t="s">
        <v>55</v>
      </c>
      <c r="J897" s="8"/>
      <c r="K897" s="8"/>
      <c r="L897" s="7" t="s">
        <v>4584</v>
      </c>
      <c r="M897" s="7" t="s">
        <v>4583</v>
      </c>
      <c r="N897" s="7">
        <v>279</v>
      </c>
      <c r="O897" s="7" t="s">
        <v>4585</v>
      </c>
    </row>
    <row r="898" spans="1:16">
      <c r="A898" s="6" t="s">
        <v>31</v>
      </c>
      <c r="B898" s="7">
        <v>826303</v>
      </c>
      <c r="C898" s="7">
        <v>826431</v>
      </c>
      <c r="D898" s="8"/>
      <c r="E898" s="7" t="s">
        <v>53</v>
      </c>
      <c r="F898" s="7" t="s">
        <v>2095</v>
      </c>
      <c r="G898" s="8"/>
      <c r="H898" s="8"/>
      <c r="I898" s="7" t="s">
        <v>55</v>
      </c>
      <c r="J898" s="8"/>
      <c r="K898" s="8"/>
      <c r="L898" s="7" t="s">
        <v>4586</v>
      </c>
      <c r="M898" s="7" t="s">
        <v>2095</v>
      </c>
      <c r="N898" s="7">
        <v>42</v>
      </c>
      <c r="O898" s="7" t="s">
        <v>4587</v>
      </c>
    </row>
    <row r="899" spans="1:16">
      <c r="A899" s="6" t="s">
        <v>31</v>
      </c>
      <c r="B899" s="7">
        <v>826435</v>
      </c>
      <c r="C899" s="7">
        <v>828579</v>
      </c>
      <c r="D899" s="8"/>
      <c r="E899" s="7" t="s">
        <v>53</v>
      </c>
      <c r="F899" s="7" t="s">
        <v>4588</v>
      </c>
      <c r="G899" s="7" t="s">
        <v>951</v>
      </c>
      <c r="H899" s="8"/>
      <c r="I899" s="7" t="s">
        <v>55</v>
      </c>
      <c r="J899" s="8"/>
      <c r="K899" s="8"/>
      <c r="L899" s="7" t="s">
        <v>4589</v>
      </c>
      <c r="M899" s="7" t="s">
        <v>4588</v>
      </c>
      <c r="N899" s="7">
        <v>714</v>
      </c>
      <c r="O899" s="7" t="s">
        <v>4590</v>
      </c>
      <c r="P899" s="7"/>
    </row>
    <row r="900" spans="1:16">
      <c r="A900" s="6" t="s">
        <v>31</v>
      </c>
      <c r="B900" s="7">
        <v>828696</v>
      </c>
      <c r="C900" s="7">
        <v>829520</v>
      </c>
      <c r="D900" s="8"/>
      <c r="E900" s="7" t="s">
        <v>53</v>
      </c>
      <c r="F900" s="7" t="s">
        <v>4591</v>
      </c>
      <c r="G900" s="8"/>
      <c r="H900" s="8"/>
      <c r="I900" s="7" t="s">
        <v>55</v>
      </c>
      <c r="J900" s="8"/>
      <c r="K900" s="8"/>
      <c r="L900" s="7" t="s">
        <v>4592</v>
      </c>
      <c r="M900" s="7" t="s">
        <v>4591</v>
      </c>
      <c r="N900" s="7">
        <v>274</v>
      </c>
      <c r="O900" s="7" t="s">
        <v>4593</v>
      </c>
    </row>
    <row r="901" spans="1:16">
      <c r="A901" s="6" t="s">
        <v>31</v>
      </c>
      <c r="B901" s="7">
        <v>829556</v>
      </c>
      <c r="C901" s="7">
        <v>830215</v>
      </c>
      <c r="D901" s="8"/>
      <c r="E901" s="7" t="s">
        <v>53</v>
      </c>
      <c r="F901" s="7" t="s">
        <v>4594</v>
      </c>
      <c r="G901" s="7" t="s">
        <v>4595</v>
      </c>
      <c r="H901" s="8"/>
      <c r="I901" s="7" t="s">
        <v>55</v>
      </c>
      <c r="J901" s="8"/>
      <c r="K901" s="8"/>
      <c r="L901" s="7" t="s">
        <v>4596</v>
      </c>
      <c r="M901" s="7" t="s">
        <v>4594</v>
      </c>
      <c r="N901" s="7">
        <v>219</v>
      </c>
      <c r="O901" s="7" t="s">
        <v>4597</v>
      </c>
    </row>
    <row r="902" spans="1:16">
      <c r="A902" s="6" t="s">
        <v>31</v>
      </c>
      <c r="B902" s="7">
        <v>830206</v>
      </c>
      <c r="C902" s="7">
        <v>831600</v>
      </c>
      <c r="D902" s="8"/>
      <c r="E902" s="7" t="s">
        <v>53</v>
      </c>
      <c r="F902" s="7" t="s">
        <v>3596</v>
      </c>
      <c r="G902" s="8"/>
      <c r="H902" s="8"/>
      <c r="I902" s="7" t="s">
        <v>55</v>
      </c>
      <c r="J902" s="8"/>
      <c r="K902" s="8"/>
      <c r="L902" s="7" t="s">
        <v>4598</v>
      </c>
      <c r="M902" s="7" t="s">
        <v>3596</v>
      </c>
      <c r="N902" s="7">
        <v>464</v>
      </c>
      <c r="O902" s="7" t="s">
        <v>4599</v>
      </c>
    </row>
    <row r="903" spans="1:16">
      <c r="A903" s="6" t="s">
        <v>31</v>
      </c>
      <c r="B903" s="7">
        <v>831701</v>
      </c>
      <c r="C903" s="7">
        <v>833044</v>
      </c>
      <c r="D903" s="8"/>
      <c r="E903" s="7" t="s">
        <v>53</v>
      </c>
      <c r="F903" s="7" t="s">
        <v>4600</v>
      </c>
      <c r="G903" s="7" t="s">
        <v>956</v>
      </c>
      <c r="H903" s="8"/>
      <c r="I903" s="7" t="s">
        <v>55</v>
      </c>
      <c r="J903" s="8"/>
      <c r="K903" s="8"/>
      <c r="L903" s="7" t="s">
        <v>4601</v>
      </c>
      <c r="M903" s="7" t="s">
        <v>4600</v>
      </c>
      <c r="N903" s="7">
        <v>447</v>
      </c>
      <c r="O903" s="7" t="s">
        <v>4602</v>
      </c>
      <c r="P903" s="7"/>
    </row>
    <row r="904" spans="1:16">
      <c r="A904" s="6" t="s">
        <v>31</v>
      </c>
      <c r="B904" s="7">
        <v>833114</v>
      </c>
      <c r="C904" s="7">
        <v>833272</v>
      </c>
      <c r="D904" s="8"/>
      <c r="E904" s="7" t="s">
        <v>75</v>
      </c>
      <c r="F904" s="7" t="s">
        <v>866</v>
      </c>
      <c r="G904" s="8"/>
      <c r="H904" s="8"/>
      <c r="I904" s="7" t="s">
        <v>55</v>
      </c>
      <c r="J904" s="8"/>
      <c r="K904" s="8"/>
      <c r="L904" s="7" t="s">
        <v>4603</v>
      </c>
      <c r="M904" s="7" t="s">
        <v>866</v>
      </c>
      <c r="N904" s="7">
        <v>52</v>
      </c>
      <c r="O904" s="7" t="s">
        <v>4604</v>
      </c>
      <c r="P904" s="7"/>
    </row>
    <row r="905" spans="1:16">
      <c r="A905" s="6" t="s">
        <v>31</v>
      </c>
      <c r="B905" s="7">
        <v>833309</v>
      </c>
      <c r="C905" s="7">
        <v>834100</v>
      </c>
      <c r="D905" s="8"/>
      <c r="E905" s="7" t="s">
        <v>75</v>
      </c>
      <c r="F905" s="7" t="s">
        <v>2130</v>
      </c>
      <c r="G905" s="8"/>
      <c r="H905" s="8"/>
      <c r="I905" s="7" t="s">
        <v>55</v>
      </c>
      <c r="J905" s="8"/>
      <c r="K905" s="8"/>
      <c r="L905" s="7" t="s">
        <v>4605</v>
      </c>
      <c r="M905" s="7" t="s">
        <v>2130</v>
      </c>
      <c r="N905" s="7">
        <v>263</v>
      </c>
      <c r="O905" s="7" t="s">
        <v>4606</v>
      </c>
    </row>
    <row r="906" spans="1:16">
      <c r="A906" s="6" t="s">
        <v>31</v>
      </c>
      <c r="B906" s="7">
        <v>833878</v>
      </c>
      <c r="C906" s="7">
        <v>834258</v>
      </c>
      <c r="D906" s="8"/>
      <c r="E906" s="7" t="s">
        <v>75</v>
      </c>
      <c r="F906" s="7" t="s">
        <v>2095</v>
      </c>
      <c r="G906" s="8"/>
      <c r="H906" s="8"/>
      <c r="I906" s="7" t="s">
        <v>55</v>
      </c>
      <c r="J906" s="8"/>
      <c r="K906" s="8"/>
      <c r="L906" s="7" t="s">
        <v>4607</v>
      </c>
      <c r="M906" s="7" t="s">
        <v>2095</v>
      </c>
      <c r="N906" s="7">
        <v>126</v>
      </c>
      <c r="O906" s="7" t="s">
        <v>4608</v>
      </c>
    </row>
    <row r="907" spans="1:16">
      <c r="A907" s="6" t="s">
        <v>31</v>
      </c>
      <c r="B907" s="7">
        <v>834411</v>
      </c>
      <c r="C907" s="7">
        <v>834839</v>
      </c>
      <c r="D907" s="8"/>
      <c r="E907" s="7" t="s">
        <v>53</v>
      </c>
      <c r="F907" s="7" t="s">
        <v>4609</v>
      </c>
      <c r="G907" s="7" t="s">
        <v>958</v>
      </c>
      <c r="H907" s="8"/>
      <c r="I907" s="7" t="s">
        <v>55</v>
      </c>
      <c r="J907" s="8"/>
      <c r="K907" s="8"/>
      <c r="L907" s="7" t="s">
        <v>4610</v>
      </c>
      <c r="M907" s="7" t="s">
        <v>4609</v>
      </c>
      <c r="N907" s="7">
        <v>142</v>
      </c>
      <c r="O907" s="7" t="s">
        <v>4611</v>
      </c>
      <c r="P907" s="7"/>
    </row>
    <row r="908" spans="1:16">
      <c r="A908" s="6" t="s">
        <v>31</v>
      </c>
      <c r="B908" s="7">
        <v>834841</v>
      </c>
      <c r="C908" s="7">
        <v>835131</v>
      </c>
      <c r="D908" s="8"/>
      <c r="E908" s="7" t="s">
        <v>53</v>
      </c>
      <c r="F908" s="7" t="s">
        <v>4612</v>
      </c>
      <c r="G908" s="8"/>
      <c r="H908" s="8"/>
      <c r="I908" s="7" t="s">
        <v>55</v>
      </c>
      <c r="J908" s="8"/>
      <c r="K908" s="8"/>
      <c r="L908" s="7" t="s">
        <v>4613</v>
      </c>
      <c r="M908" s="7" t="s">
        <v>4612</v>
      </c>
      <c r="N908" s="7">
        <v>96</v>
      </c>
      <c r="O908" s="7" t="s">
        <v>4614</v>
      </c>
      <c r="P908" s="7"/>
    </row>
    <row r="909" spans="1:16">
      <c r="A909" s="6" t="s">
        <v>31</v>
      </c>
      <c r="B909" s="7">
        <v>835229</v>
      </c>
      <c r="C909" s="7">
        <v>836032</v>
      </c>
      <c r="D909" s="8"/>
      <c r="E909" s="7" t="s">
        <v>53</v>
      </c>
      <c r="F909" s="7" t="s">
        <v>4615</v>
      </c>
      <c r="G909" s="8"/>
      <c r="H909" s="8"/>
      <c r="I909" s="7" t="s">
        <v>55</v>
      </c>
      <c r="J909" s="8"/>
      <c r="K909" s="8"/>
      <c r="L909" s="7" t="s">
        <v>4616</v>
      </c>
      <c r="M909" s="7" t="s">
        <v>4615</v>
      </c>
      <c r="N909" s="7">
        <v>267</v>
      </c>
      <c r="O909" s="7" t="s">
        <v>4617</v>
      </c>
    </row>
    <row r="910" spans="1:16">
      <c r="A910" s="6" t="s">
        <v>31</v>
      </c>
      <c r="B910" s="7">
        <v>836381</v>
      </c>
      <c r="C910" s="7">
        <v>836722</v>
      </c>
      <c r="D910" s="8"/>
      <c r="E910" s="7" t="s">
        <v>53</v>
      </c>
      <c r="F910" s="7" t="s">
        <v>4618</v>
      </c>
      <c r="G910" s="8"/>
      <c r="H910" s="8"/>
      <c r="I910" s="7" t="s">
        <v>55</v>
      </c>
      <c r="J910" s="8"/>
      <c r="K910" s="8"/>
      <c r="L910" s="7" t="s">
        <v>4619</v>
      </c>
      <c r="M910" s="7" t="s">
        <v>4618</v>
      </c>
      <c r="N910" s="7">
        <v>113</v>
      </c>
      <c r="O910" s="7" t="s">
        <v>4620</v>
      </c>
      <c r="P910" s="7"/>
    </row>
    <row r="911" spans="1:16">
      <c r="A911" s="6" t="s">
        <v>31</v>
      </c>
      <c r="B911" s="7">
        <v>836870</v>
      </c>
      <c r="C911" s="7">
        <v>837076</v>
      </c>
      <c r="D911" s="8"/>
      <c r="E911" s="7" t="s">
        <v>53</v>
      </c>
      <c r="F911" s="7" t="s">
        <v>2130</v>
      </c>
      <c r="G911" s="8"/>
      <c r="H911" s="8"/>
      <c r="I911" s="7" t="s">
        <v>55</v>
      </c>
      <c r="J911" s="8"/>
      <c r="K911" s="8"/>
      <c r="L911" s="7" t="s">
        <v>4621</v>
      </c>
      <c r="M911" s="7" t="s">
        <v>2130</v>
      </c>
      <c r="N911" s="7">
        <v>68</v>
      </c>
      <c r="O911" s="7" t="s">
        <v>4622</v>
      </c>
    </row>
    <row r="912" spans="1:16">
      <c r="A912" s="6" t="s">
        <v>31</v>
      </c>
      <c r="B912" s="7">
        <v>836998</v>
      </c>
      <c r="C912" s="7">
        <v>837144</v>
      </c>
      <c r="D912" s="8"/>
      <c r="E912" s="7" t="s">
        <v>53</v>
      </c>
      <c r="F912" s="7" t="s">
        <v>4623</v>
      </c>
      <c r="G912" s="8"/>
      <c r="H912" s="8"/>
      <c r="I912" s="7" t="s">
        <v>55</v>
      </c>
      <c r="J912" s="8"/>
      <c r="K912" s="8"/>
      <c r="L912" s="7" t="s">
        <v>4624</v>
      </c>
      <c r="M912" s="7" t="s">
        <v>4623</v>
      </c>
      <c r="N912" s="7">
        <v>48</v>
      </c>
      <c r="O912" s="7" t="s">
        <v>4625</v>
      </c>
      <c r="P912" s="7"/>
    </row>
    <row r="913" spans="1:16">
      <c r="A913" s="6" t="s">
        <v>31</v>
      </c>
      <c r="B913" s="7">
        <v>837532</v>
      </c>
      <c r="C913" s="7">
        <v>839364</v>
      </c>
      <c r="D913" s="8"/>
      <c r="E913" s="7" t="s">
        <v>53</v>
      </c>
      <c r="F913" s="7" t="s">
        <v>4626</v>
      </c>
      <c r="G913" s="7" t="s">
        <v>962</v>
      </c>
      <c r="H913" s="8"/>
      <c r="I913" s="7" t="s">
        <v>55</v>
      </c>
      <c r="J913" s="8"/>
      <c r="K913" s="8"/>
      <c r="L913" s="7" t="s">
        <v>4627</v>
      </c>
      <c r="M913" s="7" t="s">
        <v>4626</v>
      </c>
      <c r="N913" s="7">
        <v>610</v>
      </c>
      <c r="O913" s="7" t="s">
        <v>4628</v>
      </c>
    </row>
    <row r="914" spans="1:16">
      <c r="A914" s="6" t="s">
        <v>31</v>
      </c>
      <c r="B914" s="7">
        <v>839771</v>
      </c>
      <c r="C914" s="7">
        <v>840112</v>
      </c>
      <c r="D914" s="8"/>
      <c r="E914" s="7" t="s">
        <v>53</v>
      </c>
      <c r="F914" s="7" t="s">
        <v>2130</v>
      </c>
      <c r="G914" s="8"/>
      <c r="H914" s="8"/>
      <c r="I914" s="7" t="s">
        <v>55</v>
      </c>
      <c r="J914" s="8"/>
      <c r="K914" s="8"/>
      <c r="L914" s="7" t="s">
        <v>4629</v>
      </c>
      <c r="M914" s="7" t="s">
        <v>2130</v>
      </c>
      <c r="N914" s="7">
        <v>113</v>
      </c>
      <c r="O914" s="7" t="s">
        <v>4630</v>
      </c>
    </row>
    <row r="915" spans="1:16">
      <c r="A915" s="6" t="s">
        <v>31</v>
      </c>
      <c r="B915" s="7">
        <v>840551</v>
      </c>
      <c r="C915" s="7">
        <v>840835</v>
      </c>
      <c r="D915" s="8"/>
      <c r="E915" s="7" t="s">
        <v>53</v>
      </c>
      <c r="F915" s="7" t="s">
        <v>2095</v>
      </c>
      <c r="G915" s="8"/>
      <c r="H915" s="8"/>
      <c r="I915" s="7" t="s">
        <v>55</v>
      </c>
      <c r="J915" s="8"/>
      <c r="K915" s="8"/>
      <c r="L915" s="7" t="s">
        <v>4631</v>
      </c>
      <c r="M915" s="7" t="s">
        <v>2095</v>
      </c>
      <c r="N915" s="7">
        <v>94</v>
      </c>
      <c r="O915" s="7" t="s">
        <v>4632</v>
      </c>
    </row>
    <row r="916" spans="1:16">
      <c r="A916" s="6" t="s">
        <v>31</v>
      </c>
      <c r="B916" s="7">
        <v>840862</v>
      </c>
      <c r="C916" s="7">
        <v>840978</v>
      </c>
      <c r="D916" s="8"/>
      <c r="E916" s="7" t="s">
        <v>53</v>
      </c>
      <c r="F916" s="7" t="s">
        <v>2095</v>
      </c>
      <c r="G916" s="8"/>
      <c r="H916" s="8"/>
      <c r="I916" s="7" t="s">
        <v>55</v>
      </c>
      <c r="J916" s="8"/>
      <c r="K916" s="8"/>
      <c r="L916" s="7" t="s">
        <v>4633</v>
      </c>
      <c r="M916" s="7" t="s">
        <v>2095</v>
      </c>
      <c r="N916" s="7">
        <v>38</v>
      </c>
      <c r="O916" s="7" t="s">
        <v>4634</v>
      </c>
    </row>
    <row r="917" spans="1:16">
      <c r="A917" s="6" t="s">
        <v>31</v>
      </c>
      <c r="B917" s="7">
        <v>841093</v>
      </c>
      <c r="C917" s="7">
        <v>841422</v>
      </c>
      <c r="D917" s="8"/>
      <c r="E917" s="7" t="s">
        <v>53</v>
      </c>
      <c r="F917" s="7" t="s">
        <v>2831</v>
      </c>
      <c r="G917" s="7" t="s">
        <v>4635</v>
      </c>
      <c r="H917" s="8"/>
      <c r="I917" s="7" t="s">
        <v>55</v>
      </c>
      <c r="J917" s="8"/>
      <c r="K917" s="8"/>
      <c r="L917" s="7" t="s">
        <v>4636</v>
      </c>
      <c r="M917" s="7" t="s">
        <v>2831</v>
      </c>
      <c r="N917" s="7">
        <v>109</v>
      </c>
      <c r="O917" s="7" t="s">
        <v>4637</v>
      </c>
    </row>
    <row r="918" spans="1:16">
      <c r="A918" s="6" t="s">
        <v>31</v>
      </c>
      <c r="B918" s="7">
        <v>841460</v>
      </c>
      <c r="C918" s="7">
        <v>841636</v>
      </c>
      <c r="D918" s="8"/>
      <c r="E918" s="7" t="s">
        <v>53</v>
      </c>
      <c r="F918" s="7" t="s">
        <v>2095</v>
      </c>
      <c r="G918" s="8"/>
      <c r="H918" s="8"/>
      <c r="I918" s="7" t="s">
        <v>55</v>
      </c>
      <c r="J918" s="8"/>
      <c r="K918" s="8"/>
      <c r="L918" s="7" t="s">
        <v>4638</v>
      </c>
      <c r="M918" s="7" t="s">
        <v>2095</v>
      </c>
      <c r="N918" s="7">
        <v>58</v>
      </c>
      <c r="O918" s="7" t="s">
        <v>4639</v>
      </c>
    </row>
    <row r="919" spans="1:16">
      <c r="A919" s="6" t="s">
        <v>31</v>
      </c>
      <c r="B919" s="7">
        <v>841756</v>
      </c>
      <c r="C919" s="7">
        <v>842613</v>
      </c>
      <c r="D919" s="8"/>
      <c r="E919" s="7" t="s">
        <v>53</v>
      </c>
      <c r="F919" s="7" t="s">
        <v>4640</v>
      </c>
      <c r="G919" s="8"/>
      <c r="H919" s="8"/>
      <c r="I919" s="7" t="s">
        <v>55</v>
      </c>
      <c r="J919" s="8"/>
      <c r="K919" s="8"/>
      <c r="L919" s="7" t="s">
        <v>4641</v>
      </c>
      <c r="M919" s="7" t="s">
        <v>4640</v>
      </c>
      <c r="N919" s="7">
        <v>285</v>
      </c>
      <c r="O919" s="7" t="s">
        <v>4642</v>
      </c>
    </row>
    <row r="920" spans="1:16">
      <c r="A920" s="6" t="s">
        <v>31</v>
      </c>
      <c r="B920" s="7">
        <v>842673</v>
      </c>
      <c r="C920" s="7">
        <v>843473</v>
      </c>
      <c r="D920" s="8"/>
      <c r="E920" s="7" t="s">
        <v>53</v>
      </c>
      <c r="F920" s="7" t="s">
        <v>968</v>
      </c>
      <c r="G920" s="8"/>
      <c r="H920" s="8"/>
      <c r="I920" s="7" t="s">
        <v>55</v>
      </c>
      <c r="J920" s="8"/>
      <c r="K920" s="8"/>
      <c r="L920" s="7" t="s">
        <v>4643</v>
      </c>
      <c r="M920" s="7" t="s">
        <v>968</v>
      </c>
      <c r="N920" s="7">
        <v>266</v>
      </c>
      <c r="O920" s="7" t="s">
        <v>4644</v>
      </c>
    </row>
    <row r="921" spans="1:16">
      <c r="A921" s="6" t="s">
        <v>31</v>
      </c>
      <c r="B921" s="7">
        <v>843533</v>
      </c>
      <c r="C921" s="7">
        <v>843682</v>
      </c>
      <c r="D921" s="8"/>
      <c r="E921" s="7" t="s">
        <v>53</v>
      </c>
      <c r="F921" s="7" t="s">
        <v>2130</v>
      </c>
      <c r="G921" s="8"/>
      <c r="H921" s="8"/>
      <c r="I921" s="7" t="s">
        <v>55</v>
      </c>
      <c r="J921" s="8"/>
      <c r="K921" s="8"/>
      <c r="L921" s="7" t="s">
        <v>4645</v>
      </c>
      <c r="M921" s="7" t="s">
        <v>2130</v>
      </c>
      <c r="N921" s="7">
        <v>49</v>
      </c>
      <c r="O921" s="7" t="s">
        <v>4646</v>
      </c>
    </row>
    <row r="922" spans="1:16">
      <c r="A922" s="6" t="s">
        <v>31</v>
      </c>
      <c r="B922" s="7">
        <v>843765</v>
      </c>
      <c r="C922" s="7">
        <v>844982</v>
      </c>
      <c r="D922" s="8"/>
      <c r="E922" s="7" t="s">
        <v>53</v>
      </c>
      <c r="F922" s="7" t="s">
        <v>4647</v>
      </c>
      <c r="G922" s="8"/>
      <c r="H922" s="8"/>
      <c r="I922" s="7" t="s">
        <v>55</v>
      </c>
      <c r="J922" s="8"/>
      <c r="K922" s="8"/>
      <c r="L922" s="7" t="s">
        <v>4648</v>
      </c>
      <c r="M922" s="7" t="s">
        <v>4647</v>
      </c>
      <c r="N922" s="7">
        <v>405</v>
      </c>
      <c r="O922" s="7" t="s">
        <v>4649</v>
      </c>
    </row>
    <row r="923" spans="1:16">
      <c r="A923" s="6" t="s">
        <v>31</v>
      </c>
      <c r="B923" s="7">
        <v>844979</v>
      </c>
      <c r="C923" s="7">
        <v>845722</v>
      </c>
      <c r="D923" s="8"/>
      <c r="E923" s="7" t="s">
        <v>53</v>
      </c>
      <c r="F923" s="7" t="s">
        <v>4650</v>
      </c>
      <c r="G923" s="8"/>
      <c r="H923" s="8"/>
      <c r="I923" s="7" t="s">
        <v>55</v>
      </c>
      <c r="J923" s="8"/>
      <c r="K923" s="8"/>
      <c r="L923" s="7" t="s">
        <v>4651</v>
      </c>
      <c r="M923" s="7" t="s">
        <v>4650</v>
      </c>
      <c r="N923" s="7">
        <v>247</v>
      </c>
      <c r="O923" s="7" t="s">
        <v>4652</v>
      </c>
      <c r="P923" s="7"/>
    </row>
    <row r="924" spans="1:16">
      <c r="A924" s="6" t="s">
        <v>31</v>
      </c>
      <c r="B924" s="7">
        <v>845729</v>
      </c>
      <c r="C924" s="7">
        <v>846901</v>
      </c>
      <c r="D924" s="8"/>
      <c r="E924" s="7" t="s">
        <v>53</v>
      </c>
      <c r="F924" s="7" t="s">
        <v>212</v>
      </c>
      <c r="G924" s="8"/>
      <c r="H924" s="8"/>
      <c r="I924" s="7" t="s">
        <v>55</v>
      </c>
      <c r="J924" s="8"/>
      <c r="K924" s="8"/>
      <c r="L924" s="7" t="s">
        <v>4653</v>
      </c>
      <c r="M924" s="7" t="s">
        <v>212</v>
      </c>
      <c r="N924" s="7">
        <v>390</v>
      </c>
      <c r="O924" s="7" t="s">
        <v>4654</v>
      </c>
    </row>
    <row r="925" spans="1:16">
      <c r="A925" s="6" t="s">
        <v>31</v>
      </c>
      <c r="B925" s="7">
        <v>847155</v>
      </c>
      <c r="C925" s="7">
        <v>848831</v>
      </c>
      <c r="D925" s="8"/>
      <c r="E925" s="7" t="s">
        <v>53</v>
      </c>
      <c r="F925" s="7" t="s">
        <v>4655</v>
      </c>
      <c r="G925" s="7" t="s">
        <v>974</v>
      </c>
      <c r="H925" s="8"/>
      <c r="I925" s="7" t="s">
        <v>55</v>
      </c>
      <c r="J925" s="8"/>
      <c r="K925" s="8"/>
      <c r="L925" s="7" t="s">
        <v>4656</v>
      </c>
      <c r="M925" s="7" t="s">
        <v>4655</v>
      </c>
      <c r="N925" s="7">
        <v>558</v>
      </c>
      <c r="O925" s="7" t="s">
        <v>4657</v>
      </c>
      <c r="P925" s="7"/>
    </row>
    <row r="926" spans="1:16">
      <c r="A926" s="6" t="s">
        <v>31</v>
      </c>
      <c r="B926" s="7">
        <v>848847</v>
      </c>
      <c r="C926" s="7">
        <v>849566</v>
      </c>
      <c r="D926" s="8"/>
      <c r="E926" s="7" t="s">
        <v>53</v>
      </c>
      <c r="F926" s="7" t="s">
        <v>4658</v>
      </c>
      <c r="G926" s="7" t="s">
        <v>4659</v>
      </c>
      <c r="H926" s="8"/>
      <c r="I926" s="7" t="s">
        <v>55</v>
      </c>
      <c r="J926" s="8"/>
      <c r="K926" s="8"/>
      <c r="L926" s="7" t="s">
        <v>4660</v>
      </c>
      <c r="M926" s="7" t="s">
        <v>4658</v>
      </c>
      <c r="N926" s="7">
        <v>239</v>
      </c>
      <c r="O926" s="7" t="s">
        <v>4661</v>
      </c>
      <c r="P926" s="7"/>
    </row>
    <row r="927" spans="1:16">
      <c r="A927" s="6" t="s">
        <v>31</v>
      </c>
      <c r="B927" s="7">
        <v>849618</v>
      </c>
      <c r="C927" s="7">
        <v>849740</v>
      </c>
      <c r="D927" s="8"/>
      <c r="E927" s="7" t="s">
        <v>75</v>
      </c>
      <c r="F927" s="7" t="s">
        <v>2095</v>
      </c>
      <c r="G927" s="8"/>
      <c r="H927" s="8"/>
      <c r="I927" s="7" t="s">
        <v>55</v>
      </c>
      <c r="J927" s="8"/>
      <c r="K927" s="8"/>
      <c r="L927" s="7" t="s">
        <v>4662</v>
      </c>
      <c r="M927" s="7" t="s">
        <v>2095</v>
      </c>
      <c r="N927" s="7">
        <v>40</v>
      </c>
      <c r="O927" s="7" t="s">
        <v>4663</v>
      </c>
    </row>
    <row r="928" spans="1:16">
      <c r="A928" s="6" t="s">
        <v>31</v>
      </c>
      <c r="B928" s="7">
        <v>849654</v>
      </c>
      <c r="C928" s="7">
        <v>849770</v>
      </c>
      <c r="D928" s="8"/>
      <c r="E928" s="7" t="s">
        <v>53</v>
      </c>
      <c r="F928" s="7" t="s">
        <v>2130</v>
      </c>
      <c r="G928" s="8"/>
      <c r="H928" s="8"/>
      <c r="I928" s="7" t="s">
        <v>55</v>
      </c>
      <c r="J928" s="8"/>
      <c r="K928" s="8"/>
      <c r="L928" s="7" t="s">
        <v>4664</v>
      </c>
      <c r="M928" s="7" t="s">
        <v>2130</v>
      </c>
      <c r="N928" s="7">
        <v>38</v>
      </c>
      <c r="O928" s="7" t="s">
        <v>4665</v>
      </c>
    </row>
    <row r="929" spans="1:16">
      <c r="A929" s="6" t="s">
        <v>31</v>
      </c>
      <c r="B929" s="7">
        <v>849754</v>
      </c>
      <c r="C929" s="7">
        <v>850491</v>
      </c>
      <c r="D929" s="8"/>
      <c r="E929" s="7" t="s">
        <v>75</v>
      </c>
      <c r="F929" s="7" t="s">
        <v>2095</v>
      </c>
      <c r="G929" s="8"/>
      <c r="H929" s="8"/>
      <c r="I929" s="7" t="s">
        <v>55</v>
      </c>
      <c r="J929" s="8"/>
      <c r="K929" s="8"/>
      <c r="L929" s="7" t="s">
        <v>4666</v>
      </c>
      <c r="M929" s="7" t="s">
        <v>2095</v>
      </c>
      <c r="N929" s="7">
        <v>245</v>
      </c>
      <c r="O929" s="7" t="s">
        <v>4667</v>
      </c>
    </row>
    <row r="930" spans="1:16">
      <c r="A930" s="6" t="s">
        <v>31</v>
      </c>
      <c r="B930" s="7">
        <v>850630</v>
      </c>
      <c r="C930" s="7">
        <v>850812</v>
      </c>
      <c r="D930" s="8"/>
      <c r="E930" s="7" t="s">
        <v>75</v>
      </c>
      <c r="F930" s="7" t="s">
        <v>2095</v>
      </c>
      <c r="G930" s="8"/>
      <c r="H930" s="8"/>
      <c r="I930" s="7" t="s">
        <v>55</v>
      </c>
      <c r="J930" s="8"/>
      <c r="K930" s="8"/>
      <c r="L930" s="7" t="s">
        <v>4668</v>
      </c>
      <c r="M930" s="7" t="s">
        <v>2095</v>
      </c>
      <c r="N930" s="7">
        <v>60</v>
      </c>
      <c r="O930" s="7" t="s">
        <v>4669</v>
      </c>
    </row>
    <row r="931" spans="1:16">
      <c r="A931" s="6" t="s">
        <v>31</v>
      </c>
      <c r="B931" s="7">
        <v>850715</v>
      </c>
      <c r="C931" s="7">
        <v>850876</v>
      </c>
      <c r="D931" s="8"/>
      <c r="E931" s="7" t="s">
        <v>75</v>
      </c>
      <c r="F931" s="7" t="s">
        <v>1280</v>
      </c>
      <c r="G931" s="8"/>
      <c r="H931" s="8"/>
      <c r="I931" s="7" t="s">
        <v>55</v>
      </c>
      <c r="J931" s="8"/>
      <c r="K931" s="8"/>
      <c r="L931" s="7" t="s">
        <v>4670</v>
      </c>
      <c r="M931" s="7" t="s">
        <v>1280</v>
      </c>
      <c r="N931" s="7">
        <v>53</v>
      </c>
      <c r="O931" s="7" t="s">
        <v>4671</v>
      </c>
    </row>
    <row r="932" spans="1:16">
      <c r="A932" s="6" t="s">
        <v>31</v>
      </c>
      <c r="B932" s="7">
        <v>851093</v>
      </c>
      <c r="C932" s="7">
        <v>851836</v>
      </c>
      <c r="D932" s="8"/>
      <c r="E932" s="7" t="s">
        <v>75</v>
      </c>
      <c r="F932" s="7" t="s">
        <v>607</v>
      </c>
      <c r="G932" s="8"/>
      <c r="H932" s="8"/>
      <c r="I932" s="7" t="s">
        <v>55</v>
      </c>
      <c r="J932" s="8"/>
      <c r="K932" s="8"/>
      <c r="L932" s="7" t="s">
        <v>4672</v>
      </c>
      <c r="M932" s="7" t="s">
        <v>607</v>
      </c>
      <c r="N932" s="7">
        <v>247</v>
      </c>
      <c r="O932" s="7" t="s">
        <v>4673</v>
      </c>
    </row>
    <row r="933" spans="1:16">
      <c r="A933" s="6" t="s">
        <v>31</v>
      </c>
      <c r="B933" s="7">
        <v>852088</v>
      </c>
      <c r="C933" s="7">
        <v>852810</v>
      </c>
      <c r="D933" s="8"/>
      <c r="E933" s="7" t="s">
        <v>53</v>
      </c>
      <c r="F933" s="7" t="s">
        <v>4674</v>
      </c>
      <c r="G933" s="8"/>
      <c r="H933" s="8"/>
      <c r="I933" s="7" t="s">
        <v>55</v>
      </c>
      <c r="J933" s="8"/>
      <c r="K933" s="8"/>
      <c r="L933" s="7" t="s">
        <v>4675</v>
      </c>
      <c r="M933" s="7" t="s">
        <v>4674</v>
      </c>
      <c r="N933" s="7">
        <v>240</v>
      </c>
      <c r="O933" s="7" t="s">
        <v>4676</v>
      </c>
      <c r="P933" s="7"/>
    </row>
    <row r="934" spans="1:16">
      <c r="A934" s="6" t="s">
        <v>31</v>
      </c>
      <c r="B934" s="7">
        <v>852987</v>
      </c>
      <c r="C934" s="7">
        <v>853199</v>
      </c>
      <c r="D934" s="8"/>
      <c r="E934" s="7" t="s">
        <v>75</v>
      </c>
      <c r="F934" s="7" t="s">
        <v>2130</v>
      </c>
      <c r="G934" s="8"/>
      <c r="H934" s="8"/>
      <c r="I934" s="7" t="s">
        <v>55</v>
      </c>
      <c r="J934" s="8"/>
      <c r="K934" s="8"/>
      <c r="L934" s="7" t="s">
        <v>4677</v>
      </c>
      <c r="M934" s="7" t="s">
        <v>2130</v>
      </c>
      <c r="N934" s="7">
        <v>70</v>
      </c>
      <c r="O934" s="7" t="s">
        <v>4678</v>
      </c>
    </row>
    <row r="935" spans="1:16">
      <c r="A935" s="6" t="s">
        <v>31</v>
      </c>
      <c r="B935" s="7">
        <v>853238</v>
      </c>
      <c r="C935" s="7">
        <v>853777</v>
      </c>
      <c r="D935" s="8"/>
      <c r="E935" s="7" t="s">
        <v>75</v>
      </c>
      <c r="F935" s="7" t="s">
        <v>4679</v>
      </c>
      <c r="G935" s="8"/>
      <c r="H935" s="8"/>
      <c r="I935" s="7" t="s">
        <v>55</v>
      </c>
      <c r="J935" s="8"/>
      <c r="K935" s="8"/>
      <c r="L935" s="7" t="s">
        <v>4680</v>
      </c>
      <c r="M935" s="7" t="s">
        <v>4679</v>
      </c>
      <c r="N935" s="7">
        <v>179</v>
      </c>
      <c r="O935" s="7" t="s">
        <v>4681</v>
      </c>
    </row>
    <row r="936" spans="1:16">
      <c r="A936" s="6" t="s">
        <v>31</v>
      </c>
      <c r="B936" s="7">
        <v>853911</v>
      </c>
      <c r="C936" s="7">
        <v>854807</v>
      </c>
      <c r="D936" s="8"/>
      <c r="E936" s="7" t="s">
        <v>53</v>
      </c>
      <c r="F936" s="7" t="s">
        <v>4682</v>
      </c>
      <c r="G936" s="8"/>
      <c r="H936" s="8"/>
      <c r="I936" s="7" t="s">
        <v>55</v>
      </c>
      <c r="J936" s="8"/>
      <c r="K936" s="8"/>
      <c r="L936" s="7" t="s">
        <v>4683</v>
      </c>
      <c r="M936" s="7" t="s">
        <v>4682</v>
      </c>
      <c r="N936" s="7">
        <v>298</v>
      </c>
      <c r="O936" s="7" t="s">
        <v>4684</v>
      </c>
    </row>
    <row r="937" spans="1:16">
      <c r="A937" s="6" t="s">
        <v>31</v>
      </c>
      <c r="B937" s="7">
        <v>854919</v>
      </c>
      <c r="C937" s="7">
        <v>855230</v>
      </c>
      <c r="D937" s="8"/>
      <c r="E937" s="7" t="s">
        <v>53</v>
      </c>
      <c r="F937" s="7" t="s">
        <v>4685</v>
      </c>
      <c r="G937" s="8"/>
      <c r="H937" s="8"/>
      <c r="I937" s="7" t="s">
        <v>55</v>
      </c>
      <c r="J937" s="8"/>
      <c r="K937" s="8"/>
      <c r="L937" s="7" t="s">
        <v>4686</v>
      </c>
      <c r="M937" s="7" t="s">
        <v>4685</v>
      </c>
      <c r="N937" s="7">
        <v>103</v>
      </c>
      <c r="O937" s="7" t="s">
        <v>4687</v>
      </c>
      <c r="P937" s="7"/>
    </row>
    <row r="938" spans="1:16">
      <c r="A938" s="6" t="s">
        <v>31</v>
      </c>
      <c r="B938" s="7">
        <v>855231</v>
      </c>
      <c r="C938" s="7">
        <v>856013</v>
      </c>
      <c r="D938" s="8"/>
      <c r="E938" s="7" t="s">
        <v>53</v>
      </c>
      <c r="F938" s="7" t="s">
        <v>4688</v>
      </c>
      <c r="G938" s="8"/>
      <c r="H938" s="8"/>
      <c r="I938" s="7" t="s">
        <v>55</v>
      </c>
      <c r="J938" s="8"/>
      <c r="K938" s="8"/>
      <c r="L938" s="7" t="s">
        <v>4689</v>
      </c>
      <c r="M938" s="7" t="s">
        <v>4688</v>
      </c>
      <c r="N938" s="7">
        <v>260</v>
      </c>
      <c r="O938" s="7" t="s">
        <v>4690</v>
      </c>
      <c r="P938" s="7"/>
    </row>
    <row r="939" spans="1:16">
      <c r="A939" s="6" t="s">
        <v>31</v>
      </c>
      <c r="B939" s="7">
        <v>856110</v>
      </c>
      <c r="C939" s="7">
        <v>857132</v>
      </c>
      <c r="D939" s="8"/>
      <c r="E939" s="7" t="s">
        <v>53</v>
      </c>
      <c r="F939" s="7" t="s">
        <v>4691</v>
      </c>
      <c r="G939" s="7" t="s">
        <v>4692</v>
      </c>
      <c r="H939" s="8"/>
      <c r="I939" s="7" t="s">
        <v>55</v>
      </c>
      <c r="J939" s="8"/>
      <c r="K939" s="8"/>
      <c r="L939" s="7" t="s">
        <v>4693</v>
      </c>
      <c r="M939" s="7" t="s">
        <v>4691</v>
      </c>
      <c r="N939" s="7">
        <v>340</v>
      </c>
      <c r="O939" s="7" t="s">
        <v>4694</v>
      </c>
    </row>
    <row r="940" spans="1:16">
      <c r="A940" s="6" t="s">
        <v>31</v>
      </c>
      <c r="B940" s="7">
        <v>857072</v>
      </c>
      <c r="C940" s="7">
        <v>857146</v>
      </c>
      <c r="D940" s="8"/>
      <c r="E940" s="7" t="s">
        <v>53</v>
      </c>
      <c r="F940" s="7" t="s">
        <v>2095</v>
      </c>
      <c r="G940" s="8"/>
      <c r="H940" s="8"/>
      <c r="I940" s="7" t="s">
        <v>55</v>
      </c>
      <c r="J940" s="8"/>
      <c r="K940" s="8"/>
      <c r="L940" s="7" t="s">
        <v>4695</v>
      </c>
      <c r="M940" s="7" t="s">
        <v>2095</v>
      </c>
      <c r="N940" s="7">
        <v>24</v>
      </c>
      <c r="O940" s="7" t="s">
        <v>4696</v>
      </c>
    </row>
    <row r="941" spans="1:16">
      <c r="A941" s="6" t="s">
        <v>31</v>
      </c>
      <c r="B941" s="7">
        <v>857204</v>
      </c>
      <c r="C941" s="7">
        <v>857323</v>
      </c>
      <c r="D941" s="8"/>
      <c r="E941" s="7" t="s">
        <v>53</v>
      </c>
      <c r="F941" s="7" t="s">
        <v>2130</v>
      </c>
      <c r="G941" s="8"/>
      <c r="H941" s="8"/>
      <c r="I941" s="7" t="s">
        <v>55</v>
      </c>
      <c r="J941" s="8"/>
      <c r="K941" s="8"/>
      <c r="L941" s="7" t="s">
        <v>4697</v>
      </c>
      <c r="M941" s="7" t="s">
        <v>2130</v>
      </c>
      <c r="N941" s="7">
        <v>39</v>
      </c>
      <c r="O941" s="7" t="s">
        <v>4698</v>
      </c>
    </row>
    <row r="942" spans="1:16">
      <c r="A942" s="6" t="s">
        <v>31</v>
      </c>
      <c r="B942" s="7">
        <v>857596</v>
      </c>
      <c r="C942" s="7">
        <v>857739</v>
      </c>
      <c r="D942" s="8"/>
      <c r="E942" s="7" t="s">
        <v>53</v>
      </c>
      <c r="F942" s="7" t="s">
        <v>2130</v>
      </c>
      <c r="G942" s="8"/>
      <c r="H942" s="8"/>
      <c r="I942" s="7" t="s">
        <v>55</v>
      </c>
      <c r="J942" s="8"/>
      <c r="K942" s="8"/>
      <c r="L942" s="7" t="s">
        <v>4699</v>
      </c>
      <c r="M942" s="7" t="s">
        <v>2130</v>
      </c>
      <c r="N942" s="7">
        <v>47</v>
      </c>
      <c r="O942" s="7" t="s">
        <v>4700</v>
      </c>
    </row>
    <row r="943" spans="1:16">
      <c r="A943" s="6" t="s">
        <v>31</v>
      </c>
      <c r="B943" s="7">
        <v>857824</v>
      </c>
      <c r="C943" s="7">
        <v>858267</v>
      </c>
      <c r="D943" s="8"/>
      <c r="E943" s="7" t="s">
        <v>53</v>
      </c>
      <c r="F943" s="7" t="s">
        <v>4701</v>
      </c>
      <c r="G943" s="8"/>
      <c r="H943" s="8"/>
      <c r="I943" s="7" t="s">
        <v>55</v>
      </c>
      <c r="J943" s="8"/>
      <c r="K943" s="8"/>
      <c r="L943" s="7" t="s">
        <v>4702</v>
      </c>
      <c r="M943" s="7" t="s">
        <v>4701</v>
      </c>
      <c r="N943" s="7">
        <v>147</v>
      </c>
      <c r="O943" s="7" t="s">
        <v>4703</v>
      </c>
    </row>
    <row r="944" spans="1:16">
      <c r="A944" s="6" t="s">
        <v>31</v>
      </c>
      <c r="B944" s="7">
        <v>858478</v>
      </c>
      <c r="C944" s="7">
        <v>858732</v>
      </c>
      <c r="D944" s="8"/>
      <c r="E944" s="7" t="s">
        <v>53</v>
      </c>
      <c r="F944" s="7" t="s">
        <v>2130</v>
      </c>
      <c r="G944" s="8"/>
      <c r="H944" s="8"/>
      <c r="I944" s="7" t="s">
        <v>55</v>
      </c>
      <c r="J944" s="8"/>
      <c r="K944" s="8"/>
      <c r="L944" s="7" t="s">
        <v>4704</v>
      </c>
      <c r="M944" s="7" t="s">
        <v>2130</v>
      </c>
      <c r="N944" s="7">
        <v>84</v>
      </c>
      <c r="O944" s="7" t="s">
        <v>4705</v>
      </c>
    </row>
    <row r="945" spans="1:16">
      <c r="A945" s="6" t="s">
        <v>31</v>
      </c>
      <c r="B945" s="7">
        <v>858729</v>
      </c>
      <c r="C945" s="7">
        <v>859181</v>
      </c>
      <c r="D945" s="8"/>
      <c r="E945" s="7" t="s">
        <v>53</v>
      </c>
      <c r="F945" s="7" t="s">
        <v>2130</v>
      </c>
      <c r="G945" s="8"/>
      <c r="H945" s="8"/>
      <c r="I945" s="7" t="s">
        <v>55</v>
      </c>
      <c r="J945" s="8"/>
      <c r="K945" s="8"/>
      <c r="L945" s="7" t="s">
        <v>4706</v>
      </c>
      <c r="M945" s="7" t="s">
        <v>2130</v>
      </c>
      <c r="N945" s="7">
        <v>150</v>
      </c>
      <c r="O945" s="7" t="s">
        <v>4707</v>
      </c>
    </row>
    <row r="946" spans="1:16">
      <c r="A946" s="6" t="s">
        <v>31</v>
      </c>
      <c r="B946" s="7">
        <v>859174</v>
      </c>
      <c r="C946" s="7">
        <v>859299</v>
      </c>
      <c r="D946" s="8"/>
      <c r="E946" s="7" t="s">
        <v>53</v>
      </c>
      <c r="F946" s="7" t="s">
        <v>2130</v>
      </c>
      <c r="G946" s="8"/>
      <c r="H946" s="8"/>
      <c r="I946" s="7" t="s">
        <v>55</v>
      </c>
      <c r="J946" s="8"/>
      <c r="K946" s="8"/>
      <c r="L946" s="7" t="s">
        <v>4708</v>
      </c>
      <c r="M946" s="7" t="s">
        <v>2130</v>
      </c>
      <c r="N946" s="7">
        <v>41</v>
      </c>
      <c r="O946" s="7" t="s">
        <v>4709</v>
      </c>
    </row>
    <row r="947" spans="1:16">
      <c r="A947" s="6" t="s">
        <v>31</v>
      </c>
      <c r="B947" s="7">
        <v>859527</v>
      </c>
      <c r="C947" s="7">
        <v>860291</v>
      </c>
      <c r="D947" s="8"/>
      <c r="E947" s="7" t="s">
        <v>53</v>
      </c>
      <c r="F947" s="7" t="s">
        <v>3617</v>
      </c>
      <c r="G947" s="8"/>
      <c r="H947" s="8"/>
      <c r="I947" s="7" t="s">
        <v>55</v>
      </c>
      <c r="J947" s="8"/>
      <c r="K947" s="8"/>
      <c r="L947" s="7" t="s">
        <v>4710</v>
      </c>
      <c r="M947" s="7" t="s">
        <v>3617</v>
      </c>
      <c r="N947" s="7">
        <v>254</v>
      </c>
      <c r="O947" s="7" t="s">
        <v>4711</v>
      </c>
      <c r="P947" s="7"/>
    </row>
    <row r="948" spans="1:16">
      <c r="A948" s="6" t="s">
        <v>31</v>
      </c>
      <c r="B948" s="7">
        <v>860353</v>
      </c>
      <c r="C948" s="7">
        <v>860988</v>
      </c>
      <c r="D948" s="8"/>
      <c r="E948" s="7" t="s">
        <v>75</v>
      </c>
      <c r="F948" s="7" t="s">
        <v>4712</v>
      </c>
      <c r="G948" s="8"/>
      <c r="H948" s="8"/>
      <c r="I948" s="7" t="s">
        <v>55</v>
      </c>
      <c r="J948" s="8"/>
      <c r="K948" s="8"/>
      <c r="L948" s="7" t="s">
        <v>4713</v>
      </c>
      <c r="M948" s="7" t="s">
        <v>4712</v>
      </c>
      <c r="N948" s="7">
        <v>211</v>
      </c>
      <c r="O948" s="7" t="s">
        <v>4714</v>
      </c>
      <c r="P948" s="7"/>
    </row>
    <row r="949" spans="1:16">
      <c r="A949" s="6" t="s">
        <v>31</v>
      </c>
      <c r="B949" s="7">
        <v>861267</v>
      </c>
      <c r="C949" s="7">
        <v>861407</v>
      </c>
      <c r="D949" s="8"/>
      <c r="E949" s="7" t="s">
        <v>53</v>
      </c>
      <c r="F949" s="7" t="s">
        <v>4715</v>
      </c>
      <c r="G949" s="8"/>
      <c r="H949" s="8"/>
      <c r="I949" s="7" t="s">
        <v>55</v>
      </c>
      <c r="J949" s="8"/>
      <c r="K949" s="8"/>
      <c r="L949" s="7" t="s">
        <v>4716</v>
      </c>
      <c r="M949" s="7" t="s">
        <v>4715</v>
      </c>
      <c r="N949" s="7">
        <v>46</v>
      </c>
      <c r="O949" s="7" t="s">
        <v>4717</v>
      </c>
    </row>
    <row r="950" spans="1:16">
      <c r="A950" s="6" t="s">
        <v>31</v>
      </c>
      <c r="B950" s="7">
        <v>861450</v>
      </c>
      <c r="C950" s="7">
        <v>861725</v>
      </c>
      <c r="D950" s="8"/>
      <c r="E950" s="7" t="s">
        <v>53</v>
      </c>
      <c r="F950" s="7" t="s">
        <v>3526</v>
      </c>
      <c r="G950" s="8"/>
      <c r="H950" s="8"/>
      <c r="I950" s="7" t="s">
        <v>55</v>
      </c>
      <c r="J950" s="8"/>
      <c r="K950" s="8"/>
      <c r="L950" s="7" t="s">
        <v>4718</v>
      </c>
      <c r="M950" s="7" t="s">
        <v>3526</v>
      </c>
      <c r="N950" s="7">
        <v>91</v>
      </c>
      <c r="O950" s="7" t="s">
        <v>4719</v>
      </c>
    </row>
    <row r="951" spans="1:16">
      <c r="A951" s="6" t="s">
        <v>31</v>
      </c>
      <c r="B951" s="7">
        <v>861722</v>
      </c>
      <c r="C951" s="7">
        <v>862045</v>
      </c>
      <c r="D951" s="8"/>
      <c r="E951" s="7" t="s">
        <v>75</v>
      </c>
      <c r="F951" s="7" t="s">
        <v>2095</v>
      </c>
      <c r="G951" s="8"/>
      <c r="H951" s="8"/>
      <c r="I951" s="7" t="s">
        <v>55</v>
      </c>
      <c r="J951" s="8"/>
      <c r="K951" s="8"/>
      <c r="L951" s="7" t="s">
        <v>4720</v>
      </c>
      <c r="M951" s="7" t="s">
        <v>2095</v>
      </c>
      <c r="N951" s="7">
        <v>107</v>
      </c>
      <c r="O951" s="7" t="s">
        <v>4721</v>
      </c>
    </row>
    <row r="952" spans="1:16">
      <c r="A952" s="6" t="s">
        <v>31</v>
      </c>
      <c r="B952" s="7">
        <v>862003</v>
      </c>
      <c r="C952" s="7">
        <v>862269</v>
      </c>
      <c r="D952" s="8"/>
      <c r="E952" s="7" t="s">
        <v>75</v>
      </c>
      <c r="F952" s="7" t="s">
        <v>2130</v>
      </c>
      <c r="G952" s="8"/>
      <c r="H952" s="8"/>
      <c r="I952" s="7" t="s">
        <v>55</v>
      </c>
      <c r="J952" s="8"/>
      <c r="K952" s="8"/>
      <c r="L952" s="7" t="s">
        <v>4722</v>
      </c>
      <c r="M952" s="7" t="s">
        <v>2130</v>
      </c>
      <c r="N952" s="7">
        <v>88</v>
      </c>
      <c r="O952" s="7" t="s">
        <v>4723</v>
      </c>
    </row>
    <row r="953" spans="1:16">
      <c r="A953" s="6" t="s">
        <v>31</v>
      </c>
      <c r="B953" s="7">
        <v>862266</v>
      </c>
      <c r="C953" s="7">
        <v>862823</v>
      </c>
      <c r="D953" s="8"/>
      <c r="E953" s="7" t="s">
        <v>75</v>
      </c>
      <c r="F953" s="7" t="s">
        <v>4724</v>
      </c>
      <c r="G953" s="8"/>
      <c r="H953" s="8"/>
      <c r="I953" s="7" t="s">
        <v>55</v>
      </c>
      <c r="J953" s="8"/>
      <c r="K953" s="8"/>
      <c r="L953" s="7" t="s">
        <v>4725</v>
      </c>
      <c r="M953" s="7" t="s">
        <v>4724</v>
      </c>
      <c r="N953" s="7">
        <v>185</v>
      </c>
      <c r="O953" s="7" t="s">
        <v>4726</v>
      </c>
    </row>
    <row r="954" spans="1:16">
      <c r="A954" s="6" t="s">
        <v>31</v>
      </c>
      <c r="B954" s="7">
        <v>862865</v>
      </c>
      <c r="C954" s="7">
        <v>863113</v>
      </c>
      <c r="D954" s="8"/>
      <c r="E954" s="7" t="s">
        <v>75</v>
      </c>
      <c r="F954" s="7" t="s">
        <v>2095</v>
      </c>
      <c r="G954" s="8"/>
      <c r="H954" s="8"/>
      <c r="I954" s="7" t="s">
        <v>55</v>
      </c>
      <c r="J954" s="8"/>
      <c r="K954" s="8"/>
      <c r="L954" s="7" t="s">
        <v>4727</v>
      </c>
      <c r="M954" s="7" t="s">
        <v>2095</v>
      </c>
      <c r="N954" s="7">
        <v>82</v>
      </c>
      <c r="O954" s="7" t="s">
        <v>4728</v>
      </c>
    </row>
    <row r="955" spans="1:16">
      <c r="A955" s="6" t="s">
        <v>31</v>
      </c>
      <c r="B955" s="7">
        <v>863198</v>
      </c>
      <c r="C955" s="7">
        <v>863389</v>
      </c>
      <c r="D955" s="8"/>
      <c r="E955" s="7" t="s">
        <v>75</v>
      </c>
      <c r="F955" s="7" t="s">
        <v>2095</v>
      </c>
      <c r="G955" s="8"/>
      <c r="H955" s="8"/>
      <c r="I955" s="7" t="s">
        <v>55</v>
      </c>
      <c r="J955" s="8"/>
      <c r="K955" s="8"/>
      <c r="L955" s="7" t="s">
        <v>4729</v>
      </c>
      <c r="M955" s="7" t="s">
        <v>2095</v>
      </c>
      <c r="N955" s="7">
        <v>63</v>
      </c>
      <c r="O955" s="7" t="s">
        <v>4730</v>
      </c>
    </row>
    <row r="956" spans="1:16">
      <c r="A956" s="6" t="s">
        <v>31</v>
      </c>
      <c r="B956" s="7">
        <v>863374</v>
      </c>
      <c r="C956" s="7">
        <v>863583</v>
      </c>
      <c r="D956" s="8"/>
      <c r="E956" s="7" t="s">
        <v>53</v>
      </c>
      <c r="F956" s="7" t="s">
        <v>2130</v>
      </c>
      <c r="G956" s="8"/>
      <c r="H956" s="8"/>
      <c r="I956" s="7" t="s">
        <v>55</v>
      </c>
      <c r="J956" s="8"/>
      <c r="K956" s="8"/>
      <c r="L956" s="7" t="s">
        <v>4731</v>
      </c>
      <c r="M956" s="7" t="s">
        <v>2130</v>
      </c>
      <c r="N956" s="7">
        <v>69</v>
      </c>
      <c r="O956" s="7" t="s">
        <v>4732</v>
      </c>
    </row>
    <row r="957" spans="1:16">
      <c r="A957" s="6" t="s">
        <v>31</v>
      </c>
      <c r="B957" s="7">
        <v>863961</v>
      </c>
      <c r="C957" s="7">
        <v>865619</v>
      </c>
      <c r="D957" s="8"/>
      <c r="E957" s="7" t="s">
        <v>75</v>
      </c>
      <c r="F957" s="7" t="s">
        <v>4733</v>
      </c>
      <c r="G957" s="8"/>
      <c r="H957" s="8"/>
      <c r="I957" s="7" t="s">
        <v>55</v>
      </c>
      <c r="J957" s="8"/>
      <c r="K957" s="8"/>
      <c r="L957" s="7" t="s">
        <v>4734</v>
      </c>
      <c r="M957" s="7" t="s">
        <v>4733</v>
      </c>
      <c r="N957" s="7">
        <v>552</v>
      </c>
      <c r="O957" s="7" t="s">
        <v>4735</v>
      </c>
    </row>
    <row r="958" spans="1:16">
      <c r="A958" s="6" t="s">
        <v>31</v>
      </c>
      <c r="B958" s="7">
        <v>865970</v>
      </c>
      <c r="C958" s="7">
        <v>866494</v>
      </c>
      <c r="D958" s="8"/>
      <c r="E958" s="7" t="s">
        <v>53</v>
      </c>
      <c r="F958" s="7" t="s">
        <v>2212</v>
      </c>
      <c r="G958" s="8"/>
      <c r="H958" s="8"/>
      <c r="I958" s="7" t="s">
        <v>55</v>
      </c>
      <c r="J958" s="8"/>
      <c r="K958" s="8"/>
      <c r="L958" s="7" t="s">
        <v>4736</v>
      </c>
      <c r="M958" s="7" t="s">
        <v>2212</v>
      </c>
      <c r="N958" s="7">
        <v>174</v>
      </c>
      <c r="O958" s="7" t="s">
        <v>4737</v>
      </c>
    </row>
    <row r="959" spans="1:16">
      <c r="A959" s="6" t="s">
        <v>31</v>
      </c>
      <c r="B959" s="7">
        <v>866761</v>
      </c>
      <c r="C959" s="7">
        <v>867309</v>
      </c>
      <c r="D959" s="8"/>
      <c r="E959" s="7" t="s">
        <v>53</v>
      </c>
      <c r="F959" s="7" t="s">
        <v>4738</v>
      </c>
      <c r="G959" s="8"/>
      <c r="H959" s="8"/>
      <c r="I959" s="7" t="s">
        <v>55</v>
      </c>
      <c r="J959" s="8"/>
      <c r="K959" s="8"/>
      <c r="L959" s="7" t="s">
        <v>4739</v>
      </c>
      <c r="M959" s="7" t="s">
        <v>4738</v>
      </c>
      <c r="N959" s="7">
        <v>182</v>
      </c>
      <c r="O959" s="7" t="s">
        <v>4740</v>
      </c>
    </row>
    <row r="960" spans="1:16">
      <c r="A960" s="6" t="s">
        <v>31</v>
      </c>
      <c r="B960" s="7">
        <v>867551</v>
      </c>
      <c r="C960" s="7">
        <v>868354</v>
      </c>
      <c r="D960" s="8"/>
      <c r="E960" s="7" t="s">
        <v>53</v>
      </c>
      <c r="F960" s="7" t="s">
        <v>4741</v>
      </c>
      <c r="G960" s="7" t="s">
        <v>4742</v>
      </c>
      <c r="H960" s="8"/>
      <c r="I960" s="7" t="s">
        <v>55</v>
      </c>
      <c r="J960" s="8"/>
      <c r="K960" s="8"/>
      <c r="L960" s="7" t="s">
        <v>4743</v>
      </c>
      <c r="M960" s="7" t="s">
        <v>4741</v>
      </c>
      <c r="N960" s="7">
        <v>267</v>
      </c>
      <c r="O960" s="7" t="s">
        <v>4744</v>
      </c>
      <c r="P960" s="7"/>
    </row>
    <row r="961" spans="1:16">
      <c r="A961" s="6" t="s">
        <v>31</v>
      </c>
      <c r="B961" s="7">
        <v>868373</v>
      </c>
      <c r="C961" s="7">
        <v>869320</v>
      </c>
      <c r="D961" s="8"/>
      <c r="E961" s="7" t="s">
        <v>53</v>
      </c>
      <c r="F961" s="7" t="s">
        <v>4745</v>
      </c>
      <c r="G961" s="7" t="s">
        <v>4746</v>
      </c>
      <c r="H961" s="8"/>
      <c r="I961" s="7" t="s">
        <v>55</v>
      </c>
      <c r="J961" s="8"/>
      <c r="K961" s="8"/>
      <c r="L961" s="7" t="s">
        <v>4747</v>
      </c>
      <c r="M961" s="7" t="s">
        <v>4745</v>
      </c>
      <c r="N961" s="7">
        <v>315</v>
      </c>
      <c r="O961" s="7" t="s">
        <v>4748</v>
      </c>
      <c r="P961" s="7"/>
    </row>
    <row r="962" spans="1:16">
      <c r="A962" s="6" t="s">
        <v>31</v>
      </c>
      <c r="B962" s="7">
        <v>869459</v>
      </c>
      <c r="C962" s="7">
        <v>870082</v>
      </c>
      <c r="D962" s="8"/>
      <c r="E962" s="7" t="s">
        <v>53</v>
      </c>
      <c r="F962" s="7" t="s">
        <v>4749</v>
      </c>
      <c r="G962" s="8"/>
      <c r="H962" s="8"/>
      <c r="I962" s="7" t="s">
        <v>55</v>
      </c>
      <c r="J962" s="8"/>
      <c r="K962" s="8"/>
      <c r="L962" s="7" t="s">
        <v>4750</v>
      </c>
      <c r="M962" s="7" t="s">
        <v>4749</v>
      </c>
      <c r="N962" s="7">
        <v>207</v>
      </c>
      <c r="O962" s="7" t="s">
        <v>4751</v>
      </c>
    </row>
    <row r="963" spans="1:16">
      <c r="A963" s="6" t="s">
        <v>31</v>
      </c>
      <c r="B963" s="7">
        <v>870067</v>
      </c>
      <c r="C963" s="7">
        <v>870462</v>
      </c>
      <c r="D963" s="8"/>
      <c r="E963" s="7" t="s">
        <v>53</v>
      </c>
      <c r="F963" s="7" t="s">
        <v>2130</v>
      </c>
      <c r="G963" s="8"/>
      <c r="H963" s="8"/>
      <c r="I963" s="7" t="s">
        <v>55</v>
      </c>
      <c r="J963" s="8"/>
      <c r="K963" s="8"/>
      <c r="L963" s="7" t="s">
        <v>4752</v>
      </c>
      <c r="M963" s="7" t="s">
        <v>2130</v>
      </c>
      <c r="N963" s="7">
        <v>131</v>
      </c>
      <c r="O963" s="7" t="s">
        <v>4753</v>
      </c>
    </row>
    <row r="964" spans="1:16">
      <c r="A964" s="6" t="s">
        <v>31</v>
      </c>
      <c r="B964" s="7">
        <v>870462</v>
      </c>
      <c r="C964" s="7">
        <v>870791</v>
      </c>
      <c r="D964" s="8"/>
      <c r="E964" s="7" t="s">
        <v>53</v>
      </c>
      <c r="F964" s="7" t="s">
        <v>4754</v>
      </c>
      <c r="G964" s="8"/>
      <c r="H964" s="8"/>
      <c r="I964" s="7" t="s">
        <v>55</v>
      </c>
      <c r="J964" s="8"/>
      <c r="K964" s="8"/>
      <c r="L964" s="7" t="s">
        <v>4755</v>
      </c>
      <c r="M964" s="7" t="s">
        <v>4754</v>
      </c>
      <c r="N964" s="7">
        <v>109</v>
      </c>
      <c r="O964" s="7" t="s">
        <v>4756</v>
      </c>
    </row>
    <row r="965" spans="1:16">
      <c r="A965" s="6" t="s">
        <v>31</v>
      </c>
      <c r="B965" s="7">
        <v>870831</v>
      </c>
      <c r="C965" s="7">
        <v>871004</v>
      </c>
      <c r="D965" s="8"/>
      <c r="E965" s="7" t="s">
        <v>53</v>
      </c>
      <c r="F965" s="7" t="s">
        <v>2095</v>
      </c>
      <c r="G965" s="8"/>
      <c r="H965" s="8"/>
      <c r="I965" s="7" t="s">
        <v>55</v>
      </c>
      <c r="J965" s="8"/>
      <c r="K965" s="8"/>
      <c r="L965" s="7" t="s">
        <v>4757</v>
      </c>
      <c r="M965" s="7" t="s">
        <v>2095</v>
      </c>
      <c r="N965" s="7">
        <v>57</v>
      </c>
      <c r="O965" s="7" t="s">
        <v>4758</v>
      </c>
    </row>
    <row r="966" spans="1:16">
      <c r="A966" s="6" t="s">
        <v>31</v>
      </c>
      <c r="B966" s="7">
        <v>871347</v>
      </c>
      <c r="C966" s="7">
        <v>872078</v>
      </c>
      <c r="D966" s="8"/>
      <c r="E966" s="7" t="s">
        <v>53</v>
      </c>
      <c r="F966" s="7" t="s">
        <v>995</v>
      </c>
      <c r="G966" s="7" t="s">
        <v>4759</v>
      </c>
      <c r="H966" s="8"/>
      <c r="I966" s="7" t="s">
        <v>55</v>
      </c>
      <c r="J966" s="8"/>
      <c r="K966" s="8"/>
      <c r="L966" s="7" t="s">
        <v>4760</v>
      </c>
      <c r="M966" s="7" t="s">
        <v>995</v>
      </c>
      <c r="N966" s="7">
        <v>243</v>
      </c>
      <c r="O966" s="7" t="s">
        <v>4761</v>
      </c>
      <c r="P966" s="7"/>
    </row>
    <row r="967" spans="1:16">
      <c r="A967" s="6" t="s">
        <v>31</v>
      </c>
      <c r="B967" s="7">
        <v>872059</v>
      </c>
      <c r="C967" s="7">
        <v>874335</v>
      </c>
      <c r="D967" s="8"/>
      <c r="E967" s="7" t="s">
        <v>53</v>
      </c>
      <c r="F967" s="7" t="s">
        <v>4762</v>
      </c>
      <c r="G967" s="7" t="s">
        <v>4759</v>
      </c>
      <c r="H967" s="8"/>
      <c r="I967" s="7" t="s">
        <v>55</v>
      </c>
      <c r="J967" s="8"/>
      <c r="K967" s="8"/>
      <c r="L967" s="7" t="s">
        <v>4763</v>
      </c>
      <c r="M967" s="7" t="s">
        <v>4762</v>
      </c>
      <c r="N967" s="7">
        <v>758</v>
      </c>
      <c r="O967" s="7" t="s">
        <v>4764</v>
      </c>
      <c r="P967" s="7"/>
    </row>
    <row r="968" spans="1:16">
      <c r="A968" s="6" t="s">
        <v>31</v>
      </c>
      <c r="B968" s="7">
        <v>874339</v>
      </c>
      <c r="C968" s="7">
        <v>874719</v>
      </c>
      <c r="D968" s="8"/>
      <c r="E968" s="7" t="s">
        <v>53</v>
      </c>
      <c r="F968" s="7" t="s">
        <v>4765</v>
      </c>
      <c r="G968" s="7" t="s">
        <v>4766</v>
      </c>
      <c r="H968" s="8"/>
      <c r="I968" s="7" t="s">
        <v>55</v>
      </c>
      <c r="J968" s="8"/>
      <c r="K968" s="8"/>
      <c r="L968" s="7" t="s">
        <v>4767</v>
      </c>
      <c r="M968" s="7" t="s">
        <v>4765</v>
      </c>
      <c r="N968" s="7">
        <v>126</v>
      </c>
      <c r="O968" s="7" t="s">
        <v>4768</v>
      </c>
    </row>
    <row r="969" spans="1:16">
      <c r="A969" s="6" t="s">
        <v>31</v>
      </c>
      <c r="B969" s="7">
        <v>874719</v>
      </c>
      <c r="C969" s="7">
        <v>875381</v>
      </c>
      <c r="D969" s="8"/>
      <c r="E969" s="7" t="s">
        <v>53</v>
      </c>
      <c r="F969" s="7" t="s">
        <v>4769</v>
      </c>
      <c r="G969" s="7" t="s">
        <v>4766</v>
      </c>
      <c r="H969" s="8"/>
      <c r="I969" s="7" t="s">
        <v>55</v>
      </c>
      <c r="J969" s="8"/>
      <c r="K969" s="8"/>
      <c r="L969" s="7" t="s">
        <v>4770</v>
      </c>
      <c r="M969" s="7" t="s">
        <v>4769</v>
      </c>
      <c r="N969" s="7">
        <v>220</v>
      </c>
      <c r="O969" s="7" t="s">
        <v>4771</v>
      </c>
      <c r="P969" s="7"/>
    </row>
    <row r="970" spans="1:16">
      <c r="A970" s="6" t="s">
        <v>31</v>
      </c>
      <c r="B970" s="7">
        <v>875383</v>
      </c>
      <c r="C970" s="7">
        <v>876282</v>
      </c>
      <c r="D970" s="8"/>
      <c r="E970" s="7" t="s">
        <v>53</v>
      </c>
      <c r="F970" s="7" t="s">
        <v>4772</v>
      </c>
      <c r="G970" s="7" t="s">
        <v>4766</v>
      </c>
      <c r="H970" s="8"/>
      <c r="I970" s="7" t="s">
        <v>55</v>
      </c>
      <c r="J970" s="8"/>
      <c r="K970" s="8"/>
      <c r="L970" s="7" t="s">
        <v>4773</v>
      </c>
      <c r="M970" s="7" t="s">
        <v>4772</v>
      </c>
      <c r="N970" s="7">
        <v>299</v>
      </c>
      <c r="O970" s="7" t="s">
        <v>4774</v>
      </c>
    </row>
    <row r="971" spans="1:16">
      <c r="A971" s="6" t="s">
        <v>31</v>
      </c>
      <c r="B971" s="7">
        <v>876285</v>
      </c>
      <c r="C971" s="7">
        <v>877358</v>
      </c>
      <c r="D971" s="8"/>
      <c r="E971" s="7" t="s">
        <v>53</v>
      </c>
      <c r="F971" s="7" t="s">
        <v>4775</v>
      </c>
      <c r="G971" s="7" t="s">
        <v>4766</v>
      </c>
      <c r="H971" s="8"/>
      <c r="I971" s="7" t="s">
        <v>55</v>
      </c>
      <c r="J971" s="8"/>
      <c r="K971" s="8"/>
      <c r="L971" s="7" t="s">
        <v>4776</v>
      </c>
      <c r="M971" s="7" t="s">
        <v>4775</v>
      </c>
      <c r="N971" s="7">
        <v>357</v>
      </c>
      <c r="O971" s="7" t="s">
        <v>4777</v>
      </c>
    </row>
    <row r="972" spans="1:16">
      <c r="A972" s="6" t="s">
        <v>31</v>
      </c>
      <c r="B972" s="7">
        <v>877355</v>
      </c>
      <c r="C972" s="7">
        <v>877630</v>
      </c>
      <c r="D972" s="8"/>
      <c r="E972" s="7" t="s">
        <v>53</v>
      </c>
      <c r="F972" s="7" t="s">
        <v>2095</v>
      </c>
      <c r="G972" s="8"/>
      <c r="H972" s="8"/>
      <c r="I972" s="7" t="s">
        <v>55</v>
      </c>
      <c r="J972" s="8"/>
      <c r="K972" s="8"/>
      <c r="L972" s="7" t="s">
        <v>4778</v>
      </c>
      <c r="M972" s="7" t="s">
        <v>2095</v>
      </c>
      <c r="N972" s="7">
        <v>91</v>
      </c>
      <c r="O972" s="7" t="s">
        <v>4779</v>
      </c>
    </row>
    <row r="973" spans="1:16">
      <c r="A973" s="6" t="s">
        <v>31</v>
      </c>
      <c r="B973" s="7">
        <v>877661</v>
      </c>
      <c r="C973" s="7">
        <v>878689</v>
      </c>
      <c r="D973" s="8"/>
      <c r="E973" s="7" t="s">
        <v>53</v>
      </c>
      <c r="F973" s="7" t="s">
        <v>2130</v>
      </c>
      <c r="G973" s="8"/>
      <c r="H973" s="8"/>
      <c r="I973" s="7" t="s">
        <v>55</v>
      </c>
      <c r="J973" s="8"/>
      <c r="K973" s="8"/>
      <c r="L973" s="7" t="s">
        <v>4780</v>
      </c>
      <c r="M973" s="7" t="s">
        <v>2130</v>
      </c>
      <c r="N973" s="7">
        <v>342</v>
      </c>
      <c r="O973" s="7" t="s">
        <v>4781</v>
      </c>
    </row>
    <row r="974" spans="1:16">
      <c r="A974" s="6" t="s">
        <v>31</v>
      </c>
      <c r="B974" s="7">
        <v>878889</v>
      </c>
      <c r="C974" s="7">
        <v>879584</v>
      </c>
      <c r="D974" s="8"/>
      <c r="E974" s="7" t="s">
        <v>53</v>
      </c>
      <c r="F974" s="7" t="s">
        <v>4782</v>
      </c>
      <c r="G974" s="7" t="s">
        <v>1003</v>
      </c>
      <c r="H974" s="8"/>
      <c r="I974" s="7" t="s">
        <v>55</v>
      </c>
      <c r="J974" s="8"/>
      <c r="K974" s="8"/>
      <c r="L974" s="7" t="s">
        <v>4783</v>
      </c>
      <c r="M974" s="7" t="s">
        <v>4782</v>
      </c>
      <c r="N974" s="7">
        <v>231</v>
      </c>
      <c r="O974" s="7" t="s">
        <v>4784</v>
      </c>
      <c r="P974" s="7"/>
    </row>
    <row r="975" spans="1:16">
      <c r="A975" s="6" t="s">
        <v>31</v>
      </c>
      <c r="B975" s="7">
        <v>879673</v>
      </c>
      <c r="C975" s="7">
        <v>880302</v>
      </c>
      <c r="D975" s="8"/>
      <c r="E975" s="7" t="s">
        <v>53</v>
      </c>
      <c r="F975" s="7" t="s">
        <v>1005</v>
      </c>
      <c r="G975" s="7" t="s">
        <v>1006</v>
      </c>
      <c r="H975" s="8"/>
      <c r="I975" s="7" t="s">
        <v>55</v>
      </c>
      <c r="J975" s="8"/>
      <c r="K975" s="8"/>
      <c r="L975" s="7" t="s">
        <v>4785</v>
      </c>
      <c r="M975" s="7" t="s">
        <v>1005</v>
      </c>
      <c r="N975" s="7">
        <v>209</v>
      </c>
      <c r="O975" s="7" t="s">
        <v>4786</v>
      </c>
      <c r="P975" s="7"/>
    </row>
    <row r="976" spans="1:16">
      <c r="A976" s="6" t="s">
        <v>31</v>
      </c>
      <c r="B976" s="7">
        <v>880543</v>
      </c>
      <c r="C976" s="7">
        <v>880950</v>
      </c>
      <c r="D976" s="8"/>
      <c r="E976" s="7" t="s">
        <v>53</v>
      </c>
      <c r="F976" s="7" t="s">
        <v>2095</v>
      </c>
      <c r="G976" s="8"/>
      <c r="H976" s="8"/>
      <c r="I976" s="7" t="s">
        <v>55</v>
      </c>
      <c r="J976" s="8"/>
      <c r="K976" s="8"/>
      <c r="L976" s="7" t="s">
        <v>4787</v>
      </c>
      <c r="M976" s="7" t="s">
        <v>2095</v>
      </c>
      <c r="N976" s="7">
        <v>135</v>
      </c>
      <c r="O976" s="7" t="s">
        <v>4788</v>
      </c>
    </row>
    <row r="977" spans="1:16">
      <c r="A977" s="6" t="s">
        <v>31</v>
      </c>
      <c r="B977" s="7">
        <v>881001</v>
      </c>
      <c r="C977" s="7">
        <v>882452</v>
      </c>
      <c r="D977" s="8"/>
      <c r="E977" s="7" t="s">
        <v>75</v>
      </c>
      <c r="F977" s="7" t="s">
        <v>4789</v>
      </c>
      <c r="G977" s="7" t="s">
        <v>4790</v>
      </c>
      <c r="H977" s="8"/>
      <c r="I977" s="7" t="s">
        <v>55</v>
      </c>
      <c r="J977" s="8"/>
      <c r="K977" s="8"/>
      <c r="L977" s="7" t="s">
        <v>4791</v>
      </c>
      <c r="M977" s="7" t="s">
        <v>4789</v>
      </c>
      <c r="N977" s="7">
        <v>483</v>
      </c>
      <c r="O977" s="7" t="s">
        <v>4792</v>
      </c>
    </row>
    <row r="978" spans="1:16">
      <c r="A978" s="6" t="s">
        <v>31</v>
      </c>
      <c r="B978" s="7">
        <v>882878</v>
      </c>
      <c r="C978" s="7">
        <v>883831</v>
      </c>
      <c r="D978" s="8"/>
      <c r="E978" s="7" t="s">
        <v>53</v>
      </c>
      <c r="F978" s="7" t="s">
        <v>1280</v>
      </c>
      <c r="G978" s="7" t="s">
        <v>2108</v>
      </c>
      <c r="H978" s="8"/>
      <c r="I978" s="7" t="s">
        <v>55</v>
      </c>
      <c r="J978" s="8"/>
      <c r="K978" s="8"/>
      <c r="L978" s="7" t="s">
        <v>4793</v>
      </c>
      <c r="M978" s="7" t="s">
        <v>1280</v>
      </c>
      <c r="N978" s="7">
        <v>317</v>
      </c>
      <c r="O978" s="7" t="s">
        <v>4794</v>
      </c>
    </row>
    <row r="979" spans="1:16">
      <c r="A979" s="6" t="s">
        <v>31</v>
      </c>
      <c r="B979" s="7">
        <v>884075</v>
      </c>
      <c r="C979" s="7">
        <v>884719</v>
      </c>
      <c r="D979" s="8"/>
      <c r="E979" s="7" t="s">
        <v>53</v>
      </c>
      <c r="F979" s="7" t="s">
        <v>4795</v>
      </c>
      <c r="G979" s="8"/>
      <c r="H979" s="8"/>
      <c r="I979" s="7" t="s">
        <v>55</v>
      </c>
      <c r="J979" s="8"/>
      <c r="K979" s="8"/>
      <c r="L979" s="7" t="s">
        <v>4796</v>
      </c>
      <c r="M979" s="7" t="s">
        <v>4795</v>
      </c>
      <c r="N979" s="7">
        <v>214</v>
      </c>
      <c r="O979" s="7" t="s">
        <v>4797</v>
      </c>
      <c r="P979" s="7"/>
    </row>
    <row r="980" spans="1:16">
      <c r="A980" s="6" t="s">
        <v>31</v>
      </c>
      <c r="B980" s="7">
        <v>885760</v>
      </c>
      <c r="C980" s="7">
        <v>886173</v>
      </c>
      <c r="D980" s="8"/>
      <c r="E980" s="7" t="s">
        <v>53</v>
      </c>
      <c r="F980" s="7" t="s">
        <v>4798</v>
      </c>
      <c r="G980" s="8"/>
      <c r="H980" s="8"/>
      <c r="I980" s="7" t="s">
        <v>55</v>
      </c>
      <c r="J980" s="8"/>
      <c r="K980" s="8"/>
      <c r="L980" s="7" t="s">
        <v>4799</v>
      </c>
      <c r="M980" s="7" t="s">
        <v>4798</v>
      </c>
      <c r="N980" s="7">
        <v>137</v>
      </c>
      <c r="O980" s="7" t="s">
        <v>4800</v>
      </c>
    </row>
    <row r="981" spans="1:16">
      <c r="A981" s="6" t="s">
        <v>31</v>
      </c>
      <c r="B981" s="7">
        <v>886170</v>
      </c>
      <c r="C981" s="7">
        <v>886331</v>
      </c>
      <c r="D981" s="8"/>
      <c r="E981" s="7" t="s">
        <v>53</v>
      </c>
      <c r="F981" s="7" t="s">
        <v>4801</v>
      </c>
      <c r="G981" s="8"/>
      <c r="H981" s="8"/>
      <c r="I981" s="7" t="s">
        <v>55</v>
      </c>
      <c r="J981" s="8"/>
      <c r="K981" s="8"/>
      <c r="L981" s="7" t="s">
        <v>4802</v>
      </c>
      <c r="M981" s="7" t="s">
        <v>4801</v>
      </c>
      <c r="N981" s="7">
        <v>53</v>
      </c>
      <c r="O981" s="7" t="s">
        <v>4803</v>
      </c>
    </row>
    <row r="982" spans="1:16">
      <c r="A982" s="6" t="s">
        <v>31</v>
      </c>
      <c r="B982" s="7">
        <v>886464</v>
      </c>
      <c r="C982" s="7">
        <v>886694</v>
      </c>
      <c r="D982" s="8"/>
      <c r="E982" s="7" t="s">
        <v>53</v>
      </c>
      <c r="F982" s="7" t="s">
        <v>4804</v>
      </c>
      <c r="G982" s="8"/>
      <c r="H982" s="8"/>
      <c r="I982" s="7" t="s">
        <v>55</v>
      </c>
      <c r="J982" s="8"/>
      <c r="K982" s="8"/>
      <c r="L982" s="7" t="s">
        <v>4805</v>
      </c>
      <c r="M982" s="7" t="s">
        <v>4804</v>
      </c>
      <c r="N982" s="7">
        <v>76</v>
      </c>
      <c r="O982" s="7" t="s">
        <v>4806</v>
      </c>
    </row>
    <row r="983" spans="1:16">
      <c r="A983" s="6" t="s">
        <v>31</v>
      </c>
      <c r="B983" s="7">
        <v>886768</v>
      </c>
      <c r="C983" s="7">
        <v>888234</v>
      </c>
      <c r="D983" s="8"/>
      <c r="E983" s="7" t="s">
        <v>53</v>
      </c>
      <c r="F983" s="7" t="s">
        <v>2462</v>
      </c>
      <c r="G983" s="8"/>
      <c r="H983" s="8"/>
      <c r="I983" s="7" t="s">
        <v>55</v>
      </c>
      <c r="J983" s="8"/>
      <c r="K983" s="8"/>
      <c r="L983" s="7" t="s">
        <v>4807</v>
      </c>
      <c r="M983" s="7" t="s">
        <v>2462</v>
      </c>
      <c r="N983" s="7">
        <v>488</v>
      </c>
      <c r="O983" s="7" t="s">
        <v>4808</v>
      </c>
      <c r="P983" s="7"/>
    </row>
    <row r="984" spans="1:16">
      <c r="A984" s="6" t="s">
        <v>31</v>
      </c>
      <c r="B984" s="7">
        <v>888245</v>
      </c>
      <c r="C984" s="7">
        <v>888532</v>
      </c>
      <c r="D984" s="8"/>
      <c r="E984" s="7" t="s">
        <v>53</v>
      </c>
      <c r="F984" s="7" t="s">
        <v>2130</v>
      </c>
      <c r="G984" s="8"/>
      <c r="H984" s="8"/>
      <c r="I984" s="7" t="s">
        <v>55</v>
      </c>
      <c r="J984" s="8"/>
      <c r="K984" s="8"/>
      <c r="L984" s="7" t="s">
        <v>4809</v>
      </c>
      <c r="M984" s="7" t="s">
        <v>2130</v>
      </c>
      <c r="N984" s="7">
        <v>95</v>
      </c>
      <c r="O984" s="7" t="s">
        <v>4810</v>
      </c>
    </row>
    <row r="985" spans="1:16">
      <c r="A985" s="6" t="s">
        <v>31</v>
      </c>
      <c r="B985" s="7">
        <v>888742</v>
      </c>
      <c r="C985" s="7">
        <v>889350</v>
      </c>
      <c r="D985" s="8"/>
      <c r="E985" s="7" t="s">
        <v>75</v>
      </c>
      <c r="F985" s="7" t="s">
        <v>4811</v>
      </c>
      <c r="G985" s="8"/>
      <c r="H985" s="8"/>
      <c r="I985" s="7" t="s">
        <v>55</v>
      </c>
      <c r="J985" s="8"/>
      <c r="K985" s="8"/>
      <c r="L985" s="7" t="s">
        <v>4812</v>
      </c>
      <c r="M985" s="7" t="s">
        <v>4811</v>
      </c>
      <c r="N985" s="7">
        <v>202</v>
      </c>
      <c r="O985" s="7" t="s">
        <v>4813</v>
      </c>
    </row>
    <row r="986" spans="1:16">
      <c r="A986" s="6" t="s">
        <v>31</v>
      </c>
      <c r="B986" s="7">
        <v>889575</v>
      </c>
      <c r="C986" s="7">
        <v>889709</v>
      </c>
      <c r="D986" s="8"/>
      <c r="E986" s="7" t="s">
        <v>75</v>
      </c>
      <c r="F986" s="7" t="s">
        <v>4814</v>
      </c>
      <c r="G986" s="8"/>
      <c r="H986" s="8"/>
      <c r="I986" s="7" t="s">
        <v>55</v>
      </c>
      <c r="J986" s="8"/>
      <c r="K986" s="8"/>
      <c r="L986" s="7" t="s">
        <v>4815</v>
      </c>
      <c r="M986" s="7" t="s">
        <v>4814</v>
      </c>
      <c r="N986" s="7">
        <v>44</v>
      </c>
      <c r="O986" s="7" t="s">
        <v>4816</v>
      </c>
    </row>
    <row r="987" spans="1:16">
      <c r="A987" s="6" t="s">
        <v>31</v>
      </c>
      <c r="B987" s="7">
        <v>889825</v>
      </c>
      <c r="C987" s="7">
        <v>891195</v>
      </c>
      <c r="D987" s="8"/>
      <c r="E987" s="7" t="s">
        <v>75</v>
      </c>
      <c r="F987" s="7" t="s">
        <v>4817</v>
      </c>
      <c r="G987" s="7" t="s">
        <v>1009</v>
      </c>
      <c r="H987" s="8"/>
      <c r="I987" s="7" t="s">
        <v>55</v>
      </c>
      <c r="J987" s="8"/>
      <c r="K987" s="8"/>
      <c r="L987" s="7" t="s">
        <v>4818</v>
      </c>
      <c r="M987" s="7" t="s">
        <v>4817</v>
      </c>
      <c r="N987" s="7">
        <v>456</v>
      </c>
      <c r="O987" s="7" t="s">
        <v>4819</v>
      </c>
      <c r="P987" s="7"/>
    </row>
    <row r="988" spans="1:16">
      <c r="A988" s="6" t="s">
        <v>31</v>
      </c>
      <c r="B988" s="7">
        <v>891324</v>
      </c>
      <c r="C988" s="7">
        <v>892667</v>
      </c>
      <c r="D988" s="8"/>
      <c r="E988" s="7" t="s">
        <v>75</v>
      </c>
      <c r="F988" s="7" t="s">
        <v>4820</v>
      </c>
      <c r="G988" s="8"/>
      <c r="H988" s="8"/>
      <c r="I988" s="7" t="s">
        <v>55</v>
      </c>
      <c r="J988" s="8"/>
      <c r="K988" s="8"/>
      <c r="L988" s="7" t="s">
        <v>4821</v>
      </c>
      <c r="M988" s="7" t="s">
        <v>4820</v>
      </c>
      <c r="N988" s="7">
        <v>447</v>
      </c>
      <c r="O988" s="7" t="s">
        <v>4822</v>
      </c>
    </row>
    <row r="989" spans="1:16">
      <c r="A989" s="6" t="s">
        <v>31</v>
      </c>
      <c r="B989" s="7">
        <v>893183</v>
      </c>
      <c r="C989" s="7">
        <v>895492</v>
      </c>
      <c r="D989" s="8"/>
      <c r="E989" s="7" t="s">
        <v>53</v>
      </c>
      <c r="F989" s="7" t="s">
        <v>4823</v>
      </c>
      <c r="G989" s="7" t="s">
        <v>1012</v>
      </c>
      <c r="H989" s="8"/>
      <c r="I989" s="7" t="s">
        <v>55</v>
      </c>
      <c r="J989" s="8"/>
      <c r="K989" s="8"/>
      <c r="L989" s="7" t="s">
        <v>4824</v>
      </c>
      <c r="M989" s="7" t="s">
        <v>4823</v>
      </c>
      <c r="N989" s="7">
        <v>769</v>
      </c>
      <c r="O989" s="7" t="s">
        <v>4825</v>
      </c>
      <c r="P989" s="7"/>
    </row>
    <row r="990" spans="1:16">
      <c r="A990" s="6" t="s">
        <v>31</v>
      </c>
      <c r="B990" s="7">
        <v>895613</v>
      </c>
      <c r="C990" s="7">
        <v>896893</v>
      </c>
      <c r="D990" s="8"/>
      <c r="E990" s="7" t="s">
        <v>53</v>
      </c>
      <c r="F990" s="7" t="s">
        <v>4826</v>
      </c>
      <c r="G990" s="7" t="s">
        <v>4827</v>
      </c>
      <c r="H990" s="8"/>
      <c r="I990" s="7" t="s">
        <v>55</v>
      </c>
      <c r="J990" s="8"/>
      <c r="K990" s="8"/>
      <c r="L990" s="7" t="s">
        <v>4828</v>
      </c>
      <c r="M990" s="7" t="s">
        <v>4826</v>
      </c>
      <c r="N990" s="7">
        <v>426</v>
      </c>
      <c r="O990" s="7" t="s">
        <v>4829</v>
      </c>
      <c r="P990" s="7"/>
    </row>
    <row r="991" spans="1:16">
      <c r="A991" s="6" t="s">
        <v>31</v>
      </c>
      <c r="B991" s="7">
        <v>896954</v>
      </c>
      <c r="C991" s="7">
        <v>897295</v>
      </c>
      <c r="D991" s="8"/>
      <c r="E991" s="7" t="s">
        <v>53</v>
      </c>
      <c r="F991" s="7" t="s">
        <v>2130</v>
      </c>
      <c r="G991" s="8"/>
      <c r="H991" s="8"/>
      <c r="I991" s="7" t="s">
        <v>55</v>
      </c>
      <c r="J991" s="8"/>
      <c r="K991" s="8"/>
      <c r="L991" s="7" t="s">
        <v>4830</v>
      </c>
      <c r="M991" s="7" t="s">
        <v>2130</v>
      </c>
      <c r="N991" s="7">
        <v>113</v>
      </c>
      <c r="O991" s="7" t="s">
        <v>4831</v>
      </c>
      <c r="P991" s="7"/>
    </row>
    <row r="992" spans="1:16">
      <c r="A992" s="6" t="s">
        <v>31</v>
      </c>
      <c r="B992" s="7">
        <v>897341</v>
      </c>
      <c r="C992" s="7">
        <v>897709</v>
      </c>
      <c r="D992" s="8"/>
      <c r="E992" s="7" t="s">
        <v>53</v>
      </c>
      <c r="F992" s="7" t="s">
        <v>2130</v>
      </c>
      <c r="G992" s="8"/>
      <c r="H992" s="8"/>
      <c r="I992" s="7" t="s">
        <v>55</v>
      </c>
      <c r="J992" s="8"/>
      <c r="K992" s="8"/>
      <c r="L992" s="7" t="s">
        <v>4832</v>
      </c>
      <c r="M992" s="7" t="s">
        <v>2130</v>
      </c>
      <c r="N992" s="7">
        <v>122</v>
      </c>
      <c r="O992" s="7" t="s">
        <v>4833</v>
      </c>
    </row>
    <row r="993" spans="1:17">
      <c r="A993" s="6" t="s">
        <v>31</v>
      </c>
      <c r="B993" s="7">
        <v>897774</v>
      </c>
      <c r="C993" s="7">
        <v>898268</v>
      </c>
      <c r="D993" s="8"/>
      <c r="E993" s="7" t="s">
        <v>53</v>
      </c>
      <c r="F993" s="7" t="s">
        <v>4834</v>
      </c>
      <c r="G993" s="7" t="s">
        <v>1015</v>
      </c>
      <c r="H993" s="8"/>
      <c r="I993" s="7" t="s">
        <v>55</v>
      </c>
      <c r="J993" s="8"/>
      <c r="K993" s="8"/>
      <c r="L993" s="7" t="s">
        <v>4835</v>
      </c>
      <c r="M993" s="7" t="s">
        <v>4834</v>
      </c>
      <c r="N993" s="7">
        <v>164</v>
      </c>
      <c r="O993" s="7" t="s">
        <v>4836</v>
      </c>
      <c r="P993" s="7"/>
    </row>
    <row r="994" spans="1:17">
      <c r="A994" s="6" t="s">
        <v>31</v>
      </c>
      <c r="B994" s="7">
        <v>898391</v>
      </c>
      <c r="C994" s="7">
        <v>899011</v>
      </c>
      <c r="D994" s="8"/>
      <c r="E994" s="7" t="s">
        <v>53</v>
      </c>
      <c r="F994" s="7" t="s">
        <v>4475</v>
      </c>
      <c r="G994" s="8"/>
      <c r="H994" s="8"/>
      <c r="I994" s="7" t="s">
        <v>55</v>
      </c>
      <c r="J994" s="8"/>
      <c r="K994" s="8"/>
      <c r="L994" s="7" t="s">
        <v>4837</v>
      </c>
      <c r="M994" s="7" t="s">
        <v>4475</v>
      </c>
      <c r="N994" s="7">
        <v>206</v>
      </c>
      <c r="O994" s="7" t="s">
        <v>4838</v>
      </c>
    </row>
    <row r="995" spans="1:17">
      <c r="A995" s="6" t="s">
        <v>31</v>
      </c>
      <c r="B995" s="7">
        <v>899032</v>
      </c>
      <c r="C995" s="7">
        <v>899235</v>
      </c>
      <c r="D995" s="8"/>
      <c r="E995" s="7" t="s">
        <v>53</v>
      </c>
      <c r="F995" s="7" t="s">
        <v>2130</v>
      </c>
      <c r="G995" s="8"/>
      <c r="H995" s="8"/>
      <c r="I995" s="7" t="s">
        <v>55</v>
      </c>
      <c r="J995" s="8"/>
      <c r="K995" s="8"/>
      <c r="L995" s="7" t="s">
        <v>4839</v>
      </c>
      <c r="M995" s="7" t="s">
        <v>2130</v>
      </c>
      <c r="N995" s="7">
        <v>67</v>
      </c>
      <c r="O995" s="7" t="s">
        <v>4840</v>
      </c>
    </row>
    <row r="996" spans="1:17">
      <c r="A996" s="6" t="s">
        <v>31</v>
      </c>
      <c r="B996" s="7">
        <v>899276</v>
      </c>
      <c r="C996" s="7">
        <v>900034</v>
      </c>
      <c r="D996" s="8"/>
      <c r="E996" s="7" t="s">
        <v>53</v>
      </c>
      <c r="F996" s="7" t="s">
        <v>2130</v>
      </c>
      <c r="G996" s="8"/>
      <c r="H996" s="8"/>
      <c r="I996" s="7" t="s">
        <v>55</v>
      </c>
      <c r="J996" s="8"/>
      <c r="K996" s="8"/>
      <c r="L996" s="7" t="s">
        <v>4841</v>
      </c>
      <c r="M996" s="7" t="s">
        <v>2130</v>
      </c>
      <c r="N996" s="7">
        <v>252</v>
      </c>
      <c r="O996" s="7" t="s">
        <v>4842</v>
      </c>
    </row>
    <row r="997" spans="1:17">
      <c r="A997" s="6" t="s">
        <v>31</v>
      </c>
      <c r="B997" s="7">
        <v>900410</v>
      </c>
      <c r="C997" s="7">
        <v>900565</v>
      </c>
      <c r="D997" s="8"/>
      <c r="E997" s="7" t="s">
        <v>53</v>
      </c>
      <c r="F997" s="7" t="s">
        <v>2130</v>
      </c>
      <c r="G997" s="8"/>
      <c r="H997" s="8"/>
      <c r="I997" s="7" t="s">
        <v>55</v>
      </c>
      <c r="J997" s="8"/>
      <c r="K997" s="8"/>
      <c r="L997" s="7" t="s">
        <v>4843</v>
      </c>
      <c r="M997" s="7" t="s">
        <v>2130</v>
      </c>
      <c r="N997" s="7">
        <v>51</v>
      </c>
      <c r="O997" s="7" t="s">
        <v>4844</v>
      </c>
    </row>
    <row r="998" spans="1:17">
      <c r="A998" s="6" t="s">
        <v>31</v>
      </c>
      <c r="B998" s="7">
        <v>900687</v>
      </c>
      <c r="C998" s="7">
        <v>901568</v>
      </c>
      <c r="D998" s="8"/>
      <c r="E998" s="7" t="s">
        <v>53</v>
      </c>
      <c r="F998" s="7" t="s">
        <v>4845</v>
      </c>
      <c r="G998" s="7" t="s">
        <v>1019</v>
      </c>
      <c r="H998" s="8"/>
      <c r="I998" s="7" t="s">
        <v>55</v>
      </c>
      <c r="J998" s="8"/>
      <c r="K998" s="8"/>
      <c r="L998" s="7" t="s">
        <v>4846</v>
      </c>
      <c r="M998" s="7" t="s">
        <v>4845</v>
      </c>
      <c r="N998" s="7">
        <v>293</v>
      </c>
      <c r="O998" s="7" t="s">
        <v>4847</v>
      </c>
      <c r="P998" s="7"/>
    </row>
    <row r="999" spans="1:17">
      <c r="A999" s="6" t="s">
        <v>31</v>
      </c>
      <c r="B999" s="7">
        <v>901565</v>
      </c>
      <c r="C999" s="7">
        <v>902476</v>
      </c>
      <c r="D999" s="8"/>
      <c r="E999" s="7" t="s">
        <v>53</v>
      </c>
      <c r="F999" s="7" t="s">
        <v>4848</v>
      </c>
      <c r="G999" s="8"/>
      <c r="H999" s="8"/>
      <c r="I999" s="7" t="s">
        <v>55</v>
      </c>
      <c r="J999" s="8"/>
      <c r="K999" s="8"/>
      <c r="L999" s="7" t="s">
        <v>4849</v>
      </c>
      <c r="M999" s="7" t="s">
        <v>4848</v>
      </c>
      <c r="N999" s="7">
        <v>303</v>
      </c>
      <c r="O999" s="7" t="s">
        <v>4850</v>
      </c>
      <c r="P999" s="7"/>
      <c r="Q999" s="7"/>
    </row>
    <row r="1000" spans="1:17">
      <c r="A1000" s="6" t="s">
        <v>31</v>
      </c>
      <c r="B1000" s="7">
        <v>902547</v>
      </c>
      <c r="C1000" s="7">
        <v>902960</v>
      </c>
      <c r="D1000" s="8"/>
      <c r="E1000" s="7" t="s">
        <v>53</v>
      </c>
      <c r="F1000" s="7" t="s">
        <v>4851</v>
      </c>
      <c r="G1000" s="7" t="s">
        <v>2235</v>
      </c>
      <c r="H1000" s="8"/>
      <c r="I1000" s="7" t="s">
        <v>55</v>
      </c>
      <c r="J1000" s="8"/>
      <c r="K1000" s="8"/>
      <c r="L1000" s="7" t="s">
        <v>4852</v>
      </c>
      <c r="M1000" s="7" t="s">
        <v>4851</v>
      </c>
      <c r="N1000" s="7">
        <v>137</v>
      </c>
      <c r="O1000" s="7" t="s">
        <v>4853</v>
      </c>
    </row>
    <row r="1001" spans="1:17">
      <c r="A1001" s="6" t="s">
        <v>31</v>
      </c>
      <c r="B1001" s="7">
        <v>902953</v>
      </c>
      <c r="C1001" s="7">
        <v>903234</v>
      </c>
      <c r="D1001" s="8"/>
      <c r="E1001" s="7" t="s">
        <v>53</v>
      </c>
      <c r="F1001" s="7" t="s">
        <v>2130</v>
      </c>
      <c r="G1001" s="8"/>
      <c r="H1001" s="8"/>
      <c r="I1001" s="7" t="s">
        <v>55</v>
      </c>
      <c r="J1001" s="8"/>
      <c r="K1001" s="8"/>
      <c r="L1001" s="7" t="s">
        <v>4854</v>
      </c>
      <c r="M1001" s="7" t="s">
        <v>2130</v>
      </c>
      <c r="N1001" s="7">
        <v>93</v>
      </c>
      <c r="O1001" s="7" t="s">
        <v>4855</v>
      </c>
    </row>
    <row r="1002" spans="1:17">
      <c r="A1002" s="6" t="s">
        <v>31</v>
      </c>
      <c r="B1002" s="7">
        <v>903224</v>
      </c>
      <c r="C1002" s="7">
        <v>903991</v>
      </c>
      <c r="D1002" s="8"/>
      <c r="E1002" s="7" t="s">
        <v>53</v>
      </c>
      <c r="F1002" s="7" t="s">
        <v>4856</v>
      </c>
      <c r="G1002" s="8"/>
      <c r="H1002" s="8"/>
      <c r="I1002" s="7" t="s">
        <v>55</v>
      </c>
      <c r="J1002" s="8"/>
      <c r="K1002" s="8"/>
      <c r="L1002" s="7" t="s">
        <v>4857</v>
      </c>
      <c r="M1002" s="7" t="s">
        <v>4856</v>
      </c>
      <c r="N1002" s="7">
        <v>255</v>
      </c>
      <c r="O1002" s="7" t="s">
        <v>4858</v>
      </c>
      <c r="P1002" s="7"/>
    </row>
    <row r="1003" spans="1:17">
      <c r="A1003" s="6" t="s">
        <v>31</v>
      </c>
      <c r="B1003" s="7">
        <v>904073</v>
      </c>
      <c r="C1003" s="7">
        <v>905383</v>
      </c>
      <c r="D1003" s="8"/>
      <c r="E1003" s="7" t="s">
        <v>53</v>
      </c>
      <c r="F1003" s="7" t="s">
        <v>4859</v>
      </c>
      <c r="G1003" s="8"/>
      <c r="H1003" s="8"/>
      <c r="I1003" s="7" t="s">
        <v>55</v>
      </c>
      <c r="J1003" s="8"/>
      <c r="K1003" s="8"/>
      <c r="L1003" s="7" t="s">
        <v>4860</v>
      </c>
      <c r="M1003" s="7" t="s">
        <v>4859</v>
      </c>
      <c r="N1003" s="7">
        <v>436</v>
      </c>
      <c r="O1003" s="7" t="s">
        <v>4861</v>
      </c>
    </row>
    <row r="1004" spans="1:17">
      <c r="A1004" s="6" t="s">
        <v>31</v>
      </c>
      <c r="B1004" s="7">
        <v>905508</v>
      </c>
      <c r="C1004" s="7">
        <v>906383</v>
      </c>
      <c r="D1004" s="8"/>
      <c r="E1004" s="7" t="s">
        <v>53</v>
      </c>
      <c r="F1004" s="7" t="s">
        <v>4862</v>
      </c>
      <c r="G1004" s="7" t="s">
        <v>4863</v>
      </c>
      <c r="H1004" s="8"/>
      <c r="I1004" s="7" t="s">
        <v>55</v>
      </c>
      <c r="J1004" s="8"/>
      <c r="K1004" s="8"/>
      <c r="L1004" s="7" t="s">
        <v>4864</v>
      </c>
      <c r="M1004" s="7" t="s">
        <v>4862</v>
      </c>
      <c r="N1004" s="7">
        <v>291</v>
      </c>
      <c r="O1004" s="7" t="s">
        <v>4865</v>
      </c>
    </row>
    <row r="1005" spans="1:17">
      <c r="A1005" s="6" t="s">
        <v>31</v>
      </c>
      <c r="B1005" s="7">
        <v>906386</v>
      </c>
      <c r="C1005" s="7">
        <v>907300</v>
      </c>
      <c r="D1005" s="8"/>
      <c r="E1005" s="7" t="s">
        <v>53</v>
      </c>
      <c r="F1005" s="7" t="s">
        <v>4866</v>
      </c>
      <c r="G1005" s="7" t="s">
        <v>1027</v>
      </c>
      <c r="H1005" s="8"/>
      <c r="I1005" s="7" t="s">
        <v>55</v>
      </c>
      <c r="J1005" s="8"/>
      <c r="K1005" s="8"/>
      <c r="L1005" s="7" t="s">
        <v>4867</v>
      </c>
      <c r="M1005" s="7" t="s">
        <v>4866</v>
      </c>
      <c r="N1005" s="7">
        <v>304</v>
      </c>
      <c r="O1005" s="7" t="s">
        <v>4868</v>
      </c>
    </row>
    <row r="1006" spans="1:17">
      <c r="A1006" s="6" t="s">
        <v>31</v>
      </c>
      <c r="B1006" s="7">
        <v>907290</v>
      </c>
      <c r="C1006" s="7">
        <v>908174</v>
      </c>
      <c r="D1006" s="8"/>
      <c r="E1006" s="7" t="s">
        <v>53</v>
      </c>
      <c r="F1006" s="7" t="s">
        <v>4866</v>
      </c>
      <c r="G1006" s="7" t="s">
        <v>1029</v>
      </c>
      <c r="H1006" s="8"/>
      <c r="I1006" s="7" t="s">
        <v>55</v>
      </c>
      <c r="J1006" s="8"/>
      <c r="K1006" s="8"/>
      <c r="L1006" s="7" t="s">
        <v>4869</v>
      </c>
      <c r="M1006" s="7" t="s">
        <v>4866</v>
      </c>
      <c r="N1006" s="7">
        <v>294</v>
      </c>
      <c r="O1006" s="7" t="s">
        <v>4870</v>
      </c>
    </row>
    <row r="1007" spans="1:17">
      <c r="A1007" s="6" t="s">
        <v>31</v>
      </c>
      <c r="B1007" s="7">
        <v>908185</v>
      </c>
      <c r="C1007" s="7">
        <v>908988</v>
      </c>
      <c r="D1007" s="8"/>
      <c r="E1007" s="7" t="s">
        <v>53</v>
      </c>
      <c r="F1007" s="7" t="s">
        <v>4871</v>
      </c>
      <c r="G1007" s="7" t="s">
        <v>4872</v>
      </c>
      <c r="H1007" s="8"/>
      <c r="I1007" s="7" t="s">
        <v>55</v>
      </c>
      <c r="J1007" s="8"/>
      <c r="K1007" s="8"/>
      <c r="L1007" s="7" t="s">
        <v>4873</v>
      </c>
      <c r="M1007" s="7" t="s">
        <v>4871</v>
      </c>
      <c r="N1007" s="7">
        <v>267</v>
      </c>
      <c r="O1007" s="7" t="s">
        <v>4874</v>
      </c>
    </row>
    <row r="1008" spans="1:17">
      <c r="A1008" s="6" t="s">
        <v>31</v>
      </c>
      <c r="B1008" s="7">
        <v>909001</v>
      </c>
      <c r="C1008" s="7">
        <v>909759</v>
      </c>
      <c r="D1008" s="8"/>
      <c r="E1008" s="7" t="s">
        <v>53</v>
      </c>
      <c r="F1008" s="7" t="s">
        <v>4871</v>
      </c>
      <c r="G1008" s="7" t="s">
        <v>4872</v>
      </c>
      <c r="H1008" s="8"/>
      <c r="I1008" s="7" t="s">
        <v>55</v>
      </c>
      <c r="J1008" s="8"/>
      <c r="K1008" s="8"/>
      <c r="L1008" s="7" t="s">
        <v>4875</v>
      </c>
      <c r="M1008" s="7" t="s">
        <v>4871</v>
      </c>
      <c r="N1008" s="7">
        <v>252</v>
      </c>
      <c r="O1008" s="7" t="s">
        <v>4876</v>
      </c>
    </row>
    <row r="1009" spans="1:16">
      <c r="A1009" s="6" t="s">
        <v>31</v>
      </c>
      <c r="B1009" s="7">
        <v>909784</v>
      </c>
      <c r="C1009" s="7">
        <v>910440</v>
      </c>
      <c r="D1009" s="8"/>
      <c r="E1009" s="7" t="s">
        <v>53</v>
      </c>
      <c r="F1009" s="7" t="s">
        <v>4877</v>
      </c>
      <c r="G1009" s="8"/>
      <c r="H1009" s="8"/>
      <c r="I1009" s="7" t="s">
        <v>55</v>
      </c>
      <c r="J1009" s="8"/>
      <c r="K1009" s="8"/>
      <c r="L1009" s="7" t="s">
        <v>4878</v>
      </c>
      <c r="M1009" s="7" t="s">
        <v>4877</v>
      </c>
      <c r="N1009" s="7">
        <v>218</v>
      </c>
      <c r="O1009" s="7" t="s">
        <v>4879</v>
      </c>
    </row>
    <row r="1010" spans="1:16">
      <c r="A1010" s="6" t="s">
        <v>31</v>
      </c>
      <c r="B1010" s="7">
        <v>910574</v>
      </c>
      <c r="C1010" s="7">
        <v>913114</v>
      </c>
      <c r="D1010" s="8"/>
      <c r="E1010" s="7" t="s">
        <v>53</v>
      </c>
      <c r="F1010" s="7" t="s">
        <v>4880</v>
      </c>
      <c r="G1010" s="7" t="s">
        <v>4881</v>
      </c>
      <c r="H1010" s="8"/>
      <c r="I1010" s="7" t="s">
        <v>55</v>
      </c>
      <c r="J1010" s="8"/>
      <c r="K1010" s="8"/>
      <c r="L1010" s="7" t="s">
        <v>4882</v>
      </c>
      <c r="M1010" s="7" t="s">
        <v>4880</v>
      </c>
      <c r="N1010" s="7">
        <v>846</v>
      </c>
      <c r="O1010" s="7" t="s">
        <v>4883</v>
      </c>
      <c r="P1010" s="7"/>
    </row>
    <row r="1011" spans="1:16">
      <c r="A1011" s="6" t="s">
        <v>31</v>
      </c>
      <c r="B1011" s="7">
        <v>913276</v>
      </c>
      <c r="C1011" s="7">
        <v>914346</v>
      </c>
      <c r="D1011" s="8"/>
      <c r="E1011" s="7" t="s">
        <v>75</v>
      </c>
      <c r="F1011" s="7" t="s">
        <v>4884</v>
      </c>
      <c r="G1011" s="7" t="s">
        <v>1035</v>
      </c>
      <c r="H1011" s="8"/>
      <c r="I1011" s="7" t="s">
        <v>55</v>
      </c>
      <c r="J1011" s="8"/>
      <c r="K1011" s="8"/>
      <c r="L1011" s="7" t="s">
        <v>4885</v>
      </c>
      <c r="M1011" s="7" t="s">
        <v>4884</v>
      </c>
      <c r="N1011" s="7">
        <v>356</v>
      </c>
      <c r="O1011" s="7" t="s">
        <v>4886</v>
      </c>
    </row>
    <row r="1012" spans="1:16">
      <c r="A1012" s="6" t="s">
        <v>31</v>
      </c>
      <c r="B1012" s="7">
        <v>914461</v>
      </c>
      <c r="C1012" s="7">
        <v>914574</v>
      </c>
      <c r="D1012" s="8"/>
      <c r="E1012" s="7" t="s">
        <v>53</v>
      </c>
      <c r="F1012" s="7" t="s">
        <v>2130</v>
      </c>
      <c r="G1012" s="8"/>
      <c r="H1012" s="8"/>
      <c r="I1012" s="7" t="s">
        <v>55</v>
      </c>
      <c r="J1012" s="8"/>
      <c r="K1012" s="8"/>
      <c r="L1012" s="7" t="s">
        <v>4887</v>
      </c>
      <c r="M1012" s="7" t="s">
        <v>2130</v>
      </c>
      <c r="N1012" s="7">
        <v>37</v>
      </c>
      <c r="O1012" s="7" t="s">
        <v>4888</v>
      </c>
    </row>
    <row r="1013" spans="1:16">
      <c r="A1013" s="6" t="s">
        <v>31</v>
      </c>
      <c r="B1013" s="7">
        <v>914571</v>
      </c>
      <c r="C1013" s="7">
        <v>915560</v>
      </c>
      <c r="D1013" s="8"/>
      <c r="E1013" s="7" t="s">
        <v>75</v>
      </c>
      <c r="F1013" s="7" t="s">
        <v>4889</v>
      </c>
      <c r="G1013" s="7" t="s">
        <v>4890</v>
      </c>
      <c r="H1013" s="8"/>
      <c r="I1013" s="7" t="s">
        <v>55</v>
      </c>
      <c r="J1013" s="8"/>
      <c r="K1013" s="8"/>
      <c r="L1013" s="7" t="s">
        <v>4891</v>
      </c>
      <c r="M1013" s="7" t="s">
        <v>4889</v>
      </c>
      <c r="N1013" s="7">
        <v>329</v>
      </c>
      <c r="O1013" s="7" t="s">
        <v>4892</v>
      </c>
      <c r="P1013" s="7"/>
    </row>
    <row r="1014" spans="1:16">
      <c r="A1014" s="6" t="s">
        <v>31</v>
      </c>
      <c r="B1014" s="7">
        <v>915743</v>
      </c>
      <c r="C1014" s="7">
        <v>916297</v>
      </c>
      <c r="D1014" s="8"/>
      <c r="E1014" s="7" t="s">
        <v>53</v>
      </c>
      <c r="F1014" s="7" t="s">
        <v>2130</v>
      </c>
      <c r="G1014" s="8"/>
      <c r="H1014" s="8"/>
      <c r="I1014" s="7" t="s">
        <v>55</v>
      </c>
      <c r="J1014" s="8"/>
      <c r="K1014" s="8"/>
      <c r="L1014" s="7" t="s">
        <v>4893</v>
      </c>
      <c r="M1014" s="7" t="s">
        <v>2130</v>
      </c>
      <c r="N1014" s="7">
        <v>184</v>
      </c>
      <c r="O1014" s="7" t="s">
        <v>4894</v>
      </c>
    </row>
    <row r="1015" spans="1:16">
      <c r="A1015" s="6" t="s">
        <v>31</v>
      </c>
      <c r="B1015" s="7">
        <v>916354</v>
      </c>
      <c r="C1015" s="7">
        <v>916794</v>
      </c>
      <c r="D1015" s="8"/>
      <c r="E1015" s="7" t="s">
        <v>53</v>
      </c>
      <c r="F1015" s="7" t="s">
        <v>2130</v>
      </c>
      <c r="G1015" s="8"/>
      <c r="H1015" s="8"/>
      <c r="I1015" s="7" t="s">
        <v>55</v>
      </c>
      <c r="J1015" s="8"/>
      <c r="K1015" s="8"/>
      <c r="L1015" s="7" t="s">
        <v>4895</v>
      </c>
      <c r="M1015" s="7" t="s">
        <v>2130</v>
      </c>
      <c r="N1015" s="7">
        <v>146</v>
      </c>
      <c r="O1015" s="7" t="s">
        <v>4896</v>
      </c>
    </row>
    <row r="1016" spans="1:16">
      <c r="A1016" s="6" t="s">
        <v>31</v>
      </c>
      <c r="B1016" s="7">
        <v>916900</v>
      </c>
      <c r="C1016" s="7">
        <v>919164</v>
      </c>
      <c r="D1016" s="8"/>
      <c r="E1016" s="7" t="s">
        <v>75</v>
      </c>
      <c r="F1016" s="7" t="s">
        <v>4897</v>
      </c>
      <c r="G1016" s="7" t="s">
        <v>4898</v>
      </c>
      <c r="H1016" s="8"/>
      <c r="I1016" s="7" t="s">
        <v>55</v>
      </c>
      <c r="J1016" s="8"/>
      <c r="K1016" s="8"/>
      <c r="L1016" s="7" t="s">
        <v>4899</v>
      </c>
      <c r="M1016" s="7" t="s">
        <v>4897</v>
      </c>
      <c r="N1016" s="7">
        <v>754</v>
      </c>
      <c r="O1016" s="7" t="s">
        <v>4900</v>
      </c>
      <c r="P1016" s="7"/>
    </row>
    <row r="1017" spans="1:16">
      <c r="A1017" s="6" t="s">
        <v>31</v>
      </c>
      <c r="B1017" s="7">
        <v>919166</v>
      </c>
      <c r="C1017" s="7">
        <v>920665</v>
      </c>
      <c r="D1017" s="8"/>
      <c r="E1017" s="7" t="s">
        <v>75</v>
      </c>
      <c r="F1017" s="7" t="s">
        <v>1041</v>
      </c>
      <c r="G1017" s="7" t="s">
        <v>1042</v>
      </c>
      <c r="H1017" s="8"/>
      <c r="I1017" s="7" t="s">
        <v>55</v>
      </c>
      <c r="J1017" s="8"/>
      <c r="K1017" s="8"/>
      <c r="L1017" s="7" t="s">
        <v>4901</v>
      </c>
      <c r="M1017" s="7" t="s">
        <v>1041</v>
      </c>
      <c r="N1017" s="7">
        <v>499</v>
      </c>
      <c r="O1017" s="7" t="s">
        <v>4902</v>
      </c>
      <c r="P1017" s="7"/>
    </row>
    <row r="1018" spans="1:16">
      <c r="A1018" s="6" t="s">
        <v>31</v>
      </c>
      <c r="B1018" s="7">
        <v>920849</v>
      </c>
      <c r="C1018" s="7">
        <v>921853</v>
      </c>
      <c r="D1018" s="8"/>
      <c r="E1018" s="7" t="s">
        <v>75</v>
      </c>
      <c r="F1018" s="7" t="s">
        <v>4903</v>
      </c>
      <c r="G1018" s="8"/>
      <c r="H1018" s="8"/>
      <c r="I1018" s="7" t="s">
        <v>55</v>
      </c>
      <c r="J1018" s="8"/>
      <c r="K1018" s="8"/>
      <c r="L1018" s="7" t="s">
        <v>4904</v>
      </c>
      <c r="M1018" s="7" t="s">
        <v>4903</v>
      </c>
      <c r="N1018" s="7">
        <v>334</v>
      </c>
      <c r="O1018" s="7" t="s">
        <v>4905</v>
      </c>
    </row>
    <row r="1019" spans="1:16">
      <c r="A1019" s="6" t="s">
        <v>31</v>
      </c>
      <c r="B1019" s="7">
        <v>921999</v>
      </c>
      <c r="C1019" s="7">
        <v>922169</v>
      </c>
      <c r="D1019" s="8"/>
      <c r="E1019" s="7" t="s">
        <v>53</v>
      </c>
      <c r="F1019" s="7" t="s">
        <v>4906</v>
      </c>
      <c r="G1019" s="8"/>
      <c r="H1019" s="8"/>
      <c r="I1019" s="7" t="s">
        <v>55</v>
      </c>
      <c r="J1019" s="8"/>
      <c r="K1019" s="8"/>
      <c r="L1019" s="7" t="s">
        <v>4907</v>
      </c>
      <c r="M1019" s="7" t="s">
        <v>4906</v>
      </c>
      <c r="N1019" s="7">
        <v>56</v>
      </c>
      <c r="O1019" s="7" t="s">
        <v>4908</v>
      </c>
    </row>
    <row r="1020" spans="1:16">
      <c r="A1020" s="6" t="s">
        <v>31</v>
      </c>
      <c r="B1020" s="7">
        <v>922200</v>
      </c>
      <c r="C1020" s="7">
        <v>922340</v>
      </c>
      <c r="D1020" s="8"/>
      <c r="E1020" s="7" t="s">
        <v>53</v>
      </c>
      <c r="F1020" s="7" t="s">
        <v>4909</v>
      </c>
      <c r="G1020" s="8"/>
      <c r="H1020" s="8"/>
      <c r="I1020" s="7" t="s">
        <v>55</v>
      </c>
      <c r="J1020" s="8"/>
      <c r="K1020" s="8"/>
      <c r="L1020" s="7" t="s">
        <v>4910</v>
      </c>
      <c r="M1020" s="7" t="s">
        <v>4909</v>
      </c>
      <c r="N1020" s="7">
        <v>46</v>
      </c>
      <c r="O1020" s="7" t="s">
        <v>4911</v>
      </c>
    </row>
    <row r="1021" spans="1:16">
      <c r="A1021" s="6" t="s">
        <v>31</v>
      </c>
      <c r="B1021" s="7">
        <v>922512</v>
      </c>
      <c r="C1021" s="7">
        <v>922898</v>
      </c>
      <c r="D1021" s="8"/>
      <c r="E1021" s="7" t="s">
        <v>53</v>
      </c>
      <c r="F1021" s="7" t="s">
        <v>2095</v>
      </c>
      <c r="G1021" s="8"/>
      <c r="H1021" s="8"/>
      <c r="I1021" s="7" t="s">
        <v>55</v>
      </c>
      <c r="J1021" s="8"/>
      <c r="K1021" s="8"/>
      <c r="L1021" s="7" t="s">
        <v>4912</v>
      </c>
      <c r="M1021" s="7" t="s">
        <v>2095</v>
      </c>
      <c r="N1021" s="7">
        <v>128</v>
      </c>
      <c r="O1021" s="7" t="s">
        <v>4913</v>
      </c>
    </row>
    <row r="1022" spans="1:16">
      <c r="A1022" s="6" t="s">
        <v>31</v>
      </c>
      <c r="B1022" s="7">
        <v>922912</v>
      </c>
      <c r="C1022" s="7">
        <v>923592</v>
      </c>
      <c r="D1022" s="8"/>
      <c r="E1022" s="7" t="s">
        <v>53</v>
      </c>
      <c r="F1022" s="7" t="s">
        <v>4914</v>
      </c>
      <c r="G1022" s="8"/>
      <c r="H1022" s="8"/>
      <c r="I1022" s="7" t="s">
        <v>55</v>
      </c>
      <c r="J1022" s="8"/>
      <c r="K1022" s="8"/>
      <c r="L1022" s="7" t="s">
        <v>4915</v>
      </c>
      <c r="M1022" s="7" t="s">
        <v>4914</v>
      </c>
      <c r="N1022" s="7">
        <v>226</v>
      </c>
      <c r="O1022" s="7" t="s">
        <v>4916</v>
      </c>
    </row>
    <row r="1023" spans="1:16">
      <c r="A1023" s="6" t="s">
        <v>31</v>
      </c>
      <c r="B1023" s="7">
        <v>923714</v>
      </c>
      <c r="C1023" s="7">
        <v>923836</v>
      </c>
      <c r="D1023" s="8"/>
      <c r="E1023" s="7" t="s">
        <v>53</v>
      </c>
      <c r="F1023" s="7" t="s">
        <v>2095</v>
      </c>
      <c r="G1023" s="8"/>
      <c r="H1023" s="8"/>
      <c r="I1023" s="7" t="s">
        <v>55</v>
      </c>
      <c r="J1023" s="8"/>
      <c r="K1023" s="8"/>
      <c r="L1023" s="7" t="s">
        <v>4917</v>
      </c>
      <c r="M1023" s="7" t="s">
        <v>2095</v>
      </c>
      <c r="N1023" s="7">
        <v>40</v>
      </c>
      <c r="O1023" s="7" t="s">
        <v>4918</v>
      </c>
    </row>
    <row r="1024" spans="1:16">
      <c r="A1024" s="6" t="s">
        <v>31</v>
      </c>
      <c r="B1024" s="7">
        <v>924239</v>
      </c>
      <c r="C1024" s="7">
        <v>924427</v>
      </c>
      <c r="D1024" s="8"/>
      <c r="E1024" s="7" t="s">
        <v>75</v>
      </c>
      <c r="F1024" s="7" t="s">
        <v>4919</v>
      </c>
      <c r="G1024" s="7" t="s">
        <v>4920</v>
      </c>
      <c r="H1024" s="8"/>
      <c r="I1024" s="7" t="s">
        <v>55</v>
      </c>
      <c r="J1024" s="8"/>
      <c r="K1024" s="8"/>
      <c r="L1024" s="7" t="s">
        <v>4921</v>
      </c>
      <c r="M1024" s="7" t="s">
        <v>4919</v>
      </c>
      <c r="N1024" s="7">
        <v>62</v>
      </c>
      <c r="O1024" s="7" t="s">
        <v>4922</v>
      </c>
    </row>
    <row r="1025" spans="1:16">
      <c r="A1025" s="6" t="s">
        <v>31</v>
      </c>
      <c r="B1025" s="7">
        <v>924440</v>
      </c>
      <c r="C1025" s="7">
        <v>925147</v>
      </c>
      <c r="D1025" s="8"/>
      <c r="E1025" s="7" t="s">
        <v>75</v>
      </c>
      <c r="F1025" s="7" t="s">
        <v>4923</v>
      </c>
      <c r="G1025" s="7" t="s">
        <v>4924</v>
      </c>
      <c r="H1025" s="8"/>
      <c r="I1025" s="7" t="s">
        <v>55</v>
      </c>
      <c r="J1025" s="8"/>
      <c r="K1025" s="8"/>
      <c r="L1025" s="7" t="s">
        <v>4925</v>
      </c>
      <c r="M1025" s="7" t="s">
        <v>4923</v>
      </c>
      <c r="N1025" s="7">
        <v>235</v>
      </c>
      <c r="O1025" s="7" t="s">
        <v>4926</v>
      </c>
    </row>
    <row r="1026" spans="1:16">
      <c r="A1026" s="6" t="s">
        <v>31</v>
      </c>
      <c r="B1026" s="7">
        <v>925155</v>
      </c>
      <c r="C1026" s="7">
        <v>926840</v>
      </c>
      <c r="D1026" s="8"/>
      <c r="E1026" s="7" t="s">
        <v>75</v>
      </c>
      <c r="F1026" s="7" t="s">
        <v>4927</v>
      </c>
      <c r="G1026" s="8"/>
      <c r="H1026" s="8"/>
      <c r="I1026" s="7" t="s">
        <v>55</v>
      </c>
      <c r="J1026" s="8"/>
      <c r="K1026" s="8"/>
      <c r="L1026" s="7" t="s">
        <v>4928</v>
      </c>
      <c r="M1026" s="7" t="s">
        <v>4927</v>
      </c>
      <c r="N1026" s="7">
        <v>561</v>
      </c>
      <c r="O1026" s="7" t="s">
        <v>4929</v>
      </c>
    </row>
    <row r="1027" spans="1:16">
      <c r="A1027" s="6" t="s">
        <v>31</v>
      </c>
      <c r="B1027" s="7">
        <v>926818</v>
      </c>
      <c r="C1027" s="7">
        <v>928023</v>
      </c>
      <c r="D1027" s="8"/>
      <c r="E1027" s="7" t="s">
        <v>75</v>
      </c>
      <c r="F1027" s="7" t="s">
        <v>4930</v>
      </c>
      <c r="G1027" s="7" t="s">
        <v>1049</v>
      </c>
      <c r="H1027" s="8"/>
      <c r="I1027" s="7" t="s">
        <v>55</v>
      </c>
      <c r="J1027" s="8"/>
      <c r="K1027" s="8"/>
      <c r="L1027" s="7" t="s">
        <v>4931</v>
      </c>
      <c r="M1027" s="7" t="s">
        <v>4930</v>
      </c>
      <c r="N1027" s="7">
        <v>401</v>
      </c>
      <c r="O1027" s="7" t="s">
        <v>4932</v>
      </c>
      <c r="P1027" s="7"/>
    </row>
    <row r="1028" spans="1:16">
      <c r="A1028" s="6" t="s">
        <v>31</v>
      </c>
      <c r="B1028" s="7">
        <v>928029</v>
      </c>
      <c r="C1028" s="7">
        <v>928907</v>
      </c>
      <c r="D1028" s="8"/>
      <c r="E1028" s="7" t="s">
        <v>75</v>
      </c>
      <c r="F1028" s="7" t="s">
        <v>4933</v>
      </c>
      <c r="G1028" s="8"/>
      <c r="H1028" s="8"/>
      <c r="I1028" s="7" t="s">
        <v>55</v>
      </c>
      <c r="J1028" s="8"/>
      <c r="K1028" s="8"/>
      <c r="L1028" s="7" t="s">
        <v>4934</v>
      </c>
      <c r="M1028" s="7" t="s">
        <v>4933</v>
      </c>
      <c r="N1028" s="7">
        <v>292</v>
      </c>
      <c r="O1028" s="7" t="s">
        <v>4935</v>
      </c>
    </row>
    <row r="1029" spans="1:16">
      <c r="A1029" s="6" t="s">
        <v>31</v>
      </c>
      <c r="B1029" s="7">
        <v>929163</v>
      </c>
      <c r="C1029" s="7">
        <v>930209</v>
      </c>
      <c r="D1029" s="8"/>
      <c r="E1029" s="7" t="s">
        <v>75</v>
      </c>
      <c r="F1029" s="7" t="s">
        <v>4936</v>
      </c>
      <c r="G1029" s="8"/>
      <c r="H1029" s="8"/>
      <c r="I1029" s="7" t="s">
        <v>55</v>
      </c>
      <c r="J1029" s="8"/>
      <c r="K1029" s="8"/>
      <c r="L1029" s="7" t="s">
        <v>4937</v>
      </c>
      <c r="M1029" s="7" t="s">
        <v>4936</v>
      </c>
      <c r="N1029" s="7">
        <v>348</v>
      </c>
      <c r="O1029" s="7" t="s">
        <v>4938</v>
      </c>
    </row>
    <row r="1030" spans="1:16">
      <c r="A1030" s="6" t="s">
        <v>31</v>
      </c>
      <c r="B1030" s="7">
        <v>930221</v>
      </c>
      <c r="C1030" s="7">
        <v>930976</v>
      </c>
      <c r="D1030" s="8"/>
      <c r="E1030" s="7" t="s">
        <v>75</v>
      </c>
      <c r="F1030" s="7" t="s">
        <v>4939</v>
      </c>
      <c r="G1030" s="7" t="s">
        <v>4940</v>
      </c>
      <c r="H1030" s="8"/>
      <c r="I1030" s="7" t="s">
        <v>55</v>
      </c>
      <c r="J1030" s="8"/>
      <c r="K1030" s="8"/>
      <c r="L1030" s="7" t="s">
        <v>4941</v>
      </c>
      <c r="M1030" s="7" t="s">
        <v>4939</v>
      </c>
      <c r="N1030" s="7">
        <v>251</v>
      </c>
      <c r="O1030" s="7" t="s">
        <v>4942</v>
      </c>
    </row>
    <row r="1031" spans="1:16">
      <c r="A1031" s="6" t="s">
        <v>31</v>
      </c>
      <c r="B1031" s="7">
        <v>930973</v>
      </c>
      <c r="C1031" s="7">
        <v>931941</v>
      </c>
      <c r="D1031" s="8"/>
      <c r="E1031" s="7" t="s">
        <v>75</v>
      </c>
      <c r="F1031" s="7" t="s">
        <v>4943</v>
      </c>
      <c r="G1031" s="8"/>
      <c r="H1031" s="8"/>
      <c r="I1031" s="7" t="s">
        <v>55</v>
      </c>
      <c r="J1031" s="8"/>
      <c r="K1031" s="8"/>
      <c r="L1031" s="7" t="s">
        <v>4944</v>
      </c>
      <c r="M1031" s="7" t="s">
        <v>4943</v>
      </c>
      <c r="N1031" s="7">
        <v>322</v>
      </c>
      <c r="O1031" s="7" t="s">
        <v>4945</v>
      </c>
    </row>
    <row r="1032" spans="1:16">
      <c r="A1032" s="6" t="s">
        <v>31</v>
      </c>
      <c r="B1032" s="7">
        <v>931938</v>
      </c>
      <c r="C1032" s="7">
        <v>932891</v>
      </c>
      <c r="D1032" s="8"/>
      <c r="E1032" s="7" t="s">
        <v>75</v>
      </c>
      <c r="F1032" s="7" t="s">
        <v>4946</v>
      </c>
      <c r="G1032" s="8"/>
      <c r="H1032" s="8"/>
      <c r="I1032" s="7" t="s">
        <v>55</v>
      </c>
      <c r="J1032" s="8"/>
      <c r="K1032" s="8"/>
      <c r="L1032" s="7" t="s">
        <v>4947</v>
      </c>
      <c r="M1032" s="7" t="s">
        <v>4946</v>
      </c>
      <c r="N1032" s="7">
        <v>317</v>
      </c>
      <c r="O1032" s="7" t="s">
        <v>4948</v>
      </c>
    </row>
    <row r="1033" spans="1:16">
      <c r="A1033" s="6" t="s">
        <v>31</v>
      </c>
      <c r="B1033" s="7">
        <v>933390</v>
      </c>
      <c r="C1033" s="7">
        <v>933659</v>
      </c>
      <c r="D1033" s="8"/>
      <c r="E1033" s="7" t="s">
        <v>75</v>
      </c>
      <c r="F1033" s="7" t="s">
        <v>4949</v>
      </c>
      <c r="G1033" s="8"/>
      <c r="H1033" s="8"/>
      <c r="I1033" s="7" t="s">
        <v>55</v>
      </c>
      <c r="J1033" s="8"/>
      <c r="K1033" s="8"/>
      <c r="L1033" s="7" t="s">
        <v>4950</v>
      </c>
      <c r="M1033" s="7" t="s">
        <v>4949</v>
      </c>
      <c r="N1033" s="7">
        <v>89</v>
      </c>
      <c r="O1033" s="7" t="s">
        <v>4951</v>
      </c>
    </row>
    <row r="1034" spans="1:16">
      <c r="A1034" s="6" t="s">
        <v>31</v>
      </c>
      <c r="B1034" s="7">
        <v>933662</v>
      </c>
      <c r="C1034" s="7">
        <v>934276</v>
      </c>
      <c r="D1034" s="8"/>
      <c r="E1034" s="7" t="s">
        <v>75</v>
      </c>
      <c r="F1034" s="7" t="s">
        <v>2095</v>
      </c>
      <c r="G1034" s="8"/>
      <c r="H1034" s="8"/>
      <c r="I1034" s="7" t="s">
        <v>55</v>
      </c>
      <c r="J1034" s="8"/>
      <c r="K1034" s="8"/>
      <c r="L1034" s="7" t="s">
        <v>4952</v>
      </c>
      <c r="M1034" s="7" t="s">
        <v>2095</v>
      </c>
      <c r="N1034" s="7">
        <v>204</v>
      </c>
      <c r="O1034" s="7" t="s">
        <v>4953</v>
      </c>
    </row>
    <row r="1035" spans="1:16">
      <c r="A1035" s="6" t="s">
        <v>31</v>
      </c>
      <c r="B1035" s="7">
        <v>934340</v>
      </c>
      <c r="C1035" s="7">
        <v>934450</v>
      </c>
      <c r="D1035" s="8"/>
      <c r="E1035" s="7" t="s">
        <v>75</v>
      </c>
      <c r="F1035" s="7" t="s">
        <v>4954</v>
      </c>
      <c r="G1035" s="8"/>
      <c r="H1035" s="8"/>
      <c r="I1035" s="7" t="s">
        <v>55</v>
      </c>
      <c r="J1035" s="8"/>
      <c r="K1035" s="8"/>
      <c r="L1035" s="7" t="s">
        <v>4955</v>
      </c>
      <c r="M1035" s="7" t="s">
        <v>4954</v>
      </c>
      <c r="N1035" s="7">
        <v>36</v>
      </c>
      <c r="O1035" s="7" t="s">
        <v>4956</v>
      </c>
    </row>
    <row r="1036" spans="1:16">
      <c r="A1036" s="6" t="s">
        <v>31</v>
      </c>
      <c r="B1036" s="7">
        <v>934383</v>
      </c>
      <c r="C1036" s="7">
        <v>935450</v>
      </c>
      <c r="D1036" s="8"/>
      <c r="E1036" s="7" t="s">
        <v>75</v>
      </c>
      <c r="F1036" s="7" t="s">
        <v>2095</v>
      </c>
      <c r="G1036" s="8"/>
      <c r="H1036" s="8"/>
      <c r="I1036" s="7" t="s">
        <v>55</v>
      </c>
      <c r="J1036" s="8"/>
      <c r="K1036" s="8"/>
      <c r="L1036" s="7" t="s">
        <v>4957</v>
      </c>
      <c r="M1036" s="7" t="s">
        <v>2095</v>
      </c>
      <c r="N1036" s="7">
        <v>355</v>
      </c>
      <c r="O1036" s="7" t="s">
        <v>4958</v>
      </c>
    </row>
    <row r="1037" spans="1:16">
      <c r="A1037" s="6" t="s">
        <v>31</v>
      </c>
      <c r="B1037" s="7">
        <v>935469</v>
      </c>
      <c r="C1037" s="7">
        <v>935573</v>
      </c>
      <c r="D1037" s="8"/>
      <c r="E1037" s="7" t="s">
        <v>75</v>
      </c>
      <c r="F1037" s="7" t="s">
        <v>4949</v>
      </c>
      <c r="G1037" s="8"/>
      <c r="H1037" s="8"/>
      <c r="I1037" s="7" t="s">
        <v>55</v>
      </c>
      <c r="J1037" s="8"/>
      <c r="K1037" s="8"/>
      <c r="L1037" s="7" t="s">
        <v>4959</v>
      </c>
      <c r="M1037" s="7" t="s">
        <v>4949</v>
      </c>
      <c r="N1037" s="7">
        <v>34</v>
      </c>
      <c r="O1037" s="7" t="s">
        <v>4960</v>
      </c>
    </row>
    <row r="1038" spans="1:16">
      <c r="A1038" s="6" t="s">
        <v>31</v>
      </c>
      <c r="B1038" s="7">
        <v>935861</v>
      </c>
      <c r="C1038" s="7">
        <v>935935</v>
      </c>
      <c r="D1038" s="8"/>
      <c r="E1038" s="7" t="s">
        <v>53</v>
      </c>
      <c r="F1038" s="7" t="s">
        <v>2095</v>
      </c>
      <c r="G1038" s="8"/>
      <c r="H1038" s="8"/>
      <c r="I1038" s="7" t="s">
        <v>55</v>
      </c>
      <c r="J1038" s="8"/>
      <c r="K1038" s="8"/>
      <c r="L1038" s="7" t="s">
        <v>4961</v>
      </c>
      <c r="M1038" s="7" t="s">
        <v>2095</v>
      </c>
      <c r="N1038" s="7">
        <v>24</v>
      </c>
      <c r="O1038" s="7" t="s">
        <v>4962</v>
      </c>
    </row>
    <row r="1039" spans="1:16">
      <c r="A1039" s="6" t="s">
        <v>31</v>
      </c>
      <c r="B1039" s="7">
        <v>935981</v>
      </c>
      <c r="C1039" s="7">
        <v>937069</v>
      </c>
      <c r="D1039" s="8"/>
      <c r="E1039" s="7" t="s">
        <v>53</v>
      </c>
      <c r="F1039" s="7" t="s">
        <v>1280</v>
      </c>
      <c r="G1039" s="7" t="s">
        <v>2998</v>
      </c>
      <c r="H1039" s="8"/>
      <c r="I1039" s="7" t="s">
        <v>55</v>
      </c>
      <c r="J1039" s="8"/>
      <c r="K1039" s="8"/>
      <c r="L1039" s="7" t="s">
        <v>4963</v>
      </c>
      <c r="M1039" s="7" t="s">
        <v>1280</v>
      </c>
      <c r="N1039" s="7">
        <v>362</v>
      </c>
      <c r="O1039" s="7" t="s">
        <v>4964</v>
      </c>
    </row>
    <row r="1040" spans="1:16">
      <c r="A1040" s="6" t="s">
        <v>31</v>
      </c>
      <c r="B1040" s="7">
        <v>937104</v>
      </c>
      <c r="C1040" s="7">
        <v>937385</v>
      </c>
      <c r="D1040" s="8"/>
      <c r="E1040" s="7" t="s">
        <v>75</v>
      </c>
      <c r="F1040" s="7" t="s">
        <v>1145</v>
      </c>
      <c r="G1040" s="8"/>
      <c r="H1040" s="8"/>
      <c r="I1040" s="7" t="s">
        <v>55</v>
      </c>
      <c r="J1040" s="8"/>
      <c r="K1040" s="8"/>
      <c r="L1040" s="7" t="s">
        <v>4965</v>
      </c>
      <c r="M1040" s="7" t="s">
        <v>1145</v>
      </c>
      <c r="N1040" s="7">
        <v>93</v>
      </c>
      <c r="O1040" s="7" t="s">
        <v>4966</v>
      </c>
      <c r="P1040" s="7"/>
    </row>
    <row r="1041" spans="1:17">
      <c r="A1041" s="6" t="s">
        <v>31</v>
      </c>
      <c r="B1041" s="7">
        <v>937453</v>
      </c>
      <c r="C1041" s="7">
        <v>938019</v>
      </c>
      <c r="D1041" s="8"/>
      <c r="E1041" s="7" t="s">
        <v>75</v>
      </c>
      <c r="F1041" s="7" t="s">
        <v>2130</v>
      </c>
      <c r="G1041" s="8"/>
      <c r="H1041" s="8"/>
      <c r="I1041" s="7" t="s">
        <v>55</v>
      </c>
      <c r="J1041" s="8"/>
      <c r="K1041" s="8"/>
      <c r="L1041" s="7" t="s">
        <v>4967</v>
      </c>
      <c r="M1041" s="7" t="s">
        <v>2130</v>
      </c>
      <c r="N1041" s="7">
        <v>188</v>
      </c>
      <c r="O1041" s="7" t="s">
        <v>4968</v>
      </c>
    </row>
    <row r="1042" spans="1:17">
      <c r="A1042" s="6" t="s">
        <v>31</v>
      </c>
      <c r="B1042" s="7">
        <v>938813</v>
      </c>
      <c r="C1042" s="7">
        <v>939721</v>
      </c>
      <c r="D1042" s="8"/>
      <c r="E1042" s="7" t="s">
        <v>75</v>
      </c>
      <c r="F1042" s="7" t="s">
        <v>4969</v>
      </c>
      <c r="G1042" s="7" t="s">
        <v>1059</v>
      </c>
      <c r="H1042" s="8"/>
      <c r="I1042" s="7" t="s">
        <v>55</v>
      </c>
      <c r="J1042" s="8"/>
      <c r="K1042" s="8"/>
      <c r="L1042" s="7" t="s">
        <v>4970</v>
      </c>
      <c r="M1042" s="7" t="s">
        <v>4969</v>
      </c>
      <c r="N1042" s="7">
        <v>302</v>
      </c>
      <c r="O1042" s="7" t="s">
        <v>4971</v>
      </c>
      <c r="P1042" s="7"/>
    </row>
    <row r="1043" spans="1:17">
      <c r="A1043" s="6" t="s">
        <v>31</v>
      </c>
      <c r="B1043" s="7">
        <v>939878</v>
      </c>
      <c r="C1043" s="7">
        <v>939994</v>
      </c>
      <c r="D1043" s="8"/>
      <c r="E1043" s="7" t="s">
        <v>53</v>
      </c>
      <c r="F1043" s="7" t="s">
        <v>2095</v>
      </c>
      <c r="G1043" s="8"/>
      <c r="H1043" s="8"/>
      <c r="I1043" s="7" t="s">
        <v>55</v>
      </c>
      <c r="J1043" s="8"/>
      <c r="K1043" s="8"/>
      <c r="L1043" s="7" t="s">
        <v>4972</v>
      </c>
      <c r="M1043" s="7" t="s">
        <v>2095</v>
      </c>
      <c r="N1043" s="7">
        <v>38</v>
      </c>
      <c r="O1043" s="7" t="s">
        <v>4973</v>
      </c>
    </row>
    <row r="1044" spans="1:17">
      <c r="A1044" s="6" t="s">
        <v>31</v>
      </c>
      <c r="B1044" s="7">
        <v>939975</v>
      </c>
      <c r="C1044" s="7">
        <v>940829</v>
      </c>
      <c r="D1044" s="8"/>
      <c r="E1044" s="7" t="s">
        <v>53</v>
      </c>
      <c r="F1044" s="7" t="s">
        <v>2578</v>
      </c>
      <c r="G1044" s="8"/>
      <c r="H1044" s="8"/>
      <c r="I1044" s="7" t="s">
        <v>55</v>
      </c>
      <c r="J1044" s="8"/>
      <c r="K1044" s="8"/>
      <c r="L1044" s="7" t="s">
        <v>4974</v>
      </c>
      <c r="M1044" s="7" t="s">
        <v>2578</v>
      </c>
      <c r="N1044" s="7">
        <v>284</v>
      </c>
      <c r="O1044" s="7" t="s">
        <v>4975</v>
      </c>
    </row>
    <row r="1045" spans="1:17">
      <c r="A1045" s="6" t="s">
        <v>31</v>
      </c>
      <c r="B1045" s="7">
        <v>940939</v>
      </c>
      <c r="C1045" s="7">
        <v>941148</v>
      </c>
      <c r="D1045" s="8"/>
      <c r="E1045" s="7" t="s">
        <v>53</v>
      </c>
      <c r="F1045" s="7" t="s">
        <v>2130</v>
      </c>
      <c r="G1045" s="8"/>
      <c r="H1045" s="8"/>
      <c r="I1045" s="7" t="s">
        <v>55</v>
      </c>
      <c r="J1045" s="8"/>
      <c r="K1045" s="8"/>
      <c r="L1045" s="7" t="s">
        <v>4976</v>
      </c>
      <c r="M1045" s="7" t="s">
        <v>2130</v>
      </c>
      <c r="N1045" s="7">
        <v>69</v>
      </c>
      <c r="O1045" s="7" t="s">
        <v>4977</v>
      </c>
    </row>
    <row r="1046" spans="1:17">
      <c r="A1046" s="6" t="s">
        <v>31</v>
      </c>
      <c r="B1046" s="7">
        <v>940996</v>
      </c>
      <c r="C1046" s="7">
        <v>942252</v>
      </c>
      <c r="D1046" s="8"/>
      <c r="E1046" s="7" t="s">
        <v>75</v>
      </c>
      <c r="F1046" s="7" t="s">
        <v>1280</v>
      </c>
      <c r="G1046" s="7" t="s">
        <v>2108</v>
      </c>
      <c r="H1046" s="8"/>
      <c r="I1046" s="7" t="s">
        <v>55</v>
      </c>
      <c r="J1046" s="8"/>
      <c r="K1046" s="8"/>
      <c r="L1046" s="7" t="s">
        <v>4978</v>
      </c>
      <c r="M1046" s="7" t="s">
        <v>1280</v>
      </c>
      <c r="N1046" s="7">
        <v>418</v>
      </c>
      <c r="O1046" s="7" t="s">
        <v>4979</v>
      </c>
    </row>
    <row r="1047" spans="1:17">
      <c r="A1047" s="6" t="s">
        <v>31</v>
      </c>
      <c r="B1047" s="7">
        <v>942737</v>
      </c>
      <c r="C1047" s="7">
        <v>943411</v>
      </c>
      <c r="D1047" s="8"/>
      <c r="E1047" s="7" t="s">
        <v>75</v>
      </c>
      <c r="F1047" s="7" t="s">
        <v>2095</v>
      </c>
      <c r="G1047" s="8"/>
      <c r="H1047" s="8"/>
      <c r="I1047" s="7" t="s">
        <v>55</v>
      </c>
      <c r="J1047" s="8"/>
      <c r="K1047" s="8"/>
      <c r="L1047" s="7" t="s">
        <v>4980</v>
      </c>
      <c r="M1047" s="7" t="s">
        <v>2095</v>
      </c>
      <c r="N1047" s="7">
        <v>224</v>
      </c>
      <c r="O1047" s="7" t="s">
        <v>4981</v>
      </c>
    </row>
    <row r="1048" spans="1:17">
      <c r="A1048" s="6" t="s">
        <v>31</v>
      </c>
      <c r="B1048" s="7">
        <v>943191</v>
      </c>
      <c r="C1048" s="7">
        <v>943370</v>
      </c>
      <c r="D1048" s="8"/>
      <c r="E1048" s="7" t="s">
        <v>53</v>
      </c>
      <c r="F1048" s="7" t="s">
        <v>2095</v>
      </c>
      <c r="G1048" s="8"/>
      <c r="H1048" s="8"/>
      <c r="I1048" s="7" t="s">
        <v>55</v>
      </c>
      <c r="J1048" s="8"/>
      <c r="K1048" s="8"/>
      <c r="L1048" s="7" t="s">
        <v>4982</v>
      </c>
      <c r="M1048" s="7" t="s">
        <v>2095</v>
      </c>
      <c r="N1048" s="7">
        <v>59</v>
      </c>
      <c r="O1048" s="7" t="s">
        <v>4983</v>
      </c>
    </row>
    <row r="1049" spans="1:17">
      <c r="A1049" s="6" t="s">
        <v>31</v>
      </c>
      <c r="B1049" s="7">
        <v>943248</v>
      </c>
      <c r="C1049" s="7">
        <v>943517</v>
      </c>
      <c r="D1049" s="8"/>
      <c r="E1049" s="7" t="s">
        <v>75</v>
      </c>
      <c r="F1049" s="7" t="s">
        <v>2130</v>
      </c>
      <c r="G1049" s="8"/>
      <c r="H1049" s="8"/>
      <c r="I1049" s="7" t="s">
        <v>55</v>
      </c>
      <c r="J1049" s="8"/>
      <c r="K1049" s="8"/>
      <c r="L1049" s="7" t="s">
        <v>4984</v>
      </c>
      <c r="M1049" s="7" t="s">
        <v>2130</v>
      </c>
      <c r="N1049" s="7">
        <v>89</v>
      </c>
      <c r="O1049" s="7" t="s">
        <v>4985</v>
      </c>
    </row>
    <row r="1050" spans="1:17">
      <c r="A1050" s="6" t="s">
        <v>31</v>
      </c>
      <c r="B1050" s="7">
        <v>943834</v>
      </c>
      <c r="C1050" s="7">
        <v>945588</v>
      </c>
      <c r="D1050" s="8"/>
      <c r="E1050" s="7" t="s">
        <v>75</v>
      </c>
      <c r="F1050" s="7" t="s">
        <v>4986</v>
      </c>
      <c r="G1050" s="8"/>
      <c r="H1050" s="8"/>
      <c r="I1050" s="7" t="s">
        <v>55</v>
      </c>
      <c r="J1050" s="8"/>
      <c r="K1050" s="8"/>
      <c r="L1050" s="7" t="s">
        <v>4987</v>
      </c>
      <c r="M1050" s="7" t="s">
        <v>4986</v>
      </c>
      <c r="N1050" s="7">
        <v>584</v>
      </c>
      <c r="O1050" s="7" t="s">
        <v>4988</v>
      </c>
      <c r="P1050" s="7"/>
    </row>
    <row r="1051" spans="1:17">
      <c r="A1051" s="6" t="s">
        <v>31</v>
      </c>
      <c r="B1051" s="7">
        <v>945759</v>
      </c>
      <c r="C1051" s="7">
        <v>947147</v>
      </c>
      <c r="D1051" s="8"/>
      <c r="E1051" s="7" t="s">
        <v>75</v>
      </c>
      <c r="F1051" s="7" t="s">
        <v>4989</v>
      </c>
      <c r="G1051" s="8"/>
      <c r="H1051" s="8"/>
      <c r="I1051" s="7" t="s">
        <v>55</v>
      </c>
      <c r="J1051" s="8"/>
      <c r="K1051" s="8"/>
      <c r="L1051" s="7" t="s">
        <v>4990</v>
      </c>
      <c r="M1051" s="7" t="s">
        <v>4989</v>
      </c>
      <c r="N1051" s="7">
        <v>462</v>
      </c>
      <c r="O1051" s="7" t="s">
        <v>4991</v>
      </c>
      <c r="P1051" s="7"/>
    </row>
    <row r="1052" spans="1:17">
      <c r="A1052" s="6" t="s">
        <v>31</v>
      </c>
      <c r="B1052" s="7">
        <v>947305</v>
      </c>
      <c r="C1052" s="7">
        <v>948318</v>
      </c>
      <c r="D1052" s="8"/>
      <c r="E1052" s="7" t="s">
        <v>75</v>
      </c>
      <c r="F1052" s="7" t="s">
        <v>4992</v>
      </c>
      <c r="G1052" s="7" t="s">
        <v>4993</v>
      </c>
      <c r="H1052" s="8"/>
      <c r="I1052" s="7" t="s">
        <v>55</v>
      </c>
      <c r="J1052" s="8"/>
      <c r="K1052" s="8"/>
      <c r="L1052" s="7" t="s">
        <v>4994</v>
      </c>
      <c r="M1052" s="7" t="s">
        <v>4992</v>
      </c>
      <c r="N1052" s="7">
        <v>337</v>
      </c>
      <c r="O1052" s="7" t="s">
        <v>4995</v>
      </c>
      <c r="P1052" s="7"/>
      <c r="Q1052" s="7"/>
    </row>
    <row r="1053" spans="1:17">
      <c r="A1053" s="6" t="s">
        <v>31</v>
      </c>
      <c r="B1053" s="7">
        <v>948328</v>
      </c>
      <c r="C1053" s="7">
        <v>949299</v>
      </c>
      <c r="D1053" s="8"/>
      <c r="E1053" s="7" t="s">
        <v>75</v>
      </c>
      <c r="F1053" s="7" t="s">
        <v>4996</v>
      </c>
      <c r="G1053" s="7" t="s">
        <v>4997</v>
      </c>
      <c r="H1053" s="8"/>
      <c r="I1053" s="7" t="s">
        <v>55</v>
      </c>
      <c r="J1053" s="8"/>
      <c r="K1053" s="8"/>
      <c r="L1053" s="7" t="s">
        <v>4998</v>
      </c>
      <c r="M1053" s="7" t="s">
        <v>4996</v>
      </c>
      <c r="N1053" s="7">
        <v>323</v>
      </c>
      <c r="O1053" s="7" t="s">
        <v>4999</v>
      </c>
      <c r="P1053" s="7"/>
      <c r="Q1053" s="7"/>
    </row>
    <row r="1054" spans="1:17">
      <c r="A1054" s="6" t="s">
        <v>31</v>
      </c>
      <c r="B1054" s="7">
        <v>949633</v>
      </c>
      <c r="C1054" s="7">
        <v>949770</v>
      </c>
      <c r="D1054" s="8"/>
      <c r="E1054" s="7" t="s">
        <v>53</v>
      </c>
      <c r="F1054" s="7" t="s">
        <v>2095</v>
      </c>
      <c r="G1054" s="8"/>
      <c r="H1054" s="8"/>
      <c r="I1054" s="7" t="s">
        <v>55</v>
      </c>
      <c r="J1054" s="8"/>
      <c r="K1054" s="8"/>
      <c r="L1054" s="7" t="s">
        <v>5000</v>
      </c>
      <c r="M1054" s="7" t="s">
        <v>2095</v>
      </c>
      <c r="N1054" s="7">
        <v>45</v>
      </c>
      <c r="O1054" s="7" t="s">
        <v>5001</v>
      </c>
    </row>
    <row r="1055" spans="1:17">
      <c r="A1055" s="6" t="s">
        <v>31</v>
      </c>
      <c r="B1055" s="7">
        <v>949789</v>
      </c>
      <c r="C1055" s="7">
        <v>950097</v>
      </c>
      <c r="D1055" s="8"/>
      <c r="E1055" s="7" t="s">
        <v>75</v>
      </c>
      <c r="F1055" s="7" t="s">
        <v>2130</v>
      </c>
      <c r="G1055" s="8"/>
      <c r="H1055" s="8"/>
      <c r="I1055" s="7" t="s">
        <v>55</v>
      </c>
      <c r="J1055" s="8"/>
      <c r="K1055" s="8"/>
      <c r="L1055" s="7" t="s">
        <v>5002</v>
      </c>
      <c r="M1055" s="7" t="s">
        <v>2130</v>
      </c>
      <c r="N1055" s="7">
        <v>102</v>
      </c>
      <c r="O1055" s="7" t="s">
        <v>5003</v>
      </c>
    </row>
    <row r="1056" spans="1:17">
      <c r="A1056" s="6" t="s">
        <v>31</v>
      </c>
      <c r="B1056" s="7">
        <v>950146</v>
      </c>
      <c r="C1056" s="7">
        <v>950331</v>
      </c>
      <c r="D1056" s="8"/>
      <c r="E1056" s="7" t="s">
        <v>75</v>
      </c>
      <c r="F1056" s="7" t="s">
        <v>2130</v>
      </c>
      <c r="G1056" s="8"/>
      <c r="H1056" s="8"/>
      <c r="I1056" s="7" t="s">
        <v>55</v>
      </c>
      <c r="J1056" s="8"/>
      <c r="K1056" s="8"/>
      <c r="L1056" s="7" t="s">
        <v>5004</v>
      </c>
      <c r="M1056" s="7" t="s">
        <v>2130</v>
      </c>
      <c r="N1056" s="7">
        <v>61</v>
      </c>
      <c r="O1056" s="7" t="s">
        <v>5005</v>
      </c>
    </row>
    <row r="1057" spans="1:16">
      <c r="A1057" s="6" t="s">
        <v>31</v>
      </c>
      <c r="B1057" s="7">
        <v>950353</v>
      </c>
      <c r="C1057" s="7">
        <v>950874</v>
      </c>
      <c r="D1057" s="8"/>
      <c r="E1057" s="7" t="s">
        <v>75</v>
      </c>
      <c r="F1057" s="7" t="s">
        <v>2130</v>
      </c>
      <c r="G1057" s="8"/>
      <c r="H1057" s="8"/>
      <c r="I1057" s="7" t="s">
        <v>55</v>
      </c>
      <c r="J1057" s="8"/>
      <c r="K1057" s="8"/>
      <c r="L1057" s="7" t="s">
        <v>5006</v>
      </c>
      <c r="M1057" s="7" t="s">
        <v>2130</v>
      </c>
      <c r="N1057" s="7">
        <v>173</v>
      </c>
      <c r="O1057" s="7" t="s">
        <v>5007</v>
      </c>
    </row>
    <row r="1058" spans="1:16">
      <c r="A1058" s="6" t="s">
        <v>31</v>
      </c>
      <c r="B1058" s="7">
        <v>950819</v>
      </c>
      <c r="C1058" s="7">
        <v>950992</v>
      </c>
      <c r="D1058" s="8"/>
      <c r="E1058" s="7" t="s">
        <v>75</v>
      </c>
      <c r="F1058" s="7" t="s">
        <v>5008</v>
      </c>
      <c r="G1058" s="8"/>
      <c r="H1058" s="8"/>
      <c r="I1058" s="7" t="s">
        <v>55</v>
      </c>
      <c r="J1058" s="8"/>
      <c r="K1058" s="8"/>
      <c r="L1058" s="7" t="s">
        <v>5009</v>
      </c>
      <c r="M1058" s="7" t="s">
        <v>5008</v>
      </c>
      <c r="N1058" s="7">
        <v>57</v>
      </c>
      <c r="O1058" s="7" t="s">
        <v>5010</v>
      </c>
    </row>
    <row r="1059" spans="1:16">
      <c r="A1059" s="6" t="s">
        <v>31</v>
      </c>
      <c r="B1059" s="7">
        <v>951066</v>
      </c>
      <c r="C1059" s="7">
        <v>952334</v>
      </c>
      <c r="D1059" s="8"/>
      <c r="E1059" s="7" t="s">
        <v>75</v>
      </c>
      <c r="F1059" s="7" t="s">
        <v>5011</v>
      </c>
      <c r="G1059" s="7" t="s">
        <v>5012</v>
      </c>
      <c r="H1059" s="8"/>
      <c r="I1059" s="7" t="s">
        <v>55</v>
      </c>
      <c r="J1059" s="8"/>
      <c r="K1059" s="8"/>
      <c r="L1059" s="7" t="s">
        <v>5013</v>
      </c>
      <c r="M1059" s="7" t="s">
        <v>5011</v>
      </c>
      <c r="N1059" s="7">
        <v>422</v>
      </c>
      <c r="O1059" s="7" t="s">
        <v>5014</v>
      </c>
      <c r="P1059" s="7"/>
    </row>
    <row r="1060" spans="1:16">
      <c r="A1060" s="6" t="s">
        <v>31</v>
      </c>
      <c r="B1060" s="7">
        <v>952354</v>
      </c>
      <c r="C1060" s="7">
        <v>953007</v>
      </c>
      <c r="D1060" s="8"/>
      <c r="E1060" s="7" t="s">
        <v>75</v>
      </c>
      <c r="F1060" s="7" t="s">
        <v>1072</v>
      </c>
      <c r="G1060" s="7" t="s">
        <v>5015</v>
      </c>
      <c r="H1060" s="8"/>
      <c r="I1060" s="7" t="s">
        <v>55</v>
      </c>
      <c r="J1060" s="8"/>
      <c r="K1060" s="8"/>
      <c r="L1060" s="7" t="s">
        <v>5016</v>
      </c>
      <c r="M1060" s="7" t="s">
        <v>1072</v>
      </c>
      <c r="N1060" s="7">
        <v>217</v>
      </c>
      <c r="O1060" s="7" t="s">
        <v>5017</v>
      </c>
      <c r="P1060" s="7"/>
    </row>
    <row r="1061" spans="1:16">
      <c r="A1061" s="6" t="s">
        <v>31</v>
      </c>
      <c r="B1061" s="7">
        <v>953221</v>
      </c>
      <c r="C1061" s="7">
        <v>954417</v>
      </c>
      <c r="D1061" s="8"/>
      <c r="E1061" s="7" t="s">
        <v>53</v>
      </c>
      <c r="F1061" s="7" t="s">
        <v>5018</v>
      </c>
      <c r="G1061" s="8"/>
      <c r="H1061" s="8"/>
      <c r="I1061" s="7" t="s">
        <v>55</v>
      </c>
      <c r="J1061" s="8"/>
      <c r="K1061" s="8"/>
      <c r="L1061" s="7" t="s">
        <v>5019</v>
      </c>
      <c r="M1061" s="7" t="s">
        <v>5018</v>
      </c>
      <c r="N1061" s="7">
        <v>398</v>
      </c>
      <c r="O1061" s="7" t="s">
        <v>5020</v>
      </c>
    </row>
    <row r="1062" spans="1:16">
      <c r="A1062" s="6" t="s">
        <v>31</v>
      </c>
      <c r="B1062" s="7">
        <v>954732</v>
      </c>
      <c r="C1062" s="7">
        <v>954857</v>
      </c>
      <c r="D1062" s="8"/>
      <c r="E1062" s="7" t="s">
        <v>53</v>
      </c>
      <c r="F1062" s="7" t="s">
        <v>5021</v>
      </c>
      <c r="G1062" s="8"/>
      <c r="H1062" s="8"/>
      <c r="I1062" s="7" t="s">
        <v>55</v>
      </c>
      <c r="J1062" s="8"/>
      <c r="K1062" s="8"/>
      <c r="L1062" s="7" t="s">
        <v>5022</v>
      </c>
      <c r="M1062" s="7" t="s">
        <v>5021</v>
      </c>
      <c r="N1062" s="7">
        <v>41</v>
      </c>
      <c r="O1062" s="7" t="s">
        <v>5023</v>
      </c>
    </row>
    <row r="1063" spans="1:16">
      <c r="A1063" s="6" t="s">
        <v>31</v>
      </c>
      <c r="B1063" s="7">
        <v>954844</v>
      </c>
      <c r="C1063" s="7">
        <v>955020</v>
      </c>
      <c r="D1063" s="8"/>
      <c r="E1063" s="7" t="s">
        <v>53</v>
      </c>
      <c r="F1063" s="7" t="s">
        <v>2289</v>
      </c>
      <c r="G1063" s="8"/>
      <c r="H1063" s="8"/>
      <c r="I1063" s="7" t="s">
        <v>55</v>
      </c>
      <c r="J1063" s="8"/>
      <c r="K1063" s="8"/>
      <c r="L1063" s="7" t="s">
        <v>5024</v>
      </c>
      <c r="M1063" s="7" t="s">
        <v>2289</v>
      </c>
      <c r="N1063" s="7">
        <v>58</v>
      </c>
      <c r="O1063" s="7" t="s">
        <v>5025</v>
      </c>
      <c r="P1063" s="7"/>
    </row>
    <row r="1064" spans="1:16">
      <c r="A1064" s="6" t="s">
        <v>31</v>
      </c>
      <c r="B1064" s="7">
        <v>955042</v>
      </c>
      <c r="C1064" s="7">
        <v>955983</v>
      </c>
      <c r="D1064" s="8"/>
      <c r="E1064" s="7" t="s">
        <v>53</v>
      </c>
      <c r="F1064" s="7" t="s">
        <v>2289</v>
      </c>
      <c r="G1064" s="8"/>
      <c r="H1064" s="8"/>
      <c r="I1064" s="7" t="s">
        <v>55</v>
      </c>
      <c r="J1064" s="8"/>
      <c r="K1064" s="8"/>
      <c r="L1064" s="7" t="s">
        <v>5026</v>
      </c>
      <c r="M1064" s="7" t="s">
        <v>2289</v>
      </c>
      <c r="N1064" s="7">
        <v>313</v>
      </c>
      <c r="O1064" s="7" t="s">
        <v>5027</v>
      </c>
      <c r="P1064" s="7"/>
    </row>
    <row r="1065" spans="1:16">
      <c r="A1065" s="6" t="s">
        <v>31</v>
      </c>
      <c r="B1065" s="7">
        <v>956023</v>
      </c>
      <c r="C1065" s="7">
        <v>956874</v>
      </c>
      <c r="D1065" s="8"/>
      <c r="E1065" s="7" t="s">
        <v>75</v>
      </c>
      <c r="F1065" s="7" t="s">
        <v>5028</v>
      </c>
      <c r="G1065" s="8"/>
      <c r="H1065" s="8"/>
      <c r="I1065" s="7" t="s">
        <v>55</v>
      </c>
      <c r="J1065" s="8"/>
      <c r="K1065" s="8"/>
      <c r="L1065" s="7" t="s">
        <v>5029</v>
      </c>
      <c r="M1065" s="7" t="s">
        <v>5028</v>
      </c>
      <c r="N1065" s="7">
        <v>283</v>
      </c>
      <c r="O1065" s="7" t="s">
        <v>5030</v>
      </c>
      <c r="P1065" s="7"/>
    </row>
    <row r="1066" spans="1:16">
      <c r="A1066" s="6" t="s">
        <v>31</v>
      </c>
      <c r="B1066" s="7">
        <v>956871</v>
      </c>
      <c r="C1066" s="7">
        <v>957359</v>
      </c>
      <c r="D1066" s="8"/>
      <c r="E1066" s="7" t="s">
        <v>75</v>
      </c>
      <c r="F1066" s="7" t="s">
        <v>5031</v>
      </c>
      <c r="G1066" s="8"/>
      <c r="H1066" s="8"/>
      <c r="I1066" s="7" t="s">
        <v>55</v>
      </c>
      <c r="J1066" s="8"/>
      <c r="K1066" s="8"/>
      <c r="L1066" s="7" t="s">
        <v>5032</v>
      </c>
      <c r="M1066" s="7" t="s">
        <v>5031</v>
      </c>
      <c r="N1066" s="7">
        <v>162</v>
      </c>
      <c r="O1066" s="7" t="s">
        <v>5033</v>
      </c>
    </row>
    <row r="1067" spans="1:16">
      <c r="A1067" s="6" t="s">
        <v>31</v>
      </c>
      <c r="B1067" s="7">
        <v>957494</v>
      </c>
      <c r="C1067" s="7">
        <v>959071</v>
      </c>
      <c r="D1067" s="8"/>
      <c r="E1067" s="7" t="s">
        <v>75</v>
      </c>
      <c r="F1067" s="7" t="s">
        <v>5034</v>
      </c>
      <c r="G1067" s="8"/>
      <c r="H1067" s="8"/>
      <c r="I1067" s="7" t="s">
        <v>55</v>
      </c>
      <c r="J1067" s="8"/>
      <c r="K1067" s="8"/>
      <c r="L1067" s="7" t="s">
        <v>5035</v>
      </c>
      <c r="M1067" s="7" t="s">
        <v>5034</v>
      </c>
      <c r="N1067" s="7">
        <v>525</v>
      </c>
      <c r="O1067" s="7" t="s">
        <v>5036</v>
      </c>
    </row>
    <row r="1068" spans="1:16">
      <c r="A1068" s="6" t="s">
        <v>31</v>
      </c>
      <c r="B1068" s="7">
        <v>959089</v>
      </c>
      <c r="C1068" s="7">
        <v>959367</v>
      </c>
      <c r="D1068" s="8"/>
      <c r="E1068" s="7" t="s">
        <v>75</v>
      </c>
      <c r="F1068" s="7" t="s">
        <v>2130</v>
      </c>
      <c r="G1068" s="8"/>
      <c r="H1068" s="8"/>
      <c r="I1068" s="7" t="s">
        <v>55</v>
      </c>
      <c r="J1068" s="8"/>
      <c r="K1068" s="8"/>
      <c r="L1068" s="7" t="s">
        <v>5037</v>
      </c>
      <c r="M1068" s="7" t="s">
        <v>2130</v>
      </c>
      <c r="N1068" s="7">
        <v>92</v>
      </c>
      <c r="O1068" s="7" t="s">
        <v>5038</v>
      </c>
    </row>
    <row r="1069" spans="1:16">
      <c r="A1069" s="6" t="s">
        <v>31</v>
      </c>
      <c r="B1069" s="7">
        <v>960861</v>
      </c>
      <c r="C1069" s="7">
        <v>960977</v>
      </c>
      <c r="D1069" s="8"/>
      <c r="E1069" s="7" t="s">
        <v>75</v>
      </c>
      <c r="F1069" s="7" t="s">
        <v>2095</v>
      </c>
      <c r="G1069" s="8"/>
      <c r="H1069" s="8"/>
      <c r="I1069" s="7" t="s">
        <v>55</v>
      </c>
      <c r="J1069" s="8"/>
      <c r="K1069" s="8"/>
      <c r="L1069" s="7" t="s">
        <v>5039</v>
      </c>
      <c r="M1069" s="7" t="s">
        <v>2095</v>
      </c>
      <c r="N1069" s="7">
        <v>38</v>
      </c>
      <c r="O1069" s="7" t="s">
        <v>5040</v>
      </c>
    </row>
    <row r="1070" spans="1:16">
      <c r="A1070" s="6" t="s">
        <v>31</v>
      </c>
      <c r="B1070" s="7">
        <v>961015</v>
      </c>
      <c r="C1070" s="7">
        <v>961131</v>
      </c>
      <c r="D1070" s="8"/>
      <c r="E1070" s="7" t="s">
        <v>53</v>
      </c>
      <c r="F1070" s="7" t="s">
        <v>2095</v>
      </c>
      <c r="G1070" s="8"/>
      <c r="H1070" s="8"/>
      <c r="I1070" s="7" t="s">
        <v>55</v>
      </c>
      <c r="J1070" s="8"/>
      <c r="K1070" s="8"/>
      <c r="L1070" s="7" t="s">
        <v>5041</v>
      </c>
      <c r="M1070" s="7" t="s">
        <v>2095</v>
      </c>
      <c r="N1070" s="7">
        <v>38</v>
      </c>
      <c r="O1070" s="7" t="s">
        <v>5042</v>
      </c>
    </row>
    <row r="1071" spans="1:16">
      <c r="A1071" s="6" t="s">
        <v>31</v>
      </c>
      <c r="B1071" s="7">
        <v>961133</v>
      </c>
      <c r="C1071" s="7">
        <v>962269</v>
      </c>
      <c r="D1071" s="8"/>
      <c r="E1071" s="7" t="s">
        <v>75</v>
      </c>
      <c r="F1071" s="7" t="s">
        <v>5043</v>
      </c>
      <c r="G1071" s="8"/>
      <c r="H1071" s="8"/>
      <c r="I1071" s="7" t="s">
        <v>55</v>
      </c>
      <c r="J1071" s="8"/>
      <c r="K1071" s="8"/>
      <c r="L1071" s="7" t="s">
        <v>5044</v>
      </c>
      <c r="M1071" s="7" t="s">
        <v>5043</v>
      </c>
      <c r="N1071" s="7">
        <v>378</v>
      </c>
      <c r="O1071" s="7" t="s">
        <v>5045</v>
      </c>
    </row>
    <row r="1072" spans="1:16">
      <c r="A1072" s="6" t="s">
        <v>31</v>
      </c>
      <c r="B1072" s="7">
        <v>962348</v>
      </c>
      <c r="C1072" s="7">
        <v>962575</v>
      </c>
      <c r="D1072" s="8"/>
      <c r="E1072" s="7" t="s">
        <v>75</v>
      </c>
      <c r="F1072" s="7" t="s">
        <v>2095</v>
      </c>
      <c r="G1072" s="8"/>
      <c r="H1072" s="8"/>
      <c r="I1072" s="7" t="s">
        <v>55</v>
      </c>
      <c r="J1072" s="8"/>
      <c r="K1072" s="8"/>
      <c r="L1072" s="7" t="s">
        <v>5046</v>
      </c>
      <c r="M1072" s="7" t="s">
        <v>2095</v>
      </c>
      <c r="N1072" s="7">
        <v>75</v>
      </c>
      <c r="O1072" s="7" t="s">
        <v>5047</v>
      </c>
    </row>
    <row r="1073" spans="1:16">
      <c r="A1073" s="6" t="s">
        <v>31</v>
      </c>
      <c r="B1073" s="7">
        <v>962600</v>
      </c>
      <c r="C1073" s="7">
        <v>962863</v>
      </c>
      <c r="D1073" s="8"/>
      <c r="E1073" s="7" t="s">
        <v>75</v>
      </c>
      <c r="F1073" s="7" t="s">
        <v>2095</v>
      </c>
      <c r="G1073" s="8"/>
      <c r="H1073" s="8"/>
      <c r="I1073" s="7" t="s">
        <v>55</v>
      </c>
      <c r="J1073" s="8"/>
      <c r="K1073" s="8"/>
      <c r="L1073" s="7" t="s">
        <v>5048</v>
      </c>
      <c r="M1073" s="7" t="s">
        <v>2095</v>
      </c>
      <c r="N1073" s="7">
        <v>87</v>
      </c>
      <c r="O1073" s="7" t="s">
        <v>5049</v>
      </c>
    </row>
    <row r="1074" spans="1:16">
      <c r="A1074" s="6" t="s">
        <v>31</v>
      </c>
      <c r="B1074" s="7">
        <v>962941</v>
      </c>
      <c r="C1074" s="7">
        <v>963177</v>
      </c>
      <c r="D1074" s="8"/>
      <c r="E1074" s="7" t="s">
        <v>75</v>
      </c>
      <c r="F1074" s="7" t="s">
        <v>2130</v>
      </c>
      <c r="G1074" s="8"/>
      <c r="H1074" s="8"/>
      <c r="I1074" s="7" t="s">
        <v>55</v>
      </c>
      <c r="J1074" s="8"/>
      <c r="K1074" s="8"/>
      <c r="L1074" s="7" t="s">
        <v>5050</v>
      </c>
      <c r="M1074" s="7" t="s">
        <v>2130</v>
      </c>
      <c r="N1074" s="7">
        <v>78</v>
      </c>
      <c r="O1074" s="7" t="s">
        <v>5051</v>
      </c>
    </row>
    <row r="1075" spans="1:16">
      <c r="A1075" s="6" t="s">
        <v>31</v>
      </c>
      <c r="B1075" s="7">
        <v>963425</v>
      </c>
      <c r="C1075" s="7">
        <v>964000</v>
      </c>
      <c r="D1075" s="8"/>
      <c r="E1075" s="7" t="s">
        <v>53</v>
      </c>
      <c r="F1075" s="7" t="s">
        <v>2212</v>
      </c>
      <c r="G1075" s="8"/>
      <c r="H1075" s="8"/>
      <c r="I1075" s="7" t="s">
        <v>55</v>
      </c>
      <c r="J1075" s="8"/>
      <c r="K1075" s="8"/>
      <c r="L1075" s="7" t="s">
        <v>5052</v>
      </c>
      <c r="M1075" s="7" t="s">
        <v>2212</v>
      </c>
      <c r="N1075" s="7">
        <v>191</v>
      </c>
      <c r="O1075" s="7" t="s">
        <v>5053</v>
      </c>
    </row>
    <row r="1076" spans="1:16">
      <c r="A1076" s="6" t="s">
        <v>31</v>
      </c>
      <c r="B1076" s="7">
        <v>964163</v>
      </c>
      <c r="C1076" s="7">
        <v>964972</v>
      </c>
      <c r="D1076" s="8"/>
      <c r="E1076" s="7" t="s">
        <v>53</v>
      </c>
      <c r="F1076" s="7" t="s">
        <v>2095</v>
      </c>
      <c r="G1076" s="8"/>
      <c r="H1076" s="8"/>
      <c r="I1076" s="7" t="s">
        <v>55</v>
      </c>
      <c r="J1076" s="8"/>
      <c r="K1076" s="8"/>
      <c r="L1076" s="7" t="s">
        <v>5054</v>
      </c>
      <c r="M1076" s="7" t="s">
        <v>2095</v>
      </c>
      <c r="N1076" s="7">
        <v>269</v>
      </c>
      <c r="O1076" s="7" t="s">
        <v>5055</v>
      </c>
    </row>
    <row r="1077" spans="1:16">
      <c r="A1077" s="6" t="s">
        <v>31</v>
      </c>
      <c r="B1077" s="7">
        <v>965078</v>
      </c>
      <c r="C1077" s="7">
        <v>965236</v>
      </c>
      <c r="D1077" s="8"/>
      <c r="E1077" s="7" t="s">
        <v>75</v>
      </c>
      <c r="F1077" s="7" t="s">
        <v>2130</v>
      </c>
      <c r="G1077" s="8"/>
      <c r="H1077" s="8"/>
      <c r="I1077" s="7" t="s">
        <v>55</v>
      </c>
      <c r="J1077" s="8"/>
      <c r="K1077" s="8"/>
      <c r="L1077" s="7" t="s">
        <v>5056</v>
      </c>
      <c r="M1077" s="7" t="s">
        <v>2130</v>
      </c>
      <c r="N1077" s="7">
        <v>52</v>
      </c>
      <c r="O1077" s="7" t="s">
        <v>5057</v>
      </c>
    </row>
    <row r="1078" spans="1:16">
      <c r="A1078" s="6" t="s">
        <v>31</v>
      </c>
      <c r="B1078" s="7">
        <v>965117</v>
      </c>
      <c r="C1078" s="7">
        <v>965419</v>
      </c>
      <c r="D1078" s="8"/>
      <c r="E1078" s="7" t="s">
        <v>53</v>
      </c>
      <c r="F1078" s="7" t="s">
        <v>2095</v>
      </c>
      <c r="G1078" s="8"/>
      <c r="H1078" s="8"/>
      <c r="I1078" s="7" t="s">
        <v>55</v>
      </c>
      <c r="J1078" s="8"/>
      <c r="K1078" s="8"/>
      <c r="L1078" s="7" t="s">
        <v>5058</v>
      </c>
      <c r="M1078" s="7" t="s">
        <v>2095</v>
      </c>
      <c r="N1078" s="7">
        <v>100</v>
      </c>
      <c r="O1078" s="7" t="s">
        <v>5059</v>
      </c>
    </row>
    <row r="1079" spans="1:16">
      <c r="A1079" s="6" t="s">
        <v>31</v>
      </c>
      <c r="B1079" s="7">
        <v>965454</v>
      </c>
      <c r="C1079" s="7">
        <v>966506</v>
      </c>
      <c r="D1079" s="8"/>
      <c r="E1079" s="7" t="s">
        <v>75</v>
      </c>
      <c r="F1079" s="7" t="s">
        <v>5060</v>
      </c>
      <c r="G1079" s="7" t="s">
        <v>5061</v>
      </c>
      <c r="H1079" s="8"/>
      <c r="I1079" s="7" t="s">
        <v>55</v>
      </c>
      <c r="J1079" s="8"/>
      <c r="K1079" s="8"/>
      <c r="L1079" s="7" t="s">
        <v>5062</v>
      </c>
      <c r="M1079" s="7" t="s">
        <v>5060</v>
      </c>
      <c r="N1079" s="7">
        <v>350</v>
      </c>
      <c r="O1079" s="7" t="s">
        <v>5063</v>
      </c>
    </row>
    <row r="1080" spans="1:16">
      <c r="A1080" s="6" t="s">
        <v>31</v>
      </c>
      <c r="B1080" s="7">
        <v>966517</v>
      </c>
      <c r="C1080" s="7">
        <v>967509</v>
      </c>
      <c r="D1080" s="8"/>
      <c r="E1080" s="7" t="s">
        <v>75</v>
      </c>
      <c r="F1080" s="7" t="s">
        <v>5064</v>
      </c>
      <c r="G1080" s="8"/>
      <c r="H1080" s="8"/>
      <c r="I1080" s="7" t="s">
        <v>55</v>
      </c>
      <c r="J1080" s="8"/>
      <c r="K1080" s="8"/>
      <c r="L1080" s="7" t="s">
        <v>5065</v>
      </c>
      <c r="M1080" s="7" t="s">
        <v>5064</v>
      </c>
      <c r="N1080" s="7">
        <v>330</v>
      </c>
      <c r="O1080" s="7" t="s">
        <v>5066</v>
      </c>
    </row>
    <row r="1081" spans="1:16">
      <c r="A1081" s="6" t="s">
        <v>31</v>
      </c>
      <c r="B1081" s="7">
        <v>967506</v>
      </c>
      <c r="C1081" s="7">
        <v>968606</v>
      </c>
      <c r="D1081" s="8"/>
      <c r="E1081" s="7" t="s">
        <v>75</v>
      </c>
      <c r="F1081" s="7" t="s">
        <v>5067</v>
      </c>
      <c r="G1081" s="7" t="s">
        <v>1082</v>
      </c>
      <c r="H1081" s="8"/>
      <c r="I1081" s="7" t="s">
        <v>55</v>
      </c>
      <c r="J1081" s="8"/>
      <c r="K1081" s="8"/>
      <c r="L1081" s="7" t="s">
        <v>5068</v>
      </c>
      <c r="M1081" s="7" t="s">
        <v>5067</v>
      </c>
      <c r="N1081" s="7">
        <v>366</v>
      </c>
      <c r="O1081" s="7" t="s">
        <v>5069</v>
      </c>
      <c r="P1081" s="7"/>
    </row>
    <row r="1082" spans="1:16">
      <c r="A1082" s="6" t="s">
        <v>31</v>
      </c>
      <c r="B1082" s="7">
        <v>968620</v>
      </c>
      <c r="C1082" s="7">
        <v>969618</v>
      </c>
      <c r="D1082" s="8"/>
      <c r="E1082" s="7" t="s">
        <v>75</v>
      </c>
      <c r="F1082" s="7" t="s">
        <v>5070</v>
      </c>
      <c r="G1082" s="8"/>
      <c r="H1082" s="8"/>
      <c r="I1082" s="7" t="s">
        <v>55</v>
      </c>
      <c r="J1082" s="8"/>
      <c r="K1082" s="8"/>
      <c r="L1082" s="7" t="s">
        <v>5071</v>
      </c>
      <c r="M1082" s="7" t="s">
        <v>5070</v>
      </c>
      <c r="N1082" s="7">
        <v>332</v>
      </c>
      <c r="O1082" s="7" t="s">
        <v>5072</v>
      </c>
    </row>
    <row r="1083" spans="1:16">
      <c r="A1083" s="6" t="s">
        <v>31</v>
      </c>
      <c r="B1083" s="7">
        <v>969621</v>
      </c>
      <c r="C1083" s="7">
        <v>971036</v>
      </c>
      <c r="D1083" s="8"/>
      <c r="E1083" s="7" t="s">
        <v>75</v>
      </c>
      <c r="F1083" s="7" t="s">
        <v>3071</v>
      </c>
      <c r="G1083" s="8"/>
      <c r="H1083" s="8"/>
      <c r="I1083" s="7" t="s">
        <v>55</v>
      </c>
      <c r="J1083" s="8"/>
      <c r="K1083" s="8"/>
      <c r="L1083" s="7" t="s">
        <v>5073</v>
      </c>
      <c r="M1083" s="7" t="s">
        <v>3071</v>
      </c>
      <c r="N1083" s="7">
        <v>471</v>
      </c>
      <c r="O1083" s="7" t="s">
        <v>5074</v>
      </c>
    </row>
    <row r="1084" spans="1:16">
      <c r="A1084" s="6" t="s">
        <v>31</v>
      </c>
      <c r="B1084" s="7">
        <v>971052</v>
      </c>
      <c r="C1084" s="7">
        <v>971540</v>
      </c>
      <c r="D1084" s="8"/>
      <c r="E1084" s="7" t="s">
        <v>75</v>
      </c>
      <c r="F1084" s="7" t="s">
        <v>5075</v>
      </c>
      <c r="G1084" s="8"/>
      <c r="H1084" s="8"/>
      <c r="I1084" s="7" t="s">
        <v>55</v>
      </c>
      <c r="J1084" s="8"/>
      <c r="K1084" s="8"/>
      <c r="L1084" s="7" t="s">
        <v>5076</v>
      </c>
      <c r="M1084" s="7" t="s">
        <v>5075</v>
      </c>
      <c r="N1084" s="7">
        <v>162</v>
      </c>
      <c r="O1084" s="7" t="s">
        <v>5077</v>
      </c>
      <c r="P1084" s="7"/>
    </row>
    <row r="1085" spans="1:16">
      <c r="A1085" s="6" t="s">
        <v>31</v>
      </c>
      <c r="B1085" s="7">
        <v>971541</v>
      </c>
      <c r="C1085" s="7">
        <v>972995</v>
      </c>
      <c r="D1085" s="8"/>
      <c r="E1085" s="7" t="s">
        <v>75</v>
      </c>
      <c r="F1085" s="7" t="s">
        <v>5078</v>
      </c>
      <c r="G1085" s="8"/>
      <c r="H1085" s="8"/>
      <c r="I1085" s="7" t="s">
        <v>55</v>
      </c>
      <c r="J1085" s="8"/>
      <c r="K1085" s="8"/>
      <c r="L1085" s="7" t="s">
        <v>5079</v>
      </c>
      <c r="M1085" s="7" t="s">
        <v>5078</v>
      </c>
      <c r="N1085" s="7">
        <v>484</v>
      </c>
      <c r="O1085" s="7" t="s">
        <v>5080</v>
      </c>
    </row>
    <row r="1086" spans="1:16">
      <c r="A1086" s="6" t="s">
        <v>31</v>
      </c>
      <c r="B1086" s="7">
        <v>973341</v>
      </c>
      <c r="C1086" s="7">
        <v>974051</v>
      </c>
      <c r="D1086" s="8"/>
      <c r="E1086" s="7" t="s">
        <v>75</v>
      </c>
      <c r="F1086" s="7" t="s">
        <v>5081</v>
      </c>
      <c r="G1086" s="7" t="s">
        <v>1087</v>
      </c>
      <c r="H1086" s="8"/>
      <c r="I1086" s="7" t="s">
        <v>55</v>
      </c>
      <c r="J1086" s="8"/>
      <c r="K1086" s="8"/>
      <c r="L1086" s="7" t="s">
        <v>5082</v>
      </c>
      <c r="M1086" s="7" t="s">
        <v>5081</v>
      </c>
      <c r="N1086" s="7">
        <v>236</v>
      </c>
      <c r="O1086" s="7" t="s">
        <v>5083</v>
      </c>
      <c r="P1086" s="7"/>
    </row>
    <row r="1087" spans="1:16">
      <c r="A1087" s="6" t="s">
        <v>31</v>
      </c>
      <c r="B1087" s="7">
        <v>974386</v>
      </c>
      <c r="C1087" s="7">
        <v>974946</v>
      </c>
      <c r="D1087" s="8"/>
      <c r="E1087" s="7" t="s">
        <v>75</v>
      </c>
      <c r="F1087" s="7" t="s">
        <v>5084</v>
      </c>
      <c r="G1087" s="7" t="s">
        <v>5085</v>
      </c>
      <c r="H1087" s="8"/>
      <c r="I1087" s="7" t="s">
        <v>55</v>
      </c>
      <c r="J1087" s="8"/>
      <c r="K1087" s="8"/>
      <c r="L1087" s="7" t="s">
        <v>5086</v>
      </c>
      <c r="M1087" s="7" t="s">
        <v>5084</v>
      </c>
      <c r="N1087" s="7">
        <v>186</v>
      </c>
      <c r="O1087" s="7" t="s">
        <v>5087</v>
      </c>
    </row>
    <row r="1088" spans="1:16">
      <c r="A1088" s="6" t="s">
        <v>31</v>
      </c>
      <c r="B1088" s="7">
        <v>975040</v>
      </c>
      <c r="C1088" s="7">
        <v>975114</v>
      </c>
      <c r="D1088" s="8"/>
      <c r="E1088" s="7" t="s">
        <v>75</v>
      </c>
      <c r="F1088" s="7" t="s">
        <v>2095</v>
      </c>
      <c r="G1088" s="8"/>
      <c r="H1088" s="8"/>
      <c r="I1088" s="7" t="s">
        <v>55</v>
      </c>
      <c r="J1088" s="8"/>
      <c r="K1088" s="8"/>
      <c r="L1088" s="7" t="s">
        <v>5088</v>
      </c>
      <c r="M1088" s="7" t="s">
        <v>2095</v>
      </c>
      <c r="N1088" s="7">
        <v>24</v>
      </c>
      <c r="O1088" s="7" t="s">
        <v>5089</v>
      </c>
    </row>
    <row r="1089" spans="1:16">
      <c r="A1089" s="6" t="s">
        <v>31</v>
      </c>
      <c r="B1089" s="7">
        <v>975633</v>
      </c>
      <c r="C1089" s="7">
        <v>975794</v>
      </c>
      <c r="D1089" s="8"/>
      <c r="E1089" s="7" t="s">
        <v>75</v>
      </c>
      <c r="F1089" s="7" t="s">
        <v>2095</v>
      </c>
      <c r="G1089" s="8"/>
      <c r="H1089" s="8"/>
      <c r="I1089" s="7" t="s">
        <v>55</v>
      </c>
      <c r="J1089" s="8"/>
      <c r="K1089" s="8"/>
      <c r="L1089" s="7" t="s">
        <v>5090</v>
      </c>
      <c r="M1089" s="7" t="s">
        <v>2095</v>
      </c>
      <c r="N1089" s="7">
        <v>53</v>
      </c>
      <c r="O1089" s="7" t="s">
        <v>5091</v>
      </c>
    </row>
    <row r="1090" spans="1:16">
      <c r="A1090" s="6" t="s">
        <v>31</v>
      </c>
      <c r="B1090" s="7">
        <v>976206</v>
      </c>
      <c r="C1090" s="7">
        <v>977015</v>
      </c>
      <c r="D1090" s="8"/>
      <c r="E1090" s="7" t="s">
        <v>75</v>
      </c>
      <c r="F1090" s="7" t="s">
        <v>5081</v>
      </c>
      <c r="G1090" s="7" t="s">
        <v>5092</v>
      </c>
      <c r="H1090" s="8"/>
      <c r="I1090" s="7" t="s">
        <v>55</v>
      </c>
      <c r="J1090" s="8"/>
      <c r="K1090" s="8"/>
      <c r="L1090" s="7" t="s">
        <v>5093</v>
      </c>
      <c r="M1090" s="7" t="s">
        <v>5081</v>
      </c>
      <c r="N1090" s="7">
        <v>269</v>
      </c>
      <c r="O1090" s="7" t="s">
        <v>5094</v>
      </c>
      <c r="P1090" s="7"/>
    </row>
    <row r="1091" spans="1:16">
      <c r="A1091" s="6" t="s">
        <v>31</v>
      </c>
      <c r="B1091" s="7">
        <v>977036</v>
      </c>
      <c r="C1091" s="7">
        <v>977578</v>
      </c>
      <c r="D1091" s="8"/>
      <c r="E1091" s="7" t="s">
        <v>75</v>
      </c>
      <c r="F1091" s="7" t="s">
        <v>2130</v>
      </c>
      <c r="G1091" s="8"/>
      <c r="H1091" s="8"/>
      <c r="I1091" s="7" t="s">
        <v>55</v>
      </c>
      <c r="J1091" s="8"/>
      <c r="K1091" s="8"/>
      <c r="L1091" s="7" t="s">
        <v>5095</v>
      </c>
      <c r="M1091" s="7" t="s">
        <v>2130</v>
      </c>
      <c r="N1091" s="7">
        <v>180</v>
      </c>
      <c r="O1091" s="7" t="s">
        <v>5096</v>
      </c>
    </row>
    <row r="1092" spans="1:16">
      <c r="A1092" s="6" t="s">
        <v>31</v>
      </c>
      <c r="B1092" s="7">
        <v>977580</v>
      </c>
      <c r="C1092" s="7">
        <v>978791</v>
      </c>
      <c r="D1092" s="8"/>
      <c r="E1092" s="7" t="s">
        <v>75</v>
      </c>
      <c r="F1092" s="7" t="s">
        <v>5097</v>
      </c>
      <c r="G1092" s="7" t="s">
        <v>5098</v>
      </c>
      <c r="H1092" s="8"/>
      <c r="I1092" s="7" t="s">
        <v>55</v>
      </c>
      <c r="J1092" s="8"/>
      <c r="K1092" s="8"/>
      <c r="L1092" s="7" t="s">
        <v>5099</v>
      </c>
      <c r="M1092" s="7" t="s">
        <v>5097</v>
      </c>
      <c r="N1092" s="7">
        <v>403</v>
      </c>
      <c r="O1092" s="7" t="s">
        <v>5100</v>
      </c>
      <c r="P1092" s="7"/>
    </row>
    <row r="1093" spans="1:16">
      <c r="A1093" s="6" t="s">
        <v>31</v>
      </c>
      <c r="B1093" s="7">
        <v>978917</v>
      </c>
      <c r="C1093" s="7">
        <v>979597</v>
      </c>
      <c r="D1093" s="8"/>
      <c r="E1093" s="7" t="s">
        <v>75</v>
      </c>
      <c r="F1093" s="7" t="s">
        <v>5101</v>
      </c>
      <c r="G1093" s="7" t="s">
        <v>1092</v>
      </c>
      <c r="H1093" s="8"/>
      <c r="I1093" s="7" t="s">
        <v>55</v>
      </c>
      <c r="J1093" s="8"/>
      <c r="K1093" s="8"/>
      <c r="L1093" s="7" t="s">
        <v>5102</v>
      </c>
      <c r="M1093" s="7" t="s">
        <v>5101</v>
      </c>
      <c r="N1093" s="7">
        <v>226</v>
      </c>
      <c r="O1093" s="7" t="s">
        <v>5103</v>
      </c>
      <c r="P1093" s="7"/>
    </row>
    <row r="1094" spans="1:16">
      <c r="A1094" s="6" t="s">
        <v>31</v>
      </c>
      <c r="B1094" s="7">
        <v>980008</v>
      </c>
      <c r="C1094" s="7">
        <v>980145</v>
      </c>
      <c r="D1094" s="8"/>
      <c r="E1094" s="7" t="s">
        <v>75</v>
      </c>
      <c r="F1094" s="7" t="s">
        <v>2095</v>
      </c>
      <c r="G1094" s="8"/>
      <c r="H1094" s="8"/>
      <c r="I1094" s="7" t="s">
        <v>55</v>
      </c>
      <c r="J1094" s="8"/>
      <c r="K1094" s="8"/>
      <c r="L1094" s="7" t="s">
        <v>5104</v>
      </c>
      <c r="M1094" s="7" t="s">
        <v>2095</v>
      </c>
      <c r="N1094" s="7">
        <v>45</v>
      </c>
      <c r="O1094" s="7" t="s">
        <v>5105</v>
      </c>
    </row>
    <row r="1095" spans="1:16">
      <c r="A1095" s="6" t="s">
        <v>31</v>
      </c>
      <c r="B1095" s="7">
        <v>980226</v>
      </c>
      <c r="C1095" s="7">
        <v>980384</v>
      </c>
      <c r="D1095" s="8"/>
      <c r="E1095" s="7" t="s">
        <v>75</v>
      </c>
      <c r="F1095" s="7" t="s">
        <v>2130</v>
      </c>
      <c r="G1095" s="8"/>
      <c r="H1095" s="8"/>
      <c r="I1095" s="7" t="s">
        <v>55</v>
      </c>
      <c r="J1095" s="8"/>
      <c r="K1095" s="8"/>
      <c r="L1095" s="7" t="s">
        <v>5106</v>
      </c>
      <c r="M1095" s="7" t="s">
        <v>2130</v>
      </c>
      <c r="N1095" s="7">
        <v>52</v>
      </c>
      <c r="O1095" s="7" t="s">
        <v>5107</v>
      </c>
    </row>
    <row r="1096" spans="1:16">
      <c r="A1096" s="6" t="s">
        <v>31</v>
      </c>
      <c r="B1096" s="7">
        <v>980452</v>
      </c>
      <c r="C1096" s="7">
        <v>980625</v>
      </c>
      <c r="D1096" s="8"/>
      <c r="E1096" s="7" t="s">
        <v>75</v>
      </c>
      <c r="F1096" s="7" t="s">
        <v>2095</v>
      </c>
      <c r="G1096" s="8"/>
      <c r="H1096" s="8"/>
      <c r="I1096" s="7" t="s">
        <v>55</v>
      </c>
      <c r="J1096" s="8"/>
      <c r="K1096" s="8"/>
      <c r="L1096" s="7" t="s">
        <v>5108</v>
      </c>
      <c r="M1096" s="7" t="s">
        <v>2095</v>
      </c>
      <c r="N1096" s="7">
        <v>57</v>
      </c>
      <c r="O1096" s="7" t="s">
        <v>5109</v>
      </c>
    </row>
    <row r="1097" spans="1:16">
      <c r="A1097" s="6" t="s">
        <v>31</v>
      </c>
      <c r="B1097" s="7">
        <v>980948</v>
      </c>
      <c r="C1097" s="7">
        <v>981103</v>
      </c>
      <c r="D1097" s="8"/>
      <c r="E1097" s="7" t="s">
        <v>75</v>
      </c>
      <c r="F1097" s="7" t="s">
        <v>2095</v>
      </c>
      <c r="G1097" s="8"/>
      <c r="H1097" s="8"/>
      <c r="I1097" s="7" t="s">
        <v>55</v>
      </c>
      <c r="J1097" s="8"/>
      <c r="K1097" s="8"/>
      <c r="L1097" s="7" t="s">
        <v>5110</v>
      </c>
      <c r="M1097" s="7" t="s">
        <v>2095</v>
      </c>
      <c r="N1097" s="7">
        <v>51</v>
      </c>
      <c r="O1097" s="7" t="s">
        <v>5111</v>
      </c>
    </row>
    <row r="1098" spans="1:16">
      <c r="A1098" s="6" t="s">
        <v>31</v>
      </c>
      <c r="B1098" s="7">
        <v>981146</v>
      </c>
      <c r="C1098" s="7">
        <v>981262</v>
      </c>
      <c r="D1098" s="8"/>
      <c r="E1098" s="7" t="s">
        <v>75</v>
      </c>
      <c r="F1098" s="7" t="s">
        <v>2095</v>
      </c>
      <c r="G1098" s="8"/>
      <c r="H1098" s="8"/>
      <c r="I1098" s="7" t="s">
        <v>55</v>
      </c>
      <c r="J1098" s="8"/>
      <c r="K1098" s="8"/>
      <c r="L1098" s="7" t="s">
        <v>5112</v>
      </c>
      <c r="M1098" s="7" t="s">
        <v>2095</v>
      </c>
      <c r="N1098" s="7">
        <v>38</v>
      </c>
      <c r="O1098" s="7" t="s">
        <v>5113</v>
      </c>
    </row>
    <row r="1099" spans="1:16">
      <c r="A1099" s="6" t="s">
        <v>31</v>
      </c>
      <c r="B1099" s="7">
        <v>981620</v>
      </c>
      <c r="C1099" s="7">
        <v>982204</v>
      </c>
      <c r="D1099" s="8"/>
      <c r="E1099" s="7" t="s">
        <v>75</v>
      </c>
      <c r="F1099" s="7" t="s">
        <v>2130</v>
      </c>
      <c r="G1099" s="8"/>
      <c r="H1099" s="8"/>
      <c r="I1099" s="7" t="s">
        <v>55</v>
      </c>
      <c r="J1099" s="8"/>
      <c r="K1099" s="8"/>
      <c r="L1099" s="7" t="s">
        <v>5114</v>
      </c>
      <c r="M1099" s="7" t="s">
        <v>2130</v>
      </c>
      <c r="N1099" s="7">
        <v>194</v>
      </c>
      <c r="O1099" s="7" t="s">
        <v>5115</v>
      </c>
    </row>
    <row r="1100" spans="1:16">
      <c r="A1100" s="6" t="s">
        <v>31</v>
      </c>
      <c r="B1100" s="7">
        <v>982243</v>
      </c>
      <c r="C1100" s="7">
        <v>983649</v>
      </c>
      <c r="D1100" s="8"/>
      <c r="E1100" s="7" t="s">
        <v>75</v>
      </c>
      <c r="F1100" s="7" t="s">
        <v>5116</v>
      </c>
      <c r="G1100" s="7" t="s">
        <v>1098</v>
      </c>
      <c r="H1100" s="8"/>
      <c r="I1100" s="7" t="s">
        <v>55</v>
      </c>
      <c r="J1100" s="8"/>
      <c r="K1100" s="8"/>
      <c r="L1100" s="7" t="s">
        <v>5117</v>
      </c>
      <c r="M1100" s="7" t="s">
        <v>5116</v>
      </c>
      <c r="N1100" s="7">
        <v>468</v>
      </c>
      <c r="O1100" s="7" t="s">
        <v>5118</v>
      </c>
      <c r="P1100" s="7"/>
    </row>
    <row r="1101" spans="1:16">
      <c r="A1101" s="6" t="s">
        <v>31</v>
      </c>
      <c r="B1101" s="7">
        <v>983880</v>
      </c>
      <c r="C1101" s="7">
        <v>984065</v>
      </c>
      <c r="D1101" s="8"/>
      <c r="E1101" s="7" t="s">
        <v>53</v>
      </c>
      <c r="F1101" s="7" t="s">
        <v>5119</v>
      </c>
      <c r="G1101" s="8"/>
      <c r="H1101" s="8"/>
      <c r="I1101" s="7" t="s">
        <v>55</v>
      </c>
      <c r="J1101" s="8"/>
      <c r="K1101" s="8"/>
      <c r="L1101" s="7" t="s">
        <v>5120</v>
      </c>
      <c r="M1101" s="7" t="s">
        <v>5119</v>
      </c>
      <c r="N1101" s="7">
        <v>61</v>
      </c>
      <c r="O1101" s="7" t="s">
        <v>5121</v>
      </c>
      <c r="P1101" s="7"/>
    </row>
    <row r="1102" spans="1:16">
      <c r="A1102" s="6" t="s">
        <v>31</v>
      </c>
      <c r="B1102" s="7">
        <v>984141</v>
      </c>
      <c r="C1102" s="7">
        <v>984614</v>
      </c>
      <c r="D1102" s="8"/>
      <c r="E1102" s="7" t="s">
        <v>75</v>
      </c>
      <c r="F1102" s="7" t="s">
        <v>2742</v>
      </c>
      <c r="G1102" s="8"/>
      <c r="H1102" s="8"/>
      <c r="I1102" s="7" t="s">
        <v>55</v>
      </c>
      <c r="J1102" s="8"/>
      <c r="K1102" s="8"/>
      <c r="L1102" s="7" t="s">
        <v>5122</v>
      </c>
      <c r="M1102" s="7" t="s">
        <v>2742</v>
      </c>
      <c r="N1102" s="7">
        <v>157</v>
      </c>
      <c r="O1102" s="7" t="s">
        <v>5123</v>
      </c>
    </row>
    <row r="1103" spans="1:16">
      <c r="A1103" s="6" t="s">
        <v>31</v>
      </c>
      <c r="B1103" s="7">
        <v>984769</v>
      </c>
      <c r="C1103" s="7">
        <v>984942</v>
      </c>
      <c r="D1103" s="8"/>
      <c r="E1103" s="7" t="s">
        <v>75</v>
      </c>
      <c r="F1103" s="7" t="s">
        <v>1280</v>
      </c>
      <c r="G1103" s="8"/>
      <c r="H1103" s="8"/>
      <c r="I1103" s="7" t="s">
        <v>55</v>
      </c>
      <c r="J1103" s="8"/>
      <c r="K1103" s="8"/>
      <c r="L1103" s="7" t="s">
        <v>5124</v>
      </c>
      <c r="M1103" s="7" t="s">
        <v>1280</v>
      </c>
      <c r="N1103" s="7">
        <v>57</v>
      </c>
      <c r="O1103" s="7" t="s">
        <v>5125</v>
      </c>
    </row>
    <row r="1104" spans="1:16">
      <c r="A1104" s="6" t="s">
        <v>31</v>
      </c>
      <c r="B1104" s="7">
        <v>985406</v>
      </c>
      <c r="C1104" s="7">
        <v>985765</v>
      </c>
      <c r="D1104" s="8"/>
      <c r="E1104" s="7" t="s">
        <v>75</v>
      </c>
      <c r="F1104" s="7" t="s">
        <v>5126</v>
      </c>
      <c r="G1104" s="7" t="s">
        <v>1102</v>
      </c>
      <c r="H1104" s="8"/>
      <c r="I1104" s="7" t="s">
        <v>55</v>
      </c>
      <c r="J1104" s="8"/>
      <c r="K1104" s="8"/>
      <c r="L1104" s="7" t="s">
        <v>5127</v>
      </c>
      <c r="M1104" s="7" t="s">
        <v>5126</v>
      </c>
      <c r="N1104" s="7">
        <v>119</v>
      </c>
      <c r="O1104" s="7" t="s">
        <v>5128</v>
      </c>
    </row>
    <row r="1105" spans="1:16">
      <c r="A1105" s="6" t="s">
        <v>31</v>
      </c>
      <c r="B1105" s="7">
        <v>985822</v>
      </c>
      <c r="C1105" s="7">
        <v>986022</v>
      </c>
      <c r="D1105" s="8"/>
      <c r="E1105" s="7" t="s">
        <v>75</v>
      </c>
      <c r="F1105" s="7" t="s">
        <v>5129</v>
      </c>
      <c r="G1105" s="7" t="s">
        <v>1104</v>
      </c>
      <c r="H1105" s="8"/>
      <c r="I1105" s="7" t="s">
        <v>55</v>
      </c>
      <c r="J1105" s="8"/>
      <c r="K1105" s="8"/>
      <c r="L1105" s="7" t="s">
        <v>5130</v>
      </c>
      <c r="M1105" s="7" t="s">
        <v>5129</v>
      </c>
      <c r="N1105" s="7">
        <v>66</v>
      </c>
      <c r="O1105" s="7" t="s">
        <v>5131</v>
      </c>
    </row>
    <row r="1106" spans="1:16">
      <c r="A1106" s="6" t="s">
        <v>31</v>
      </c>
      <c r="B1106" s="7">
        <v>986061</v>
      </c>
      <c r="C1106" s="7">
        <v>986591</v>
      </c>
      <c r="D1106" s="8"/>
      <c r="E1106" s="7" t="s">
        <v>75</v>
      </c>
      <c r="F1106" s="7" t="s">
        <v>5132</v>
      </c>
      <c r="G1106" s="7" t="s">
        <v>1106</v>
      </c>
      <c r="H1106" s="8"/>
      <c r="I1106" s="7" t="s">
        <v>55</v>
      </c>
      <c r="J1106" s="8"/>
      <c r="K1106" s="8"/>
      <c r="L1106" s="7" t="s">
        <v>5133</v>
      </c>
      <c r="M1106" s="7" t="s">
        <v>5132</v>
      </c>
      <c r="N1106" s="7">
        <v>176</v>
      </c>
      <c r="O1106" s="7" t="s">
        <v>5134</v>
      </c>
    </row>
    <row r="1107" spans="1:16">
      <c r="A1107" s="6" t="s">
        <v>31</v>
      </c>
      <c r="B1107" s="7">
        <v>986751</v>
      </c>
      <c r="C1107" s="7">
        <v>987431</v>
      </c>
      <c r="D1107" s="8"/>
      <c r="E1107" s="7" t="s">
        <v>75</v>
      </c>
      <c r="F1107" s="7" t="s">
        <v>5135</v>
      </c>
      <c r="G1107" s="7" t="s">
        <v>1108</v>
      </c>
      <c r="H1107" s="8"/>
      <c r="I1107" s="7" t="s">
        <v>55</v>
      </c>
      <c r="J1107" s="8"/>
      <c r="K1107" s="8"/>
      <c r="L1107" s="7" t="s">
        <v>5136</v>
      </c>
      <c r="M1107" s="7" t="s">
        <v>5135</v>
      </c>
      <c r="N1107" s="7">
        <v>226</v>
      </c>
      <c r="O1107" s="7" t="s">
        <v>5137</v>
      </c>
      <c r="P1107" s="7"/>
    </row>
    <row r="1108" spans="1:16">
      <c r="A1108" s="6" t="s">
        <v>31</v>
      </c>
      <c r="B1108" s="7">
        <v>987452</v>
      </c>
      <c r="C1108" s="7">
        <v>988081</v>
      </c>
      <c r="D1108" s="8"/>
      <c r="E1108" s="7" t="s">
        <v>75</v>
      </c>
      <c r="F1108" s="7" t="s">
        <v>2130</v>
      </c>
      <c r="G1108" s="8"/>
      <c r="H1108" s="8"/>
      <c r="I1108" s="7" t="s">
        <v>55</v>
      </c>
      <c r="J1108" s="8"/>
      <c r="K1108" s="8"/>
      <c r="L1108" s="7" t="s">
        <v>5138</v>
      </c>
      <c r="M1108" s="7" t="s">
        <v>2130</v>
      </c>
      <c r="N1108" s="7">
        <v>209</v>
      </c>
      <c r="O1108" s="7" t="s">
        <v>5139</v>
      </c>
    </row>
    <row r="1109" spans="1:16">
      <c r="A1109" s="6" t="s">
        <v>31</v>
      </c>
      <c r="B1109" s="7">
        <v>988308</v>
      </c>
      <c r="C1109" s="7">
        <v>988808</v>
      </c>
      <c r="D1109" s="8"/>
      <c r="E1109" s="7" t="s">
        <v>75</v>
      </c>
      <c r="F1109" s="7" t="s">
        <v>5140</v>
      </c>
      <c r="G1109" s="8"/>
      <c r="H1109" s="8"/>
      <c r="I1109" s="7" t="s">
        <v>55</v>
      </c>
      <c r="J1109" s="8"/>
      <c r="K1109" s="8"/>
      <c r="L1109" s="7" t="s">
        <v>5141</v>
      </c>
      <c r="M1109" s="7" t="s">
        <v>5140</v>
      </c>
      <c r="N1109" s="7">
        <v>166</v>
      </c>
      <c r="O1109" s="7" t="s">
        <v>5142</v>
      </c>
    </row>
    <row r="1110" spans="1:16">
      <c r="A1110" s="6" t="s">
        <v>31</v>
      </c>
      <c r="B1110" s="7">
        <v>988865</v>
      </c>
      <c r="C1110" s="7">
        <v>990088</v>
      </c>
      <c r="D1110" s="8"/>
      <c r="E1110" s="7" t="s">
        <v>75</v>
      </c>
      <c r="F1110" s="7" t="s">
        <v>5143</v>
      </c>
      <c r="G1110" s="7" t="s">
        <v>1113</v>
      </c>
      <c r="H1110" s="8"/>
      <c r="I1110" s="7" t="s">
        <v>55</v>
      </c>
      <c r="J1110" s="8"/>
      <c r="K1110" s="8"/>
      <c r="L1110" s="7" t="s">
        <v>5144</v>
      </c>
      <c r="M1110" s="7" t="s">
        <v>5143</v>
      </c>
      <c r="N1110" s="7">
        <v>407</v>
      </c>
      <c r="O1110" s="7" t="s">
        <v>5145</v>
      </c>
      <c r="P1110" s="7"/>
    </row>
    <row r="1111" spans="1:16">
      <c r="A1111" s="6" t="s">
        <v>31</v>
      </c>
      <c r="B1111" s="7">
        <v>990297</v>
      </c>
      <c r="C1111" s="7">
        <v>990854</v>
      </c>
      <c r="D1111" s="8"/>
      <c r="E1111" s="7" t="s">
        <v>75</v>
      </c>
      <c r="F1111" s="7" t="s">
        <v>5146</v>
      </c>
      <c r="G1111" s="8"/>
      <c r="H1111" s="8"/>
      <c r="I1111" s="7" t="s">
        <v>55</v>
      </c>
      <c r="J1111" s="8"/>
      <c r="K1111" s="8"/>
      <c r="L1111" s="7" t="s">
        <v>5147</v>
      </c>
      <c r="M1111" s="7" t="s">
        <v>5146</v>
      </c>
      <c r="N1111" s="7">
        <v>185</v>
      </c>
      <c r="O1111" s="7" t="s">
        <v>5148</v>
      </c>
      <c r="P1111" s="7"/>
    </row>
    <row r="1112" spans="1:16">
      <c r="A1112" s="6" t="s">
        <v>31</v>
      </c>
      <c r="B1112" s="7">
        <v>990977</v>
      </c>
      <c r="C1112" s="7">
        <v>992206</v>
      </c>
      <c r="D1112" s="8"/>
      <c r="E1112" s="7" t="s">
        <v>75</v>
      </c>
      <c r="F1112" s="7" t="s">
        <v>5149</v>
      </c>
      <c r="G1112" s="8"/>
      <c r="H1112" s="8"/>
      <c r="I1112" s="7" t="s">
        <v>55</v>
      </c>
      <c r="J1112" s="8"/>
      <c r="K1112" s="8"/>
      <c r="L1112" s="7" t="s">
        <v>5150</v>
      </c>
      <c r="M1112" s="7" t="s">
        <v>5149</v>
      </c>
      <c r="N1112" s="7">
        <v>409</v>
      </c>
      <c r="O1112" s="7" t="s">
        <v>5151</v>
      </c>
    </row>
    <row r="1113" spans="1:16">
      <c r="A1113" s="6" t="s">
        <v>31</v>
      </c>
      <c r="B1113" s="7">
        <v>992196</v>
      </c>
      <c r="C1113" s="7">
        <v>993374</v>
      </c>
      <c r="D1113" s="8"/>
      <c r="E1113" s="7" t="s">
        <v>75</v>
      </c>
      <c r="F1113" s="7" t="s">
        <v>5152</v>
      </c>
      <c r="G1113" s="8"/>
      <c r="H1113" s="8"/>
      <c r="I1113" s="7" t="s">
        <v>55</v>
      </c>
      <c r="J1113" s="8"/>
      <c r="K1113" s="8"/>
      <c r="L1113" s="7" t="s">
        <v>5153</v>
      </c>
      <c r="M1113" s="7" t="s">
        <v>5152</v>
      </c>
      <c r="N1113" s="7">
        <v>392</v>
      </c>
      <c r="O1113" s="7" t="s">
        <v>5154</v>
      </c>
    </row>
    <row r="1114" spans="1:16">
      <c r="A1114" s="6" t="s">
        <v>31</v>
      </c>
      <c r="B1114" s="7">
        <v>993385</v>
      </c>
      <c r="C1114" s="7">
        <v>993867</v>
      </c>
      <c r="D1114" s="8"/>
      <c r="E1114" s="7" t="s">
        <v>75</v>
      </c>
      <c r="F1114" s="7" t="s">
        <v>1119</v>
      </c>
      <c r="G1114" s="7" t="s">
        <v>5155</v>
      </c>
      <c r="H1114" s="8"/>
      <c r="I1114" s="7" t="s">
        <v>55</v>
      </c>
      <c r="J1114" s="8"/>
      <c r="K1114" s="8"/>
      <c r="L1114" s="7" t="s">
        <v>5156</v>
      </c>
      <c r="M1114" s="7" t="s">
        <v>1119</v>
      </c>
      <c r="N1114" s="7">
        <v>160</v>
      </c>
      <c r="O1114" s="7" t="s">
        <v>5157</v>
      </c>
      <c r="P1114" s="7"/>
    </row>
    <row r="1115" spans="1:16">
      <c r="A1115" s="6" t="s">
        <v>31</v>
      </c>
      <c r="B1115" s="7">
        <v>994023</v>
      </c>
      <c r="C1115" s="7">
        <v>994952</v>
      </c>
      <c r="D1115" s="8"/>
      <c r="E1115" s="7" t="s">
        <v>75</v>
      </c>
      <c r="F1115" s="7" t="s">
        <v>5158</v>
      </c>
      <c r="G1115" s="7" t="s">
        <v>1121</v>
      </c>
      <c r="H1115" s="8"/>
      <c r="I1115" s="7" t="s">
        <v>55</v>
      </c>
      <c r="J1115" s="8"/>
      <c r="K1115" s="8"/>
      <c r="L1115" s="7" t="s">
        <v>5159</v>
      </c>
      <c r="M1115" s="7" t="s">
        <v>5158</v>
      </c>
      <c r="N1115" s="7">
        <v>309</v>
      </c>
      <c r="O1115" s="7" t="s">
        <v>5160</v>
      </c>
    </row>
    <row r="1116" spans="1:16">
      <c r="A1116" s="6" t="s">
        <v>31</v>
      </c>
      <c r="B1116" s="7">
        <v>994945</v>
      </c>
      <c r="C1116" s="7">
        <v>995637</v>
      </c>
      <c r="D1116" s="8"/>
      <c r="E1116" s="7" t="s">
        <v>75</v>
      </c>
      <c r="F1116" s="7" t="s">
        <v>5161</v>
      </c>
      <c r="G1116" s="7" t="s">
        <v>1123</v>
      </c>
      <c r="H1116" s="8"/>
      <c r="I1116" s="7" t="s">
        <v>55</v>
      </c>
      <c r="J1116" s="8"/>
      <c r="K1116" s="8"/>
      <c r="L1116" s="7" t="s">
        <v>5162</v>
      </c>
      <c r="M1116" s="7" t="s">
        <v>5161</v>
      </c>
      <c r="N1116" s="7">
        <v>230</v>
      </c>
      <c r="O1116" s="7" t="s">
        <v>5163</v>
      </c>
    </row>
    <row r="1117" spans="1:16">
      <c r="A1117" s="6" t="s">
        <v>31</v>
      </c>
      <c r="B1117" s="7">
        <v>995725</v>
      </c>
      <c r="C1117" s="7">
        <v>996705</v>
      </c>
      <c r="D1117" s="8"/>
      <c r="E1117" s="7" t="s">
        <v>75</v>
      </c>
      <c r="F1117" s="7" t="s">
        <v>5164</v>
      </c>
      <c r="G1117" s="7" t="s">
        <v>1125</v>
      </c>
      <c r="H1117" s="8"/>
      <c r="I1117" s="7" t="s">
        <v>55</v>
      </c>
      <c r="J1117" s="8"/>
      <c r="K1117" s="8"/>
      <c r="L1117" s="7" t="s">
        <v>5165</v>
      </c>
      <c r="M1117" s="7" t="s">
        <v>5164</v>
      </c>
      <c r="N1117" s="7">
        <v>326</v>
      </c>
      <c r="O1117" s="7" t="s">
        <v>5166</v>
      </c>
    </row>
    <row r="1118" spans="1:16">
      <c r="A1118" s="6" t="s">
        <v>31</v>
      </c>
      <c r="B1118" s="7">
        <v>996876</v>
      </c>
      <c r="C1118" s="7">
        <v>997967</v>
      </c>
      <c r="D1118" s="8"/>
      <c r="E1118" s="7" t="s">
        <v>75</v>
      </c>
      <c r="F1118" s="7" t="s">
        <v>5167</v>
      </c>
      <c r="G1118" s="7" t="s">
        <v>1127</v>
      </c>
      <c r="H1118" s="8"/>
      <c r="I1118" s="7" t="s">
        <v>55</v>
      </c>
      <c r="J1118" s="8"/>
      <c r="K1118" s="8"/>
      <c r="L1118" s="7" t="s">
        <v>5168</v>
      </c>
      <c r="M1118" s="7" t="s">
        <v>5167</v>
      </c>
      <c r="N1118" s="7">
        <v>363</v>
      </c>
      <c r="O1118" s="7" t="s">
        <v>5169</v>
      </c>
      <c r="P1118" s="7"/>
    </row>
    <row r="1119" spans="1:16">
      <c r="A1119" s="6" t="s">
        <v>31</v>
      </c>
      <c r="B1119" s="7">
        <v>998007</v>
      </c>
      <c r="C1119" s="7">
        <v>998945</v>
      </c>
      <c r="D1119" s="8"/>
      <c r="E1119" s="7" t="s">
        <v>53</v>
      </c>
      <c r="F1119" s="7" t="s">
        <v>5170</v>
      </c>
      <c r="G1119" s="8"/>
      <c r="H1119" s="8"/>
      <c r="I1119" s="7" t="s">
        <v>55</v>
      </c>
      <c r="J1119" s="8"/>
      <c r="K1119" s="8"/>
      <c r="L1119" s="7" t="s">
        <v>5171</v>
      </c>
      <c r="M1119" s="7" t="s">
        <v>5170</v>
      </c>
      <c r="N1119" s="7">
        <v>312</v>
      </c>
      <c r="O1119" s="7" t="s">
        <v>5172</v>
      </c>
    </row>
    <row r="1120" spans="1:16">
      <c r="A1120" s="6" t="s">
        <v>31</v>
      </c>
      <c r="B1120" s="7">
        <v>998969</v>
      </c>
      <c r="C1120" s="7">
        <v>999715</v>
      </c>
      <c r="D1120" s="8"/>
      <c r="E1120" s="7" t="s">
        <v>75</v>
      </c>
      <c r="F1120" s="7" t="s">
        <v>1130</v>
      </c>
      <c r="G1120" s="7" t="s">
        <v>5173</v>
      </c>
      <c r="H1120" s="8"/>
      <c r="I1120" s="7" t="s">
        <v>55</v>
      </c>
      <c r="J1120" s="8"/>
      <c r="K1120" s="8"/>
      <c r="L1120" s="7" t="s">
        <v>5174</v>
      </c>
      <c r="M1120" s="7" t="s">
        <v>1130</v>
      </c>
      <c r="N1120" s="7">
        <v>248</v>
      </c>
      <c r="O1120" s="7" t="s">
        <v>5175</v>
      </c>
      <c r="P1120" s="7"/>
    </row>
    <row r="1121" spans="1:16">
      <c r="A1121" s="6" t="s">
        <v>31</v>
      </c>
      <c r="B1121" s="7">
        <v>999824</v>
      </c>
      <c r="C1121" s="7">
        <v>1002508</v>
      </c>
      <c r="D1121" s="8"/>
      <c r="E1121" s="7" t="s">
        <v>75</v>
      </c>
      <c r="F1121" s="7" t="s">
        <v>5176</v>
      </c>
      <c r="G1121" s="8"/>
      <c r="H1121" s="8"/>
      <c r="I1121" s="7" t="s">
        <v>55</v>
      </c>
      <c r="J1121" s="8"/>
      <c r="K1121" s="8"/>
      <c r="L1121" s="7" t="s">
        <v>5177</v>
      </c>
      <c r="M1121" s="7" t="s">
        <v>5176</v>
      </c>
      <c r="N1121" s="7">
        <v>894</v>
      </c>
      <c r="O1121" s="7" t="s">
        <v>5178</v>
      </c>
      <c r="P1121" s="7"/>
    </row>
    <row r="1122" spans="1:16">
      <c r="A1122" s="6" t="s">
        <v>31</v>
      </c>
      <c r="B1122" s="7">
        <v>1002774</v>
      </c>
      <c r="C1122" s="7">
        <v>1003160</v>
      </c>
      <c r="D1122" s="8"/>
      <c r="E1122" s="7" t="s">
        <v>75</v>
      </c>
      <c r="F1122" s="7" t="s">
        <v>2130</v>
      </c>
      <c r="G1122" s="8"/>
      <c r="H1122" s="8"/>
      <c r="I1122" s="7" t="s">
        <v>55</v>
      </c>
      <c r="J1122" s="8"/>
      <c r="K1122" s="8"/>
      <c r="L1122" s="7" t="s">
        <v>5179</v>
      </c>
      <c r="M1122" s="7" t="s">
        <v>2130</v>
      </c>
      <c r="N1122" s="7">
        <v>128</v>
      </c>
      <c r="O1122" s="7" t="s">
        <v>5180</v>
      </c>
    </row>
    <row r="1123" spans="1:16">
      <c r="A1123" s="6" t="s">
        <v>31</v>
      </c>
      <c r="B1123" s="7">
        <v>1003252</v>
      </c>
      <c r="C1123" s="7">
        <v>1003569</v>
      </c>
      <c r="D1123" s="8"/>
      <c r="E1123" s="7" t="s">
        <v>75</v>
      </c>
      <c r="F1123" s="7" t="s">
        <v>2742</v>
      </c>
      <c r="G1123" s="8"/>
      <c r="H1123" s="8"/>
      <c r="I1123" s="7" t="s">
        <v>55</v>
      </c>
      <c r="J1123" s="8"/>
      <c r="K1123" s="8"/>
      <c r="L1123" s="7" t="s">
        <v>5181</v>
      </c>
      <c r="M1123" s="7" t="s">
        <v>2742</v>
      </c>
      <c r="N1123" s="7">
        <v>105</v>
      </c>
      <c r="O1123" s="7" t="s">
        <v>5182</v>
      </c>
    </row>
    <row r="1124" spans="1:16">
      <c r="A1124" s="6" t="s">
        <v>31</v>
      </c>
      <c r="B1124" s="7">
        <v>1003676</v>
      </c>
      <c r="C1124" s="7">
        <v>1003867</v>
      </c>
      <c r="D1124" s="8"/>
      <c r="E1124" s="7" t="s">
        <v>75</v>
      </c>
      <c r="F1124" s="7" t="s">
        <v>2095</v>
      </c>
      <c r="G1124" s="8"/>
      <c r="H1124" s="8"/>
      <c r="I1124" s="7" t="s">
        <v>55</v>
      </c>
      <c r="J1124" s="8"/>
      <c r="K1124" s="8"/>
      <c r="L1124" s="7" t="s">
        <v>5183</v>
      </c>
      <c r="M1124" s="7" t="s">
        <v>2095</v>
      </c>
      <c r="N1124" s="7">
        <v>63</v>
      </c>
      <c r="O1124" s="7" t="s">
        <v>5184</v>
      </c>
    </row>
    <row r="1125" spans="1:16">
      <c r="A1125" s="6" t="s">
        <v>31</v>
      </c>
      <c r="B1125" s="7">
        <v>1003883</v>
      </c>
      <c r="C1125" s="7">
        <v>1004020</v>
      </c>
      <c r="D1125" s="8"/>
      <c r="E1125" s="7" t="s">
        <v>75</v>
      </c>
      <c r="F1125" s="7" t="s">
        <v>2130</v>
      </c>
      <c r="G1125" s="8"/>
      <c r="H1125" s="8"/>
      <c r="I1125" s="7" t="s">
        <v>55</v>
      </c>
      <c r="J1125" s="8"/>
      <c r="K1125" s="8"/>
      <c r="L1125" s="7" t="s">
        <v>5185</v>
      </c>
      <c r="M1125" s="7" t="s">
        <v>2130</v>
      </c>
      <c r="N1125" s="7">
        <v>45</v>
      </c>
      <c r="O1125" s="7" t="s">
        <v>5186</v>
      </c>
    </row>
    <row r="1126" spans="1:16">
      <c r="A1126" s="6" t="s">
        <v>31</v>
      </c>
      <c r="B1126" s="7">
        <v>1004340</v>
      </c>
      <c r="C1126" s="7">
        <v>1005149</v>
      </c>
      <c r="D1126" s="8"/>
      <c r="E1126" s="7" t="s">
        <v>53</v>
      </c>
      <c r="F1126" s="7" t="s">
        <v>5187</v>
      </c>
      <c r="G1126" s="8"/>
      <c r="H1126" s="8"/>
      <c r="I1126" s="7" t="s">
        <v>55</v>
      </c>
      <c r="J1126" s="8"/>
      <c r="K1126" s="8"/>
      <c r="L1126" s="7" t="s">
        <v>5188</v>
      </c>
      <c r="M1126" s="7" t="s">
        <v>5187</v>
      </c>
      <c r="N1126" s="7">
        <v>269</v>
      </c>
      <c r="O1126" s="7" t="s">
        <v>5189</v>
      </c>
    </row>
    <row r="1127" spans="1:16">
      <c r="A1127" s="6" t="s">
        <v>31</v>
      </c>
      <c r="B1127" s="7">
        <v>1005151</v>
      </c>
      <c r="C1127" s="7">
        <v>1006365</v>
      </c>
      <c r="D1127" s="8"/>
      <c r="E1127" s="7" t="s">
        <v>53</v>
      </c>
      <c r="F1127" s="7" t="s">
        <v>5190</v>
      </c>
      <c r="G1127" s="8"/>
      <c r="H1127" s="8"/>
      <c r="I1127" s="7" t="s">
        <v>55</v>
      </c>
      <c r="J1127" s="8"/>
      <c r="K1127" s="8"/>
      <c r="L1127" s="7" t="s">
        <v>5191</v>
      </c>
      <c r="M1127" s="7" t="s">
        <v>5190</v>
      </c>
      <c r="N1127" s="7">
        <v>404</v>
      </c>
      <c r="O1127" s="7" t="s">
        <v>5192</v>
      </c>
    </row>
    <row r="1128" spans="1:16">
      <c r="A1128" s="6" t="s">
        <v>31</v>
      </c>
      <c r="B1128" s="7">
        <v>1006838</v>
      </c>
      <c r="C1128" s="7">
        <v>1007650</v>
      </c>
      <c r="D1128" s="8"/>
      <c r="E1128" s="7" t="s">
        <v>75</v>
      </c>
      <c r="F1128" s="7" t="s">
        <v>5193</v>
      </c>
      <c r="G1128" s="7" t="s">
        <v>5194</v>
      </c>
      <c r="H1128" s="8"/>
      <c r="I1128" s="7" t="s">
        <v>55</v>
      </c>
      <c r="J1128" s="8"/>
      <c r="K1128" s="8"/>
      <c r="L1128" s="7" t="s">
        <v>5195</v>
      </c>
      <c r="M1128" s="7" t="s">
        <v>5193</v>
      </c>
      <c r="N1128" s="7">
        <v>270</v>
      </c>
      <c r="O1128" s="7" t="s">
        <v>5196</v>
      </c>
    </row>
    <row r="1129" spans="1:16">
      <c r="A1129" s="6" t="s">
        <v>31</v>
      </c>
      <c r="B1129" s="7">
        <v>1007656</v>
      </c>
      <c r="C1129" s="7">
        <v>1008996</v>
      </c>
      <c r="D1129" s="8"/>
      <c r="E1129" s="7" t="s">
        <v>75</v>
      </c>
      <c r="F1129" s="7" t="s">
        <v>5197</v>
      </c>
      <c r="G1129" s="8"/>
      <c r="H1129" s="8"/>
      <c r="I1129" s="7" t="s">
        <v>55</v>
      </c>
      <c r="J1129" s="8"/>
      <c r="K1129" s="8"/>
      <c r="L1129" s="7" t="s">
        <v>5198</v>
      </c>
      <c r="M1129" s="7" t="s">
        <v>5197</v>
      </c>
      <c r="N1129" s="7">
        <v>446</v>
      </c>
      <c r="O1129" s="7" t="s">
        <v>5199</v>
      </c>
    </row>
    <row r="1130" spans="1:16">
      <c r="A1130" s="6" t="s">
        <v>31</v>
      </c>
      <c r="B1130" s="7">
        <v>1008989</v>
      </c>
      <c r="C1130" s="7">
        <v>1009696</v>
      </c>
      <c r="D1130" s="8"/>
      <c r="E1130" s="7" t="s">
        <v>75</v>
      </c>
      <c r="F1130" s="7" t="s">
        <v>5200</v>
      </c>
      <c r="G1130" s="7" t="s">
        <v>5201</v>
      </c>
      <c r="H1130" s="8"/>
      <c r="I1130" s="7" t="s">
        <v>55</v>
      </c>
      <c r="J1130" s="8"/>
      <c r="K1130" s="8"/>
      <c r="L1130" s="7" t="s">
        <v>5202</v>
      </c>
      <c r="M1130" s="7" t="s">
        <v>5200</v>
      </c>
      <c r="N1130" s="7">
        <v>235</v>
      </c>
      <c r="O1130" s="7" t="s">
        <v>5203</v>
      </c>
    </row>
    <row r="1131" spans="1:16">
      <c r="A1131" s="6" t="s">
        <v>31</v>
      </c>
      <c r="B1131" s="7">
        <v>1010031</v>
      </c>
      <c r="C1131" s="7">
        <v>1010168</v>
      </c>
      <c r="D1131" s="8"/>
      <c r="E1131" s="7" t="s">
        <v>53</v>
      </c>
      <c r="F1131" s="7" t="s">
        <v>2095</v>
      </c>
      <c r="G1131" s="8"/>
      <c r="H1131" s="8"/>
      <c r="I1131" s="7" t="s">
        <v>55</v>
      </c>
      <c r="J1131" s="8"/>
      <c r="K1131" s="8"/>
      <c r="L1131" s="7" t="s">
        <v>5204</v>
      </c>
      <c r="M1131" s="7" t="s">
        <v>2095</v>
      </c>
      <c r="N1131" s="7">
        <v>45</v>
      </c>
      <c r="O1131" s="7" t="s">
        <v>5205</v>
      </c>
    </row>
    <row r="1132" spans="1:16">
      <c r="A1132" s="6" t="s">
        <v>31</v>
      </c>
      <c r="B1132" s="7">
        <v>1010228</v>
      </c>
      <c r="C1132" s="7">
        <v>1010995</v>
      </c>
      <c r="D1132" s="8"/>
      <c r="E1132" s="7" t="s">
        <v>53</v>
      </c>
      <c r="F1132" s="7" t="s">
        <v>5206</v>
      </c>
      <c r="G1132" s="7" t="s">
        <v>5207</v>
      </c>
      <c r="H1132" s="8"/>
      <c r="I1132" s="7" t="s">
        <v>55</v>
      </c>
      <c r="J1132" s="8"/>
      <c r="K1132" s="8"/>
      <c r="L1132" s="7" t="s">
        <v>5208</v>
      </c>
      <c r="M1132" s="7" t="s">
        <v>5206</v>
      </c>
      <c r="N1132" s="7">
        <v>255</v>
      </c>
      <c r="O1132" s="7" t="s">
        <v>5209</v>
      </c>
      <c r="P1132" s="7"/>
    </row>
    <row r="1133" spans="1:16">
      <c r="A1133" s="6" t="s">
        <v>31</v>
      </c>
      <c r="B1133" s="7">
        <v>1011007</v>
      </c>
      <c r="C1133" s="7">
        <v>1011840</v>
      </c>
      <c r="D1133" s="8"/>
      <c r="E1133" s="7" t="s">
        <v>53</v>
      </c>
      <c r="F1133" s="7" t="s">
        <v>5210</v>
      </c>
      <c r="G1133" s="8"/>
      <c r="H1133" s="8"/>
      <c r="I1133" s="7" t="s">
        <v>55</v>
      </c>
      <c r="J1133" s="8"/>
      <c r="K1133" s="8"/>
      <c r="L1133" s="7" t="s">
        <v>5211</v>
      </c>
      <c r="M1133" s="7" t="s">
        <v>5210</v>
      </c>
      <c r="N1133" s="7">
        <v>277</v>
      </c>
      <c r="O1133" s="7" t="s">
        <v>5212</v>
      </c>
    </row>
    <row r="1134" spans="1:16">
      <c r="A1134" s="6" t="s">
        <v>31</v>
      </c>
      <c r="B1134" s="7">
        <v>1011858</v>
      </c>
      <c r="C1134" s="7">
        <v>1012556</v>
      </c>
      <c r="D1134" s="8"/>
      <c r="E1134" s="7" t="s">
        <v>53</v>
      </c>
      <c r="F1134" s="7" t="s">
        <v>5213</v>
      </c>
      <c r="G1134" s="8"/>
      <c r="H1134" s="8"/>
      <c r="I1134" s="7" t="s">
        <v>55</v>
      </c>
      <c r="J1134" s="8"/>
      <c r="K1134" s="8"/>
      <c r="L1134" s="7" t="s">
        <v>5214</v>
      </c>
      <c r="M1134" s="7" t="s">
        <v>5213</v>
      </c>
      <c r="N1134" s="7">
        <v>232</v>
      </c>
      <c r="O1134" s="7" t="s">
        <v>5215</v>
      </c>
    </row>
    <row r="1135" spans="1:16">
      <c r="A1135" s="6" t="s">
        <v>31</v>
      </c>
      <c r="B1135" s="7">
        <v>1012568</v>
      </c>
      <c r="C1135" s="7">
        <v>1013218</v>
      </c>
      <c r="D1135" s="8"/>
      <c r="E1135" s="7" t="s">
        <v>53</v>
      </c>
      <c r="F1135" s="7" t="s">
        <v>5216</v>
      </c>
      <c r="G1135" s="7" t="s">
        <v>5217</v>
      </c>
      <c r="H1135" s="8"/>
      <c r="I1135" s="7" t="s">
        <v>55</v>
      </c>
      <c r="J1135" s="8"/>
      <c r="K1135" s="8"/>
      <c r="L1135" s="7" t="s">
        <v>5218</v>
      </c>
      <c r="M1135" s="7" t="s">
        <v>5216</v>
      </c>
      <c r="N1135" s="7">
        <v>216</v>
      </c>
      <c r="O1135" s="7" t="s">
        <v>5219</v>
      </c>
    </row>
    <row r="1136" spans="1:16">
      <c r="A1136" s="6" t="s">
        <v>31</v>
      </c>
      <c r="B1136" s="7">
        <v>1013289</v>
      </c>
      <c r="C1136" s="7">
        <v>1014170</v>
      </c>
      <c r="D1136" s="8"/>
      <c r="E1136" s="7" t="s">
        <v>75</v>
      </c>
      <c r="F1136" s="7" t="s">
        <v>5220</v>
      </c>
      <c r="G1136" s="7" t="s">
        <v>5221</v>
      </c>
      <c r="H1136" s="8"/>
      <c r="I1136" s="7" t="s">
        <v>55</v>
      </c>
      <c r="J1136" s="8"/>
      <c r="K1136" s="8"/>
      <c r="L1136" s="7" t="s">
        <v>5222</v>
      </c>
      <c r="M1136" s="7" t="s">
        <v>5220</v>
      </c>
      <c r="N1136" s="7">
        <v>293</v>
      </c>
      <c r="O1136" s="7" t="s">
        <v>5223</v>
      </c>
    </row>
    <row r="1137" spans="1:17">
      <c r="A1137" s="6" t="s">
        <v>31</v>
      </c>
      <c r="B1137" s="7">
        <v>1014232</v>
      </c>
      <c r="C1137" s="7">
        <v>1014420</v>
      </c>
      <c r="D1137" s="8"/>
      <c r="E1137" s="7" t="s">
        <v>75</v>
      </c>
      <c r="F1137" s="7" t="s">
        <v>5224</v>
      </c>
      <c r="G1137" s="7" t="s">
        <v>5225</v>
      </c>
      <c r="H1137" s="8"/>
      <c r="I1137" s="7" t="s">
        <v>55</v>
      </c>
      <c r="J1137" s="8"/>
      <c r="K1137" s="8"/>
      <c r="L1137" s="7" t="s">
        <v>5226</v>
      </c>
      <c r="M1137" s="7" t="s">
        <v>5224</v>
      </c>
      <c r="N1137" s="7">
        <v>62</v>
      </c>
      <c r="O1137" s="7" t="s">
        <v>5227</v>
      </c>
    </row>
    <row r="1138" spans="1:17">
      <c r="A1138" s="6" t="s">
        <v>31</v>
      </c>
      <c r="B1138" s="7">
        <v>1014422</v>
      </c>
      <c r="C1138" s="7">
        <v>1015693</v>
      </c>
      <c r="D1138" s="8"/>
      <c r="E1138" s="7" t="s">
        <v>75</v>
      </c>
      <c r="F1138" s="7" t="s">
        <v>1145</v>
      </c>
      <c r="G1138" s="7" t="s">
        <v>5228</v>
      </c>
      <c r="H1138" s="8"/>
      <c r="I1138" s="7" t="s">
        <v>55</v>
      </c>
      <c r="J1138" s="8"/>
      <c r="K1138" s="8"/>
      <c r="L1138" s="7" t="s">
        <v>5229</v>
      </c>
      <c r="M1138" s="7" t="s">
        <v>1145</v>
      </c>
      <c r="N1138" s="7">
        <v>423</v>
      </c>
      <c r="O1138" s="7" t="s">
        <v>5230</v>
      </c>
      <c r="P1138" s="7"/>
    </row>
    <row r="1139" spans="1:17">
      <c r="A1139" s="6" t="s">
        <v>31</v>
      </c>
      <c r="B1139" s="7">
        <v>1015763</v>
      </c>
      <c r="C1139" s="7">
        <v>1015999</v>
      </c>
      <c r="D1139" s="8"/>
      <c r="E1139" s="7" t="s">
        <v>75</v>
      </c>
      <c r="F1139" s="7" t="s">
        <v>3657</v>
      </c>
      <c r="G1139" s="8"/>
      <c r="H1139" s="8"/>
      <c r="I1139" s="7" t="s">
        <v>55</v>
      </c>
      <c r="J1139" s="8"/>
      <c r="K1139" s="8"/>
      <c r="L1139" s="7" t="s">
        <v>5231</v>
      </c>
      <c r="M1139" s="7" t="s">
        <v>3657</v>
      </c>
      <c r="N1139" s="7">
        <v>78</v>
      </c>
      <c r="O1139" s="7" t="s">
        <v>5232</v>
      </c>
    </row>
    <row r="1140" spans="1:17">
      <c r="A1140" s="6" t="s">
        <v>31</v>
      </c>
      <c r="B1140" s="7">
        <v>1016187</v>
      </c>
      <c r="C1140" s="7">
        <v>1017200</v>
      </c>
      <c r="D1140" s="8"/>
      <c r="E1140" s="7" t="s">
        <v>75</v>
      </c>
      <c r="F1140" s="7" t="s">
        <v>5233</v>
      </c>
      <c r="G1140" s="7" t="s">
        <v>1148</v>
      </c>
      <c r="H1140" s="8"/>
      <c r="I1140" s="7" t="s">
        <v>55</v>
      </c>
      <c r="J1140" s="8"/>
      <c r="K1140" s="8"/>
      <c r="L1140" s="7" t="s">
        <v>5234</v>
      </c>
      <c r="M1140" s="7" t="s">
        <v>5233</v>
      </c>
      <c r="N1140" s="7">
        <v>337</v>
      </c>
      <c r="O1140" s="7" t="s">
        <v>5235</v>
      </c>
      <c r="P1140" s="7"/>
      <c r="Q1140" s="7"/>
    </row>
    <row r="1141" spans="1:17">
      <c r="A1141" s="6" t="s">
        <v>31</v>
      </c>
      <c r="B1141" s="7">
        <v>1017215</v>
      </c>
      <c r="C1141" s="7">
        <v>1017670</v>
      </c>
      <c r="D1141" s="8"/>
      <c r="E1141" s="7" t="s">
        <v>75</v>
      </c>
      <c r="F1141" s="7" t="s">
        <v>2130</v>
      </c>
      <c r="G1141" s="8"/>
      <c r="H1141" s="8"/>
      <c r="I1141" s="7" t="s">
        <v>55</v>
      </c>
      <c r="J1141" s="8"/>
      <c r="K1141" s="8"/>
      <c r="L1141" s="7" t="s">
        <v>5236</v>
      </c>
      <c r="M1141" s="7" t="s">
        <v>2130</v>
      </c>
      <c r="N1141" s="7">
        <v>151</v>
      </c>
      <c r="O1141" s="7" t="s">
        <v>5237</v>
      </c>
    </row>
    <row r="1142" spans="1:17">
      <c r="A1142" s="6" t="s">
        <v>31</v>
      </c>
      <c r="B1142" s="7">
        <v>1018253</v>
      </c>
      <c r="C1142" s="7">
        <v>1018387</v>
      </c>
      <c r="D1142" s="8"/>
      <c r="E1142" s="7" t="s">
        <v>75</v>
      </c>
      <c r="F1142" s="7" t="s">
        <v>2095</v>
      </c>
      <c r="G1142" s="8"/>
      <c r="H1142" s="8"/>
      <c r="I1142" s="7" t="s">
        <v>55</v>
      </c>
      <c r="J1142" s="8"/>
      <c r="K1142" s="8"/>
      <c r="L1142" s="7" t="s">
        <v>5238</v>
      </c>
      <c r="M1142" s="7" t="s">
        <v>2095</v>
      </c>
      <c r="N1142" s="7">
        <v>44</v>
      </c>
      <c r="O1142" s="7" t="s">
        <v>5239</v>
      </c>
    </row>
    <row r="1143" spans="1:17">
      <c r="A1143" s="6" t="s">
        <v>31</v>
      </c>
      <c r="B1143" s="7">
        <v>1018672</v>
      </c>
      <c r="C1143" s="7">
        <v>1019865</v>
      </c>
      <c r="D1143" s="8"/>
      <c r="E1143" s="7" t="s">
        <v>75</v>
      </c>
      <c r="F1143" s="7" t="s">
        <v>5240</v>
      </c>
      <c r="G1143" s="7" t="s">
        <v>1151</v>
      </c>
      <c r="H1143" s="8"/>
      <c r="I1143" s="7" t="s">
        <v>55</v>
      </c>
      <c r="J1143" s="8"/>
      <c r="K1143" s="8"/>
      <c r="L1143" s="7" t="s">
        <v>5241</v>
      </c>
      <c r="M1143" s="7" t="s">
        <v>5240</v>
      </c>
      <c r="N1143" s="7">
        <v>397</v>
      </c>
      <c r="O1143" s="7" t="s">
        <v>5242</v>
      </c>
      <c r="P1143" s="7"/>
    </row>
    <row r="1144" spans="1:17">
      <c r="A1144" s="6" t="s">
        <v>31</v>
      </c>
      <c r="B1144" s="7">
        <v>1020146</v>
      </c>
      <c r="C1144" s="7">
        <v>1021084</v>
      </c>
      <c r="D1144" s="8"/>
      <c r="E1144" s="7" t="s">
        <v>53</v>
      </c>
      <c r="F1144" s="7" t="s">
        <v>5243</v>
      </c>
      <c r="G1144" s="7" t="s">
        <v>1153</v>
      </c>
      <c r="H1144" s="8"/>
      <c r="I1144" s="7" t="s">
        <v>55</v>
      </c>
      <c r="J1144" s="8"/>
      <c r="K1144" s="8"/>
      <c r="L1144" s="7" t="s">
        <v>5244</v>
      </c>
      <c r="M1144" s="7" t="s">
        <v>5243</v>
      </c>
      <c r="N1144" s="7">
        <v>312</v>
      </c>
      <c r="O1144" s="7" t="s">
        <v>5245</v>
      </c>
    </row>
    <row r="1145" spans="1:17">
      <c r="A1145" s="6" t="s">
        <v>31</v>
      </c>
      <c r="B1145" s="7">
        <v>1021071</v>
      </c>
      <c r="C1145" s="7">
        <v>1021256</v>
      </c>
      <c r="D1145" s="8"/>
      <c r="E1145" s="7" t="s">
        <v>75</v>
      </c>
      <c r="F1145" s="7" t="s">
        <v>2130</v>
      </c>
      <c r="G1145" s="8"/>
      <c r="H1145" s="8"/>
      <c r="I1145" s="7" t="s">
        <v>55</v>
      </c>
      <c r="J1145" s="8"/>
      <c r="K1145" s="8"/>
      <c r="L1145" s="7" t="s">
        <v>5246</v>
      </c>
      <c r="M1145" s="7" t="s">
        <v>2130</v>
      </c>
      <c r="N1145" s="7">
        <v>61</v>
      </c>
      <c r="O1145" s="7" t="s">
        <v>5247</v>
      </c>
    </row>
    <row r="1146" spans="1:17">
      <c r="A1146" s="6" t="s">
        <v>31</v>
      </c>
      <c r="B1146" s="7">
        <v>1021483</v>
      </c>
      <c r="C1146" s="7">
        <v>1023135</v>
      </c>
      <c r="D1146" s="8"/>
      <c r="E1146" s="7" t="s">
        <v>75</v>
      </c>
      <c r="F1146" s="7" t="s">
        <v>1156</v>
      </c>
      <c r="G1146" s="7" t="s">
        <v>1157</v>
      </c>
      <c r="H1146" s="8"/>
      <c r="I1146" s="7" t="s">
        <v>55</v>
      </c>
      <c r="J1146" s="8"/>
      <c r="K1146" s="8"/>
      <c r="L1146" s="7" t="s">
        <v>5248</v>
      </c>
      <c r="M1146" s="7" t="s">
        <v>1156</v>
      </c>
      <c r="N1146" s="7">
        <v>550</v>
      </c>
      <c r="O1146" s="7" t="s">
        <v>5249</v>
      </c>
      <c r="P1146" s="7"/>
    </row>
    <row r="1147" spans="1:17">
      <c r="A1147" s="6" t="s">
        <v>31</v>
      </c>
      <c r="B1147" s="7">
        <v>1023135</v>
      </c>
      <c r="C1147" s="7">
        <v>1023644</v>
      </c>
      <c r="D1147" s="8"/>
      <c r="E1147" s="7" t="s">
        <v>75</v>
      </c>
      <c r="F1147" s="7" t="s">
        <v>5250</v>
      </c>
      <c r="G1147" s="7" t="s">
        <v>5251</v>
      </c>
      <c r="H1147" s="8"/>
      <c r="I1147" s="7" t="s">
        <v>55</v>
      </c>
      <c r="J1147" s="8"/>
      <c r="K1147" s="8"/>
      <c r="L1147" s="7" t="s">
        <v>5252</v>
      </c>
      <c r="M1147" s="7" t="s">
        <v>5250</v>
      </c>
      <c r="N1147" s="7">
        <v>169</v>
      </c>
      <c r="O1147" s="7" t="s">
        <v>5253</v>
      </c>
    </row>
    <row r="1148" spans="1:17">
      <c r="A1148" s="6" t="s">
        <v>31</v>
      </c>
      <c r="B1148" s="7">
        <v>1023680</v>
      </c>
      <c r="C1148" s="7">
        <v>1024585</v>
      </c>
      <c r="D1148" s="8"/>
      <c r="E1148" s="7" t="s">
        <v>75</v>
      </c>
      <c r="F1148" s="7" t="s">
        <v>5254</v>
      </c>
      <c r="G1148" s="7" t="s">
        <v>1160</v>
      </c>
      <c r="H1148" s="8"/>
      <c r="I1148" s="7" t="s">
        <v>55</v>
      </c>
      <c r="J1148" s="8"/>
      <c r="K1148" s="8"/>
      <c r="L1148" s="7" t="s">
        <v>5255</v>
      </c>
      <c r="M1148" s="7" t="s">
        <v>5254</v>
      </c>
      <c r="N1148" s="7">
        <v>301</v>
      </c>
      <c r="O1148" s="7" t="s">
        <v>5256</v>
      </c>
      <c r="P1148" s="7"/>
    </row>
    <row r="1149" spans="1:17">
      <c r="A1149" s="6" t="s">
        <v>31</v>
      </c>
      <c r="B1149" s="7">
        <v>1024655</v>
      </c>
      <c r="C1149" s="7">
        <v>1024831</v>
      </c>
      <c r="D1149" s="8"/>
      <c r="E1149" s="7" t="s">
        <v>53</v>
      </c>
      <c r="F1149" s="7" t="s">
        <v>2078</v>
      </c>
      <c r="G1149" s="8"/>
      <c r="H1149" s="8"/>
      <c r="I1149" s="7" t="s">
        <v>55</v>
      </c>
      <c r="J1149" s="8"/>
      <c r="K1149" s="8"/>
      <c r="L1149" s="7" t="s">
        <v>5257</v>
      </c>
      <c r="M1149" s="7" t="s">
        <v>2078</v>
      </c>
      <c r="N1149" s="7">
        <v>58</v>
      </c>
      <c r="O1149" s="7" t="s">
        <v>5258</v>
      </c>
    </row>
    <row r="1150" spans="1:17">
      <c r="A1150" s="6" t="s">
        <v>31</v>
      </c>
      <c r="B1150" s="7">
        <v>1025775</v>
      </c>
      <c r="C1150" s="7">
        <v>1026122</v>
      </c>
      <c r="D1150" s="8"/>
      <c r="E1150" s="7" t="s">
        <v>75</v>
      </c>
      <c r="F1150" s="7" t="s">
        <v>5259</v>
      </c>
      <c r="G1150" s="7" t="s">
        <v>1163</v>
      </c>
      <c r="H1150" s="8"/>
      <c r="I1150" s="7" t="s">
        <v>55</v>
      </c>
      <c r="J1150" s="8"/>
      <c r="K1150" s="8"/>
      <c r="L1150" s="7" t="s">
        <v>5260</v>
      </c>
      <c r="M1150" s="7" t="s">
        <v>5259</v>
      </c>
      <c r="N1150" s="7">
        <v>115</v>
      </c>
      <c r="O1150" s="7" t="s">
        <v>5261</v>
      </c>
    </row>
    <row r="1151" spans="1:17">
      <c r="A1151" s="6" t="s">
        <v>31</v>
      </c>
      <c r="B1151" s="7">
        <v>1026250</v>
      </c>
      <c r="C1151" s="7">
        <v>1027476</v>
      </c>
      <c r="D1151" s="8"/>
      <c r="E1151" s="7" t="s">
        <v>75</v>
      </c>
      <c r="F1151" s="7" t="s">
        <v>5262</v>
      </c>
      <c r="G1151" s="8"/>
      <c r="H1151" s="8"/>
      <c r="I1151" s="7" t="s">
        <v>55</v>
      </c>
      <c r="J1151" s="8"/>
      <c r="K1151" s="8"/>
      <c r="L1151" s="7" t="s">
        <v>5263</v>
      </c>
      <c r="M1151" s="7" t="s">
        <v>5262</v>
      </c>
      <c r="N1151" s="7">
        <v>408</v>
      </c>
      <c r="O1151" s="7" t="s">
        <v>5264</v>
      </c>
    </row>
    <row r="1152" spans="1:17">
      <c r="A1152" s="6" t="s">
        <v>31</v>
      </c>
      <c r="B1152" s="7">
        <v>1027486</v>
      </c>
      <c r="C1152" s="7">
        <v>1027758</v>
      </c>
      <c r="D1152" s="8"/>
      <c r="E1152" s="7" t="s">
        <v>75</v>
      </c>
      <c r="F1152" s="7" t="s">
        <v>5265</v>
      </c>
      <c r="G1152" s="8"/>
      <c r="H1152" s="8"/>
      <c r="I1152" s="7" t="s">
        <v>55</v>
      </c>
      <c r="J1152" s="8"/>
      <c r="K1152" s="8"/>
      <c r="L1152" s="7" t="s">
        <v>5266</v>
      </c>
      <c r="M1152" s="7" t="s">
        <v>5265</v>
      </c>
      <c r="N1152" s="7">
        <v>90</v>
      </c>
      <c r="O1152" s="7" t="s">
        <v>5267</v>
      </c>
      <c r="P1152" s="7"/>
    </row>
    <row r="1153" spans="1:16">
      <c r="A1153" s="6" t="s">
        <v>31</v>
      </c>
      <c r="B1153" s="7">
        <v>1027833</v>
      </c>
      <c r="C1153" s="7">
        <v>1029368</v>
      </c>
      <c r="D1153" s="8"/>
      <c r="E1153" s="7" t="s">
        <v>75</v>
      </c>
      <c r="F1153" s="7" t="s">
        <v>5268</v>
      </c>
      <c r="G1153" s="8"/>
      <c r="H1153" s="8"/>
      <c r="I1153" s="7" t="s">
        <v>55</v>
      </c>
      <c r="J1153" s="8"/>
      <c r="K1153" s="8"/>
      <c r="L1153" s="7" t="s">
        <v>5269</v>
      </c>
      <c r="M1153" s="7" t="s">
        <v>5268</v>
      </c>
      <c r="N1153" s="7">
        <v>511</v>
      </c>
      <c r="O1153" s="7" t="s">
        <v>5270</v>
      </c>
    </row>
    <row r="1154" spans="1:16">
      <c r="A1154" s="6" t="s">
        <v>31</v>
      </c>
      <c r="B1154" s="7">
        <v>1029419</v>
      </c>
      <c r="C1154" s="7">
        <v>1029862</v>
      </c>
      <c r="D1154" s="8"/>
      <c r="E1154" s="7" t="s">
        <v>75</v>
      </c>
      <c r="F1154" s="7" t="s">
        <v>5271</v>
      </c>
      <c r="G1154" s="7" t="s">
        <v>5272</v>
      </c>
      <c r="H1154" s="8"/>
      <c r="I1154" s="7" t="s">
        <v>55</v>
      </c>
      <c r="J1154" s="8"/>
      <c r="K1154" s="8"/>
      <c r="L1154" s="7" t="s">
        <v>5273</v>
      </c>
      <c r="M1154" s="7" t="s">
        <v>5271</v>
      </c>
      <c r="N1154" s="7">
        <v>147</v>
      </c>
      <c r="O1154" s="7" t="s">
        <v>5274</v>
      </c>
    </row>
    <row r="1155" spans="1:16">
      <c r="A1155" s="6" t="s">
        <v>31</v>
      </c>
      <c r="B1155" s="7">
        <v>1030047</v>
      </c>
      <c r="C1155" s="7">
        <v>1030319</v>
      </c>
      <c r="D1155" s="8"/>
      <c r="E1155" s="7" t="s">
        <v>75</v>
      </c>
      <c r="F1155" s="7" t="s">
        <v>2130</v>
      </c>
      <c r="G1155" s="8"/>
      <c r="H1155" s="8"/>
      <c r="I1155" s="7" t="s">
        <v>55</v>
      </c>
      <c r="J1155" s="8"/>
      <c r="K1155" s="8"/>
      <c r="L1155" s="7" t="s">
        <v>5275</v>
      </c>
      <c r="M1155" s="7" t="s">
        <v>2130</v>
      </c>
      <c r="N1155" s="7">
        <v>90</v>
      </c>
      <c r="O1155" s="7" t="s">
        <v>5276</v>
      </c>
    </row>
    <row r="1156" spans="1:16">
      <c r="A1156" s="6" t="s">
        <v>31</v>
      </c>
      <c r="B1156" s="7">
        <v>1030331</v>
      </c>
      <c r="C1156" s="7">
        <v>1031050</v>
      </c>
      <c r="D1156" s="8"/>
      <c r="E1156" s="7" t="s">
        <v>75</v>
      </c>
      <c r="F1156" s="7" t="s">
        <v>5277</v>
      </c>
      <c r="G1156" s="8"/>
      <c r="H1156" s="8"/>
      <c r="I1156" s="7" t="s">
        <v>55</v>
      </c>
      <c r="J1156" s="8"/>
      <c r="K1156" s="8"/>
      <c r="L1156" s="7" t="s">
        <v>5278</v>
      </c>
      <c r="M1156" s="7" t="s">
        <v>5277</v>
      </c>
      <c r="N1156" s="7">
        <v>239</v>
      </c>
      <c r="O1156" s="7" t="s">
        <v>5279</v>
      </c>
    </row>
    <row r="1157" spans="1:16">
      <c r="A1157" s="6" t="s">
        <v>31</v>
      </c>
      <c r="B1157" s="7">
        <v>1031170</v>
      </c>
      <c r="C1157" s="7">
        <v>1031952</v>
      </c>
      <c r="D1157" s="8"/>
      <c r="E1157" s="7" t="s">
        <v>75</v>
      </c>
      <c r="F1157" s="7" t="s">
        <v>5280</v>
      </c>
      <c r="G1157" s="8"/>
      <c r="H1157" s="8"/>
      <c r="I1157" s="7" t="s">
        <v>55</v>
      </c>
      <c r="J1157" s="8"/>
      <c r="K1157" s="8"/>
      <c r="L1157" s="7" t="s">
        <v>5281</v>
      </c>
      <c r="M1157" s="7" t="s">
        <v>5280</v>
      </c>
      <c r="N1157" s="7">
        <v>260</v>
      </c>
      <c r="O1157" s="7" t="s">
        <v>5282</v>
      </c>
    </row>
    <row r="1158" spans="1:16">
      <c r="A1158" s="6" t="s">
        <v>31</v>
      </c>
      <c r="B1158" s="7">
        <v>1032077</v>
      </c>
      <c r="C1158" s="7">
        <v>1033738</v>
      </c>
      <c r="D1158" s="8"/>
      <c r="E1158" s="7" t="s">
        <v>75</v>
      </c>
      <c r="F1158" s="7" t="s">
        <v>5283</v>
      </c>
      <c r="G1158" s="7" t="s">
        <v>5284</v>
      </c>
      <c r="H1158" s="8"/>
      <c r="I1158" s="7" t="s">
        <v>55</v>
      </c>
      <c r="J1158" s="8"/>
      <c r="K1158" s="8"/>
      <c r="L1158" s="7" t="s">
        <v>5285</v>
      </c>
      <c r="M1158" s="7" t="s">
        <v>5283</v>
      </c>
      <c r="N1158" s="7">
        <v>553</v>
      </c>
      <c r="O1158" s="7" t="s">
        <v>5286</v>
      </c>
      <c r="P1158" s="7"/>
    </row>
    <row r="1159" spans="1:16">
      <c r="A1159" s="6" t="s">
        <v>31</v>
      </c>
      <c r="B1159" s="7">
        <v>1033919</v>
      </c>
      <c r="C1159" s="7">
        <v>1034677</v>
      </c>
      <c r="D1159" s="8"/>
      <c r="E1159" s="7" t="s">
        <v>75</v>
      </c>
      <c r="F1159" s="7" t="s">
        <v>237</v>
      </c>
      <c r="G1159" s="8"/>
      <c r="H1159" s="8"/>
      <c r="I1159" s="7" t="s">
        <v>55</v>
      </c>
      <c r="J1159" s="8"/>
      <c r="K1159" s="8"/>
      <c r="L1159" s="7" t="s">
        <v>5287</v>
      </c>
      <c r="M1159" s="7" t="s">
        <v>237</v>
      </c>
      <c r="N1159" s="7">
        <v>252</v>
      </c>
      <c r="O1159" s="7" t="s">
        <v>5288</v>
      </c>
    </row>
    <row r="1160" spans="1:16">
      <c r="A1160" s="6" t="s">
        <v>31</v>
      </c>
      <c r="B1160" s="7">
        <v>1034674</v>
      </c>
      <c r="C1160" s="7">
        <v>1035543</v>
      </c>
      <c r="D1160" s="8"/>
      <c r="E1160" s="7" t="s">
        <v>75</v>
      </c>
      <c r="F1160" s="7" t="s">
        <v>2636</v>
      </c>
      <c r="G1160" s="8"/>
      <c r="H1160" s="8"/>
      <c r="I1160" s="7" t="s">
        <v>55</v>
      </c>
      <c r="J1160" s="8"/>
      <c r="K1160" s="8"/>
      <c r="L1160" s="7" t="s">
        <v>5289</v>
      </c>
      <c r="M1160" s="7" t="s">
        <v>2636</v>
      </c>
      <c r="N1160" s="7">
        <v>289</v>
      </c>
      <c r="O1160" s="7" t="s">
        <v>5290</v>
      </c>
    </row>
    <row r="1161" spans="1:16">
      <c r="A1161" s="6" t="s">
        <v>31</v>
      </c>
      <c r="B1161" s="7">
        <v>1035553</v>
      </c>
      <c r="C1161" s="7">
        <v>1036554</v>
      </c>
      <c r="D1161" s="8"/>
      <c r="E1161" s="7" t="s">
        <v>75</v>
      </c>
      <c r="F1161" s="7" t="s">
        <v>412</v>
      </c>
      <c r="G1161" s="8"/>
      <c r="H1161" s="8"/>
      <c r="I1161" s="7" t="s">
        <v>55</v>
      </c>
      <c r="J1161" s="8"/>
      <c r="K1161" s="8"/>
      <c r="L1161" s="7" t="s">
        <v>5291</v>
      </c>
      <c r="M1161" s="7" t="s">
        <v>412</v>
      </c>
      <c r="N1161" s="7">
        <v>333</v>
      </c>
      <c r="O1161" s="7" t="s">
        <v>5292</v>
      </c>
    </row>
    <row r="1162" spans="1:16">
      <c r="A1162" s="6" t="s">
        <v>31</v>
      </c>
      <c r="B1162" s="7">
        <v>1036691</v>
      </c>
      <c r="C1162" s="7">
        <v>1036912</v>
      </c>
      <c r="D1162" s="8"/>
      <c r="E1162" s="7" t="s">
        <v>75</v>
      </c>
      <c r="F1162" s="7" t="s">
        <v>2130</v>
      </c>
      <c r="G1162" s="8"/>
      <c r="H1162" s="8"/>
      <c r="I1162" s="7" t="s">
        <v>55</v>
      </c>
      <c r="J1162" s="8"/>
      <c r="K1162" s="8"/>
      <c r="L1162" s="7" t="s">
        <v>5293</v>
      </c>
      <c r="M1162" s="7" t="s">
        <v>2130</v>
      </c>
      <c r="N1162" s="7">
        <v>73</v>
      </c>
      <c r="O1162" s="7" t="s">
        <v>5294</v>
      </c>
    </row>
    <row r="1163" spans="1:16">
      <c r="A1163" s="6" t="s">
        <v>31</v>
      </c>
      <c r="B1163" s="7">
        <v>1037114</v>
      </c>
      <c r="C1163" s="7">
        <v>1037323</v>
      </c>
      <c r="D1163" s="8"/>
      <c r="E1163" s="7" t="s">
        <v>75</v>
      </c>
      <c r="F1163" s="7" t="s">
        <v>2130</v>
      </c>
      <c r="G1163" s="8"/>
      <c r="H1163" s="8"/>
      <c r="I1163" s="7" t="s">
        <v>55</v>
      </c>
      <c r="J1163" s="8"/>
      <c r="K1163" s="8"/>
      <c r="L1163" s="7" t="s">
        <v>5295</v>
      </c>
      <c r="M1163" s="7" t="s">
        <v>2130</v>
      </c>
      <c r="N1163" s="7">
        <v>69</v>
      </c>
      <c r="O1163" s="7" t="s">
        <v>5296</v>
      </c>
    </row>
    <row r="1164" spans="1:16">
      <c r="A1164" s="6" t="s">
        <v>31</v>
      </c>
      <c r="B1164" s="7">
        <v>1037325</v>
      </c>
      <c r="C1164" s="7">
        <v>1037804</v>
      </c>
      <c r="D1164" s="8"/>
      <c r="E1164" s="7" t="s">
        <v>75</v>
      </c>
      <c r="F1164" s="7" t="s">
        <v>5297</v>
      </c>
      <c r="G1164" s="8"/>
      <c r="H1164" s="8"/>
      <c r="I1164" s="7" t="s">
        <v>55</v>
      </c>
      <c r="J1164" s="8"/>
      <c r="K1164" s="8"/>
      <c r="L1164" s="7" t="s">
        <v>5298</v>
      </c>
      <c r="M1164" s="7" t="s">
        <v>5297</v>
      </c>
      <c r="N1164" s="7">
        <v>159</v>
      </c>
      <c r="O1164" s="7" t="s">
        <v>5299</v>
      </c>
    </row>
    <row r="1165" spans="1:16">
      <c r="A1165" s="6" t="s">
        <v>31</v>
      </c>
      <c r="B1165" s="7">
        <v>1037899</v>
      </c>
      <c r="C1165" s="7">
        <v>1038165</v>
      </c>
      <c r="D1165" s="8"/>
      <c r="E1165" s="7" t="s">
        <v>75</v>
      </c>
      <c r="F1165" s="7" t="s">
        <v>2130</v>
      </c>
      <c r="G1165" s="8"/>
      <c r="H1165" s="8"/>
      <c r="I1165" s="7" t="s">
        <v>55</v>
      </c>
      <c r="J1165" s="8"/>
      <c r="K1165" s="8"/>
      <c r="L1165" s="7" t="s">
        <v>5300</v>
      </c>
      <c r="M1165" s="7" t="s">
        <v>2130</v>
      </c>
      <c r="N1165" s="7">
        <v>88</v>
      </c>
      <c r="O1165" s="7" t="s">
        <v>5301</v>
      </c>
    </row>
    <row r="1166" spans="1:16">
      <c r="A1166" s="6" t="s">
        <v>31</v>
      </c>
      <c r="B1166" s="7">
        <v>1038327</v>
      </c>
      <c r="C1166" s="7">
        <v>1038566</v>
      </c>
      <c r="D1166" s="8"/>
      <c r="E1166" s="7" t="s">
        <v>75</v>
      </c>
      <c r="F1166" s="7" t="s">
        <v>2130</v>
      </c>
      <c r="G1166" s="8"/>
      <c r="H1166" s="8"/>
      <c r="I1166" s="7" t="s">
        <v>55</v>
      </c>
      <c r="J1166" s="8"/>
      <c r="K1166" s="8"/>
      <c r="L1166" s="7" t="s">
        <v>5302</v>
      </c>
      <c r="M1166" s="7" t="s">
        <v>2130</v>
      </c>
      <c r="N1166" s="7">
        <v>79</v>
      </c>
      <c r="O1166" s="7" t="s">
        <v>5303</v>
      </c>
    </row>
    <row r="1167" spans="1:16">
      <c r="A1167" s="6" t="s">
        <v>31</v>
      </c>
      <c r="B1167" s="7">
        <v>1038572</v>
      </c>
      <c r="C1167" s="7">
        <v>1038739</v>
      </c>
      <c r="D1167" s="8"/>
      <c r="E1167" s="7" t="s">
        <v>75</v>
      </c>
      <c r="F1167" s="7" t="s">
        <v>5304</v>
      </c>
      <c r="G1167" s="8"/>
      <c r="H1167" s="8"/>
      <c r="I1167" s="7" t="s">
        <v>55</v>
      </c>
      <c r="J1167" s="8"/>
      <c r="K1167" s="8"/>
      <c r="L1167" s="7" t="s">
        <v>5305</v>
      </c>
      <c r="M1167" s="7" t="s">
        <v>5304</v>
      </c>
      <c r="N1167" s="7">
        <v>55</v>
      </c>
      <c r="O1167" s="7" t="s">
        <v>5306</v>
      </c>
    </row>
    <row r="1168" spans="1:16">
      <c r="A1168" s="6" t="s">
        <v>31</v>
      </c>
      <c r="B1168" s="7">
        <v>1039149</v>
      </c>
      <c r="C1168" s="7">
        <v>1039331</v>
      </c>
      <c r="D1168" s="8"/>
      <c r="E1168" s="7" t="s">
        <v>75</v>
      </c>
      <c r="F1168" s="7" t="s">
        <v>2130</v>
      </c>
      <c r="G1168" s="8"/>
      <c r="H1168" s="8"/>
      <c r="I1168" s="7" t="s">
        <v>55</v>
      </c>
      <c r="J1168" s="8"/>
      <c r="K1168" s="8"/>
      <c r="L1168" s="7" t="s">
        <v>5307</v>
      </c>
      <c r="M1168" s="7" t="s">
        <v>2130</v>
      </c>
      <c r="N1168" s="7">
        <v>60</v>
      </c>
      <c r="O1168" s="7" t="s">
        <v>5308</v>
      </c>
    </row>
    <row r="1169" spans="1:16">
      <c r="A1169" s="6" t="s">
        <v>31</v>
      </c>
      <c r="B1169" s="7">
        <v>1039458</v>
      </c>
      <c r="C1169" s="7">
        <v>1040960</v>
      </c>
      <c r="D1169" s="8"/>
      <c r="E1169" s="7" t="s">
        <v>75</v>
      </c>
      <c r="F1169" s="7" t="s">
        <v>1181</v>
      </c>
      <c r="G1169" s="7" t="s">
        <v>1182</v>
      </c>
      <c r="H1169" s="8"/>
      <c r="I1169" s="7" t="s">
        <v>55</v>
      </c>
      <c r="J1169" s="8"/>
      <c r="K1169" s="8"/>
      <c r="L1169" s="7" t="s">
        <v>5309</v>
      </c>
      <c r="M1169" s="7" t="s">
        <v>1181</v>
      </c>
      <c r="N1169" s="7">
        <v>500</v>
      </c>
      <c r="O1169" s="7" t="s">
        <v>5310</v>
      </c>
      <c r="P1169" s="7"/>
    </row>
    <row r="1170" spans="1:16">
      <c r="A1170" s="6" t="s">
        <v>31</v>
      </c>
      <c r="B1170" s="7">
        <v>1041030</v>
      </c>
      <c r="C1170" s="7">
        <v>1042049</v>
      </c>
      <c r="D1170" s="8"/>
      <c r="E1170" s="7" t="s">
        <v>75</v>
      </c>
      <c r="F1170" s="7" t="s">
        <v>1184</v>
      </c>
      <c r="G1170" s="7" t="s">
        <v>1185</v>
      </c>
      <c r="H1170" s="8"/>
      <c r="I1170" s="7" t="s">
        <v>55</v>
      </c>
      <c r="J1170" s="8"/>
      <c r="K1170" s="8"/>
      <c r="L1170" s="7" t="s">
        <v>5311</v>
      </c>
      <c r="M1170" s="7" t="s">
        <v>1184</v>
      </c>
      <c r="N1170" s="7">
        <v>339</v>
      </c>
      <c r="O1170" s="7" t="s">
        <v>5312</v>
      </c>
      <c r="P1170" s="7"/>
    </row>
    <row r="1171" spans="1:16">
      <c r="A1171" s="6" t="s">
        <v>31</v>
      </c>
      <c r="B1171" s="7">
        <v>1042142</v>
      </c>
      <c r="C1171" s="7">
        <v>1045252</v>
      </c>
      <c r="D1171" s="8"/>
      <c r="E1171" s="7" t="s">
        <v>75</v>
      </c>
      <c r="F1171" s="7" t="s">
        <v>1187</v>
      </c>
      <c r="G1171" s="7" t="s">
        <v>5313</v>
      </c>
      <c r="H1171" s="8"/>
      <c r="I1171" s="7" t="s">
        <v>55</v>
      </c>
      <c r="J1171" s="8"/>
      <c r="K1171" s="8"/>
      <c r="L1171" s="7" t="s">
        <v>5314</v>
      </c>
      <c r="M1171" s="7" t="s">
        <v>1187</v>
      </c>
      <c r="N1171" s="7">
        <v>1036</v>
      </c>
      <c r="O1171" s="7" t="s">
        <v>5315</v>
      </c>
      <c r="P1171" s="7"/>
    </row>
    <row r="1172" spans="1:16">
      <c r="A1172" s="6" t="s">
        <v>31</v>
      </c>
      <c r="B1172" s="7">
        <v>1045405</v>
      </c>
      <c r="C1172" s="7">
        <v>1046190</v>
      </c>
      <c r="D1172" s="8"/>
      <c r="E1172" s="7" t="s">
        <v>75</v>
      </c>
      <c r="F1172" s="7" t="s">
        <v>2130</v>
      </c>
      <c r="G1172" s="8"/>
      <c r="H1172" s="8"/>
      <c r="I1172" s="7" t="s">
        <v>55</v>
      </c>
      <c r="J1172" s="8"/>
      <c r="K1172" s="8"/>
      <c r="L1172" s="7" t="s">
        <v>5316</v>
      </c>
      <c r="M1172" s="7" t="s">
        <v>2130</v>
      </c>
      <c r="N1172" s="7">
        <v>261</v>
      </c>
      <c r="O1172" s="7" t="s">
        <v>5317</v>
      </c>
    </row>
    <row r="1173" spans="1:16">
      <c r="A1173" s="6" t="s">
        <v>31</v>
      </c>
      <c r="B1173" s="7">
        <v>1046287</v>
      </c>
      <c r="C1173" s="7">
        <v>1046877</v>
      </c>
      <c r="D1173" s="8"/>
      <c r="E1173" s="7" t="s">
        <v>75</v>
      </c>
      <c r="F1173" s="7" t="s">
        <v>5318</v>
      </c>
      <c r="G1173" s="7" t="s">
        <v>1190</v>
      </c>
      <c r="H1173" s="8"/>
      <c r="I1173" s="7" t="s">
        <v>55</v>
      </c>
      <c r="J1173" s="8"/>
      <c r="K1173" s="8"/>
      <c r="L1173" s="7" t="s">
        <v>5319</v>
      </c>
      <c r="M1173" s="7" t="s">
        <v>5318</v>
      </c>
      <c r="N1173" s="7">
        <v>196</v>
      </c>
      <c r="O1173" s="7" t="s">
        <v>5320</v>
      </c>
      <c r="P1173" s="7"/>
    </row>
    <row r="1174" spans="1:16">
      <c r="A1174" s="6" t="s">
        <v>31</v>
      </c>
      <c r="B1174" s="7">
        <v>1046887</v>
      </c>
      <c r="C1174" s="7">
        <v>1048269</v>
      </c>
      <c r="D1174" s="8"/>
      <c r="E1174" s="7" t="s">
        <v>75</v>
      </c>
      <c r="F1174" s="7" t="s">
        <v>5321</v>
      </c>
      <c r="G1174" s="7" t="s">
        <v>1192</v>
      </c>
      <c r="H1174" s="8"/>
      <c r="I1174" s="7" t="s">
        <v>55</v>
      </c>
      <c r="J1174" s="8"/>
      <c r="K1174" s="8"/>
      <c r="L1174" s="7" t="s">
        <v>5322</v>
      </c>
      <c r="M1174" s="7" t="s">
        <v>5321</v>
      </c>
      <c r="N1174" s="7">
        <v>460</v>
      </c>
      <c r="O1174" s="7" t="s">
        <v>5323</v>
      </c>
      <c r="P1174" s="7"/>
    </row>
    <row r="1175" spans="1:16">
      <c r="A1175" s="6" t="s">
        <v>31</v>
      </c>
      <c r="B1175" s="7">
        <v>1048300</v>
      </c>
      <c r="C1175" s="7">
        <v>1048581</v>
      </c>
      <c r="D1175" s="8"/>
      <c r="E1175" s="7" t="s">
        <v>75</v>
      </c>
      <c r="F1175" s="7" t="s">
        <v>2847</v>
      </c>
      <c r="G1175" s="8"/>
      <c r="H1175" s="8"/>
      <c r="I1175" s="7" t="s">
        <v>55</v>
      </c>
      <c r="J1175" s="8"/>
      <c r="K1175" s="8"/>
      <c r="L1175" s="7" t="s">
        <v>5324</v>
      </c>
      <c r="M1175" s="7" t="s">
        <v>2847</v>
      </c>
      <c r="N1175" s="7">
        <v>93</v>
      </c>
      <c r="O1175" s="7" t="s">
        <v>5325</v>
      </c>
    </row>
    <row r="1176" spans="1:16">
      <c r="A1176" s="6" t="s">
        <v>31</v>
      </c>
      <c r="B1176" s="7">
        <v>1048586</v>
      </c>
      <c r="C1176" s="7">
        <v>1049623</v>
      </c>
      <c r="D1176" s="8"/>
      <c r="E1176" s="7" t="s">
        <v>75</v>
      </c>
      <c r="F1176" s="7" t="s">
        <v>1195</v>
      </c>
      <c r="G1176" s="7" t="s">
        <v>1196</v>
      </c>
      <c r="H1176" s="8"/>
      <c r="I1176" s="7" t="s">
        <v>55</v>
      </c>
      <c r="J1176" s="8"/>
      <c r="K1176" s="8"/>
      <c r="L1176" s="7" t="s">
        <v>5326</v>
      </c>
      <c r="M1176" s="7" t="s">
        <v>1195</v>
      </c>
      <c r="N1176" s="7">
        <v>345</v>
      </c>
      <c r="O1176" s="7" t="s">
        <v>5327</v>
      </c>
      <c r="P1176" s="7"/>
    </row>
    <row r="1177" spans="1:16">
      <c r="A1177" s="6" t="s">
        <v>31</v>
      </c>
      <c r="B1177" s="7">
        <v>1049636</v>
      </c>
      <c r="C1177" s="7">
        <v>1051198</v>
      </c>
      <c r="D1177" s="8"/>
      <c r="E1177" s="7" t="s">
        <v>75</v>
      </c>
      <c r="F1177" s="7" t="s">
        <v>1198</v>
      </c>
      <c r="G1177" s="7" t="s">
        <v>5328</v>
      </c>
      <c r="H1177" s="8"/>
      <c r="I1177" s="7" t="s">
        <v>55</v>
      </c>
      <c r="J1177" s="8"/>
      <c r="K1177" s="8"/>
      <c r="L1177" s="7" t="s">
        <v>5329</v>
      </c>
      <c r="M1177" s="7" t="s">
        <v>1198</v>
      </c>
      <c r="N1177" s="7">
        <v>520</v>
      </c>
      <c r="O1177" s="7" t="s">
        <v>5330</v>
      </c>
      <c r="P1177" s="7"/>
    </row>
    <row r="1178" spans="1:16">
      <c r="A1178" s="6" t="s">
        <v>31</v>
      </c>
      <c r="B1178" s="7">
        <v>1051545</v>
      </c>
      <c r="C1178" s="7">
        <v>1052237</v>
      </c>
      <c r="D1178" s="8"/>
      <c r="E1178" s="7" t="s">
        <v>75</v>
      </c>
      <c r="F1178" s="7" t="s">
        <v>5331</v>
      </c>
      <c r="G1178" s="7" t="s">
        <v>5332</v>
      </c>
      <c r="H1178" s="8"/>
      <c r="I1178" s="7" t="s">
        <v>55</v>
      </c>
      <c r="J1178" s="8"/>
      <c r="K1178" s="8"/>
      <c r="L1178" s="7" t="s">
        <v>5333</v>
      </c>
      <c r="M1178" s="7" t="s">
        <v>5331</v>
      </c>
      <c r="N1178" s="7">
        <v>230</v>
      </c>
      <c r="O1178" s="7" t="s">
        <v>5334</v>
      </c>
      <c r="P1178" s="7"/>
    </row>
    <row r="1179" spans="1:16">
      <c r="A1179" s="6" t="s">
        <v>31</v>
      </c>
      <c r="B1179" s="7">
        <v>1052493</v>
      </c>
      <c r="C1179" s="7">
        <v>1053431</v>
      </c>
      <c r="D1179" s="8"/>
      <c r="E1179" s="7" t="s">
        <v>53</v>
      </c>
      <c r="F1179" s="7" t="s">
        <v>5335</v>
      </c>
      <c r="G1179" s="7" t="s">
        <v>4746</v>
      </c>
      <c r="H1179" s="8"/>
      <c r="I1179" s="7" t="s">
        <v>55</v>
      </c>
      <c r="J1179" s="8"/>
      <c r="K1179" s="8"/>
      <c r="L1179" s="7" t="s">
        <v>5336</v>
      </c>
      <c r="M1179" s="7" t="s">
        <v>5335</v>
      </c>
      <c r="N1179" s="7">
        <v>312</v>
      </c>
      <c r="O1179" s="7" t="s">
        <v>5337</v>
      </c>
      <c r="P1179" s="7"/>
    </row>
    <row r="1180" spans="1:16">
      <c r="A1180" s="6" t="s">
        <v>31</v>
      </c>
      <c r="B1180" s="7">
        <v>1053496</v>
      </c>
      <c r="C1180" s="7">
        <v>1053696</v>
      </c>
      <c r="D1180" s="8"/>
      <c r="E1180" s="7" t="s">
        <v>75</v>
      </c>
      <c r="F1180" s="7" t="s">
        <v>2130</v>
      </c>
      <c r="G1180" s="8"/>
      <c r="H1180" s="8"/>
      <c r="I1180" s="7" t="s">
        <v>55</v>
      </c>
      <c r="J1180" s="8"/>
      <c r="K1180" s="8"/>
      <c r="L1180" s="7" t="s">
        <v>5338</v>
      </c>
      <c r="M1180" s="7" t="s">
        <v>2130</v>
      </c>
      <c r="N1180" s="7">
        <v>66</v>
      </c>
      <c r="O1180" s="7" t="s">
        <v>5339</v>
      </c>
    </row>
    <row r="1181" spans="1:16">
      <c r="A1181" s="6" t="s">
        <v>31</v>
      </c>
      <c r="B1181" s="7">
        <v>1053755</v>
      </c>
      <c r="C1181" s="7">
        <v>1054030</v>
      </c>
      <c r="D1181" s="8"/>
      <c r="E1181" s="7" t="s">
        <v>75</v>
      </c>
      <c r="F1181" s="7" t="s">
        <v>5340</v>
      </c>
      <c r="G1181" s="7" t="s">
        <v>5341</v>
      </c>
      <c r="H1181" s="8"/>
      <c r="I1181" s="7" t="s">
        <v>55</v>
      </c>
      <c r="J1181" s="8"/>
      <c r="K1181" s="8"/>
      <c r="L1181" s="7" t="s">
        <v>5342</v>
      </c>
      <c r="M1181" s="7" t="s">
        <v>5340</v>
      </c>
      <c r="N1181" s="7">
        <v>91</v>
      </c>
      <c r="O1181" s="7" t="s">
        <v>5343</v>
      </c>
    </row>
    <row r="1182" spans="1:16">
      <c r="A1182" s="6" t="s">
        <v>31</v>
      </c>
      <c r="B1182" s="7">
        <v>1054167</v>
      </c>
      <c r="C1182" s="7">
        <v>1054736</v>
      </c>
      <c r="D1182" s="8"/>
      <c r="E1182" s="7" t="s">
        <v>75</v>
      </c>
      <c r="F1182" s="7" t="s">
        <v>5344</v>
      </c>
      <c r="G1182" s="8"/>
      <c r="H1182" s="8"/>
      <c r="I1182" s="7" t="s">
        <v>55</v>
      </c>
      <c r="J1182" s="8"/>
      <c r="K1182" s="8"/>
      <c r="L1182" s="7" t="s">
        <v>5345</v>
      </c>
      <c r="M1182" s="7" t="s">
        <v>5344</v>
      </c>
      <c r="N1182" s="7">
        <v>189</v>
      </c>
      <c r="O1182" s="7" t="s">
        <v>5346</v>
      </c>
    </row>
    <row r="1183" spans="1:16">
      <c r="A1183" s="6" t="s">
        <v>31</v>
      </c>
      <c r="B1183" s="7">
        <v>1054729</v>
      </c>
      <c r="C1183" s="7">
        <v>1055604</v>
      </c>
      <c r="D1183" s="8"/>
      <c r="E1183" s="7" t="s">
        <v>75</v>
      </c>
      <c r="F1183" s="7" t="s">
        <v>5347</v>
      </c>
      <c r="G1183" s="8"/>
      <c r="H1183" s="8"/>
      <c r="I1183" s="7" t="s">
        <v>55</v>
      </c>
      <c r="J1183" s="8"/>
      <c r="K1183" s="8"/>
      <c r="L1183" s="7" t="s">
        <v>5348</v>
      </c>
      <c r="M1183" s="7" t="s">
        <v>5347</v>
      </c>
      <c r="N1183" s="7">
        <v>291</v>
      </c>
      <c r="O1183" s="7" t="s">
        <v>5349</v>
      </c>
    </row>
    <row r="1184" spans="1:16">
      <c r="A1184" s="6" t="s">
        <v>31</v>
      </c>
      <c r="B1184" s="7">
        <v>1055597</v>
      </c>
      <c r="C1184" s="7">
        <v>1056433</v>
      </c>
      <c r="D1184" s="8"/>
      <c r="E1184" s="7" t="s">
        <v>75</v>
      </c>
      <c r="F1184" s="7" t="s">
        <v>2130</v>
      </c>
      <c r="G1184" s="8"/>
      <c r="H1184" s="8"/>
      <c r="I1184" s="7" t="s">
        <v>55</v>
      </c>
      <c r="J1184" s="8"/>
      <c r="K1184" s="8"/>
      <c r="L1184" s="7" t="s">
        <v>5350</v>
      </c>
      <c r="M1184" s="7" t="s">
        <v>2130</v>
      </c>
      <c r="N1184" s="7">
        <v>278</v>
      </c>
      <c r="O1184" s="7" t="s">
        <v>5351</v>
      </c>
    </row>
    <row r="1185" spans="1:17">
      <c r="A1185" s="6" t="s">
        <v>31</v>
      </c>
      <c r="B1185" s="7">
        <v>1056504</v>
      </c>
      <c r="C1185" s="7">
        <v>1058174</v>
      </c>
      <c r="D1185" s="8"/>
      <c r="E1185" s="7" t="s">
        <v>75</v>
      </c>
      <c r="F1185" s="7" t="s">
        <v>5352</v>
      </c>
      <c r="G1185" s="7" t="s">
        <v>1207</v>
      </c>
      <c r="H1185" s="8"/>
      <c r="I1185" s="7" t="s">
        <v>55</v>
      </c>
      <c r="J1185" s="8"/>
      <c r="K1185" s="8"/>
      <c r="L1185" s="7" t="s">
        <v>5353</v>
      </c>
      <c r="M1185" s="7" t="s">
        <v>5352</v>
      </c>
      <c r="N1185" s="7">
        <v>556</v>
      </c>
      <c r="O1185" s="7" t="s">
        <v>5354</v>
      </c>
    </row>
    <row r="1186" spans="1:17">
      <c r="A1186" s="6" t="s">
        <v>31</v>
      </c>
      <c r="B1186" s="7">
        <v>1058183</v>
      </c>
      <c r="C1186" s="7">
        <v>1058629</v>
      </c>
      <c r="D1186" s="8"/>
      <c r="E1186" s="7" t="s">
        <v>75</v>
      </c>
      <c r="F1186" s="7" t="s">
        <v>2198</v>
      </c>
      <c r="G1186" s="7" t="s">
        <v>113</v>
      </c>
      <c r="H1186" s="8"/>
      <c r="I1186" s="7" t="s">
        <v>55</v>
      </c>
      <c r="J1186" s="8"/>
      <c r="K1186" s="8"/>
      <c r="L1186" s="7" t="s">
        <v>5355</v>
      </c>
      <c r="M1186" s="7" t="s">
        <v>2198</v>
      </c>
      <c r="N1186" s="7">
        <v>148</v>
      </c>
      <c r="O1186" s="7" t="s">
        <v>5356</v>
      </c>
    </row>
    <row r="1187" spans="1:17">
      <c r="A1187" s="6" t="s">
        <v>31</v>
      </c>
      <c r="B1187" s="7">
        <v>1058577</v>
      </c>
      <c r="C1187" s="7">
        <v>1059443</v>
      </c>
      <c r="D1187" s="8"/>
      <c r="E1187" s="7" t="s">
        <v>75</v>
      </c>
      <c r="F1187" s="7" t="s">
        <v>5357</v>
      </c>
      <c r="G1187" s="7" t="s">
        <v>5358</v>
      </c>
      <c r="H1187" s="8"/>
      <c r="I1187" s="7" t="s">
        <v>55</v>
      </c>
      <c r="J1187" s="8"/>
      <c r="K1187" s="8"/>
      <c r="L1187" s="7" t="s">
        <v>5359</v>
      </c>
      <c r="M1187" s="7" t="s">
        <v>5357</v>
      </c>
      <c r="N1187" s="7">
        <v>288</v>
      </c>
      <c r="O1187" s="7" t="s">
        <v>5360</v>
      </c>
      <c r="P1187" s="7"/>
    </row>
    <row r="1188" spans="1:17">
      <c r="A1188" s="6" t="s">
        <v>31</v>
      </c>
      <c r="B1188" s="7">
        <v>1059436</v>
      </c>
      <c r="C1188" s="7">
        <v>1060308</v>
      </c>
      <c r="D1188" s="8"/>
      <c r="E1188" s="7" t="s">
        <v>75</v>
      </c>
      <c r="F1188" s="7" t="s">
        <v>5361</v>
      </c>
      <c r="G1188" s="7" t="s">
        <v>5362</v>
      </c>
      <c r="H1188" s="8"/>
      <c r="I1188" s="7" t="s">
        <v>55</v>
      </c>
      <c r="J1188" s="8"/>
      <c r="K1188" s="8"/>
      <c r="L1188" s="7" t="s">
        <v>5363</v>
      </c>
      <c r="M1188" s="7" t="s">
        <v>5361</v>
      </c>
      <c r="N1188" s="7">
        <v>290</v>
      </c>
      <c r="O1188" s="7" t="s">
        <v>5364</v>
      </c>
      <c r="P1188" s="7"/>
    </row>
    <row r="1189" spans="1:17">
      <c r="A1189" s="6" t="s">
        <v>31</v>
      </c>
      <c r="B1189" s="7">
        <v>1060308</v>
      </c>
      <c r="C1189" s="7">
        <v>1060523</v>
      </c>
      <c r="D1189" s="8"/>
      <c r="E1189" s="7" t="s">
        <v>75</v>
      </c>
      <c r="F1189" s="7" t="s">
        <v>5365</v>
      </c>
      <c r="G1189" s="7" t="s">
        <v>5366</v>
      </c>
      <c r="H1189" s="8"/>
      <c r="I1189" s="7" t="s">
        <v>55</v>
      </c>
      <c r="J1189" s="8"/>
      <c r="K1189" s="8"/>
      <c r="L1189" s="7" t="s">
        <v>5367</v>
      </c>
      <c r="M1189" s="7" t="s">
        <v>5365</v>
      </c>
      <c r="N1189" s="7">
        <v>71</v>
      </c>
      <c r="O1189" s="7" t="s">
        <v>5368</v>
      </c>
      <c r="P1189" s="7"/>
    </row>
    <row r="1190" spans="1:17">
      <c r="A1190" s="6" t="s">
        <v>31</v>
      </c>
      <c r="B1190" s="7">
        <v>1060501</v>
      </c>
      <c r="C1190" s="7">
        <v>1061841</v>
      </c>
      <c r="D1190" s="8"/>
      <c r="E1190" s="7" t="s">
        <v>75</v>
      </c>
      <c r="F1190" s="7" t="s">
        <v>5369</v>
      </c>
      <c r="G1190" s="7" t="s">
        <v>1213</v>
      </c>
      <c r="H1190" s="8"/>
      <c r="I1190" s="7" t="s">
        <v>55</v>
      </c>
      <c r="J1190" s="8"/>
      <c r="K1190" s="8"/>
      <c r="L1190" s="7" t="s">
        <v>5370</v>
      </c>
      <c r="M1190" s="7" t="s">
        <v>5369</v>
      </c>
      <c r="N1190" s="7">
        <v>446</v>
      </c>
      <c r="O1190" s="7" t="s">
        <v>5371</v>
      </c>
      <c r="P1190" s="7"/>
    </row>
    <row r="1191" spans="1:17">
      <c r="A1191" s="6" t="s">
        <v>31</v>
      </c>
      <c r="B1191" s="7">
        <v>1062030</v>
      </c>
      <c r="C1191" s="7">
        <v>1062275</v>
      </c>
      <c r="D1191" s="8"/>
      <c r="E1191" s="7" t="s">
        <v>75</v>
      </c>
      <c r="F1191" s="7" t="s">
        <v>2130</v>
      </c>
      <c r="G1191" s="8"/>
      <c r="H1191" s="8"/>
      <c r="I1191" s="7" t="s">
        <v>55</v>
      </c>
      <c r="J1191" s="8"/>
      <c r="K1191" s="8"/>
      <c r="L1191" s="7" t="s">
        <v>5372</v>
      </c>
      <c r="M1191" s="7" t="s">
        <v>2130</v>
      </c>
      <c r="N1191" s="7">
        <v>81</v>
      </c>
      <c r="O1191" s="7" t="s">
        <v>5373</v>
      </c>
    </row>
    <row r="1192" spans="1:17">
      <c r="A1192" s="6" t="s">
        <v>31</v>
      </c>
      <c r="B1192" s="7">
        <v>1062557</v>
      </c>
      <c r="C1192" s="7">
        <v>1062676</v>
      </c>
      <c r="D1192" s="8"/>
      <c r="E1192" s="7" t="s">
        <v>75</v>
      </c>
      <c r="F1192" s="7" t="s">
        <v>2130</v>
      </c>
      <c r="G1192" s="8"/>
      <c r="H1192" s="8"/>
      <c r="I1192" s="7" t="s">
        <v>55</v>
      </c>
      <c r="J1192" s="8"/>
      <c r="K1192" s="8"/>
      <c r="L1192" s="7" t="s">
        <v>5374</v>
      </c>
      <c r="M1192" s="7" t="s">
        <v>2130</v>
      </c>
      <c r="N1192" s="7">
        <v>39</v>
      </c>
      <c r="O1192" s="7" t="s">
        <v>5375</v>
      </c>
    </row>
    <row r="1193" spans="1:17">
      <c r="A1193" s="6" t="s">
        <v>31</v>
      </c>
      <c r="B1193" s="7">
        <v>1062908</v>
      </c>
      <c r="C1193" s="7">
        <v>1063552</v>
      </c>
      <c r="D1193" s="8"/>
      <c r="E1193" s="7" t="s">
        <v>75</v>
      </c>
      <c r="F1193" s="7" t="s">
        <v>5376</v>
      </c>
      <c r="G1193" s="7" t="s">
        <v>1216</v>
      </c>
      <c r="H1193" s="8"/>
      <c r="I1193" s="7" t="s">
        <v>55</v>
      </c>
      <c r="J1193" s="8"/>
      <c r="K1193" s="8"/>
      <c r="L1193" s="7" t="s">
        <v>5377</v>
      </c>
      <c r="M1193" s="7" t="s">
        <v>5376</v>
      </c>
      <c r="N1193" s="7">
        <v>214</v>
      </c>
      <c r="O1193" s="7" t="s">
        <v>5378</v>
      </c>
      <c r="P1193" s="7"/>
    </row>
    <row r="1194" spans="1:17">
      <c r="A1194" s="6" t="s">
        <v>31</v>
      </c>
      <c r="B1194" s="7">
        <v>1063552</v>
      </c>
      <c r="C1194" s="7">
        <v>1064250</v>
      </c>
      <c r="D1194" s="8"/>
      <c r="E1194" s="7" t="s">
        <v>75</v>
      </c>
      <c r="F1194" s="7" t="s">
        <v>5379</v>
      </c>
      <c r="G1194" s="8"/>
      <c r="H1194" s="8"/>
      <c r="I1194" s="7" t="s">
        <v>55</v>
      </c>
      <c r="J1194" s="8"/>
      <c r="K1194" s="8"/>
      <c r="L1194" s="7" t="s">
        <v>5380</v>
      </c>
      <c r="M1194" s="7" t="s">
        <v>5379</v>
      </c>
      <c r="N1194" s="7">
        <v>232</v>
      </c>
      <c r="O1194" s="7" t="s">
        <v>5381</v>
      </c>
    </row>
    <row r="1195" spans="1:17">
      <c r="A1195" s="6" t="s">
        <v>31</v>
      </c>
      <c r="B1195" s="7">
        <v>1064322</v>
      </c>
      <c r="C1195" s="7">
        <v>1065266</v>
      </c>
      <c r="D1195" s="8"/>
      <c r="E1195" s="7" t="s">
        <v>75</v>
      </c>
      <c r="F1195" s="7" t="s">
        <v>5382</v>
      </c>
      <c r="G1195" s="7" t="s">
        <v>5383</v>
      </c>
      <c r="H1195" s="8"/>
      <c r="I1195" s="7" t="s">
        <v>55</v>
      </c>
      <c r="J1195" s="8"/>
      <c r="K1195" s="8"/>
      <c r="L1195" s="7" t="s">
        <v>5384</v>
      </c>
      <c r="M1195" s="7" t="s">
        <v>5382</v>
      </c>
      <c r="N1195" s="7">
        <v>314</v>
      </c>
      <c r="O1195" s="7" t="s">
        <v>5385</v>
      </c>
      <c r="P1195" s="7"/>
    </row>
    <row r="1196" spans="1:17">
      <c r="A1196" s="6" t="s">
        <v>31</v>
      </c>
      <c r="B1196" s="7">
        <v>1065437</v>
      </c>
      <c r="C1196" s="7">
        <v>1065955</v>
      </c>
      <c r="D1196" s="8"/>
      <c r="E1196" s="7" t="s">
        <v>75</v>
      </c>
      <c r="F1196" s="7" t="s">
        <v>1220</v>
      </c>
      <c r="G1196" s="7" t="s">
        <v>5386</v>
      </c>
      <c r="H1196" s="8"/>
      <c r="I1196" s="7" t="s">
        <v>55</v>
      </c>
      <c r="J1196" s="8"/>
      <c r="K1196" s="8"/>
      <c r="L1196" s="7" t="s">
        <v>5387</v>
      </c>
      <c r="M1196" s="7" t="s">
        <v>1220</v>
      </c>
      <c r="N1196" s="7">
        <v>172</v>
      </c>
      <c r="O1196" s="7" t="s">
        <v>5388</v>
      </c>
      <c r="P1196" s="7"/>
    </row>
    <row r="1197" spans="1:17">
      <c r="A1197" s="6" t="s">
        <v>31</v>
      </c>
      <c r="B1197" s="7">
        <v>1066070</v>
      </c>
      <c r="C1197" s="7">
        <v>1068280</v>
      </c>
      <c r="D1197" s="8"/>
      <c r="E1197" s="7" t="s">
        <v>75</v>
      </c>
      <c r="F1197" s="7" t="s">
        <v>5389</v>
      </c>
      <c r="G1197" s="8"/>
      <c r="H1197" s="8"/>
      <c r="I1197" s="7" t="s">
        <v>55</v>
      </c>
      <c r="J1197" s="8"/>
      <c r="K1197" s="8"/>
      <c r="L1197" s="7" t="s">
        <v>5390</v>
      </c>
      <c r="M1197" s="7" t="s">
        <v>5389</v>
      </c>
      <c r="N1197" s="7">
        <v>736</v>
      </c>
      <c r="O1197" s="7" t="s">
        <v>5391</v>
      </c>
      <c r="P1197" s="7"/>
    </row>
    <row r="1198" spans="1:17">
      <c r="A1198" s="6" t="s">
        <v>31</v>
      </c>
      <c r="B1198" s="7">
        <v>1068293</v>
      </c>
      <c r="C1198" s="7">
        <v>1069060</v>
      </c>
      <c r="D1198" s="8"/>
      <c r="E1198" s="7" t="s">
        <v>75</v>
      </c>
      <c r="F1198" s="7" t="s">
        <v>5392</v>
      </c>
      <c r="G1198" s="7" t="s">
        <v>5393</v>
      </c>
      <c r="H1198" s="8"/>
      <c r="I1198" s="7" t="s">
        <v>55</v>
      </c>
      <c r="J1198" s="8"/>
      <c r="K1198" s="8"/>
      <c r="L1198" s="7" t="s">
        <v>5394</v>
      </c>
      <c r="M1198" s="7" t="s">
        <v>5392</v>
      </c>
      <c r="N1198" s="7">
        <v>255</v>
      </c>
      <c r="O1198" s="7" t="s">
        <v>5395</v>
      </c>
      <c r="P1198" s="7"/>
    </row>
    <row r="1199" spans="1:17">
      <c r="A1199" s="6" t="s">
        <v>31</v>
      </c>
      <c r="B1199" s="7">
        <v>1069060</v>
      </c>
      <c r="C1199" s="7">
        <v>1069989</v>
      </c>
      <c r="D1199" s="8"/>
      <c r="E1199" s="7" t="s">
        <v>75</v>
      </c>
      <c r="F1199" s="7" t="s">
        <v>1224</v>
      </c>
      <c r="G1199" s="7" t="s">
        <v>1225</v>
      </c>
      <c r="H1199" s="8"/>
      <c r="I1199" s="7" t="s">
        <v>55</v>
      </c>
      <c r="J1199" s="8"/>
      <c r="K1199" s="8"/>
      <c r="L1199" s="7" t="s">
        <v>5396</v>
      </c>
      <c r="M1199" s="7" t="s">
        <v>1224</v>
      </c>
      <c r="N1199" s="7">
        <v>309</v>
      </c>
      <c r="O1199" s="7" t="s">
        <v>5397</v>
      </c>
      <c r="P1199" s="7"/>
    </row>
    <row r="1200" spans="1:17">
      <c r="A1200" s="6" t="s">
        <v>31</v>
      </c>
      <c r="B1200" s="7">
        <v>1070020</v>
      </c>
      <c r="C1200" s="7">
        <v>1070661</v>
      </c>
      <c r="D1200" s="8"/>
      <c r="E1200" s="7" t="s">
        <v>75</v>
      </c>
      <c r="F1200" s="7" t="s">
        <v>5398</v>
      </c>
      <c r="G1200" s="8"/>
      <c r="H1200" s="8"/>
      <c r="I1200" s="7" t="s">
        <v>55</v>
      </c>
      <c r="J1200" s="8"/>
      <c r="K1200" s="8"/>
      <c r="L1200" s="7" t="s">
        <v>5399</v>
      </c>
      <c r="M1200" s="7" t="s">
        <v>5398</v>
      </c>
      <c r="N1200" s="7">
        <v>213</v>
      </c>
      <c r="O1200" s="7" t="s">
        <v>5400</v>
      </c>
      <c r="P1200" s="7"/>
      <c r="Q1200" s="7"/>
    </row>
    <row r="1201" spans="1:16">
      <c r="A1201" s="6" t="s">
        <v>31</v>
      </c>
      <c r="B1201" s="7">
        <v>1070654</v>
      </c>
      <c r="C1201" s="7">
        <v>1071892</v>
      </c>
      <c r="D1201" s="8"/>
      <c r="E1201" s="7" t="s">
        <v>75</v>
      </c>
      <c r="F1201" s="7" t="s">
        <v>1228</v>
      </c>
      <c r="G1201" s="7" t="s">
        <v>1229</v>
      </c>
      <c r="H1201" s="8"/>
      <c r="I1201" s="7" t="s">
        <v>55</v>
      </c>
      <c r="J1201" s="8"/>
      <c r="K1201" s="8"/>
      <c r="L1201" s="7" t="s">
        <v>5401</v>
      </c>
      <c r="M1201" s="7" t="s">
        <v>1228</v>
      </c>
      <c r="N1201" s="7">
        <v>412</v>
      </c>
      <c r="O1201" s="7" t="s">
        <v>5402</v>
      </c>
    </row>
    <row r="1202" spans="1:16">
      <c r="A1202" s="6" t="s">
        <v>31</v>
      </c>
      <c r="B1202" s="7">
        <v>1072012</v>
      </c>
      <c r="C1202" s="7">
        <v>1073439</v>
      </c>
      <c r="D1202" s="8"/>
      <c r="E1202" s="7" t="s">
        <v>75</v>
      </c>
      <c r="F1202" s="7" t="s">
        <v>5403</v>
      </c>
      <c r="G1202" s="8"/>
      <c r="H1202" s="8"/>
      <c r="I1202" s="7" t="s">
        <v>55</v>
      </c>
      <c r="J1202" s="8"/>
      <c r="K1202" s="8"/>
      <c r="L1202" s="7" t="s">
        <v>5404</v>
      </c>
      <c r="M1202" s="7" t="s">
        <v>5403</v>
      </c>
      <c r="N1202" s="7">
        <v>475</v>
      </c>
      <c r="O1202" s="7" t="s">
        <v>5405</v>
      </c>
    </row>
    <row r="1203" spans="1:16">
      <c r="A1203" s="6" t="s">
        <v>31</v>
      </c>
      <c r="B1203" s="7">
        <v>1073616</v>
      </c>
      <c r="C1203" s="7">
        <v>1074155</v>
      </c>
      <c r="D1203" s="8"/>
      <c r="E1203" s="7" t="s">
        <v>75</v>
      </c>
      <c r="F1203" s="7" t="s">
        <v>5406</v>
      </c>
      <c r="G1203" s="8"/>
      <c r="H1203" s="8"/>
      <c r="I1203" s="7" t="s">
        <v>55</v>
      </c>
      <c r="J1203" s="8"/>
      <c r="K1203" s="8"/>
      <c r="L1203" s="7" t="s">
        <v>5407</v>
      </c>
      <c r="M1203" s="7" t="s">
        <v>5406</v>
      </c>
      <c r="N1203" s="7">
        <v>179</v>
      </c>
      <c r="O1203" s="7" t="s">
        <v>5408</v>
      </c>
    </row>
    <row r="1204" spans="1:16">
      <c r="A1204" s="6" t="s">
        <v>31</v>
      </c>
      <c r="B1204" s="7">
        <v>1074252</v>
      </c>
      <c r="C1204" s="7">
        <v>1074467</v>
      </c>
      <c r="D1204" s="8"/>
      <c r="E1204" s="7" t="s">
        <v>75</v>
      </c>
      <c r="F1204" s="7" t="s">
        <v>5409</v>
      </c>
      <c r="G1204" s="8"/>
      <c r="H1204" s="8"/>
      <c r="I1204" s="7" t="s">
        <v>55</v>
      </c>
      <c r="J1204" s="8"/>
      <c r="K1204" s="8"/>
      <c r="L1204" s="7" t="s">
        <v>5410</v>
      </c>
      <c r="M1204" s="7" t="s">
        <v>5409</v>
      </c>
      <c r="N1204" s="7">
        <v>71</v>
      </c>
      <c r="O1204" s="7" t="s">
        <v>5411</v>
      </c>
    </row>
    <row r="1205" spans="1:16">
      <c r="A1205" s="6" t="s">
        <v>31</v>
      </c>
      <c r="B1205" s="7">
        <v>1074555</v>
      </c>
      <c r="C1205" s="7">
        <v>1075295</v>
      </c>
      <c r="D1205" s="8"/>
      <c r="E1205" s="7" t="s">
        <v>75</v>
      </c>
      <c r="F1205" s="7" t="s">
        <v>5412</v>
      </c>
      <c r="G1205" s="7" t="s">
        <v>5413</v>
      </c>
      <c r="H1205" s="8"/>
      <c r="I1205" s="7" t="s">
        <v>55</v>
      </c>
      <c r="J1205" s="8"/>
      <c r="K1205" s="8"/>
      <c r="L1205" s="7" t="s">
        <v>5414</v>
      </c>
      <c r="M1205" s="7" t="s">
        <v>5412</v>
      </c>
      <c r="N1205" s="7">
        <v>246</v>
      </c>
      <c r="O1205" s="7" t="s">
        <v>5415</v>
      </c>
      <c r="P1205" s="7"/>
    </row>
    <row r="1206" spans="1:16">
      <c r="A1206" s="6" t="s">
        <v>31</v>
      </c>
      <c r="B1206" s="7">
        <v>1075298</v>
      </c>
      <c r="C1206" s="7">
        <v>1075942</v>
      </c>
      <c r="D1206" s="8"/>
      <c r="E1206" s="7" t="s">
        <v>75</v>
      </c>
      <c r="F1206" s="7" t="s">
        <v>5416</v>
      </c>
      <c r="G1206" s="8"/>
      <c r="H1206" s="8"/>
      <c r="I1206" s="7" t="s">
        <v>55</v>
      </c>
      <c r="J1206" s="8"/>
      <c r="K1206" s="8"/>
      <c r="L1206" s="7" t="s">
        <v>5417</v>
      </c>
      <c r="M1206" s="7" t="s">
        <v>5416</v>
      </c>
      <c r="N1206" s="7">
        <v>214</v>
      </c>
      <c r="O1206" s="7" t="s">
        <v>5418</v>
      </c>
    </row>
    <row r="1207" spans="1:16">
      <c r="A1207" s="6" t="s">
        <v>31</v>
      </c>
      <c r="B1207" s="7">
        <v>1075932</v>
      </c>
      <c r="C1207" s="7">
        <v>1076705</v>
      </c>
      <c r="D1207" s="8"/>
      <c r="E1207" s="7" t="s">
        <v>75</v>
      </c>
      <c r="F1207" s="7" t="s">
        <v>5419</v>
      </c>
      <c r="G1207" s="7" t="s">
        <v>5420</v>
      </c>
      <c r="H1207" s="8"/>
      <c r="I1207" s="7" t="s">
        <v>55</v>
      </c>
      <c r="J1207" s="8"/>
      <c r="K1207" s="8"/>
      <c r="L1207" s="7" t="s">
        <v>5421</v>
      </c>
      <c r="M1207" s="7" t="s">
        <v>5419</v>
      </c>
      <c r="N1207" s="7">
        <v>257</v>
      </c>
      <c r="O1207" s="7" t="s">
        <v>5422</v>
      </c>
      <c r="P1207" s="7"/>
    </row>
    <row r="1208" spans="1:16">
      <c r="A1208" s="6" t="s">
        <v>31</v>
      </c>
      <c r="B1208" s="7">
        <v>1076707</v>
      </c>
      <c r="C1208" s="7">
        <v>1077450</v>
      </c>
      <c r="D1208" s="8"/>
      <c r="E1208" s="7" t="s">
        <v>75</v>
      </c>
      <c r="F1208" s="7" t="s">
        <v>5423</v>
      </c>
      <c r="G1208" s="8"/>
      <c r="H1208" s="8"/>
      <c r="I1208" s="7" t="s">
        <v>55</v>
      </c>
      <c r="J1208" s="8"/>
      <c r="K1208" s="8"/>
      <c r="L1208" s="7" t="s">
        <v>5424</v>
      </c>
      <c r="M1208" s="7" t="s">
        <v>5423</v>
      </c>
      <c r="N1208" s="7">
        <v>247</v>
      </c>
      <c r="O1208" s="7" t="s">
        <v>5425</v>
      </c>
    </row>
    <row r="1209" spans="1:16">
      <c r="A1209" s="6" t="s">
        <v>31</v>
      </c>
      <c r="B1209" s="7">
        <v>1077451</v>
      </c>
      <c r="C1209" s="7">
        <v>1078587</v>
      </c>
      <c r="D1209" s="8"/>
      <c r="E1209" s="7" t="s">
        <v>75</v>
      </c>
      <c r="F1209" s="7" t="s">
        <v>5426</v>
      </c>
      <c r="G1209" s="7" t="s">
        <v>1235</v>
      </c>
      <c r="H1209" s="8"/>
      <c r="I1209" s="7" t="s">
        <v>55</v>
      </c>
      <c r="J1209" s="8"/>
      <c r="K1209" s="8"/>
      <c r="L1209" s="7" t="s">
        <v>5427</v>
      </c>
      <c r="M1209" s="7" t="s">
        <v>5426</v>
      </c>
      <c r="N1209" s="7">
        <v>378</v>
      </c>
      <c r="O1209" s="7" t="s">
        <v>5428</v>
      </c>
    </row>
    <row r="1210" spans="1:16">
      <c r="A1210" s="6" t="s">
        <v>31</v>
      </c>
      <c r="B1210" s="7">
        <v>1078856</v>
      </c>
      <c r="C1210" s="7">
        <v>1079005</v>
      </c>
      <c r="D1210" s="8"/>
      <c r="E1210" s="7" t="s">
        <v>75</v>
      </c>
      <c r="F1210" s="7" t="s">
        <v>2130</v>
      </c>
      <c r="G1210" s="8"/>
      <c r="H1210" s="8"/>
      <c r="I1210" s="7" t="s">
        <v>55</v>
      </c>
      <c r="J1210" s="8"/>
      <c r="K1210" s="8"/>
      <c r="L1210" s="7" t="s">
        <v>5429</v>
      </c>
      <c r="M1210" s="7" t="s">
        <v>2130</v>
      </c>
      <c r="N1210" s="7">
        <v>49</v>
      </c>
      <c r="O1210" s="7" t="s">
        <v>5430</v>
      </c>
    </row>
    <row r="1211" spans="1:16">
      <c r="A1211" s="6" t="s">
        <v>31</v>
      </c>
      <c r="B1211" s="7">
        <v>1079554</v>
      </c>
      <c r="C1211" s="7">
        <v>1079859</v>
      </c>
      <c r="D1211" s="8"/>
      <c r="E1211" s="7" t="s">
        <v>75</v>
      </c>
      <c r="F1211" s="7" t="s">
        <v>2130</v>
      </c>
      <c r="G1211" s="8"/>
      <c r="H1211" s="8"/>
      <c r="I1211" s="7" t="s">
        <v>55</v>
      </c>
      <c r="J1211" s="8"/>
      <c r="K1211" s="8"/>
      <c r="L1211" s="7" t="s">
        <v>5431</v>
      </c>
      <c r="M1211" s="7" t="s">
        <v>2130</v>
      </c>
      <c r="N1211" s="7">
        <v>101</v>
      </c>
      <c r="O1211" s="7" t="s">
        <v>5432</v>
      </c>
    </row>
    <row r="1212" spans="1:16">
      <c r="A1212" s="6" t="s">
        <v>31</v>
      </c>
      <c r="B1212" s="7">
        <v>1080062</v>
      </c>
      <c r="C1212" s="7">
        <v>1080322</v>
      </c>
      <c r="D1212" s="8"/>
      <c r="E1212" s="7" t="s">
        <v>75</v>
      </c>
      <c r="F1212" s="7" t="s">
        <v>2130</v>
      </c>
      <c r="G1212" s="8"/>
      <c r="H1212" s="8"/>
      <c r="I1212" s="7" t="s">
        <v>55</v>
      </c>
      <c r="J1212" s="8"/>
      <c r="K1212" s="8"/>
      <c r="L1212" s="7" t="s">
        <v>5433</v>
      </c>
      <c r="M1212" s="7" t="s">
        <v>2130</v>
      </c>
      <c r="N1212" s="7">
        <v>86</v>
      </c>
      <c r="O1212" s="7" t="s">
        <v>5434</v>
      </c>
    </row>
    <row r="1213" spans="1:16">
      <c r="A1213" s="6" t="s">
        <v>31</v>
      </c>
      <c r="B1213" s="7">
        <v>1080343</v>
      </c>
      <c r="C1213" s="7">
        <v>1080555</v>
      </c>
      <c r="D1213" s="8"/>
      <c r="E1213" s="7" t="s">
        <v>75</v>
      </c>
      <c r="F1213" s="7" t="s">
        <v>2130</v>
      </c>
      <c r="G1213" s="8"/>
      <c r="H1213" s="8"/>
      <c r="I1213" s="7" t="s">
        <v>55</v>
      </c>
      <c r="J1213" s="8"/>
      <c r="K1213" s="8"/>
      <c r="L1213" s="7" t="s">
        <v>5435</v>
      </c>
      <c r="M1213" s="7" t="s">
        <v>2130</v>
      </c>
      <c r="N1213" s="7">
        <v>70</v>
      </c>
      <c r="O1213" s="7" t="s">
        <v>5436</v>
      </c>
    </row>
    <row r="1214" spans="1:16">
      <c r="A1214" s="6" t="s">
        <v>31</v>
      </c>
      <c r="B1214" s="7">
        <v>1080718</v>
      </c>
      <c r="C1214" s="7">
        <v>1081764</v>
      </c>
      <c r="D1214" s="8"/>
      <c r="E1214" s="7" t="s">
        <v>75</v>
      </c>
      <c r="F1214" s="7" t="s">
        <v>1241</v>
      </c>
      <c r="G1214" s="7" t="s">
        <v>5437</v>
      </c>
      <c r="H1214" s="8"/>
      <c r="I1214" s="7" t="s">
        <v>55</v>
      </c>
      <c r="J1214" s="8"/>
      <c r="K1214" s="8"/>
      <c r="L1214" s="7" t="s">
        <v>5438</v>
      </c>
      <c r="M1214" s="7" t="s">
        <v>1241</v>
      </c>
      <c r="N1214" s="7">
        <v>348</v>
      </c>
      <c r="O1214" s="7" t="s">
        <v>5439</v>
      </c>
      <c r="P1214" s="7"/>
    </row>
    <row r="1215" spans="1:16">
      <c r="A1215" s="6" t="s">
        <v>31</v>
      </c>
      <c r="B1215" s="7">
        <v>1082194</v>
      </c>
      <c r="C1215" s="7">
        <v>1082787</v>
      </c>
      <c r="D1215" s="8"/>
      <c r="E1215" s="7" t="s">
        <v>75</v>
      </c>
      <c r="F1215" s="7" t="s">
        <v>5440</v>
      </c>
      <c r="G1215" s="7" t="s">
        <v>5441</v>
      </c>
      <c r="H1215" s="8"/>
      <c r="I1215" s="7" t="s">
        <v>55</v>
      </c>
      <c r="J1215" s="8"/>
      <c r="K1215" s="8"/>
      <c r="L1215" s="7" t="s">
        <v>5442</v>
      </c>
      <c r="M1215" s="7" t="s">
        <v>5440</v>
      </c>
      <c r="N1215" s="7">
        <v>197</v>
      </c>
      <c r="O1215" s="7" t="s">
        <v>5443</v>
      </c>
      <c r="P1215" s="7"/>
    </row>
    <row r="1216" spans="1:16">
      <c r="A1216" s="6" t="s">
        <v>31</v>
      </c>
      <c r="B1216" s="7">
        <v>1082787</v>
      </c>
      <c r="C1216" s="7">
        <v>1083656</v>
      </c>
      <c r="D1216" s="8"/>
      <c r="E1216" s="7" t="s">
        <v>75</v>
      </c>
      <c r="F1216" s="7" t="s">
        <v>5444</v>
      </c>
      <c r="G1216" s="7" t="s">
        <v>5445</v>
      </c>
      <c r="H1216" s="8"/>
      <c r="I1216" s="7" t="s">
        <v>55</v>
      </c>
      <c r="J1216" s="8"/>
      <c r="K1216" s="8"/>
      <c r="L1216" s="7" t="s">
        <v>5446</v>
      </c>
      <c r="M1216" s="7" t="s">
        <v>5444</v>
      </c>
      <c r="N1216" s="7">
        <v>289</v>
      </c>
      <c r="O1216" s="7" t="s">
        <v>5447</v>
      </c>
      <c r="P1216" s="7"/>
    </row>
    <row r="1217" spans="1:16">
      <c r="A1217" s="6" t="s">
        <v>31</v>
      </c>
      <c r="B1217" s="7">
        <v>1083888</v>
      </c>
      <c r="C1217" s="7">
        <v>1084979</v>
      </c>
      <c r="D1217" s="8"/>
      <c r="E1217" s="7" t="s">
        <v>75</v>
      </c>
      <c r="F1217" s="7" t="s">
        <v>5448</v>
      </c>
      <c r="G1217" s="8"/>
      <c r="H1217" s="8"/>
      <c r="I1217" s="7" t="s">
        <v>55</v>
      </c>
      <c r="J1217" s="8"/>
      <c r="K1217" s="8"/>
      <c r="L1217" s="7" t="s">
        <v>5449</v>
      </c>
      <c r="M1217" s="7" t="s">
        <v>5448</v>
      </c>
      <c r="N1217" s="7">
        <v>363</v>
      </c>
      <c r="O1217" s="7" t="s">
        <v>5450</v>
      </c>
    </row>
    <row r="1218" spans="1:16">
      <c r="A1218" s="6" t="s">
        <v>31</v>
      </c>
      <c r="B1218" s="7">
        <v>1085046</v>
      </c>
      <c r="C1218" s="7">
        <v>1085240</v>
      </c>
      <c r="D1218" s="8"/>
      <c r="E1218" s="7" t="s">
        <v>75</v>
      </c>
      <c r="F1218" s="7" t="s">
        <v>2095</v>
      </c>
      <c r="G1218" s="8"/>
      <c r="H1218" s="8"/>
      <c r="I1218" s="7" t="s">
        <v>55</v>
      </c>
      <c r="J1218" s="8"/>
      <c r="K1218" s="8"/>
      <c r="L1218" s="7" t="s">
        <v>5451</v>
      </c>
      <c r="M1218" s="7" t="s">
        <v>2095</v>
      </c>
      <c r="N1218" s="7">
        <v>64</v>
      </c>
      <c r="O1218" s="7" t="s">
        <v>5452</v>
      </c>
    </row>
    <row r="1219" spans="1:16">
      <c r="A1219" s="6" t="s">
        <v>31</v>
      </c>
      <c r="B1219" s="7">
        <v>1085137</v>
      </c>
      <c r="C1219" s="7">
        <v>1085715</v>
      </c>
      <c r="D1219" s="8"/>
      <c r="E1219" s="7" t="s">
        <v>75</v>
      </c>
      <c r="F1219" s="7" t="s">
        <v>2212</v>
      </c>
      <c r="G1219" s="8"/>
      <c r="H1219" s="8"/>
      <c r="I1219" s="7" t="s">
        <v>55</v>
      </c>
      <c r="J1219" s="8"/>
      <c r="K1219" s="8"/>
      <c r="L1219" s="7" t="s">
        <v>5453</v>
      </c>
      <c r="M1219" s="7" t="s">
        <v>2212</v>
      </c>
      <c r="N1219" s="7">
        <v>192</v>
      </c>
      <c r="O1219" s="7" t="s">
        <v>5454</v>
      </c>
    </row>
    <row r="1220" spans="1:16">
      <c r="A1220" s="6" t="s">
        <v>31</v>
      </c>
      <c r="B1220" s="7">
        <v>1085666</v>
      </c>
      <c r="C1220" s="7">
        <v>1085875</v>
      </c>
      <c r="D1220" s="8"/>
      <c r="E1220" s="7" t="s">
        <v>75</v>
      </c>
      <c r="F1220" s="7" t="s">
        <v>5455</v>
      </c>
      <c r="G1220" s="8"/>
      <c r="H1220" s="8"/>
      <c r="I1220" s="7" t="s">
        <v>55</v>
      </c>
      <c r="J1220" s="8"/>
      <c r="K1220" s="8"/>
      <c r="L1220" s="7" t="s">
        <v>5456</v>
      </c>
      <c r="M1220" s="7" t="s">
        <v>5455</v>
      </c>
      <c r="N1220" s="7">
        <v>69</v>
      </c>
      <c r="O1220" s="7" t="s">
        <v>5457</v>
      </c>
    </row>
    <row r="1221" spans="1:16">
      <c r="A1221" s="6" t="s">
        <v>31</v>
      </c>
      <c r="B1221" s="7">
        <v>1085888</v>
      </c>
      <c r="C1221" s="7">
        <v>1086676</v>
      </c>
      <c r="D1221" s="8"/>
      <c r="E1221" s="7" t="s">
        <v>75</v>
      </c>
      <c r="F1221" s="7" t="s">
        <v>5458</v>
      </c>
      <c r="G1221" s="8"/>
      <c r="H1221" s="8"/>
      <c r="I1221" s="7" t="s">
        <v>55</v>
      </c>
      <c r="J1221" s="8"/>
      <c r="K1221" s="8"/>
      <c r="L1221" s="7" t="s">
        <v>5459</v>
      </c>
      <c r="M1221" s="7" t="s">
        <v>5458</v>
      </c>
      <c r="N1221" s="7">
        <v>262</v>
      </c>
      <c r="O1221" s="7" t="s">
        <v>5460</v>
      </c>
    </row>
    <row r="1222" spans="1:16">
      <c r="A1222" s="6" t="s">
        <v>31</v>
      </c>
      <c r="B1222" s="7">
        <v>1086666</v>
      </c>
      <c r="C1222" s="7">
        <v>1087352</v>
      </c>
      <c r="D1222" s="8"/>
      <c r="E1222" s="7" t="s">
        <v>75</v>
      </c>
      <c r="F1222" s="7" t="s">
        <v>5461</v>
      </c>
      <c r="G1222" s="7" t="s">
        <v>5462</v>
      </c>
      <c r="H1222" s="8"/>
      <c r="I1222" s="7" t="s">
        <v>55</v>
      </c>
      <c r="J1222" s="8"/>
      <c r="K1222" s="8"/>
      <c r="L1222" s="7" t="s">
        <v>5463</v>
      </c>
      <c r="M1222" s="7" t="s">
        <v>5461</v>
      </c>
      <c r="N1222" s="7">
        <v>228</v>
      </c>
      <c r="O1222" s="7" t="s">
        <v>5464</v>
      </c>
      <c r="P1222" s="7"/>
    </row>
    <row r="1223" spans="1:16">
      <c r="A1223" s="6" t="s">
        <v>31</v>
      </c>
      <c r="B1223" s="7">
        <v>1087450</v>
      </c>
      <c r="C1223" s="7">
        <v>1087890</v>
      </c>
      <c r="D1223" s="8"/>
      <c r="E1223" s="7" t="s">
        <v>75</v>
      </c>
      <c r="F1223" s="7" t="s">
        <v>5465</v>
      </c>
      <c r="G1223" s="8"/>
      <c r="H1223" s="8"/>
      <c r="I1223" s="7" t="s">
        <v>55</v>
      </c>
      <c r="J1223" s="8"/>
      <c r="K1223" s="8"/>
      <c r="L1223" s="7" t="s">
        <v>5466</v>
      </c>
      <c r="M1223" s="7" t="s">
        <v>5465</v>
      </c>
      <c r="N1223" s="7">
        <v>146</v>
      </c>
      <c r="O1223" s="7" t="s">
        <v>5467</v>
      </c>
    </row>
    <row r="1224" spans="1:16">
      <c r="A1224" s="6" t="s">
        <v>31</v>
      </c>
      <c r="B1224" s="7">
        <v>1087893</v>
      </c>
      <c r="C1224" s="7">
        <v>1089245</v>
      </c>
      <c r="D1224" s="8"/>
      <c r="E1224" s="7" t="s">
        <v>75</v>
      </c>
      <c r="F1224" s="7" t="s">
        <v>1249</v>
      </c>
      <c r="G1224" s="7" t="s">
        <v>1250</v>
      </c>
      <c r="H1224" s="8"/>
      <c r="I1224" s="7" t="s">
        <v>55</v>
      </c>
      <c r="J1224" s="8"/>
      <c r="K1224" s="8"/>
      <c r="L1224" s="7" t="s">
        <v>5468</v>
      </c>
      <c r="M1224" s="7" t="s">
        <v>1249</v>
      </c>
      <c r="N1224" s="7">
        <v>450</v>
      </c>
      <c r="O1224" s="7" t="s">
        <v>5469</v>
      </c>
      <c r="P1224" s="7"/>
    </row>
    <row r="1225" spans="1:16">
      <c r="A1225" s="6" t="s">
        <v>31</v>
      </c>
      <c r="B1225" s="7">
        <v>1089469</v>
      </c>
      <c r="C1225" s="7">
        <v>1090434</v>
      </c>
      <c r="D1225" s="8"/>
      <c r="E1225" s="7" t="s">
        <v>75</v>
      </c>
      <c r="F1225" s="7" t="s">
        <v>5470</v>
      </c>
      <c r="G1225" s="8"/>
      <c r="H1225" s="8"/>
      <c r="I1225" s="7" t="s">
        <v>55</v>
      </c>
      <c r="J1225" s="8"/>
      <c r="K1225" s="8"/>
      <c r="L1225" s="7" t="s">
        <v>5471</v>
      </c>
      <c r="M1225" s="7" t="s">
        <v>5470</v>
      </c>
      <c r="N1225" s="7">
        <v>321</v>
      </c>
      <c r="O1225" s="7" t="s">
        <v>5472</v>
      </c>
    </row>
    <row r="1226" spans="1:16">
      <c r="A1226" s="6" t="s">
        <v>31</v>
      </c>
      <c r="B1226" s="7">
        <v>1090431</v>
      </c>
      <c r="C1226" s="7">
        <v>1091138</v>
      </c>
      <c r="D1226" s="8"/>
      <c r="E1226" s="7" t="s">
        <v>75</v>
      </c>
      <c r="F1226" s="7" t="s">
        <v>5473</v>
      </c>
      <c r="G1226" s="7" t="s">
        <v>1253</v>
      </c>
      <c r="H1226" s="8"/>
      <c r="I1226" s="7" t="s">
        <v>55</v>
      </c>
      <c r="J1226" s="8"/>
      <c r="K1226" s="8"/>
      <c r="L1226" s="7" t="s">
        <v>5474</v>
      </c>
      <c r="M1226" s="7" t="s">
        <v>5473</v>
      </c>
      <c r="N1226" s="7">
        <v>235</v>
      </c>
      <c r="O1226" s="7" t="s">
        <v>5475</v>
      </c>
      <c r="P1226" s="7"/>
    </row>
    <row r="1227" spans="1:16">
      <c r="A1227" s="6" t="s">
        <v>31</v>
      </c>
      <c r="B1227" s="7">
        <v>1091402</v>
      </c>
      <c r="C1227" s="7">
        <v>1092727</v>
      </c>
      <c r="D1227" s="8"/>
      <c r="E1227" s="7" t="s">
        <v>53</v>
      </c>
      <c r="F1227" s="7" t="s">
        <v>5476</v>
      </c>
      <c r="G1227" s="7" t="s">
        <v>1255</v>
      </c>
      <c r="H1227" s="8"/>
      <c r="I1227" s="7" t="s">
        <v>55</v>
      </c>
      <c r="J1227" s="8"/>
      <c r="K1227" s="8"/>
      <c r="L1227" s="7" t="s">
        <v>5477</v>
      </c>
      <c r="M1227" s="7" t="s">
        <v>5476</v>
      </c>
      <c r="N1227" s="7">
        <v>441</v>
      </c>
      <c r="O1227" s="7" t="s">
        <v>5478</v>
      </c>
      <c r="P1227" s="7"/>
    </row>
    <row r="1228" spans="1:16">
      <c r="A1228" s="6" t="s">
        <v>31</v>
      </c>
      <c r="B1228" s="7">
        <v>1092727</v>
      </c>
      <c r="C1228" s="7">
        <v>1093515</v>
      </c>
      <c r="D1228" s="8"/>
      <c r="E1228" s="7" t="s">
        <v>53</v>
      </c>
      <c r="F1228" s="7" t="s">
        <v>5479</v>
      </c>
      <c r="G1228" s="7" t="s">
        <v>1257</v>
      </c>
      <c r="H1228" s="8"/>
      <c r="I1228" s="7" t="s">
        <v>55</v>
      </c>
      <c r="J1228" s="8"/>
      <c r="K1228" s="8"/>
      <c r="L1228" s="7" t="s">
        <v>5480</v>
      </c>
      <c r="M1228" s="7" t="s">
        <v>5479</v>
      </c>
      <c r="N1228" s="7">
        <v>262</v>
      </c>
      <c r="O1228" s="7" t="s">
        <v>5481</v>
      </c>
      <c r="P1228" s="7"/>
    </row>
    <row r="1229" spans="1:16">
      <c r="A1229" s="6" t="s">
        <v>31</v>
      </c>
      <c r="B1229" s="7">
        <v>1093566</v>
      </c>
      <c r="C1229" s="7">
        <v>1096121</v>
      </c>
      <c r="D1229" s="8"/>
      <c r="E1229" s="7" t="s">
        <v>75</v>
      </c>
      <c r="F1229" s="7" t="s">
        <v>5482</v>
      </c>
      <c r="G1229" s="8"/>
      <c r="H1229" s="8"/>
      <c r="I1229" s="7" t="s">
        <v>55</v>
      </c>
      <c r="J1229" s="8"/>
      <c r="K1229" s="8"/>
      <c r="L1229" s="7" t="s">
        <v>5483</v>
      </c>
      <c r="M1229" s="7" t="s">
        <v>5482</v>
      </c>
      <c r="N1229" s="7">
        <v>851</v>
      </c>
      <c r="O1229" s="7" t="s">
        <v>5484</v>
      </c>
    </row>
    <row r="1230" spans="1:16">
      <c r="A1230" s="6" t="s">
        <v>31</v>
      </c>
      <c r="B1230" s="7">
        <v>1096118</v>
      </c>
      <c r="C1230" s="7">
        <v>1096837</v>
      </c>
      <c r="D1230" s="8"/>
      <c r="E1230" s="7" t="s">
        <v>75</v>
      </c>
      <c r="F1230" s="7" t="s">
        <v>5485</v>
      </c>
      <c r="G1230" s="8"/>
      <c r="H1230" s="8"/>
      <c r="I1230" s="7" t="s">
        <v>55</v>
      </c>
      <c r="J1230" s="8"/>
      <c r="K1230" s="8"/>
      <c r="L1230" s="7" t="s">
        <v>5486</v>
      </c>
      <c r="M1230" s="7" t="s">
        <v>5485</v>
      </c>
      <c r="N1230" s="7">
        <v>239</v>
      </c>
      <c r="O1230" s="7" t="s">
        <v>5487</v>
      </c>
    </row>
    <row r="1231" spans="1:16">
      <c r="A1231" s="6" t="s">
        <v>31</v>
      </c>
      <c r="B1231" s="7">
        <v>1097363</v>
      </c>
      <c r="C1231" s="7">
        <v>1099282</v>
      </c>
      <c r="D1231" s="8"/>
      <c r="E1231" s="7" t="s">
        <v>75</v>
      </c>
      <c r="F1231" s="7" t="s">
        <v>5488</v>
      </c>
      <c r="G1231" s="7" t="s">
        <v>5489</v>
      </c>
      <c r="H1231" s="8"/>
      <c r="I1231" s="7" t="s">
        <v>55</v>
      </c>
      <c r="J1231" s="8"/>
      <c r="K1231" s="8"/>
      <c r="L1231" s="7" t="s">
        <v>5490</v>
      </c>
      <c r="M1231" s="7" t="s">
        <v>5488</v>
      </c>
      <c r="N1231" s="7">
        <v>639</v>
      </c>
      <c r="O1231" s="7" t="s">
        <v>5491</v>
      </c>
    </row>
    <row r="1232" spans="1:16">
      <c r="A1232" s="6" t="s">
        <v>31</v>
      </c>
      <c r="B1232" s="7">
        <v>1099319</v>
      </c>
      <c r="C1232" s="7">
        <v>1099954</v>
      </c>
      <c r="D1232" s="8"/>
      <c r="E1232" s="7" t="s">
        <v>75</v>
      </c>
      <c r="F1232" s="7" t="s">
        <v>1262</v>
      </c>
      <c r="G1232" s="7" t="s">
        <v>1263</v>
      </c>
      <c r="H1232" s="8"/>
      <c r="I1232" s="7" t="s">
        <v>55</v>
      </c>
      <c r="J1232" s="8"/>
      <c r="K1232" s="8"/>
      <c r="L1232" s="7" t="s">
        <v>5492</v>
      </c>
      <c r="M1232" s="7" t="s">
        <v>1262</v>
      </c>
      <c r="N1232" s="7">
        <v>211</v>
      </c>
      <c r="O1232" s="7" t="s">
        <v>5493</v>
      </c>
      <c r="P1232" s="7"/>
    </row>
    <row r="1233" spans="1:16">
      <c r="A1233" s="6" t="s">
        <v>31</v>
      </c>
      <c r="B1233" s="7">
        <v>1100052</v>
      </c>
      <c r="C1233" s="7">
        <v>1101134</v>
      </c>
      <c r="D1233" s="8"/>
      <c r="E1233" s="7" t="s">
        <v>53</v>
      </c>
      <c r="F1233" s="7" t="s">
        <v>5494</v>
      </c>
      <c r="G1233" s="7" t="s">
        <v>5495</v>
      </c>
      <c r="H1233" s="8"/>
      <c r="I1233" s="7" t="s">
        <v>55</v>
      </c>
      <c r="J1233" s="8"/>
      <c r="K1233" s="8"/>
      <c r="L1233" s="7" t="s">
        <v>5496</v>
      </c>
      <c r="M1233" s="7" t="s">
        <v>5494</v>
      </c>
      <c r="N1233" s="7">
        <v>360</v>
      </c>
      <c r="O1233" s="7" t="s">
        <v>5497</v>
      </c>
      <c r="P1233" s="7"/>
    </row>
    <row r="1234" spans="1:16">
      <c r="A1234" s="6" t="s">
        <v>31</v>
      </c>
      <c r="B1234" s="7">
        <v>1101423</v>
      </c>
      <c r="C1234" s="7">
        <v>1102856</v>
      </c>
      <c r="D1234" s="8"/>
      <c r="E1234" s="7" t="s">
        <v>75</v>
      </c>
      <c r="F1234" s="7" t="s">
        <v>1266</v>
      </c>
      <c r="G1234" s="7" t="s">
        <v>5498</v>
      </c>
      <c r="H1234" s="8"/>
      <c r="I1234" s="7" t="s">
        <v>55</v>
      </c>
      <c r="J1234" s="8"/>
      <c r="K1234" s="8"/>
      <c r="L1234" s="7" t="s">
        <v>5499</v>
      </c>
      <c r="M1234" s="7" t="s">
        <v>1266</v>
      </c>
      <c r="N1234" s="7">
        <v>477</v>
      </c>
      <c r="O1234" s="7" t="s">
        <v>5500</v>
      </c>
      <c r="P1234" s="7"/>
    </row>
    <row r="1235" spans="1:16">
      <c r="A1235" s="6" t="s">
        <v>31</v>
      </c>
      <c r="B1235" s="7">
        <v>1103074</v>
      </c>
      <c r="C1235" s="7">
        <v>1104807</v>
      </c>
      <c r="D1235" s="8"/>
      <c r="E1235" s="7" t="s">
        <v>75</v>
      </c>
      <c r="F1235" s="7" t="s">
        <v>5501</v>
      </c>
      <c r="G1235" s="7" t="s">
        <v>5502</v>
      </c>
      <c r="H1235" s="8"/>
      <c r="I1235" s="7" t="s">
        <v>55</v>
      </c>
      <c r="J1235" s="8"/>
      <c r="K1235" s="8"/>
      <c r="L1235" s="7" t="s">
        <v>5503</v>
      </c>
      <c r="M1235" s="7" t="s">
        <v>5501</v>
      </c>
      <c r="N1235" s="7">
        <v>577</v>
      </c>
      <c r="O1235" s="7" t="s">
        <v>5504</v>
      </c>
      <c r="P1235" s="7"/>
    </row>
    <row r="1236" spans="1:16">
      <c r="A1236" s="6" t="s">
        <v>31</v>
      </c>
      <c r="B1236" s="7">
        <v>1104812</v>
      </c>
      <c r="C1236" s="7">
        <v>1105075</v>
      </c>
      <c r="D1236" s="8"/>
      <c r="E1236" s="7" t="s">
        <v>75</v>
      </c>
      <c r="F1236" s="7" t="s">
        <v>5505</v>
      </c>
      <c r="G1236" s="7" t="s">
        <v>5506</v>
      </c>
      <c r="H1236" s="8"/>
      <c r="I1236" s="7" t="s">
        <v>55</v>
      </c>
      <c r="J1236" s="8"/>
      <c r="K1236" s="8"/>
      <c r="L1236" s="7" t="s">
        <v>5507</v>
      </c>
      <c r="M1236" s="7" t="s">
        <v>5505</v>
      </c>
      <c r="N1236" s="7">
        <v>87</v>
      </c>
      <c r="O1236" s="7" t="s">
        <v>5508</v>
      </c>
    </row>
    <row r="1237" spans="1:16">
      <c r="A1237" s="6" t="s">
        <v>31</v>
      </c>
      <c r="B1237" s="7">
        <v>1105337</v>
      </c>
      <c r="C1237" s="7">
        <v>1106512</v>
      </c>
      <c r="D1237" s="8"/>
      <c r="E1237" s="7" t="s">
        <v>75</v>
      </c>
      <c r="F1237" s="7" t="s">
        <v>5509</v>
      </c>
      <c r="G1237" s="7" t="s">
        <v>1270</v>
      </c>
      <c r="H1237" s="8"/>
      <c r="I1237" s="7" t="s">
        <v>55</v>
      </c>
      <c r="J1237" s="8"/>
      <c r="K1237" s="8"/>
      <c r="L1237" s="7" t="s">
        <v>5510</v>
      </c>
      <c r="M1237" s="7" t="s">
        <v>5509</v>
      </c>
      <c r="N1237" s="7">
        <v>391</v>
      </c>
      <c r="O1237" s="7" t="s">
        <v>5511</v>
      </c>
      <c r="P1237" s="7"/>
    </row>
    <row r="1238" spans="1:16">
      <c r="A1238" s="6" t="s">
        <v>31</v>
      </c>
      <c r="B1238" s="7">
        <v>1106527</v>
      </c>
      <c r="C1238" s="7">
        <v>1107651</v>
      </c>
      <c r="D1238" s="8"/>
      <c r="E1238" s="7" t="s">
        <v>75</v>
      </c>
      <c r="F1238" s="7" t="s">
        <v>5512</v>
      </c>
      <c r="G1238" s="7" t="s">
        <v>5513</v>
      </c>
      <c r="H1238" s="8"/>
      <c r="I1238" s="7" t="s">
        <v>55</v>
      </c>
      <c r="J1238" s="8"/>
      <c r="K1238" s="8"/>
      <c r="L1238" s="7" t="s">
        <v>5514</v>
      </c>
      <c r="M1238" s="7" t="s">
        <v>5512</v>
      </c>
      <c r="N1238" s="7">
        <v>374</v>
      </c>
      <c r="O1238" s="7" t="s">
        <v>5515</v>
      </c>
      <c r="P1238" s="7"/>
    </row>
    <row r="1239" spans="1:16">
      <c r="A1239" s="6" t="s">
        <v>31</v>
      </c>
      <c r="B1239" s="7">
        <v>1107653</v>
      </c>
      <c r="C1239" s="7">
        <v>1110316</v>
      </c>
      <c r="D1239" s="8"/>
      <c r="E1239" s="7" t="s">
        <v>75</v>
      </c>
      <c r="F1239" s="7" t="s">
        <v>5516</v>
      </c>
      <c r="G1239" s="7" t="s">
        <v>5517</v>
      </c>
      <c r="H1239" s="8"/>
      <c r="I1239" s="7" t="s">
        <v>55</v>
      </c>
      <c r="J1239" s="8"/>
      <c r="K1239" s="8"/>
      <c r="L1239" s="7" t="s">
        <v>5518</v>
      </c>
      <c r="M1239" s="7" t="s">
        <v>5516</v>
      </c>
      <c r="N1239" s="7">
        <v>887</v>
      </c>
      <c r="O1239" s="7" t="s">
        <v>5519</v>
      </c>
      <c r="P1239" s="7"/>
    </row>
    <row r="1240" spans="1:16">
      <c r="A1240" s="6" t="s">
        <v>31</v>
      </c>
      <c r="B1240" s="7">
        <v>1110647</v>
      </c>
      <c r="C1240" s="7">
        <v>1110871</v>
      </c>
      <c r="D1240" s="8"/>
      <c r="E1240" s="7" t="s">
        <v>53</v>
      </c>
      <c r="F1240" s="7" t="s">
        <v>5520</v>
      </c>
      <c r="G1240" s="7" t="s">
        <v>1274</v>
      </c>
      <c r="H1240" s="8"/>
      <c r="I1240" s="7" t="s">
        <v>55</v>
      </c>
      <c r="J1240" s="8"/>
      <c r="K1240" s="8"/>
      <c r="L1240" s="7" t="s">
        <v>5521</v>
      </c>
      <c r="M1240" s="7" t="s">
        <v>5520</v>
      </c>
      <c r="N1240" s="7">
        <v>74</v>
      </c>
      <c r="O1240" s="7" t="s">
        <v>5522</v>
      </c>
    </row>
    <row r="1241" spans="1:16">
      <c r="A1241" s="6" t="s">
        <v>31</v>
      </c>
      <c r="B1241" s="7">
        <v>1110958</v>
      </c>
      <c r="C1241" s="7">
        <v>1113117</v>
      </c>
      <c r="D1241" s="8"/>
      <c r="E1241" s="7" t="s">
        <v>53</v>
      </c>
      <c r="F1241" s="7" t="s">
        <v>5523</v>
      </c>
      <c r="G1241" s="7" t="s">
        <v>1276</v>
      </c>
      <c r="H1241" s="8"/>
      <c r="I1241" s="7" t="s">
        <v>55</v>
      </c>
      <c r="J1241" s="8"/>
      <c r="K1241" s="8"/>
      <c r="L1241" s="7" t="s">
        <v>5524</v>
      </c>
      <c r="M1241" s="7" t="s">
        <v>5523</v>
      </c>
      <c r="N1241" s="7">
        <v>719</v>
      </c>
      <c r="O1241" s="7" t="s">
        <v>5525</v>
      </c>
      <c r="P1241" s="7"/>
    </row>
    <row r="1242" spans="1:16">
      <c r="A1242" s="6" t="s">
        <v>31</v>
      </c>
      <c r="B1242" s="7">
        <v>1113276</v>
      </c>
      <c r="C1242" s="7">
        <v>1114238</v>
      </c>
      <c r="D1242" s="8"/>
      <c r="E1242" s="7" t="s">
        <v>53</v>
      </c>
      <c r="F1242" s="7" t="s">
        <v>5526</v>
      </c>
      <c r="G1242" s="7" t="s">
        <v>1278</v>
      </c>
      <c r="H1242" s="8"/>
      <c r="I1242" s="7" t="s">
        <v>55</v>
      </c>
      <c r="J1242" s="8"/>
      <c r="K1242" s="8"/>
      <c r="L1242" s="7" t="s">
        <v>5527</v>
      </c>
      <c r="M1242" s="7" t="s">
        <v>5526</v>
      </c>
      <c r="N1242" s="7">
        <v>320</v>
      </c>
      <c r="O1242" s="7" t="s">
        <v>5528</v>
      </c>
      <c r="P1242" s="7"/>
    </row>
    <row r="1243" spans="1:16">
      <c r="A1243" s="6" t="s">
        <v>31</v>
      </c>
      <c r="B1243" s="7">
        <v>1114384</v>
      </c>
      <c r="C1243" s="7">
        <v>1114512</v>
      </c>
      <c r="D1243" s="8"/>
      <c r="E1243" s="7" t="s">
        <v>53</v>
      </c>
      <c r="F1243" s="7" t="s">
        <v>2130</v>
      </c>
      <c r="G1243" s="8"/>
      <c r="H1243" s="8"/>
      <c r="I1243" s="7" t="s">
        <v>55</v>
      </c>
      <c r="J1243" s="8"/>
      <c r="K1243" s="8"/>
      <c r="L1243" s="7" t="s">
        <v>5529</v>
      </c>
      <c r="M1243" s="7" t="s">
        <v>2130</v>
      </c>
      <c r="N1243" s="7">
        <v>42</v>
      </c>
      <c r="O1243" s="7" t="s">
        <v>5530</v>
      </c>
    </row>
    <row r="1244" spans="1:16">
      <c r="A1244" s="6" t="s">
        <v>31</v>
      </c>
      <c r="B1244" s="7">
        <v>1114554</v>
      </c>
      <c r="C1244" s="7">
        <v>1114760</v>
      </c>
      <c r="D1244" s="8"/>
      <c r="E1244" s="7" t="s">
        <v>53</v>
      </c>
      <c r="F1244" s="7" t="s">
        <v>2095</v>
      </c>
      <c r="G1244" s="8"/>
      <c r="H1244" s="8"/>
      <c r="I1244" s="7" t="s">
        <v>55</v>
      </c>
      <c r="J1244" s="8"/>
      <c r="K1244" s="8"/>
      <c r="L1244" s="7" t="s">
        <v>5531</v>
      </c>
      <c r="M1244" s="7" t="s">
        <v>2095</v>
      </c>
      <c r="N1244" s="7">
        <v>68</v>
      </c>
      <c r="O1244" s="7" t="s">
        <v>5532</v>
      </c>
    </row>
    <row r="1245" spans="1:16">
      <c r="A1245" s="6" t="s">
        <v>31</v>
      </c>
      <c r="B1245" s="7">
        <v>1114904</v>
      </c>
      <c r="C1245" s="7">
        <v>1115329</v>
      </c>
      <c r="D1245" s="8"/>
      <c r="E1245" s="7" t="s">
        <v>53</v>
      </c>
      <c r="F1245" s="7" t="s">
        <v>1280</v>
      </c>
      <c r="G1245" s="8"/>
      <c r="H1245" s="8"/>
      <c r="I1245" s="7" t="s">
        <v>55</v>
      </c>
      <c r="J1245" s="8"/>
      <c r="K1245" s="8"/>
      <c r="L1245" s="7" t="s">
        <v>5533</v>
      </c>
      <c r="M1245" s="7" t="s">
        <v>1280</v>
      </c>
      <c r="N1245" s="7">
        <v>141</v>
      </c>
      <c r="O1245" s="7" t="s">
        <v>5534</v>
      </c>
    </row>
    <row r="1246" spans="1:16">
      <c r="A1246" s="6" t="s">
        <v>31</v>
      </c>
      <c r="B1246" s="7">
        <v>1115383</v>
      </c>
      <c r="C1246" s="7">
        <v>1115769</v>
      </c>
      <c r="D1246" s="8"/>
      <c r="E1246" s="7" t="s">
        <v>53</v>
      </c>
      <c r="F1246" s="7" t="s">
        <v>1280</v>
      </c>
      <c r="G1246" s="8"/>
      <c r="H1246" s="8"/>
      <c r="I1246" s="7" t="s">
        <v>55</v>
      </c>
      <c r="J1246" s="8"/>
      <c r="K1246" s="8"/>
      <c r="L1246" s="7" t="s">
        <v>5535</v>
      </c>
      <c r="M1246" s="7" t="s">
        <v>1280</v>
      </c>
      <c r="N1246" s="7">
        <v>128</v>
      </c>
      <c r="O1246" s="7" t="s">
        <v>5536</v>
      </c>
    </row>
    <row r="1247" spans="1:16">
      <c r="A1247" s="6" t="s">
        <v>31</v>
      </c>
      <c r="B1247" s="7">
        <v>1116034</v>
      </c>
      <c r="C1247" s="7">
        <v>1117002</v>
      </c>
      <c r="D1247" s="8"/>
      <c r="E1247" s="7" t="s">
        <v>75</v>
      </c>
      <c r="F1247" s="7" t="s">
        <v>5537</v>
      </c>
      <c r="G1247" s="8"/>
      <c r="H1247" s="8"/>
      <c r="I1247" s="7" t="s">
        <v>55</v>
      </c>
      <c r="J1247" s="8"/>
      <c r="K1247" s="8"/>
      <c r="L1247" s="7" t="s">
        <v>5538</v>
      </c>
      <c r="M1247" s="7" t="s">
        <v>5537</v>
      </c>
      <c r="N1247" s="7">
        <v>322</v>
      </c>
      <c r="O1247" s="7" t="s">
        <v>5539</v>
      </c>
    </row>
    <row r="1248" spans="1:16">
      <c r="A1248" s="6" t="s">
        <v>31</v>
      </c>
      <c r="B1248" s="7">
        <v>1117199</v>
      </c>
      <c r="C1248" s="7">
        <v>1117516</v>
      </c>
      <c r="D1248" s="8"/>
      <c r="E1248" s="7" t="s">
        <v>75</v>
      </c>
      <c r="F1248" s="7" t="s">
        <v>4618</v>
      </c>
      <c r="G1248" s="8"/>
      <c r="H1248" s="8"/>
      <c r="I1248" s="7" t="s">
        <v>55</v>
      </c>
      <c r="J1248" s="8"/>
      <c r="K1248" s="8"/>
      <c r="L1248" s="7" t="s">
        <v>5540</v>
      </c>
      <c r="M1248" s="7" t="s">
        <v>4618</v>
      </c>
      <c r="N1248" s="7">
        <v>105</v>
      </c>
      <c r="O1248" s="7" t="s">
        <v>5541</v>
      </c>
    </row>
    <row r="1249" spans="1:16">
      <c r="A1249" s="6" t="s">
        <v>31</v>
      </c>
      <c r="B1249" s="7">
        <v>1117553</v>
      </c>
      <c r="C1249" s="7">
        <v>1117912</v>
      </c>
      <c r="D1249" s="8"/>
      <c r="E1249" s="7" t="s">
        <v>75</v>
      </c>
      <c r="F1249" s="7" t="s">
        <v>5542</v>
      </c>
      <c r="G1249" s="8"/>
      <c r="H1249" s="8"/>
      <c r="I1249" s="7" t="s">
        <v>55</v>
      </c>
      <c r="J1249" s="8"/>
      <c r="K1249" s="8"/>
      <c r="L1249" s="7" t="s">
        <v>5543</v>
      </c>
      <c r="M1249" s="7" t="s">
        <v>5542</v>
      </c>
      <c r="N1249" s="7">
        <v>119</v>
      </c>
      <c r="O1249" s="7" t="s">
        <v>5544</v>
      </c>
    </row>
    <row r="1250" spans="1:16">
      <c r="A1250" s="6" t="s">
        <v>31</v>
      </c>
      <c r="B1250" s="7">
        <v>1117943</v>
      </c>
      <c r="C1250" s="7">
        <v>1118314</v>
      </c>
      <c r="D1250" s="8"/>
      <c r="E1250" s="7" t="s">
        <v>75</v>
      </c>
      <c r="F1250" s="7" t="s">
        <v>5542</v>
      </c>
      <c r="G1250" s="8"/>
      <c r="H1250" s="8"/>
      <c r="I1250" s="7" t="s">
        <v>55</v>
      </c>
      <c r="J1250" s="8"/>
      <c r="K1250" s="8"/>
      <c r="L1250" s="7" t="s">
        <v>5545</v>
      </c>
      <c r="M1250" s="7" t="s">
        <v>5542</v>
      </c>
      <c r="N1250" s="7">
        <v>123</v>
      </c>
      <c r="O1250" s="7" t="s">
        <v>5546</v>
      </c>
    </row>
    <row r="1251" spans="1:16">
      <c r="A1251" s="6" t="s">
        <v>31</v>
      </c>
      <c r="B1251" s="7">
        <v>1118347</v>
      </c>
      <c r="C1251" s="7">
        <v>1120782</v>
      </c>
      <c r="D1251" s="8"/>
      <c r="E1251" s="7" t="s">
        <v>75</v>
      </c>
      <c r="F1251" s="7" t="s">
        <v>5547</v>
      </c>
      <c r="G1251" s="7" t="s">
        <v>1284</v>
      </c>
      <c r="H1251" s="8"/>
      <c r="I1251" s="7" t="s">
        <v>55</v>
      </c>
      <c r="J1251" s="8"/>
      <c r="K1251" s="8"/>
      <c r="L1251" s="7" t="s">
        <v>5548</v>
      </c>
      <c r="M1251" s="7" t="s">
        <v>5547</v>
      </c>
      <c r="N1251" s="7">
        <v>811</v>
      </c>
      <c r="O1251" s="7" t="s">
        <v>5549</v>
      </c>
      <c r="P1251" s="7"/>
    </row>
    <row r="1252" spans="1:16">
      <c r="A1252" s="6" t="s">
        <v>31</v>
      </c>
      <c r="B1252" s="7">
        <v>1121001</v>
      </c>
      <c r="C1252" s="7">
        <v>1121987</v>
      </c>
      <c r="D1252" s="8"/>
      <c r="E1252" s="7" t="s">
        <v>53</v>
      </c>
      <c r="F1252" s="7" t="s">
        <v>721</v>
      </c>
      <c r="G1252" s="7" t="s">
        <v>5550</v>
      </c>
      <c r="H1252" s="8"/>
      <c r="I1252" s="7" t="s">
        <v>55</v>
      </c>
      <c r="J1252" s="8"/>
      <c r="K1252" s="8"/>
      <c r="L1252" s="7" t="s">
        <v>5551</v>
      </c>
      <c r="M1252" s="7" t="s">
        <v>721</v>
      </c>
      <c r="N1252" s="7">
        <v>328</v>
      </c>
      <c r="O1252" s="7" t="s">
        <v>5552</v>
      </c>
      <c r="P1252" s="7"/>
    </row>
    <row r="1253" spans="1:16">
      <c r="A1253" s="6" t="s">
        <v>31</v>
      </c>
      <c r="B1253" s="7">
        <v>1122080</v>
      </c>
      <c r="C1253" s="7">
        <v>1123453</v>
      </c>
      <c r="D1253" s="8"/>
      <c r="E1253" s="7" t="s">
        <v>75</v>
      </c>
      <c r="F1253" s="7" t="s">
        <v>5553</v>
      </c>
      <c r="G1253" s="8"/>
      <c r="H1253" s="8"/>
      <c r="I1253" s="7" t="s">
        <v>55</v>
      </c>
      <c r="J1253" s="8"/>
      <c r="K1253" s="8"/>
      <c r="L1253" s="7" t="s">
        <v>5554</v>
      </c>
      <c r="M1253" s="7" t="s">
        <v>5553</v>
      </c>
      <c r="N1253" s="7">
        <v>457</v>
      </c>
      <c r="O1253" s="7" t="s">
        <v>5555</v>
      </c>
      <c r="P1253" s="7"/>
    </row>
    <row r="1254" spans="1:16">
      <c r="A1254" s="6" t="s">
        <v>31</v>
      </c>
      <c r="B1254" s="7">
        <v>1123769</v>
      </c>
      <c r="C1254" s="7">
        <v>1125307</v>
      </c>
      <c r="D1254" s="8"/>
      <c r="E1254" s="7" t="s">
        <v>75</v>
      </c>
      <c r="F1254" s="7" t="s">
        <v>5488</v>
      </c>
      <c r="G1254" s="7" t="s">
        <v>5556</v>
      </c>
      <c r="H1254" s="8"/>
      <c r="I1254" s="7" t="s">
        <v>55</v>
      </c>
      <c r="J1254" s="8"/>
      <c r="K1254" s="8"/>
      <c r="L1254" s="7" t="s">
        <v>5557</v>
      </c>
      <c r="M1254" s="7" t="s">
        <v>5488</v>
      </c>
      <c r="N1254" s="7">
        <v>512</v>
      </c>
      <c r="O1254" s="7" t="s">
        <v>5558</v>
      </c>
      <c r="P1254" s="7"/>
    </row>
    <row r="1255" spans="1:16">
      <c r="A1255" s="6" t="s">
        <v>31</v>
      </c>
      <c r="B1255" s="7">
        <v>1125378</v>
      </c>
      <c r="C1255" s="7">
        <v>1125857</v>
      </c>
      <c r="D1255" s="8"/>
      <c r="E1255" s="7" t="s">
        <v>75</v>
      </c>
      <c r="F1255" s="7" t="s">
        <v>2130</v>
      </c>
      <c r="G1255" s="8"/>
      <c r="H1255" s="8"/>
      <c r="I1255" s="7" t="s">
        <v>55</v>
      </c>
      <c r="J1255" s="8"/>
      <c r="K1255" s="8"/>
      <c r="L1255" s="7" t="s">
        <v>5559</v>
      </c>
      <c r="M1255" s="7" t="s">
        <v>2130</v>
      </c>
      <c r="N1255" s="7">
        <v>159</v>
      </c>
      <c r="O1255" s="7" t="s">
        <v>5560</v>
      </c>
    </row>
    <row r="1256" spans="1:16">
      <c r="A1256" s="6" t="s">
        <v>31</v>
      </c>
      <c r="B1256" s="7">
        <v>1125878</v>
      </c>
      <c r="C1256" s="7">
        <v>1125997</v>
      </c>
      <c r="D1256" s="8"/>
      <c r="E1256" s="7" t="s">
        <v>75</v>
      </c>
      <c r="F1256" s="7" t="s">
        <v>2095</v>
      </c>
      <c r="G1256" s="8"/>
      <c r="H1256" s="8"/>
      <c r="I1256" s="7" t="s">
        <v>55</v>
      </c>
      <c r="J1256" s="8"/>
      <c r="K1256" s="8"/>
      <c r="L1256" s="7" t="s">
        <v>5561</v>
      </c>
      <c r="M1256" s="7" t="s">
        <v>2095</v>
      </c>
      <c r="N1256" s="7">
        <v>39</v>
      </c>
      <c r="O1256" s="7" t="s">
        <v>5562</v>
      </c>
    </row>
    <row r="1257" spans="1:16">
      <c r="A1257" s="6" t="s">
        <v>31</v>
      </c>
      <c r="B1257" s="7">
        <v>1126006</v>
      </c>
      <c r="C1257" s="7">
        <v>1126827</v>
      </c>
      <c r="D1257" s="8"/>
      <c r="E1257" s="7" t="s">
        <v>75</v>
      </c>
      <c r="F1257" s="7" t="s">
        <v>5563</v>
      </c>
      <c r="G1257" s="8"/>
      <c r="H1257" s="8"/>
      <c r="I1257" s="7" t="s">
        <v>55</v>
      </c>
      <c r="J1257" s="8"/>
      <c r="K1257" s="8"/>
      <c r="L1257" s="7" t="s">
        <v>5564</v>
      </c>
      <c r="M1257" s="7" t="s">
        <v>5563</v>
      </c>
      <c r="N1257" s="7">
        <v>273</v>
      </c>
      <c r="O1257" s="7" t="s">
        <v>5565</v>
      </c>
      <c r="P1257" s="7"/>
    </row>
    <row r="1258" spans="1:16">
      <c r="A1258" s="6" t="s">
        <v>31</v>
      </c>
      <c r="B1258" s="7">
        <v>1126828</v>
      </c>
      <c r="C1258" s="7">
        <v>1127337</v>
      </c>
      <c r="D1258" s="8"/>
      <c r="E1258" s="7" t="s">
        <v>75</v>
      </c>
      <c r="F1258" s="7" t="s">
        <v>5566</v>
      </c>
      <c r="G1258" s="8"/>
      <c r="H1258" s="8"/>
      <c r="I1258" s="7" t="s">
        <v>55</v>
      </c>
      <c r="J1258" s="8"/>
      <c r="K1258" s="8"/>
      <c r="L1258" s="7" t="s">
        <v>5567</v>
      </c>
      <c r="M1258" s="7" t="s">
        <v>5566</v>
      </c>
      <c r="N1258" s="7">
        <v>169</v>
      </c>
      <c r="O1258" s="7" t="s">
        <v>5568</v>
      </c>
    </row>
    <row r="1259" spans="1:16">
      <c r="A1259" s="6" t="s">
        <v>31</v>
      </c>
      <c r="B1259" s="7">
        <v>1127475</v>
      </c>
      <c r="C1259" s="7">
        <v>1128005</v>
      </c>
      <c r="D1259" s="8"/>
      <c r="E1259" s="7" t="s">
        <v>75</v>
      </c>
      <c r="F1259" s="7" t="s">
        <v>2078</v>
      </c>
      <c r="G1259" s="8"/>
      <c r="H1259" s="8"/>
      <c r="I1259" s="7" t="s">
        <v>55</v>
      </c>
      <c r="J1259" s="8"/>
      <c r="K1259" s="8"/>
      <c r="L1259" s="7" t="s">
        <v>5569</v>
      </c>
      <c r="M1259" s="7" t="s">
        <v>2078</v>
      </c>
      <c r="N1259" s="7">
        <v>176</v>
      </c>
      <c r="O1259" s="7" t="s">
        <v>5570</v>
      </c>
    </row>
    <row r="1260" spans="1:16">
      <c r="A1260" s="6" t="s">
        <v>31</v>
      </c>
      <c r="B1260" s="7">
        <v>1128163</v>
      </c>
      <c r="C1260" s="7">
        <v>1129428</v>
      </c>
      <c r="D1260" s="8"/>
      <c r="E1260" s="7" t="s">
        <v>53</v>
      </c>
      <c r="F1260" s="7" t="s">
        <v>5571</v>
      </c>
      <c r="G1260" s="8"/>
      <c r="H1260" s="8"/>
      <c r="I1260" s="7" t="s">
        <v>55</v>
      </c>
      <c r="J1260" s="8"/>
      <c r="K1260" s="8"/>
      <c r="L1260" s="7" t="s">
        <v>5572</v>
      </c>
      <c r="M1260" s="7" t="s">
        <v>5571</v>
      </c>
      <c r="N1260" s="7">
        <v>421</v>
      </c>
      <c r="O1260" s="7" t="s">
        <v>5573</v>
      </c>
    </row>
    <row r="1261" spans="1:16">
      <c r="A1261" s="6" t="s">
        <v>31</v>
      </c>
      <c r="B1261" s="7">
        <v>1129472</v>
      </c>
      <c r="C1261" s="7">
        <v>1129810</v>
      </c>
      <c r="D1261" s="8"/>
      <c r="E1261" s="7" t="s">
        <v>75</v>
      </c>
      <c r="F1261" s="7" t="s">
        <v>5574</v>
      </c>
      <c r="G1261" s="8"/>
      <c r="H1261" s="8"/>
      <c r="I1261" s="7" t="s">
        <v>55</v>
      </c>
      <c r="J1261" s="8"/>
      <c r="K1261" s="8"/>
      <c r="L1261" s="7" t="s">
        <v>5575</v>
      </c>
      <c r="M1261" s="7" t="s">
        <v>5574</v>
      </c>
      <c r="N1261" s="7">
        <v>112</v>
      </c>
      <c r="O1261" s="7" t="s">
        <v>5576</v>
      </c>
      <c r="P1261" s="7"/>
    </row>
    <row r="1262" spans="1:16">
      <c r="A1262" s="6" t="s">
        <v>31</v>
      </c>
      <c r="B1262" s="7">
        <v>1129901</v>
      </c>
      <c r="C1262" s="7">
        <v>1130206</v>
      </c>
      <c r="D1262" s="8"/>
      <c r="E1262" s="7" t="s">
        <v>75</v>
      </c>
      <c r="F1262" s="7" t="s">
        <v>2130</v>
      </c>
      <c r="G1262" s="8"/>
      <c r="H1262" s="8"/>
      <c r="I1262" s="7" t="s">
        <v>55</v>
      </c>
      <c r="J1262" s="8"/>
      <c r="K1262" s="8"/>
      <c r="L1262" s="7" t="s">
        <v>5577</v>
      </c>
      <c r="M1262" s="7" t="s">
        <v>2130</v>
      </c>
      <c r="N1262" s="7">
        <v>101</v>
      </c>
      <c r="O1262" s="7" t="s">
        <v>5578</v>
      </c>
    </row>
    <row r="1263" spans="1:16">
      <c r="A1263" s="6" t="s">
        <v>31</v>
      </c>
      <c r="B1263" s="7">
        <v>1130239</v>
      </c>
      <c r="C1263" s="7">
        <v>1130475</v>
      </c>
      <c r="D1263" s="8"/>
      <c r="E1263" s="7" t="s">
        <v>75</v>
      </c>
      <c r="F1263" s="7" t="s">
        <v>2130</v>
      </c>
      <c r="G1263" s="8"/>
      <c r="H1263" s="8"/>
      <c r="I1263" s="7" t="s">
        <v>55</v>
      </c>
      <c r="J1263" s="8"/>
      <c r="K1263" s="8"/>
      <c r="L1263" s="7" t="s">
        <v>5579</v>
      </c>
      <c r="M1263" s="7" t="s">
        <v>2130</v>
      </c>
      <c r="N1263" s="7">
        <v>78</v>
      </c>
      <c r="O1263" s="7" t="s">
        <v>5580</v>
      </c>
    </row>
    <row r="1264" spans="1:16">
      <c r="A1264" s="6" t="s">
        <v>31</v>
      </c>
      <c r="B1264" s="7">
        <v>1130542</v>
      </c>
      <c r="C1264" s="7">
        <v>1132992</v>
      </c>
      <c r="D1264" s="8"/>
      <c r="E1264" s="7" t="s">
        <v>75</v>
      </c>
      <c r="F1264" s="7" t="s">
        <v>5581</v>
      </c>
      <c r="G1264" s="7" t="s">
        <v>1295</v>
      </c>
      <c r="H1264" s="8"/>
      <c r="I1264" s="7" t="s">
        <v>55</v>
      </c>
      <c r="J1264" s="8"/>
      <c r="K1264" s="8"/>
      <c r="L1264" s="7" t="s">
        <v>5582</v>
      </c>
      <c r="M1264" s="7" t="s">
        <v>5581</v>
      </c>
      <c r="N1264" s="7">
        <v>816</v>
      </c>
      <c r="O1264" s="7" t="s">
        <v>5583</v>
      </c>
      <c r="P1264" s="7"/>
    </row>
    <row r="1265" spans="1:16">
      <c r="A1265" s="6" t="s">
        <v>31</v>
      </c>
      <c r="B1265" s="7">
        <v>1133251</v>
      </c>
      <c r="C1265" s="7">
        <v>1133769</v>
      </c>
      <c r="D1265" s="8"/>
      <c r="E1265" s="7" t="s">
        <v>75</v>
      </c>
      <c r="F1265" s="7" t="s">
        <v>5584</v>
      </c>
      <c r="G1265" s="8"/>
      <c r="H1265" s="8"/>
      <c r="I1265" s="7" t="s">
        <v>55</v>
      </c>
      <c r="J1265" s="8"/>
      <c r="K1265" s="8"/>
      <c r="L1265" s="7" t="s">
        <v>5585</v>
      </c>
      <c r="M1265" s="7" t="s">
        <v>5584</v>
      </c>
      <c r="N1265" s="7">
        <v>172</v>
      </c>
      <c r="O1265" s="7" t="s">
        <v>5586</v>
      </c>
    </row>
    <row r="1266" spans="1:16">
      <c r="A1266" s="6" t="s">
        <v>31</v>
      </c>
      <c r="B1266" s="7">
        <v>1133786</v>
      </c>
      <c r="C1266" s="7">
        <v>1134829</v>
      </c>
      <c r="D1266" s="8"/>
      <c r="E1266" s="7" t="s">
        <v>75</v>
      </c>
      <c r="F1266" s="7" t="s">
        <v>5587</v>
      </c>
      <c r="G1266" s="7" t="s">
        <v>1298</v>
      </c>
      <c r="H1266" s="8"/>
      <c r="I1266" s="7" t="s">
        <v>55</v>
      </c>
      <c r="J1266" s="8"/>
      <c r="K1266" s="8"/>
      <c r="L1266" s="7" t="s">
        <v>5588</v>
      </c>
      <c r="M1266" s="7" t="s">
        <v>5587</v>
      </c>
      <c r="N1266" s="7">
        <v>347</v>
      </c>
      <c r="O1266" s="7" t="s">
        <v>5589</v>
      </c>
      <c r="P1266" s="7"/>
    </row>
    <row r="1267" spans="1:16">
      <c r="A1267" s="6" t="s">
        <v>31</v>
      </c>
      <c r="B1267" s="7">
        <v>1135449</v>
      </c>
      <c r="C1267" s="7">
        <v>1138982</v>
      </c>
      <c r="D1267" s="8"/>
      <c r="E1267" s="7" t="s">
        <v>75</v>
      </c>
      <c r="F1267" s="7" t="s">
        <v>5590</v>
      </c>
      <c r="G1267" s="7" t="s">
        <v>1300</v>
      </c>
      <c r="H1267" s="8"/>
      <c r="I1267" s="7" t="s">
        <v>55</v>
      </c>
      <c r="J1267" s="8"/>
      <c r="K1267" s="8"/>
      <c r="L1267" s="7" t="s">
        <v>5591</v>
      </c>
      <c r="M1267" s="7" t="s">
        <v>5590</v>
      </c>
      <c r="N1267" s="7">
        <v>1177</v>
      </c>
      <c r="O1267" s="7" t="s">
        <v>5592</v>
      </c>
    </row>
    <row r="1268" spans="1:16">
      <c r="A1268" s="6" t="s">
        <v>31</v>
      </c>
      <c r="B1268" s="7">
        <v>1138985</v>
      </c>
      <c r="C1268" s="7">
        <v>1139674</v>
      </c>
      <c r="D1268" s="8"/>
      <c r="E1268" s="7" t="s">
        <v>75</v>
      </c>
      <c r="F1268" s="7" t="s">
        <v>1302</v>
      </c>
      <c r="G1268" s="7" t="s">
        <v>1303</v>
      </c>
      <c r="H1268" s="8"/>
      <c r="I1268" s="7" t="s">
        <v>55</v>
      </c>
      <c r="J1268" s="8"/>
      <c r="K1268" s="8"/>
      <c r="L1268" s="7" t="s">
        <v>5593</v>
      </c>
      <c r="M1268" s="7" t="s">
        <v>1302</v>
      </c>
      <c r="N1268" s="7">
        <v>229</v>
      </c>
      <c r="O1268" s="7" t="s">
        <v>5594</v>
      </c>
      <c r="P1268" s="7"/>
    </row>
    <row r="1269" spans="1:16">
      <c r="A1269" s="6" t="s">
        <v>31</v>
      </c>
      <c r="B1269" s="7">
        <v>1139829</v>
      </c>
      <c r="C1269" s="7">
        <v>1140764</v>
      </c>
      <c r="D1269" s="8"/>
      <c r="E1269" s="7" t="s">
        <v>75</v>
      </c>
      <c r="F1269" s="7" t="s">
        <v>1305</v>
      </c>
      <c r="G1269" s="7" t="s">
        <v>1306</v>
      </c>
      <c r="H1269" s="8"/>
      <c r="I1269" s="7" t="s">
        <v>55</v>
      </c>
      <c r="J1269" s="8"/>
      <c r="K1269" s="8"/>
      <c r="L1269" s="7" t="s">
        <v>5595</v>
      </c>
      <c r="M1269" s="7" t="s">
        <v>1305</v>
      </c>
      <c r="N1269" s="7">
        <v>311</v>
      </c>
      <c r="O1269" s="7" t="s">
        <v>5596</v>
      </c>
      <c r="P1269" s="7"/>
    </row>
    <row r="1270" spans="1:16">
      <c r="A1270" s="6" t="s">
        <v>31</v>
      </c>
      <c r="B1270" s="7">
        <v>1141102</v>
      </c>
      <c r="C1270" s="7">
        <v>1142178</v>
      </c>
      <c r="D1270" s="8"/>
      <c r="E1270" s="7" t="s">
        <v>75</v>
      </c>
      <c r="F1270" s="7" t="s">
        <v>1308</v>
      </c>
      <c r="G1270" s="7" t="s">
        <v>5597</v>
      </c>
      <c r="H1270" s="8"/>
      <c r="I1270" s="7" t="s">
        <v>55</v>
      </c>
      <c r="J1270" s="8"/>
      <c r="K1270" s="8"/>
      <c r="L1270" s="7" t="s">
        <v>5598</v>
      </c>
      <c r="M1270" s="7" t="s">
        <v>1308</v>
      </c>
      <c r="N1270" s="7">
        <v>358</v>
      </c>
      <c r="O1270" s="7" t="s">
        <v>5599</v>
      </c>
      <c r="P1270" s="7"/>
    </row>
    <row r="1271" spans="1:16">
      <c r="A1271" s="6" t="s">
        <v>31</v>
      </c>
      <c r="B1271" s="7">
        <v>1142468</v>
      </c>
      <c r="C1271" s="7">
        <v>1142947</v>
      </c>
      <c r="D1271" s="8"/>
      <c r="E1271" s="7" t="s">
        <v>75</v>
      </c>
      <c r="F1271" s="7" t="s">
        <v>5600</v>
      </c>
      <c r="G1271" s="8"/>
      <c r="H1271" s="8"/>
      <c r="I1271" s="7" t="s">
        <v>55</v>
      </c>
      <c r="J1271" s="8"/>
      <c r="K1271" s="8"/>
      <c r="L1271" s="7" t="s">
        <v>5601</v>
      </c>
      <c r="M1271" s="7" t="s">
        <v>5600</v>
      </c>
      <c r="N1271" s="7">
        <v>159</v>
      </c>
      <c r="O1271" s="7" t="s">
        <v>5602</v>
      </c>
    </row>
    <row r="1272" spans="1:16">
      <c r="A1272" s="6" t="s">
        <v>31</v>
      </c>
      <c r="B1272" s="7">
        <v>1143309</v>
      </c>
      <c r="C1272" s="7">
        <v>1143821</v>
      </c>
      <c r="D1272" s="8"/>
      <c r="E1272" s="7" t="s">
        <v>75</v>
      </c>
      <c r="F1272" s="7" t="s">
        <v>5603</v>
      </c>
      <c r="G1272" s="8"/>
      <c r="H1272" s="8"/>
      <c r="I1272" s="7" t="s">
        <v>55</v>
      </c>
      <c r="J1272" s="8"/>
      <c r="K1272" s="8"/>
      <c r="L1272" s="7" t="s">
        <v>5604</v>
      </c>
      <c r="M1272" s="7" t="s">
        <v>5603</v>
      </c>
      <c r="N1272" s="7">
        <v>170</v>
      </c>
      <c r="O1272" s="7" t="s">
        <v>5605</v>
      </c>
    </row>
    <row r="1273" spans="1:16">
      <c r="A1273" s="6" t="s">
        <v>31</v>
      </c>
      <c r="B1273" s="7">
        <v>1143799</v>
      </c>
      <c r="C1273" s="7">
        <v>1143936</v>
      </c>
      <c r="D1273" s="8"/>
      <c r="E1273" s="7" t="s">
        <v>53</v>
      </c>
      <c r="F1273" s="7" t="s">
        <v>2095</v>
      </c>
      <c r="G1273" s="8"/>
      <c r="H1273" s="8"/>
      <c r="I1273" s="7" t="s">
        <v>55</v>
      </c>
      <c r="J1273" s="8"/>
      <c r="K1273" s="8"/>
      <c r="L1273" s="7" t="s">
        <v>5606</v>
      </c>
      <c r="M1273" s="7" t="s">
        <v>2095</v>
      </c>
      <c r="N1273" s="7">
        <v>45</v>
      </c>
      <c r="O1273" s="7" t="s">
        <v>5607</v>
      </c>
    </row>
    <row r="1274" spans="1:16">
      <c r="A1274" s="6" t="s">
        <v>31</v>
      </c>
      <c r="B1274" s="7">
        <v>1143980</v>
      </c>
      <c r="C1274" s="7">
        <v>1144117</v>
      </c>
      <c r="D1274" s="8"/>
      <c r="E1274" s="7" t="s">
        <v>53</v>
      </c>
      <c r="F1274" s="7" t="s">
        <v>1280</v>
      </c>
      <c r="G1274" s="8"/>
      <c r="H1274" s="8"/>
      <c r="I1274" s="7" t="s">
        <v>55</v>
      </c>
      <c r="J1274" s="8"/>
      <c r="K1274" s="8"/>
      <c r="L1274" s="7" t="s">
        <v>5608</v>
      </c>
      <c r="M1274" s="7" t="s">
        <v>1280</v>
      </c>
      <c r="N1274" s="7">
        <v>45</v>
      </c>
      <c r="O1274" s="7" t="s">
        <v>5609</v>
      </c>
    </row>
    <row r="1275" spans="1:16">
      <c r="A1275" s="6" t="s">
        <v>31</v>
      </c>
      <c r="B1275" s="7">
        <v>1144159</v>
      </c>
      <c r="C1275" s="7">
        <v>1144320</v>
      </c>
      <c r="D1275" s="8"/>
      <c r="E1275" s="7" t="s">
        <v>53</v>
      </c>
      <c r="F1275" s="7" t="s">
        <v>1280</v>
      </c>
      <c r="G1275" s="8"/>
      <c r="H1275" s="8"/>
      <c r="I1275" s="7" t="s">
        <v>55</v>
      </c>
      <c r="J1275" s="8"/>
      <c r="K1275" s="8"/>
      <c r="L1275" s="7" t="s">
        <v>5610</v>
      </c>
      <c r="M1275" s="7" t="s">
        <v>1280</v>
      </c>
      <c r="N1275" s="7">
        <v>53</v>
      </c>
      <c r="O1275" s="7" t="s">
        <v>5611</v>
      </c>
    </row>
    <row r="1276" spans="1:16">
      <c r="A1276" s="6" t="s">
        <v>31</v>
      </c>
      <c r="B1276" s="7">
        <v>1144513</v>
      </c>
      <c r="C1276" s="7">
        <v>1144674</v>
      </c>
      <c r="D1276" s="8"/>
      <c r="E1276" s="7" t="s">
        <v>53</v>
      </c>
      <c r="F1276" s="7" t="s">
        <v>2095</v>
      </c>
      <c r="G1276" s="8"/>
      <c r="H1276" s="8"/>
      <c r="I1276" s="7" t="s">
        <v>55</v>
      </c>
      <c r="J1276" s="8"/>
      <c r="K1276" s="8"/>
      <c r="L1276" s="7" t="s">
        <v>5612</v>
      </c>
      <c r="M1276" s="7" t="s">
        <v>2095</v>
      </c>
      <c r="N1276" s="7">
        <v>53</v>
      </c>
      <c r="O1276" s="7" t="s">
        <v>5613</v>
      </c>
    </row>
    <row r="1277" spans="1:16">
      <c r="A1277" s="6" t="s">
        <v>31</v>
      </c>
      <c r="B1277" s="7">
        <v>1144873</v>
      </c>
      <c r="C1277" s="7">
        <v>1146318</v>
      </c>
      <c r="D1277" s="8"/>
      <c r="E1277" s="7" t="s">
        <v>75</v>
      </c>
      <c r="F1277" s="7" t="s">
        <v>5614</v>
      </c>
      <c r="G1277" s="8"/>
      <c r="H1277" s="8"/>
      <c r="I1277" s="7" t="s">
        <v>55</v>
      </c>
      <c r="J1277" s="8"/>
      <c r="K1277" s="8"/>
      <c r="L1277" s="7" t="s">
        <v>5615</v>
      </c>
      <c r="M1277" s="7" t="s">
        <v>5614</v>
      </c>
      <c r="N1277" s="7">
        <v>481</v>
      </c>
      <c r="O1277" s="7" t="s">
        <v>5616</v>
      </c>
      <c r="P1277" s="7"/>
    </row>
    <row r="1278" spans="1:16">
      <c r="A1278" s="6" t="s">
        <v>31</v>
      </c>
      <c r="B1278" s="7">
        <v>1146512</v>
      </c>
      <c r="C1278" s="7">
        <v>1148299</v>
      </c>
      <c r="D1278" s="8"/>
      <c r="E1278" s="7" t="s">
        <v>75</v>
      </c>
      <c r="F1278" s="7" t="s">
        <v>5617</v>
      </c>
      <c r="G1278" s="7" t="s">
        <v>1315</v>
      </c>
      <c r="H1278" s="8"/>
      <c r="I1278" s="7" t="s">
        <v>55</v>
      </c>
      <c r="J1278" s="8"/>
      <c r="K1278" s="8"/>
      <c r="L1278" s="7" t="s">
        <v>5618</v>
      </c>
      <c r="M1278" s="7" t="s">
        <v>5617</v>
      </c>
      <c r="N1278" s="7">
        <v>595</v>
      </c>
      <c r="O1278" s="7" t="s">
        <v>5619</v>
      </c>
      <c r="P1278" s="7"/>
    </row>
    <row r="1279" spans="1:16">
      <c r="A1279" s="6" t="s">
        <v>31</v>
      </c>
      <c r="B1279" s="7">
        <v>1148359</v>
      </c>
      <c r="C1279" s="7">
        <v>1149054</v>
      </c>
      <c r="D1279" s="8"/>
      <c r="E1279" s="7" t="s">
        <v>75</v>
      </c>
      <c r="F1279" s="7" t="s">
        <v>2679</v>
      </c>
      <c r="G1279" s="8"/>
      <c r="H1279" s="8"/>
      <c r="I1279" s="7" t="s">
        <v>55</v>
      </c>
      <c r="J1279" s="8"/>
      <c r="K1279" s="8"/>
      <c r="L1279" s="7" t="s">
        <v>5620</v>
      </c>
      <c r="M1279" s="7" t="s">
        <v>2679</v>
      </c>
      <c r="N1279" s="7">
        <v>231</v>
      </c>
      <c r="O1279" s="7" t="s">
        <v>5621</v>
      </c>
    </row>
    <row r="1280" spans="1:16">
      <c r="A1280" s="6" t="s">
        <v>31</v>
      </c>
      <c r="B1280" s="7">
        <v>1149381</v>
      </c>
      <c r="C1280" s="7">
        <v>1149815</v>
      </c>
      <c r="D1280" s="8"/>
      <c r="E1280" s="7" t="s">
        <v>53</v>
      </c>
      <c r="F1280" s="7" t="s">
        <v>5622</v>
      </c>
      <c r="G1280" s="7" t="s">
        <v>4003</v>
      </c>
      <c r="H1280" s="8"/>
      <c r="I1280" s="7" t="s">
        <v>55</v>
      </c>
      <c r="J1280" s="8"/>
      <c r="K1280" s="8"/>
      <c r="L1280" s="7" t="s">
        <v>5623</v>
      </c>
      <c r="M1280" s="7" t="s">
        <v>5622</v>
      </c>
      <c r="N1280" s="7">
        <v>144</v>
      </c>
      <c r="O1280" s="7" t="s">
        <v>5624</v>
      </c>
    </row>
    <row r="1281" spans="1:16">
      <c r="A1281" s="6" t="s">
        <v>31</v>
      </c>
      <c r="B1281" s="7">
        <v>1150050</v>
      </c>
      <c r="C1281" s="7">
        <v>1150676</v>
      </c>
      <c r="D1281" s="8"/>
      <c r="E1281" s="7" t="s">
        <v>75</v>
      </c>
      <c r="F1281" s="7" t="s">
        <v>5625</v>
      </c>
      <c r="G1281" s="7" t="s">
        <v>5626</v>
      </c>
      <c r="H1281" s="8"/>
      <c r="I1281" s="7" t="s">
        <v>55</v>
      </c>
      <c r="J1281" s="8"/>
      <c r="K1281" s="8"/>
      <c r="L1281" s="7" t="s">
        <v>5627</v>
      </c>
      <c r="M1281" s="7" t="s">
        <v>5625</v>
      </c>
      <c r="N1281" s="7">
        <v>208</v>
      </c>
      <c r="O1281" s="7" t="s">
        <v>5628</v>
      </c>
    </row>
    <row r="1282" spans="1:16">
      <c r="A1282" s="6" t="s">
        <v>31</v>
      </c>
      <c r="B1282" s="7">
        <v>1150681</v>
      </c>
      <c r="C1282" s="7">
        <v>1151436</v>
      </c>
      <c r="D1282" s="8"/>
      <c r="E1282" s="7" t="s">
        <v>75</v>
      </c>
      <c r="F1282" s="7" t="s">
        <v>5629</v>
      </c>
      <c r="G1282" s="8"/>
      <c r="H1282" s="8"/>
      <c r="I1282" s="7" t="s">
        <v>55</v>
      </c>
      <c r="J1282" s="8"/>
      <c r="K1282" s="8"/>
      <c r="L1282" s="7" t="s">
        <v>5630</v>
      </c>
      <c r="M1282" s="7" t="s">
        <v>5629</v>
      </c>
      <c r="N1282" s="7">
        <v>251</v>
      </c>
      <c r="O1282" s="7" t="s">
        <v>5631</v>
      </c>
    </row>
    <row r="1283" spans="1:16">
      <c r="A1283" s="6" t="s">
        <v>31</v>
      </c>
      <c r="B1283" s="7">
        <v>1151448</v>
      </c>
      <c r="C1283" s="7">
        <v>1152365</v>
      </c>
      <c r="D1283" s="8"/>
      <c r="E1283" s="7" t="s">
        <v>75</v>
      </c>
      <c r="F1283" s="7" t="s">
        <v>5632</v>
      </c>
      <c r="G1283" s="8"/>
      <c r="H1283" s="8"/>
      <c r="I1283" s="7" t="s">
        <v>55</v>
      </c>
      <c r="J1283" s="8"/>
      <c r="K1283" s="8"/>
      <c r="L1283" s="7" t="s">
        <v>5633</v>
      </c>
      <c r="M1283" s="7" t="s">
        <v>5632</v>
      </c>
      <c r="N1283" s="7">
        <v>305</v>
      </c>
      <c r="O1283" s="7" t="s">
        <v>5634</v>
      </c>
    </row>
    <row r="1284" spans="1:16">
      <c r="A1284" s="6" t="s">
        <v>31</v>
      </c>
      <c r="B1284" s="7">
        <v>1152362</v>
      </c>
      <c r="C1284" s="7">
        <v>1153021</v>
      </c>
      <c r="D1284" s="8"/>
      <c r="E1284" s="7" t="s">
        <v>75</v>
      </c>
      <c r="F1284" s="7" t="s">
        <v>5635</v>
      </c>
      <c r="G1284" s="7" t="s">
        <v>5636</v>
      </c>
      <c r="H1284" s="8"/>
      <c r="I1284" s="7" t="s">
        <v>55</v>
      </c>
      <c r="J1284" s="8"/>
      <c r="K1284" s="8"/>
      <c r="L1284" s="7" t="s">
        <v>5637</v>
      </c>
      <c r="M1284" s="7" t="s">
        <v>5635</v>
      </c>
      <c r="N1284" s="7">
        <v>219</v>
      </c>
      <c r="O1284" s="7" t="s">
        <v>5638</v>
      </c>
    </row>
    <row r="1285" spans="1:16">
      <c r="A1285" s="6" t="s">
        <v>31</v>
      </c>
      <c r="B1285" s="7">
        <v>1153078</v>
      </c>
      <c r="C1285" s="7">
        <v>1154574</v>
      </c>
      <c r="D1285" s="8"/>
      <c r="E1285" s="7" t="s">
        <v>75</v>
      </c>
      <c r="F1285" s="7" t="s">
        <v>5639</v>
      </c>
      <c r="G1285" s="7" t="s">
        <v>5640</v>
      </c>
      <c r="H1285" s="8"/>
      <c r="I1285" s="7" t="s">
        <v>55</v>
      </c>
      <c r="J1285" s="8"/>
      <c r="K1285" s="8"/>
      <c r="L1285" s="7" t="s">
        <v>5641</v>
      </c>
      <c r="M1285" s="7" t="s">
        <v>5639</v>
      </c>
      <c r="N1285" s="7">
        <v>498</v>
      </c>
      <c r="O1285" s="7" t="s">
        <v>5642</v>
      </c>
    </row>
    <row r="1286" spans="1:16">
      <c r="A1286" s="6" t="s">
        <v>31</v>
      </c>
      <c r="B1286" s="7">
        <v>1154597</v>
      </c>
      <c r="C1286" s="7">
        <v>1155700</v>
      </c>
      <c r="D1286" s="8"/>
      <c r="E1286" s="7" t="s">
        <v>75</v>
      </c>
      <c r="F1286" s="7" t="s">
        <v>2130</v>
      </c>
      <c r="G1286" s="8"/>
      <c r="H1286" s="8"/>
      <c r="I1286" s="7" t="s">
        <v>55</v>
      </c>
      <c r="J1286" s="8"/>
      <c r="K1286" s="8"/>
      <c r="L1286" s="7" t="s">
        <v>5643</v>
      </c>
      <c r="M1286" s="7" t="s">
        <v>2130</v>
      </c>
      <c r="N1286" s="7">
        <v>367</v>
      </c>
      <c r="O1286" s="7" t="s">
        <v>5644</v>
      </c>
    </row>
    <row r="1287" spans="1:16">
      <c r="A1287" s="6" t="s">
        <v>31</v>
      </c>
      <c r="B1287" s="7">
        <v>1155717</v>
      </c>
      <c r="C1287" s="7">
        <v>1157351</v>
      </c>
      <c r="D1287" s="8"/>
      <c r="E1287" s="7" t="s">
        <v>75</v>
      </c>
      <c r="F1287" s="7" t="s">
        <v>5645</v>
      </c>
      <c r="G1287" s="7" t="s">
        <v>5646</v>
      </c>
      <c r="H1287" s="8"/>
      <c r="I1287" s="7" t="s">
        <v>55</v>
      </c>
      <c r="J1287" s="8"/>
      <c r="K1287" s="8"/>
      <c r="L1287" s="7" t="s">
        <v>5647</v>
      </c>
      <c r="M1287" s="7" t="s">
        <v>5645</v>
      </c>
      <c r="N1287" s="7">
        <v>544</v>
      </c>
      <c r="O1287" s="7" t="s">
        <v>5648</v>
      </c>
      <c r="P1287" s="7"/>
    </row>
    <row r="1288" spans="1:16">
      <c r="A1288" s="6" t="s">
        <v>31</v>
      </c>
      <c r="B1288" s="7">
        <v>1157831</v>
      </c>
      <c r="C1288" s="7">
        <v>1158502</v>
      </c>
      <c r="D1288" s="8"/>
      <c r="E1288" s="7" t="s">
        <v>53</v>
      </c>
      <c r="F1288" s="7" t="s">
        <v>5649</v>
      </c>
      <c r="G1288" s="7" t="s">
        <v>1326</v>
      </c>
      <c r="H1288" s="8"/>
      <c r="I1288" s="7" t="s">
        <v>55</v>
      </c>
      <c r="J1288" s="8"/>
      <c r="K1288" s="8"/>
      <c r="L1288" s="7" t="s">
        <v>5650</v>
      </c>
      <c r="M1288" s="7" t="s">
        <v>5649</v>
      </c>
      <c r="N1288" s="7">
        <v>223</v>
      </c>
      <c r="O1288" s="7" t="s">
        <v>5651</v>
      </c>
      <c r="P1288" s="7"/>
    </row>
    <row r="1289" spans="1:16">
      <c r="A1289" s="6" t="s">
        <v>31</v>
      </c>
      <c r="B1289" s="7">
        <v>1158515</v>
      </c>
      <c r="C1289" s="7">
        <v>1159384</v>
      </c>
      <c r="D1289" s="8"/>
      <c r="E1289" s="7" t="s">
        <v>53</v>
      </c>
      <c r="F1289" s="7" t="s">
        <v>5652</v>
      </c>
      <c r="G1289" s="7" t="s">
        <v>1328</v>
      </c>
      <c r="H1289" s="8"/>
      <c r="I1289" s="7" t="s">
        <v>55</v>
      </c>
      <c r="J1289" s="8"/>
      <c r="K1289" s="8"/>
      <c r="L1289" s="7" t="s">
        <v>5653</v>
      </c>
      <c r="M1289" s="7" t="s">
        <v>5652</v>
      </c>
      <c r="N1289" s="7">
        <v>289</v>
      </c>
      <c r="O1289" s="7" t="s">
        <v>5654</v>
      </c>
      <c r="P1289" s="7"/>
    </row>
    <row r="1290" spans="1:16">
      <c r="A1290" s="6" t="s">
        <v>31</v>
      </c>
      <c r="B1290" s="7">
        <v>1160107</v>
      </c>
      <c r="C1290" s="7">
        <v>1160676</v>
      </c>
      <c r="D1290" s="8"/>
      <c r="E1290" s="7" t="s">
        <v>75</v>
      </c>
      <c r="F1290" s="7" t="s">
        <v>2130</v>
      </c>
      <c r="G1290" s="8"/>
      <c r="H1290" s="8"/>
      <c r="I1290" s="7" t="s">
        <v>55</v>
      </c>
      <c r="J1290" s="8"/>
      <c r="K1290" s="8"/>
      <c r="L1290" s="7" t="s">
        <v>5655</v>
      </c>
      <c r="M1290" s="7" t="s">
        <v>2130</v>
      </c>
      <c r="N1290" s="7">
        <v>189</v>
      </c>
      <c r="O1290" s="7" t="s">
        <v>5656</v>
      </c>
    </row>
    <row r="1291" spans="1:16">
      <c r="A1291" s="6" t="s">
        <v>31</v>
      </c>
      <c r="B1291" s="7">
        <v>1160812</v>
      </c>
      <c r="C1291" s="7">
        <v>1161603</v>
      </c>
      <c r="D1291" s="8"/>
      <c r="E1291" s="7" t="s">
        <v>75</v>
      </c>
      <c r="F1291" s="7" t="s">
        <v>5657</v>
      </c>
      <c r="G1291" s="8"/>
      <c r="H1291" s="8"/>
      <c r="I1291" s="7" t="s">
        <v>55</v>
      </c>
      <c r="J1291" s="8"/>
      <c r="K1291" s="8"/>
      <c r="L1291" s="7" t="s">
        <v>5658</v>
      </c>
      <c r="M1291" s="7" t="s">
        <v>5657</v>
      </c>
      <c r="N1291" s="7">
        <v>263</v>
      </c>
      <c r="O1291" s="7" t="s">
        <v>5659</v>
      </c>
    </row>
    <row r="1292" spans="1:16">
      <c r="A1292" s="6" t="s">
        <v>31</v>
      </c>
      <c r="B1292" s="7">
        <v>1161600</v>
      </c>
      <c r="C1292" s="7">
        <v>1161842</v>
      </c>
      <c r="D1292" s="8"/>
      <c r="E1292" s="7" t="s">
        <v>75</v>
      </c>
      <c r="F1292" s="7" t="s">
        <v>2130</v>
      </c>
      <c r="G1292" s="8"/>
      <c r="H1292" s="8"/>
      <c r="I1292" s="7" t="s">
        <v>55</v>
      </c>
      <c r="J1292" s="8"/>
      <c r="K1292" s="8"/>
      <c r="L1292" s="7" t="s">
        <v>5660</v>
      </c>
      <c r="M1292" s="7" t="s">
        <v>2130</v>
      </c>
      <c r="N1292" s="7">
        <v>80</v>
      </c>
      <c r="O1292" s="7" t="s">
        <v>5661</v>
      </c>
    </row>
    <row r="1293" spans="1:16">
      <c r="A1293" s="6" t="s">
        <v>31</v>
      </c>
      <c r="B1293" s="7">
        <v>1161851</v>
      </c>
      <c r="C1293" s="7">
        <v>1162423</v>
      </c>
      <c r="D1293" s="8"/>
      <c r="E1293" s="7" t="s">
        <v>75</v>
      </c>
      <c r="F1293" s="7" t="s">
        <v>5662</v>
      </c>
      <c r="G1293" s="8"/>
      <c r="H1293" s="8"/>
      <c r="I1293" s="7" t="s">
        <v>55</v>
      </c>
      <c r="J1293" s="8"/>
      <c r="K1293" s="8"/>
      <c r="L1293" s="7" t="s">
        <v>5663</v>
      </c>
      <c r="M1293" s="7" t="s">
        <v>5662</v>
      </c>
      <c r="N1293" s="7">
        <v>190</v>
      </c>
      <c r="O1293" s="7" t="s">
        <v>5664</v>
      </c>
    </row>
    <row r="1294" spans="1:16">
      <c r="A1294" s="6" t="s">
        <v>31</v>
      </c>
      <c r="B1294" s="7">
        <v>1162805</v>
      </c>
      <c r="C1294" s="7">
        <v>1162945</v>
      </c>
      <c r="D1294" s="8"/>
      <c r="E1294" s="7" t="s">
        <v>75</v>
      </c>
      <c r="F1294" s="7" t="s">
        <v>2095</v>
      </c>
      <c r="G1294" s="8"/>
      <c r="H1294" s="8"/>
      <c r="I1294" s="7" t="s">
        <v>55</v>
      </c>
      <c r="J1294" s="8"/>
      <c r="K1294" s="8"/>
      <c r="L1294" s="7" t="s">
        <v>5665</v>
      </c>
      <c r="M1294" s="7" t="s">
        <v>2095</v>
      </c>
      <c r="N1294" s="7">
        <v>46</v>
      </c>
      <c r="O1294" s="7" t="s">
        <v>5666</v>
      </c>
    </row>
    <row r="1295" spans="1:16">
      <c r="A1295" s="6" t="s">
        <v>31</v>
      </c>
      <c r="B1295" s="7">
        <v>1162988</v>
      </c>
      <c r="C1295" s="7">
        <v>1163134</v>
      </c>
      <c r="D1295" s="8"/>
      <c r="E1295" s="7" t="s">
        <v>75</v>
      </c>
      <c r="F1295" s="7" t="s">
        <v>2095</v>
      </c>
      <c r="G1295" s="8"/>
      <c r="H1295" s="8"/>
      <c r="I1295" s="7" t="s">
        <v>55</v>
      </c>
      <c r="J1295" s="8"/>
      <c r="K1295" s="8"/>
      <c r="L1295" s="7" t="s">
        <v>5667</v>
      </c>
      <c r="M1295" s="7" t="s">
        <v>2095</v>
      </c>
      <c r="N1295" s="7">
        <v>48</v>
      </c>
      <c r="O1295" s="7" t="s">
        <v>5668</v>
      </c>
    </row>
    <row r="1296" spans="1:16">
      <c r="A1296" s="6" t="s">
        <v>31</v>
      </c>
      <c r="B1296" s="7">
        <v>1163784</v>
      </c>
      <c r="C1296" s="7">
        <v>1164386</v>
      </c>
      <c r="D1296" s="8"/>
      <c r="E1296" s="7" t="s">
        <v>75</v>
      </c>
      <c r="F1296" s="7" t="s">
        <v>5669</v>
      </c>
      <c r="G1296" s="7" t="s">
        <v>5670</v>
      </c>
      <c r="H1296" s="8"/>
      <c r="I1296" s="7" t="s">
        <v>55</v>
      </c>
      <c r="J1296" s="8"/>
      <c r="K1296" s="8"/>
      <c r="L1296" s="7" t="s">
        <v>5671</v>
      </c>
      <c r="M1296" s="7" t="s">
        <v>5669</v>
      </c>
      <c r="N1296" s="7">
        <v>200</v>
      </c>
      <c r="O1296" s="7" t="s">
        <v>5672</v>
      </c>
    </row>
    <row r="1297" spans="1:15">
      <c r="A1297" s="6" t="s">
        <v>31</v>
      </c>
      <c r="B1297" s="7">
        <v>1164383</v>
      </c>
      <c r="C1297" s="7">
        <v>1165477</v>
      </c>
      <c r="D1297" s="8"/>
      <c r="E1297" s="7" t="s">
        <v>75</v>
      </c>
      <c r="F1297" s="7" t="s">
        <v>5673</v>
      </c>
      <c r="G1297" s="8"/>
      <c r="H1297" s="8"/>
      <c r="I1297" s="7" t="s">
        <v>55</v>
      </c>
      <c r="J1297" s="8"/>
      <c r="K1297" s="8"/>
      <c r="L1297" s="7" t="s">
        <v>5674</v>
      </c>
      <c r="M1297" s="7" t="s">
        <v>5673</v>
      </c>
      <c r="N1297" s="7">
        <v>364</v>
      </c>
      <c r="O1297" s="7" t="s">
        <v>5675</v>
      </c>
    </row>
    <row r="1298" spans="1:15">
      <c r="A1298" s="6" t="s">
        <v>31</v>
      </c>
      <c r="B1298" s="7">
        <v>1165470</v>
      </c>
      <c r="C1298" s="7">
        <v>1166207</v>
      </c>
      <c r="D1298" s="8"/>
      <c r="E1298" s="7" t="s">
        <v>75</v>
      </c>
      <c r="F1298" s="7" t="s">
        <v>2636</v>
      </c>
      <c r="G1298" s="8"/>
      <c r="H1298" s="8"/>
      <c r="I1298" s="7" t="s">
        <v>55</v>
      </c>
      <c r="J1298" s="8"/>
      <c r="K1298" s="8"/>
      <c r="L1298" s="7" t="s">
        <v>5676</v>
      </c>
      <c r="M1298" s="7" t="s">
        <v>2636</v>
      </c>
      <c r="N1298" s="7">
        <v>245</v>
      </c>
      <c r="O1298" s="7" t="s">
        <v>5677</v>
      </c>
    </row>
    <row r="1299" spans="1:15">
      <c r="A1299" s="6" t="s">
        <v>31</v>
      </c>
      <c r="B1299" s="7">
        <v>1166204</v>
      </c>
      <c r="C1299" s="7">
        <v>1167085</v>
      </c>
      <c r="D1299" s="8"/>
      <c r="E1299" s="7" t="s">
        <v>75</v>
      </c>
      <c r="F1299" s="7" t="s">
        <v>3301</v>
      </c>
      <c r="G1299" s="8"/>
      <c r="H1299" s="8"/>
      <c r="I1299" s="7" t="s">
        <v>55</v>
      </c>
      <c r="J1299" s="8"/>
      <c r="K1299" s="8"/>
      <c r="L1299" s="7" t="s">
        <v>5678</v>
      </c>
      <c r="M1299" s="7" t="s">
        <v>3301</v>
      </c>
      <c r="N1299" s="7">
        <v>293</v>
      </c>
      <c r="O1299" s="7" t="s">
        <v>5679</v>
      </c>
    </row>
    <row r="1300" spans="1:15">
      <c r="A1300" s="6" t="s">
        <v>31</v>
      </c>
      <c r="B1300" s="7">
        <v>1167078</v>
      </c>
      <c r="C1300" s="7">
        <v>1167257</v>
      </c>
      <c r="D1300" s="8"/>
      <c r="E1300" s="7" t="s">
        <v>75</v>
      </c>
      <c r="F1300" s="7" t="s">
        <v>2130</v>
      </c>
      <c r="G1300" s="8"/>
      <c r="H1300" s="8"/>
      <c r="I1300" s="7" t="s">
        <v>55</v>
      </c>
      <c r="J1300" s="8"/>
      <c r="K1300" s="8"/>
      <c r="L1300" s="7" t="s">
        <v>5680</v>
      </c>
      <c r="M1300" s="7" t="s">
        <v>2130</v>
      </c>
      <c r="N1300" s="7">
        <v>59</v>
      </c>
      <c r="O1300" s="7" t="s">
        <v>5681</v>
      </c>
    </row>
    <row r="1301" spans="1:15">
      <c r="A1301" s="6" t="s">
        <v>31</v>
      </c>
      <c r="B1301" s="7">
        <v>1167268</v>
      </c>
      <c r="C1301" s="7">
        <v>1167477</v>
      </c>
      <c r="D1301" s="8"/>
      <c r="E1301" s="7" t="s">
        <v>75</v>
      </c>
      <c r="F1301" s="7" t="s">
        <v>2130</v>
      </c>
      <c r="G1301" s="8"/>
      <c r="H1301" s="8"/>
      <c r="I1301" s="7" t="s">
        <v>55</v>
      </c>
      <c r="J1301" s="8"/>
      <c r="K1301" s="8"/>
      <c r="L1301" s="7" t="s">
        <v>5682</v>
      </c>
      <c r="M1301" s="7" t="s">
        <v>2130</v>
      </c>
      <c r="N1301" s="7">
        <v>69</v>
      </c>
      <c r="O1301" s="7" t="s">
        <v>5683</v>
      </c>
    </row>
    <row r="1302" spans="1:15">
      <c r="A1302" s="6" t="s">
        <v>31</v>
      </c>
      <c r="B1302" s="7">
        <v>1167629</v>
      </c>
      <c r="C1302" s="7">
        <v>1168567</v>
      </c>
      <c r="D1302" s="8"/>
      <c r="E1302" s="7" t="s">
        <v>75</v>
      </c>
      <c r="F1302" s="7" t="s">
        <v>5684</v>
      </c>
      <c r="G1302" s="7" t="s">
        <v>5685</v>
      </c>
      <c r="H1302" s="8"/>
      <c r="I1302" s="7" t="s">
        <v>55</v>
      </c>
      <c r="J1302" s="8"/>
      <c r="K1302" s="8"/>
      <c r="L1302" s="7" t="s">
        <v>5686</v>
      </c>
      <c r="M1302" s="7" t="s">
        <v>5684</v>
      </c>
      <c r="N1302" s="7">
        <v>312</v>
      </c>
      <c r="O1302" s="7" t="s">
        <v>5687</v>
      </c>
    </row>
    <row r="1303" spans="1:15">
      <c r="A1303" s="6" t="s">
        <v>31</v>
      </c>
      <c r="B1303" s="7">
        <v>1168713</v>
      </c>
      <c r="C1303" s="7">
        <v>1169162</v>
      </c>
      <c r="D1303" s="8"/>
      <c r="E1303" s="7" t="s">
        <v>75</v>
      </c>
      <c r="F1303" s="7" t="s">
        <v>5688</v>
      </c>
      <c r="G1303" s="8"/>
      <c r="H1303" s="8"/>
      <c r="I1303" s="7" t="s">
        <v>55</v>
      </c>
      <c r="J1303" s="8"/>
      <c r="K1303" s="8"/>
      <c r="L1303" s="7" t="s">
        <v>5689</v>
      </c>
      <c r="M1303" s="7" t="s">
        <v>5688</v>
      </c>
      <c r="N1303" s="7">
        <v>149</v>
      </c>
      <c r="O1303" s="7" t="s">
        <v>5690</v>
      </c>
    </row>
    <row r="1304" spans="1:15">
      <c r="A1304" s="6" t="s">
        <v>31</v>
      </c>
      <c r="B1304" s="7">
        <v>1169173</v>
      </c>
      <c r="C1304" s="7">
        <v>1169364</v>
      </c>
      <c r="D1304" s="8"/>
      <c r="E1304" s="7" t="s">
        <v>75</v>
      </c>
      <c r="F1304" s="7" t="s">
        <v>2095</v>
      </c>
      <c r="G1304" s="8"/>
      <c r="H1304" s="8"/>
      <c r="I1304" s="7" t="s">
        <v>55</v>
      </c>
      <c r="J1304" s="8"/>
      <c r="K1304" s="8"/>
      <c r="L1304" s="7" t="s">
        <v>5691</v>
      </c>
      <c r="M1304" s="7" t="s">
        <v>2095</v>
      </c>
      <c r="N1304" s="7">
        <v>63</v>
      </c>
      <c r="O1304" s="7" t="s">
        <v>5692</v>
      </c>
    </row>
    <row r="1305" spans="1:15">
      <c r="A1305" s="6" t="s">
        <v>31</v>
      </c>
      <c r="B1305" s="7">
        <v>1169330</v>
      </c>
      <c r="C1305" s="7">
        <v>1169551</v>
      </c>
      <c r="D1305" s="8"/>
      <c r="E1305" s="7" t="s">
        <v>75</v>
      </c>
      <c r="F1305" s="7" t="s">
        <v>5693</v>
      </c>
      <c r="G1305" s="8"/>
      <c r="H1305" s="8"/>
      <c r="I1305" s="7" t="s">
        <v>55</v>
      </c>
      <c r="J1305" s="8"/>
      <c r="K1305" s="8"/>
      <c r="L1305" s="7" t="s">
        <v>5694</v>
      </c>
      <c r="M1305" s="7" t="s">
        <v>5693</v>
      </c>
      <c r="N1305" s="7">
        <v>73</v>
      </c>
      <c r="O1305" s="7" t="s">
        <v>5695</v>
      </c>
    </row>
    <row r="1306" spans="1:15">
      <c r="A1306" s="6" t="s">
        <v>31</v>
      </c>
      <c r="B1306" s="7">
        <v>1169636</v>
      </c>
      <c r="C1306" s="7">
        <v>1171636</v>
      </c>
      <c r="D1306" s="8"/>
      <c r="E1306" s="7" t="s">
        <v>75</v>
      </c>
      <c r="F1306" s="7" t="s">
        <v>2636</v>
      </c>
      <c r="G1306" s="8"/>
      <c r="H1306" s="8"/>
      <c r="I1306" s="7" t="s">
        <v>55</v>
      </c>
      <c r="J1306" s="8"/>
      <c r="K1306" s="8"/>
      <c r="L1306" s="7" t="s">
        <v>5696</v>
      </c>
      <c r="M1306" s="7" t="s">
        <v>2636</v>
      </c>
      <c r="N1306" s="7">
        <v>666</v>
      </c>
      <c r="O1306" s="7" t="s">
        <v>5697</v>
      </c>
    </row>
    <row r="1307" spans="1:15">
      <c r="A1307" s="6" t="s">
        <v>31</v>
      </c>
      <c r="B1307" s="7">
        <v>1171638</v>
      </c>
      <c r="C1307" s="7">
        <v>1172396</v>
      </c>
      <c r="D1307" s="8"/>
      <c r="E1307" s="7" t="s">
        <v>75</v>
      </c>
      <c r="F1307" s="7" t="s">
        <v>5698</v>
      </c>
      <c r="G1307" s="7" t="s">
        <v>5699</v>
      </c>
      <c r="H1307" s="8"/>
      <c r="I1307" s="7" t="s">
        <v>55</v>
      </c>
      <c r="J1307" s="8"/>
      <c r="K1307" s="8"/>
      <c r="L1307" s="7" t="s">
        <v>5700</v>
      </c>
      <c r="M1307" s="7" t="s">
        <v>5698</v>
      </c>
      <c r="N1307" s="7">
        <v>252</v>
      </c>
      <c r="O1307" s="7" t="s">
        <v>5701</v>
      </c>
    </row>
    <row r="1308" spans="1:15">
      <c r="A1308" s="6" t="s">
        <v>31</v>
      </c>
      <c r="B1308" s="7">
        <v>1172541</v>
      </c>
      <c r="C1308" s="7">
        <v>1173515</v>
      </c>
      <c r="D1308" s="8"/>
      <c r="E1308" s="7" t="s">
        <v>75</v>
      </c>
      <c r="F1308" s="7" t="s">
        <v>4321</v>
      </c>
      <c r="G1308" s="8"/>
      <c r="H1308" s="8"/>
      <c r="I1308" s="7" t="s">
        <v>55</v>
      </c>
      <c r="J1308" s="8"/>
      <c r="K1308" s="8"/>
      <c r="L1308" s="7" t="s">
        <v>5702</v>
      </c>
      <c r="M1308" s="7" t="s">
        <v>4321</v>
      </c>
      <c r="N1308" s="7">
        <v>324</v>
      </c>
      <c r="O1308" s="7" t="s">
        <v>5703</v>
      </c>
    </row>
    <row r="1309" spans="1:15">
      <c r="A1309" s="6" t="s">
        <v>31</v>
      </c>
      <c r="B1309" s="7">
        <v>1173505</v>
      </c>
      <c r="C1309" s="7">
        <v>1174185</v>
      </c>
      <c r="D1309" s="8"/>
      <c r="E1309" s="7" t="s">
        <v>75</v>
      </c>
      <c r="F1309" s="7" t="s">
        <v>5704</v>
      </c>
      <c r="G1309" s="7" t="s">
        <v>5705</v>
      </c>
      <c r="H1309" s="8"/>
      <c r="I1309" s="7" t="s">
        <v>55</v>
      </c>
      <c r="J1309" s="8"/>
      <c r="K1309" s="8"/>
      <c r="L1309" s="7" t="s">
        <v>5706</v>
      </c>
      <c r="M1309" s="7" t="s">
        <v>5704</v>
      </c>
      <c r="N1309" s="7">
        <v>226</v>
      </c>
      <c r="O1309" s="7" t="s">
        <v>5707</v>
      </c>
    </row>
    <row r="1310" spans="1:15">
      <c r="A1310" s="6" t="s">
        <v>31</v>
      </c>
      <c r="B1310" s="7">
        <v>1175306</v>
      </c>
      <c r="C1310" s="7">
        <v>1175776</v>
      </c>
      <c r="D1310" s="8"/>
      <c r="E1310" s="7" t="s">
        <v>53</v>
      </c>
      <c r="F1310" s="7" t="s">
        <v>5708</v>
      </c>
      <c r="G1310" s="8"/>
      <c r="H1310" s="8"/>
      <c r="I1310" s="7" t="s">
        <v>55</v>
      </c>
      <c r="J1310" s="8"/>
      <c r="K1310" s="8"/>
      <c r="L1310" s="7" t="s">
        <v>5709</v>
      </c>
      <c r="M1310" s="7" t="s">
        <v>5708</v>
      </c>
      <c r="N1310" s="7">
        <v>156</v>
      </c>
      <c r="O1310" s="7" t="s">
        <v>5710</v>
      </c>
    </row>
    <row r="1311" spans="1:15">
      <c r="A1311" s="6" t="s">
        <v>31</v>
      </c>
      <c r="B1311" s="7">
        <v>1175656</v>
      </c>
      <c r="C1311" s="7">
        <v>1176486</v>
      </c>
      <c r="D1311" s="8"/>
      <c r="E1311" s="7" t="s">
        <v>53</v>
      </c>
      <c r="F1311" s="7" t="s">
        <v>5708</v>
      </c>
      <c r="G1311" s="8"/>
      <c r="H1311" s="8"/>
      <c r="I1311" s="7" t="s">
        <v>55</v>
      </c>
      <c r="J1311" s="8"/>
      <c r="K1311" s="8"/>
      <c r="L1311" s="7" t="s">
        <v>5711</v>
      </c>
      <c r="M1311" s="7" t="s">
        <v>5708</v>
      </c>
      <c r="N1311" s="7">
        <v>276</v>
      </c>
      <c r="O1311" s="7" t="s">
        <v>5712</v>
      </c>
    </row>
    <row r="1312" spans="1:15">
      <c r="A1312" s="6" t="s">
        <v>31</v>
      </c>
      <c r="B1312" s="7">
        <v>1176614</v>
      </c>
      <c r="C1312" s="7">
        <v>1177963</v>
      </c>
      <c r="D1312" s="8"/>
      <c r="E1312" s="7" t="s">
        <v>53</v>
      </c>
      <c r="F1312" s="7" t="s">
        <v>5713</v>
      </c>
      <c r="G1312" s="7" t="s">
        <v>5714</v>
      </c>
      <c r="H1312" s="8"/>
      <c r="I1312" s="7" t="s">
        <v>55</v>
      </c>
      <c r="J1312" s="8"/>
      <c r="K1312" s="8"/>
      <c r="L1312" s="7" t="s">
        <v>5715</v>
      </c>
      <c r="M1312" s="7" t="s">
        <v>5713</v>
      </c>
      <c r="N1312" s="7">
        <v>449</v>
      </c>
      <c r="O1312" s="7" t="s">
        <v>5716</v>
      </c>
    </row>
    <row r="1313" spans="1:17">
      <c r="A1313" s="6" t="s">
        <v>31</v>
      </c>
      <c r="B1313" s="7">
        <v>1178330</v>
      </c>
      <c r="C1313" s="7">
        <v>1179280</v>
      </c>
      <c r="D1313" s="8"/>
      <c r="E1313" s="7" t="s">
        <v>75</v>
      </c>
      <c r="F1313" s="7" t="s">
        <v>5717</v>
      </c>
      <c r="G1313" s="7" t="s">
        <v>5718</v>
      </c>
      <c r="H1313" s="8"/>
      <c r="I1313" s="7" t="s">
        <v>55</v>
      </c>
      <c r="J1313" s="8"/>
      <c r="K1313" s="8"/>
      <c r="L1313" s="7" t="s">
        <v>5719</v>
      </c>
      <c r="M1313" s="7" t="s">
        <v>5717</v>
      </c>
      <c r="N1313" s="7">
        <v>316</v>
      </c>
      <c r="O1313" s="7" t="s">
        <v>5720</v>
      </c>
      <c r="P1313" s="7"/>
      <c r="Q1313" s="7"/>
    </row>
    <row r="1314" spans="1:17">
      <c r="A1314" s="6" t="s">
        <v>31</v>
      </c>
      <c r="B1314" s="7">
        <v>1179432</v>
      </c>
      <c r="C1314" s="7">
        <v>1180301</v>
      </c>
      <c r="D1314" s="8"/>
      <c r="E1314" s="7" t="s">
        <v>75</v>
      </c>
      <c r="F1314" s="7" t="s">
        <v>2095</v>
      </c>
      <c r="G1314" s="8"/>
      <c r="H1314" s="8"/>
      <c r="I1314" s="7" t="s">
        <v>55</v>
      </c>
      <c r="J1314" s="8"/>
      <c r="K1314" s="8"/>
      <c r="L1314" s="7" t="s">
        <v>5721</v>
      </c>
      <c r="M1314" s="7" t="s">
        <v>2095</v>
      </c>
      <c r="N1314" s="7">
        <v>289</v>
      </c>
      <c r="O1314" s="7" t="s">
        <v>5722</v>
      </c>
    </row>
    <row r="1315" spans="1:17">
      <c r="A1315" s="6" t="s">
        <v>31</v>
      </c>
      <c r="B1315" s="7">
        <v>1180316</v>
      </c>
      <c r="C1315" s="7">
        <v>1181002</v>
      </c>
      <c r="D1315" s="8"/>
      <c r="E1315" s="7" t="s">
        <v>75</v>
      </c>
      <c r="F1315" s="7" t="s">
        <v>1280</v>
      </c>
      <c r="G1315" s="7" t="s">
        <v>5723</v>
      </c>
      <c r="H1315" s="8"/>
      <c r="I1315" s="7" t="s">
        <v>55</v>
      </c>
      <c r="J1315" s="8"/>
      <c r="K1315" s="8"/>
      <c r="L1315" s="7" t="s">
        <v>5724</v>
      </c>
      <c r="M1315" s="7" t="s">
        <v>1280</v>
      </c>
      <c r="N1315" s="7">
        <v>228</v>
      </c>
      <c r="O1315" s="7" t="s">
        <v>5725</v>
      </c>
    </row>
    <row r="1316" spans="1:17">
      <c r="A1316" s="6" t="s">
        <v>31</v>
      </c>
      <c r="B1316" s="7">
        <v>1181095</v>
      </c>
      <c r="C1316" s="7">
        <v>1182423</v>
      </c>
      <c r="D1316" s="8"/>
      <c r="E1316" s="7" t="s">
        <v>75</v>
      </c>
      <c r="F1316" s="7" t="s">
        <v>5726</v>
      </c>
      <c r="G1316" s="8"/>
      <c r="H1316" s="8"/>
      <c r="I1316" s="7" t="s">
        <v>55</v>
      </c>
      <c r="J1316" s="8"/>
      <c r="K1316" s="8"/>
      <c r="L1316" s="7" t="s">
        <v>5727</v>
      </c>
      <c r="M1316" s="7" t="s">
        <v>5726</v>
      </c>
      <c r="N1316" s="7">
        <v>442</v>
      </c>
      <c r="O1316" s="7" t="s">
        <v>5728</v>
      </c>
    </row>
    <row r="1317" spans="1:17">
      <c r="A1317" s="6" t="s">
        <v>31</v>
      </c>
      <c r="B1317" s="7">
        <v>1182637</v>
      </c>
      <c r="C1317" s="7">
        <v>1183041</v>
      </c>
      <c r="D1317" s="8"/>
      <c r="E1317" s="7" t="s">
        <v>75</v>
      </c>
      <c r="F1317" s="7" t="s">
        <v>5729</v>
      </c>
      <c r="G1317" s="8"/>
      <c r="H1317" s="8"/>
      <c r="I1317" s="7" t="s">
        <v>55</v>
      </c>
      <c r="J1317" s="8"/>
      <c r="K1317" s="8"/>
      <c r="L1317" s="7" t="s">
        <v>5730</v>
      </c>
      <c r="M1317" s="7" t="s">
        <v>5729</v>
      </c>
      <c r="N1317" s="7">
        <v>134</v>
      </c>
      <c r="O1317" s="7" t="s">
        <v>5731</v>
      </c>
      <c r="P1317" s="7"/>
    </row>
    <row r="1318" spans="1:17">
      <c r="A1318" s="6" t="s">
        <v>31</v>
      </c>
      <c r="B1318" s="7">
        <v>1182998</v>
      </c>
      <c r="C1318" s="7">
        <v>1183315</v>
      </c>
      <c r="D1318" s="8"/>
      <c r="E1318" s="7" t="s">
        <v>75</v>
      </c>
      <c r="F1318" s="7" t="s">
        <v>5729</v>
      </c>
      <c r="G1318" s="8"/>
      <c r="H1318" s="8"/>
      <c r="I1318" s="7" t="s">
        <v>55</v>
      </c>
      <c r="J1318" s="8"/>
      <c r="K1318" s="8"/>
      <c r="L1318" s="7" t="s">
        <v>5732</v>
      </c>
      <c r="M1318" s="7" t="s">
        <v>5729</v>
      </c>
      <c r="N1318" s="7">
        <v>105</v>
      </c>
      <c r="O1318" s="7" t="s">
        <v>5733</v>
      </c>
      <c r="P1318" s="7"/>
    </row>
    <row r="1319" spans="1:17">
      <c r="A1319" s="6" t="s">
        <v>31</v>
      </c>
      <c r="B1319" s="7">
        <v>1183482</v>
      </c>
      <c r="C1319" s="7">
        <v>1183676</v>
      </c>
      <c r="D1319" s="8"/>
      <c r="E1319" s="7" t="s">
        <v>53</v>
      </c>
      <c r="F1319" s="7" t="s">
        <v>5734</v>
      </c>
      <c r="G1319" s="8"/>
      <c r="H1319" s="8"/>
      <c r="I1319" s="7" t="s">
        <v>55</v>
      </c>
      <c r="J1319" s="8"/>
      <c r="K1319" s="8"/>
      <c r="L1319" s="7" t="s">
        <v>5735</v>
      </c>
      <c r="M1319" s="7" t="s">
        <v>5734</v>
      </c>
      <c r="N1319" s="7">
        <v>64</v>
      </c>
      <c r="O1319" s="7" t="s">
        <v>5736</v>
      </c>
    </row>
    <row r="1320" spans="1:17">
      <c r="A1320" s="6" t="s">
        <v>31</v>
      </c>
      <c r="B1320" s="7">
        <v>1184547</v>
      </c>
      <c r="C1320" s="7">
        <v>1185932</v>
      </c>
      <c r="D1320" s="8"/>
      <c r="E1320" s="7" t="s">
        <v>75</v>
      </c>
      <c r="F1320" s="7" t="s">
        <v>5737</v>
      </c>
      <c r="G1320" s="7" t="s">
        <v>5738</v>
      </c>
      <c r="H1320" s="8"/>
      <c r="I1320" s="7" t="s">
        <v>55</v>
      </c>
      <c r="J1320" s="8"/>
      <c r="K1320" s="8"/>
      <c r="L1320" s="7" t="s">
        <v>5739</v>
      </c>
      <c r="M1320" s="7" t="s">
        <v>5737</v>
      </c>
      <c r="N1320" s="7">
        <v>461</v>
      </c>
      <c r="O1320" s="7" t="s">
        <v>5740</v>
      </c>
    </row>
    <row r="1321" spans="1:17">
      <c r="A1321" s="6" t="s">
        <v>31</v>
      </c>
      <c r="B1321" s="7">
        <v>1186358</v>
      </c>
      <c r="C1321" s="7">
        <v>1186960</v>
      </c>
      <c r="D1321" s="8"/>
      <c r="E1321" s="7" t="s">
        <v>75</v>
      </c>
      <c r="F1321" s="7" t="s">
        <v>5741</v>
      </c>
      <c r="G1321" s="8"/>
      <c r="H1321" s="8"/>
      <c r="I1321" s="7" t="s">
        <v>55</v>
      </c>
      <c r="J1321" s="8"/>
      <c r="K1321" s="8"/>
      <c r="L1321" s="7" t="s">
        <v>5742</v>
      </c>
      <c r="M1321" s="7" t="s">
        <v>5741</v>
      </c>
      <c r="N1321" s="7">
        <v>200</v>
      </c>
      <c r="O1321" s="7" t="s">
        <v>5743</v>
      </c>
    </row>
    <row r="1322" spans="1:17">
      <c r="A1322" s="6" t="s">
        <v>31</v>
      </c>
      <c r="B1322" s="7">
        <v>1187139</v>
      </c>
      <c r="C1322" s="7">
        <v>1187285</v>
      </c>
      <c r="D1322" s="8"/>
      <c r="E1322" s="7" t="s">
        <v>75</v>
      </c>
      <c r="F1322" s="7" t="s">
        <v>2130</v>
      </c>
      <c r="G1322" s="8"/>
      <c r="H1322" s="8"/>
      <c r="I1322" s="7" t="s">
        <v>55</v>
      </c>
      <c r="J1322" s="8"/>
      <c r="K1322" s="8"/>
      <c r="L1322" s="7" t="s">
        <v>5744</v>
      </c>
      <c r="M1322" s="7" t="s">
        <v>2130</v>
      </c>
      <c r="N1322" s="7">
        <v>48</v>
      </c>
      <c r="O1322" s="7" t="s">
        <v>5745</v>
      </c>
    </row>
    <row r="1323" spans="1:17">
      <c r="A1323" s="6" t="s">
        <v>31</v>
      </c>
      <c r="B1323" s="7">
        <v>1187412</v>
      </c>
      <c r="C1323" s="7">
        <v>1187918</v>
      </c>
      <c r="D1323" s="8"/>
      <c r="E1323" s="7" t="s">
        <v>75</v>
      </c>
      <c r="F1323" s="7" t="s">
        <v>2130</v>
      </c>
      <c r="G1323" s="8"/>
      <c r="H1323" s="8"/>
      <c r="I1323" s="7" t="s">
        <v>55</v>
      </c>
      <c r="J1323" s="8"/>
      <c r="K1323" s="8"/>
      <c r="L1323" s="7" t="s">
        <v>5746</v>
      </c>
      <c r="M1323" s="7" t="s">
        <v>2130</v>
      </c>
      <c r="N1323" s="7">
        <v>168</v>
      </c>
      <c r="O1323" s="7" t="s">
        <v>5747</v>
      </c>
    </row>
    <row r="1324" spans="1:17">
      <c r="A1324" s="6" t="s">
        <v>31</v>
      </c>
      <c r="B1324" s="7">
        <v>1188086</v>
      </c>
      <c r="C1324" s="7">
        <v>1188535</v>
      </c>
      <c r="D1324" s="8"/>
      <c r="E1324" s="7" t="s">
        <v>75</v>
      </c>
      <c r="F1324" s="7" t="s">
        <v>5748</v>
      </c>
      <c r="G1324" s="7" t="s">
        <v>5749</v>
      </c>
      <c r="H1324" s="8"/>
      <c r="I1324" s="7" t="s">
        <v>55</v>
      </c>
      <c r="J1324" s="8"/>
      <c r="K1324" s="8"/>
      <c r="L1324" s="7" t="s">
        <v>5750</v>
      </c>
      <c r="M1324" s="7" t="s">
        <v>5748</v>
      </c>
      <c r="N1324" s="7">
        <v>149</v>
      </c>
      <c r="O1324" s="7" t="s">
        <v>5751</v>
      </c>
    </row>
    <row r="1325" spans="1:17">
      <c r="A1325" s="6" t="s">
        <v>31</v>
      </c>
      <c r="B1325" s="7">
        <v>1188717</v>
      </c>
      <c r="C1325" s="7">
        <v>1189580</v>
      </c>
      <c r="D1325" s="8"/>
      <c r="E1325" s="7" t="s">
        <v>75</v>
      </c>
      <c r="F1325" s="7" t="s">
        <v>4701</v>
      </c>
      <c r="G1325" s="8"/>
      <c r="H1325" s="8"/>
      <c r="I1325" s="7" t="s">
        <v>55</v>
      </c>
      <c r="J1325" s="8"/>
      <c r="K1325" s="8"/>
      <c r="L1325" s="7" t="s">
        <v>5752</v>
      </c>
      <c r="M1325" s="7" t="s">
        <v>4701</v>
      </c>
      <c r="N1325" s="7">
        <v>287</v>
      </c>
      <c r="O1325" s="7" t="s">
        <v>5753</v>
      </c>
    </row>
    <row r="1326" spans="1:17">
      <c r="A1326" s="6" t="s">
        <v>31</v>
      </c>
      <c r="B1326" s="7">
        <v>1189567</v>
      </c>
      <c r="C1326" s="7">
        <v>1190859</v>
      </c>
      <c r="D1326" s="8"/>
      <c r="E1326" s="7" t="s">
        <v>75</v>
      </c>
      <c r="F1326" s="7" t="s">
        <v>5754</v>
      </c>
      <c r="G1326" s="8"/>
      <c r="H1326" s="8"/>
      <c r="I1326" s="7" t="s">
        <v>55</v>
      </c>
      <c r="J1326" s="8"/>
      <c r="K1326" s="8"/>
      <c r="L1326" s="7" t="s">
        <v>5755</v>
      </c>
      <c r="M1326" s="7" t="s">
        <v>5754</v>
      </c>
      <c r="N1326" s="7">
        <v>430</v>
      </c>
      <c r="O1326" s="7" t="s">
        <v>5756</v>
      </c>
    </row>
    <row r="1327" spans="1:17">
      <c r="A1327" s="6" t="s">
        <v>31</v>
      </c>
      <c r="B1327" s="7">
        <v>1191048</v>
      </c>
      <c r="C1327" s="7">
        <v>1191680</v>
      </c>
      <c r="D1327" s="8"/>
      <c r="E1327" s="7" t="s">
        <v>75</v>
      </c>
      <c r="F1327" s="7" t="s">
        <v>5757</v>
      </c>
      <c r="G1327" s="7" t="s">
        <v>5758</v>
      </c>
      <c r="H1327" s="8"/>
      <c r="I1327" s="7" t="s">
        <v>55</v>
      </c>
      <c r="J1327" s="8"/>
      <c r="K1327" s="8"/>
      <c r="L1327" s="7" t="s">
        <v>5759</v>
      </c>
      <c r="M1327" s="7" t="s">
        <v>5757</v>
      </c>
      <c r="N1327" s="7">
        <v>210</v>
      </c>
      <c r="O1327" s="7" t="s">
        <v>5760</v>
      </c>
      <c r="P1327" s="7"/>
    </row>
    <row r="1328" spans="1:17">
      <c r="A1328" s="6" t="s">
        <v>31</v>
      </c>
      <c r="B1328" s="7">
        <v>1191773</v>
      </c>
      <c r="C1328" s="7">
        <v>1192369</v>
      </c>
      <c r="D1328" s="8"/>
      <c r="E1328" s="7" t="s">
        <v>75</v>
      </c>
      <c r="F1328" s="7" t="s">
        <v>2847</v>
      </c>
      <c r="G1328" s="8"/>
      <c r="H1328" s="8"/>
      <c r="I1328" s="7" t="s">
        <v>55</v>
      </c>
      <c r="J1328" s="8"/>
      <c r="K1328" s="8"/>
      <c r="L1328" s="7" t="s">
        <v>5761</v>
      </c>
      <c r="M1328" s="7" t="s">
        <v>2847</v>
      </c>
      <c r="N1328" s="7">
        <v>198</v>
      </c>
      <c r="O1328" s="7" t="s">
        <v>5762</v>
      </c>
    </row>
    <row r="1329" spans="1:16">
      <c r="A1329" s="6" t="s">
        <v>31</v>
      </c>
      <c r="B1329" s="7">
        <v>1192525</v>
      </c>
      <c r="C1329" s="7">
        <v>1193367</v>
      </c>
      <c r="D1329" s="8"/>
      <c r="E1329" s="7" t="s">
        <v>75</v>
      </c>
      <c r="F1329" s="7" t="s">
        <v>5763</v>
      </c>
      <c r="G1329" s="7" t="s">
        <v>5764</v>
      </c>
      <c r="H1329" s="8"/>
      <c r="I1329" s="7" t="s">
        <v>55</v>
      </c>
      <c r="J1329" s="8"/>
      <c r="K1329" s="8"/>
      <c r="L1329" s="7" t="s">
        <v>5765</v>
      </c>
      <c r="M1329" s="7" t="s">
        <v>5763</v>
      </c>
      <c r="N1329" s="7">
        <v>280</v>
      </c>
      <c r="O1329" s="7" t="s">
        <v>5766</v>
      </c>
      <c r="P1329" s="7"/>
    </row>
    <row r="1330" spans="1:16">
      <c r="A1330" s="6" t="s">
        <v>31</v>
      </c>
      <c r="B1330" s="7">
        <v>1193539</v>
      </c>
      <c r="C1330" s="7">
        <v>1193631</v>
      </c>
      <c r="D1330" s="8"/>
      <c r="E1330" s="7" t="s">
        <v>75</v>
      </c>
      <c r="F1330" s="7" t="s">
        <v>2095</v>
      </c>
      <c r="G1330" s="8"/>
      <c r="H1330" s="8"/>
      <c r="I1330" s="7" t="s">
        <v>55</v>
      </c>
      <c r="J1330" s="8"/>
      <c r="K1330" s="8"/>
      <c r="L1330" s="7" t="s">
        <v>5767</v>
      </c>
      <c r="M1330" s="7" t="s">
        <v>2095</v>
      </c>
      <c r="N1330" s="7">
        <v>30</v>
      </c>
      <c r="O1330" s="7" t="s">
        <v>5768</v>
      </c>
    </row>
    <row r="1331" spans="1:16">
      <c r="A1331" s="6" t="s">
        <v>31</v>
      </c>
      <c r="B1331" s="7">
        <v>1193740</v>
      </c>
      <c r="C1331" s="7">
        <v>1194057</v>
      </c>
      <c r="D1331" s="8"/>
      <c r="E1331" s="7" t="s">
        <v>75</v>
      </c>
      <c r="F1331" s="7" t="s">
        <v>5769</v>
      </c>
      <c r="G1331" s="8"/>
      <c r="H1331" s="8"/>
      <c r="I1331" s="7" t="s">
        <v>55</v>
      </c>
      <c r="J1331" s="8"/>
      <c r="K1331" s="8"/>
      <c r="L1331" s="7" t="s">
        <v>5770</v>
      </c>
      <c r="M1331" s="7" t="s">
        <v>5769</v>
      </c>
      <c r="N1331" s="7">
        <v>105</v>
      </c>
      <c r="O1331" s="7" t="s">
        <v>5771</v>
      </c>
      <c r="P1331" s="7"/>
    </row>
    <row r="1332" spans="1:16">
      <c r="A1332" s="6" t="s">
        <v>31</v>
      </c>
      <c r="B1332" s="7">
        <v>1194207</v>
      </c>
      <c r="C1332" s="7">
        <v>1194332</v>
      </c>
      <c r="D1332" s="8"/>
      <c r="E1332" s="7" t="s">
        <v>75</v>
      </c>
      <c r="F1332" s="7" t="s">
        <v>2130</v>
      </c>
      <c r="G1332" s="8"/>
      <c r="H1332" s="8"/>
      <c r="I1332" s="7" t="s">
        <v>55</v>
      </c>
      <c r="J1332" s="8"/>
      <c r="K1332" s="8"/>
      <c r="L1332" s="7" t="s">
        <v>5772</v>
      </c>
      <c r="M1332" s="7" t="s">
        <v>2130</v>
      </c>
      <c r="N1332" s="7">
        <v>41</v>
      </c>
      <c r="O1332" s="7" t="s">
        <v>5773</v>
      </c>
    </row>
    <row r="1333" spans="1:16">
      <c r="A1333" s="6" t="s">
        <v>31</v>
      </c>
      <c r="B1333" s="7">
        <v>1194366</v>
      </c>
      <c r="C1333" s="7">
        <v>1195142</v>
      </c>
      <c r="D1333" s="8"/>
      <c r="E1333" s="7" t="s">
        <v>75</v>
      </c>
      <c r="F1333" s="7" t="s">
        <v>2130</v>
      </c>
      <c r="G1333" s="8"/>
      <c r="H1333" s="8"/>
      <c r="I1333" s="7" t="s">
        <v>55</v>
      </c>
      <c r="J1333" s="8"/>
      <c r="K1333" s="8"/>
      <c r="L1333" s="7" t="s">
        <v>5774</v>
      </c>
      <c r="M1333" s="7" t="s">
        <v>2130</v>
      </c>
      <c r="N1333" s="7">
        <v>258</v>
      </c>
      <c r="O1333" s="7" t="s">
        <v>5775</v>
      </c>
    </row>
    <row r="1334" spans="1:16">
      <c r="A1334" s="6" t="s">
        <v>31</v>
      </c>
      <c r="B1334" s="7">
        <v>1195145</v>
      </c>
      <c r="C1334" s="7">
        <v>1199515</v>
      </c>
      <c r="D1334" s="8"/>
      <c r="E1334" s="7" t="s">
        <v>75</v>
      </c>
      <c r="F1334" s="7" t="s">
        <v>5776</v>
      </c>
      <c r="G1334" s="8"/>
      <c r="H1334" s="8"/>
      <c r="I1334" s="7" t="s">
        <v>55</v>
      </c>
      <c r="J1334" s="8"/>
      <c r="K1334" s="8"/>
      <c r="L1334" s="7" t="s">
        <v>5777</v>
      </c>
      <c r="M1334" s="7" t="s">
        <v>5776</v>
      </c>
      <c r="N1334" s="7">
        <v>1456</v>
      </c>
      <c r="O1334" s="7" t="s">
        <v>5778</v>
      </c>
    </row>
    <row r="1335" spans="1:16">
      <c r="A1335" s="6" t="s">
        <v>31</v>
      </c>
      <c r="B1335" s="7">
        <v>1199522</v>
      </c>
      <c r="C1335" s="7">
        <v>1200196</v>
      </c>
      <c r="D1335" s="8"/>
      <c r="E1335" s="7" t="s">
        <v>75</v>
      </c>
      <c r="F1335" s="7" t="s">
        <v>5779</v>
      </c>
      <c r="G1335" s="7" t="s">
        <v>5780</v>
      </c>
      <c r="H1335" s="8"/>
      <c r="I1335" s="7" t="s">
        <v>55</v>
      </c>
      <c r="J1335" s="8"/>
      <c r="K1335" s="8"/>
      <c r="L1335" s="7" t="s">
        <v>5781</v>
      </c>
      <c r="M1335" s="7" t="s">
        <v>5779</v>
      </c>
      <c r="N1335" s="7">
        <v>224</v>
      </c>
      <c r="O1335" s="7" t="s">
        <v>5782</v>
      </c>
    </row>
    <row r="1336" spans="1:16">
      <c r="A1336" s="6" t="s">
        <v>31</v>
      </c>
      <c r="B1336" s="7">
        <v>1200457</v>
      </c>
      <c r="C1336" s="7">
        <v>1201941</v>
      </c>
      <c r="D1336" s="8"/>
      <c r="E1336" s="7" t="s">
        <v>53</v>
      </c>
      <c r="F1336" s="7" t="s">
        <v>5783</v>
      </c>
      <c r="G1336" s="8"/>
      <c r="H1336" s="8"/>
      <c r="I1336" s="7" t="s">
        <v>55</v>
      </c>
      <c r="J1336" s="8"/>
      <c r="K1336" s="8"/>
      <c r="L1336" s="7" t="s">
        <v>5784</v>
      </c>
      <c r="M1336" s="7" t="s">
        <v>5783</v>
      </c>
      <c r="N1336" s="7">
        <v>494</v>
      </c>
      <c r="O1336" s="7" t="s">
        <v>5785</v>
      </c>
    </row>
    <row r="1337" spans="1:16">
      <c r="A1337" s="6" t="s">
        <v>31</v>
      </c>
      <c r="B1337" s="7">
        <v>1202161</v>
      </c>
      <c r="C1337" s="7">
        <v>1202505</v>
      </c>
      <c r="D1337" s="8"/>
      <c r="E1337" s="7" t="s">
        <v>75</v>
      </c>
      <c r="F1337" s="7" t="s">
        <v>2130</v>
      </c>
      <c r="G1337" s="8"/>
      <c r="H1337" s="8"/>
      <c r="I1337" s="7" t="s">
        <v>55</v>
      </c>
      <c r="J1337" s="8"/>
      <c r="K1337" s="8"/>
      <c r="L1337" s="7" t="s">
        <v>5786</v>
      </c>
      <c r="M1337" s="7" t="s">
        <v>2130</v>
      </c>
      <c r="N1337" s="7">
        <v>114</v>
      </c>
      <c r="O1337" s="7" t="s">
        <v>5787</v>
      </c>
    </row>
    <row r="1338" spans="1:16">
      <c r="A1338" s="6" t="s">
        <v>31</v>
      </c>
      <c r="B1338" s="7">
        <v>1202765</v>
      </c>
      <c r="C1338" s="7">
        <v>1203028</v>
      </c>
      <c r="D1338" s="8"/>
      <c r="E1338" s="7" t="s">
        <v>53</v>
      </c>
      <c r="F1338" s="7" t="s">
        <v>5788</v>
      </c>
      <c r="G1338" s="8"/>
      <c r="H1338" s="8"/>
      <c r="I1338" s="7" t="s">
        <v>55</v>
      </c>
      <c r="J1338" s="8"/>
      <c r="K1338" s="8"/>
      <c r="L1338" s="7" t="s">
        <v>5789</v>
      </c>
      <c r="M1338" s="7" t="s">
        <v>5788</v>
      </c>
      <c r="N1338" s="7">
        <v>87</v>
      </c>
      <c r="O1338" s="7" t="s">
        <v>5790</v>
      </c>
    </row>
    <row r="1339" spans="1:16">
      <c r="A1339" s="6" t="s">
        <v>31</v>
      </c>
      <c r="B1339" s="7">
        <v>1203077</v>
      </c>
      <c r="C1339" s="7">
        <v>1203205</v>
      </c>
      <c r="D1339" s="8"/>
      <c r="E1339" s="7" t="s">
        <v>53</v>
      </c>
      <c r="F1339" s="7" t="s">
        <v>2095</v>
      </c>
      <c r="G1339" s="8"/>
      <c r="H1339" s="8"/>
      <c r="I1339" s="7" t="s">
        <v>55</v>
      </c>
      <c r="J1339" s="8"/>
      <c r="K1339" s="8"/>
      <c r="L1339" s="7" t="s">
        <v>5791</v>
      </c>
      <c r="M1339" s="7" t="s">
        <v>2095</v>
      </c>
      <c r="N1339" s="7">
        <v>42</v>
      </c>
      <c r="O1339" s="7" t="s">
        <v>5792</v>
      </c>
    </row>
    <row r="1340" spans="1:16">
      <c r="A1340" s="6" t="s">
        <v>31</v>
      </c>
      <c r="B1340" s="7">
        <v>1203214</v>
      </c>
      <c r="C1340" s="7">
        <v>1203456</v>
      </c>
      <c r="D1340" s="8"/>
      <c r="E1340" s="7" t="s">
        <v>75</v>
      </c>
      <c r="F1340" s="7" t="s">
        <v>2831</v>
      </c>
      <c r="G1340" s="8"/>
      <c r="H1340" s="8"/>
      <c r="I1340" s="7" t="s">
        <v>55</v>
      </c>
      <c r="J1340" s="8"/>
      <c r="K1340" s="8"/>
      <c r="L1340" s="7" t="s">
        <v>5793</v>
      </c>
      <c r="M1340" s="7" t="s">
        <v>2831</v>
      </c>
      <c r="N1340" s="7">
        <v>80</v>
      </c>
      <c r="O1340" s="7" t="s">
        <v>5794</v>
      </c>
    </row>
    <row r="1341" spans="1:16">
      <c r="A1341" s="6" t="s">
        <v>31</v>
      </c>
      <c r="B1341" s="7">
        <v>1203535</v>
      </c>
      <c r="C1341" s="7">
        <v>1203897</v>
      </c>
      <c r="D1341" s="8"/>
      <c r="E1341" s="7" t="s">
        <v>75</v>
      </c>
      <c r="F1341" s="7" t="s">
        <v>5795</v>
      </c>
      <c r="G1341" s="8"/>
      <c r="H1341" s="8"/>
      <c r="I1341" s="7" t="s">
        <v>55</v>
      </c>
      <c r="J1341" s="8"/>
      <c r="K1341" s="8"/>
      <c r="L1341" s="7" t="s">
        <v>5796</v>
      </c>
      <c r="M1341" s="7" t="s">
        <v>5795</v>
      </c>
      <c r="N1341" s="7">
        <v>120</v>
      </c>
      <c r="O1341" s="7" t="s">
        <v>5797</v>
      </c>
    </row>
    <row r="1342" spans="1:16">
      <c r="A1342" s="6" t="s">
        <v>31</v>
      </c>
      <c r="B1342" s="7">
        <v>1203977</v>
      </c>
      <c r="C1342" s="7">
        <v>1204432</v>
      </c>
      <c r="D1342" s="8"/>
      <c r="E1342" s="7" t="s">
        <v>75</v>
      </c>
      <c r="F1342" s="7" t="s">
        <v>5798</v>
      </c>
      <c r="G1342" s="8"/>
      <c r="H1342" s="8"/>
      <c r="I1342" s="7" t="s">
        <v>55</v>
      </c>
      <c r="J1342" s="8"/>
      <c r="K1342" s="8"/>
      <c r="L1342" s="7" t="s">
        <v>5799</v>
      </c>
      <c r="M1342" s="7" t="s">
        <v>5798</v>
      </c>
      <c r="N1342" s="7">
        <v>151</v>
      </c>
      <c r="O1342" s="7" t="s">
        <v>5800</v>
      </c>
    </row>
    <row r="1343" spans="1:16">
      <c r="A1343" s="6" t="s">
        <v>31</v>
      </c>
      <c r="B1343" s="7">
        <v>1204470</v>
      </c>
      <c r="C1343" s="7">
        <v>1204688</v>
      </c>
      <c r="D1343" s="8"/>
      <c r="E1343" s="7" t="s">
        <v>53</v>
      </c>
      <c r="F1343" s="7" t="s">
        <v>2130</v>
      </c>
      <c r="G1343" s="8"/>
      <c r="H1343" s="8"/>
      <c r="I1343" s="7" t="s">
        <v>55</v>
      </c>
      <c r="J1343" s="8"/>
      <c r="K1343" s="8"/>
      <c r="L1343" s="7" t="s">
        <v>5801</v>
      </c>
      <c r="M1343" s="7" t="s">
        <v>2130</v>
      </c>
      <c r="N1343" s="7">
        <v>72</v>
      </c>
      <c r="O1343" s="7" t="s">
        <v>5802</v>
      </c>
    </row>
    <row r="1344" spans="1:16">
      <c r="A1344" s="6" t="s">
        <v>31</v>
      </c>
      <c r="B1344" s="7">
        <v>1204734</v>
      </c>
      <c r="C1344" s="7">
        <v>1205093</v>
      </c>
      <c r="D1344" s="8"/>
      <c r="E1344" s="7" t="s">
        <v>75</v>
      </c>
      <c r="F1344" s="7" t="s">
        <v>2130</v>
      </c>
      <c r="G1344" s="8"/>
      <c r="H1344" s="8"/>
      <c r="I1344" s="7" t="s">
        <v>55</v>
      </c>
      <c r="J1344" s="8"/>
      <c r="K1344" s="8"/>
      <c r="L1344" s="7" t="s">
        <v>5803</v>
      </c>
      <c r="M1344" s="7" t="s">
        <v>2130</v>
      </c>
      <c r="N1344" s="7">
        <v>119</v>
      </c>
      <c r="O1344" s="7" t="s">
        <v>5804</v>
      </c>
    </row>
    <row r="1345" spans="1:16">
      <c r="A1345" s="6" t="s">
        <v>31</v>
      </c>
      <c r="B1345" s="7">
        <v>1205090</v>
      </c>
      <c r="C1345" s="7">
        <v>1206505</v>
      </c>
      <c r="D1345" s="8"/>
      <c r="E1345" s="7" t="s">
        <v>75</v>
      </c>
      <c r="F1345" s="7" t="s">
        <v>5805</v>
      </c>
      <c r="G1345" s="8"/>
      <c r="H1345" s="8"/>
      <c r="I1345" s="7" t="s">
        <v>55</v>
      </c>
      <c r="J1345" s="8"/>
      <c r="K1345" s="8"/>
      <c r="L1345" s="7" t="s">
        <v>5806</v>
      </c>
      <c r="M1345" s="7" t="s">
        <v>5805</v>
      </c>
      <c r="N1345" s="7">
        <v>471</v>
      </c>
      <c r="O1345" s="7" t="s">
        <v>5807</v>
      </c>
    </row>
    <row r="1346" spans="1:16">
      <c r="A1346" s="6" t="s">
        <v>31</v>
      </c>
      <c r="B1346" s="7">
        <v>1206678</v>
      </c>
      <c r="C1346" s="7">
        <v>1207715</v>
      </c>
      <c r="D1346" s="8"/>
      <c r="E1346" s="7" t="s">
        <v>75</v>
      </c>
      <c r="F1346" s="7" t="s">
        <v>2130</v>
      </c>
      <c r="G1346" s="8"/>
      <c r="H1346" s="8"/>
      <c r="I1346" s="7" t="s">
        <v>55</v>
      </c>
      <c r="J1346" s="8"/>
      <c r="K1346" s="8"/>
      <c r="L1346" s="7" t="s">
        <v>5808</v>
      </c>
      <c r="M1346" s="7" t="s">
        <v>2130</v>
      </c>
      <c r="N1346" s="7">
        <v>345</v>
      </c>
      <c r="O1346" s="7" t="s">
        <v>5809</v>
      </c>
    </row>
    <row r="1347" spans="1:16">
      <c r="A1347" s="6" t="s">
        <v>31</v>
      </c>
      <c r="B1347" s="7">
        <v>1207954</v>
      </c>
      <c r="C1347" s="7">
        <v>1208241</v>
      </c>
      <c r="D1347" s="8"/>
      <c r="E1347" s="7" t="s">
        <v>53</v>
      </c>
      <c r="F1347" s="7" t="s">
        <v>2130</v>
      </c>
      <c r="G1347" s="8"/>
      <c r="H1347" s="8"/>
      <c r="I1347" s="7" t="s">
        <v>55</v>
      </c>
      <c r="J1347" s="8"/>
      <c r="K1347" s="8"/>
      <c r="L1347" s="7" t="s">
        <v>5810</v>
      </c>
      <c r="M1347" s="7" t="s">
        <v>2130</v>
      </c>
      <c r="N1347" s="7">
        <v>95</v>
      </c>
      <c r="O1347" s="7" t="s">
        <v>5811</v>
      </c>
    </row>
    <row r="1348" spans="1:16">
      <c r="A1348" s="6" t="s">
        <v>31</v>
      </c>
      <c r="B1348" s="7">
        <v>1208490</v>
      </c>
      <c r="C1348" s="7">
        <v>1208738</v>
      </c>
      <c r="D1348" s="8"/>
      <c r="E1348" s="7" t="s">
        <v>53</v>
      </c>
      <c r="F1348" s="7" t="s">
        <v>2130</v>
      </c>
      <c r="G1348" s="8"/>
      <c r="H1348" s="8"/>
      <c r="I1348" s="7" t="s">
        <v>55</v>
      </c>
      <c r="J1348" s="8"/>
      <c r="K1348" s="8"/>
      <c r="L1348" s="7" t="s">
        <v>5812</v>
      </c>
      <c r="M1348" s="7" t="s">
        <v>2130</v>
      </c>
      <c r="N1348" s="7">
        <v>82</v>
      </c>
      <c r="O1348" s="7" t="s">
        <v>5813</v>
      </c>
    </row>
    <row r="1349" spans="1:16">
      <c r="A1349" s="6" t="s">
        <v>31</v>
      </c>
      <c r="B1349" s="7">
        <v>1208949</v>
      </c>
      <c r="C1349" s="7">
        <v>1209566</v>
      </c>
      <c r="D1349" s="8"/>
      <c r="E1349" s="7" t="s">
        <v>53</v>
      </c>
      <c r="F1349" s="7" t="s">
        <v>5814</v>
      </c>
      <c r="G1349" s="8"/>
      <c r="H1349" s="8"/>
      <c r="I1349" s="7" t="s">
        <v>55</v>
      </c>
      <c r="J1349" s="8"/>
      <c r="K1349" s="8"/>
      <c r="L1349" s="7" t="s">
        <v>5815</v>
      </c>
      <c r="M1349" s="7" t="s">
        <v>5814</v>
      </c>
      <c r="N1349" s="7">
        <v>205</v>
      </c>
      <c r="O1349" s="7" t="s">
        <v>5816</v>
      </c>
    </row>
    <row r="1350" spans="1:16">
      <c r="A1350" s="6" t="s">
        <v>31</v>
      </c>
      <c r="B1350" s="7">
        <v>1209852</v>
      </c>
      <c r="C1350" s="7">
        <v>1209989</v>
      </c>
      <c r="D1350" s="8"/>
      <c r="E1350" s="7" t="s">
        <v>53</v>
      </c>
      <c r="F1350" s="7" t="s">
        <v>1280</v>
      </c>
      <c r="G1350" s="8"/>
      <c r="H1350" s="8"/>
      <c r="I1350" s="7" t="s">
        <v>55</v>
      </c>
      <c r="J1350" s="8"/>
      <c r="K1350" s="8"/>
      <c r="L1350" s="7" t="s">
        <v>5817</v>
      </c>
      <c r="M1350" s="7" t="s">
        <v>1280</v>
      </c>
      <c r="N1350" s="7">
        <v>45</v>
      </c>
      <c r="O1350" s="7" t="s">
        <v>5818</v>
      </c>
    </row>
    <row r="1351" spans="1:16">
      <c r="A1351" s="6" t="s">
        <v>31</v>
      </c>
      <c r="B1351" s="7">
        <v>1209907</v>
      </c>
      <c r="C1351" s="7">
        <v>1210227</v>
      </c>
      <c r="D1351" s="8"/>
      <c r="E1351" s="7" t="s">
        <v>75</v>
      </c>
      <c r="F1351" s="7" t="s">
        <v>2130</v>
      </c>
      <c r="G1351" s="8"/>
      <c r="H1351" s="8"/>
      <c r="I1351" s="7" t="s">
        <v>55</v>
      </c>
      <c r="J1351" s="8"/>
      <c r="K1351" s="8"/>
      <c r="L1351" s="7" t="s">
        <v>5819</v>
      </c>
      <c r="M1351" s="7" t="s">
        <v>2130</v>
      </c>
      <c r="N1351" s="7">
        <v>106</v>
      </c>
      <c r="O1351" s="7" t="s">
        <v>5820</v>
      </c>
    </row>
    <row r="1352" spans="1:16">
      <c r="A1352" s="6" t="s">
        <v>31</v>
      </c>
      <c r="B1352" s="7">
        <v>1210542</v>
      </c>
      <c r="C1352" s="7">
        <v>1210694</v>
      </c>
      <c r="D1352" s="8"/>
      <c r="E1352" s="7" t="s">
        <v>75</v>
      </c>
      <c r="F1352" s="7" t="s">
        <v>2095</v>
      </c>
      <c r="G1352" s="8"/>
      <c r="H1352" s="8"/>
      <c r="I1352" s="7" t="s">
        <v>55</v>
      </c>
      <c r="J1352" s="8"/>
      <c r="K1352" s="8"/>
      <c r="L1352" s="7" t="s">
        <v>5821</v>
      </c>
      <c r="M1352" s="7" t="s">
        <v>2095</v>
      </c>
      <c r="N1352" s="7">
        <v>50</v>
      </c>
      <c r="O1352" s="7" t="s">
        <v>5822</v>
      </c>
    </row>
    <row r="1353" spans="1:16">
      <c r="A1353" s="6" t="s">
        <v>31</v>
      </c>
      <c r="B1353" s="7">
        <v>1210824</v>
      </c>
      <c r="C1353" s="7">
        <v>1212917</v>
      </c>
      <c r="D1353" s="8"/>
      <c r="E1353" s="7" t="s">
        <v>75</v>
      </c>
      <c r="F1353" s="7" t="s">
        <v>5823</v>
      </c>
      <c r="G1353" s="7" t="s">
        <v>836</v>
      </c>
      <c r="H1353" s="8"/>
      <c r="I1353" s="7" t="s">
        <v>55</v>
      </c>
      <c r="J1353" s="8"/>
      <c r="K1353" s="8"/>
      <c r="L1353" s="7" t="s">
        <v>5824</v>
      </c>
      <c r="M1353" s="7" t="s">
        <v>5823</v>
      </c>
      <c r="N1353" s="7">
        <v>697</v>
      </c>
      <c r="O1353" s="7" t="s">
        <v>5825</v>
      </c>
    </row>
    <row r="1354" spans="1:16">
      <c r="A1354" s="6" t="s">
        <v>31</v>
      </c>
      <c r="B1354" s="7">
        <v>1213495</v>
      </c>
      <c r="C1354" s="7">
        <v>1213794</v>
      </c>
      <c r="D1354" s="8"/>
      <c r="E1354" s="7" t="s">
        <v>53</v>
      </c>
      <c r="F1354" s="7" t="s">
        <v>3657</v>
      </c>
      <c r="G1354" s="8"/>
      <c r="H1354" s="8"/>
      <c r="I1354" s="7" t="s">
        <v>55</v>
      </c>
      <c r="J1354" s="8"/>
      <c r="K1354" s="8"/>
      <c r="L1354" s="7" t="s">
        <v>5826</v>
      </c>
      <c r="M1354" s="7" t="s">
        <v>3657</v>
      </c>
      <c r="N1354" s="7">
        <v>99</v>
      </c>
      <c r="O1354" s="7" t="s">
        <v>5827</v>
      </c>
    </row>
    <row r="1355" spans="1:16">
      <c r="A1355" s="6" t="s">
        <v>31</v>
      </c>
      <c r="B1355" s="7">
        <v>1213796</v>
      </c>
      <c r="C1355" s="7">
        <v>1213975</v>
      </c>
      <c r="D1355" s="8"/>
      <c r="E1355" s="7" t="s">
        <v>53</v>
      </c>
      <c r="F1355" s="7" t="s">
        <v>2095</v>
      </c>
      <c r="G1355" s="8"/>
      <c r="H1355" s="8"/>
      <c r="I1355" s="7" t="s">
        <v>55</v>
      </c>
      <c r="J1355" s="8"/>
      <c r="K1355" s="8"/>
      <c r="L1355" s="7" t="s">
        <v>5828</v>
      </c>
      <c r="M1355" s="7" t="s">
        <v>2095</v>
      </c>
      <c r="N1355" s="7">
        <v>59</v>
      </c>
      <c r="O1355" s="7" t="s">
        <v>5829</v>
      </c>
    </row>
    <row r="1356" spans="1:16">
      <c r="A1356" s="6" t="s">
        <v>31</v>
      </c>
      <c r="B1356" s="7">
        <v>1214251</v>
      </c>
      <c r="C1356" s="7">
        <v>1217430</v>
      </c>
      <c r="D1356" s="8"/>
      <c r="E1356" s="7" t="s">
        <v>75</v>
      </c>
      <c r="F1356" s="7" t="s">
        <v>5830</v>
      </c>
      <c r="G1356" s="8"/>
      <c r="H1356" s="8"/>
      <c r="I1356" s="7" t="s">
        <v>55</v>
      </c>
      <c r="J1356" s="8"/>
      <c r="K1356" s="8"/>
      <c r="L1356" s="7" t="s">
        <v>5831</v>
      </c>
      <c r="M1356" s="7" t="s">
        <v>5830</v>
      </c>
      <c r="N1356" s="7">
        <v>1059</v>
      </c>
      <c r="O1356" s="7" t="s">
        <v>5832</v>
      </c>
    </row>
    <row r="1357" spans="1:16">
      <c r="A1357" s="6" t="s">
        <v>31</v>
      </c>
      <c r="B1357" s="7">
        <v>1217427</v>
      </c>
      <c r="C1357" s="7">
        <v>1218635</v>
      </c>
      <c r="D1357" s="8"/>
      <c r="E1357" s="7" t="s">
        <v>75</v>
      </c>
      <c r="F1357" s="7" t="s">
        <v>5833</v>
      </c>
      <c r="G1357" s="8"/>
      <c r="H1357" s="8"/>
      <c r="I1357" s="7" t="s">
        <v>55</v>
      </c>
      <c r="J1357" s="8"/>
      <c r="K1357" s="8"/>
      <c r="L1357" s="7" t="s">
        <v>5834</v>
      </c>
      <c r="M1357" s="7" t="s">
        <v>5833</v>
      </c>
      <c r="N1357" s="7">
        <v>402</v>
      </c>
      <c r="O1357" s="7" t="s">
        <v>5835</v>
      </c>
    </row>
    <row r="1358" spans="1:16">
      <c r="A1358" s="6" t="s">
        <v>31</v>
      </c>
      <c r="B1358" s="7">
        <v>1218732</v>
      </c>
      <c r="C1358" s="7">
        <v>1218908</v>
      </c>
      <c r="D1358" s="8"/>
      <c r="E1358" s="7" t="s">
        <v>75</v>
      </c>
      <c r="F1358" s="7" t="s">
        <v>1280</v>
      </c>
      <c r="G1358" s="8"/>
      <c r="H1358" s="8"/>
      <c r="I1358" s="7" t="s">
        <v>55</v>
      </c>
      <c r="J1358" s="8"/>
      <c r="K1358" s="8"/>
      <c r="L1358" s="7" t="s">
        <v>5836</v>
      </c>
      <c r="M1358" s="7" t="s">
        <v>1280</v>
      </c>
      <c r="N1358" s="7">
        <v>58</v>
      </c>
      <c r="O1358" s="7" t="s">
        <v>5837</v>
      </c>
    </row>
    <row r="1359" spans="1:16">
      <c r="A1359" s="6" t="s">
        <v>31</v>
      </c>
      <c r="B1359" s="7">
        <v>1219490</v>
      </c>
      <c r="C1359" s="7">
        <v>1222570</v>
      </c>
      <c r="D1359" s="8"/>
      <c r="E1359" s="7" t="s">
        <v>75</v>
      </c>
      <c r="F1359" s="7" t="s">
        <v>5838</v>
      </c>
      <c r="G1359" s="7" t="s">
        <v>5839</v>
      </c>
      <c r="H1359" s="8"/>
      <c r="I1359" s="7" t="s">
        <v>55</v>
      </c>
      <c r="J1359" s="8"/>
      <c r="K1359" s="8"/>
      <c r="L1359" s="7" t="s">
        <v>5840</v>
      </c>
      <c r="M1359" s="7" t="s">
        <v>5838</v>
      </c>
      <c r="N1359" s="7">
        <v>1026</v>
      </c>
      <c r="O1359" s="7" t="s">
        <v>5841</v>
      </c>
      <c r="P1359" s="7"/>
    </row>
    <row r="1360" spans="1:16">
      <c r="A1360" s="6" t="s">
        <v>31</v>
      </c>
      <c r="B1360" s="7">
        <v>1222574</v>
      </c>
      <c r="C1360" s="7">
        <v>1224478</v>
      </c>
      <c r="D1360" s="8"/>
      <c r="E1360" s="7" t="s">
        <v>75</v>
      </c>
      <c r="F1360" s="7" t="s">
        <v>5842</v>
      </c>
      <c r="G1360" s="7" t="s">
        <v>5843</v>
      </c>
      <c r="H1360" s="8"/>
      <c r="I1360" s="7" t="s">
        <v>55</v>
      </c>
      <c r="J1360" s="8"/>
      <c r="K1360" s="8"/>
      <c r="L1360" s="7" t="s">
        <v>5844</v>
      </c>
      <c r="M1360" s="7" t="s">
        <v>5842</v>
      </c>
      <c r="N1360" s="7">
        <v>634</v>
      </c>
      <c r="O1360" s="7" t="s">
        <v>5845</v>
      </c>
      <c r="P1360" s="7"/>
    </row>
    <row r="1361" spans="1:16">
      <c r="A1361" s="6" t="s">
        <v>31</v>
      </c>
      <c r="B1361" s="7">
        <v>1224581</v>
      </c>
      <c r="C1361" s="7">
        <v>1225627</v>
      </c>
      <c r="D1361" s="8"/>
      <c r="E1361" s="7" t="s">
        <v>75</v>
      </c>
      <c r="F1361" s="7" t="s">
        <v>3728</v>
      </c>
      <c r="G1361" s="7" t="s">
        <v>1375</v>
      </c>
      <c r="H1361" s="8"/>
      <c r="I1361" s="7" t="s">
        <v>55</v>
      </c>
      <c r="J1361" s="8"/>
      <c r="K1361" s="8"/>
      <c r="L1361" s="7" t="s">
        <v>5846</v>
      </c>
      <c r="M1361" s="7" t="s">
        <v>3728</v>
      </c>
      <c r="N1361" s="7">
        <v>348</v>
      </c>
      <c r="O1361" s="7" t="s">
        <v>5847</v>
      </c>
      <c r="P1361" s="7"/>
    </row>
    <row r="1362" spans="1:16">
      <c r="A1362" s="6" t="s">
        <v>31</v>
      </c>
      <c r="B1362" s="7">
        <v>1225697</v>
      </c>
      <c r="C1362" s="7">
        <v>1226698</v>
      </c>
      <c r="D1362" s="8"/>
      <c r="E1362" s="7" t="s">
        <v>75</v>
      </c>
      <c r="F1362" s="7" t="s">
        <v>5233</v>
      </c>
      <c r="G1362" s="7" t="s">
        <v>1148</v>
      </c>
      <c r="H1362" s="8"/>
      <c r="I1362" s="7" t="s">
        <v>55</v>
      </c>
      <c r="J1362" s="8"/>
      <c r="K1362" s="8"/>
      <c r="L1362" s="7" t="s">
        <v>5848</v>
      </c>
      <c r="M1362" s="7" t="s">
        <v>5233</v>
      </c>
      <c r="N1362" s="7">
        <v>333</v>
      </c>
      <c r="O1362" s="7" t="s">
        <v>5849</v>
      </c>
      <c r="P1362" s="7"/>
    </row>
    <row r="1363" spans="1:16">
      <c r="A1363" s="6" t="s">
        <v>31</v>
      </c>
      <c r="B1363" s="7">
        <v>1226728</v>
      </c>
      <c r="C1363" s="7">
        <v>1228236</v>
      </c>
      <c r="D1363" s="8"/>
      <c r="E1363" s="7" t="s">
        <v>75</v>
      </c>
      <c r="F1363" s="7" t="s">
        <v>5850</v>
      </c>
      <c r="G1363" s="7" t="s">
        <v>1378</v>
      </c>
      <c r="H1363" s="8"/>
      <c r="I1363" s="7" t="s">
        <v>55</v>
      </c>
      <c r="J1363" s="8"/>
      <c r="K1363" s="8"/>
      <c r="L1363" s="7" t="s">
        <v>5851</v>
      </c>
      <c r="M1363" s="7" t="s">
        <v>5850</v>
      </c>
      <c r="N1363" s="7">
        <v>502</v>
      </c>
      <c r="O1363" s="7" t="s">
        <v>5852</v>
      </c>
      <c r="P1363" s="7"/>
    </row>
    <row r="1364" spans="1:16">
      <c r="A1364" s="6" t="s">
        <v>31</v>
      </c>
      <c r="B1364" s="7">
        <v>1228229</v>
      </c>
      <c r="C1364" s="7">
        <v>1229395</v>
      </c>
      <c r="D1364" s="8"/>
      <c r="E1364" s="7" t="s">
        <v>75</v>
      </c>
      <c r="F1364" s="7" t="s">
        <v>1380</v>
      </c>
      <c r="G1364" s="7" t="s">
        <v>5853</v>
      </c>
      <c r="H1364" s="8"/>
      <c r="I1364" s="7" t="s">
        <v>55</v>
      </c>
      <c r="J1364" s="8"/>
      <c r="K1364" s="8"/>
      <c r="L1364" s="7" t="s">
        <v>5854</v>
      </c>
      <c r="M1364" s="7" t="s">
        <v>1380</v>
      </c>
      <c r="N1364" s="7">
        <v>388</v>
      </c>
      <c r="O1364" s="7" t="s">
        <v>5855</v>
      </c>
      <c r="P1364" s="7"/>
    </row>
    <row r="1365" spans="1:16">
      <c r="A1365" s="6" t="s">
        <v>31</v>
      </c>
      <c r="B1365" s="7">
        <v>1229538</v>
      </c>
      <c r="C1365" s="7">
        <v>1230533</v>
      </c>
      <c r="D1365" s="8"/>
      <c r="E1365" s="7" t="s">
        <v>53</v>
      </c>
      <c r="F1365" s="7" t="s">
        <v>5856</v>
      </c>
      <c r="G1365" s="7" t="s">
        <v>5857</v>
      </c>
      <c r="H1365" s="8"/>
      <c r="I1365" s="7" t="s">
        <v>55</v>
      </c>
      <c r="J1365" s="8"/>
      <c r="K1365" s="8"/>
      <c r="L1365" s="7" t="s">
        <v>5858</v>
      </c>
      <c r="M1365" s="7" t="s">
        <v>5856</v>
      </c>
      <c r="N1365" s="7">
        <v>331</v>
      </c>
      <c r="O1365" s="7" t="s">
        <v>5859</v>
      </c>
    </row>
    <row r="1366" spans="1:16">
      <c r="A1366" s="6" t="s">
        <v>31</v>
      </c>
      <c r="B1366" s="7">
        <v>1230557</v>
      </c>
      <c r="C1366" s="7">
        <v>1230700</v>
      </c>
      <c r="D1366" s="8"/>
      <c r="E1366" s="7" t="s">
        <v>75</v>
      </c>
      <c r="F1366" s="7" t="s">
        <v>2095</v>
      </c>
      <c r="G1366" s="8"/>
      <c r="H1366" s="8"/>
      <c r="I1366" s="7" t="s">
        <v>55</v>
      </c>
      <c r="J1366" s="8"/>
      <c r="K1366" s="8"/>
      <c r="L1366" s="7" t="s">
        <v>5860</v>
      </c>
      <c r="M1366" s="7" t="s">
        <v>2095</v>
      </c>
      <c r="N1366" s="7">
        <v>47</v>
      </c>
      <c r="O1366" s="7" t="s">
        <v>5861</v>
      </c>
    </row>
    <row r="1367" spans="1:16">
      <c r="A1367" s="6" t="s">
        <v>31</v>
      </c>
      <c r="B1367" s="7">
        <v>1231115</v>
      </c>
      <c r="C1367" s="7">
        <v>1231306</v>
      </c>
      <c r="D1367" s="8"/>
      <c r="E1367" s="7" t="s">
        <v>75</v>
      </c>
      <c r="F1367" s="7" t="s">
        <v>1280</v>
      </c>
      <c r="G1367" s="8"/>
      <c r="H1367" s="8"/>
      <c r="I1367" s="7" t="s">
        <v>55</v>
      </c>
      <c r="J1367" s="8"/>
      <c r="K1367" s="8"/>
      <c r="L1367" s="7" t="s">
        <v>5862</v>
      </c>
      <c r="M1367" s="7" t="s">
        <v>1280</v>
      </c>
      <c r="N1367" s="7">
        <v>63</v>
      </c>
      <c r="O1367" s="7" t="s">
        <v>5863</v>
      </c>
    </row>
    <row r="1368" spans="1:16">
      <c r="A1368" s="6" t="s">
        <v>31</v>
      </c>
      <c r="B1368" s="7">
        <v>1231328</v>
      </c>
      <c r="C1368" s="7">
        <v>1231516</v>
      </c>
      <c r="D1368" s="8"/>
      <c r="E1368" s="7" t="s">
        <v>75</v>
      </c>
      <c r="F1368" s="7" t="s">
        <v>1280</v>
      </c>
      <c r="G1368" s="8"/>
      <c r="H1368" s="8"/>
      <c r="I1368" s="7" t="s">
        <v>55</v>
      </c>
      <c r="J1368" s="8"/>
      <c r="K1368" s="8"/>
      <c r="L1368" s="7" t="s">
        <v>5864</v>
      </c>
      <c r="M1368" s="7" t="s">
        <v>1280</v>
      </c>
      <c r="N1368" s="7">
        <v>62</v>
      </c>
      <c r="O1368" s="7" t="s">
        <v>5865</v>
      </c>
    </row>
    <row r="1369" spans="1:16">
      <c r="A1369" s="6" t="s">
        <v>31</v>
      </c>
      <c r="B1369" s="7">
        <v>1231523</v>
      </c>
      <c r="C1369" s="7">
        <v>1231603</v>
      </c>
      <c r="D1369" s="8"/>
      <c r="E1369" s="7" t="s">
        <v>75</v>
      </c>
      <c r="F1369" s="7" t="s">
        <v>2095</v>
      </c>
      <c r="G1369" s="8"/>
      <c r="H1369" s="8"/>
      <c r="I1369" s="7" t="s">
        <v>55</v>
      </c>
      <c r="J1369" s="8"/>
      <c r="K1369" s="8"/>
      <c r="L1369" s="7" t="s">
        <v>5866</v>
      </c>
      <c r="M1369" s="7" t="s">
        <v>2095</v>
      </c>
      <c r="N1369" s="7">
        <v>26</v>
      </c>
      <c r="O1369" s="7" t="s">
        <v>5867</v>
      </c>
    </row>
    <row r="1370" spans="1:16">
      <c r="A1370" s="6" t="s">
        <v>31</v>
      </c>
      <c r="B1370" s="7">
        <v>1231689</v>
      </c>
      <c r="C1370" s="7">
        <v>1232741</v>
      </c>
      <c r="D1370" s="8"/>
      <c r="E1370" s="7" t="s">
        <v>75</v>
      </c>
      <c r="F1370" s="7" t="s">
        <v>5868</v>
      </c>
      <c r="G1370" s="8"/>
      <c r="H1370" s="8"/>
      <c r="I1370" s="7" t="s">
        <v>55</v>
      </c>
      <c r="J1370" s="8"/>
      <c r="K1370" s="8"/>
      <c r="L1370" s="7" t="s">
        <v>5869</v>
      </c>
      <c r="M1370" s="7" t="s">
        <v>5868</v>
      </c>
      <c r="N1370" s="7">
        <v>350</v>
      </c>
      <c r="O1370" s="7" t="s">
        <v>5870</v>
      </c>
      <c r="P1370" s="7"/>
    </row>
    <row r="1371" spans="1:16">
      <c r="A1371" s="6" t="s">
        <v>31</v>
      </c>
      <c r="B1371" s="7">
        <v>1232743</v>
      </c>
      <c r="C1371" s="7">
        <v>1233183</v>
      </c>
      <c r="D1371" s="8"/>
      <c r="E1371" s="7" t="s">
        <v>75</v>
      </c>
      <c r="F1371" s="7" t="s">
        <v>5868</v>
      </c>
      <c r="G1371" s="8"/>
      <c r="H1371" s="8"/>
      <c r="I1371" s="7" t="s">
        <v>55</v>
      </c>
      <c r="J1371" s="8"/>
      <c r="K1371" s="8"/>
      <c r="L1371" s="7" t="s">
        <v>5871</v>
      </c>
      <c r="M1371" s="7" t="s">
        <v>5868</v>
      </c>
      <c r="N1371" s="7">
        <v>146</v>
      </c>
      <c r="O1371" s="7" t="s">
        <v>5872</v>
      </c>
      <c r="P1371" s="7"/>
    </row>
    <row r="1372" spans="1:16">
      <c r="A1372" s="6" t="s">
        <v>31</v>
      </c>
      <c r="B1372" s="7">
        <v>1233214</v>
      </c>
      <c r="C1372" s="7">
        <v>1233312</v>
      </c>
      <c r="D1372" s="8"/>
      <c r="E1372" s="7" t="s">
        <v>75</v>
      </c>
      <c r="F1372" s="7" t="s">
        <v>5873</v>
      </c>
      <c r="G1372" s="8"/>
      <c r="H1372" s="8"/>
      <c r="I1372" s="7" t="s">
        <v>55</v>
      </c>
      <c r="J1372" s="8"/>
      <c r="K1372" s="8"/>
      <c r="L1372" s="7" t="s">
        <v>5874</v>
      </c>
      <c r="M1372" s="7" t="s">
        <v>5873</v>
      </c>
      <c r="N1372" s="7">
        <v>32</v>
      </c>
      <c r="O1372" s="7" t="s">
        <v>5875</v>
      </c>
    </row>
    <row r="1373" spans="1:16">
      <c r="A1373" s="6" t="s">
        <v>31</v>
      </c>
      <c r="B1373" s="7">
        <v>1233658</v>
      </c>
      <c r="C1373" s="7">
        <v>1233939</v>
      </c>
      <c r="D1373" s="8"/>
      <c r="E1373" s="7" t="s">
        <v>53</v>
      </c>
      <c r="F1373" s="7" t="s">
        <v>237</v>
      </c>
      <c r="G1373" s="8"/>
      <c r="H1373" s="8"/>
      <c r="I1373" s="7" t="s">
        <v>55</v>
      </c>
      <c r="J1373" s="8"/>
      <c r="K1373" s="8"/>
      <c r="L1373" s="7" t="s">
        <v>5876</v>
      </c>
      <c r="M1373" s="7" t="s">
        <v>237</v>
      </c>
      <c r="N1373" s="7">
        <v>93</v>
      </c>
      <c r="O1373" s="7" t="s">
        <v>5877</v>
      </c>
    </row>
    <row r="1374" spans="1:16">
      <c r="A1374" s="6" t="s">
        <v>31</v>
      </c>
      <c r="B1374" s="7">
        <v>1233994</v>
      </c>
      <c r="C1374" s="7">
        <v>1234095</v>
      </c>
      <c r="D1374" s="8"/>
      <c r="E1374" s="7" t="s">
        <v>75</v>
      </c>
      <c r="F1374" s="7" t="s">
        <v>5878</v>
      </c>
      <c r="G1374" s="8"/>
      <c r="H1374" s="8"/>
      <c r="I1374" s="7" t="s">
        <v>55</v>
      </c>
      <c r="J1374" s="8"/>
      <c r="K1374" s="8"/>
      <c r="L1374" s="7" t="s">
        <v>5879</v>
      </c>
      <c r="M1374" s="7" t="s">
        <v>5878</v>
      </c>
      <c r="N1374" s="7">
        <v>33</v>
      </c>
      <c r="O1374" s="7" t="s">
        <v>5880</v>
      </c>
    </row>
    <row r="1375" spans="1:16">
      <c r="A1375" s="6" t="s">
        <v>31</v>
      </c>
      <c r="B1375" s="7">
        <v>1234126</v>
      </c>
      <c r="C1375" s="7">
        <v>1234581</v>
      </c>
      <c r="D1375" s="8"/>
      <c r="E1375" s="7" t="s">
        <v>75</v>
      </c>
      <c r="F1375" s="7" t="s">
        <v>5881</v>
      </c>
      <c r="G1375" s="8"/>
      <c r="H1375" s="8"/>
      <c r="I1375" s="7" t="s">
        <v>55</v>
      </c>
      <c r="J1375" s="8"/>
      <c r="K1375" s="8"/>
      <c r="L1375" s="7" t="s">
        <v>5882</v>
      </c>
      <c r="M1375" s="7" t="s">
        <v>5881</v>
      </c>
      <c r="N1375" s="7">
        <v>151</v>
      </c>
      <c r="O1375" s="7" t="s">
        <v>5883</v>
      </c>
    </row>
    <row r="1376" spans="1:16">
      <c r="A1376" s="6" t="s">
        <v>31</v>
      </c>
      <c r="B1376" s="7">
        <v>1234578</v>
      </c>
      <c r="C1376" s="7">
        <v>1234850</v>
      </c>
      <c r="D1376" s="8"/>
      <c r="E1376" s="7" t="s">
        <v>75</v>
      </c>
      <c r="F1376" s="7" t="s">
        <v>5884</v>
      </c>
      <c r="G1376" s="8"/>
      <c r="H1376" s="8"/>
      <c r="I1376" s="7" t="s">
        <v>55</v>
      </c>
      <c r="J1376" s="8"/>
      <c r="K1376" s="8"/>
      <c r="L1376" s="7" t="s">
        <v>5885</v>
      </c>
      <c r="M1376" s="7" t="s">
        <v>5884</v>
      </c>
      <c r="N1376" s="7">
        <v>90</v>
      </c>
      <c r="O1376" s="7" t="s">
        <v>5886</v>
      </c>
    </row>
    <row r="1377" spans="1:17">
      <c r="A1377" s="6" t="s">
        <v>31</v>
      </c>
      <c r="B1377" s="7">
        <v>1235534</v>
      </c>
      <c r="C1377" s="7">
        <v>1237798</v>
      </c>
      <c r="D1377" s="8"/>
      <c r="E1377" s="7" t="s">
        <v>53</v>
      </c>
      <c r="F1377" s="7" t="s">
        <v>5887</v>
      </c>
      <c r="G1377" s="7" t="s">
        <v>1383</v>
      </c>
      <c r="H1377" s="8"/>
      <c r="I1377" s="7" t="s">
        <v>55</v>
      </c>
      <c r="J1377" s="8"/>
      <c r="K1377" s="8"/>
      <c r="L1377" s="7" t="s">
        <v>5888</v>
      </c>
      <c r="M1377" s="7" t="s">
        <v>5887</v>
      </c>
      <c r="N1377" s="7">
        <v>754</v>
      </c>
      <c r="O1377" s="7" t="s">
        <v>5889</v>
      </c>
      <c r="P1377" s="7"/>
      <c r="Q1377" s="7"/>
    </row>
    <row r="1378" spans="1:17">
      <c r="A1378" s="6" t="s">
        <v>31</v>
      </c>
      <c r="B1378" s="7">
        <v>1238014</v>
      </c>
      <c r="C1378" s="7">
        <v>1238520</v>
      </c>
      <c r="D1378" s="8"/>
      <c r="E1378" s="7" t="s">
        <v>53</v>
      </c>
      <c r="F1378" s="7" t="s">
        <v>1280</v>
      </c>
      <c r="G1378" s="8"/>
      <c r="H1378" s="8"/>
      <c r="I1378" s="7" t="s">
        <v>55</v>
      </c>
      <c r="J1378" s="8"/>
      <c r="K1378" s="8"/>
      <c r="L1378" s="7" t="s">
        <v>5890</v>
      </c>
      <c r="M1378" s="7" t="s">
        <v>1280</v>
      </c>
      <c r="N1378" s="7">
        <v>168</v>
      </c>
      <c r="O1378" s="7" t="s">
        <v>5891</v>
      </c>
    </row>
    <row r="1379" spans="1:17">
      <c r="A1379" s="6" t="s">
        <v>31</v>
      </c>
      <c r="B1379" s="7">
        <v>1238836</v>
      </c>
      <c r="C1379" s="7">
        <v>1238952</v>
      </c>
      <c r="D1379" s="8"/>
      <c r="E1379" s="7" t="s">
        <v>75</v>
      </c>
      <c r="F1379" s="7" t="s">
        <v>2095</v>
      </c>
      <c r="G1379" s="8"/>
      <c r="H1379" s="8"/>
      <c r="I1379" s="7" t="s">
        <v>55</v>
      </c>
      <c r="J1379" s="8"/>
      <c r="K1379" s="8"/>
      <c r="L1379" s="7" t="s">
        <v>5892</v>
      </c>
      <c r="M1379" s="7" t="s">
        <v>2095</v>
      </c>
      <c r="N1379" s="7">
        <v>38</v>
      </c>
      <c r="O1379" s="7" t="s">
        <v>5893</v>
      </c>
    </row>
    <row r="1380" spans="1:17">
      <c r="A1380" s="6" t="s">
        <v>31</v>
      </c>
      <c r="B1380" s="7">
        <v>1239107</v>
      </c>
      <c r="C1380" s="7">
        <v>1241521</v>
      </c>
      <c r="D1380" s="8"/>
      <c r="E1380" s="7" t="s">
        <v>75</v>
      </c>
      <c r="F1380" s="7" t="s">
        <v>1385</v>
      </c>
      <c r="G1380" s="7" t="s">
        <v>5894</v>
      </c>
      <c r="H1380" s="8"/>
      <c r="I1380" s="7" t="s">
        <v>55</v>
      </c>
      <c r="J1380" s="8"/>
      <c r="K1380" s="8"/>
      <c r="L1380" s="7" t="s">
        <v>5895</v>
      </c>
      <c r="M1380" s="7" t="s">
        <v>1385</v>
      </c>
      <c r="N1380" s="7">
        <v>804</v>
      </c>
      <c r="O1380" s="7" t="s">
        <v>5896</v>
      </c>
    </row>
    <row r="1381" spans="1:17">
      <c r="A1381" s="6" t="s">
        <v>31</v>
      </c>
      <c r="B1381" s="7">
        <v>1241674</v>
      </c>
      <c r="C1381" s="7">
        <v>1242672</v>
      </c>
      <c r="D1381" s="8"/>
      <c r="E1381" s="7" t="s">
        <v>75</v>
      </c>
      <c r="F1381" s="7" t="s">
        <v>5897</v>
      </c>
      <c r="G1381" s="8"/>
      <c r="H1381" s="8"/>
      <c r="I1381" s="7" t="s">
        <v>55</v>
      </c>
      <c r="J1381" s="8"/>
      <c r="K1381" s="8"/>
      <c r="L1381" s="7" t="s">
        <v>5898</v>
      </c>
      <c r="M1381" s="7" t="s">
        <v>5897</v>
      </c>
      <c r="N1381" s="7">
        <v>332</v>
      </c>
      <c r="O1381" s="7" t="s">
        <v>5899</v>
      </c>
      <c r="P1381" s="7"/>
    </row>
    <row r="1382" spans="1:17">
      <c r="A1382" s="6" t="s">
        <v>31</v>
      </c>
      <c r="B1382" s="7">
        <v>1242674</v>
      </c>
      <c r="C1382" s="7">
        <v>1243393</v>
      </c>
      <c r="D1382" s="8"/>
      <c r="E1382" s="7" t="s">
        <v>75</v>
      </c>
      <c r="F1382" s="7" t="s">
        <v>5900</v>
      </c>
      <c r="G1382" s="7" t="s">
        <v>1388</v>
      </c>
      <c r="H1382" s="8"/>
      <c r="I1382" s="7" t="s">
        <v>55</v>
      </c>
      <c r="J1382" s="8"/>
      <c r="K1382" s="8"/>
      <c r="L1382" s="7" t="s">
        <v>5901</v>
      </c>
      <c r="M1382" s="7" t="s">
        <v>5900</v>
      </c>
      <c r="N1382" s="7">
        <v>239</v>
      </c>
      <c r="O1382" s="7" t="s">
        <v>5902</v>
      </c>
      <c r="P1382" s="7"/>
    </row>
    <row r="1383" spans="1:17">
      <c r="A1383" s="6" t="s">
        <v>31</v>
      </c>
      <c r="B1383" s="7">
        <v>1243383</v>
      </c>
      <c r="C1383" s="7">
        <v>1243901</v>
      </c>
      <c r="D1383" s="8"/>
      <c r="E1383" s="7" t="s">
        <v>75</v>
      </c>
      <c r="F1383" s="7" t="s">
        <v>5903</v>
      </c>
      <c r="G1383" s="7" t="s">
        <v>1390</v>
      </c>
      <c r="H1383" s="8"/>
      <c r="I1383" s="7" t="s">
        <v>55</v>
      </c>
      <c r="J1383" s="8"/>
      <c r="K1383" s="8"/>
      <c r="L1383" s="7" t="s">
        <v>5904</v>
      </c>
      <c r="M1383" s="7" t="s">
        <v>5903</v>
      </c>
      <c r="N1383" s="7">
        <v>172</v>
      </c>
      <c r="O1383" s="7" t="s">
        <v>5905</v>
      </c>
    </row>
    <row r="1384" spans="1:17">
      <c r="A1384" s="6" t="s">
        <v>31</v>
      </c>
      <c r="B1384" s="7">
        <v>1244573</v>
      </c>
      <c r="C1384" s="7">
        <v>1245217</v>
      </c>
      <c r="D1384" s="8"/>
      <c r="E1384" s="7" t="s">
        <v>75</v>
      </c>
      <c r="F1384" s="7" t="s">
        <v>5906</v>
      </c>
      <c r="G1384" s="7" t="s">
        <v>5907</v>
      </c>
      <c r="H1384" s="8"/>
      <c r="I1384" s="7" t="s">
        <v>55</v>
      </c>
      <c r="J1384" s="8"/>
      <c r="K1384" s="8"/>
      <c r="L1384" s="7" t="s">
        <v>5908</v>
      </c>
      <c r="M1384" s="7" t="s">
        <v>5906</v>
      </c>
      <c r="N1384" s="7">
        <v>214</v>
      </c>
      <c r="O1384" s="7" t="s">
        <v>5909</v>
      </c>
    </row>
    <row r="1385" spans="1:17">
      <c r="A1385" s="6" t="s">
        <v>31</v>
      </c>
      <c r="B1385" s="7">
        <v>1245207</v>
      </c>
      <c r="C1385" s="7">
        <v>1246217</v>
      </c>
      <c r="D1385" s="8"/>
      <c r="E1385" s="7" t="s">
        <v>75</v>
      </c>
      <c r="F1385" s="7" t="s">
        <v>3596</v>
      </c>
      <c r="G1385" s="8"/>
      <c r="H1385" s="8"/>
      <c r="I1385" s="7" t="s">
        <v>55</v>
      </c>
      <c r="J1385" s="8"/>
      <c r="K1385" s="8"/>
      <c r="L1385" s="7" t="s">
        <v>5910</v>
      </c>
      <c r="M1385" s="7" t="s">
        <v>3596</v>
      </c>
      <c r="N1385" s="7">
        <v>336</v>
      </c>
      <c r="O1385" s="7" t="s">
        <v>5911</v>
      </c>
      <c r="P1385" s="7"/>
    </row>
    <row r="1386" spans="1:17">
      <c r="A1386" s="6" t="s">
        <v>31</v>
      </c>
      <c r="B1386" s="7">
        <v>1246214</v>
      </c>
      <c r="C1386" s="7">
        <v>1246912</v>
      </c>
      <c r="D1386" s="8"/>
      <c r="E1386" s="7" t="s">
        <v>75</v>
      </c>
      <c r="F1386" s="7" t="s">
        <v>5912</v>
      </c>
      <c r="G1386" s="8"/>
      <c r="H1386" s="8"/>
      <c r="I1386" s="7" t="s">
        <v>55</v>
      </c>
      <c r="J1386" s="8"/>
      <c r="K1386" s="8"/>
      <c r="L1386" s="7" t="s">
        <v>5913</v>
      </c>
      <c r="M1386" s="7" t="s">
        <v>5912</v>
      </c>
      <c r="N1386" s="7">
        <v>232</v>
      </c>
      <c r="O1386" s="7" t="s">
        <v>5914</v>
      </c>
    </row>
    <row r="1387" spans="1:17">
      <c r="A1387" s="6" t="s">
        <v>31</v>
      </c>
      <c r="B1387" s="7">
        <v>1247178</v>
      </c>
      <c r="C1387" s="7">
        <v>1247333</v>
      </c>
      <c r="D1387" s="8"/>
      <c r="E1387" s="7" t="s">
        <v>75</v>
      </c>
      <c r="F1387" s="7" t="s">
        <v>2130</v>
      </c>
      <c r="G1387" s="8"/>
      <c r="H1387" s="8"/>
      <c r="I1387" s="7" t="s">
        <v>55</v>
      </c>
      <c r="J1387" s="8"/>
      <c r="K1387" s="8"/>
      <c r="L1387" s="7" t="s">
        <v>5915</v>
      </c>
      <c r="M1387" s="7" t="s">
        <v>2130</v>
      </c>
      <c r="N1387" s="7">
        <v>51</v>
      </c>
      <c r="O1387" s="7" t="s">
        <v>5916</v>
      </c>
    </row>
    <row r="1388" spans="1:17">
      <c r="A1388" s="6" t="s">
        <v>31</v>
      </c>
      <c r="B1388" s="7">
        <v>1247337</v>
      </c>
      <c r="C1388" s="7">
        <v>1247426</v>
      </c>
      <c r="D1388" s="8"/>
      <c r="E1388" s="7" t="s">
        <v>75</v>
      </c>
      <c r="F1388" s="7" t="s">
        <v>2095</v>
      </c>
      <c r="G1388" s="8"/>
      <c r="H1388" s="8"/>
      <c r="I1388" s="7" t="s">
        <v>55</v>
      </c>
      <c r="J1388" s="8"/>
      <c r="K1388" s="8"/>
      <c r="L1388" s="7" t="s">
        <v>5917</v>
      </c>
      <c r="M1388" s="7" t="s">
        <v>2095</v>
      </c>
      <c r="N1388" s="7">
        <v>29</v>
      </c>
      <c r="O1388" s="7" t="s">
        <v>5918</v>
      </c>
    </row>
    <row r="1389" spans="1:17">
      <c r="A1389" s="6" t="s">
        <v>31</v>
      </c>
      <c r="B1389" s="7">
        <v>1247565</v>
      </c>
      <c r="C1389" s="7">
        <v>1247726</v>
      </c>
      <c r="D1389" s="8"/>
      <c r="E1389" s="7" t="s">
        <v>75</v>
      </c>
      <c r="F1389" s="7" t="s">
        <v>2130</v>
      </c>
      <c r="G1389" s="8"/>
      <c r="H1389" s="8"/>
      <c r="I1389" s="7" t="s">
        <v>55</v>
      </c>
      <c r="J1389" s="8"/>
      <c r="K1389" s="8"/>
      <c r="L1389" s="7" t="s">
        <v>5919</v>
      </c>
      <c r="M1389" s="7" t="s">
        <v>2130</v>
      </c>
      <c r="N1389" s="7">
        <v>53</v>
      </c>
      <c r="O1389" s="7" t="s">
        <v>5920</v>
      </c>
    </row>
    <row r="1390" spans="1:17">
      <c r="A1390" s="6" t="s">
        <v>31</v>
      </c>
      <c r="B1390" s="7">
        <v>1247970</v>
      </c>
      <c r="C1390" s="7">
        <v>1249841</v>
      </c>
      <c r="D1390" s="8"/>
      <c r="E1390" s="7" t="s">
        <v>75</v>
      </c>
      <c r="F1390" s="7" t="s">
        <v>5921</v>
      </c>
      <c r="G1390" s="7" t="s">
        <v>5922</v>
      </c>
      <c r="H1390" s="8"/>
      <c r="I1390" s="7" t="s">
        <v>55</v>
      </c>
      <c r="J1390" s="8"/>
      <c r="K1390" s="8"/>
      <c r="L1390" s="7" t="s">
        <v>5923</v>
      </c>
      <c r="M1390" s="7" t="s">
        <v>5921</v>
      </c>
      <c r="N1390" s="7">
        <v>623</v>
      </c>
      <c r="O1390" s="7" t="s">
        <v>5924</v>
      </c>
      <c r="P1390" s="7"/>
    </row>
    <row r="1391" spans="1:17">
      <c r="A1391" s="6" t="s">
        <v>31</v>
      </c>
      <c r="B1391" s="7">
        <v>1249841</v>
      </c>
      <c r="C1391" s="7">
        <v>1250578</v>
      </c>
      <c r="D1391" s="8"/>
      <c r="E1391" s="7" t="s">
        <v>75</v>
      </c>
      <c r="F1391" s="7" t="s">
        <v>5925</v>
      </c>
      <c r="G1391" s="7" t="s">
        <v>5926</v>
      </c>
      <c r="H1391" s="8"/>
      <c r="I1391" s="7" t="s">
        <v>55</v>
      </c>
      <c r="J1391" s="8"/>
      <c r="K1391" s="8"/>
      <c r="L1391" s="7" t="s">
        <v>5927</v>
      </c>
      <c r="M1391" s="7" t="s">
        <v>5925</v>
      </c>
      <c r="N1391" s="7">
        <v>245</v>
      </c>
      <c r="O1391" s="7" t="s">
        <v>5928</v>
      </c>
      <c r="P1391" s="7"/>
    </row>
    <row r="1392" spans="1:17">
      <c r="A1392" s="6" t="s">
        <v>31</v>
      </c>
      <c r="B1392" s="7">
        <v>1250622</v>
      </c>
      <c r="C1392" s="7">
        <v>1251944</v>
      </c>
      <c r="D1392" s="8"/>
      <c r="E1392" s="7" t="s">
        <v>75</v>
      </c>
      <c r="F1392" s="7" t="s">
        <v>5929</v>
      </c>
      <c r="G1392" s="7" t="s">
        <v>1398</v>
      </c>
      <c r="H1392" s="8"/>
      <c r="I1392" s="7" t="s">
        <v>55</v>
      </c>
      <c r="J1392" s="8"/>
      <c r="K1392" s="8"/>
      <c r="L1392" s="7" t="s">
        <v>5930</v>
      </c>
      <c r="M1392" s="7" t="s">
        <v>5929</v>
      </c>
      <c r="N1392" s="7">
        <v>440</v>
      </c>
      <c r="O1392" s="7" t="s">
        <v>5931</v>
      </c>
      <c r="P1392" s="7"/>
    </row>
    <row r="1393" spans="1:16">
      <c r="A1393" s="6" t="s">
        <v>31</v>
      </c>
      <c r="B1393" s="7">
        <v>1251934</v>
      </c>
      <c r="C1393" s="7">
        <v>1252869</v>
      </c>
      <c r="D1393" s="8"/>
      <c r="E1393" s="7" t="s">
        <v>75</v>
      </c>
      <c r="F1393" s="7" t="s">
        <v>1400</v>
      </c>
      <c r="G1393" s="7" t="s">
        <v>1401</v>
      </c>
      <c r="H1393" s="8"/>
      <c r="I1393" s="7" t="s">
        <v>55</v>
      </c>
      <c r="J1393" s="8"/>
      <c r="K1393" s="8"/>
      <c r="L1393" s="7" t="s">
        <v>5932</v>
      </c>
      <c r="M1393" s="7" t="s">
        <v>1400</v>
      </c>
      <c r="N1393" s="7">
        <v>311</v>
      </c>
      <c r="O1393" s="7" t="s">
        <v>5933</v>
      </c>
      <c r="P1393" s="7"/>
    </row>
    <row r="1394" spans="1:16">
      <c r="A1394" s="6" t="s">
        <v>31</v>
      </c>
      <c r="B1394" s="7">
        <v>1252887</v>
      </c>
      <c r="C1394" s="7">
        <v>1255283</v>
      </c>
      <c r="D1394" s="8"/>
      <c r="E1394" s="7" t="s">
        <v>75</v>
      </c>
      <c r="F1394" s="7" t="s">
        <v>5934</v>
      </c>
      <c r="G1394" s="7" t="s">
        <v>5935</v>
      </c>
      <c r="H1394" s="8"/>
      <c r="I1394" s="7" t="s">
        <v>55</v>
      </c>
      <c r="J1394" s="8"/>
      <c r="K1394" s="8"/>
      <c r="L1394" s="7" t="s">
        <v>5936</v>
      </c>
      <c r="M1394" s="7" t="s">
        <v>5934</v>
      </c>
      <c r="N1394" s="7">
        <v>798</v>
      </c>
      <c r="O1394" s="7" t="s">
        <v>5937</v>
      </c>
    </row>
    <row r="1395" spans="1:16">
      <c r="A1395" s="6" t="s">
        <v>31</v>
      </c>
      <c r="B1395" s="7">
        <v>1255425</v>
      </c>
      <c r="C1395" s="7">
        <v>1255739</v>
      </c>
      <c r="D1395" s="8"/>
      <c r="E1395" s="7" t="s">
        <v>75</v>
      </c>
      <c r="F1395" s="7" t="s">
        <v>1404</v>
      </c>
      <c r="G1395" s="7" t="s">
        <v>1405</v>
      </c>
      <c r="H1395" s="8"/>
      <c r="I1395" s="7" t="s">
        <v>55</v>
      </c>
      <c r="J1395" s="8"/>
      <c r="K1395" s="8"/>
      <c r="L1395" s="7" t="s">
        <v>5938</v>
      </c>
      <c r="M1395" s="7" t="s">
        <v>1404</v>
      </c>
      <c r="N1395" s="7">
        <v>104</v>
      </c>
      <c r="O1395" s="7" t="s">
        <v>5939</v>
      </c>
      <c r="P1395" s="7"/>
    </row>
    <row r="1396" spans="1:16">
      <c r="A1396" s="6" t="s">
        <v>31</v>
      </c>
      <c r="B1396" s="7">
        <v>1255761</v>
      </c>
      <c r="C1396" s="7">
        <v>1256390</v>
      </c>
      <c r="D1396" s="8"/>
      <c r="E1396" s="7" t="s">
        <v>75</v>
      </c>
      <c r="F1396" s="7" t="s">
        <v>1407</v>
      </c>
      <c r="G1396" s="7" t="s">
        <v>1408</v>
      </c>
      <c r="H1396" s="8"/>
      <c r="I1396" s="7" t="s">
        <v>55</v>
      </c>
      <c r="J1396" s="8"/>
      <c r="K1396" s="8"/>
      <c r="L1396" s="7" t="s">
        <v>5940</v>
      </c>
      <c r="M1396" s="7" t="s">
        <v>1407</v>
      </c>
      <c r="N1396" s="7">
        <v>209</v>
      </c>
      <c r="O1396" s="7" t="s">
        <v>5941</v>
      </c>
      <c r="P1396" s="7"/>
    </row>
    <row r="1397" spans="1:16">
      <c r="A1397" s="6" t="s">
        <v>31</v>
      </c>
      <c r="B1397" s="7">
        <v>1256623</v>
      </c>
      <c r="C1397" s="7">
        <v>1258014</v>
      </c>
      <c r="D1397" s="8"/>
      <c r="E1397" s="7" t="s">
        <v>75</v>
      </c>
      <c r="F1397" s="7" t="s">
        <v>5942</v>
      </c>
      <c r="G1397" s="7" t="s">
        <v>1410</v>
      </c>
      <c r="H1397" s="8"/>
      <c r="I1397" s="7" t="s">
        <v>55</v>
      </c>
      <c r="J1397" s="8"/>
      <c r="K1397" s="8"/>
      <c r="L1397" s="7" t="s">
        <v>5943</v>
      </c>
      <c r="M1397" s="7" t="s">
        <v>5942</v>
      </c>
      <c r="N1397" s="7">
        <v>463</v>
      </c>
      <c r="O1397" s="7" t="s">
        <v>5944</v>
      </c>
    </row>
    <row r="1398" spans="1:16">
      <c r="A1398" s="6" t="s">
        <v>31</v>
      </c>
      <c r="B1398" s="7">
        <v>1258028</v>
      </c>
      <c r="C1398" s="7">
        <v>1258843</v>
      </c>
      <c r="D1398" s="8"/>
      <c r="E1398" s="7" t="s">
        <v>75</v>
      </c>
      <c r="F1398" s="7" t="s">
        <v>3026</v>
      </c>
      <c r="G1398" s="8"/>
      <c r="H1398" s="8"/>
      <c r="I1398" s="7" t="s">
        <v>55</v>
      </c>
      <c r="J1398" s="8"/>
      <c r="K1398" s="8"/>
      <c r="L1398" s="7" t="s">
        <v>5945</v>
      </c>
      <c r="M1398" s="7" t="s">
        <v>3026</v>
      </c>
      <c r="N1398" s="7">
        <v>271</v>
      </c>
      <c r="O1398" s="7" t="s">
        <v>5946</v>
      </c>
    </row>
    <row r="1399" spans="1:16">
      <c r="A1399" s="6" t="s">
        <v>31</v>
      </c>
      <c r="B1399" s="7">
        <v>1258836</v>
      </c>
      <c r="C1399" s="7">
        <v>1259630</v>
      </c>
      <c r="D1399" s="8"/>
      <c r="E1399" s="7" t="s">
        <v>75</v>
      </c>
      <c r="F1399" s="7" t="s">
        <v>3026</v>
      </c>
      <c r="G1399" s="8"/>
      <c r="H1399" s="8"/>
      <c r="I1399" s="7" t="s">
        <v>55</v>
      </c>
      <c r="J1399" s="8"/>
      <c r="K1399" s="8"/>
      <c r="L1399" s="7" t="s">
        <v>5947</v>
      </c>
      <c r="M1399" s="7" t="s">
        <v>3026</v>
      </c>
      <c r="N1399" s="7">
        <v>264</v>
      </c>
      <c r="O1399" s="7" t="s">
        <v>5948</v>
      </c>
    </row>
    <row r="1400" spans="1:16">
      <c r="A1400" s="6" t="s">
        <v>31</v>
      </c>
      <c r="B1400" s="7">
        <v>1259813</v>
      </c>
      <c r="C1400" s="7">
        <v>1260190</v>
      </c>
      <c r="D1400" s="8"/>
      <c r="E1400" s="7" t="s">
        <v>53</v>
      </c>
      <c r="F1400" s="7" t="s">
        <v>5949</v>
      </c>
      <c r="G1400" s="8"/>
      <c r="H1400" s="8"/>
      <c r="I1400" s="7" t="s">
        <v>55</v>
      </c>
      <c r="J1400" s="8"/>
      <c r="K1400" s="8"/>
      <c r="L1400" s="7" t="s">
        <v>5950</v>
      </c>
      <c r="M1400" s="7" t="s">
        <v>5949</v>
      </c>
      <c r="N1400" s="7">
        <v>125</v>
      </c>
      <c r="O1400" s="7" t="s">
        <v>5951</v>
      </c>
    </row>
    <row r="1401" spans="1:16">
      <c r="A1401" s="6" t="s">
        <v>31</v>
      </c>
      <c r="B1401" s="7">
        <v>1260195</v>
      </c>
      <c r="C1401" s="7">
        <v>1260893</v>
      </c>
      <c r="D1401" s="8"/>
      <c r="E1401" s="7" t="s">
        <v>53</v>
      </c>
      <c r="F1401" s="7" t="s">
        <v>5952</v>
      </c>
      <c r="G1401" s="8"/>
      <c r="H1401" s="8"/>
      <c r="I1401" s="7" t="s">
        <v>55</v>
      </c>
      <c r="J1401" s="8"/>
      <c r="K1401" s="8"/>
      <c r="L1401" s="7" t="s">
        <v>5953</v>
      </c>
      <c r="M1401" s="7" t="s">
        <v>5952</v>
      </c>
      <c r="N1401" s="7">
        <v>232</v>
      </c>
      <c r="O1401" s="7" t="s">
        <v>5954</v>
      </c>
    </row>
    <row r="1402" spans="1:16">
      <c r="A1402" s="6" t="s">
        <v>31</v>
      </c>
      <c r="B1402" s="7">
        <v>1260905</v>
      </c>
      <c r="C1402" s="7">
        <v>1261690</v>
      </c>
      <c r="D1402" s="8"/>
      <c r="E1402" s="7" t="s">
        <v>53</v>
      </c>
      <c r="F1402" s="7" t="s">
        <v>5955</v>
      </c>
      <c r="G1402" s="8"/>
      <c r="H1402" s="8"/>
      <c r="I1402" s="7" t="s">
        <v>55</v>
      </c>
      <c r="J1402" s="8"/>
      <c r="K1402" s="8"/>
      <c r="L1402" s="7" t="s">
        <v>5956</v>
      </c>
      <c r="M1402" s="7" t="s">
        <v>5955</v>
      </c>
      <c r="N1402" s="7">
        <v>261</v>
      </c>
      <c r="O1402" s="7" t="s">
        <v>5957</v>
      </c>
    </row>
    <row r="1403" spans="1:16">
      <c r="A1403" s="6" t="s">
        <v>31</v>
      </c>
      <c r="B1403" s="7">
        <v>1261740</v>
      </c>
      <c r="C1403" s="7">
        <v>1262669</v>
      </c>
      <c r="D1403" s="8"/>
      <c r="E1403" s="7" t="s">
        <v>75</v>
      </c>
      <c r="F1403" s="7" t="s">
        <v>2564</v>
      </c>
      <c r="G1403" s="7" t="s">
        <v>2565</v>
      </c>
      <c r="H1403" s="8"/>
      <c r="I1403" s="7" t="s">
        <v>55</v>
      </c>
      <c r="J1403" s="8"/>
      <c r="K1403" s="8"/>
      <c r="L1403" s="7" t="s">
        <v>5958</v>
      </c>
      <c r="M1403" s="7" t="s">
        <v>2564</v>
      </c>
      <c r="N1403" s="7">
        <v>309</v>
      </c>
      <c r="O1403" s="7" t="s">
        <v>5959</v>
      </c>
    </row>
    <row r="1404" spans="1:16">
      <c r="A1404" s="6" t="s">
        <v>31</v>
      </c>
      <c r="B1404" s="7">
        <v>1262662</v>
      </c>
      <c r="C1404" s="7">
        <v>1263747</v>
      </c>
      <c r="D1404" s="8"/>
      <c r="E1404" s="7" t="s">
        <v>75</v>
      </c>
      <c r="F1404" s="7" t="s">
        <v>2564</v>
      </c>
      <c r="G1404" s="7" t="s">
        <v>5960</v>
      </c>
      <c r="H1404" s="8"/>
      <c r="I1404" s="7" t="s">
        <v>55</v>
      </c>
      <c r="J1404" s="8"/>
      <c r="K1404" s="8"/>
      <c r="L1404" s="7" t="s">
        <v>5961</v>
      </c>
      <c r="M1404" s="7" t="s">
        <v>2564</v>
      </c>
      <c r="N1404" s="7">
        <v>361</v>
      </c>
      <c r="O1404" s="7" t="s">
        <v>5962</v>
      </c>
    </row>
    <row r="1405" spans="1:16">
      <c r="A1405" s="6" t="s">
        <v>31</v>
      </c>
      <c r="B1405" s="7">
        <v>1263757</v>
      </c>
      <c r="C1405" s="7">
        <v>1264683</v>
      </c>
      <c r="D1405" s="8"/>
      <c r="E1405" s="7" t="s">
        <v>75</v>
      </c>
      <c r="F1405" s="7" t="s">
        <v>5963</v>
      </c>
      <c r="G1405" s="7" t="s">
        <v>5964</v>
      </c>
      <c r="H1405" s="8"/>
      <c r="I1405" s="7" t="s">
        <v>55</v>
      </c>
      <c r="J1405" s="8"/>
      <c r="K1405" s="8"/>
      <c r="L1405" s="7" t="s">
        <v>5965</v>
      </c>
      <c r="M1405" s="7" t="s">
        <v>5963</v>
      </c>
      <c r="N1405" s="7">
        <v>308</v>
      </c>
      <c r="O1405" s="7" t="s">
        <v>5966</v>
      </c>
    </row>
    <row r="1406" spans="1:16">
      <c r="A1406" s="6" t="s">
        <v>31</v>
      </c>
      <c r="B1406" s="7">
        <v>1264683</v>
      </c>
      <c r="C1406" s="7">
        <v>1266176</v>
      </c>
      <c r="D1406" s="8"/>
      <c r="E1406" s="7" t="s">
        <v>75</v>
      </c>
      <c r="F1406" s="7" t="s">
        <v>5967</v>
      </c>
      <c r="G1406" s="7" t="s">
        <v>5968</v>
      </c>
      <c r="H1406" s="8"/>
      <c r="I1406" s="7" t="s">
        <v>55</v>
      </c>
      <c r="J1406" s="8"/>
      <c r="K1406" s="8"/>
      <c r="L1406" s="7" t="s">
        <v>5969</v>
      </c>
      <c r="M1406" s="7" t="s">
        <v>5967</v>
      </c>
      <c r="N1406" s="7">
        <v>497</v>
      </c>
      <c r="O1406" s="7" t="s">
        <v>5970</v>
      </c>
    </row>
    <row r="1407" spans="1:16">
      <c r="A1407" s="6" t="s">
        <v>31</v>
      </c>
      <c r="B1407" s="7">
        <v>1266238</v>
      </c>
      <c r="C1407" s="7">
        <v>1268205</v>
      </c>
      <c r="D1407" s="8"/>
      <c r="E1407" s="7" t="s">
        <v>75</v>
      </c>
      <c r="F1407" s="7" t="s">
        <v>2412</v>
      </c>
      <c r="G1407" s="7" t="s">
        <v>2413</v>
      </c>
      <c r="H1407" s="8"/>
      <c r="I1407" s="7" t="s">
        <v>55</v>
      </c>
      <c r="J1407" s="8"/>
      <c r="K1407" s="8"/>
      <c r="L1407" s="7" t="s">
        <v>5971</v>
      </c>
      <c r="M1407" s="7" t="s">
        <v>2412</v>
      </c>
      <c r="N1407" s="7">
        <v>655</v>
      </c>
      <c r="O1407" s="7" t="s">
        <v>5972</v>
      </c>
    </row>
    <row r="1408" spans="1:16">
      <c r="A1408" s="6" t="s">
        <v>31</v>
      </c>
      <c r="B1408" s="7">
        <v>1268562</v>
      </c>
      <c r="C1408" s="7">
        <v>1269818</v>
      </c>
      <c r="D1408" s="8"/>
      <c r="E1408" s="7" t="s">
        <v>53</v>
      </c>
      <c r="F1408" s="7" t="s">
        <v>1280</v>
      </c>
      <c r="G1408" s="7" t="s">
        <v>2108</v>
      </c>
      <c r="H1408" s="8"/>
      <c r="I1408" s="7" t="s">
        <v>55</v>
      </c>
      <c r="J1408" s="8"/>
      <c r="K1408" s="8"/>
      <c r="L1408" s="7" t="s">
        <v>5973</v>
      </c>
      <c r="M1408" s="7" t="s">
        <v>1280</v>
      </c>
      <c r="N1408" s="7">
        <v>418</v>
      </c>
      <c r="O1408" s="7" t="s">
        <v>5974</v>
      </c>
    </row>
    <row r="1409" spans="1:16">
      <c r="A1409" s="6" t="s">
        <v>31</v>
      </c>
      <c r="B1409" s="7">
        <v>1269856</v>
      </c>
      <c r="C1409" s="7">
        <v>1271823</v>
      </c>
      <c r="D1409" s="8"/>
      <c r="E1409" s="7" t="s">
        <v>75</v>
      </c>
      <c r="F1409" s="7" t="s">
        <v>2412</v>
      </c>
      <c r="G1409" s="7" t="s">
        <v>2413</v>
      </c>
      <c r="H1409" s="8"/>
      <c r="I1409" s="7" t="s">
        <v>55</v>
      </c>
      <c r="J1409" s="8"/>
      <c r="K1409" s="8"/>
      <c r="L1409" s="7" t="s">
        <v>5975</v>
      </c>
      <c r="M1409" s="7" t="s">
        <v>2412</v>
      </c>
      <c r="N1409" s="7">
        <v>655</v>
      </c>
      <c r="O1409" s="7" t="s">
        <v>5976</v>
      </c>
    </row>
    <row r="1410" spans="1:16">
      <c r="A1410" s="6" t="s">
        <v>31</v>
      </c>
      <c r="B1410" s="7">
        <v>1272208</v>
      </c>
      <c r="C1410" s="7">
        <v>1272696</v>
      </c>
      <c r="D1410" s="8"/>
      <c r="E1410" s="7" t="s">
        <v>75</v>
      </c>
      <c r="F1410" s="7" t="s">
        <v>5977</v>
      </c>
      <c r="G1410" s="8"/>
      <c r="H1410" s="8"/>
      <c r="I1410" s="7" t="s">
        <v>55</v>
      </c>
      <c r="J1410" s="8"/>
      <c r="K1410" s="8"/>
      <c r="L1410" s="7" t="s">
        <v>5978</v>
      </c>
      <c r="M1410" s="7" t="s">
        <v>5977</v>
      </c>
      <c r="N1410" s="7">
        <v>162</v>
      </c>
      <c r="O1410" s="7" t="s">
        <v>5979</v>
      </c>
    </row>
    <row r="1411" spans="1:16">
      <c r="A1411" s="6" t="s">
        <v>31</v>
      </c>
      <c r="B1411" s="7">
        <v>1272809</v>
      </c>
      <c r="C1411" s="7">
        <v>1272967</v>
      </c>
      <c r="D1411" s="8"/>
      <c r="E1411" s="7" t="s">
        <v>75</v>
      </c>
      <c r="F1411" s="7" t="s">
        <v>2095</v>
      </c>
      <c r="G1411" s="8"/>
      <c r="H1411" s="8"/>
      <c r="I1411" s="7" t="s">
        <v>55</v>
      </c>
      <c r="J1411" s="8"/>
      <c r="K1411" s="8"/>
      <c r="L1411" s="7" t="s">
        <v>5980</v>
      </c>
      <c r="M1411" s="7" t="s">
        <v>2095</v>
      </c>
      <c r="N1411" s="7">
        <v>52</v>
      </c>
      <c r="O1411" s="7" t="s">
        <v>5981</v>
      </c>
    </row>
    <row r="1412" spans="1:16">
      <c r="A1412" s="6" t="s">
        <v>31</v>
      </c>
      <c r="B1412" s="7">
        <v>1273317</v>
      </c>
      <c r="C1412" s="7">
        <v>1274522</v>
      </c>
      <c r="D1412" s="8"/>
      <c r="E1412" s="7" t="s">
        <v>53</v>
      </c>
      <c r="F1412" s="7" t="s">
        <v>5982</v>
      </c>
      <c r="G1412" s="8"/>
      <c r="H1412" s="8"/>
      <c r="I1412" s="7" t="s">
        <v>55</v>
      </c>
      <c r="J1412" s="8"/>
      <c r="K1412" s="8"/>
      <c r="L1412" s="7" t="s">
        <v>5983</v>
      </c>
      <c r="M1412" s="7" t="s">
        <v>5982</v>
      </c>
      <c r="N1412" s="7">
        <v>401</v>
      </c>
      <c r="O1412" s="7" t="s">
        <v>5984</v>
      </c>
    </row>
    <row r="1413" spans="1:16">
      <c r="A1413" s="6" t="s">
        <v>31</v>
      </c>
      <c r="B1413" s="7">
        <v>1274568</v>
      </c>
      <c r="C1413" s="7">
        <v>1275206</v>
      </c>
      <c r="D1413" s="8"/>
      <c r="E1413" s="7" t="s">
        <v>75</v>
      </c>
      <c r="F1413" s="7" t="s">
        <v>1280</v>
      </c>
      <c r="G1413" s="8"/>
      <c r="H1413" s="8"/>
      <c r="I1413" s="7" t="s">
        <v>55</v>
      </c>
      <c r="J1413" s="8"/>
      <c r="K1413" s="8"/>
      <c r="L1413" s="7" t="s">
        <v>5985</v>
      </c>
      <c r="M1413" s="7" t="s">
        <v>1280</v>
      </c>
      <c r="N1413" s="7">
        <v>212</v>
      </c>
      <c r="O1413" s="7" t="s">
        <v>5986</v>
      </c>
    </row>
    <row r="1414" spans="1:16">
      <c r="A1414" s="6" t="s">
        <v>31</v>
      </c>
      <c r="B1414" s="7">
        <v>1275213</v>
      </c>
      <c r="C1414" s="7">
        <v>1275407</v>
      </c>
      <c r="D1414" s="8"/>
      <c r="E1414" s="7" t="s">
        <v>75</v>
      </c>
      <c r="F1414" s="7" t="s">
        <v>1280</v>
      </c>
      <c r="G1414" s="8"/>
      <c r="H1414" s="8"/>
      <c r="I1414" s="7" t="s">
        <v>55</v>
      </c>
      <c r="J1414" s="8"/>
      <c r="K1414" s="8"/>
      <c r="L1414" s="7" t="s">
        <v>5987</v>
      </c>
      <c r="M1414" s="7" t="s">
        <v>1280</v>
      </c>
      <c r="N1414" s="7">
        <v>64</v>
      </c>
      <c r="O1414" s="7" t="s">
        <v>5988</v>
      </c>
    </row>
    <row r="1415" spans="1:16">
      <c r="A1415" s="6" t="s">
        <v>31</v>
      </c>
      <c r="B1415" s="7">
        <v>1275383</v>
      </c>
      <c r="C1415" s="7">
        <v>1275571</v>
      </c>
      <c r="D1415" s="8"/>
      <c r="E1415" s="7" t="s">
        <v>75</v>
      </c>
      <c r="F1415" s="7" t="s">
        <v>2130</v>
      </c>
      <c r="G1415" s="8"/>
      <c r="H1415" s="8"/>
      <c r="I1415" s="7" t="s">
        <v>55</v>
      </c>
      <c r="J1415" s="8"/>
      <c r="K1415" s="8"/>
      <c r="L1415" s="7" t="s">
        <v>5989</v>
      </c>
      <c r="M1415" s="7" t="s">
        <v>2130</v>
      </c>
      <c r="N1415" s="7">
        <v>62</v>
      </c>
      <c r="O1415" s="7" t="s">
        <v>5990</v>
      </c>
    </row>
    <row r="1416" spans="1:16">
      <c r="A1416" s="6" t="s">
        <v>31</v>
      </c>
      <c r="B1416" s="7">
        <v>1275671</v>
      </c>
      <c r="C1416" s="7">
        <v>1275919</v>
      </c>
      <c r="D1416" s="8"/>
      <c r="E1416" s="7" t="s">
        <v>75</v>
      </c>
      <c r="F1416" s="7" t="s">
        <v>1280</v>
      </c>
      <c r="G1416" s="8"/>
      <c r="H1416" s="8"/>
      <c r="I1416" s="7" t="s">
        <v>55</v>
      </c>
      <c r="J1416" s="8"/>
      <c r="K1416" s="8"/>
      <c r="L1416" s="7" t="s">
        <v>5991</v>
      </c>
      <c r="M1416" s="7" t="s">
        <v>1280</v>
      </c>
      <c r="N1416" s="7">
        <v>82</v>
      </c>
      <c r="O1416" s="7" t="s">
        <v>5992</v>
      </c>
    </row>
    <row r="1417" spans="1:16">
      <c r="A1417" s="6" t="s">
        <v>31</v>
      </c>
      <c r="B1417" s="7">
        <v>1276005</v>
      </c>
      <c r="C1417" s="7">
        <v>1276988</v>
      </c>
      <c r="D1417" s="8"/>
      <c r="E1417" s="7" t="s">
        <v>75</v>
      </c>
      <c r="F1417" s="7" t="s">
        <v>5993</v>
      </c>
      <c r="G1417" s="7" t="s">
        <v>1423</v>
      </c>
      <c r="H1417" s="8"/>
      <c r="I1417" s="7" t="s">
        <v>55</v>
      </c>
      <c r="J1417" s="8"/>
      <c r="K1417" s="8"/>
      <c r="L1417" s="7" t="s">
        <v>5994</v>
      </c>
      <c r="M1417" s="7" t="s">
        <v>5993</v>
      </c>
      <c r="N1417" s="7">
        <v>327</v>
      </c>
      <c r="O1417" s="7" t="s">
        <v>5995</v>
      </c>
      <c r="P1417" s="7"/>
    </row>
    <row r="1418" spans="1:16">
      <c r="A1418" s="6" t="s">
        <v>31</v>
      </c>
      <c r="B1418" s="7">
        <v>1277002</v>
      </c>
      <c r="C1418" s="7">
        <v>1277898</v>
      </c>
      <c r="D1418" s="8"/>
      <c r="E1418" s="7" t="s">
        <v>75</v>
      </c>
      <c r="F1418" s="7" t="s">
        <v>3539</v>
      </c>
      <c r="G1418" s="7" t="s">
        <v>5996</v>
      </c>
      <c r="H1418" s="8"/>
      <c r="I1418" s="7" t="s">
        <v>55</v>
      </c>
      <c r="J1418" s="8"/>
      <c r="K1418" s="8"/>
      <c r="L1418" s="7" t="s">
        <v>5997</v>
      </c>
      <c r="M1418" s="7" t="s">
        <v>3539</v>
      </c>
      <c r="N1418" s="7">
        <v>298</v>
      </c>
      <c r="O1418" s="7" t="s">
        <v>5998</v>
      </c>
      <c r="P1418" s="7"/>
    </row>
    <row r="1419" spans="1:16">
      <c r="A1419" s="6" t="s">
        <v>31</v>
      </c>
      <c r="B1419" s="7">
        <v>1277895</v>
      </c>
      <c r="C1419" s="7">
        <v>1278731</v>
      </c>
      <c r="D1419" s="8"/>
      <c r="E1419" s="7" t="s">
        <v>75</v>
      </c>
      <c r="F1419" s="7" t="s">
        <v>5999</v>
      </c>
      <c r="G1419" s="7" t="s">
        <v>6000</v>
      </c>
      <c r="H1419" s="8"/>
      <c r="I1419" s="7" t="s">
        <v>55</v>
      </c>
      <c r="J1419" s="8"/>
      <c r="K1419" s="8"/>
      <c r="L1419" s="7" t="s">
        <v>6001</v>
      </c>
      <c r="M1419" s="7" t="s">
        <v>5999</v>
      </c>
      <c r="N1419" s="7">
        <v>278</v>
      </c>
      <c r="O1419" s="7" t="s">
        <v>6002</v>
      </c>
      <c r="P1419" s="7"/>
    </row>
    <row r="1420" spans="1:16">
      <c r="A1420" s="6" t="s">
        <v>31</v>
      </c>
      <c r="B1420" s="7">
        <v>1278703</v>
      </c>
      <c r="C1420" s="7">
        <v>1279377</v>
      </c>
      <c r="D1420" s="8"/>
      <c r="E1420" s="7" t="s">
        <v>75</v>
      </c>
      <c r="F1420" s="7" t="s">
        <v>6003</v>
      </c>
      <c r="G1420" s="7" t="s">
        <v>6004</v>
      </c>
      <c r="H1420" s="8"/>
      <c r="I1420" s="7" t="s">
        <v>55</v>
      </c>
      <c r="J1420" s="8"/>
      <c r="K1420" s="8"/>
      <c r="L1420" s="7" t="s">
        <v>6005</v>
      </c>
      <c r="M1420" s="7" t="s">
        <v>6003</v>
      </c>
      <c r="N1420" s="7">
        <v>224</v>
      </c>
      <c r="O1420" s="7" t="s">
        <v>6006</v>
      </c>
      <c r="P1420" s="7"/>
    </row>
    <row r="1421" spans="1:16">
      <c r="A1421" s="6" t="s">
        <v>31</v>
      </c>
      <c r="B1421" s="7">
        <v>1279473</v>
      </c>
      <c r="C1421" s="7">
        <v>1280048</v>
      </c>
      <c r="D1421" s="8"/>
      <c r="E1421" s="7" t="s">
        <v>53</v>
      </c>
      <c r="F1421" s="7" t="s">
        <v>6007</v>
      </c>
      <c r="G1421" s="8"/>
      <c r="H1421" s="8"/>
      <c r="I1421" s="7" t="s">
        <v>55</v>
      </c>
      <c r="J1421" s="8"/>
      <c r="K1421" s="8"/>
      <c r="L1421" s="7" t="s">
        <v>6008</v>
      </c>
      <c r="M1421" s="7" t="s">
        <v>6007</v>
      </c>
      <c r="N1421" s="7">
        <v>191</v>
      </c>
      <c r="O1421" s="7" t="s">
        <v>6009</v>
      </c>
    </row>
    <row r="1422" spans="1:16">
      <c r="A1422" s="6" t="s">
        <v>31</v>
      </c>
      <c r="B1422" s="7">
        <v>1280413</v>
      </c>
      <c r="C1422" s="7">
        <v>1281384</v>
      </c>
      <c r="D1422" s="8"/>
      <c r="E1422" s="7" t="s">
        <v>53</v>
      </c>
      <c r="F1422" s="7" t="s">
        <v>2124</v>
      </c>
      <c r="G1422" s="7" t="s">
        <v>2125</v>
      </c>
      <c r="H1422" s="8"/>
      <c r="I1422" s="7" t="s">
        <v>55</v>
      </c>
      <c r="J1422" s="8"/>
      <c r="K1422" s="8"/>
      <c r="L1422" s="7" t="s">
        <v>6010</v>
      </c>
      <c r="M1422" s="7" t="s">
        <v>2124</v>
      </c>
      <c r="N1422" s="7">
        <v>323</v>
      </c>
      <c r="O1422" s="7" t="s">
        <v>6011</v>
      </c>
      <c r="P1422" s="7"/>
    </row>
    <row r="1423" spans="1:16">
      <c r="A1423" s="6" t="s">
        <v>31</v>
      </c>
      <c r="B1423" s="7">
        <v>1281388</v>
      </c>
      <c r="C1423" s="7">
        <v>1282500</v>
      </c>
      <c r="D1423" s="8"/>
      <c r="E1423" s="7" t="s">
        <v>53</v>
      </c>
      <c r="F1423" s="7" t="s">
        <v>6012</v>
      </c>
      <c r="G1423" s="7" t="s">
        <v>6013</v>
      </c>
      <c r="H1423" s="8"/>
      <c r="I1423" s="7" t="s">
        <v>55</v>
      </c>
      <c r="J1423" s="8"/>
      <c r="K1423" s="8"/>
      <c r="L1423" s="7" t="s">
        <v>6014</v>
      </c>
      <c r="M1423" s="7" t="s">
        <v>6012</v>
      </c>
      <c r="N1423" s="7">
        <v>370</v>
      </c>
      <c r="O1423" s="7" t="s">
        <v>6015</v>
      </c>
      <c r="P1423" s="7"/>
    </row>
    <row r="1424" spans="1:16">
      <c r="A1424" s="6" t="s">
        <v>31</v>
      </c>
      <c r="B1424" s="7">
        <v>1282502</v>
      </c>
      <c r="C1424" s="7">
        <v>1282849</v>
      </c>
      <c r="D1424" s="8"/>
      <c r="E1424" s="7" t="s">
        <v>53</v>
      </c>
      <c r="F1424" s="7" t="s">
        <v>2130</v>
      </c>
      <c r="G1424" s="8"/>
      <c r="H1424" s="8"/>
      <c r="I1424" s="7" t="s">
        <v>55</v>
      </c>
      <c r="J1424" s="8"/>
      <c r="K1424" s="8"/>
      <c r="L1424" s="7" t="s">
        <v>6016</v>
      </c>
      <c r="M1424" s="7" t="s">
        <v>2130</v>
      </c>
      <c r="N1424" s="7">
        <v>115</v>
      </c>
      <c r="O1424" s="7" t="s">
        <v>6017</v>
      </c>
    </row>
    <row r="1425" spans="1:16">
      <c r="A1425" s="6" t="s">
        <v>31</v>
      </c>
      <c r="B1425" s="7">
        <v>1282994</v>
      </c>
      <c r="C1425" s="7">
        <v>1283653</v>
      </c>
      <c r="D1425" s="8"/>
      <c r="E1425" s="7" t="s">
        <v>53</v>
      </c>
      <c r="F1425" s="7" t="s">
        <v>6018</v>
      </c>
      <c r="G1425" s="7" t="s">
        <v>6019</v>
      </c>
      <c r="H1425" s="8"/>
      <c r="I1425" s="7" t="s">
        <v>55</v>
      </c>
      <c r="J1425" s="8"/>
      <c r="K1425" s="8"/>
      <c r="L1425" s="7" t="s">
        <v>6020</v>
      </c>
      <c r="M1425" s="7" t="s">
        <v>6018</v>
      </c>
      <c r="N1425" s="7">
        <v>219</v>
      </c>
      <c r="O1425" s="7" t="s">
        <v>6021</v>
      </c>
    </row>
    <row r="1426" spans="1:16">
      <c r="A1426" s="6" t="s">
        <v>31</v>
      </c>
      <c r="B1426" s="7">
        <v>1283646</v>
      </c>
      <c r="C1426" s="7">
        <v>1284341</v>
      </c>
      <c r="D1426" s="8"/>
      <c r="E1426" s="7" t="s">
        <v>53</v>
      </c>
      <c r="F1426" s="7" t="s">
        <v>6022</v>
      </c>
      <c r="G1426" s="7" t="s">
        <v>6023</v>
      </c>
      <c r="H1426" s="8"/>
      <c r="I1426" s="7" t="s">
        <v>55</v>
      </c>
      <c r="J1426" s="8"/>
      <c r="K1426" s="8"/>
      <c r="L1426" s="7" t="s">
        <v>6024</v>
      </c>
      <c r="M1426" s="7" t="s">
        <v>6022</v>
      </c>
      <c r="N1426" s="7">
        <v>231</v>
      </c>
      <c r="O1426" s="7" t="s">
        <v>6025</v>
      </c>
    </row>
    <row r="1427" spans="1:16">
      <c r="A1427" s="6" t="s">
        <v>31</v>
      </c>
      <c r="B1427" s="7">
        <v>1284394</v>
      </c>
      <c r="C1427" s="7">
        <v>1285080</v>
      </c>
      <c r="D1427" s="8"/>
      <c r="E1427" s="7" t="s">
        <v>75</v>
      </c>
      <c r="F1427" s="7" t="s">
        <v>1434</v>
      </c>
      <c r="G1427" s="8"/>
      <c r="H1427" s="8"/>
      <c r="I1427" s="7" t="s">
        <v>55</v>
      </c>
      <c r="J1427" s="8"/>
      <c r="K1427" s="8"/>
      <c r="L1427" s="7" t="s">
        <v>6026</v>
      </c>
      <c r="M1427" s="7" t="s">
        <v>1434</v>
      </c>
      <c r="N1427" s="7">
        <v>228</v>
      </c>
      <c r="O1427" s="7" t="s">
        <v>6027</v>
      </c>
    </row>
    <row r="1428" spans="1:16">
      <c r="A1428" s="6" t="s">
        <v>31</v>
      </c>
      <c r="B1428" s="7">
        <v>1285129</v>
      </c>
      <c r="C1428" s="7">
        <v>1286913</v>
      </c>
      <c r="D1428" s="8"/>
      <c r="E1428" s="7" t="s">
        <v>75</v>
      </c>
      <c r="F1428" s="7" t="s">
        <v>6028</v>
      </c>
      <c r="G1428" s="8"/>
      <c r="H1428" s="8"/>
      <c r="I1428" s="7" t="s">
        <v>55</v>
      </c>
      <c r="J1428" s="8"/>
      <c r="K1428" s="8"/>
      <c r="L1428" s="7" t="s">
        <v>6029</v>
      </c>
      <c r="M1428" s="7" t="s">
        <v>6028</v>
      </c>
      <c r="N1428" s="7">
        <v>594</v>
      </c>
      <c r="O1428" s="7" t="s">
        <v>6030</v>
      </c>
      <c r="P1428" s="7"/>
    </row>
    <row r="1429" spans="1:16">
      <c r="A1429" s="6" t="s">
        <v>31</v>
      </c>
      <c r="B1429" s="7">
        <v>1286910</v>
      </c>
      <c r="C1429" s="7">
        <v>1287965</v>
      </c>
      <c r="D1429" s="8"/>
      <c r="E1429" s="7" t="s">
        <v>75</v>
      </c>
      <c r="F1429" s="7" t="s">
        <v>6031</v>
      </c>
      <c r="G1429" s="8"/>
      <c r="H1429" s="8"/>
      <c r="I1429" s="7" t="s">
        <v>55</v>
      </c>
      <c r="J1429" s="8"/>
      <c r="K1429" s="8"/>
      <c r="L1429" s="7" t="s">
        <v>6032</v>
      </c>
      <c r="M1429" s="7" t="s">
        <v>6031</v>
      </c>
      <c r="N1429" s="7">
        <v>351</v>
      </c>
      <c r="O1429" s="7" t="s">
        <v>6033</v>
      </c>
    </row>
    <row r="1430" spans="1:16">
      <c r="A1430" s="6" t="s">
        <v>31</v>
      </c>
      <c r="B1430" s="7">
        <v>1287985</v>
      </c>
      <c r="C1430" s="7">
        <v>1289190</v>
      </c>
      <c r="D1430" s="8"/>
      <c r="E1430" s="7" t="s">
        <v>75</v>
      </c>
      <c r="F1430" s="7" t="s">
        <v>6034</v>
      </c>
      <c r="G1430" s="8"/>
      <c r="H1430" s="8"/>
      <c r="I1430" s="7" t="s">
        <v>55</v>
      </c>
      <c r="J1430" s="8"/>
      <c r="K1430" s="8"/>
      <c r="L1430" s="7" t="s">
        <v>6035</v>
      </c>
      <c r="M1430" s="7" t="s">
        <v>6034</v>
      </c>
      <c r="N1430" s="7">
        <v>401</v>
      </c>
      <c r="O1430" s="7" t="s">
        <v>6036</v>
      </c>
    </row>
    <row r="1431" spans="1:16">
      <c r="A1431" s="6" t="s">
        <v>31</v>
      </c>
      <c r="B1431" s="7">
        <v>1289190</v>
      </c>
      <c r="C1431" s="7">
        <v>1289999</v>
      </c>
      <c r="D1431" s="8"/>
      <c r="E1431" s="7" t="s">
        <v>75</v>
      </c>
      <c r="F1431" s="7" t="s">
        <v>6037</v>
      </c>
      <c r="G1431" s="8"/>
      <c r="H1431" s="8"/>
      <c r="I1431" s="7" t="s">
        <v>55</v>
      </c>
      <c r="J1431" s="8"/>
      <c r="K1431" s="8"/>
      <c r="L1431" s="7" t="s">
        <v>6038</v>
      </c>
      <c r="M1431" s="7" t="s">
        <v>6037</v>
      </c>
      <c r="N1431" s="7">
        <v>269</v>
      </c>
      <c r="O1431" s="7" t="s">
        <v>6039</v>
      </c>
    </row>
    <row r="1432" spans="1:16">
      <c r="A1432" s="6" t="s">
        <v>31</v>
      </c>
      <c r="B1432" s="7">
        <v>1289983</v>
      </c>
      <c r="C1432" s="7">
        <v>1290939</v>
      </c>
      <c r="D1432" s="8"/>
      <c r="E1432" s="7" t="s">
        <v>75</v>
      </c>
      <c r="F1432" s="7" t="s">
        <v>6040</v>
      </c>
      <c r="G1432" s="8"/>
      <c r="H1432" s="8"/>
      <c r="I1432" s="7" t="s">
        <v>55</v>
      </c>
      <c r="J1432" s="8"/>
      <c r="K1432" s="8"/>
      <c r="L1432" s="7" t="s">
        <v>6041</v>
      </c>
      <c r="M1432" s="7" t="s">
        <v>6040</v>
      </c>
      <c r="N1432" s="7">
        <v>318</v>
      </c>
      <c r="O1432" s="7" t="s">
        <v>6042</v>
      </c>
      <c r="P1432" s="7"/>
    </row>
    <row r="1433" spans="1:16">
      <c r="A1433" s="6" t="s">
        <v>31</v>
      </c>
      <c r="B1433" s="7">
        <v>1290936</v>
      </c>
      <c r="C1433" s="7">
        <v>1292084</v>
      </c>
      <c r="D1433" s="8"/>
      <c r="E1433" s="7" t="s">
        <v>75</v>
      </c>
      <c r="F1433" s="7" t="s">
        <v>6043</v>
      </c>
      <c r="G1433" s="8"/>
      <c r="H1433" s="8"/>
      <c r="I1433" s="7" t="s">
        <v>55</v>
      </c>
      <c r="J1433" s="8"/>
      <c r="K1433" s="8"/>
      <c r="L1433" s="7" t="s">
        <v>6044</v>
      </c>
      <c r="M1433" s="7" t="s">
        <v>6043</v>
      </c>
      <c r="N1433" s="7">
        <v>382</v>
      </c>
      <c r="O1433" s="7" t="s">
        <v>6045</v>
      </c>
      <c r="P1433" s="7"/>
    </row>
    <row r="1434" spans="1:16">
      <c r="A1434" s="6" t="s">
        <v>31</v>
      </c>
      <c r="B1434" s="7">
        <v>1292193</v>
      </c>
      <c r="C1434" s="7">
        <v>1293203</v>
      </c>
      <c r="D1434" s="8"/>
      <c r="E1434" s="7" t="s">
        <v>75</v>
      </c>
      <c r="F1434" s="7" t="s">
        <v>6046</v>
      </c>
      <c r="G1434" s="7" t="s">
        <v>6047</v>
      </c>
      <c r="H1434" s="8"/>
      <c r="I1434" s="7" t="s">
        <v>55</v>
      </c>
      <c r="J1434" s="8"/>
      <c r="K1434" s="8"/>
      <c r="L1434" s="7" t="s">
        <v>6048</v>
      </c>
      <c r="M1434" s="7" t="s">
        <v>6046</v>
      </c>
      <c r="N1434" s="7">
        <v>336</v>
      </c>
      <c r="O1434" s="7" t="s">
        <v>6049</v>
      </c>
    </row>
    <row r="1435" spans="1:16">
      <c r="A1435" s="6" t="s">
        <v>31</v>
      </c>
      <c r="B1435" s="7">
        <v>1293203</v>
      </c>
      <c r="C1435" s="7">
        <v>1294477</v>
      </c>
      <c r="D1435" s="8"/>
      <c r="E1435" s="7" t="s">
        <v>75</v>
      </c>
      <c r="F1435" s="7" t="s">
        <v>6050</v>
      </c>
      <c r="G1435" s="8"/>
      <c r="H1435" s="8"/>
      <c r="I1435" s="7" t="s">
        <v>55</v>
      </c>
      <c r="J1435" s="8"/>
      <c r="K1435" s="8"/>
      <c r="L1435" s="7" t="s">
        <v>6051</v>
      </c>
      <c r="M1435" s="7" t="s">
        <v>6050</v>
      </c>
      <c r="N1435" s="7">
        <v>424</v>
      </c>
      <c r="O1435" s="7" t="s">
        <v>6052</v>
      </c>
    </row>
    <row r="1436" spans="1:16">
      <c r="A1436" s="6" t="s">
        <v>31</v>
      </c>
      <c r="B1436" s="7">
        <v>1294470</v>
      </c>
      <c r="C1436" s="7">
        <v>1294802</v>
      </c>
      <c r="D1436" s="8"/>
      <c r="E1436" s="7" t="s">
        <v>75</v>
      </c>
      <c r="F1436" s="7" t="s">
        <v>6053</v>
      </c>
      <c r="G1436" s="8"/>
      <c r="H1436" s="8"/>
      <c r="I1436" s="7" t="s">
        <v>55</v>
      </c>
      <c r="J1436" s="8"/>
      <c r="K1436" s="8"/>
      <c r="L1436" s="7" t="s">
        <v>6054</v>
      </c>
      <c r="M1436" s="7" t="s">
        <v>6053</v>
      </c>
      <c r="N1436" s="7">
        <v>110</v>
      </c>
      <c r="O1436" s="7" t="s">
        <v>6055</v>
      </c>
    </row>
    <row r="1437" spans="1:16">
      <c r="A1437" s="6" t="s">
        <v>31</v>
      </c>
      <c r="B1437" s="7">
        <v>1294808</v>
      </c>
      <c r="C1437" s="7">
        <v>1295497</v>
      </c>
      <c r="D1437" s="8"/>
      <c r="E1437" s="7" t="s">
        <v>75</v>
      </c>
      <c r="F1437" s="7" t="s">
        <v>6056</v>
      </c>
      <c r="G1437" s="8"/>
      <c r="H1437" s="8"/>
      <c r="I1437" s="7" t="s">
        <v>55</v>
      </c>
      <c r="J1437" s="8"/>
      <c r="K1437" s="8"/>
      <c r="L1437" s="7" t="s">
        <v>6057</v>
      </c>
      <c r="M1437" s="7" t="s">
        <v>6056</v>
      </c>
      <c r="N1437" s="7">
        <v>229</v>
      </c>
      <c r="O1437" s="7" t="s">
        <v>6058</v>
      </c>
    </row>
    <row r="1438" spans="1:16">
      <c r="A1438" s="6" t="s">
        <v>31</v>
      </c>
      <c r="B1438" s="7">
        <v>1295580</v>
      </c>
      <c r="C1438" s="7">
        <v>1296431</v>
      </c>
      <c r="D1438" s="8"/>
      <c r="E1438" s="7" t="s">
        <v>75</v>
      </c>
      <c r="F1438" s="7" t="s">
        <v>6059</v>
      </c>
      <c r="G1438" s="7" t="s">
        <v>6060</v>
      </c>
      <c r="H1438" s="8"/>
      <c r="I1438" s="7" t="s">
        <v>55</v>
      </c>
      <c r="J1438" s="8"/>
      <c r="K1438" s="8"/>
      <c r="L1438" s="7" t="s">
        <v>6061</v>
      </c>
      <c r="M1438" s="7" t="s">
        <v>6059</v>
      </c>
      <c r="N1438" s="7">
        <v>283</v>
      </c>
      <c r="O1438" s="7" t="s">
        <v>6062</v>
      </c>
    </row>
    <row r="1439" spans="1:16">
      <c r="A1439" s="6" t="s">
        <v>31</v>
      </c>
      <c r="B1439" s="7">
        <v>1296508</v>
      </c>
      <c r="C1439" s="7">
        <v>1297842</v>
      </c>
      <c r="D1439" s="8"/>
      <c r="E1439" s="7" t="s">
        <v>75</v>
      </c>
      <c r="F1439" s="7" t="s">
        <v>2212</v>
      </c>
      <c r="G1439" s="8"/>
      <c r="H1439" s="8"/>
      <c r="I1439" s="7" t="s">
        <v>55</v>
      </c>
      <c r="J1439" s="8"/>
      <c r="K1439" s="8"/>
      <c r="L1439" s="7" t="s">
        <v>6063</v>
      </c>
      <c r="M1439" s="7" t="s">
        <v>2212</v>
      </c>
      <c r="N1439" s="7">
        <v>444</v>
      </c>
      <c r="O1439" s="7" t="s">
        <v>6064</v>
      </c>
    </row>
    <row r="1440" spans="1:16">
      <c r="A1440" s="6" t="s">
        <v>31</v>
      </c>
      <c r="B1440" s="7">
        <v>1297955</v>
      </c>
      <c r="C1440" s="7">
        <v>1298872</v>
      </c>
      <c r="D1440" s="8"/>
      <c r="E1440" s="7" t="s">
        <v>75</v>
      </c>
      <c r="F1440" s="7" t="s">
        <v>6065</v>
      </c>
      <c r="G1440" s="7" t="s">
        <v>6066</v>
      </c>
      <c r="H1440" s="8"/>
      <c r="I1440" s="7" t="s">
        <v>55</v>
      </c>
      <c r="J1440" s="8"/>
      <c r="K1440" s="8"/>
      <c r="L1440" s="7" t="s">
        <v>6067</v>
      </c>
      <c r="M1440" s="7" t="s">
        <v>6065</v>
      </c>
      <c r="N1440" s="7">
        <v>305</v>
      </c>
      <c r="O1440" s="7" t="s">
        <v>6068</v>
      </c>
      <c r="P1440" s="7"/>
    </row>
    <row r="1441" spans="1:16">
      <c r="A1441" s="6" t="s">
        <v>31</v>
      </c>
      <c r="B1441" s="7">
        <v>1298935</v>
      </c>
      <c r="C1441" s="7">
        <v>1300350</v>
      </c>
      <c r="D1441" s="8"/>
      <c r="E1441" s="7" t="s">
        <v>75</v>
      </c>
      <c r="F1441" s="7" t="s">
        <v>2212</v>
      </c>
      <c r="G1441" s="8"/>
      <c r="H1441" s="8"/>
      <c r="I1441" s="7" t="s">
        <v>55</v>
      </c>
      <c r="J1441" s="8"/>
      <c r="K1441" s="8"/>
      <c r="L1441" s="7" t="s">
        <v>6069</v>
      </c>
      <c r="M1441" s="7" t="s">
        <v>2212</v>
      </c>
      <c r="N1441" s="7">
        <v>471</v>
      </c>
      <c r="O1441" s="7" t="s">
        <v>6070</v>
      </c>
    </row>
    <row r="1442" spans="1:16">
      <c r="A1442" s="6" t="s">
        <v>31</v>
      </c>
      <c r="B1442" s="7">
        <v>1300425</v>
      </c>
      <c r="C1442" s="7">
        <v>1300598</v>
      </c>
      <c r="D1442" s="8"/>
      <c r="E1442" s="7" t="s">
        <v>75</v>
      </c>
      <c r="F1442" s="7" t="s">
        <v>2095</v>
      </c>
      <c r="G1442" s="8"/>
      <c r="H1442" s="8"/>
      <c r="I1442" s="7" t="s">
        <v>55</v>
      </c>
      <c r="J1442" s="8"/>
      <c r="K1442" s="8"/>
      <c r="L1442" s="7" t="s">
        <v>6071</v>
      </c>
      <c r="M1442" s="7" t="s">
        <v>2095</v>
      </c>
      <c r="N1442" s="7">
        <v>57</v>
      </c>
      <c r="O1442" s="7" t="s">
        <v>6072</v>
      </c>
    </row>
    <row r="1443" spans="1:16">
      <c r="A1443" s="6" t="s">
        <v>31</v>
      </c>
      <c r="B1443" s="7">
        <v>1300684</v>
      </c>
      <c r="C1443" s="7">
        <v>1301019</v>
      </c>
      <c r="D1443" s="8"/>
      <c r="E1443" s="7" t="s">
        <v>75</v>
      </c>
      <c r="F1443" s="7" t="s">
        <v>6073</v>
      </c>
      <c r="G1443" s="7" t="s">
        <v>6074</v>
      </c>
      <c r="H1443" s="8"/>
      <c r="I1443" s="7" t="s">
        <v>55</v>
      </c>
      <c r="J1443" s="8"/>
      <c r="K1443" s="8"/>
      <c r="L1443" s="7" t="s">
        <v>6075</v>
      </c>
      <c r="M1443" s="7" t="s">
        <v>6073</v>
      </c>
      <c r="N1443" s="7">
        <v>111</v>
      </c>
      <c r="O1443" s="7" t="s">
        <v>6076</v>
      </c>
    </row>
    <row r="1444" spans="1:16">
      <c r="A1444" s="6" t="s">
        <v>31</v>
      </c>
      <c r="B1444" s="7">
        <v>1301073</v>
      </c>
      <c r="C1444" s="7">
        <v>1302182</v>
      </c>
      <c r="D1444" s="8"/>
      <c r="E1444" s="7" t="s">
        <v>75</v>
      </c>
      <c r="F1444" s="7" t="s">
        <v>6077</v>
      </c>
      <c r="G1444" s="7" t="s">
        <v>6078</v>
      </c>
      <c r="H1444" s="8"/>
      <c r="I1444" s="7" t="s">
        <v>55</v>
      </c>
      <c r="J1444" s="8"/>
      <c r="K1444" s="8"/>
      <c r="L1444" s="7" t="s">
        <v>6079</v>
      </c>
      <c r="M1444" s="7" t="s">
        <v>6077</v>
      </c>
      <c r="N1444" s="7">
        <v>369</v>
      </c>
      <c r="O1444" s="7" t="s">
        <v>6080</v>
      </c>
    </row>
    <row r="1445" spans="1:16">
      <c r="A1445" s="6" t="s">
        <v>31</v>
      </c>
      <c r="B1445" s="7">
        <v>1302186</v>
      </c>
      <c r="C1445" s="7">
        <v>1303997</v>
      </c>
      <c r="D1445" s="8"/>
      <c r="E1445" s="7" t="s">
        <v>75</v>
      </c>
      <c r="F1445" s="7" t="s">
        <v>1452</v>
      </c>
      <c r="G1445" s="7" t="s">
        <v>1453</v>
      </c>
      <c r="H1445" s="8"/>
      <c r="I1445" s="7" t="s">
        <v>55</v>
      </c>
      <c r="J1445" s="8"/>
      <c r="K1445" s="8"/>
      <c r="L1445" s="7" t="s">
        <v>6081</v>
      </c>
      <c r="M1445" s="7" t="s">
        <v>1452</v>
      </c>
      <c r="N1445" s="7">
        <v>603</v>
      </c>
      <c r="O1445" s="7" t="s">
        <v>6082</v>
      </c>
      <c r="P1445" s="7"/>
    </row>
    <row r="1446" spans="1:16">
      <c r="A1446" s="6" t="s">
        <v>31</v>
      </c>
      <c r="B1446" s="7">
        <v>1304368</v>
      </c>
      <c r="C1446" s="7">
        <v>1304544</v>
      </c>
      <c r="D1446" s="8"/>
      <c r="E1446" s="7" t="s">
        <v>75</v>
      </c>
      <c r="F1446" s="7" t="s">
        <v>6083</v>
      </c>
      <c r="G1446" s="7" t="s">
        <v>1455</v>
      </c>
      <c r="H1446" s="8"/>
      <c r="I1446" s="7" t="s">
        <v>55</v>
      </c>
      <c r="J1446" s="8"/>
      <c r="K1446" s="8"/>
      <c r="L1446" s="7" t="s">
        <v>6084</v>
      </c>
      <c r="M1446" s="7" t="s">
        <v>6083</v>
      </c>
      <c r="N1446" s="7">
        <v>58</v>
      </c>
      <c r="O1446" s="7" t="s">
        <v>6085</v>
      </c>
    </row>
    <row r="1447" spans="1:16">
      <c r="A1447" s="6" t="s">
        <v>31</v>
      </c>
      <c r="B1447" s="7">
        <v>1304739</v>
      </c>
      <c r="C1447" s="7">
        <v>1305533</v>
      </c>
      <c r="D1447" s="8"/>
      <c r="E1447" s="7" t="s">
        <v>75</v>
      </c>
      <c r="F1447" s="7" t="s">
        <v>6086</v>
      </c>
      <c r="G1447" s="8"/>
      <c r="H1447" s="8"/>
      <c r="I1447" s="7" t="s">
        <v>55</v>
      </c>
      <c r="J1447" s="8"/>
      <c r="K1447" s="8"/>
      <c r="L1447" s="7" t="s">
        <v>6087</v>
      </c>
      <c r="M1447" s="7" t="s">
        <v>6086</v>
      </c>
      <c r="N1447" s="7">
        <v>264</v>
      </c>
      <c r="O1447" s="7" t="s">
        <v>6088</v>
      </c>
    </row>
    <row r="1448" spans="1:16">
      <c r="A1448" s="6" t="s">
        <v>31</v>
      </c>
      <c r="B1448" s="7">
        <v>1305626</v>
      </c>
      <c r="C1448" s="7">
        <v>1306735</v>
      </c>
      <c r="D1448" s="8"/>
      <c r="E1448" s="7" t="s">
        <v>75</v>
      </c>
      <c r="F1448" s="7" t="s">
        <v>3081</v>
      </c>
      <c r="G1448" s="8"/>
      <c r="H1448" s="8"/>
      <c r="I1448" s="7" t="s">
        <v>55</v>
      </c>
      <c r="J1448" s="8"/>
      <c r="K1448" s="8"/>
      <c r="L1448" s="7" t="s">
        <v>6089</v>
      </c>
      <c r="M1448" s="7" t="s">
        <v>3081</v>
      </c>
      <c r="N1448" s="7">
        <v>369</v>
      </c>
      <c r="O1448" s="7" t="s">
        <v>6090</v>
      </c>
      <c r="P1448" s="7"/>
    </row>
    <row r="1449" spans="1:16">
      <c r="A1449" s="6" t="s">
        <v>31</v>
      </c>
      <c r="B1449" s="7">
        <v>1307082</v>
      </c>
      <c r="C1449" s="7">
        <v>1307879</v>
      </c>
      <c r="D1449" s="8"/>
      <c r="E1449" s="7" t="s">
        <v>75</v>
      </c>
      <c r="F1449" s="7" t="s">
        <v>6086</v>
      </c>
      <c r="G1449" s="8"/>
      <c r="H1449" s="8"/>
      <c r="I1449" s="7" t="s">
        <v>55</v>
      </c>
      <c r="J1449" s="8"/>
      <c r="K1449" s="8"/>
      <c r="L1449" s="7" t="s">
        <v>6091</v>
      </c>
      <c r="M1449" s="7" t="s">
        <v>6086</v>
      </c>
      <c r="N1449" s="7">
        <v>265</v>
      </c>
      <c r="O1449" s="7" t="s">
        <v>6092</v>
      </c>
    </row>
    <row r="1450" spans="1:16">
      <c r="A1450" s="6" t="s">
        <v>31</v>
      </c>
      <c r="B1450" s="7">
        <v>1307876</v>
      </c>
      <c r="C1450" s="7">
        <v>1308706</v>
      </c>
      <c r="D1450" s="8"/>
      <c r="E1450" s="7" t="s">
        <v>75</v>
      </c>
      <c r="F1450" s="7" t="s">
        <v>6086</v>
      </c>
      <c r="G1450" s="8"/>
      <c r="H1450" s="8"/>
      <c r="I1450" s="7" t="s">
        <v>55</v>
      </c>
      <c r="J1450" s="8"/>
      <c r="K1450" s="8"/>
      <c r="L1450" s="7" t="s">
        <v>6093</v>
      </c>
      <c r="M1450" s="7" t="s">
        <v>6086</v>
      </c>
      <c r="N1450" s="7">
        <v>276</v>
      </c>
      <c r="O1450" s="7" t="s">
        <v>6094</v>
      </c>
    </row>
    <row r="1451" spans="1:16">
      <c r="A1451" s="6" t="s">
        <v>31</v>
      </c>
      <c r="B1451" s="7">
        <v>1308919</v>
      </c>
      <c r="C1451" s="7">
        <v>1309383</v>
      </c>
      <c r="D1451" s="8"/>
      <c r="E1451" s="7" t="s">
        <v>75</v>
      </c>
      <c r="F1451" s="7" t="s">
        <v>2452</v>
      </c>
      <c r="G1451" s="8"/>
      <c r="H1451" s="8"/>
      <c r="I1451" s="7" t="s">
        <v>55</v>
      </c>
      <c r="J1451" s="8"/>
      <c r="K1451" s="8"/>
      <c r="L1451" s="7" t="s">
        <v>6095</v>
      </c>
      <c r="M1451" s="7" t="s">
        <v>2452</v>
      </c>
      <c r="N1451" s="7">
        <v>154</v>
      </c>
      <c r="O1451" s="7" t="s">
        <v>6096</v>
      </c>
    </row>
    <row r="1452" spans="1:16">
      <c r="A1452" s="6" t="s">
        <v>31</v>
      </c>
      <c r="B1452" s="7">
        <v>1309428</v>
      </c>
      <c r="C1452" s="7">
        <v>1311419</v>
      </c>
      <c r="D1452" s="8"/>
      <c r="E1452" s="7" t="s">
        <v>75</v>
      </c>
      <c r="F1452" s="7" t="s">
        <v>6097</v>
      </c>
      <c r="G1452" s="7" t="s">
        <v>1462</v>
      </c>
      <c r="H1452" s="8"/>
      <c r="I1452" s="7" t="s">
        <v>55</v>
      </c>
      <c r="J1452" s="8"/>
      <c r="K1452" s="8"/>
      <c r="L1452" s="7" t="s">
        <v>6098</v>
      </c>
      <c r="M1452" s="7" t="s">
        <v>6097</v>
      </c>
      <c r="N1452" s="7">
        <v>663</v>
      </c>
      <c r="O1452" s="7" t="s">
        <v>6099</v>
      </c>
    </row>
    <row r="1453" spans="1:16">
      <c r="A1453" s="6" t="s">
        <v>31</v>
      </c>
      <c r="B1453" s="7">
        <v>1311566</v>
      </c>
      <c r="C1453" s="7">
        <v>1311811</v>
      </c>
      <c r="D1453" s="8"/>
      <c r="E1453" s="7" t="s">
        <v>75</v>
      </c>
      <c r="F1453" s="7" t="s">
        <v>2095</v>
      </c>
      <c r="G1453" s="8"/>
      <c r="H1453" s="8"/>
      <c r="I1453" s="7" t="s">
        <v>55</v>
      </c>
      <c r="J1453" s="8"/>
      <c r="K1453" s="8"/>
      <c r="L1453" s="7" t="s">
        <v>6100</v>
      </c>
      <c r="M1453" s="7" t="s">
        <v>2095</v>
      </c>
      <c r="N1453" s="7">
        <v>81</v>
      </c>
      <c r="O1453" s="7" t="s">
        <v>6101</v>
      </c>
    </row>
    <row r="1454" spans="1:16">
      <c r="A1454" s="6" t="s">
        <v>31</v>
      </c>
      <c r="B1454" s="7">
        <v>1312179</v>
      </c>
      <c r="C1454" s="7">
        <v>1312526</v>
      </c>
      <c r="D1454" s="8"/>
      <c r="E1454" s="7" t="s">
        <v>75</v>
      </c>
      <c r="F1454" s="7" t="s">
        <v>6102</v>
      </c>
      <c r="G1454" s="8"/>
      <c r="H1454" s="8"/>
      <c r="I1454" s="7" t="s">
        <v>55</v>
      </c>
      <c r="J1454" s="8"/>
      <c r="K1454" s="8"/>
      <c r="L1454" s="7" t="s">
        <v>6103</v>
      </c>
      <c r="M1454" s="7" t="s">
        <v>6102</v>
      </c>
      <c r="N1454" s="7">
        <v>115</v>
      </c>
      <c r="O1454" s="7" t="s">
        <v>6104</v>
      </c>
    </row>
    <row r="1455" spans="1:16">
      <c r="A1455" s="6" t="s">
        <v>31</v>
      </c>
      <c r="B1455" s="7">
        <v>1312554</v>
      </c>
      <c r="C1455" s="7">
        <v>1312700</v>
      </c>
      <c r="D1455" s="8"/>
      <c r="E1455" s="7" t="s">
        <v>75</v>
      </c>
      <c r="F1455" s="7" t="s">
        <v>2095</v>
      </c>
      <c r="G1455" s="8"/>
      <c r="H1455" s="8"/>
      <c r="I1455" s="7" t="s">
        <v>55</v>
      </c>
      <c r="J1455" s="8"/>
      <c r="K1455" s="8"/>
      <c r="L1455" s="7" t="s">
        <v>6105</v>
      </c>
      <c r="M1455" s="7" t="s">
        <v>2095</v>
      </c>
      <c r="N1455" s="7">
        <v>48</v>
      </c>
      <c r="O1455" s="7" t="s">
        <v>6106</v>
      </c>
    </row>
    <row r="1456" spans="1:16">
      <c r="A1456" s="6" t="s">
        <v>31</v>
      </c>
      <c r="B1456" s="7">
        <v>1312761</v>
      </c>
      <c r="C1456" s="7">
        <v>1313042</v>
      </c>
      <c r="D1456" s="8"/>
      <c r="E1456" s="7" t="s">
        <v>75</v>
      </c>
      <c r="F1456" s="7" t="s">
        <v>2212</v>
      </c>
      <c r="G1456" s="8"/>
      <c r="H1456" s="8"/>
      <c r="I1456" s="7" t="s">
        <v>55</v>
      </c>
      <c r="J1456" s="8"/>
      <c r="K1456" s="8"/>
      <c r="L1456" s="7" t="s">
        <v>6107</v>
      </c>
      <c r="M1456" s="7" t="s">
        <v>2212</v>
      </c>
      <c r="N1456" s="7">
        <v>93</v>
      </c>
      <c r="O1456" s="7" t="s">
        <v>6108</v>
      </c>
    </row>
    <row r="1457" spans="1:16">
      <c r="A1457" s="6" t="s">
        <v>31</v>
      </c>
      <c r="B1457" s="7">
        <v>1313241</v>
      </c>
      <c r="C1457" s="7">
        <v>1313960</v>
      </c>
      <c r="D1457" s="8"/>
      <c r="E1457" s="7" t="s">
        <v>53</v>
      </c>
      <c r="F1457" s="7" t="s">
        <v>6109</v>
      </c>
      <c r="G1457" s="8"/>
      <c r="H1457" s="8"/>
      <c r="I1457" s="7" t="s">
        <v>55</v>
      </c>
      <c r="J1457" s="8"/>
      <c r="K1457" s="8"/>
      <c r="L1457" s="7" t="s">
        <v>6110</v>
      </c>
      <c r="M1457" s="7" t="s">
        <v>6109</v>
      </c>
      <c r="N1457" s="7">
        <v>239</v>
      </c>
      <c r="O1457" s="7" t="s">
        <v>6111</v>
      </c>
    </row>
    <row r="1458" spans="1:16">
      <c r="A1458" s="6" t="s">
        <v>31</v>
      </c>
      <c r="B1458" s="7">
        <v>1313957</v>
      </c>
      <c r="C1458" s="7">
        <v>1315474</v>
      </c>
      <c r="D1458" s="8"/>
      <c r="E1458" s="7" t="s">
        <v>53</v>
      </c>
      <c r="F1458" s="7" t="s">
        <v>2850</v>
      </c>
      <c r="G1458" s="8"/>
      <c r="H1458" s="8"/>
      <c r="I1458" s="7" t="s">
        <v>55</v>
      </c>
      <c r="J1458" s="8"/>
      <c r="K1458" s="8"/>
      <c r="L1458" s="7" t="s">
        <v>6112</v>
      </c>
      <c r="M1458" s="7" t="s">
        <v>2850</v>
      </c>
      <c r="N1458" s="7">
        <v>505</v>
      </c>
      <c r="O1458" s="7" t="s">
        <v>6113</v>
      </c>
    </row>
    <row r="1459" spans="1:16">
      <c r="A1459" s="6" t="s">
        <v>31</v>
      </c>
      <c r="B1459" s="7">
        <v>1315474</v>
      </c>
      <c r="C1459" s="7">
        <v>1316214</v>
      </c>
      <c r="D1459" s="8"/>
      <c r="E1459" s="7" t="s">
        <v>53</v>
      </c>
      <c r="F1459" s="7" t="s">
        <v>2509</v>
      </c>
      <c r="G1459" s="7" t="s">
        <v>2510</v>
      </c>
      <c r="H1459" s="8"/>
      <c r="I1459" s="7" t="s">
        <v>55</v>
      </c>
      <c r="J1459" s="8"/>
      <c r="K1459" s="8"/>
      <c r="L1459" s="7" t="s">
        <v>6114</v>
      </c>
      <c r="M1459" s="7" t="s">
        <v>2509</v>
      </c>
      <c r="N1459" s="7">
        <v>246</v>
      </c>
      <c r="O1459" s="7" t="s">
        <v>6115</v>
      </c>
    </row>
    <row r="1460" spans="1:16">
      <c r="A1460" s="6" t="s">
        <v>31</v>
      </c>
      <c r="B1460" s="7">
        <v>1316287</v>
      </c>
      <c r="C1460" s="7">
        <v>1316484</v>
      </c>
      <c r="D1460" s="8"/>
      <c r="E1460" s="7" t="s">
        <v>75</v>
      </c>
      <c r="F1460" s="7" t="s">
        <v>6116</v>
      </c>
      <c r="G1460" s="8"/>
      <c r="H1460" s="8"/>
      <c r="I1460" s="7" t="s">
        <v>55</v>
      </c>
      <c r="J1460" s="8"/>
      <c r="K1460" s="8"/>
      <c r="L1460" s="7" t="s">
        <v>6117</v>
      </c>
      <c r="M1460" s="7" t="s">
        <v>6116</v>
      </c>
      <c r="N1460" s="7">
        <v>65</v>
      </c>
      <c r="O1460" s="7" t="s">
        <v>6118</v>
      </c>
    </row>
    <row r="1461" spans="1:16">
      <c r="A1461" s="6" t="s">
        <v>31</v>
      </c>
      <c r="B1461" s="7">
        <v>1316651</v>
      </c>
      <c r="C1461" s="7">
        <v>1317964</v>
      </c>
      <c r="D1461" s="8"/>
      <c r="E1461" s="7" t="s">
        <v>75</v>
      </c>
      <c r="F1461" s="7" t="s">
        <v>6119</v>
      </c>
      <c r="G1461" s="7" t="s">
        <v>1466</v>
      </c>
      <c r="H1461" s="8"/>
      <c r="I1461" s="7" t="s">
        <v>55</v>
      </c>
      <c r="J1461" s="8"/>
      <c r="K1461" s="8"/>
      <c r="L1461" s="7" t="s">
        <v>6120</v>
      </c>
      <c r="M1461" s="7" t="s">
        <v>6119</v>
      </c>
      <c r="N1461" s="7">
        <v>437</v>
      </c>
      <c r="O1461" s="7" t="s">
        <v>6121</v>
      </c>
    </row>
    <row r="1462" spans="1:16">
      <c r="A1462" s="6" t="s">
        <v>31</v>
      </c>
      <c r="B1462" s="7">
        <v>1318058</v>
      </c>
      <c r="C1462" s="7">
        <v>1318186</v>
      </c>
      <c r="D1462" s="8"/>
      <c r="E1462" s="7" t="s">
        <v>75</v>
      </c>
      <c r="F1462" s="7" t="s">
        <v>2130</v>
      </c>
      <c r="G1462" s="8"/>
      <c r="H1462" s="8"/>
      <c r="I1462" s="7" t="s">
        <v>55</v>
      </c>
      <c r="J1462" s="8"/>
      <c r="K1462" s="8"/>
      <c r="L1462" s="7" t="s">
        <v>6122</v>
      </c>
      <c r="M1462" s="7" t="s">
        <v>2130</v>
      </c>
      <c r="N1462" s="7">
        <v>42</v>
      </c>
      <c r="O1462" s="7" t="s">
        <v>6123</v>
      </c>
    </row>
    <row r="1463" spans="1:16">
      <c r="A1463" s="6" t="s">
        <v>31</v>
      </c>
      <c r="B1463" s="7">
        <v>1318268</v>
      </c>
      <c r="C1463" s="7">
        <v>1318999</v>
      </c>
      <c r="D1463" s="8"/>
      <c r="E1463" s="7" t="s">
        <v>75</v>
      </c>
      <c r="F1463" s="7" t="s">
        <v>3622</v>
      </c>
      <c r="G1463" s="7" t="s">
        <v>3623</v>
      </c>
      <c r="H1463" s="8"/>
      <c r="I1463" s="7" t="s">
        <v>55</v>
      </c>
      <c r="J1463" s="8"/>
      <c r="K1463" s="8"/>
      <c r="L1463" s="7" t="s">
        <v>6124</v>
      </c>
      <c r="M1463" s="7" t="s">
        <v>3622</v>
      </c>
      <c r="N1463" s="7">
        <v>243</v>
      </c>
      <c r="O1463" s="7" t="s">
        <v>6125</v>
      </c>
      <c r="P1463" s="7"/>
    </row>
    <row r="1464" spans="1:16">
      <c r="A1464" s="6" t="s">
        <v>31</v>
      </c>
      <c r="B1464" s="7">
        <v>1319000</v>
      </c>
      <c r="C1464" s="7">
        <v>1319233</v>
      </c>
      <c r="D1464" s="8"/>
      <c r="E1464" s="7" t="s">
        <v>75</v>
      </c>
      <c r="F1464" s="7" t="s">
        <v>2130</v>
      </c>
      <c r="G1464" s="8"/>
      <c r="H1464" s="8"/>
      <c r="I1464" s="7" t="s">
        <v>55</v>
      </c>
      <c r="J1464" s="8"/>
      <c r="K1464" s="8"/>
      <c r="L1464" s="7" t="s">
        <v>6126</v>
      </c>
      <c r="M1464" s="7" t="s">
        <v>2130</v>
      </c>
      <c r="N1464" s="7">
        <v>77</v>
      </c>
      <c r="O1464" s="7" t="s">
        <v>6127</v>
      </c>
    </row>
    <row r="1465" spans="1:16">
      <c r="A1465" s="6" t="s">
        <v>31</v>
      </c>
      <c r="B1465" s="7">
        <v>1319369</v>
      </c>
      <c r="C1465" s="7">
        <v>1319647</v>
      </c>
      <c r="D1465" s="8"/>
      <c r="E1465" s="7" t="s">
        <v>75</v>
      </c>
      <c r="F1465" s="7" t="s">
        <v>2130</v>
      </c>
      <c r="G1465" s="8"/>
      <c r="H1465" s="8"/>
      <c r="I1465" s="7" t="s">
        <v>55</v>
      </c>
      <c r="J1465" s="8"/>
      <c r="K1465" s="8"/>
      <c r="L1465" s="7" t="s">
        <v>6128</v>
      </c>
      <c r="M1465" s="7" t="s">
        <v>2130</v>
      </c>
      <c r="N1465" s="7">
        <v>92</v>
      </c>
      <c r="O1465" s="7" t="s">
        <v>6129</v>
      </c>
    </row>
    <row r="1466" spans="1:16">
      <c r="A1466" s="6" t="s">
        <v>31</v>
      </c>
      <c r="B1466" s="7">
        <v>1319945</v>
      </c>
      <c r="C1466" s="7">
        <v>1320535</v>
      </c>
      <c r="D1466" s="8"/>
      <c r="E1466" s="7" t="s">
        <v>53</v>
      </c>
      <c r="F1466" s="7" t="s">
        <v>2130</v>
      </c>
      <c r="G1466" s="8"/>
      <c r="H1466" s="8"/>
      <c r="I1466" s="7" t="s">
        <v>55</v>
      </c>
      <c r="J1466" s="8"/>
      <c r="K1466" s="8"/>
      <c r="L1466" s="7" t="s">
        <v>6130</v>
      </c>
      <c r="M1466" s="7" t="s">
        <v>2130</v>
      </c>
      <c r="N1466" s="7">
        <v>196</v>
      </c>
      <c r="O1466" s="7" t="s">
        <v>6131</v>
      </c>
    </row>
    <row r="1467" spans="1:16">
      <c r="A1467" s="6" t="s">
        <v>31</v>
      </c>
      <c r="B1467" s="7">
        <v>1320535</v>
      </c>
      <c r="C1467" s="7">
        <v>1320861</v>
      </c>
      <c r="D1467" s="8"/>
      <c r="E1467" s="7" t="s">
        <v>53</v>
      </c>
      <c r="F1467" s="7" t="s">
        <v>2130</v>
      </c>
      <c r="G1467" s="8"/>
      <c r="H1467" s="8"/>
      <c r="I1467" s="7" t="s">
        <v>55</v>
      </c>
      <c r="J1467" s="8"/>
      <c r="K1467" s="8"/>
      <c r="L1467" s="7" t="s">
        <v>6132</v>
      </c>
      <c r="M1467" s="7" t="s">
        <v>2130</v>
      </c>
      <c r="N1467" s="7">
        <v>108</v>
      </c>
      <c r="O1467" s="7" t="s">
        <v>6133</v>
      </c>
    </row>
    <row r="1468" spans="1:16">
      <c r="A1468" s="6" t="s">
        <v>31</v>
      </c>
      <c r="B1468" s="7">
        <v>1320915</v>
      </c>
      <c r="C1468" s="7">
        <v>1321067</v>
      </c>
      <c r="D1468" s="8"/>
      <c r="E1468" s="7" t="s">
        <v>53</v>
      </c>
      <c r="F1468" s="7" t="s">
        <v>2095</v>
      </c>
      <c r="G1468" s="8"/>
      <c r="H1468" s="8"/>
      <c r="I1468" s="7" t="s">
        <v>55</v>
      </c>
      <c r="J1468" s="8"/>
      <c r="K1468" s="8"/>
      <c r="L1468" s="7" t="s">
        <v>6134</v>
      </c>
      <c r="M1468" s="7" t="s">
        <v>2095</v>
      </c>
      <c r="N1468" s="7">
        <v>50</v>
      </c>
      <c r="O1468" s="7" t="s">
        <v>6135</v>
      </c>
    </row>
    <row r="1469" spans="1:16">
      <c r="A1469" s="6" t="s">
        <v>31</v>
      </c>
      <c r="B1469" s="7">
        <v>1321084</v>
      </c>
      <c r="C1469" s="7">
        <v>1321947</v>
      </c>
      <c r="D1469" s="8"/>
      <c r="E1469" s="7" t="s">
        <v>75</v>
      </c>
      <c r="F1469" s="7" t="s">
        <v>4640</v>
      </c>
      <c r="G1469" s="8"/>
      <c r="H1469" s="8"/>
      <c r="I1469" s="7" t="s">
        <v>55</v>
      </c>
      <c r="J1469" s="8"/>
      <c r="K1469" s="8"/>
      <c r="L1469" s="7" t="s">
        <v>6136</v>
      </c>
      <c r="M1469" s="7" t="s">
        <v>4640</v>
      </c>
      <c r="N1469" s="7">
        <v>287</v>
      </c>
      <c r="O1469" s="7" t="s">
        <v>6137</v>
      </c>
    </row>
    <row r="1470" spans="1:16">
      <c r="A1470" s="6" t="s">
        <v>31</v>
      </c>
      <c r="B1470" s="7">
        <v>1322296</v>
      </c>
      <c r="C1470" s="7">
        <v>1323591</v>
      </c>
      <c r="D1470" s="8"/>
      <c r="E1470" s="7" t="s">
        <v>53</v>
      </c>
      <c r="F1470" s="7" t="s">
        <v>6138</v>
      </c>
      <c r="G1470" s="8"/>
      <c r="H1470" s="8"/>
      <c r="I1470" s="7" t="s">
        <v>55</v>
      </c>
      <c r="J1470" s="8"/>
      <c r="K1470" s="8"/>
      <c r="L1470" s="7" t="s">
        <v>6139</v>
      </c>
      <c r="M1470" s="7" t="s">
        <v>6138</v>
      </c>
      <c r="N1470" s="7">
        <v>431</v>
      </c>
      <c r="O1470" s="7" t="s">
        <v>6140</v>
      </c>
    </row>
    <row r="1471" spans="1:16">
      <c r="A1471" s="6" t="s">
        <v>31</v>
      </c>
      <c r="B1471" s="7">
        <v>1323593</v>
      </c>
      <c r="C1471" s="7">
        <v>1325164</v>
      </c>
      <c r="D1471" s="8"/>
      <c r="E1471" s="7" t="s">
        <v>53</v>
      </c>
      <c r="F1471" s="7" t="s">
        <v>6141</v>
      </c>
      <c r="G1471" s="8"/>
      <c r="H1471" s="8"/>
      <c r="I1471" s="7" t="s">
        <v>55</v>
      </c>
      <c r="J1471" s="8"/>
      <c r="K1471" s="8"/>
      <c r="L1471" s="7" t="s">
        <v>6142</v>
      </c>
      <c r="M1471" s="7" t="s">
        <v>6141</v>
      </c>
      <c r="N1471" s="7">
        <v>523</v>
      </c>
      <c r="O1471" s="7" t="s">
        <v>6143</v>
      </c>
    </row>
    <row r="1472" spans="1:16">
      <c r="A1472" s="6" t="s">
        <v>31</v>
      </c>
      <c r="B1472" s="7">
        <v>1325449</v>
      </c>
      <c r="C1472" s="7">
        <v>1325877</v>
      </c>
      <c r="D1472" s="8"/>
      <c r="E1472" s="7" t="s">
        <v>53</v>
      </c>
      <c r="F1472" s="7" t="s">
        <v>2130</v>
      </c>
      <c r="G1472" s="8"/>
      <c r="H1472" s="8"/>
      <c r="I1472" s="7" t="s">
        <v>55</v>
      </c>
      <c r="J1472" s="8"/>
      <c r="K1472" s="8"/>
      <c r="L1472" s="7" t="s">
        <v>6144</v>
      </c>
      <c r="M1472" s="7" t="s">
        <v>2130</v>
      </c>
      <c r="N1472" s="7">
        <v>142</v>
      </c>
      <c r="O1472" s="7" t="s">
        <v>6145</v>
      </c>
    </row>
    <row r="1473" spans="1:16">
      <c r="A1473" s="6" t="s">
        <v>31</v>
      </c>
      <c r="B1473" s="7">
        <v>1325904</v>
      </c>
      <c r="C1473" s="7">
        <v>1326272</v>
      </c>
      <c r="D1473" s="8"/>
      <c r="E1473" s="7" t="s">
        <v>53</v>
      </c>
      <c r="F1473" s="7" t="s">
        <v>2130</v>
      </c>
      <c r="G1473" s="8"/>
      <c r="H1473" s="8"/>
      <c r="I1473" s="7" t="s">
        <v>55</v>
      </c>
      <c r="J1473" s="8"/>
      <c r="K1473" s="8"/>
      <c r="L1473" s="7" t="s">
        <v>6146</v>
      </c>
      <c r="M1473" s="7" t="s">
        <v>2130</v>
      </c>
      <c r="N1473" s="7">
        <v>122</v>
      </c>
      <c r="O1473" s="7" t="s">
        <v>6147</v>
      </c>
    </row>
    <row r="1474" spans="1:16">
      <c r="A1474" s="6" t="s">
        <v>31</v>
      </c>
      <c r="B1474" s="7">
        <v>1326301</v>
      </c>
      <c r="C1474" s="7">
        <v>1326684</v>
      </c>
      <c r="D1474" s="8"/>
      <c r="E1474" s="7" t="s">
        <v>75</v>
      </c>
      <c r="F1474" s="7" t="s">
        <v>6148</v>
      </c>
      <c r="G1474" s="8"/>
      <c r="H1474" s="8"/>
      <c r="I1474" s="7" t="s">
        <v>55</v>
      </c>
      <c r="J1474" s="8"/>
      <c r="K1474" s="8"/>
      <c r="L1474" s="7" t="s">
        <v>6149</v>
      </c>
      <c r="M1474" s="7" t="s">
        <v>6148</v>
      </c>
      <c r="N1474" s="7">
        <v>127</v>
      </c>
      <c r="O1474" s="7" t="s">
        <v>6150</v>
      </c>
    </row>
    <row r="1475" spans="1:16">
      <c r="A1475" s="6" t="s">
        <v>31</v>
      </c>
      <c r="B1475" s="7">
        <v>1327040</v>
      </c>
      <c r="C1475" s="7">
        <v>1327255</v>
      </c>
      <c r="D1475" s="8"/>
      <c r="E1475" s="7" t="s">
        <v>53</v>
      </c>
      <c r="F1475" s="7" t="s">
        <v>2095</v>
      </c>
      <c r="G1475" s="8"/>
      <c r="H1475" s="8"/>
      <c r="I1475" s="7" t="s">
        <v>55</v>
      </c>
      <c r="J1475" s="8"/>
      <c r="K1475" s="8"/>
      <c r="L1475" s="7" t="s">
        <v>6151</v>
      </c>
      <c r="M1475" s="7" t="s">
        <v>2095</v>
      </c>
      <c r="N1475" s="7">
        <v>71</v>
      </c>
      <c r="O1475" s="7" t="s">
        <v>6152</v>
      </c>
    </row>
    <row r="1476" spans="1:16">
      <c r="A1476" s="6" t="s">
        <v>31</v>
      </c>
      <c r="B1476" s="7">
        <v>1327408</v>
      </c>
      <c r="C1476" s="7">
        <v>1327539</v>
      </c>
      <c r="D1476" s="8"/>
      <c r="E1476" s="7" t="s">
        <v>75</v>
      </c>
      <c r="F1476" s="7" t="s">
        <v>2095</v>
      </c>
      <c r="G1476" s="8"/>
      <c r="H1476" s="8"/>
      <c r="I1476" s="7" t="s">
        <v>55</v>
      </c>
      <c r="J1476" s="8"/>
      <c r="K1476" s="8"/>
      <c r="L1476" s="7" t="s">
        <v>6153</v>
      </c>
      <c r="M1476" s="7" t="s">
        <v>2095</v>
      </c>
      <c r="N1476" s="7">
        <v>43</v>
      </c>
      <c r="O1476" s="7" t="s">
        <v>6154</v>
      </c>
    </row>
    <row r="1477" spans="1:16">
      <c r="A1477" s="6" t="s">
        <v>31</v>
      </c>
      <c r="B1477" s="7">
        <v>1327777</v>
      </c>
      <c r="C1477" s="7">
        <v>1328667</v>
      </c>
      <c r="D1477" s="8"/>
      <c r="E1477" s="7" t="s">
        <v>53</v>
      </c>
      <c r="F1477" s="7" t="s">
        <v>2708</v>
      </c>
      <c r="G1477" s="8"/>
      <c r="H1477" s="8"/>
      <c r="I1477" s="7" t="s">
        <v>55</v>
      </c>
      <c r="J1477" s="8"/>
      <c r="K1477" s="8"/>
      <c r="L1477" s="7" t="s">
        <v>6155</v>
      </c>
      <c r="M1477" s="7" t="s">
        <v>2708</v>
      </c>
      <c r="N1477" s="7">
        <v>296</v>
      </c>
      <c r="O1477" s="7" t="s">
        <v>6156</v>
      </c>
    </row>
    <row r="1478" spans="1:16">
      <c r="A1478" s="6" t="s">
        <v>31</v>
      </c>
      <c r="B1478" s="7">
        <v>1328705</v>
      </c>
      <c r="C1478" s="7">
        <v>1328944</v>
      </c>
      <c r="D1478" s="8"/>
      <c r="E1478" s="7" t="s">
        <v>75</v>
      </c>
      <c r="F1478" s="7" t="s">
        <v>2130</v>
      </c>
      <c r="G1478" s="8"/>
      <c r="H1478" s="8"/>
      <c r="I1478" s="7" t="s">
        <v>55</v>
      </c>
      <c r="J1478" s="8"/>
      <c r="K1478" s="8"/>
      <c r="L1478" s="7" t="s">
        <v>6157</v>
      </c>
      <c r="M1478" s="7" t="s">
        <v>2130</v>
      </c>
      <c r="N1478" s="7">
        <v>79</v>
      </c>
      <c r="O1478" s="7" t="s">
        <v>6158</v>
      </c>
    </row>
    <row r="1479" spans="1:16">
      <c r="A1479" s="6" t="s">
        <v>31</v>
      </c>
      <c r="B1479" s="7">
        <v>1329168</v>
      </c>
      <c r="C1479" s="7">
        <v>1329815</v>
      </c>
      <c r="D1479" s="8"/>
      <c r="E1479" s="7" t="s">
        <v>75</v>
      </c>
      <c r="F1479" s="7" t="s">
        <v>6159</v>
      </c>
      <c r="G1479" s="7" t="s">
        <v>1483</v>
      </c>
      <c r="H1479" s="8"/>
      <c r="I1479" s="7" t="s">
        <v>55</v>
      </c>
      <c r="J1479" s="8"/>
      <c r="K1479" s="8"/>
      <c r="L1479" s="7" t="s">
        <v>6160</v>
      </c>
      <c r="M1479" s="7" t="s">
        <v>6159</v>
      </c>
      <c r="N1479" s="7">
        <v>215</v>
      </c>
      <c r="O1479" s="7" t="s">
        <v>6161</v>
      </c>
      <c r="P1479" s="7"/>
    </row>
    <row r="1480" spans="1:16">
      <c r="A1480" s="6" t="s">
        <v>31</v>
      </c>
      <c r="B1480" s="7">
        <v>1329927</v>
      </c>
      <c r="C1480" s="7">
        <v>1331651</v>
      </c>
      <c r="D1480" s="8"/>
      <c r="E1480" s="7" t="s">
        <v>75</v>
      </c>
      <c r="F1480" s="7" t="s">
        <v>6162</v>
      </c>
      <c r="G1480" s="7" t="s">
        <v>1485</v>
      </c>
      <c r="H1480" s="8"/>
      <c r="I1480" s="7" t="s">
        <v>55</v>
      </c>
      <c r="J1480" s="8"/>
      <c r="K1480" s="8"/>
      <c r="L1480" s="7" t="s">
        <v>6163</v>
      </c>
      <c r="M1480" s="7" t="s">
        <v>6162</v>
      </c>
      <c r="N1480" s="7">
        <v>574</v>
      </c>
      <c r="O1480" s="7" t="s">
        <v>6164</v>
      </c>
    </row>
    <row r="1481" spans="1:16">
      <c r="A1481" s="6" t="s">
        <v>31</v>
      </c>
      <c r="B1481" s="7">
        <v>1331748</v>
      </c>
      <c r="C1481" s="7">
        <v>1333700</v>
      </c>
      <c r="D1481" s="8"/>
      <c r="E1481" s="7" t="s">
        <v>75</v>
      </c>
      <c r="F1481" s="7" t="s">
        <v>6165</v>
      </c>
      <c r="G1481" s="7" t="s">
        <v>1487</v>
      </c>
      <c r="H1481" s="8"/>
      <c r="I1481" s="7" t="s">
        <v>55</v>
      </c>
      <c r="J1481" s="8"/>
      <c r="K1481" s="8"/>
      <c r="L1481" s="7" t="s">
        <v>6166</v>
      </c>
      <c r="M1481" s="7" t="s">
        <v>6165</v>
      </c>
      <c r="N1481" s="7">
        <v>650</v>
      </c>
      <c r="O1481" s="7" t="s">
        <v>6167</v>
      </c>
      <c r="P1481" s="7"/>
    </row>
    <row r="1482" spans="1:16">
      <c r="A1482" s="6" t="s">
        <v>31</v>
      </c>
      <c r="B1482" s="7">
        <v>1333701</v>
      </c>
      <c r="C1482" s="7">
        <v>1334306</v>
      </c>
      <c r="D1482" s="8"/>
      <c r="E1482" s="7" t="s">
        <v>75</v>
      </c>
      <c r="F1482" s="7" t="s">
        <v>6168</v>
      </c>
      <c r="G1482" s="8"/>
      <c r="H1482" s="8"/>
      <c r="I1482" s="7" t="s">
        <v>55</v>
      </c>
      <c r="J1482" s="8"/>
      <c r="K1482" s="8"/>
      <c r="L1482" s="7" t="s">
        <v>6169</v>
      </c>
      <c r="M1482" s="7" t="s">
        <v>6168</v>
      </c>
      <c r="N1482" s="7">
        <v>201</v>
      </c>
      <c r="O1482" s="7" t="s">
        <v>6170</v>
      </c>
    </row>
    <row r="1483" spans="1:16">
      <c r="A1483" s="6" t="s">
        <v>31</v>
      </c>
      <c r="B1483" s="7">
        <v>1334347</v>
      </c>
      <c r="C1483" s="7">
        <v>1335042</v>
      </c>
      <c r="D1483" s="8"/>
      <c r="E1483" s="7" t="s">
        <v>75</v>
      </c>
      <c r="F1483" s="7" t="s">
        <v>6171</v>
      </c>
      <c r="G1483" s="8"/>
      <c r="H1483" s="8"/>
      <c r="I1483" s="7" t="s">
        <v>55</v>
      </c>
      <c r="J1483" s="8"/>
      <c r="K1483" s="8"/>
      <c r="L1483" s="7" t="s">
        <v>6172</v>
      </c>
      <c r="M1483" s="7" t="s">
        <v>6171</v>
      </c>
      <c r="N1483" s="7">
        <v>231</v>
      </c>
      <c r="O1483" s="7" t="s">
        <v>6173</v>
      </c>
    </row>
    <row r="1484" spans="1:16">
      <c r="A1484" s="6" t="s">
        <v>31</v>
      </c>
      <c r="B1484" s="7">
        <v>1335035</v>
      </c>
      <c r="C1484" s="7">
        <v>1335409</v>
      </c>
      <c r="D1484" s="8"/>
      <c r="E1484" s="7" t="s">
        <v>75</v>
      </c>
      <c r="F1484" s="7" t="s">
        <v>2212</v>
      </c>
      <c r="G1484" s="8"/>
      <c r="H1484" s="8"/>
      <c r="I1484" s="7" t="s">
        <v>55</v>
      </c>
      <c r="J1484" s="8"/>
      <c r="K1484" s="8"/>
      <c r="L1484" s="7" t="s">
        <v>6174</v>
      </c>
      <c r="M1484" s="7" t="s">
        <v>2212</v>
      </c>
      <c r="N1484" s="7">
        <v>124</v>
      </c>
      <c r="O1484" s="7" t="s">
        <v>6175</v>
      </c>
    </row>
    <row r="1485" spans="1:16">
      <c r="A1485" s="6" t="s">
        <v>31</v>
      </c>
      <c r="B1485" s="7">
        <v>1335392</v>
      </c>
      <c r="C1485" s="7">
        <v>1335526</v>
      </c>
      <c r="D1485" s="8"/>
      <c r="E1485" s="7" t="s">
        <v>53</v>
      </c>
      <c r="F1485" s="7" t="s">
        <v>2095</v>
      </c>
      <c r="G1485" s="8"/>
      <c r="H1485" s="8"/>
      <c r="I1485" s="7" t="s">
        <v>55</v>
      </c>
      <c r="J1485" s="8"/>
      <c r="K1485" s="8"/>
      <c r="L1485" s="7" t="s">
        <v>6176</v>
      </c>
      <c r="M1485" s="7" t="s">
        <v>2095</v>
      </c>
      <c r="N1485" s="7">
        <v>44</v>
      </c>
      <c r="O1485" s="7" t="s">
        <v>6177</v>
      </c>
    </row>
    <row r="1486" spans="1:16">
      <c r="A1486" s="6" t="s">
        <v>31</v>
      </c>
      <c r="B1486" s="7">
        <v>1335689</v>
      </c>
      <c r="C1486" s="7">
        <v>1336042</v>
      </c>
      <c r="D1486" s="8"/>
      <c r="E1486" s="7" t="s">
        <v>75</v>
      </c>
      <c r="F1486" s="7" t="s">
        <v>6178</v>
      </c>
      <c r="G1486" s="7" t="s">
        <v>6179</v>
      </c>
      <c r="H1486" s="8"/>
      <c r="I1486" s="7" t="s">
        <v>55</v>
      </c>
      <c r="J1486" s="8"/>
      <c r="K1486" s="8"/>
      <c r="L1486" s="7" t="s">
        <v>6180</v>
      </c>
      <c r="M1486" s="7" t="s">
        <v>6178</v>
      </c>
      <c r="N1486" s="7">
        <v>117</v>
      </c>
      <c r="O1486" s="7" t="s">
        <v>6181</v>
      </c>
      <c r="P1486" s="7"/>
    </row>
    <row r="1487" spans="1:16">
      <c r="A1487" s="6" t="s">
        <v>31</v>
      </c>
      <c r="B1487" s="7">
        <v>1336077</v>
      </c>
      <c r="C1487" s="7">
        <v>1336415</v>
      </c>
      <c r="D1487" s="8"/>
      <c r="E1487" s="7" t="s">
        <v>75</v>
      </c>
      <c r="F1487" s="7" t="s">
        <v>6182</v>
      </c>
      <c r="G1487" s="8"/>
      <c r="H1487" s="8"/>
      <c r="I1487" s="7" t="s">
        <v>55</v>
      </c>
      <c r="J1487" s="8"/>
      <c r="K1487" s="8"/>
      <c r="L1487" s="7" t="s">
        <v>6183</v>
      </c>
      <c r="M1487" s="7" t="s">
        <v>6182</v>
      </c>
      <c r="N1487" s="7">
        <v>112</v>
      </c>
      <c r="O1487" s="7" t="s">
        <v>6184</v>
      </c>
      <c r="P1487" s="7"/>
    </row>
    <row r="1488" spans="1:16">
      <c r="A1488" s="6" t="s">
        <v>31</v>
      </c>
      <c r="B1488" s="7">
        <v>1336628</v>
      </c>
      <c r="C1488" s="7">
        <v>1337806</v>
      </c>
      <c r="D1488" s="8"/>
      <c r="E1488" s="7" t="s">
        <v>75</v>
      </c>
      <c r="F1488" s="7" t="s">
        <v>6185</v>
      </c>
      <c r="G1488" s="8"/>
      <c r="H1488" s="8"/>
      <c r="I1488" s="7" t="s">
        <v>55</v>
      </c>
      <c r="J1488" s="8"/>
      <c r="K1488" s="8"/>
      <c r="L1488" s="7" t="s">
        <v>6186</v>
      </c>
      <c r="M1488" s="7" t="s">
        <v>6185</v>
      </c>
      <c r="N1488" s="7">
        <v>392</v>
      </c>
      <c r="O1488" s="7" t="s">
        <v>6187</v>
      </c>
      <c r="P1488" s="7"/>
    </row>
    <row r="1489" spans="1:16">
      <c r="A1489" s="6" t="s">
        <v>31</v>
      </c>
      <c r="B1489" s="7">
        <v>1337825</v>
      </c>
      <c r="C1489" s="7">
        <v>1338382</v>
      </c>
      <c r="D1489" s="8"/>
      <c r="E1489" s="7" t="s">
        <v>75</v>
      </c>
      <c r="F1489" s="7" t="s">
        <v>3035</v>
      </c>
      <c r="G1489" s="8"/>
      <c r="H1489" s="8"/>
      <c r="I1489" s="7" t="s">
        <v>55</v>
      </c>
      <c r="J1489" s="8"/>
      <c r="K1489" s="8"/>
      <c r="L1489" s="7" t="s">
        <v>6188</v>
      </c>
      <c r="M1489" s="7" t="s">
        <v>3035</v>
      </c>
      <c r="N1489" s="7">
        <v>185</v>
      </c>
      <c r="O1489" s="7" t="s">
        <v>6189</v>
      </c>
      <c r="P1489" s="7"/>
    </row>
    <row r="1490" spans="1:16">
      <c r="A1490" s="6" t="s">
        <v>31</v>
      </c>
      <c r="B1490" s="7">
        <v>1338394</v>
      </c>
      <c r="C1490" s="7">
        <v>1339488</v>
      </c>
      <c r="D1490" s="8"/>
      <c r="E1490" s="7" t="s">
        <v>75</v>
      </c>
      <c r="F1490" s="7" t="s">
        <v>6190</v>
      </c>
      <c r="G1490" s="7" t="s">
        <v>1497</v>
      </c>
      <c r="H1490" s="8"/>
      <c r="I1490" s="7" t="s">
        <v>55</v>
      </c>
      <c r="J1490" s="8"/>
      <c r="K1490" s="8"/>
      <c r="L1490" s="7" t="s">
        <v>6191</v>
      </c>
      <c r="M1490" s="7" t="s">
        <v>6190</v>
      </c>
      <c r="N1490" s="7">
        <v>364</v>
      </c>
      <c r="O1490" s="7" t="s">
        <v>6192</v>
      </c>
      <c r="P1490" s="7"/>
    </row>
    <row r="1491" spans="1:16">
      <c r="A1491" s="6" t="s">
        <v>31</v>
      </c>
      <c r="B1491" s="7">
        <v>1339642</v>
      </c>
      <c r="C1491" s="7">
        <v>1340322</v>
      </c>
      <c r="D1491" s="8"/>
      <c r="E1491" s="7" t="s">
        <v>75</v>
      </c>
      <c r="F1491" s="7" t="s">
        <v>6193</v>
      </c>
      <c r="G1491" s="8"/>
      <c r="H1491" s="8"/>
      <c r="I1491" s="7" t="s">
        <v>55</v>
      </c>
      <c r="J1491" s="8"/>
      <c r="K1491" s="8"/>
      <c r="L1491" s="7" t="s">
        <v>6194</v>
      </c>
      <c r="M1491" s="7" t="s">
        <v>6193</v>
      </c>
      <c r="N1491" s="7">
        <v>226</v>
      </c>
      <c r="O1491" s="7" t="s">
        <v>6195</v>
      </c>
      <c r="P1491" s="7"/>
    </row>
    <row r="1492" spans="1:16">
      <c r="A1492" s="6" t="s">
        <v>31</v>
      </c>
      <c r="B1492" s="7">
        <v>1340285</v>
      </c>
      <c r="C1492" s="7">
        <v>1340548</v>
      </c>
      <c r="D1492" s="8"/>
      <c r="E1492" s="7" t="s">
        <v>75</v>
      </c>
      <c r="F1492" s="7" t="s">
        <v>2130</v>
      </c>
      <c r="G1492" s="8"/>
      <c r="H1492" s="8"/>
      <c r="I1492" s="7" t="s">
        <v>55</v>
      </c>
      <c r="J1492" s="8"/>
      <c r="K1492" s="8"/>
      <c r="L1492" s="7" t="s">
        <v>6196</v>
      </c>
      <c r="M1492" s="7" t="s">
        <v>2130</v>
      </c>
      <c r="N1492" s="7">
        <v>87</v>
      </c>
      <c r="O1492" s="7" t="s">
        <v>6197</v>
      </c>
    </row>
    <row r="1493" spans="1:16">
      <c r="A1493" s="6" t="s">
        <v>31</v>
      </c>
      <c r="B1493" s="7">
        <v>1340594</v>
      </c>
      <c r="C1493" s="7">
        <v>1340989</v>
      </c>
      <c r="D1493" s="8"/>
      <c r="E1493" s="7" t="s">
        <v>53</v>
      </c>
      <c r="F1493" s="7" t="s">
        <v>6198</v>
      </c>
      <c r="G1493" s="7" t="s">
        <v>6199</v>
      </c>
      <c r="H1493" s="8"/>
      <c r="I1493" s="7" t="s">
        <v>55</v>
      </c>
      <c r="J1493" s="8"/>
      <c r="K1493" s="8"/>
      <c r="L1493" s="7" t="s">
        <v>6200</v>
      </c>
      <c r="M1493" s="7" t="s">
        <v>6198</v>
      </c>
      <c r="N1493" s="7">
        <v>131</v>
      </c>
      <c r="O1493" s="7" t="s">
        <v>6201</v>
      </c>
      <c r="P1493" s="7"/>
    </row>
    <row r="1494" spans="1:16">
      <c r="A1494" s="6" t="s">
        <v>31</v>
      </c>
      <c r="B1494" s="7">
        <v>1341033</v>
      </c>
      <c r="C1494" s="7">
        <v>1341782</v>
      </c>
      <c r="D1494" s="8"/>
      <c r="E1494" s="7" t="s">
        <v>75</v>
      </c>
      <c r="F1494" s="7" t="s">
        <v>6202</v>
      </c>
      <c r="G1494" s="8"/>
      <c r="H1494" s="8"/>
      <c r="I1494" s="7" t="s">
        <v>55</v>
      </c>
      <c r="J1494" s="8"/>
      <c r="K1494" s="8"/>
      <c r="L1494" s="7" t="s">
        <v>6203</v>
      </c>
      <c r="M1494" s="7" t="s">
        <v>6202</v>
      </c>
      <c r="N1494" s="7">
        <v>249</v>
      </c>
      <c r="O1494" s="7" t="s">
        <v>6204</v>
      </c>
    </row>
    <row r="1495" spans="1:16">
      <c r="A1495" s="6" t="s">
        <v>31</v>
      </c>
      <c r="B1495" s="7">
        <v>1342141</v>
      </c>
      <c r="C1495" s="7">
        <v>1343208</v>
      </c>
      <c r="D1495" s="8"/>
      <c r="E1495" s="7" t="s">
        <v>75</v>
      </c>
      <c r="F1495" s="7" t="s">
        <v>6205</v>
      </c>
      <c r="G1495" s="7" t="s">
        <v>6206</v>
      </c>
      <c r="H1495" s="8"/>
      <c r="I1495" s="7" t="s">
        <v>55</v>
      </c>
      <c r="J1495" s="8"/>
      <c r="K1495" s="8"/>
      <c r="L1495" s="7" t="s">
        <v>6207</v>
      </c>
      <c r="M1495" s="7" t="s">
        <v>6205</v>
      </c>
      <c r="N1495" s="7">
        <v>355</v>
      </c>
      <c r="O1495" s="7" t="s">
        <v>6208</v>
      </c>
    </row>
    <row r="1496" spans="1:16">
      <c r="A1496" s="6" t="s">
        <v>31</v>
      </c>
      <c r="B1496" s="7">
        <v>1343201</v>
      </c>
      <c r="C1496" s="7">
        <v>1343980</v>
      </c>
      <c r="D1496" s="8"/>
      <c r="E1496" s="7" t="s">
        <v>75</v>
      </c>
      <c r="F1496" s="7" t="s">
        <v>6209</v>
      </c>
      <c r="G1496" s="8"/>
      <c r="H1496" s="8"/>
      <c r="I1496" s="7" t="s">
        <v>55</v>
      </c>
      <c r="J1496" s="8"/>
      <c r="K1496" s="8"/>
      <c r="L1496" s="7" t="s">
        <v>6210</v>
      </c>
      <c r="M1496" s="7" t="s">
        <v>6209</v>
      </c>
      <c r="N1496" s="7">
        <v>259</v>
      </c>
      <c r="O1496" s="7" t="s">
        <v>6211</v>
      </c>
    </row>
    <row r="1497" spans="1:16">
      <c r="A1497" s="6" t="s">
        <v>31</v>
      </c>
      <c r="B1497" s="7">
        <v>1343977</v>
      </c>
      <c r="C1497" s="7">
        <v>1344771</v>
      </c>
      <c r="D1497" s="8"/>
      <c r="E1497" s="7" t="s">
        <v>75</v>
      </c>
      <c r="F1497" s="7" t="s">
        <v>6212</v>
      </c>
      <c r="G1497" s="8"/>
      <c r="H1497" s="8"/>
      <c r="I1497" s="7" t="s">
        <v>55</v>
      </c>
      <c r="J1497" s="8"/>
      <c r="K1497" s="8"/>
      <c r="L1497" s="7" t="s">
        <v>6213</v>
      </c>
      <c r="M1497" s="7" t="s">
        <v>6212</v>
      </c>
      <c r="N1497" s="7">
        <v>264</v>
      </c>
      <c r="O1497" s="7" t="s">
        <v>6214</v>
      </c>
    </row>
    <row r="1498" spans="1:16">
      <c r="A1498" s="6" t="s">
        <v>31</v>
      </c>
      <c r="B1498" s="7">
        <v>1344755</v>
      </c>
      <c r="C1498" s="7">
        <v>1345909</v>
      </c>
      <c r="D1498" s="8"/>
      <c r="E1498" s="7" t="s">
        <v>75</v>
      </c>
      <c r="F1498" s="7" t="s">
        <v>6215</v>
      </c>
      <c r="G1498" s="7" t="s">
        <v>6216</v>
      </c>
      <c r="H1498" s="8"/>
      <c r="I1498" s="7" t="s">
        <v>55</v>
      </c>
      <c r="J1498" s="8"/>
      <c r="K1498" s="8"/>
      <c r="L1498" s="7" t="s">
        <v>6217</v>
      </c>
      <c r="M1498" s="7" t="s">
        <v>6215</v>
      </c>
      <c r="N1498" s="7">
        <v>384</v>
      </c>
      <c r="O1498" s="7" t="s">
        <v>6218</v>
      </c>
      <c r="P1498" s="7"/>
    </row>
    <row r="1499" spans="1:16">
      <c r="A1499" s="6" t="s">
        <v>31</v>
      </c>
      <c r="B1499" s="7">
        <v>1345954</v>
      </c>
      <c r="C1499" s="7">
        <v>1346868</v>
      </c>
      <c r="D1499" s="8"/>
      <c r="E1499" s="7" t="s">
        <v>75</v>
      </c>
      <c r="F1499" s="7" t="s">
        <v>6219</v>
      </c>
      <c r="G1499" s="7" t="s">
        <v>1504</v>
      </c>
      <c r="H1499" s="8"/>
      <c r="I1499" s="7" t="s">
        <v>55</v>
      </c>
      <c r="J1499" s="8"/>
      <c r="K1499" s="8"/>
      <c r="L1499" s="7" t="s">
        <v>6220</v>
      </c>
      <c r="M1499" s="7" t="s">
        <v>6219</v>
      </c>
      <c r="N1499" s="7">
        <v>304</v>
      </c>
      <c r="O1499" s="7" t="s">
        <v>6221</v>
      </c>
      <c r="P1499" s="7"/>
    </row>
    <row r="1500" spans="1:16">
      <c r="A1500" s="6" t="s">
        <v>31</v>
      </c>
      <c r="B1500" s="7">
        <v>1347046</v>
      </c>
      <c r="C1500" s="7">
        <v>1347537</v>
      </c>
      <c r="D1500" s="8"/>
      <c r="E1500" s="7" t="s">
        <v>75</v>
      </c>
      <c r="F1500" s="7" t="s">
        <v>6222</v>
      </c>
      <c r="G1500" s="7" t="s">
        <v>1506</v>
      </c>
      <c r="H1500" s="8"/>
      <c r="I1500" s="7" t="s">
        <v>55</v>
      </c>
      <c r="J1500" s="8"/>
      <c r="K1500" s="8"/>
      <c r="L1500" s="7" t="s">
        <v>6223</v>
      </c>
      <c r="M1500" s="7" t="s">
        <v>6222</v>
      </c>
      <c r="N1500" s="7">
        <v>163</v>
      </c>
      <c r="O1500" s="7" t="s">
        <v>6224</v>
      </c>
      <c r="P1500" s="7"/>
    </row>
    <row r="1501" spans="1:16">
      <c r="A1501" s="6" t="s">
        <v>31</v>
      </c>
      <c r="B1501" s="7">
        <v>1347534</v>
      </c>
      <c r="C1501" s="7">
        <v>1347893</v>
      </c>
      <c r="D1501" s="8"/>
      <c r="E1501" s="7" t="s">
        <v>75</v>
      </c>
      <c r="F1501" s="7" t="s">
        <v>1508</v>
      </c>
      <c r="G1501" s="7" t="s">
        <v>1509</v>
      </c>
      <c r="H1501" s="8"/>
      <c r="I1501" s="7" t="s">
        <v>55</v>
      </c>
      <c r="J1501" s="8"/>
      <c r="K1501" s="8"/>
      <c r="L1501" s="7" t="s">
        <v>6225</v>
      </c>
      <c r="M1501" s="7" t="s">
        <v>1508</v>
      </c>
      <c r="N1501" s="7">
        <v>119</v>
      </c>
      <c r="O1501" s="7" t="s">
        <v>6226</v>
      </c>
      <c r="P1501" s="7"/>
    </row>
    <row r="1502" spans="1:16">
      <c r="A1502" s="6" t="s">
        <v>31</v>
      </c>
      <c r="B1502" s="7">
        <v>1348114</v>
      </c>
      <c r="C1502" s="7">
        <v>1349565</v>
      </c>
      <c r="D1502" s="8"/>
      <c r="E1502" s="7" t="s">
        <v>53</v>
      </c>
      <c r="F1502" s="7" t="s">
        <v>6227</v>
      </c>
      <c r="G1502" s="7" t="s">
        <v>6228</v>
      </c>
      <c r="H1502" s="8"/>
      <c r="I1502" s="7" t="s">
        <v>55</v>
      </c>
      <c r="J1502" s="8"/>
      <c r="K1502" s="8"/>
      <c r="L1502" s="7" t="s">
        <v>6229</v>
      </c>
      <c r="M1502" s="7" t="s">
        <v>6227</v>
      </c>
      <c r="N1502" s="7">
        <v>483</v>
      </c>
      <c r="O1502" s="7" t="s">
        <v>6230</v>
      </c>
      <c r="P1502" s="7"/>
    </row>
    <row r="1503" spans="1:16">
      <c r="A1503" s="6" t="s">
        <v>31</v>
      </c>
      <c r="B1503" s="7">
        <v>1349597</v>
      </c>
      <c r="C1503" s="7">
        <v>1350397</v>
      </c>
      <c r="D1503" s="8"/>
      <c r="E1503" s="7" t="s">
        <v>75</v>
      </c>
      <c r="F1503" s="7" t="s">
        <v>1512</v>
      </c>
      <c r="G1503" s="7" t="s">
        <v>1513</v>
      </c>
      <c r="H1503" s="8"/>
      <c r="I1503" s="7" t="s">
        <v>55</v>
      </c>
      <c r="J1503" s="8"/>
      <c r="K1503" s="8"/>
      <c r="L1503" s="7" t="s">
        <v>6231</v>
      </c>
      <c r="M1503" s="7" t="s">
        <v>1512</v>
      </c>
      <c r="N1503" s="7">
        <v>266</v>
      </c>
      <c r="O1503" s="7" t="s">
        <v>6232</v>
      </c>
      <c r="P1503" s="7"/>
    </row>
    <row r="1504" spans="1:16">
      <c r="A1504" s="6" t="s">
        <v>31</v>
      </c>
      <c r="B1504" s="7">
        <v>1350426</v>
      </c>
      <c r="C1504" s="7">
        <v>1350989</v>
      </c>
      <c r="D1504" s="8"/>
      <c r="E1504" s="7" t="s">
        <v>75</v>
      </c>
      <c r="F1504" s="7" t="s">
        <v>6233</v>
      </c>
      <c r="G1504" s="7" t="s">
        <v>6234</v>
      </c>
      <c r="H1504" s="8"/>
      <c r="I1504" s="7" t="s">
        <v>55</v>
      </c>
      <c r="J1504" s="8"/>
      <c r="K1504" s="8"/>
      <c r="L1504" s="7" t="s">
        <v>6235</v>
      </c>
      <c r="M1504" s="7" t="s">
        <v>6233</v>
      </c>
      <c r="N1504" s="7">
        <v>187</v>
      </c>
      <c r="O1504" s="7" t="s">
        <v>6236</v>
      </c>
      <c r="P1504" s="7"/>
    </row>
    <row r="1505" spans="1:17">
      <c r="A1505" s="6" t="s">
        <v>31</v>
      </c>
      <c r="B1505" s="7">
        <v>1351135</v>
      </c>
      <c r="C1505" s="7">
        <v>1352979</v>
      </c>
      <c r="D1505" s="8"/>
      <c r="E1505" s="7" t="s">
        <v>75</v>
      </c>
      <c r="F1505" s="7" t="s">
        <v>6237</v>
      </c>
      <c r="G1505" s="7" t="s">
        <v>6238</v>
      </c>
      <c r="H1505" s="8"/>
      <c r="I1505" s="7" t="s">
        <v>55</v>
      </c>
      <c r="J1505" s="8"/>
      <c r="K1505" s="8"/>
      <c r="L1505" s="7" t="s">
        <v>6239</v>
      </c>
      <c r="M1505" s="7" t="s">
        <v>6237</v>
      </c>
      <c r="N1505" s="7">
        <v>614</v>
      </c>
      <c r="O1505" s="7" t="s">
        <v>6240</v>
      </c>
    </row>
    <row r="1506" spans="1:17">
      <c r="A1506" s="6" t="s">
        <v>31</v>
      </c>
      <c r="B1506" s="7">
        <v>1353043</v>
      </c>
      <c r="C1506" s="7">
        <v>1354305</v>
      </c>
      <c r="D1506" s="8"/>
      <c r="E1506" s="7" t="s">
        <v>75</v>
      </c>
      <c r="F1506" s="7" t="s">
        <v>3232</v>
      </c>
      <c r="G1506" s="8"/>
      <c r="H1506" s="8"/>
      <c r="I1506" s="7" t="s">
        <v>55</v>
      </c>
      <c r="J1506" s="8"/>
      <c r="K1506" s="8"/>
      <c r="L1506" s="7" t="s">
        <v>6241</v>
      </c>
      <c r="M1506" s="7" t="s">
        <v>3232</v>
      </c>
      <c r="N1506" s="7">
        <v>420</v>
      </c>
      <c r="O1506" s="7" t="s">
        <v>6242</v>
      </c>
      <c r="P1506" s="7"/>
      <c r="Q1506" s="7"/>
    </row>
    <row r="1507" spans="1:17">
      <c r="A1507" s="6" t="s">
        <v>31</v>
      </c>
      <c r="B1507" s="7">
        <v>1354448</v>
      </c>
      <c r="C1507" s="7">
        <v>1354696</v>
      </c>
      <c r="D1507" s="8"/>
      <c r="E1507" s="7" t="s">
        <v>75</v>
      </c>
      <c r="F1507" s="7" t="s">
        <v>6243</v>
      </c>
      <c r="G1507" s="8"/>
      <c r="H1507" s="8"/>
      <c r="I1507" s="7" t="s">
        <v>55</v>
      </c>
      <c r="J1507" s="8"/>
      <c r="K1507" s="8"/>
      <c r="L1507" s="7" t="s">
        <v>6244</v>
      </c>
      <c r="M1507" s="7" t="s">
        <v>6243</v>
      </c>
      <c r="N1507" s="7">
        <v>82</v>
      </c>
      <c r="O1507" s="7" t="s">
        <v>6245</v>
      </c>
    </row>
    <row r="1508" spans="1:17">
      <c r="A1508" s="6" t="s">
        <v>31</v>
      </c>
      <c r="B1508" s="7">
        <v>1354708</v>
      </c>
      <c r="C1508" s="7">
        <v>1354980</v>
      </c>
      <c r="D1508" s="8"/>
      <c r="E1508" s="7" t="s">
        <v>75</v>
      </c>
      <c r="F1508" s="7" t="s">
        <v>6246</v>
      </c>
      <c r="G1508" s="7" t="s">
        <v>1519</v>
      </c>
      <c r="H1508" s="8"/>
      <c r="I1508" s="7" t="s">
        <v>55</v>
      </c>
      <c r="J1508" s="8"/>
      <c r="K1508" s="8"/>
      <c r="L1508" s="7" t="s">
        <v>6247</v>
      </c>
      <c r="M1508" s="7" t="s">
        <v>6246</v>
      </c>
      <c r="N1508" s="7">
        <v>90</v>
      </c>
      <c r="O1508" s="7" t="s">
        <v>6248</v>
      </c>
    </row>
    <row r="1509" spans="1:17">
      <c r="A1509" s="6" t="s">
        <v>31</v>
      </c>
      <c r="B1509" s="7">
        <v>1355413</v>
      </c>
      <c r="C1509" s="7">
        <v>1356291</v>
      </c>
      <c r="D1509" s="8"/>
      <c r="E1509" s="7" t="s">
        <v>53</v>
      </c>
      <c r="F1509" s="7" t="s">
        <v>6249</v>
      </c>
      <c r="G1509" s="7" t="s">
        <v>1521</v>
      </c>
      <c r="H1509" s="8"/>
      <c r="I1509" s="7" t="s">
        <v>55</v>
      </c>
      <c r="J1509" s="8"/>
      <c r="K1509" s="8"/>
      <c r="L1509" s="7" t="s">
        <v>6250</v>
      </c>
      <c r="M1509" s="7" t="s">
        <v>6249</v>
      </c>
      <c r="N1509" s="7">
        <v>292</v>
      </c>
      <c r="O1509" s="7" t="s">
        <v>6251</v>
      </c>
      <c r="P1509" s="7"/>
    </row>
    <row r="1510" spans="1:17">
      <c r="A1510" s="6" t="s">
        <v>31</v>
      </c>
      <c r="B1510" s="7">
        <v>1356374</v>
      </c>
      <c r="C1510" s="7">
        <v>1356526</v>
      </c>
      <c r="D1510" s="8"/>
      <c r="E1510" s="7" t="s">
        <v>75</v>
      </c>
      <c r="F1510" s="7" t="s">
        <v>2095</v>
      </c>
      <c r="G1510" s="8"/>
      <c r="H1510" s="8"/>
      <c r="I1510" s="7" t="s">
        <v>55</v>
      </c>
      <c r="J1510" s="8"/>
      <c r="K1510" s="8"/>
      <c r="L1510" s="7" t="s">
        <v>6252</v>
      </c>
      <c r="M1510" s="7" t="s">
        <v>2095</v>
      </c>
      <c r="N1510" s="7">
        <v>50</v>
      </c>
      <c r="O1510" s="7" t="s">
        <v>6253</v>
      </c>
    </row>
    <row r="1511" spans="1:17">
      <c r="A1511" s="6" t="s">
        <v>31</v>
      </c>
      <c r="B1511" s="7">
        <v>1356450</v>
      </c>
      <c r="C1511" s="7">
        <v>1356683</v>
      </c>
      <c r="D1511" s="8"/>
      <c r="E1511" s="7" t="s">
        <v>75</v>
      </c>
      <c r="F1511" s="7" t="s">
        <v>2130</v>
      </c>
      <c r="G1511" s="8"/>
      <c r="H1511" s="8"/>
      <c r="I1511" s="7" t="s">
        <v>55</v>
      </c>
      <c r="J1511" s="8"/>
      <c r="K1511" s="8"/>
      <c r="L1511" s="7" t="s">
        <v>6254</v>
      </c>
      <c r="M1511" s="7" t="s">
        <v>2130</v>
      </c>
      <c r="N1511" s="7">
        <v>77</v>
      </c>
      <c r="O1511" s="7" t="s">
        <v>6255</v>
      </c>
    </row>
    <row r="1512" spans="1:17">
      <c r="A1512" s="6" t="s">
        <v>31</v>
      </c>
      <c r="B1512" s="7">
        <v>1356756</v>
      </c>
      <c r="C1512" s="7">
        <v>1356914</v>
      </c>
      <c r="D1512" s="8"/>
      <c r="E1512" s="7" t="s">
        <v>75</v>
      </c>
      <c r="F1512" s="7" t="s">
        <v>2130</v>
      </c>
      <c r="G1512" s="8"/>
      <c r="H1512" s="8"/>
      <c r="I1512" s="7" t="s">
        <v>55</v>
      </c>
      <c r="J1512" s="8"/>
      <c r="K1512" s="8"/>
      <c r="L1512" s="7" t="s">
        <v>6256</v>
      </c>
      <c r="M1512" s="7" t="s">
        <v>2130</v>
      </c>
      <c r="N1512" s="7">
        <v>52</v>
      </c>
      <c r="O1512" s="7" t="s">
        <v>6257</v>
      </c>
    </row>
    <row r="1513" spans="1:17">
      <c r="A1513" s="6" t="s">
        <v>31</v>
      </c>
      <c r="B1513" s="7">
        <v>1357445</v>
      </c>
      <c r="C1513" s="7">
        <v>1358272</v>
      </c>
      <c r="D1513" s="8"/>
      <c r="E1513" s="7" t="s">
        <v>53</v>
      </c>
      <c r="F1513" s="7" t="s">
        <v>6258</v>
      </c>
      <c r="G1513" s="7" t="s">
        <v>6259</v>
      </c>
      <c r="H1513" s="8"/>
      <c r="I1513" s="7" t="s">
        <v>55</v>
      </c>
      <c r="J1513" s="8"/>
      <c r="K1513" s="8"/>
      <c r="L1513" s="7" t="s">
        <v>6260</v>
      </c>
      <c r="M1513" s="7" t="s">
        <v>6258</v>
      </c>
      <c r="N1513" s="7">
        <v>275</v>
      </c>
      <c r="O1513" s="7" t="s">
        <v>6261</v>
      </c>
      <c r="P1513" s="7"/>
    </row>
    <row r="1514" spans="1:17">
      <c r="A1514" s="6" t="s">
        <v>31</v>
      </c>
      <c r="B1514" s="7">
        <v>1358346</v>
      </c>
      <c r="C1514" s="7">
        <v>1358825</v>
      </c>
      <c r="D1514" s="8"/>
      <c r="E1514" s="7" t="s">
        <v>53</v>
      </c>
      <c r="F1514" s="7" t="s">
        <v>2212</v>
      </c>
      <c r="G1514" s="8"/>
      <c r="H1514" s="8"/>
      <c r="I1514" s="7" t="s">
        <v>55</v>
      </c>
      <c r="J1514" s="8"/>
      <c r="K1514" s="8"/>
      <c r="L1514" s="7" t="s">
        <v>6262</v>
      </c>
      <c r="M1514" s="7" t="s">
        <v>2212</v>
      </c>
      <c r="N1514" s="7">
        <v>159</v>
      </c>
      <c r="O1514" s="7" t="s">
        <v>6263</v>
      </c>
    </row>
    <row r="1515" spans="1:17">
      <c r="A1515" s="6" t="s">
        <v>31</v>
      </c>
      <c r="B1515" s="7">
        <v>1358945</v>
      </c>
      <c r="C1515" s="7">
        <v>1359583</v>
      </c>
      <c r="D1515" s="8"/>
      <c r="E1515" s="7" t="s">
        <v>75</v>
      </c>
      <c r="F1515" s="7" t="s">
        <v>1280</v>
      </c>
      <c r="G1515" s="8"/>
      <c r="H1515" s="8"/>
      <c r="I1515" s="7" t="s">
        <v>55</v>
      </c>
      <c r="J1515" s="8"/>
      <c r="K1515" s="8"/>
      <c r="L1515" s="7" t="s">
        <v>6264</v>
      </c>
      <c r="M1515" s="7" t="s">
        <v>1280</v>
      </c>
      <c r="N1515" s="7">
        <v>212</v>
      </c>
      <c r="O1515" s="7" t="s">
        <v>6265</v>
      </c>
    </row>
    <row r="1516" spans="1:17">
      <c r="A1516" s="6" t="s">
        <v>31</v>
      </c>
      <c r="B1516" s="7">
        <v>1359774</v>
      </c>
      <c r="C1516" s="7">
        <v>1360787</v>
      </c>
      <c r="D1516" s="8"/>
      <c r="E1516" s="7" t="s">
        <v>75</v>
      </c>
      <c r="F1516" s="7" t="s">
        <v>1526</v>
      </c>
      <c r="G1516" s="7" t="s">
        <v>6266</v>
      </c>
      <c r="H1516" s="8"/>
      <c r="I1516" s="7" t="s">
        <v>55</v>
      </c>
      <c r="J1516" s="8"/>
      <c r="K1516" s="8"/>
      <c r="L1516" s="7" t="s">
        <v>6267</v>
      </c>
      <c r="M1516" s="7" t="s">
        <v>1526</v>
      </c>
      <c r="N1516" s="7">
        <v>337</v>
      </c>
      <c r="O1516" s="7" t="s">
        <v>6268</v>
      </c>
      <c r="P1516" s="7"/>
    </row>
    <row r="1517" spans="1:17">
      <c r="A1517" s="6" t="s">
        <v>31</v>
      </c>
      <c r="B1517" s="7">
        <v>1360797</v>
      </c>
      <c r="C1517" s="7">
        <v>1362743</v>
      </c>
      <c r="D1517" s="8"/>
      <c r="E1517" s="7" t="s">
        <v>75</v>
      </c>
      <c r="F1517" s="7" t="s">
        <v>6269</v>
      </c>
      <c r="G1517" s="7" t="s">
        <v>1528</v>
      </c>
      <c r="H1517" s="8"/>
      <c r="I1517" s="7" t="s">
        <v>55</v>
      </c>
      <c r="J1517" s="8"/>
      <c r="K1517" s="8"/>
      <c r="L1517" s="7" t="s">
        <v>6270</v>
      </c>
      <c r="M1517" s="7" t="s">
        <v>6269</v>
      </c>
      <c r="N1517" s="7">
        <v>648</v>
      </c>
      <c r="O1517" s="7" t="s">
        <v>6271</v>
      </c>
      <c r="P1517" s="7"/>
    </row>
    <row r="1518" spans="1:17">
      <c r="A1518" s="6" t="s">
        <v>31</v>
      </c>
      <c r="B1518" s="7">
        <v>1362806</v>
      </c>
      <c r="C1518" s="7">
        <v>1363315</v>
      </c>
      <c r="D1518" s="8"/>
      <c r="E1518" s="7" t="s">
        <v>75</v>
      </c>
      <c r="F1518" s="7" t="s">
        <v>6272</v>
      </c>
      <c r="G1518" s="7" t="s">
        <v>6273</v>
      </c>
      <c r="H1518" s="8"/>
      <c r="I1518" s="7" t="s">
        <v>55</v>
      </c>
      <c r="J1518" s="8"/>
      <c r="K1518" s="8"/>
      <c r="L1518" s="7" t="s">
        <v>6274</v>
      </c>
      <c r="M1518" s="7" t="s">
        <v>6272</v>
      </c>
      <c r="N1518" s="7">
        <v>169</v>
      </c>
      <c r="O1518" s="7" t="s">
        <v>6275</v>
      </c>
    </row>
    <row r="1519" spans="1:17">
      <c r="A1519" s="6" t="s">
        <v>31</v>
      </c>
      <c r="B1519" s="7">
        <v>1363406</v>
      </c>
      <c r="C1519" s="7">
        <v>1364353</v>
      </c>
      <c r="D1519" s="8"/>
      <c r="E1519" s="7" t="s">
        <v>75</v>
      </c>
      <c r="F1519" s="7" t="s">
        <v>6276</v>
      </c>
      <c r="G1519" s="8"/>
      <c r="H1519" s="8"/>
      <c r="I1519" s="7" t="s">
        <v>55</v>
      </c>
      <c r="J1519" s="8"/>
      <c r="K1519" s="8"/>
      <c r="L1519" s="7" t="s">
        <v>6277</v>
      </c>
      <c r="M1519" s="7" t="s">
        <v>6276</v>
      </c>
      <c r="N1519" s="7">
        <v>315</v>
      </c>
      <c r="O1519" s="7" t="s">
        <v>6278</v>
      </c>
      <c r="P1519" s="7"/>
    </row>
    <row r="1520" spans="1:17">
      <c r="A1520" s="6" t="s">
        <v>31</v>
      </c>
      <c r="B1520" s="7">
        <v>1364373</v>
      </c>
      <c r="C1520" s="7">
        <v>1365233</v>
      </c>
      <c r="D1520" s="8"/>
      <c r="E1520" s="7" t="s">
        <v>75</v>
      </c>
      <c r="F1520" s="7" t="s">
        <v>6279</v>
      </c>
      <c r="G1520" s="7" t="s">
        <v>6280</v>
      </c>
      <c r="H1520" s="8"/>
      <c r="I1520" s="7" t="s">
        <v>55</v>
      </c>
      <c r="J1520" s="8"/>
      <c r="K1520" s="8"/>
      <c r="L1520" s="7" t="s">
        <v>6281</v>
      </c>
      <c r="M1520" s="7" t="s">
        <v>6279</v>
      </c>
      <c r="N1520" s="7">
        <v>286</v>
      </c>
      <c r="O1520" s="7" t="s">
        <v>6282</v>
      </c>
      <c r="P1520" s="7"/>
    </row>
    <row r="1521" spans="1:16">
      <c r="A1521" s="6" t="s">
        <v>31</v>
      </c>
      <c r="B1521" s="7">
        <v>1365277</v>
      </c>
      <c r="C1521" s="7">
        <v>1366557</v>
      </c>
      <c r="D1521" s="8"/>
      <c r="E1521" s="7" t="s">
        <v>75</v>
      </c>
      <c r="F1521" s="7" t="s">
        <v>6283</v>
      </c>
      <c r="G1521" s="8"/>
      <c r="H1521" s="8"/>
      <c r="I1521" s="7" t="s">
        <v>55</v>
      </c>
      <c r="J1521" s="8"/>
      <c r="K1521" s="8"/>
      <c r="L1521" s="7" t="s">
        <v>6284</v>
      </c>
      <c r="M1521" s="7" t="s">
        <v>6283</v>
      </c>
      <c r="N1521" s="7">
        <v>426</v>
      </c>
      <c r="O1521" s="7" t="s">
        <v>6285</v>
      </c>
    </row>
    <row r="1522" spans="1:16">
      <c r="A1522" s="6" t="s">
        <v>31</v>
      </c>
      <c r="B1522" s="7">
        <v>1366550</v>
      </c>
      <c r="C1522" s="7">
        <v>1367095</v>
      </c>
      <c r="D1522" s="8"/>
      <c r="E1522" s="7" t="s">
        <v>75</v>
      </c>
      <c r="F1522" s="7" t="s">
        <v>6286</v>
      </c>
      <c r="G1522" s="8"/>
      <c r="H1522" s="8"/>
      <c r="I1522" s="7" t="s">
        <v>55</v>
      </c>
      <c r="J1522" s="8"/>
      <c r="K1522" s="8"/>
      <c r="L1522" s="7" t="s">
        <v>6287</v>
      </c>
      <c r="M1522" s="7" t="s">
        <v>6286</v>
      </c>
      <c r="N1522" s="7">
        <v>181</v>
      </c>
      <c r="O1522" s="7" t="s">
        <v>6288</v>
      </c>
    </row>
    <row r="1523" spans="1:16">
      <c r="A1523" s="6" t="s">
        <v>31</v>
      </c>
      <c r="B1523" s="7">
        <v>1367161</v>
      </c>
      <c r="C1523" s="7">
        <v>1368423</v>
      </c>
      <c r="D1523" s="8"/>
      <c r="E1523" s="7" t="s">
        <v>75</v>
      </c>
      <c r="F1523" s="7" t="s">
        <v>1145</v>
      </c>
      <c r="G1523" s="7" t="s">
        <v>6289</v>
      </c>
      <c r="H1523" s="8"/>
      <c r="I1523" s="7" t="s">
        <v>55</v>
      </c>
      <c r="J1523" s="8"/>
      <c r="K1523" s="8"/>
      <c r="L1523" s="7" t="s">
        <v>6290</v>
      </c>
      <c r="M1523" s="7" t="s">
        <v>1145</v>
      </c>
      <c r="N1523" s="7">
        <v>420</v>
      </c>
      <c r="O1523" s="7" t="s">
        <v>6291</v>
      </c>
      <c r="P1523" s="7"/>
    </row>
    <row r="1524" spans="1:16">
      <c r="A1524" s="6" t="s">
        <v>31</v>
      </c>
      <c r="B1524" s="7">
        <v>1368509</v>
      </c>
      <c r="C1524" s="7">
        <v>1370749</v>
      </c>
      <c r="D1524" s="8"/>
      <c r="E1524" s="7" t="s">
        <v>75</v>
      </c>
      <c r="F1524" s="7" t="s">
        <v>6292</v>
      </c>
      <c r="G1524" s="8"/>
      <c r="H1524" s="8"/>
      <c r="I1524" s="7" t="s">
        <v>55</v>
      </c>
      <c r="J1524" s="8"/>
      <c r="K1524" s="8"/>
      <c r="L1524" s="7" t="s">
        <v>6293</v>
      </c>
      <c r="M1524" s="7" t="s">
        <v>6292</v>
      </c>
      <c r="N1524" s="7">
        <v>746</v>
      </c>
      <c r="O1524" s="7" t="s">
        <v>6294</v>
      </c>
    </row>
    <row r="1525" spans="1:16">
      <c r="A1525" s="6" t="s">
        <v>31</v>
      </c>
      <c r="B1525" s="7">
        <v>1370739</v>
      </c>
      <c r="C1525" s="7">
        <v>1371434</v>
      </c>
      <c r="D1525" s="8"/>
      <c r="E1525" s="7" t="s">
        <v>75</v>
      </c>
      <c r="F1525" s="7" t="s">
        <v>6295</v>
      </c>
      <c r="G1525" s="8"/>
      <c r="H1525" s="8"/>
      <c r="I1525" s="7" t="s">
        <v>55</v>
      </c>
      <c r="J1525" s="8"/>
      <c r="K1525" s="8"/>
      <c r="L1525" s="7" t="s">
        <v>6296</v>
      </c>
      <c r="M1525" s="7" t="s">
        <v>6295</v>
      </c>
      <c r="N1525" s="7">
        <v>231</v>
      </c>
      <c r="O1525" s="7" t="s">
        <v>6297</v>
      </c>
    </row>
    <row r="1526" spans="1:16">
      <c r="A1526" s="6" t="s">
        <v>31</v>
      </c>
      <c r="B1526" s="7">
        <v>1371542</v>
      </c>
      <c r="C1526" s="7">
        <v>1372297</v>
      </c>
      <c r="D1526" s="8"/>
      <c r="E1526" s="7" t="s">
        <v>75</v>
      </c>
      <c r="F1526" s="7" t="s">
        <v>1538</v>
      </c>
      <c r="G1526" s="7" t="s">
        <v>6298</v>
      </c>
      <c r="H1526" s="8"/>
      <c r="I1526" s="7" t="s">
        <v>55</v>
      </c>
      <c r="J1526" s="8"/>
      <c r="K1526" s="8"/>
      <c r="L1526" s="7" t="s">
        <v>6299</v>
      </c>
      <c r="M1526" s="7" t="s">
        <v>1538</v>
      </c>
      <c r="N1526" s="7">
        <v>251</v>
      </c>
      <c r="O1526" s="7" t="s">
        <v>6300</v>
      </c>
    </row>
    <row r="1527" spans="1:16">
      <c r="A1527" s="6" t="s">
        <v>31</v>
      </c>
      <c r="B1527" s="7">
        <v>1372497</v>
      </c>
      <c r="C1527" s="7">
        <v>1373030</v>
      </c>
      <c r="D1527" s="8"/>
      <c r="E1527" s="7" t="s">
        <v>53</v>
      </c>
      <c r="F1527" s="7" t="s">
        <v>6301</v>
      </c>
      <c r="G1527" s="8"/>
      <c r="H1527" s="8"/>
      <c r="I1527" s="7" t="s">
        <v>55</v>
      </c>
      <c r="J1527" s="8"/>
      <c r="K1527" s="8"/>
      <c r="L1527" s="7" t="s">
        <v>6302</v>
      </c>
      <c r="M1527" s="7" t="s">
        <v>6301</v>
      </c>
      <c r="N1527" s="7">
        <v>177</v>
      </c>
      <c r="O1527" s="7" t="s">
        <v>6303</v>
      </c>
    </row>
    <row r="1528" spans="1:16">
      <c r="A1528" s="6" t="s">
        <v>31</v>
      </c>
      <c r="B1528" s="7">
        <v>1373075</v>
      </c>
      <c r="C1528" s="7">
        <v>1373362</v>
      </c>
      <c r="D1528" s="8"/>
      <c r="E1528" s="7" t="s">
        <v>53</v>
      </c>
      <c r="F1528" s="7" t="s">
        <v>6304</v>
      </c>
      <c r="G1528" s="8"/>
      <c r="H1528" s="8"/>
      <c r="I1528" s="7" t="s">
        <v>55</v>
      </c>
      <c r="J1528" s="8"/>
      <c r="K1528" s="8"/>
      <c r="L1528" s="7" t="s">
        <v>6305</v>
      </c>
      <c r="M1528" s="7" t="s">
        <v>6304</v>
      </c>
      <c r="N1528" s="7">
        <v>95</v>
      </c>
      <c r="O1528" s="7" t="s">
        <v>6306</v>
      </c>
      <c r="P1528" s="7"/>
    </row>
    <row r="1529" spans="1:16">
      <c r="A1529" s="6" t="s">
        <v>31</v>
      </c>
      <c r="B1529" s="7">
        <v>1373412</v>
      </c>
      <c r="C1529" s="7">
        <v>1374176</v>
      </c>
      <c r="D1529" s="8"/>
      <c r="E1529" s="7" t="s">
        <v>53</v>
      </c>
      <c r="F1529" s="7" t="s">
        <v>1542</v>
      </c>
      <c r="G1529" s="7" t="s">
        <v>6307</v>
      </c>
      <c r="H1529" s="8"/>
      <c r="I1529" s="7" t="s">
        <v>55</v>
      </c>
      <c r="J1529" s="8"/>
      <c r="K1529" s="8"/>
      <c r="L1529" s="7" t="s">
        <v>6308</v>
      </c>
      <c r="M1529" s="7" t="s">
        <v>1542</v>
      </c>
      <c r="N1529" s="7">
        <v>254</v>
      </c>
      <c r="O1529" s="7" t="s">
        <v>6309</v>
      </c>
      <c r="P1529" s="7"/>
    </row>
    <row r="1530" spans="1:16">
      <c r="A1530" s="6" t="s">
        <v>31</v>
      </c>
      <c r="B1530" s="7">
        <v>1374180</v>
      </c>
      <c r="C1530" s="7">
        <v>1374449</v>
      </c>
      <c r="D1530" s="8"/>
      <c r="E1530" s="7" t="s">
        <v>53</v>
      </c>
      <c r="F1530" s="7" t="s">
        <v>6310</v>
      </c>
      <c r="G1530" s="8"/>
      <c r="H1530" s="8"/>
      <c r="I1530" s="7" t="s">
        <v>55</v>
      </c>
      <c r="J1530" s="8"/>
      <c r="K1530" s="8"/>
      <c r="L1530" s="7" t="s">
        <v>6311</v>
      </c>
      <c r="M1530" s="7" t="s">
        <v>6310</v>
      </c>
      <c r="N1530" s="7">
        <v>89</v>
      </c>
      <c r="O1530" s="7" t="s">
        <v>6312</v>
      </c>
    </row>
    <row r="1531" spans="1:16">
      <c r="A1531" s="6" t="s">
        <v>31</v>
      </c>
      <c r="B1531" s="7">
        <v>1375006</v>
      </c>
      <c r="C1531" s="7">
        <v>1376592</v>
      </c>
      <c r="D1531" s="8"/>
      <c r="E1531" s="7" t="s">
        <v>75</v>
      </c>
      <c r="F1531" s="7" t="s">
        <v>6313</v>
      </c>
      <c r="G1531" s="7" t="s">
        <v>6314</v>
      </c>
      <c r="H1531" s="8"/>
      <c r="I1531" s="7" t="s">
        <v>55</v>
      </c>
      <c r="J1531" s="8"/>
      <c r="K1531" s="8"/>
      <c r="L1531" s="7" t="s">
        <v>6315</v>
      </c>
      <c r="M1531" s="7" t="s">
        <v>6313</v>
      </c>
      <c r="N1531" s="7">
        <v>528</v>
      </c>
      <c r="O1531" s="7" t="s">
        <v>6316</v>
      </c>
      <c r="P1531" s="7"/>
    </row>
    <row r="1532" spans="1:16">
      <c r="A1532" s="6" t="s">
        <v>31</v>
      </c>
      <c r="B1532" s="7">
        <v>1376783</v>
      </c>
      <c r="C1532" s="7">
        <v>1377691</v>
      </c>
      <c r="D1532" s="8"/>
      <c r="E1532" s="7" t="s">
        <v>75</v>
      </c>
      <c r="F1532" s="7" t="s">
        <v>6317</v>
      </c>
      <c r="G1532" s="8"/>
      <c r="H1532" s="8"/>
      <c r="I1532" s="7" t="s">
        <v>55</v>
      </c>
      <c r="J1532" s="8"/>
      <c r="K1532" s="8"/>
      <c r="L1532" s="7" t="s">
        <v>6318</v>
      </c>
      <c r="M1532" s="7" t="s">
        <v>6317</v>
      </c>
      <c r="N1532" s="7">
        <v>302</v>
      </c>
      <c r="O1532" s="7" t="s">
        <v>6319</v>
      </c>
    </row>
    <row r="1533" spans="1:16">
      <c r="A1533" s="6" t="s">
        <v>31</v>
      </c>
      <c r="B1533" s="7">
        <v>1377705</v>
      </c>
      <c r="C1533" s="7">
        <v>1378085</v>
      </c>
      <c r="D1533" s="8"/>
      <c r="E1533" s="7" t="s">
        <v>75</v>
      </c>
      <c r="F1533" s="7" t="s">
        <v>6320</v>
      </c>
      <c r="G1533" s="8"/>
      <c r="H1533" s="8"/>
      <c r="I1533" s="7" t="s">
        <v>55</v>
      </c>
      <c r="J1533" s="8"/>
      <c r="K1533" s="8"/>
      <c r="L1533" s="7" t="s">
        <v>6321</v>
      </c>
      <c r="M1533" s="7" t="s">
        <v>6320</v>
      </c>
      <c r="N1533" s="7">
        <v>126</v>
      </c>
      <c r="O1533" s="7" t="s">
        <v>6322</v>
      </c>
    </row>
    <row r="1534" spans="1:16">
      <c r="A1534" s="6" t="s">
        <v>31</v>
      </c>
      <c r="B1534" s="7">
        <v>1378386</v>
      </c>
      <c r="C1534" s="7">
        <v>1378961</v>
      </c>
      <c r="D1534" s="8"/>
      <c r="E1534" s="7" t="s">
        <v>53</v>
      </c>
      <c r="F1534" s="7" t="s">
        <v>6323</v>
      </c>
      <c r="G1534" s="8"/>
      <c r="H1534" s="8"/>
      <c r="I1534" s="7" t="s">
        <v>55</v>
      </c>
      <c r="J1534" s="8"/>
      <c r="K1534" s="8"/>
      <c r="L1534" s="7" t="s">
        <v>6324</v>
      </c>
      <c r="M1534" s="7" t="s">
        <v>6323</v>
      </c>
      <c r="N1534" s="7">
        <v>191</v>
      </c>
      <c r="O1534" s="7" t="s">
        <v>6325</v>
      </c>
    </row>
    <row r="1535" spans="1:16">
      <c r="A1535" s="6" t="s">
        <v>31</v>
      </c>
      <c r="B1535" s="7">
        <v>1379412</v>
      </c>
      <c r="C1535" s="7">
        <v>1380275</v>
      </c>
      <c r="D1535" s="8"/>
      <c r="E1535" s="7" t="s">
        <v>53</v>
      </c>
      <c r="F1535" s="7" t="s">
        <v>2578</v>
      </c>
      <c r="G1535" s="8"/>
      <c r="H1535" s="8"/>
      <c r="I1535" s="7" t="s">
        <v>55</v>
      </c>
      <c r="J1535" s="8"/>
      <c r="K1535" s="8"/>
      <c r="L1535" s="7" t="s">
        <v>6326</v>
      </c>
      <c r="M1535" s="7" t="s">
        <v>2578</v>
      </c>
      <c r="N1535" s="7">
        <v>287</v>
      </c>
      <c r="O1535" s="7" t="s">
        <v>6327</v>
      </c>
    </row>
    <row r="1536" spans="1:16">
      <c r="A1536" s="6" t="s">
        <v>31</v>
      </c>
      <c r="B1536" s="7">
        <v>1380392</v>
      </c>
      <c r="C1536" s="7">
        <v>1381570</v>
      </c>
      <c r="D1536" s="8"/>
      <c r="E1536" s="7" t="s">
        <v>53</v>
      </c>
      <c r="F1536" s="7" t="s">
        <v>2583</v>
      </c>
      <c r="G1536" s="8"/>
      <c r="H1536" s="8"/>
      <c r="I1536" s="7" t="s">
        <v>55</v>
      </c>
      <c r="J1536" s="8"/>
      <c r="K1536" s="8"/>
      <c r="L1536" s="7" t="s">
        <v>6328</v>
      </c>
      <c r="M1536" s="7" t="s">
        <v>2583</v>
      </c>
      <c r="N1536" s="7">
        <v>392</v>
      </c>
      <c r="O1536" s="7" t="s">
        <v>6329</v>
      </c>
    </row>
    <row r="1537" spans="1:16">
      <c r="A1537" s="6" t="s">
        <v>31</v>
      </c>
      <c r="B1537" s="7">
        <v>1381816</v>
      </c>
      <c r="C1537" s="7">
        <v>1383360</v>
      </c>
      <c r="D1537" s="8"/>
      <c r="E1537" s="7" t="s">
        <v>75</v>
      </c>
      <c r="F1537" s="7" t="s">
        <v>6330</v>
      </c>
      <c r="G1537" s="7" t="s">
        <v>6331</v>
      </c>
      <c r="H1537" s="8"/>
      <c r="I1537" s="7" t="s">
        <v>55</v>
      </c>
      <c r="J1537" s="8"/>
      <c r="K1537" s="8"/>
      <c r="L1537" s="7" t="s">
        <v>6332</v>
      </c>
      <c r="M1537" s="7" t="s">
        <v>6330</v>
      </c>
      <c r="N1537" s="7">
        <v>514</v>
      </c>
      <c r="O1537" s="7" t="s">
        <v>6333</v>
      </c>
    </row>
    <row r="1538" spans="1:16">
      <c r="A1538" s="6" t="s">
        <v>31</v>
      </c>
      <c r="B1538" s="7">
        <v>1383710</v>
      </c>
      <c r="C1538" s="7">
        <v>1384375</v>
      </c>
      <c r="D1538" s="8"/>
      <c r="E1538" s="7" t="s">
        <v>75</v>
      </c>
      <c r="F1538" s="7" t="s">
        <v>5482</v>
      </c>
      <c r="G1538" s="8"/>
      <c r="H1538" s="8"/>
      <c r="I1538" s="7" t="s">
        <v>55</v>
      </c>
      <c r="J1538" s="8"/>
      <c r="K1538" s="8"/>
      <c r="L1538" s="7" t="s">
        <v>6334</v>
      </c>
      <c r="M1538" s="7" t="s">
        <v>5482</v>
      </c>
      <c r="N1538" s="7">
        <v>221</v>
      </c>
      <c r="O1538" s="7" t="s">
        <v>6335</v>
      </c>
    </row>
    <row r="1539" spans="1:16">
      <c r="A1539" s="6" t="s">
        <v>31</v>
      </c>
      <c r="B1539" s="7">
        <v>1384013</v>
      </c>
      <c r="C1539" s="7">
        <v>1384429</v>
      </c>
      <c r="D1539" s="8"/>
      <c r="E1539" s="7" t="s">
        <v>53</v>
      </c>
      <c r="F1539" s="7" t="s">
        <v>2095</v>
      </c>
      <c r="G1539" s="8"/>
      <c r="H1539" s="8"/>
      <c r="I1539" s="7" t="s">
        <v>55</v>
      </c>
      <c r="J1539" s="8"/>
      <c r="K1539" s="8"/>
      <c r="L1539" s="7" t="s">
        <v>6336</v>
      </c>
      <c r="M1539" s="7" t="s">
        <v>2095</v>
      </c>
      <c r="N1539" s="7">
        <v>138</v>
      </c>
      <c r="O1539" s="7" t="s">
        <v>6337</v>
      </c>
    </row>
    <row r="1540" spans="1:16">
      <c r="A1540" s="6" t="s">
        <v>31</v>
      </c>
      <c r="B1540" s="7">
        <v>1384464</v>
      </c>
      <c r="C1540" s="7">
        <v>1385837</v>
      </c>
      <c r="D1540" s="8"/>
      <c r="E1540" s="7" t="s">
        <v>75</v>
      </c>
      <c r="F1540" s="7" t="s">
        <v>1553</v>
      </c>
      <c r="G1540" s="7" t="s">
        <v>1554</v>
      </c>
      <c r="H1540" s="8"/>
      <c r="I1540" s="7" t="s">
        <v>55</v>
      </c>
      <c r="J1540" s="8"/>
      <c r="K1540" s="8"/>
      <c r="L1540" s="7" t="s">
        <v>6338</v>
      </c>
      <c r="M1540" s="7" t="s">
        <v>1553</v>
      </c>
      <c r="N1540" s="7">
        <v>457</v>
      </c>
      <c r="O1540" s="7" t="s">
        <v>6339</v>
      </c>
      <c r="P1540" s="7"/>
    </row>
    <row r="1541" spans="1:16">
      <c r="A1541" s="6" t="s">
        <v>31</v>
      </c>
      <c r="B1541" s="7">
        <v>1386084</v>
      </c>
      <c r="C1541" s="7">
        <v>1386677</v>
      </c>
      <c r="D1541" s="8"/>
      <c r="E1541" s="7" t="s">
        <v>53</v>
      </c>
      <c r="F1541" s="7" t="s">
        <v>2130</v>
      </c>
      <c r="G1541" s="8"/>
      <c r="H1541" s="8"/>
      <c r="I1541" s="7" t="s">
        <v>55</v>
      </c>
      <c r="J1541" s="8"/>
      <c r="K1541" s="8"/>
      <c r="L1541" s="7" t="s">
        <v>6340</v>
      </c>
      <c r="M1541" s="7" t="s">
        <v>2130</v>
      </c>
      <c r="N1541" s="7">
        <v>197</v>
      </c>
      <c r="O1541" s="7" t="s">
        <v>6341</v>
      </c>
    </row>
    <row r="1542" spans="1:16">
      <c r="A1542" s="6" t="s">
        <v>31</v>
      </c>
      <c r="B1542" s="7">
        <v>1386646</v>
      </c>
      <c r="C1542" s="7">
        <v>1387188</v>
      </c>
      <c r="D1542" s="8"/>
      <c r="E1542" s="7" t="s">
        <v>53</v>
      </c>
      <c r="F1542" s="7" t="s">
        <v>2130</v>
      </c>
      <c r="G1542" s="8"/>
      <c r="H1542" s="8"/>
      <c r="I1542" s="7" t="s">
        <v>55</v>
      </c>
      <c r="J1542" s="8"/>
      <c r="K1542" s="8"/>
      <c r="L1542" s="7" t="s">
        <v>6342</v>
      </c>
      <c r="M1542" s="7" t="s">
        <v>2130</v>
      </c>
      <c r="N1542" s="7">
        <v>180</v>
      </c>
      <c r="O1542" s="7" t="s">
        <v>6343</v>
      </c>
    </row>
    <row r="1543" spans="1:16">
      <c r="A1543" s="6" t="s">
        <v>31</v>
      </c>
      <c r="B1543" s="7">
        <v>1387427</v>
      </c>
      <c r="C1543" s="7">
        <v>1388281</v>
      </c>
      <c r="D1543" s="8"/>
      <c r="E1543" s="7" t="s">
        <v>75</v>
      </c>
      <c r="F1543" s="7" t="s">
        <v>6344</v>
      </c>
      <c r="G1543" s="8"/>
      <c r="H1543" s="8"/>
      <c r="I1543" s="7" t="s">
        <v>55</v>
      </c>
      <c r="J1543" s="8"/>
      <c r="K1543" s="8"/>
      <c r="L1543" s="7" t="s">
        <v>6345</v>
      </c>
      <c r="M1543" s="7" t="s">
        <v>6344</v>
      </c>
      <c r="N1543" s="7">
        <v>284</v>
      </c>
      <c r="O1543" s="7" t="s">
        <v>6346</v>
      </c>
    </row>
    <row r="1544" spans="1:16">
      <c r="A1544" s="6" t="s">
        <v>31</v>
      </c>
      <c r="B1544" s="7">
        <v>1388324</v>
      </c>
      <c r="C1544" s="7">
        <v>1389082</v>
      </c>
      <c r="D1544" s="8"/>
      <c r="E1544" s="7" t="s">
        <v>75</v>
      </c>
      <c r="F1544" s="7" t="s">
        <v>6347</v>
      </c>
      <c r="G1544" s="7" t="s">
        <v>6348</v>
      </c>
      <c r="H1544" s="8"/>
      <c r="I1544" s="7" t="s">
        <v>55</v>
      </c>
      <c r="J1544" s="8"/>
      <c r="K1544" s="8"/>
      <c r="L1544" s="7" t="s">
        <v>6349</v>
      </c>
      <c r="M1544" s="7" t="s">
        <v>6347</v>
      </c>
      <c r="N1544" s="7">
        <v>252</v>
      </c>
      <c r="O1544" s="7" t="s">
        <v>6350</v>
      </c>
    </row>
    <row r="1545" spans="1:16">
      <c r="A1545" s="6" t="s">
        <v>31</v>
      </c>
      <c r="B1545" s="7">
        <v>1389084</v>
      </c>
      <c r="C1545" s="7">
        <v>1389761</v>
      </c>
      <c r="D1545" s="8"/>
      <c r="E1545" s="7" t="s">
        <v>75</v>
      </c>
      <c r="F1545" s="7" t="s">
        <v>6351</v>
      </c>
      <c r="G1545" s="8"/>
      <c r="H1545" s="8"/>
      <c r="I1545" s="7" t="s">
        <v>55</v>
      </c>
      <c r="J1545" s="8"/>
      <c r="K1545" s="8"/>
      <c r="L1545" s="7" t="s">
        <v>6352</v>
      </c>
      <c r="M1545" s="7" t="s">
        <v>6351</v>
      </c>
      <c r="N1545" s="7">
        <v>225</v>
      </c>
      <c r="O1545" s="7" t="s">
        <v>6353</v>
      </c>
    </row>
    <row r="1546" spans="1:16">
      <c r="A1546" s="6" t="s">
        <v>31</v>
      </c>
      <c r="B1546" s="7">
        <v>1389721</v>
      </c>
      <c r="C1546" s="7">
        <v>1390401</v>
      </c>
      <c r="D1546" s="8"/>
      <c r="E1546" s="7" t="s">
        <v>75</v>
      </c>
      <c r="F1546" s="7" t="s">
        <v>6351</v>
      </c>
      <c r="G1546" s="8"/>
      <c r="H1546" s="8"/>
      <c r="I1546" s="7" t="s">
        <v>55</v>
      </c>
      <c r="J1546" s="8"/>
      <c r="K1546" s="8"/>
      <c r="L1546" s="7" t="s">
        <v>6354</v>
      </c>
      <c r="M1546" s="7" t="s">
        <v>6351</v>
      </c>
      <c r="N1546" s="7">
        <v>226</v>
      </c>
      <c r="O1546" s="7" t="s">
        <v>6355</v>
      </c>
    </row>
    <row r="1547" spans="1:16">
      <c r="A1547" s="6" t="s">
        <v>31</v>
      </c>
      <c r="B1547" s="7">
        <v>1390726</v>
      </c>
      <c r="C1547" s="7">
        <v>1391772</v>
      </c>
      <c r="D1547" s="8"/>
      <c r="E1547" s="7" t="s">
        <v>75</v>
      </c>
      <c r="F1547" s="7" t="s">
        <v>1561</v>
      </c>
      <c r="G1547" s="7" t="s">
        <v>6356</v>
      </c>
      <c r="H1547" s="8"/>
      <c r="I1547" s="7" t="s">
        <v>55</v>
      </c>
      <c r="J1547" s="8"/>
      <c r="K1547" s="8"/>
      <c r="L1547" s="7" t="s">
        <v>6357</v>
      </c>
      <c r="M1547" s="7" t="s">
        <v>1561</v>
      </c>
      <c r="N1547" s="7">
        <v>348</v>
      </c>
      <c r="O1547" s="7" t="s">
        <v>6358</v>
      </c>
      <c r="P1547" s="7"/>
    </row>
    <row r="1548" spans="1:16">
      <c r="A1548" s="6" t="s">
        <v>31</v>
      </c>
      <c r="B1548" s="7">
        <v>1391934</v>
      </c>
      <c r="C1548" s="7">
        <v>1392137</v>
      </c>
      <c r="D1548" s="8"/>
      <c r="E1548" s="7" t="s">
        <v>75</v>
      </c>
      <c r="F1548" s="7" t="s">
        <v>6359</v>
      </c>
      <c r="G1548" s="8"/>
      <c r="H1548" s="8"/>
      <c r="I1548" s="7" t="s">
        <v>55</v>
      </c>
      <c r="J1548" s="8"/>
      <c r="K1548" s="8"/>
      <c r="L1548" s="7" t="s">
        <v>6360</v>
      </c>
      <c r="M1548" s="7" t="s">
        <v>6359</v>
      </c>
      <c r="N1548" s="7">
        <v>67</v>
      </c>
      <c r="O1548" s="7" t="s">
        <v>6361</v>
      </c>
    </row>
    <row r="1549" spans="1:16">
      <c r="A1549" s="6" t="s">
        <v>31</v>
      </c>
      <c r="B1549" s="7">
        <v>1392212</v>
      </c>
      <c r="C1549" s="7">
        <v>1394440</v>
      </c>
      <c r="D1549" s="8"/>
      <c r="E1549" s="7" t="s">
        <v>75</v>
      </c>
      <c r="F1549" s="7" t="s">
        <v>6362</v>
      </c>
      <c r="G1549" s="7" t="s">
        <v>6363</v>
      </c>
      <c r="H1549" s="8"/>
      <c r="I1549" s="7" t="s">
        <v>55</v>
      </c>
      <c r="J1549" s="8"/>
      <c r="K1549" s="8"/>
      <c r="L1549" s="7" t="s">
        <v>6364</v>
      </c>
      <c r="M1549" s="7" t="s">
        <v>6362</v>
      </c>
      <c r="N1549" s="7">
        <v>742</v>
      </c>
      <c r="O1549" s="7" t="s">
        <v>6365</v>
      </c>
      <c r="P1549" s="7"/>
    </row>
    <row r="1550" spans="1:16">
      <c r="A1550" s="6" t="s">
        <v>31</v>
      </c>
      <c r="B1550" s="7">
        <v>1394444</v>
      </c>
      <c r="C1550" s="7">
        <v>1394875</v>
      </c>
      <c r="D1550" s="8"/>
      <c r="E1550" s="7" t="s">
        <v>75</v>
      </c>
      <c r="F1550" s="7" t="s">
        <v>6366</v>
      </c>
      <c r="G1550" s="8"/>
      <c r="H1550" s="8"/>
      <c r="I1550" s="7" t="s">
        <v>55</v>
      </c>
      <c r="J1550" s="8"/>
      <c r="K1550" s="8"/>
      <c r="L1550" s="7" t="s">
        <v>6367</v>
      </c>
      <c r="M1550" s="7" t="s">
        <v>6366</v>
      </c>
      <c r="N1550" s="7">
        <v>143</v>
      </c>
      <c r="O1550" s="7" t="s">
        <v>6368</v>
      </c>
    </row>
    <row r="1551" spans="1:16">
      <c r="A1551" s="6" t="s">
        <v>31</v>
      </c>
      <c r="B1551" s="7">
        <v>1395019</v>
      </c>
      <c r="C1551" s="7">
        <v>1395801</v>
      </c>
      <c r="D1551" s="8"/>
      <c r="E1551" s="7" t="s">
        <v>75</v>
      </c>
      <c r="F1551" s="7" t="s">
        <v>6369</v>
      </c>
      <c r="G1551" s="7" t="s">
        <v>1566</v>
      </c>
      <c r="H1551" s="8"/>
      <c r="I1551" s="7" t="s">
        <v>55</v>
      </c>
      <c r="J1551" s="8"/>
      <c r="K1551" s="8"/>
      <c r="L1551" s="7" t="s">
        <v>6370</v>
      </c>
      <c r="M1551" s="7" t="s">
        <v>6369</v>
      </c>
      <c r="N1551" s="7">
        <v>260</v>
      </c>
      <c r="O1551" s="7" t="s">
        <v>6371</v>
      </c>
      <c r="P1551" s="7"/>
    </row>
    <row r="1552" spans="1:16">
      <c r="A1552" s="6" t="s">
        <v>31</v>
      </c>
      <c r="B1552" s="7">
        <v>1395805</v>
      </c>
      <c r="C1552" s="7">
        <v>1397013</v>
      </c>
      <c r="D1552" s="8"/>
      <c r="E1552" s="7" t="s">
        <v>75</v>
      </c>
      <c r="F1552" s="7" t="s">
        <v>6372</v>
      </c>
      <c r="G1552" s="7" t="s">
        <v>1568</v>
      </c>
      <c r="H1552" s="8"/>
      <c r="I1552" s="7" t="s">
        <v>55</v>
      </c>
      <c r="J1552" s="8"/>
      <c r="K1552" s="8"/>
      <c r="L1552" s="7" t="s">
        <v>6373</v>
      </c>
      <c r="M1552" s="7" t="s">
        <v>6372</v>
      </c>
      <c r="N1552" s="7">
        <v>402</v>
      </c>
      <c r="O1552" s="7" t="s">
        <v>6374</v>
      </c>
      <c r="P1552" s="7"/>
    </row>
    <row r="1553" spans="1:17">
      <c r="A1553" s="6" t="s">
        <v>31</v>
      </c>
      <c r="B1553" s="7">
        <v>1397010</v>
      </c>
      <c r="C1553" s="7">
        <v>1397591</v>
      </c>
      <c r="D1553" s="8"/>
      <c r="E1553" s="7" t="s">
        <v>75</v>
      </c>
      <c r="F1553" s="7" t="s">
        <v>6375</v>
      </c>
      <c r="G1553" s="7" t="s">
        <v>6376</v>
      </c>
      <c r="H1553" s="8"/>
      <c r="I1553" s="7" t="s">
        <v>55</v>
      </c>
      <c r="J1553" s="8"/>
      <c r="K1553" s="8"/>
      <c r="L1553" s="7" t="s">
        <v>6377</v>
      </c>
      <c r="M1553" s="7" t="s">
        <v>6375</v>
      </c>
      <c r="N1553" s="7">
        <v>193</v>
      </c>
      <c r="O1553" s="7" t="s">
        <v>6378</v>
      </c>
      <c r="P1553" s="7"/>
    </row>
    <row r="1554" spans="1:17">
      <c r="A1554" s="6" t="s">
        <v>31</v>
      </c>
      <c r="B1554" s="7">
        <v>1397578</v>
      </c>
      <c r="C1554" s="7">
        <v>1398345</v>
      </c>
      <c r="D1554" s="8"/>
      <c r="E1554" s="7" t="s">
        <v>75</v>
      </c>
      <c r="F1554" s="7" t="s">
        <v>6379</v>
      </c>
      <c r="G1554" s="7" t="s">
        <v>1571</v>
      </c>
      <c r="H1554" s="8"/>
      <c r="I1554" s="7" t="s">
        <v>55</v>
      </c>
      <c r="J1554" s="8"/>
      <c r="K1554" s="8"/>
      <c r="L1554" s="7" t="s">
        <v>6380</v>
      </c>
      <c r="M1554" s="7" t="s">
        <v>6379</v>
      </c>
      <c r="N1554" s="7">
        <v>255</v>
      </c>
      <c r="O1554" s="7" t="s">
        <v>6381</v>
      </c>
      <c r="P1554" s="7"/>
    </row>
    <row r="1555" spans="1:17">
      <c r="A1555" s="6" t="s">
        <v>31</v>
      </c>
      <c r="B1555" s="7">
        <v>1398342</v>
      </c>
      <c r="C1555" s="7">
        <v>1399346</v>
      </c>
      <c r="D1555" s="8"/>
      <c r="E1555" s="7" t="s">
        <v>75</v>
      </c>
      <c r="F1555" s="7" t="s">
        <v>6382</v>
      </c>
      <c r="G1555" s="7" t="s">
        <v>1573</v>
      </c>
      <c r="H1555" s="8"/>
      <c r="I1555" s="7" t="s">
        <v>55</v>
      </c>
      <c r="J1555" s="8"/>
      <c r="K1555" s="8"/>
      <c r="L1555" s="7" t="s">
        <v>6383</v>
      </c>
      <c r="M1555" s="7" t="s">
        <v>6382</v>
      </c>
      <c r="N1555" s="7">
        <v>334</v>
      </c>
      <c r="O1555" s="7" t="s">
        <v>6384</v>
      </c>
      <c r="P1555" s="7"/>
    </row>
    <row r="1556" spans="1:17">
      <c r="A1556" s="6" t="s">
        <v>31</v>
      </c>
      <c r="B1556" s="7">
        <v>1399437</v>
      </c>
      <c r="C1556" s="7">
        <v>1400003</v>
      </c>
      <c r="D1556" s="8"/>
      <c r="E1556" s="7" t="s">
        <v>75</v>
      </c>
      <c r="F1556" s="7" t="s">
        <v>6385</v>
      </c>
      <c r="G1556" s="7" t="s">
        <v>6386</v>
      </c>
      <c r="H1556" s="8"/>
      <c r="I1556" s="7" t="s">
        <v>55</v>
      </c>
      <c r="J1556" s="8"/>
      <c r="K1556" s="8"/>
      <c r="L1556" s="7" t="s">
        <v>6387</v>
      </c>
      <c r="M1556" s="7" t="s">
        <v>6385</v>
      </c>
      <c r="N1556" s="7">
        <v>188</v>
      </c>
      <c r="O1556" s="7" t="s">
        <v>6388</v>
      </c>
      <c r="P1556" s="7"/>
      <c r="Q1556" s="7"/>
    </row>
    <row r="1557" spans="1:17">
      <c r="A1557" s="6" t="s">
        <v>31</v>
      </c>
      <c r="B1557" s="7">
        <v>1400000</v>
      </c>
      <c r="C1557" s="7">
        <v>1401355</v>
      </c>
      <c r="D1557" s="8"/>
      <c r="E1557" s="7" t="s">
        <v>75</v>
      </c>
      <c r="F1557" s="7" t="s">
        <v>6389</v>
      </c>
      <c r="G1557" s="7" t="s">
        <v>1576</v>
      </c>
      <c r="H1557" s="8"/>
      <c r="I1557" s="7" t="s">
        <v>55</v>
      </c>
      <c r="J1557" s="8"/>
      <c r="K1557" s="8"/>
      <c r="L1557" s="7" t="s">
        <v>6390</v>
      </c>
      <c r="M1557" s="7" t="s">
        <v>6389</v>
      </c>
      <c r="N1557" s="7">
        <v>451</v>
      </c>
      <c r="O1557" s="7" t="s">
        <v>6391</v>
      </c>
      <c r="P1557" s="7"/>
    </row>
    <row r="1558" spans="1:17">
      <c r="A1558" s="6" t="s">
        <v>31</v>
      </c>
      <c r="B1558" s="7">
        <v>1401432</v>
      </c>
      <c r="C1558" s="7">
        <v>1401713</v>
      </c>
      <c r="D1558" s="8"/>
      <c r="E1558" s="7" t="s">
        <v>75</v>
      </c>
      <c r="F1558" s="7" t="s">
        <v>6392</v>
      </c>
      <c r="G1558" s="8"/>
      <c r="H1558" s="8"/>
      <c r="I1558" s="7" t="s">
        <v>55</v>
      </c>
      <c r="J1558" s="8"/>
      <c r="K1558" s="8"/>
      <c r="L1558" s="7" t="s">
        <v>6393</v>
      </c>
      <c r="M1558" s="7" t="s">
        <v>6392</v>
      </c>
      <c r="N1558" s="7">
        <v>93</v>
      </c>
      <c r="O1558" s="7" t="s">
        <v>6394</v>
      </c>
      <c r="P1558" s="7"/>
    </row>
    <row r="1559" spans="1:17">
      <c r="A1559" s="6" t="s">
        <v>31</v>
      </c>
      <c r="B1559" s="7">
        <v>1402308</v>
      </c>
      <c r="C1559" s="7">
        <v>1402658</v>
      </c>
      <c r="D1559" s="8"/>
      <c r="E1559" s="7" t="s">
        <v>75</v>
      </c>
      <c r="F1559" s="7" t="s">
        <v>6395</v>
      </c>
      <c r="G1559" s="8"/>
      <c r="H1559" s="8"/>
      <c r="I1559" s="7" t="s">
        <v>55</v>
      </c>
      <c r="J1559" s="8"/>
      <c r="K1559" s="8"/>
      <c r="L1559" s="7" t="s">
        <v>6396</v>
      </c>
      <c r="M1559" s="7" t="s">
        <v>6395</v>
      </c>
      <c r="N1559" s="7">
        <v>116</v>
      </c>
      <c r="O1559" s="7" t="s">
        <v>6397</v>
      </c>
    </row>
    <row r="1560" spans="1:17">
      <c r="A1560" s="6" t="s">
        <v>31</v>
      </c>
      <c r="B1560" s="7">
        <v>1402740</v>
      </c>
      <c r="C1560" s="7">
        <v>1405100</v>
      </c>
      <c r="D1560" s="8"/>
      <c r="E1560" s="7" t="s">
        <v>75</v>
      </c>
      <c r="F1560" s="7" t="s">
        <v>6398</v>
      </c>
      <c r="G1560" s="7" t="s">
        <v>6399</v>
      </c>
      <c r="H1560" s="8"/>
      <c r="I1560" s="7" t="s">
        <v>55</v>
      </c>
      <c r="J1560" s="8"/>
      <c r="K1560" s="8"/>
      <c r="L1560" s="7" t="s">
        <v>6400</v>
      </c>
      <c r="M1560" s="7" t="s">
        <v>6398</v>
      </c>
      <c r="N1560" s="7">
        <v>786</v>
      </c>
      <c r="O1560" s="7" t="s">
        <v>6401</v>
      </c>
      <c r="P1560" s="7"/>
    </row>
    <row r="1561" spans="1:17">
      <c r="A1561" s="6" t="s">
        <v>31</v>
      </c>
      <c r="B1561" s="7">
        <v>1405239</v>
      </c>
      <c r="C1561" s="7">
        <v>1405430</v>
      </c>
      <c r="D1561" s="8"/>
      <c r="E1561" s="7" t="s">
        <v>75</v>
      </c>
      <c r="F1561" s="7" t="s">
        <v>2095</v>
      </c>
      <c r="G1561" s="8"/>
      <c r="H1561" s="8"/>
      <c r="I1561" s="7" t="s">
        <v>55</v>
      </c>
      <c r="J1561" s="8"/>
      <c r="K1561" s="8"/>
      <c r="L1561" s="7" t="s">
        <v>6402</v>
      </c>
      <c r="M1561" s="7" t="s">
        <v>2095</v>
      </c>
      <c r="N1561" s="7">
        <v>63</v>
      </c>
      <c r="O1561" s="7" t="s">
        <v>6403</v>
      </c>
    </row>
    <row r="1562" spans="1:17">
      <c r="A1562" s="6" t="s">
        <v>31</v>
      </c>
      <c r="B1562" s="7">
        <v>1405360</v>
      </c>
      <c r="C1562" s="7">
        <v>1405674</v>
      </c>
      <c r="D1562" s="8"/>
      <c r="E1562" s="7" t="s">
        <v>75</v>
      </c>
      <c r="F1562" s="7" t="s">
        <v>2130</v>
      </c>
      <c r="G1562" s="8"/>
      <c r="H1562" s="8"/>
      <c r="I1562" s="7" t="s">
        <v>55</v>
      </c>
      <c r="J1562" s="8"/>
      <c r="K1562" s="8"/>
      <c r="L1562" s="7" t="s">
        <v>6404</v>
      </c>
      <c r="M1562" s="7" t="s">
        <v>2130</v>
      </c>
      <c r="N1562" s="7">
        <v>104</v>
      </c>
      <c r="O1562" s="7" t="s">
        <v>6405</v>
      </c>
    </row>
    <row r="1563" spans="1:17">
      <c r="A1563" s="6" t="s">
        <v>31</v>
      </c>
      <c r="B1563" s="7">
        <v>1405920</v>
      </c>
      <c r="C1563" s="7">
        <v>1406039</v>
      </c>
      <c r="D1563" s="8"/>
      <c r="E1563" s="7" t="s">
        <v>53</v>
      </c>
      <c r="F1563" s="7" t="s">
        <v>2095</v>
      </c>
      <c r="G1563" s="8"/>
      <c r="H1563" s="8"/>
      <c r="I1563" s="7" t="s">
        <v>55</v>
      </c>
      <c r="J1563" s="8"/>
      <c r="K1563" s="8"/>
      <c r="L1563" s="7" t="s">
        <v>6406</v>
      </c>
      <c r="M1563" s="7" t="s">
        <v>2095</v>
      </c>
      <c r="N1563" s="7">
        <v>39</v>
      </c>
      <c r="O1563" s="7" t="s">
        <v>6407</v>
      </c>
    </row>
    <row r="1564" spans="1:17">
      <c r="A1564" s="6" t="s">
        <v>31</v>
      </c>
      <c r="B1564" s="7">
        <v>1406064</v>
      </c>
      <c r="C1564" s="7">
        <v>1406363</v>
      </c>
      <c r="D1564" s="8"/>
      <c r="E1564" s="7" t="s">
        <v>53</v>
      </c>
      <c r="F1564" s="7" t="s">
        <v>6408</v>
      </c>
      <c r="G1564" s="8"/>
      <c r="H1564" s="8"/>
      <c r="I1564" s="7" t="s">
        <v>55</v>
      </c>
      <c r="J1564" s="8"/>
      <c r="K1564" s="8"/>
      <c r="L1564" s="7" t="s">
        <v>6409</v>
      </c>
      <c r="M1564" s="7" t="s">
        <v>6408</v>
      </c>
      <c r="N1564" s="7">
        <v>99</v>
      </c>
      <c r="O1564" s="7" t="s">
        <v>6410</v>
      </c>
    </row>
    <row r="1565" spans="1:17">
      <c r="A1565" s="6" t="s">
        <v>31</v>
      </c>
      <c r="B1565" s="7">
        <v>1406360</v>
      </c>
      <c r="C1565" s="7">
        <v>1406479</v>
      </c>
      <c r="D1565" s="8"/>
      <c r="E1565" s="7" t="s">
        <v>75</v>
      </c>
      <c r="F1565" s="7" t="s">
        <v>2095</v>
      </c>
      <c r="G1565" s="8"/>
      <c r="H1565" s="8"/>
      <c r="I1565" s="7" t="s">
        <v>55</v>
      </c>
      <c r="J1565" s="8"/>
      <c r="K1565" s="8"/>
      <c r="L1565" s="7" t="s">
        <v>6411</v>
      </c>
      <c r="M1565" s="7" t="s">
        <v>2095</v>
      </c>
      <c r="N1565" s="7">
        <v>39</v>
      </c>
      <c r="O1565" s="7" t="s">
        <v>6412</v>
      </c>
    </row>
    <row r="1566" spans="1:17">
      <c r="A1566" s="6" t="s">
        <v>31</v>
      </c>
      <c r="B1566" s="7">
        <v>1406521</v>
      </c>
      <c r="C1566" s="7">
        <v>1406811</v>
      </c>
      <c r="D1566" s="8"/>
      <c r="E1566" s="7" t="s">
        <v>75</v>
      </c>
      <c r="F1566" s="7" t="s">
        <v>1280</v>
      </c>
      <c r="G1566" s="8"/>
      <c r="H1566" s="8"/>
      <c r="I1566" s="7" t="s">
        <v>55</v>
      </c>
      <c r="J1566" s="8"/>
      <c r="K1566" s="8"/>
      <c r="L1566" s="7" t="s">
        <v>6413</v>
      </c>
      <c r="M1566" s="7" t="s">
        <v>1280</v>
      </c>
      <c r="N1566" s="7">
        <v>96</v>
      </c>
      <c r="O1566" s="7" t="s">
        <v>6414</v>
      </c>
    </row>
    <row r="1567" spans="1:17">
      <c r="A1567" s="6" t="s">
        <v>31</v>
      </c>
      <c r="B1567" s="7">
        <v>1406917</v>
      </c>
      <c r="C1567" s="7">
        <v>1407645</v>
      </c>
      <c r="D1567" s="8"/>
      <c r="E1567" s="7" t="s">
        <v>75</v>
      </c>
      <c r="F1567" s="7" t="s">
        <v>6415</v>
      </c>
      <c r="G1567" s="8"/>
      <c r="H1567" s="8"/>
      <c r="I1567" s="7" t="s">
        <v>55</v>
      </c>
      <c r="J1567" s="8"/>
      <c r="K1567" s="8"/>
      <c r="L1567" s="7" t="s">
        <v>6416</v>
      </c>
      <c r="M1567" s="7" t="s">
        <v>6415</v>
      </c>
      <c r="N1567" s="7">
        <v>242</v>
      </c>
      <c r="O1567" s="7" t="s">
        <v>6417</v>
      </c>
    </row>
    <row r="1568" spans="1:17">
      <c r="A1568" s="6" t="s">
        <v>31</v>
      </c>
      <c r="B1568" s="7">
        <v>1407821</v>
      </c>
      <c r="C1568" s="7">
        <v>1408411</v>
      </c>
      <c r="D1568" s="8"/>
      <c r="E1568" s="7" t="s">
        <v>75</v>
      </c>
      <c r="F1568" s="7" t="s">
        <v>6418</v>
      </c>
      <c r="G1568" s="8"/>
      <c r="H1568" s="8"/>
      <c r="I1568" s="7" t="s">
        <v>55</v>
      </c>
      <c r="J1568" s="8"/>
      <c r="K1568" s="8"/>
      <c r="L1568" s="7" t="s">
        <v>6419</v>
      </c>
      <c r="M1568" s="7" t="s">
        <v>6418</v>
      </c>
      <c r="N1568" s="7">
        <v>196</v>
      </c>
      <c r="O1568" s="7" t="s">
        <v>6420</v>
      </c>
      <c r="P1568" s="7"/>
    </row>
    <row r="1569" spans="1:17">
      <c r="A1569" s="6" t="s">
        <v>31</v>
      </c>
      <c r="B1569" s="7">
        <v>1408461</v>
      </c>
      <c r="C1569" s="7">
        <v>1408997</v>
      </c>
      <c r="D1569" s="8"/>
      <c r="E1569" s="7" t="s">
        <v>75</v>
      </c>
      <c r="F1569" s="7" t="s">
        <v>2361</v>
      </c>
      <c r="G1569" s="8"/>
      <c r="H1569" s="8"/>
      <c r="I1569" s="7" t="s">
        <v>55</v>
      </c>
      <c r="J1569" s="8"/>
      <c r="K1569" s="8"/>
      <c r="L1569" s="7" t="s">
        <v>6421</v>
      </c>
      <c r="M1569" s="7" t="s">
        <v>2361</v>
      </c>
      <c r="N1569" s="7">
        <v>178</v>
      </c>
      <c r="O1569" s="7" t="s">
        <v>6422</v>
      </c>
    </row>
    <row r="1570" spans="1:17">
      <c r="A1570" s="6" t="s">
        <v>31</v>
      </c>
      <c r="B1570" s="7">
        <v>1409502</v>
      </c>
      <c r="C1570" s="7">
        <v>1409861</v>
      </c>
      <c r="D1570" s="8"/>
      <c r="E1570" s="7" t="s">
        <v>53</v>
      </c>
      <c r="F1570" s="7" t="s">
        <v>6423</v>
      </c>
      <c r="G1570" s="8"/>
      <c r="H1570" s="8"/>
      <c r="I1570" s="7" t="s">
        <v>55</v>
      </c>
      <c r="J1570" s="8"/>
      <c r="K1570" s="8"/>
      <c r="L1570" s="7" t="s">
        <v>6424</v>
      </c>
      <c r="M1570" s="7" t="s">
        <v>6423</v>
      </c>
      <c r="N1570" s="7">
        <v>119</v>
      </c>
      <c r="O1570" s="7" t="s">
        <v>6425</v>
      </c>
    </row>
    <row r="1571" spans="1:17">
      <c r="A1571" s="6" t="s">
        <v>31</v>
      </c>
      <c r="B1571" s="7">
        <v>1410009</v>
      </c>
      <c r="C1571" s="7">
        <v>1411712</v>
      </c>
      <c r="D1571" s="8"/>
      <c r="E1571" s="7" t="s">
        <v>75</v>
      </c>
      <c r="F1571" s="7" t="s">
        <v>6426</v>
      </c>
      <c r="G1571" s="7" t="s">
        <v>1587</v>
      </c>
      <c r="H1571" s="8"/>
      <c r="I1571" s="7" t="s">
        <v>55</v>
      </c>
      <c r="J1571" s="8"/>
      <c r="K1571" s="8"/>
      <c r="L1571" s="7" t="s">
        <v>6427</v>
      </c>
      <c r="M1571" s="7" t="s">
        <v>6426</v>
      </c>
      <c r="N1571" s="7">
        <v>567</v>
      </c>
      <c r="O1571" s="7" t="s">
        <v>6428</v>
      </c>
      <c r="P1571" s="7"/>
    </row>
    <row r="1572" spans="1:17">
      <c r="A1572" s="6" t="s">
        <v>31</v>
      </c>
      <c r="B1572" s="7">
        <v>1411840</v>
      </c>
      <c r="C1572" s="7">
        <v>1413021</v>
      </c>
      <c r="D1572" s="8"/>
      <c r="E1572" s="7" t="s">
        <v>53</v>
      </c>
      <c r="F1572" s="7" t="s">
        <v>6429</v>
      </c>
      <c r="G1572" s="7" t="s">
        <v>6430</v>
      </c>
      <c r="H1572" s="8"/>
      <c r="I1572" s="7" t="s">
        <v>55</v>
      </c>
      <c r="J1572" s="8"/>
      <c r="K1572" s="8"/>
      <c r="L1572" s="7" t="s">
        <v>6431</v>
      </c>
      <c r="M1572" s="7" t="s">
        <v>6429</v>
      </c>
      <c r="N1572" s="7">
        <v>393</v>
      </c>
      <c r="O1572" s="7" t="s">
        <v>6432</v>
      </c>
      <c r="P1572" s="7"/>
    </row>
    <row r="1573" spans="1:17">
      <c r="A1573" s="6" t="s">
        <v>31</v>
      </c>
      <c r="B1573" s="7">
        <v>1413257</v>
      </c>
      <c r="C1573" s="7">
        <v>1413898</v>
      </c>
      <c r="D1573" s="8"/>
      <c r="E1573" s="7" t="s">
        <v>75</v>
      </c>
      <c r="F1573" s="7" t="s">
        <v>6433</v>
      </c>
      <c r="G1573" s="7" t="s">
        <v>1590</v>
      </c>
      <c r="H1573" s="8"/>
      <c r="I1573" s="7" t="s">
        <v>55</v>
      </c>
      <c r="J1573" s="8"/>
      <c r="K1573" s="8"/>
      <c r="L1573" s="7" t="s">
        <v>6434</v>
      </c>
      <c r="M1573" s="7" t="s">
        <v>6433</v>
      </c>
      <c r="N1573" s="7">
        <v>213</v>
      </c>
      <c r="O1573" s="7" t="s">
        <v>6435</v>
      </c>
      <c r="P1573" s="7"/>
    </row>
    <row r="1574" spans="1:17">
      <c r="A1574" s="6" t="s">
        <v>31</v>
      </c>
      <c r="B1574" s="7">
        <v>1413908</v>
      </c>
      <c r="C1574" s="7">
        <v>1414699</v>
      </c>
      <c r="D1574" s="8"/>
      <c r="E1574" s="7" t="s">
        <v>75</v>
      </c>
      <c r="F1574" s="7" t="s">
        <v>6436</v>
      </c>
      <c r="G1574" s="8"/>
      <c r="H1574" s="8"/>
      <c r="I1574" s="7" t="s">
        <v>55</v>
      </c>
      <c r="J1574" s="8"/>
      <c r="K1574" s="8"/>
      <c r="L1574" s="7" t="s">
        <v>6437</v>
      </c>
      <c r="M1574" s="7" t="s">
        <v>6436</v>
      </c>
      <c r="N1574" s="7">
        <v>263</v>
      </c>
      <c r="O1574" s="7" t="s">
        <v>6438</v>
      </c>
    </row>
    <row r="1575" spans="1:17">
      <c r="A1575" s="6" t="s">
        <v>31</v>
      </c>
      <c r="B1575" s="7">
        <v>1414757</v>
      </c>
      <c r="C1575" s="7">
        <v>1415794</v>
      </c>
      <c r="D1575" s="8"/>
      <c r="E1575" s="7" t="s">
        <v>75</v>
      </c>
      <c r="F1575" s="7" t="s">
        <v>6439</v>
      </c>
      <c r="G1575" s="8"/>
      <c r="H1575" s="8"/>
      <c r="I1575" s="7" t="s">
        <v>55</v>
      </c>
      <c r="J1575" s="8"/>
      <c r="K1575" s="8"/>
      <c r="L1575" s="7" t="s">
        <v>6440</v>
      </c>
      <c r="M1575" s="7" t="s">
        <v>6439</v>
      </c>
      <c r="N1575" s="7">
        <v>345</v>
      </c>
      <c r="O1575" s="7" t="s">
        <v>6441</v>
      </c>
    </row>
    <row r="1576" spans="1:17">
      <c r="A1576" s="6" t="s">
        <v>31</v>
      </c>
      <c r="B1576" s="7">
        <v>1415791</v>
      </c>
      <c r="C1576" s="7">
        <v>1416522</v>
      </c>
      <c r="D1576" s="8"/>
      <c r="E1576" s="7" t="s">
        <v>75</v>
      </c>
      <c r="F1576" s="7" t="s">
        <v>6442</v>
      </c>
      <c r="G1576" s="7" t="s">
        <v>6443</v>
      </c>
      <c r="H1576" s="8"/>
      <c r="I1576" s="7" t="s">
        <v>55</v>
      </c>
      <c r="J1576" s="8"/>
      <c r="K1576" s="8"/>
      <c r="L1576" s="7" t="s">
        <v>6444</v>
      </c>
      <c r="M1576" s="7" t="s">
        <v>6442</v>
      </c>
      <c r="N1576" s="7">
        <v>243</v>
      </c>
      <c r="O1576" s="7" t="s">
        <v>6445</v>
      </c>
    </row>
    <row r="1577" spans="1:17">
      <c r="A1577" s="6" t="s">
        <v>31</v>
      </c>
      <c r="B1577" s="7">
        <v>1416587</v>
      </c>
      <c r="C1577" s="7">
        <v>1417006</v>
      </c>
      <c r="D1577" s="8"/>
      <c r="E1577" s="7" t="s">
        <v>53</v>
      </c>
      <c r="F1577" s="7" t="s">
        <v>6446</v>
      </c>
      <c r="G1577" s="7" t="s">
        <v>6447</v>
      </c>
      <c r="H1577" s="8"/>
      <c r="I1577" s="7" t="s">
        <v>55</v>
      </c>
      <c r="J1577" s="8"/>
      <c r="K1577" s="8"/>
      <c r="L1577" s="7" t="s">
        <v>6448</v>
      </c>
      <c r="M1577" s="7" t="s">
        <v>6446</v>
      </c>
      <c r="N1577" s="7">
        <v>139</v>
      </c>
      <c r="O1577" s="7" t="s">
        <v>6449</v>
      </c>
      <c r="P1577" s="7"/>
      <c r="Q1577" s="7"/>
    </row>
    <row r="1578" spans="1:17">
      <c r="A1578" s="6" t="s">
        <v>31</v>
      </c>
      <c r="B1578" s="7">
        <v>1417003</v>
      </c>
      <c r="C1578" s="7">
        <v>1417311</v>
      </c>
      <c r="D1578" s="8"/>
      <c r="E1578" s="7" t="s">
        <v>53</v>
      </c>
      <c r="F1578" s="7" t="s">
        <v>2130</v>
      </c>
      <c r="G1578" s="8"/>
      <c r="H1578" s="8"/>
      <c r="I1578" s="7" t="s">
        <v>55</v>
      </c>
      <c r="J1578" s="8"/>
      <c r="K1578" s="8"/>
      <c r="L1578" s="7" t="s">
        <v>6450</v>
      </c>
      <c r="M1578" s="7" t="s">
        <v>2130</v>
      </c>
      <c r="N1578" s="7">
        <v>102</v>
      </c>
      <c r="O1578" s="7" t="s">
        <v>6451</v>
      </c>
    </row>
    <row r="1579" spans="1:17">
      <c r="A1579" s="6" t="s">
        <v>31</v>
      </c>
      <c r="B1579" s="7">
        <v>1417863</v>
      </c>
      <c r="C1579" s="7">
        <v>1418033</v>
      </c>
      <c r="D1579" s="8"/>
      <c r="E1579" s="7" t="s">
        <v>75</v>
      </c>
      <c r="F1579" s="7" t="s">
        <v>2130</v>
      </c>
      <c r="G1579" s="8"/>
      <c r="H1579" s="8"/>
      <c r="I1579" s="7" t="s">
        <v>55</v>
      </c>
      <c r="J1579" s="8"/>
      <c r="K1579" s="8"/>
      <c r="L1579" s="7" t="s">
        <v>6452</v>
      </c>
      <c r="M1579" s="7" t="s">
        <v>2130</v>
      </c>
      <c r="N1579" s="7">
        <v>56</v>
      </c>
      <c r="O1579" s="7" t="s">
        <v>6453</v>
      </c>
    </row>
    <row r="1580" spans="1:17">
      <c r="A1580" s="6" t="s">
        <v>31</v>
      </c>
      <c r="B1580" s="7">
        <v>1418103</v>
      </c>
      <c r="C1580" s="7">
        <v>1418738</v>
      </c>
      <c r="D1580" s="8"/>
      <c r="E1580" s="7" t="s">
        <v>75</v>
      </c>
      <c r="F1580" s="7" t="s">
        <v>2130</v>
      </c>
      <c r="G1580" s="8"/>
      <c r="H1580" s="8"/>
      <c r="I1580" s="7" t="s">
        <v>55</v>
      </c>
      <c r="J1580" s="8"/>
      <c r="K1580" s="8"/>
      <c r="L1580" s="7" t="s">
        <v>6454</v>
      </c>
      <c r="M1580" s="7" t="s">
        <v>2130</v>
      </c>
      <c r="N1580" s="7">
        <v>211</v>
      </c>
      <c r="O1580" s="7" t="s">
        <v>6455</v>
      </c>
    </row>
    <row r="1581" spans="1:17">
      <c r="A1581" s="6" t="s">
        <v>31</v>
      </c>
      <c r="B1581" s="7">
        <v>1419291</v>
      </c>
      <c r="C1581" s="7">
        <v>1421390</v>
      </c>
      <c r="D1581" s="8"/>
      <c r="E1581" s="7" t="s">
        <v>75</v>
      </c>
      <c r="F1581" s="7" t="s">
        <v>3777</v>
      </c>
      <c r="G1581" s="7" t="s">
        <v>3778</v>
      </c>
      <c r="H1581" s="8"/>
      <c r="I1581" s="7" t="s">
        <v>55</v>
      </c>
      <c r="J1581" s="8"/>
      <c r="K1581" s="8"/>
      <c r="L1581" s="7" t="s">
        <v>6456</v>
      </c>
      <c r="M1581" s="7" t="s">
        <v>3777</v>
      </c>
      <c r="N1581" s="7">
        <v>699</v>
      </c>
      <c r="O1581" s="7" t="s">
        <v>6457</v>
      </c>
    </row>
    <row r="1582" spans="1:17">
      <c r="A1582" s="6" t="s">
        <v>31</v>
      </c>
      <c r="B1582" s="7">
        <v>1422105</v>
      </c>
      <c r="C1582" s="7">
        <v>1423196</v>
      </c>
      <c r="D1582" s="8"/>
      <c r="E1582" s="7" t="s">
        <v>75</v>
      </c>
      <c r="F1582" s="7" t="s">
        <v>6458</v>
      </c>
      <c r="G1582" s="7" t="s">
        <v>6459</v>
      </c>
      <c r="H1582" s="8"/>
      <c r="I1582" s="7" t="s">
        <v>55</v>
      </c>
      <c r="J1582" s="8"/>
      <c r="K1582" s="8"/>
      <c r="L1582" s="7" t="s">
        <v>6460</v>
      </c>
      <c r="M1582" s="7" t="s">
        <v>6458</v>
      </c>
      <c r="N1582" s="7">
        <v>363</v>
      </c>
      <c r="O1582" s="7" t="s">
        <v>6461</v>
      </c>
      <c r="P1582" s="7"/>
    </row>
    <row r="1583" spans="1:17">
      <c r="A1583" s="6" t="s">
        <v>31</v>
      </c>
      <c r="B1583" s="7">
        <v>1423203</v>
      </c>
      <c r="C1583" s="7">
        <v>1424012</v>
      </c>
      <c r="D1583" s="8"/>
      <c r="E1583" s="7" t="s">
        <v>75</v>
      </c>
      <c r="F1583" s="7" t="s">
        <v>6462</v>
      </c>
      <c r="G1583" s="8"/>
      <c r="H1583" s="8"/>
      <c r="I1583" s="7" t="s">
        <v>55</v>
      </c>
      <c r="J1583" s="8"/>
      <c r="K1583" s="8"/>
      <c r="L1583" s="7" t="s">
        <v>6463</v>
      </c>
      <c r="M1583" s="7" t="s">
        <v>6462</v>
      </c>
      <c r="N1583" s="7">
        <v>269</v>
      </c>
      <c r="O1583" s="7" t="s">
        <v>6464</v>
      </c>
      <c r="P1583" s="7"/>
    </row>
    <row r="1584" spans="1:17">
      <c r="A1584" s="6" t="s">
        <v>31</v>
      </c>
      <c r="B1584" s="7">
        <v>1424268</v>
      </c>
      <c r="C1584" s="7">
        <v>1424621</v>
      </c>
      <c r="D1584" s="8"/>
      <c r="E1584" s="7" t="s">
        <v>75</v>
      </c>
      <c r="F1584" s="7" t="s">
        <v>6465</v>
      </c>
      <c r="G1584" s="7" t="s">
        <v>1603</v>
      </c>
      <c r="H1584" s="8"/>
      <c r="I1584" s="7" t="s">
        <v>55</v>
      </c>
      <c r="J1584" s="8"/>
      <c r="K1584" s="8"/>
      <c r="L1584" s="7" t="s">
        <v>6466</v>
      </c>
      <c r="M1584" s="7" t="s">
        <v>6465</v>
      </c>
      <c r="N1584" s="7">
        <v>117</v>
      </c>
      <c r="O1584" s="7" t="s">
        <v>6467</v>
      </c>
    </row>
    <row r="1585" spans="1:16">
      <c r="A1585" s="6" t="s">
        <v>31</v>
      </c>
      <c r="B1585" s="7">
        <v>1424645</v>
      </c>
      <c r="C1585" s="7">
        <v>1425235</v>
      </c>
      <c r="D1585" s="8"/>
      <c r="E1585" s="7" t="s">
        <v>75</v>
      </c>
      <c r="F1585" s="7" t="s">
        <v>6468</v>
      </c>
      <c r="G1585" s="8"/>
      <c r="H1585" s="8"/>
      <c r="I1585" s="7" t="s">
        <v>55</v>
      </c>
      <c r="J1585" s="8"/>
      <c r="K1585" s="8"/>
      <c r="L1585" s="7" t="s">
        <v>6469</v>
      </c>
      <c r="M1585" s="7" t="s">
        <v>6468</v>
      </c>
      <c r="N1585" s="7">
        <v>196</v>
      </c>
      <c r="O1585" s="7" t="s">
        <v>6470</v>
      </c>
    </row>
    <row r="1586" spans="1:16">
      <c r="A1586" s="6" t="s">
        <v>31</v>
      </c>
      <c r="B1586" s="7">
        <v>1425232</v>
      </c>
      <c r="C1586" s="7">
        <v>1425864</v>
      </c>
      <c r="D1586" s="8"/>
      <c r="E1586" s="7" t="s">
        <v>75</v>
      </c>
      <c r="F1586" s="7" t="s">
        <v>1606</v>
      </c>
      <c r="G1586" s="7" t="s">
        <v>6471</v>
      </c>
      <c r="H1586" s="8"/>
      <c r="I1586" s="7" t="s">
        <v>55</v>
      </c>
      <c r="J1586" s="8"/>
      <c r="K1586" s="8"/>
      <c r="L1586" s="7" t="s">
        <v>6472</v>
      </c>
      <c r="M1586" s="7" t="s">
        <v>1606</v>
      </c>
      <c r="N1586" s="7">
        <v>210</v>
      </c>
      <c r="O1586" s="7" t="s">
        <v>6473</v>
      </c>
    </row>
    <row r="1587" spans="1:16">
      <c r="A1587" s="6" t="s">
        <v>31</v>
      </c>
      <c r="B1587" s="7">
        <v>1425968</v>
      </c>
      <c r="C1587" s="7">
        <v>1426285</v>
      </c>
      <c r="D1587" s="8"/>
      <c r="E1587" s="7" t="s">
        <v>75</v>
      </c>
      <c r="F1587" s="7" t="s">
        <v>6474</v>
      </c>
      <c r="G1587" s="7" t="s">
        <v>6475</v>
      </c>
      <c r="H1587" s="8"/>
      <c r="I1587" s="7" t="s">
        <v>55</v>
      </c>
      <c r="J1587" s="8"/>
      <c r="K1587" s="8"/>
      <c r="L1587" s="7" t="s">
        <v>6476</v>
      </c>
      <c r="M1587" s="7" t="s">
        <v>6474</v>
      </c>
      <c r="N1587" s="7">
        <v>105</v>
      </c>
      <c r="O1587" s="7" t="s">
        <v>6477</v>
      </c>
    </row>
    <row r="1588" spans="1:16">
      <c r="A1588" s="6" t="s">
        <v>31</v>
      </c>
      <c r="B1588" s="7">
        <v>1426524</v>
      </c>
      <c r="C1588" s="7">
        <v>1427642</v>
      </c>
      <c r="D1588" s="8"/>
      <c r="E1588" s="7" t="s">
        <v>75</v>
      </c>
      <c r="F1588" s="7" t="s">
        <v>6478</v>
      </c>
      <c r="G1588" s="7" t="s">
        <v>6479</v>
      </c>
      <c r="H1588" s="8"/>
      <c r="I1588" s="7" t="s">
        <v>55</v>
      </c>
      <c r="J1588" s="8"/>
      <c r="K1588" s="8"/>
      <c r="L1588" s="7" t="s">
        <v>6480</v>
      </c>
      <c r="M1588" s="7" t="s">
        <v>6478</v>
      </c>
      <c r="N1588" s="7">
        <v>372</v>
      </c>
      <c r="O1588" s="7" t="s">
        <v>6481</v>
      </c>
    </row>
    <row r="1589" spans="1:16">
      <c r="A1589" s="6" t="s">
        <v>31</v>
      </c>
      <c r="B1589" s="7">
        <v>1427642</v>
      </c>
      <c r="C1589" s="7">
        <v>1428169</v>
      </c>
      <c r="D1589" s="8"/>
      <c r="E1589" s="7" t="s">
        <v>75</v>
      </c>
      <c r="F1589" s="7" t="s">
        <v>6482</v>
      </c>
      <c r="G1589" s="8"/>
      <c r="H1589" s="8"/>
      <c r="I1589" s="7" t="s">
        <v>55</v>
      </c>
      <c r="J1589" s="8"/>
      <c r="K1589" s="8"/>
      <c r="L1589" s="7" t="s">
        <v>6483</v>
      </c>
      <c r="M1589" s="7" t="s">
        <v>6482</v>
      </c>
      <c r="N1589" s="7">
        <v>175</v>
      </c>
      <c r="O1589" s="7" t="s">
        <v>6484</v>
      </c>
    </row>
    <row r="1590" spans="1:16">
      <c r="A1590" s="6" t="s">
        <v>31</v>
      </c>
      <c r="B1590" s="7">
        <v>1428306</v>
      </c>
      <c r="C1590" s="7">
        <v>1429220</v>
      </c>
      <c r="D1590" s="8"/>
      <c r="E1590" s="7" t="s">
        <v>75</v>
      </c>
      <c r="F1590" s="7" t="s">
        <v>6485</v>
      </c>
      <c r="G1590" s="8"/>
      <c r="H1590" s="8"/>
      <c r="I1590" s="7" t="s">
        <v>55</v>
      </c>
      <c r="J1590" s="8"/>
      <c r="K1590" s="8"/>
      <c r="L1590" s="7" t="s">
        <v>6486</v>
      </c>
      <c r="M1590" s="7" t="s">
        <v>6485</v>
      </c>
      <c r="N1590" s="7">
        <v>304</v>
      </c>
      <c r="O1590" s="7" t="s">
        <v>6487</v>
      </c>
    </row>
    <row r="1591" spans="1:16">
      <c r="A1591" s="6" t="s">
        <v>31</v>
      </c>
      <c r="B1591" s="7">
        <v>1429297</v>
      </c>
      <c r="C1591" s="7">
        <v>1429680</v>
      </c>
      <c r="D1591" s="8"/>
      <c r="E1591" s="7" t="s">
        <v>75</v>
      </c>
      <c r="F1591" s="7" t="s">
        <v>2212</v>
      </c>
      <c r="G1591" s="8"/>
      <c r="H1591" s="8"/>
      <c r="I1591" s="7" t="s">
        <v>55</v>
      </c>
      <c r="J1591" s="8"/>
      <c r="K1591" s="8"/>
      <c r="L1591" s="7" t="s">
        <v>6488</v>
      </c>
      <c r="M1591" s="7" t="s">
        <v>2212</v>
      </c>
      <c r="N1591" s="7">
        <v>127</v>
      </c>
      <c r="O1591" s="7" t="s">
        <v>6489</v>
      </c>
    </row>
    <row r="1592" spans="1:16">
      <c r="A1592" s="6" t="s">
        <v>31</v>
      </c>
      <c r="B1592" s="7">
        <v>1429778</v>
      </c>
      <c r="C1592" s="7">
        <v>1431220</v>
      </c>
      <c r="D1592" s="8"/>
      <c r="E1592" s="7" t="s">
        <v>75</v>
      </c>
      <c r="F1592" s="7" t="s">
        <v>6490</v>
      </c>
      <c r="G1592" s="7" t="s">
        <v>1613</v>
      </c>
      <c r="H1592" s="8"/>
      <c r="I1592" s="7" t="s">
        <v>55</v>
      </c>
      <c r="J1592" s="8"/>
      <c r="K1592" s="8"/>
      <c r="L1592" s="7" t="s">
        <v>6491</v>
      </c>
      <c r="M1592" s="7" t="s">
        <v>6490</v>
      </c>
      <c r="N1592" s="7">
        <v>480</v>
      </c>
      <c r="O1592" s="7" t="s">
        <v>6492</v>
      </c>
      <c r="P1592" s="7"/>
    </row>
    <row r="1593" spans="1:16">
      <c r="A1593" s="6" t="s">
        <v>31</v>
      </c>
      <c r="B1593" s="7">
        <v>1431220</v>
      </c>
      <c r="C1593" s="7">
        <v>1432686</v>
      </c>
      <c r="D1593" s="8"/>
      <c r="E1593" s="7" t="s">
        <v>75</v>
      </c>
      <c r="F1593" s="7" t="s">
        <v>6493</v>
      </c>
      <c r="G1593" s="7" t="s">
        <v>1615</v>
      </c>
      <c r="H1593" s="8"/>
      <c r="I1593" s="7" t="s">
        <v>55</v>
      </c>
      <c r="J1593" s="8"/>
      <c r="K1593" s="8"/>
      <c r="L1593" s="7" t="s">
        <v>6494</v>
      </c>
      <c r="M1593" s="7" t="s">
        <v>6493</v>
      </c>
      <c r="N1593" s="7">
        <v>488</v>
      </c>
      <c r="O1593" s="7" t="s">
        <v>6495</v>
      </c>
      <c r="P1593" s="7"/>
    </row>
    <row r="1594" spans="1:16">
      <c r="A1594" s="6" t="s">
        <v>31</v>
      </c>
      <c r="B1594" s="7">
        <v>1432686</v>
      </c>
      <c r="C1594" s="7">
        <v>1432988</v>
      </c>
      <c r="D1594" s="8"/>
      <c r="E1594" s="7" t="s">
        <v>75</v>
      </c>
      <c r="F1594" s="7" t="s">
        <v>6496</v>
      </c>
      <c r="G1594" s="7" t="s">
        <v>1617</v>
      </c>
      <c r="H1594" s="8"/>
      <c r="I1594" s="7" t="s">
        <v>55</v>
      </c>
      <c r="J1594" s="8"/>
      <c r="K1594" s="8"/>
      <c r="L1594" s="7" t="s">
        <v>6497</v>
      </c>
      <c r="M1594" s="7" t="s">
        <v>6496</v>
      </c>
      <c r="N1594" s="7">
        <v>100</v>
      </c>
      <c r="O1594" s="7" t="s">
        <v>6498</v>
      </c>
      <c r="P1594" s="7"/>
    </row>
    <row r="1595" spans="1:16">
      <c r="A1595" s="6" t="s">
        <v>31</v>
      </c>
      <c r="B1595" s="7">
        <v>1433128</v>
      </c>
      <c r="C1595" s="7">
        <v>1433367</v>
      </c>
      <c r="D1595" s="8"/>
      <c r="E1595" s="7" t="s">
        <v>75</v>
      </c>
      <c r="F1595" s="7" t="s">
        <v>2130</v>
      </c>
      <c r="G1595" s="8"/>
      <c r="H1595" s="8"/>
      <c r="I1595" s="7" t="s">
        <v>55</v>
      </c>
      <c r="J1595" s="8"/>
      <c r="K1595" s="8"/>
      <c r="L1595" s="7" t="s">
        <v>6499</v>
      </c>
      <c r="M1595" s="7" t="s">
        <v>2130</v>
      </c>
      <c r="N1595" s="7">
        <v>79</v>
      </c>
      <c r="O1595" s="7" t="s">
        <v>6500</v>
      </c>
    </row>
    <row r="1596" spans="1:16">
      <c r="A1596" s="6" t="s">
        <v>31</v>
      </c>
      <c r="B1596" s="7">
        <v>1433395</v>
      </c>
      <c r="C1596" s="7">
        <v>1433604</v>
      </c>
      <c r="D1596" s="8"/>
      <c r="E1596" s="7" t="s">
        <v>75</v>
      </c>
      <c r="F1596" s="7" t="s">
        <v>2130</v>
      </c>
      <c r="G1596" s="8"/>
      <c r="H1596" s="8"/>
      <c r="I1596" s="7" t="s">
        <v>55</v>
      </c>
      <c r="J1596" s="8"/>
      <c r="K1596" s="8"/>
      <c r="L1596" s="7" t="s">
        <v>6501</v>
      </c>
      <c r="M1596" s="7" t="s">
        <v>2130</v>
      </c>
      <c r="N1596" s="7">
        <v>69</v>
      </c>
      <c r="O1596" s="7" t="s">
        <v>6502</v>
      </c>
    </row>
    <row r="1597" spans="1:16">
      <c r="A1597" s="6" t="s">
        <v>31</v>
      </c>
      <c r="B1597" s="7">
        <v>1435519</v>
      </c>
      <c r="C1597" s="7">
        <v>1436028</v>
      </c>
      <c r="D1597" s="8"/>
      <c r="E1597" s="7" t="s">
        <v>75</v>
      </c>
      <c r="F1597" s="7" t="s">
        <v>6503</v>
      </c>
      <c r="G1597" s="7" t="s">
        <v>1621</v>
      </c>
      <c r="H1597" s="8"/>
      <c r="I1597" s="7" t="s">
        <v>55</v>
      </c>
      <c r="J1597" s="8"/>
      <c r="K1597" s="8"/>
      <c r="L1597" s="7" t="s">
        <v>6504</v>
      </c>
      <c r="M1597" s="7" t="s">
        <v>6503</v>
      </c>
      <c r="N1597" s="7">
        <v>169</v>
      </c>
      <c r="O1597" s="7" t="s">
        <v>6505</v>
      </c>
      <c r="P1597" s="7"/>
    </row>
    <row r="1598" spans="1:16">
      <c r="A1598" s="6" t="s">
        <v>31</v>
      </c>
      <c r="B1598" s="7">
        <v>1436040</v>
      </c>
      <c r="C1598" s="7">
        <v>1436888</v>
      </c>
      <c r="D1598" s="8"/>
      <c r="E1598" s="7" t="s">
        <v>75</v>
      </c>
      <c r="F1598" s="7" t="s">
        <v>2919</v>
      </c>
      <c r="G1598" s="8"/>
      <c r="H1598" s="8"/>
      <c r="I1598" s="7" t="s">
        <v>55</v>
      </c>
      <c r="J1598" s="8"/>
      <c r="K1598" s="8"/>
      <c r="L1598" s="7" t="s">
        <v>6506</v>
      </c>
      <c r="M1598" s="7" t="s">
        <v>2919</v>
      </c>
      <c r="N1598" s="7">
        <v>282</v>
      </c>
      <c r="O1598" s="7" t="s">
        <v>6507</v>
      </c>
    </row>
    <row r="1599" spans="1:16">
      <c r="A1599" s="6" t="s">
        <v>31</v>
      </c>
      <c r="B1599" s="7">
        <v>1437011</v>
      </c>
      <c r="C1599" s="7">
        <v>1437562</v>
      </c>
      <c r="D1599" s="8"/>
      <c r="E1599" s="7" t="s">
        <v>75</v>
      </c>
      <c r="F1599" s="7" t="s">
        <v>6508</v>
      </c>
      <c r="G1599" s="7" t="s">
        <v>6509</v>
      </c>
      <c r="H1599" s="8"/>
      <c r="I1599" s="7" t="s">
        <v>55</v>
      </c>
      <c r="J1599" s="8"/>
      <c r="K1599" s="8"/>
      <c r="L1599" s="7" t="s">
        <v>6510</v>
      </c>
      <c r="M1599" s="7" t="s">
        <v>6508</v>
      </c>
      <c r="N1599" s="7">
        <v>183</v>
      </c>
      <c r="O1599" s="7" t="s">
        <v>6511</v>
      </c>
      <c r="P1599" s="7"/>
    </row>
    <row r="1600" spans="1:16">
      <c r="A1600" s="6" t="s">
        <v>31</v>
      </c>
      <c r="B1600" s="7">
        <v>1437625</v>
      </c>
      <c r="C1600" s="7">
        <v>1438410</v>
      </c>
      <c r="D1600" s="8"/>
      <c r="E1600" s="7" t="s">
        <v>75</v>
      </c>
      <c r="F1600" s="7" t="s">
        <v>6512</v>
      </c>
      <c r="G1600" s="7" t="s">
        <v>1625</v>
      </c>
      <c r="H1600" s="8"/>
      <c r="I1600" s="7" t="s">
        <v>55</v>
      </c>
      <c r="J1600" s="8"/>
      <c r="K1600" s="8"/>
      <c r="L1600" s="7" t="s">
        <v>6513</v>
      </c>
      <c r="M1600" s="7" t="s">
        <v>6512</v>
      </c>
      <c r="N1600" s="7">
        <v>261</v>
      </c>
      <c r="O1600" s="7" t="s">
        <v>6514</v>
      </c>
    </row>
    <row r="1601" spans="1:16">
      <c r="A1601" s="6" t="s">
        <v>31</v>
      </c>
      <c r="B1601" s="7">
        <v>1438670</v>
      </c>
      <c r="C1601" s="7">
        <v>1439884</v>
      </c>
      <c r="D1601" s="8"/>
      <c r="E1601" s="7" t="s">
        <v>75</v>
      </c>
      <c r="F1601" s="7" t="s">
        <v>6515</v>
      </c>
      <c r="G1601" s="7" t="s">
        <v>6516</v>
      </c>
      <c r="H1601" s="8"/>
      <c r="I1601" s="7" t="s">
        <v>55</v>
      </c>
      <c r="J1601" s="8"/>
      <c r="K1601" s="8"/>
      <c r="L1601" s="7" t="s">
        <v>6517</v>
      </c>
      <c r="M1601" s="7" t="s">
        <v>6515</v>
      </c>
      <c r="N1601" s="7">
        <v>404</v>
      </c>
      <c r="O1601" s="7" t="s">
        <v>6518</v>
      </c>
    </row>
    <row r="1602" spans="1:16">
      <c r="A1602" s="6" t="s">
        <v>31</v>
      </c>
      <c r="B1602" s="7">
        <v>1440239</v>
      </c>
      <c r="C1602" s="7">
        <v>1440691</v>
      </c>
      <c r="D1602" s="8"/>
      <c r="E1602" s="7" t="s">
        <v>53</v>
      </c>
      <c r="F1602" s="7" t="s">
        <v>6519</v>
      </c>
      <c r="G1602" s="8"/>
      <c r="H1602" s="8"/>
      <c r="I1602" s="7" t="s">
        <v>55</v>
      </c>
      <c r="J1602" s="8"/>
      <c r="K1602" s="8"/>
      <c r="L1602" s="7" t="s">
        <v>6520</v>
      </c>
      <c r="M1602" s="7" t="s">
        <v>6519</v>
      </c>
      <c r="N1602" s="7">
        <v>150</v>
      </c>
      <c r="O1602" s="7" t="s">
        <v>6521</v>
      </c>
    </row>
    <row r="1603" spans="1:16">
      <c r="A1603" s="6" t="s">
        <v>31</v>
      </c>
      <c r="B1603" s="7">
        <v>1440772</v>
      </c>
      <c r="C1603" s="7">
        <v>1441083</v>
      </c>
      <c r="D1603" s="8"/>
      <c r="E1603" s="7" t="s">
        <v>75</v>
      </c>
      <c r="F1603" s="7" t="s">
        <v>2095</v>
      </c>
      <c r="G1603" s="8"/>
      <c r="H1603" s="8"/>
      <c r="I1603" s="7" t="s">
        <v>55</v>
      </c>
      <c r="J1603" s="8"/>
      <c r="K1603" s="8"/>
      <c r="L1603" s="7" t="s">
        <v>6522</v>
      </c>
      <c r="M1603" s="7" t="s">
        <v>2095</v>
      </c>
      <c r="N1603" s="7">
        <v>103</v>
      </c>
      <c r="O1603" s="7" t="s">
        <v>6523</v>
      </c>
    </row>
    <row r="1604" spans="1:16">
      <c r="A1604" s="6" t="s">
        <v>31</v>
      </c>
      <c r="B1604" s="7">
        <v>1440904</v>
      </c>
      <c r="C1604" s="7">
        <v>1441053</v>
      </c>
      <c r="D1604" s="8"/>
      <c r="E1604" s="7" t="s">
        <v>53</v>
      </c>
      <c r="F1604" s="7" t="s">
        <v>2130</v>
      </c>
      <c r="G1604" s="8"/>
      <c r="H1604" s="8"/>
      <c r="I1604" s="7" t="s">
        <v>55</v>
      </c>
      <c r="J1604" s="8"/>
      <c r="K1604" s="8"/>
      <c r="L1604" s="7" t="s">
        <v>6524</v>
      </c>
      <c r="M1604" s="7" t="s">
        <v>2130</v>
      </c>
      <c r="N1604" s="7">
        <v>49</v>
      </c>
      <c r="O1604" s="7" t="s">
        <v>6525</v>
      </c>
    </row>
    <row r="1605" spans="1:16">
      <c r="A1605" s="6" t="s">
        <v>31</v>
      </c>
      <c r="B1605" s="7">
        <v>1441514</v>
      </c>
      <c r="C1605" s="7">
        <v>1441687</v>
      </c>
      <c r="D1605" s="8"/>
      <c r="E1605" s="7" t="s">
        <v>75</v>
      </c>
      <c r="F1605" s="7" t="s">
        <v>6526</v>
      </c>
      <c r="G1605" s="8"/>
      <c r="H1605" s="8"/>
      <c r="I1605" s="7" t="s">
        <v>55</v>
      </c>
      <c r="J1605" s="8"/>
      <c r="K1605" s="8"/>
      <c r="L1605" s="7" t="s">
        <v>6527</v>
      </c>
      <c r="M1605" s="7" t="s">
        <v>6526</v>
      </c>
      <c r="N1605" s="7">
        <v>57</v>
      </c>
      <c r="O1605" s="7" t="s">
        <v>6528</v>
      </c>
    </row>
    <row r="1606" spans="1:16">
      <c r="A1606" s="6" t="s">
        <v>31</v>
      </c>
      <c r="B1606" s="7">
        <v>1441748</v>
      </c>
      <c r="C1606" s="7">
        <v>1442122</v>
      </c>
      <c r="D1606" s="8"/>
      <c r="E1606" s="7" t="s">
        <v>75</v>
      </c>
      <c r="F1606" s="7" t="s">
        <v>2130</v>
      </c>
      <c r="G1606" s="8"/>
      <c r="H1606" s="8"/>
      <c r="I1606" s="7" t="s">
        <v>55</v>
      </c>
      <c r="J1606" s="8"/>
      <c r="K1606" s="8"/>
      <c r="L1606" s="7" t="s">
        <v>6529</v>
      </c>
      <c r="M1606" s="7" t="s">
        <v>2130</v>
      </c>
      <c r="N1606" s="7">
        <v>124</v>
      </c>
      <c r="O1606" s="7" t="s">
        <v>6530</v>
      </c>
    </row>
    <row r="1607" spans="1:16">
      <c r="A1607" s="6" t="s">
        <v>31</v>
      </c>
      <c r="B1607" s="7">
        <v>1442334</v>
      </c>
      <c r="C1607" s="7">
        <v>1443134</v>
      </c>
      <c r="D1607" s="8"/>
      <c r="E1607" s="7" t="s">
        <v>75</v>
      </c>
      <c r="F1607" s="7" t="s">
        <v>6531</v>
      </c>
      <c r="G1607" s="7" t="s">
        <v>6532</v>
      </c>
      <c r="H1607" s="8"/>
      <c r="I1607" s="7" t="s">
        <v>55</v>
      </c>
      <c r="J1607" s="8"/>
      <c r="K1607" s="8"/>
      <c r="L1607" s="7" t="s">
        <v>6533</v>
      </c>
      <c r="M1607" s="7" t="s">
        <v>6531</v>
      </c>
      <c r="N1607" s="7">
        <v>266</v>
      </c>
      <c r="O1607" s="7" t="s">
        <v>6534</v>
      </c>
      <c r="P1607" s="7"/>
    </row>
    <row r="1608" spans="1:16">
      <c r="A1608" s="6" t="s">
        <v>31</v>
      </c>
      <c r="B1608" s="7">
        <v>1443573</v>
      </c>
      <c r="C1608" s="7">
        <v>1443656</v>
      </c>
      <c r="D1608" s="8"/>
      <c r="E1608" s="7" t="s">
        <v>75</v>
      </c>
      <c r="F1608" s="7" t="s">
        <v>2095</v>
      </c>
      <c r="G1608" s="8"/>
      <c r="H1608" s="8"/>
      <c r="I1608" s="7" t="s">
        <v>55</v>
      </c>
      <c r="J1608" s="8"/>
      <c r="K1608" s="8"/>
      <c r="L1608" s="7" t="s">
        <v>6535</v>
      </c>
      <c r="M1608" s="7" t="s">
        <v>2095</v>
      </c>
      <c r="N1608" s="7">
        <v>27</v>
      </c>
      <c r="O1608" s="7" t="s">
        <v>6536</v>
      </c>
    </row>
    <row r="1609" spans="1:16">
      <c r="A1609" s="6" t="s">
        <v>31</v>
      </c>
      <c r="B1609" s="7">
        <v>1444130</v>
      </c>
      <c r="C1609" s="7">
        <v>1445461</v>
      </c>
      <c r="D1609" s="8"/>
      <c r="E1609" s="7" t="s">
        <v>75</v>
      </c>
      <c r="F1609" s="7" t="s">
        <v>6537</v>
      </c>
      <c r="G1609" s="7" t="s">
        <v>6538</v>
      </c>
      <c r="H1609" s="8"/>
      <c r="I1609" s="7" t="s">
        <v>55</v>
      </c>
      <c r="J1609" s="8"/>
      <c r="K1609" s="8"/>
      <c r="L1609" s="7" t="s">
        <v>6539</v>
      </c>
      <c r="M1609" s="7" t="s">
        <v>6537</v>
      </c>
      <c r="N1609" s="7">
        <v>443</v>
      </c>
      <c r="O1609" s="7" t="s">
        <v>6540</v>
      </c>
    </row>
    <row r="1610" spans="1:16">
      <c r="A1610" s="6" t="s">
        <v>31</v>
      </c>
      <c r="B1610" s="7">
        <v>1445574</v>
      </c>
      <c r="C1610" s="7">
        <v>1446356</v>
      </c>
      <c r="D1610" s="8"/>
      <c r="E1610" s="7" t="s">
        <v>53</v>
      </c>
      <c r="F1610" s="7" t="s">
        <v>6541</v>
      </c>
      <c r="G1610" s="7" t="s">
        <v>6542</v>
      </c>
      <c r="H1610" s="8"/>
      <c r="I1610" s="7" t="s">
        <v>55</v>
      </c>
      <c r="J1610" s="8"/>
      <c r="K1610" s="8"/>
      <c r="L1610" s="7" t="s">
        <v>6543</v>
      </c>
      <c r="M1610" s="7" t="s">
        <v>6541</v>
      </c>
      <c r="N1610" s="7">
        <v>260</v>
      </c>
      <c r="O1610" s="7" t="s">
        <v>6544</v>
      </c>
    </row>
    <row r="1611" spans="1:16">
      <c r="A1611" s="6" t="s">
        <v>31</v>
      </c>
      <c r="B1611" s="7">
        <v>1446712</v>
      </c>
      <c r="C1611" s="7">
        <v>1446897</v>
      </c>
      <c r="D1611" s="8"/>
      <c r="E1611" s="7" t="s">
        <v>53</v>
      </c>
      <c r="F1611" s="7" t="s">
        <v>2130</v>
      </c>
      <c r="G1611" s="8"/>
      <c r="H1611" s="8"/>
      <c r="I1611" s="7" t="s">
        <v>55</v>
      </c>
      <c r="J1611" s="8"/>
      <c r="K1611" s="8"/>
      <c r="L1611" s="7" t="s">
        <v>6545</v>
      </c>
      <c r="M1611" s="7" t="s">
        <v>2130</v>
      </c>
      <c r="N1611" s="7">
        <v>61</v>
      </c>
      <c r="O1611" s="7" t="s">
        <v>6546</v>
      </c>
    </row>
    <row r="1612" spans="1:16">
      <c r="A1612" s="6" t="s">
        <v>31</v>
      </c>
      <c r="B1612" s="7">
        <v>1446975</v>
      </c>
      <c r="C1612" s="7">
        <v>1449041</v>
      </c>
      <c r="D1612" s="8"/>
      <c r="E1612" s="7" t="s">
        <v>75</v>
      </c>
      <c r="F1612" s="7" t="s">
        <v>6547</v>
      </c>
      <c r="G1612" s="8"/>
      <c r="H1612" s="8"/>
      <c r="I1612" s="7" t="s">
        <v>55</v>
      </c>
      <c r="J1612" s="8"/>
      <c r="K1612" s="8"/>
      <c r="L1612" s="7" t="s">
        <v>6548</v>
      </c>
      <c r="M1612" s="7" t="s">
        <v>6547</v>
      </c>
      <c r="N1612" s="7">
        <v>688</v>
      </c>
      <c r="O1612" s="7" t="s">
        <v>6549</v>
      </c>
    </row>
    <row r="1613" spans="1:16">
      <c r="A1613" s="6" t="s">
        <v>31</v>
      </c>
      <c r="B1613" s="7">
        <v>1449050</v>
      </c>
      <c r="C1613" s="7">
        <v>1449292</v>
      </c>
      <c r="D1613" s="8"/>
      <c r="E1613" s="7" t="s">
        <v>75</v>
      </c>
      <c r="F1613" s="7" t="s">
        <v>2130</v>
      </c>
      <c r="G1613" s="8"/>
      <c r="H1613" s="8"/>
      <c r="I1613" s="7" t="s">
        <v>55</v>
      </c>
      <c r="J1613" s="8"/>
      <c r="K1613" s="8"/>
      <c r="L1613" s="7" t="s">
        <v>6550</v>
      </c>
      <c r="M1613" s="7" t="s">
        <v>2130</v>
      </c>
      <c r="N1613" s="7">
        <v>80</v>
      </c>
      <c r="O1613" s="7" t="s">
        <v>6551</v>
      </c>
    </row>
    <row r="1614" spans="1:16">
      <c r="A1614" s="6" t="s">
        <v>31</v>
      </c>
      <c r="B1614" s="7">
        <v>1449289</v>
      </c>
      <c r="C1614" s="7">
        <v>1449837</v>
      </c>
      <c r="D1614" s="8"/>
      <c r="E1614" s="7" t="s">
        <v>75</v>
      </c>
      <c r="F1614" s="7" t="s">
        <v>6552</v>
      </c>
      <c r="G1614" s="7" t="s">
        <v>6553</v>
      </c>
      <c r="H1614" s="8"/>
      <c r="I1614" s="7" t="s">
        <v>55</v>
      </c>
      <c r="J1614" s="8"/>
      <c r="K1614" s="8"/>
      <c r="L1614" s="7" t="s">
        <v>6554</v>
      </c>
      <c r="M1614" s="7" t="s">
        <v>6552</v>
      </c>
      <c r="N1614" s="7">
        <v>182</v>
      </c>
      <c r="O1614" s="7" t="s">
        <v>6555</v>
      </c>
      <c r="P1614" s="7"/>
    </row>
    <row r="1615" spans="1:16">
      <c r="A1615" s="6" t="s">
        <v>31</v>
      </c>
      <c r="B1615" s="7">
        <v>1449834</v>
      </c>
      <c r="C1615" s="7">
        <v>1450778</v>
      </c>
      <c r="D1615" s="8"/>
      <c r="E1615" s="7" t="s">
        <v>75</v>
      </c>
      <c r="F1615" s="7" t="s">
        <v>4618</v>
      </c>
      <c r="G1615" s="7" t="s">
        <v>6556</v>
      </c>
      <c r="H1615" s="8"/>
      <c r="I1615" s="7" t="s">
        <v>55</v>
      </c>
      <c r="J1615" s="8"/>
      <c r="K1615" s="8"/>
      <c r="L1615" s="7" t="s">
        <v>6557</v>
      </c>
      <c r="M1615" s="7" t="s">
        <v>4618</v>
      </c>
      <c r="N1615" s="7">
        <v>314</v>
      </c>
      <c r="O1615" s="7" t="s">
        <v>6558</v>
      </c>
    </row>
    <row r="1616" spans="1:16">
      <c r="A1616" s="6" t="s">
        <v>31</v>
      </c>
      <c r="B1616" s="7">
        <v>1450863</v>
      </c>
      <c r="C1616" s="7">
        <v>1451939</v>
      </c>
      <c r="D1616" s="8"/>
      <c r="E1616" s="7" t="s">
        <v>75</v>
      </c>
      <c r="F1616" s="7" t="s">
        <v>6559</v>
      </c>
      <c r="G1616" s="8"/>
      <c r="H1616" s="8"/>
      <c r="I1616" s="7" t="s">
        <v>55</v>
      </c>
      <c r="J1616" s="8"/>
      <c r="K1616" s="8"/>
      <c r="L1616" s="7" t="s">
        <v>6560</v>
      </c>
      <c r="M1616" s="7" t="s">
        <v>6559</v>
      </c>
      <c r="N1616" s="7">
        <v>358</v>
      </c>
      <c r="O1616" s="7" t="s">
        <v>6561</v>
      </c>
      <c r="P1616" s="7"/>
    </row>
    <row r="1617" spans="1:16">
      <c r="A1617" s="6" t="s">
        <v>31</v>
      </c>
      <c r="B1617" s="7">
        <v>1451917</v>
      </c>
      <c r="C1617" s="7">
        <v>1452414</v>
      </c>
      <c r="D1617" s="8"/>
      <c r="E1617" s="7" t="s">
        <v>75</v>
      </c>
      <c r="F1617" s="7" t="s">
        <v>6562</v>
      </c>
      <c r="G1617" s="7" t="s">
        <v>1640</v>
      </c>
      <c r="H1617" s="8"/>
      <c r="I1617" s="7" t="s">
        <v>55</v>
      </c>
      <c r="J1617" s="8"/>
      <c r="K1617" s="8"/>
      <c r="L1617" s="7" t="s">
        <v>6563</v>
      </c>
      <c r="M1617" s="7" t="s">
        <v>6562</v>
      </c>
      <c r="N1617" s="7">
        <v>165</v>
      </c>
      <c r="O1617" s="7" t="s">
        <v>6564</v>
      </c>
      <c r="P1617" s="7"/>
    </row>
    <row r="1618" spans="1:16">
      <c r="A1618" s="6" t="s">
        <v>31</v>
      </c>
      <c r="B1618" s="7">
        <v>1452448</v>
      </c>
      <c r="C1618" s="7">
        <v>1452987</v>
      </c>
      <c r="D1618" s="8"/>
      <c r="E1618" s="7" t="s">
        <v>75</v>
      </c>
      <c r="F1618" s="7" t="s">
        <v>6565</v>
      </c>
      <c r="G1618" s="7" t="s">
        <v>6566</v>
      </c>
      <c r="H1618" s="8"/>
      <c r="I1618" s="7" t="s">
        <v>55</v>
      </c>
      <c r="J1618" s="8"/>
      <c r="K1618" s="8"/>
      <c r="L1618" s="7" t="s">
        <v>6567</v>
      </c>
      <c r="M1618" s="7" t="s">
        <v>6565</v>
      </c>
      <c r="N1618" s="7">
        <v>179</v>
      </c>
      <c r="O1618" s="7" t="s">
        <v>6568</v>
      </c>
      <c r="P1618" s="7"/>
    </row>
    <row r="1619" spans="1:16">
      <c r="A1619" s="6" t="s">
        <v>31</v>
      </c>
      <c r="B1619" s="7">
        <v>1453138</v>
      </c>
      <c r="C1619" s="7">
        <v>1454058</v>
      </c>
      <c r="D1619" s="8"/>
      <c r="E1619" s="7" t="s">
        <v>75</v>
      </c>
      <c r="F1619" s="7" t="s">
        <v>6569</v>
      </c>
      <c r="G1619" s="7" t="s">
        <v>1642</v>
      </c>
      <c r="H1619" s="8"/>
      <c r="I1619" s="7" t="s">
        <v>55</v>
      </c>
      <c r="J1619" s="8"/>
      <c r="K1619" s="8"/>
      <c r="L1619" s="7" t="s">
        <v>6570</v>
      </c>
      <c r="M1619" s="7" t="s">
        <v>6569</v>
      </c>
      <c r="N1619" s="7">
        <v>306</v>
      </c>
      <c r="O1619" s="7" t="s">
        <v>6571</v>
      </c>
      <c r="P1619" s="7"/>
    </row>
    <row r="1620" spans="1:16">
      <c r="A1620" s="6" t="s">
        <v>31</v>
      </c>
      <c r="B1620" s="7">
        <v>1454124</v>
      </c>
      <c r="C1620" s="7">
        <v>1454348</v>
      </c>
      <c r="D1620" s="8"/>
      <c r="E1620" s="7" t="s">
        <v>75</v>
      </c>
      <c r="F1620" s="7" t="s">
        <v>2130</v>
      </c>
      <c r="G1620" s="8"/>
      <c r="H1620" s="8"/>
      <c r="I1620" s="7" t="s">
        <v>55</v>
      </c>
      <c r="J1620" s="8"/>
      <c r="K1620" s="8"/>
      <c r="L1620" s="7" t="s">
        <v>6572</v>
      </c>
      <c r="M1620" s="7" t="s">
        <v>2130</v>
      </c>
      <c r="N1620" s="7">
        <v>74</v>
      </c>
      <c r="O1620" s="7" t="s">
        <v>6573</v>
      </c>
    </row>
    <row r="1621" spans="1:16">
      <c r="A1621" s="6" t="s">
        <v>31</v>
      </c>
      <c r="B1621" s="7">
        <v>1454563</v>
      </c>
      <c r="C1621" s="7">
        <v>1455306</v>
      </c>
      <c r="D1621" s="8"/>
      <c r="E1621" s="7" t="s">
        <v>75</v>
      </c>
      <c r="F1621" s="7" t="s">
        <v>6574</v>
      </c>
      <c r="G1621" s="7" t="s">
        <v>6575</v>
      </c>
      <c r="H1621" s="8"/>
      <c r="I1621" s="7" t="s">
        <v>55</v>
      </c>
      <c r="J1621" s="8"/>
      <c r="K1621" s="8"/>
      <c r="L1621" s="7" t="s">
        <v>6576</v>
      </c>
      <c r="M1621" s="7" t="s">
        <v>6574</v>
      </c>
      <c r="N1621" s="7">
        <v>247</v>
      </c>
      <c r="O1621" s="7" t="s">
        <v>6577</v>
      </c>
    </row>
    <row r="1622" spans="1:16">
      <c r="A1622" s="6" t="s">
        <v>31</v>
      </c>
      <c r="B1622" s="7">
        <v>1455306</v>
      </c>
      <c r="C1622" s="7">
        <v>1456277</v>
      </c>
      <c r="D1622" s="8"/>
      <c r="E1622" s="7" t="s">
        <v>75</v>
      </c>
      <c r="F1622" s="7" t="s">
        <v>6578</v>
      </c>
      <c r="G1622" s="8"/>
      <c r="H1622" s="8"/>
      <c r="I1622" s="7" t="s">
        <v>55</v>
      </c>
      <c r="J1622" s="8"/>
      <c r="K1622" s="8"/>
      <c r="L1622" s="7" t="s">
        <v>6579</v>
      </c>
      <c r="M1622" s="7" t="s">
        <v>6578</v>
      </c>
      <c r="N1622" s="7">
        <v>323</v>
      </c>
      <c r="O1622" s="7" t="s">
        <v>6580</v>
      </c>
    </row>
    <row r="1623" spans="1:16">
      <c r="A1623" s="6" t="s">
        <v>31</v>
      </c>
      <c r="B1623" s="7">
        <v>1456446</v>
      </c>
      <c r="C1623" s="7">
        <v>1457276</v>
      </c>
      <c r="D1623" s="8"/>
      <c r="E1623" s="7" t="s">
        <v>75</v>
      </c>
      <c r="F1623" s="7" t="s">
        <v>2916</v>
      </c>
      <c r="G1623" s="8"/>
      <c r="H1623" s="8"/>
      <c r="I1623" s="7" t="s">
        <v>55</v>
      </c>
      <c r="J1623" s="8"/>
      <c r="K1623" s="8"/>
      <c r="L1623" s="7" t="s">
        <v>6581</v>
      </c>
      <c r="M1623" s="7" t="s">
        <v>2916</v>
      </c>
      <c r="N1623" s="7">
        <v>276</v>
      </c>
      <c r="O1623" s="7" t="s">
        <v>6582</v>
      </c>
    </row>
    <row r="1624" spans="1:16">
      <c r="A1624" s="6" t="s">
        <v>31</v>
      </c>
      <c r="B1624" s="7">
        <v>1457453</v>
      </c>
      <c r="C1624" s="7">
        <v>1457518</v>
      </c>
      <c r="D1624" s="8"/>
      <c r="E1624" s="7" t="s">
        <v>75</v>
      </c>
      <c r="F1624" s="7" t="s">
        <v>2095</v>
      </c>
      <c r="G1624" s="8"/>
      <c r="H1624" s="8"/>
      <c r="I1624" s="7" t="s">
        <v>55</v>
      </c>
      <c r="J1624" s="8"/>
      <c r="K1624" s="8"/>
      <c r="L1624" s="7" t="s">
        <v>6583</v>
      </c>
      <c r="M1624" s="7" t="s">
        <v>2095</v>
      </c>
      <c r="N1624" s="7">
        <v>21</v>
      </c>
      <c r="O1624" s="7" t="s">
        <v>6584</v>
      </c>
    </row>
    <row r="1625" spans="1:16">
      <c r="A1625" s="6" t="s">
        <v>31</v>
      </c>
      <c r="B1625" s="7">
        <v>1457736</v>
      </c>
      <c r="C1625" s="7">
        <v>1457969</v>
      </c>
      <c r="D1625" s="8"/>
      <c r="E1625" s="7" t="s">
        <v>75</v>
      </c>
      <c r="F1625" s="7" t="s">
        <v>2130</v>
      </c>
      <c r="G1625" s="8"/>
      <c r="H1625" s="8"/>
      <c r="I1625" s="7" t="s">
        <v>55</v>
      </c>
      <c r="J1625" s="8"/>
      <c r="K1625" s="8"/>
      <c r="L1625" s="7" t="s">
        <v>6585</v>
      </c>
      <c r="M1625" s="7" t="s">
        <v>2130</v>
      </c>
      <c r="N1625" s="7">
        <v>77</v>
      </c>
      <c r="O1625" s="7" t="s">
        <v>6586</v>
      </c>
    </row>
    <row r="1626" spans="1:16">
      <c r="A1626" s="6" t="s">
        <v>31</v>
      </c>
      <c r="B1626" s="7">
        <v>1458267</v>
      </c>
      <c r="C1626" s="7">
        <v>1459370</v>
      </c>
      <c r="D1626" s="8"/>
      <c r="E1626" s="7" t="s">
        <v>75</v>
      </c>
      <c r="F1626" s="7" t="s">
        <v>1649</v>
      </c>
      <c r="G1626" s="7" t="s">
        <v>1650</v>
      </c>
      <c r="H1626" s="8"/>
      <c r="I1626" s="7" t="s">
        <v>55</v>
      </c>
      <c r="J1626" s="8"/>
      <c r="K1626" s="8"/>
      <c r="L1626" s="7" t="s">
        <v>6587</v>
      </c>
      <c r="M1626" s="7" t="s">
        <v>1649</v>
      </c>
      <c r="N1626" s="7">
        <v>367</v>
      </c>
      <c r="O1626" s="7" t="s">
        <v>6588</v>
      </c>
      <c r="P1626" s="7"/>
    </row>
    <row r="1627" spans="1:16">
      <c r="A1627" s="6" t="s">
        <v>31</v>
      </c>
      <c r="B1627" s="7">
        <v>1459649</v>
      </c>
      <c r="C1627" s="7">
        <v>1461958</v>
      </c>
      <c r="D1627" s="8"/>
      <c r="E1627" s="7" t="s">
        <v>53</v>
      </c>
      <c r="F1627" s="7" t="s">
        <v>6589</v>
      </c>
      <c r="G1627" s="7" t="s">
        <v>6590</v>
      </c>
      <c r="H1627" s="8"/>
      <c r="I1627" s="7" t="s">
        <v>55</v>
      </c>
      <c r="J1627" s="8"/>
      <c r="K1627" s="8"/>
      <c r="L1627" s="7" t="s">
        <v>6591</v>
      </c>
      <c r="M1627" s="7" t="s">
        <v>6589</v>
      </c>
      <c r="N1627" s="7">
        <v>769</v>
      </c>
      <c r="O1627" s="7" t="s">
        <v>6592</v>
      </c>
      <c r="P1627" s="7"/>
    </row>
    <row r="1628" spans="1:16">
      <c r="A1628" s="6" t="s">
        <v>31</v>
      </c>
      <c r="B1628" s="7">
        <v>1462221</v>
      </c>
      <c r="C1628" s="7">
        <v>1463003</v>
      </c>
      <c r="D1628" s="8"/>
      <c r="E1628" s="7" t="s">
        <v>53</v>
      </c>
      <c r="F1628" s="7" t="s">
        <v>6593</v>
      </c>
      <c r="G1628" s="7" t="s">
        <v>6594</v>
      </c>
      <c r="H1628" s="8"/>
      <c r="I1628" s="7" t="s">
        <v>55</v>
      </c>
      <c r="J1628" s="8"/>
      <c r="K1628" s="8"/>
      <c r="L1628" s="7" t="s">
        <v>6595</v>
      </c>
      <c r="M1628" s="7" t="s">
        <v>6593</v>
      </c>
      <c r="N1628" s="7">
        <v>260</v>
      </c>
      <c r="O1628" s="7" t="s">
        <v>6596</v>
      </c>
      <c r="P1628" s="7"/>
    </row>
    <row r="1629" spans="1:16">
      <c r="A1629" s="6" t="s">
        <v>31</v>
      </c>
      <c r="B1629" s="7">
        <v>1463021</v>
      </c>
      <c r="C1629" s="7">
        <v>1463506</v>
      </c>
      <c r="D1629" s="8"/>
      <c r="E1629" s="7" t="s">
        <v>53</v>
      </c>
      <c r="F1629" s="7" t="s">
        <v>3035</v>
      </c>
      <c r="G1629" s="8"/>
      <c r="H1629" s="8"/>
      <c r="I1629" s="7" t="s">
        <v>55</v>
      </c>
      <c r="J1629" s="8"/>
      <c r="K1629" s="8"/>
      <c r="L1629" s="7" t="s">
        <v>6597</v>
      </c>
      <c r="M1629" s="7" t="s">
        <v>3035</v>
      </c>
      <c r="N1629" s="7">
        <v>161</v>
      </c>
      <c r="O1629" s="7" t="s">
        <v>6598</v>
      </c>
      <c r="P1629" s="7"/>
    </row>
    <row r="1630" spans="1:16">
      <c r="A1630" s="6" t="s">
        <v>31</v>
      </c>
      <c r="B1630" s="7">
        <v>1463858</v>
      </c>
      <c r="C1630" s="7">
        <v>1464142</v>
      </c>
      <c r="D1630" s="8"/>
      <c r="E1630" s="7" t="s">
        <v>75</v>
      </c>
      <c r="F1630" s="7" t="s">
        <v>6599</v>
      </c>
      <c r="G1630" s="8"/>
      <c r="H1630" s="8"/>
      <c r="I1630" s="7" t="s">
        <v>55</v>
      </c>
      <c r="J1630" s="8"/>
      <c r="K1630" s="8"/>
      <c r="L1630" s="7" t="s">
        <v>6600</v>
      </c>
      <c r="M1630" s="7" t="s">
        <v>6599</v>
      </c>
      <c r="N1630" s="7">
        <v>94</v>
      </c>
      <c r="O1630" s="7" t="s">
        <v>6601</v>
      </c>
    </row>
    <row r="1631" spans="1:16">
      <c r="A1631" s="6" t="s">
        <v>31</v>
      </c>
      <c r="B1631" s="7">
        <v>1464182</v>
      </c>
      <c r="C1631" s="7">
        <v>1464472</v>
      </c>
      <c r="D1631" s="8"/>
      <c r="E1631" s="7" t="s">
        <v>75</v>
      </c>
      <c r="F1631" s="7" t="s">
        <v>2095</v>
      </c>
      <c r="G1631" s="8"/>
      <c r="H1631" s="8"/>
      <c r="I1631" s="7" t="s">
        <v>55</v>
      </c>
      <c r="J1631" s="8"/>
      <c r="K1631" s="8"/>
      <c r="L1631" s="7" t="s">
        <v>6602</v>
      </c>
      <c r="M1631" s="7" t="s">
        <v>2095</v>
      </c>
      <c r="N1631" s="7">
        <v>96</v>
      </c>
      <c r="O1631" s="7" t="s">
        <v>6603</v>
      </c>
    </row>
    <row r="1632" spans="1:16">
      <c r="A1632" s="6" t="s">
        <v>31</v>
      </c>
      <c r="B1632" s="7">
        <v>1464477</v>
      </c>
      <c r="C1632" s="7">
        <v>1464692</v>
      </c>
      <c r="D1632" s="8"/>
      <c r="E1632" s="7" t="s">
        <v>75</v>
      </c>
      <c r="F1632" s="7" t="s">
        <v>6604</v>
      </c>
      <c r="G1632" s="8"/>
      <c r="H1632" s="8"/>
      <c r="I1632" s="7" t="s">
        <v>55</v>
      </c>
      <c r="J1632" s="8"/>
      <c r="K1632" s="8"/>
      <c r="L1632" s="7" t="s">
        <v>6605</v>
      </c>
      <c r="M1632" s="7" t="s">
        <v>6604</v>
      </c>
      <c r="N1632" s="7">
        <v>71</v>
      </c>
      <c r="O1632" s="7" t="s">
        <v>6606</v>
      </c>
    </row>
    <row r="1633" spans="1:16">
      <c r="A1633" s="6" t="s">
        <v>31</v>
      </c>
      <c r="B1633" s="7">
        <v>1465089</v>
      </c>
      <c r="C1633" s="7">
        <v>1465217</v>
      </c>
      <c r="D1633" s="8"/>
      <c r="E1633" s="7" t="s">
        <v>53</v>
      </c>
      <c r="F1633" s="7" t="s">
        <v>2095</v>
      </c>
      <c r="G1633" s="8"/>
      <c r="H1633" s="8"/>
      <c r="I1633" s="7" t="s">
        <v>55</v>
      </c>
      <c r="J1633" s="8"/>
      <c r="K1633" s="8"/>
      <c r="L1633" s="7" t="s">
        <v>6607</v>
      </c>
      <c r="M1633" s="7" t="s">
        <v>2095</v>
      </c>
      <c r="N1633" s="7">
        <v>42</v>
      </c>
      <c r="O1633" s="7" t="s">
        <v>6608</v>
      </c>
    </row>
    <row r="1634" spans="1:16">
      <c r="A1634" s="6" t="s">
        <v>31</v>
      </c>
      <c r="B1634" s="7">
        <v>1465177</v>
      </c>
      <c r="C1634" s="7">
        <v>1465626</v>
      </c>
      <c r="D1634" s="8"/>
      <c r="E1634" s="7" t="s">
        <v>75</v>
      </c>
      <c r="F1634" s="7" t="s">
        <v>6609</v>
      </c>
      <c r="G1634" s="7" t="s">
        <v>2358</v>
      </c>
      <c r="H1634" s="8"/>
      <c r="I1634" s="7" t="s">
        <v>55</v>
      </c>
      <c r="J1634" s="8"/>
      <c r="K1634" s="8"/>
      <c r="L1634" s="7" t="s">
        <v>6610</v>
      </c>
      <c r="M1634" s="7" t="s">
        <v>6609</v>
      </c>
      <c r="N1634" s="7">
        <v>149</v>
      </c>
      <c r="O1634" s="7" t="s">
        <v>6611</v>
      </c>
    </row>
    <row r="1635" spans="1:16">
      <c r="A1635" s="6" t="s">
        <v>31</v>
      </c>
      <c r="B1635" s="7">
        <v>1465858</v>
      </c>
      <c r="C1635" s="7">
        <v>1466544</v>
      </c>
      <c r="D1635" s="8"/>
      <c r="E1635" s="7" t="s">
        <v>75</v>
      </c>
      <c r="F1635" s="7" t="s">
        <v>2212</v>
      </c>
      <c r="G1635" s="8"/>
      <c r="H1635" s="8"/>
      <c r="I1635" s="7" t="s">
        <v>55</v>
      </c>
      <c r="J1635" s="8"/>
      <c r="K1635" s="8"/>
      <c r="L1635" s="7" t="s">
        <v>6612</v>
      </c>
      <c r="M1635" s="7" t="s">
        <v>2212</v>
      </c>
      <c r="N1635" s="7">
        <v>228</v>
      </c>
      <c r="O1635" s="7" t="s">
        <v>6613</v>
      </c>
    </row>
    <row r="1636" spans="1:16">
      <c r="A1636" s="6" t="s">
        <v>31</v>
      </c>
      <c r="B1636" s="7">
        <v>1466620</v>
      </c>
      <c r="C1636" s="7">
        <v>1467375</v>
      </c>
      <c r="D1636" s="8"/>
      <c r="E1636" s="7" t="s">
        <v>75</v>
      </c>
      <c r="F1636" s="7" t="s">
        <v>6614</v>
      </c>
      <c r="G1636" s="7" t="s">
        <v>6615</v>
      </c>
      <c r="H1636" s="8"/>
      <c r="I1636" s="7" t="s">
        <v>55</v>
      </c>
      <c r="J1636" s="8"/>
      <c r="K1636" s="8"/>
      <c r="L1636" s="7" t="s">
        <v>6616</v>
      </c>
      <c r="M1636" s="7" t="s">
        <v>6614</v>
      </c>
      <c r="N1636" s="7">
        <v>251</v>
      </c>
      <c r="O1636" s="7" t="s">
        <v>6617</v>
      </c>
    </row>
    <row r="1637" spans="1:16">
      <c r="A1637" s="6" t="s">
        <v>31</v>
      </c>
      <c r="B1637" s="7">
        <v>1467372</v>
      </c>
      <c r="C1637" s="7">
        <v>1468022</v>
      </c>
      <c r="D1637" s="8"/>
      <c r="E1637" s="7" t="s">
        <v>75</v>
      </c>
      <c r="F1637" s="7" t="s">
        <v>6618</v>
      </c>
      <c r="G1637" s="7" t="s">
        <v>6619</v>
      </c>
      <c r="H1637" s="8"/>
      <c r="I1637" s="7" t="s">
        <v>55</v>
      </c>
      <c r="J1637" s="8"/>
      <c r="K1637" s="8"/>
      <c r="L1637" s="7" t="s">
        <v>6620</v>
      </c>
      <c r="M1637" s="7" t="s">
        <v>6618</v>
      </c>
      <c r="N1637" s="7">
        <v>216</v>
      </c>
      <c r="O1637" s="7" t="s">
        <v>6621</v>
      </c>
    </row>
    <row r="1638" spans="1:16">
      <c r="A1638" s="6" t="s">
        <v>31</v>
      </c>
      <c r="B1638" s="7">
        <v>1468019</v>
      </c>
      <c r="C1638" s="7">
        <v>1468249</v>
      </c>
      <c r="D1638" s="8"/>
      <c r="E1638" s="7" t="s">
        <v>75</v>
      </c>
      <c r="F1638" s="7" t="s">
        <v>2130</v>
      </c>
      <c r="G1638" s="8"/>
      <c r="H1638" s="8"/>
      <c r="I1638" s="7" t="s">
        <v>55</v>
      </c>
      <c r="J1638" s="8"/>
      <c r="K1638" s="8"/>
      <c r="L1638" s="7" t="s">
        <v>6622</v>
      </c>
      <c r="M1638" s="7" t="s">
        <v>2130</v>
      </c>
      <c r="N1638" s="7">
        <v>76</v>
      </c>
      <c r="O1638" s="7" t="s">
        <v>6623</v>
      </c>
    </row>
    <row r="1639" spans="1:16">
      <c r="A1639" s="6" t="s">
        <v>31</v>
      </c>
      <c r="B1639" s="7">
        <v>1468224</v>
      </c>
      <c r="C1639" s="7">
        <v>1469180</v>
      </c>
      <c r="D1639" s="8"/>
      <c r="E1639" s="7" t="s">
        <v>75</v>
      </c>
      <c r="F1639" s="7" t="s">
        <v>6624</v>
      </c>
      <c r="G1639" s="8"/>
      <c r="H1639" s="8"/>
      <c r="I1639" s="7" t="s">
        <v>55</v>
      </c>
      <c r="J1639" s="8"/>
      <c r="K1639" s="8"/>
      <c r="L1639" s="7" t="s">
        <v>6625</v>
      </c>
      <c r="M1639" s="7" t="s">
        <v>6624</v>
      </c>
      <c r="N1639" s="7">
        <v>318</v>
      </c>
      <c r="O1639" s="7" t="s">
        <v>6626</v>
      </c>
    </row>
    <row r="1640" spans="1:16">
      <c r="A1640" s="6" t="s">
        <v>31</v>
      </c>
      <c r="B1640" s="7">
        <v>1469180</v>
      </c>
      <c r="C1640" s="7">
        <v>1469935</v>
      </c>
      <c r="D1640" s="8"/>
      <c r="E1640" s="7" t="s">
        <v>75</v>
      </c>
      <c r="F1640" s="7" t="s">
        <v>6627</v>
      </c>
      <c r="G1640" s="8"/>
      <c r="H1640" s="8"/>
      <c r="I1640" s="7" t="s">
        <v>55</v>
      </c>
      <c r="J1640" s="8"/>
      <c r="K1640" s="8"/>
      <c r="L1640" s="7" t="s">
        <v>6628</v>
      </c>
      <c r="M1640" s="7" t="s">
        <v>6627</v>
      </c>
      <c r="N1640" s="7">
        <v>251</v>
      </c>
      <c r="O1640" s="7" t="s">
        <v>6629</v>
      </c>
    </row>
    <row r="1641" spans="1:16">
      <c r="A1641" s="6" t="s">
        <v>31</v>
      </c>
      <c r="B1641" s="7">
        <v>1470667</v>
      </c>
      <c r="C1641" s="7">
        <v>1471530</v>
      </c>
      <c r="D1641" s="8"/>
      <c r="E1641" s="7" t="s">
        <v>75</v>
      </c>
      <c r="F1641" s="7" t="s">
        <v>6630</v>
      </c>
      <c r="G1641" s="7" t="s">
        <v>1662</v>
      </c>
      <c r="H1641" s="8"/>
      <c r="I1641" s="7" t="s">
        <v>55</v>
      </c>
      <c r="J1641" s="8"/>
      <c r="K1641" s="8"/>
      <c r="L1641" s="7" t="s">
        <v>6631</v>
      </c>
      <c r="M1641" s="7" t="s">
        <v>6630</v>
      </c>
      <c r="N1641" s="7">
        <v>287</v>
      </c>
      <c r="O1641" s="7" t="s">
        <v>6632</v>
      </c>
    </row>
    <row r="1642" spans="1:16">
      <c r="A1642" s="6" t="s">
        <v>31</v>
      </c>
      <c r="B1642" s="7">
        <v>1471651</v>
      </c>
      <c r="C1642" s="7">
        <v>1473918</v>
      </c>
      <c r="D1642" s="8"/>
      <c r="E1642" s="7" t="s">
        <v>53</v>
      </c>
      <c r="F1642" s="7" t="s">
        <v>1664</v>
      </c>
      <c r="G1642" s="7" t="s">
        <v>6633</v>
      </c>
      <c r="H1642" s="8"/>
      <c r="I1642" s="7" t="s">
        <v>55</v>
      </c>
      <c r="J1642" s="8"/>
      <c r="K1642" s="8"/>
      <c r="L1642" s="7" t="s">
        <v>6634</v>
      </c>
      <c r="M1642" s="7" t="s">
        <v>1664</v>
      </c>
      <c r="N1642" s="7">
        <v>755</v>
      </c>
      <c r="O1642" s="7" t="s">
        <v>6635</v>
      </c>
      <c r="P1642" s="7"/>
    </row>
    <row r="1643" spans="1:16">
      <c r="A1643" s="6" t="s">
        <v>31</v>
      </c>
      <c r="B1643" s="7">
        <v>1473998</v>
      </c>
      <c r="C1643" s="7">
        <v>1474378</v>
      </c>
      <c r="D1643" s="8"/>
      <c r="E1643" s="7" t="s">
        <v>75</v>
      </c>
      <c r="F1643" s="7" t="s">
        <v>6636</v>
      </c>
      <c r="G1643" s="8"/>
      <c r="H1643" s="8"/>
      <c r="I1643" s="7" t="s">
        <v>55</v>
      </c>
      <c r="J1643" s="8"/>
      <c r="K1643" s="8"/>
      <c r="L1643" s="7" t="s">
        <v>6637</v>
      </c>
      <c r="M1643" s="7" t="s">
        <v>6636</v>
      </c>
      <c r="N1643" s="7">
        <v>126</v>
      </c>
      <c r="O1643" s="7" t="s">
        <v>6638</v>
      </c>
    </row>
    <row r="1644" spans="1:16">
      <c r="A1644" s="6" t="s">
        <v>31</v>
      </c>
      <c r="B1644" s="7">
        <v>1474391</v>
      </c>
      <c r="C1644" s="7">
        <v>1474501</v>
      </c>
      <c r="D1644" s="8"/>
      <c r="E1644" s="7" t="s">
        <v>75</v>
      </c>
      <c r="F1644" s="7" t="s">
        <v>2130</v>
      </c>
      <c r="G1644" s="8"/>
      <c r="H1644" s="8"/>
      <c r="I1644" s="7" t="s">
        <v>55</v>
      </c>
      <c r="J1644" s="8"/>
      <c r="K1644" s="8"/>
      <c r="L1644" s="7" t="s">
        <v>6639</v>
      </c>
      <c r="M1644" s="7" t="s">
        <v>2130</v>
      </c>
      <c r="N1644" s="7">
        <v>36</v>
      </c>
      <c r="O1644" s="7" t="s">
        <v>6640</v>
      </c>
    </row>
    <row r="1645" spans="1:16">
      <c r="A1645" s="6" t="s">
        <v>31</v>
      </c>
      <c r="B1645" s="7">
        <v>1474503</v>
      </c>
      <c r="C1645" s="7">
        <v>1474673</v>
      </c>
      <c r="D1645" s="8"/>
      <c r="E1645" s="7" t="s">
        <v>75</v>
      </c>
      <c r="F1645" s="7" t="s">
        <v>2130</v>
      </c>
      <c r="G1645" s="8"/>
      <c r="H1645" s="8"/>
      <c r="I1645" s="7" t="s">
        <v>55</v>
      </c>
      <c r="J1645" s="8"/>
      <c r="K1645" s="8"/>
      <c r="L1645" s="7" t="s">
        <v>6641</v>
      </c>
      <c r="M1645" s="7" t="s">
        <v>2130</v>
      </c>
      <c r="N1645" s="7">
        <v>56</v>
      </c>
      <c r="O1645" s="7" t="s">
        <v>6642</v>
      </c>
    </row>
    <row r="1646" spans="1:16">
      <c r="A1646" s="6" t="s">
        <v>31</v>
      </c>
      <c r="B1646" s="7">
        <v>1475088</v>
      </c>
      <c r="C1646" s="7">
        <v>1475384</v>
      </c>
      <c r="D1646" s="8"/>
      <c r="E1646" s="7" t="s">
        <v>75</v>
      </c>
      <c r="F1646" s="7" t="s">
        <v>6643</v>
      </c>
      <c r="G1646" s="8"/>
      <c r="H1646" s="8"/>
      <c r="I1646" s="7" t="s">
        <v>55</v>
      </c>
      <c r="J1646" s="8"/>
      <c r="K1646" s="8"/>
      <c r="L1646" s="7" t="s">
        <v>6644</v>
      </c>
      <c r="M1646" s="7" t="s">
        <v>6643</v>
      </c>
      <c r="N1646" s="7">
        <v>98</v>
      </c>
      <c r="O1646" s="7" t="s">
        <v>6645</v>
      </c>
    </row>
    <row r="1647" spans="1:16">
      <c r="A1647" s="6" t="s">
        <v>31</v>
      </c>
      <c r="B1647" s="7">
        <v>1475549</v>
      </c>
      <c r="C1647" s="7">
        <v>1476478</v>
      </c>
      <c r="D1647" s="8"/>
      <c r="E1647" s="7" t="s">
        <v>75</v>
      </c>
      <c r="F1647" s="7" t="s">
        <v>6646</v>
      </c>
      <c r="G1647" s="7" t="s">
        <v>6647</v>
      </c>
      <c r="H1647" s="8"/>
      <c r="I1647" s="7" t="s">
        <v>55</v>
      </c>
      <c r="J1647" s="8"/>
      <c r="K1647" s="8"/>
      <c r="L1647" s="7" t="s">
        <v>6648</v>
      </c>
      <c r="M1647" s="7" t="s">
        <v>6646</v>
      </c>
      <c r="N1647" s="7">
        <v>309</v>
      </c>
      <c r="O1647" s="7" t="s">
        <v>6649</v>
      </c>
    </row>
    <row r="1648" spans="1:16">
      <c r="A1648" s="6" t="s">
        <v>31</v>
      </c>
      <c r="B1648" s="7">
        <v>1476672</v>
      </c>
      <c r="C1648" s="7">
        <v>1477358</v>
      </c>
      <c r="D1648" s="8"/>
      <c r="E1648" s="7" t="s">
        <v>53</v>
      </c>
      <c r="F1648" s="7" t="s">
        <v>1280</v>
      </c>
      <c r="G1648" s="8"/>
      <c r="H1648" s="8"/>
      <c r="I1648" s="7" t="s">
        <v>55</v>
      </c>
      <c r="J1648" s="8"/>
      <c r="K1648" s="8"/>
      <c r="L1648" s="7" t="s">
        <v>6650</v>
      </c>
      <c r="M1648" s="7" t="s">
        <v>1280</v>
      </c>
      <c r="N1648" s="7">
        <v>228</v>
      </c>
      <c r="O1648" s="7" t="s">
        <v>6651</v>
      </c>
    </row>
    <row r="1649" spans="1:16">
      <c r="A1649" s="6" t="s">
        <v>31</v>
      </c>
      <c r="B1649" s="7">
        <v>1477373</v>
      </c>
      <c r="C1649" s="7">
        <v>1478242</v>
      </c>
      <c r="D1649" s="8"/>
      <c r="E1649" s="7" t="s">
        <v>53</v>
      </c>
      <c r="F1649" s="7" t="s">
        <v>2095</v>
      </c>
      <c r="G1649" s="8"/>
      <c r="H1649" s="8"/>
      <c r="I1649" s="7" t="s">
        <v>55</v>
      </c>
      <c r="J1649" s="8"/>
      <c r="K1649" s="8"/>
      <c r="L1649" s="7" t="s">
        <v>6652</v>
      </c>
      <c r="M1649" s="7" t="s">
        <v>2095</v>
      </c>
      <c r="N1649" s="7">
        <v>289</v>
      </c>
      <c r="O1649" s="7" t="s">
        <v>6653</v>
      </c>
    </row>
    <row r="1650" spans="1:16">
      <c r="A1650" s="6" t="s">
        <v>31</v>
      </c>
      <c r="B1650" s="7">
        <v>1478880</v>
      </c>
      <c r="C1650" s="7">
        <v>1479281</v>
      </c>
      <c r="D1650" s="8"/>
      <c r="E1650" s="7" t="s">
        <v>75</v>
      </c>
      <c r="F1650" s="7" t="s">
        <v>2212</v>
      </c>
      <c r="G1650" s="8"/>
      <c r="H1650" s="8"/>
      <c r="I1650" s="7" t="s">
        <v>55</v>
      </c>
      <c r="J1650" s="8"/>
      <c r="K1650" s="8"/>
      <c r="L1650" s="7" t="s">
        <v>6654</v>
      </c>
      <c r="M1650" s="7" t="s">
        <v>2212</v>
      </c>
      <c r="N1650" s="7">
        <v>133</v>
      </c>
      <c r="O1650" s="7" t="s">
        <v>6655</v>
      </c>
    </row>
    <row r="1651" spans="1:16">
      <c r="A1651" s="6" t="s">
        <v>31</v>
      </c>
      <c r="B1651" s="7">
        <v>1479611</v>
      </c>
      <c r="C1651" s="7">
        <v>1479778</v>
      </c>
      <c r="D1651" s="8"/>
      <c r="E1651" s="7" t="s">
        <v>75</v>
      </c>
      <c r="F1651" s="7" t="s">
        <v>2130</v>
      </c>
      <c r="G1651" s="8"/>
      <c r="H1651" s="8"/>
      <c r="I1651" s="7" t="s">
        <v>55</v>
      </c>
      <c r="J1651" s="8"/>
      <c r="K1651" s="8"/>
      <c r="L1651" s="7" t="s">
        <v>6656</v>
      </c>
      <c r="M1651" s="7" t="s">
        <v>2130</v>
      </c>
      <c r="N1651" s="7">
        <v>55</v>
      </c>
      <c r="O1651" s="7" t="s">
        <v>6657</v>
      </c>
    </row>
    <row r="1652" spans="1:16">
      <c r="A1652" s="6" t="s">
        <v>31</v>
      </c>
      <c r="B1652" s="7">
        <v>1479875</v>
      </c>
      <c r="C1652" s="7">
        <v>1480090</v>
      </c>
      <c r="D1652" s="8"/>
      <c r="E1652" s="7" t="s">
        <v>75</v>
      </c>
      <c r="F1652" s="7" t="s">
        <v>2130</v>
      </c>
      <c r="G1652" s="8"/>
      <c r="H1652" s="8"/>
      <c r="I1652" s="7" t="s">
        <v>55</v>
      </c>
      <c r="J1652" s="8"/>
      <c r="K1652" s="8"/>
      <c r="L1652" s="7" t="s">
        <v>6658</v>
      </c>
      <c r="M1652" s="7" t="s">
        <v>2130</v>
      </c>
      <c r="N1652" s="7">
        <v>71</v>
      </c>
      <c r="O1652" s="7" t="s">
        <v>6659</v>
      </c>
    </row>
    <row r="1653" spans="1:16">
      <c r="A1653" s="6" t="s">
        <v>31</v>
      </c>
      <c r="B1653" s="7">
        <v>1480136</v>
      </c>
      <c r="C1653" s="7">
        <v>1480261</v>
      </c>
      <c r="D1653" s="8"/>
      <c r="E1653" s="7" t="s">
        <v>75</v>
      </c>
      <c r="F1653" s="7" t="s">
        <v>2130</v>
      </c>
      <c r="G1653" s="8"/>
      <c r="H1653" s="8"/>
      <c r="I1653" s="7" t="s">
        <v>55</v>
      </c>
      <c r="J1653" s="8"/>
      <c r="K1653" s="8"/>
      <c r="L1653" s="7" t="s">
        <v>6660</v>
      </c>
      <c r="M1653" s="7" t="s">
        <v>2130</v>
      </c>
      <c r="N1653" s="7">
        <v>41</v>
      </c>
      <c r="O1653" s="7" t="s">
        <v>6661</v>
      </c>
    </row>
    <row r="1654" spans="1:16">
      <c r="A1654" s="6" t="s">
        <v>31</v>
      </c>
      <c r="B1654" s="7">
        <v>1480268</v>
      </c>
      <c r="C1654" s="7">
        <v>1480498</v>
      </c>
      <c r="D1654" s="8"/>
      <c r="E1654" s="7" t="s">
        <v>75</v>
      </c>
      <c r="F1654" s="7" t="s">
        <v>6662</v>
      </c>
      <c r="G1654" s="8"/>
      <c r="H1654" s="8"/>
      <c r="I1654" s="7" t="s">
        <v>55</v>
      </c>
      <c r="J1654" s="8"/>
      <c r="K1654" s="8"/>
      <c r="L1654" s="7" t="s">
        <v>6663</v>
      </c>
      <c r="M1654" s="7" t="s">
        <v>6662</v>
      </c>
      <c r="N1654" s="7">
        <v>76</v>
      </c>
      <c r="O1654" s="7" t="s">
        <v>6664</v>
      </c>
    </row>
    <row r="1655" spans="1:16">
      <c r="A1655" s="6" t="s">
        <v>31</v>
      </c>
      <c r="B1655" s="7">
        <v>1480748</v>
      </c>
      <c r="C1655" s="7">
        <v>1481479</v>
      </c>
      <c r="D1655" s="8"/>
      <c r="E1655" s="7" t="s">
        <v>53</v>
      </c>
      <c r="F1655" s="7" t="s">
        <v>6665</v>
      </c>
      <c r="G1655" s="8"/>
      <c r="H1655" s="8"/>
      <c r="I1655" s="7" t="s">
        <v>55</v>
      </c>
      <c r="J1655" s="8"/>
      <c r="K1655" s="8"/>
      <c r="L1655" s="7" t="s">
        <v>6666</v>
      </c>
      <c r="M1655" s="7" t="s">
        <v>6665</v>
      </c>
      <c r="N1655" s="7">
        <v>243</v>
      </c>
      <c r="O1655" s="7" t="s">
        <v>6667</v>
      </c>
    </row>
    <row r="1656" spans="1:16">
      <c r="A1656" s="6" t="s">
        <v>31</v>
      </c>
      <c r="B1656" s="7">
        <v>1481476</v>
      </c>
      <c r="C1656" s="7">
        <v>1482819</v>
      </c>
      <c r="D1656" s="8"/>
      <c r="E1656" s="7" t="s">
        <v>53</v>
      </c>
      <c r="F1656" s="7" t="s">
        <v>6668</v>
      </c>
      <c r="G1656" s="8"/>
      <c r="H1656" s="8"/>
      <c r="I1656" s="7" t="s">
        <v>55</v>
      </c>
      <c r="J1656" s="8"/>
      <c r="K1656" s="8"/>
      <c r="L1656" s="7" t="s">
        <v>6669</v>
      </c>
      <c r="M1656" s="7" t="s">
        <v>6668</v>
      </c>
      <c r="N1656" s="7">
        <v>447</v>
      </c>
      <c r="O1656" s="7" t="s">
        <v>6670</v>
      </c>
    </row>
    <row r="1657" spans="1:16">
      <c r="A1657" s="6" t="s">
        <v>31</v>
      </c>
      <c r="B1657" s="7">
        <v>1482837</v>
      </c>
      <c r="C1657" s="7">
        <v>1482998</v>
      </c>
      <c r="D1657" s="8"/>
      <c r="E1657" s="7" t="s">
        <v>75</v>
      </c>
      <c r="F1657" s="7" t="s">
        <v>6671</v>
      </c>
      <c r="G1657" s="8"/>
      <c r="H1657" s="8"/>
      <c r="I1657" s="7" t="s">
        <v>55</v>
      </c>
      <c r="J1657" s="8"/>
      <c r="K1657" s="8"/>
      <c r="L1657" s="7" t="s">
        <v>6672</v>
      </c>
      <c r="M1657" s="7" t="s">
        <v>6671</v>
      </c>
      <c r="N1657" s="7">
        <v>53</v>
      </c>
      <c r="O1657" s="7" t="s">
        <v>6673</v>
      </c>
    </row>
    <row r="1658" spans="1:16">
      <c r="A1658" s="6" t="s">
        <v>31</v>
      </c>
      <c r="B1658" s="7">
        <v>1483013</v>
      </c>
      <c r="C1658" s="7">
        <v>1483918</v>
      </c>
      <c r="D1658" s="8"/>
      <c r="E1658" s="7" t="s">
        <v>75</v>
      </c>
      <c r="F1658" s="7" t="s">
        <v>2095</v>
      </c>
      <c r="G1658" s="8"/>
      <c r="H1658" s="8"/>
      <c r="I1658" s="7" t="s">
        <v>55</v>
      </c>
      <c r="J1658" s="8"/>
      <c r="K1658" s="8"/>
      <c r="L1658" s="7" t="s">
        <v>6674</v>
      </c>
      <c r="M1658" s="7" t="s">
        <v>2095</v>
      </c>
      <c r="N1658" s="7">
        <v>301</v>
      </c>
      <c r="O1658" s="7" t="s">
        <v>6675</v>
      </c>
    </row>
    <row r="1659" spans="1:16">
      <c r="A1659" s="6" t="s">
        <v>31</v>
      </c>
      <c r="B1659" s="7">
        <v>1483920</v>
      </c>
      <c r="C1659" s="7">
        <v>1484036</v>
      </c>
      <c r="D1659" s="8"/>
      <c r="E1659" s="7" t="s">
        <v>75</v>
      </c>
      <c r="F1659" s="7" t="s">
        <v>2095</v>
      </c>
      <c r="G1659" s="8"/>
      <c r="H1659" s="8"/>
      <c r="I1659" s="7" t="s">
        <v>55</v>
      </c>
      <c r="J1659" s="8"/>
      <c r="K1659" s="8"/>
      <c r="L1659" s="7" t="s">
        <v>6676</v>
      </c>
      <c r="M1659" s="7" t="s">
        <v>2095</v>
      </c>
      <c r="N1659" s="7">
        <v>38</v>
      </c>
      <c r="O1659" s="7" t="s">
        <v>6677</v>
      </c>
    </row>
    <row r="1660" spans="1:16">
      <c r="A1660" s="6" t="s">
        <v>31</v>
      </c>
      <c r="B1660" s="7">
        <v>1484046</v>
      </c>
      <c r="C1660" s="7">
        <v>1484381</v>
      </c>
      <c r="D1660" s="8"/>
      <c r="E1660" s="7" t="s">
        <v>75</v>
      </c>
      <c r="F1660" s="7" t="s">
        <v>6678</v>
      </c>
      <c r="G1660" s="8"/>
      <c r="H1660" s="8"/>
      <c r="I1660" s="7" t="s">
        <v>55</v>
      </c>
      <c r="J1660" s="8"/>
      <c r="K1660" s="8"/>
      <c r="L1660" s="7" t="s">
        <v>6679</v>
      </c>
      <c r="M1660" s="7" t="s">
        <v>6678</v>
      </c>
      <c r="N1660" s="7">
        <v>111</v>
      </c>
      <c r="O1660" s="7" t="s">
        <v>6680</v>
      </c>
    </row>
    <row r="1661" spans="1:16">
      <c r="A1661" s="6" t="s">
        <v>31</v>
      </c>
      <c r="B1661" s="7">
        <v>1484397</v>
      </c>
      <c r="C1661" s="7">
        <v>1486550</v>
      </c>
      <c r="D1661" s="8"/>
      <c r="E1661" s="7" t="s">
        <v>75</v>
      </c>
      <c r="F1661" s="7" t="s">
        <v>6681</v>
      </c>
      <c r="G1661" s="7" t="s">
        <v>6682</v>
      </c>
      <c r="H1661" s="8"/>
      <c r="I1661" s="7" t="s">
        <v>55</v>
      </c>
      <c r="J1661" s="8"/>
      <c r="K1661" s="8"/>
      <c r="L1661" s="7" t="s">
        <v>6683</v>
      </c>
      <c r="M1661" s="7" t="s">
        <v>6681</v>
      </c>
      <c r="N1661" s="7">
        <v>717</v>
      </c>
      <c r="O1661" s="7" t="s">
        <v>6684</v>
      </c>
      <c r="P1661" s="7"/>
    </row>
    <row r="1662" spans="1:16">
      <c r="A1662" s="6" t="s">
        <v>31</v>
      </c>
      <c r="B1662" s="7">
        <v>1487147</v>
      </c>
      <c r="C1662" s="7">
        <v>1487290</v>
      </c>
      <c r="D1662" s="8"/>
      <c r="E1662" s="7" t="s">
        <v>75</v>
      </c>
      <c r="F1662" s="7" t="s">
        <v>2130</v>
      </c>
      <c r="G1662" s="8"/>
      <c r="H1662" s="8"/>
      <c r="I1662" s="7" t="s">
        <v>55</v>
      </c>
      <c r="J1662" s="8"/>
      <c r="K1662" s="8"/>
      <c r="L1662" s="7" t="s">
        <v>6685</v>
      </c>
      <c r="M1662" s="7" t="s">
        <v>2130</v>
      </c>
      <c r="N1662" s="7">
        <v>47</v>
      </c>
      <c r="O1662" s="7" t="s">
        <v>6686</v>
      </c>
    </row>
    <row r="1663" spans="1:16">
      <c r="A1663" s="6" t="s">
        <v>31</v>
      </c>
      <c r="B1663" s="7">
        <v>1487285</v>
      </c>
      <c r="C1663" s="7">
        <v>1487413</v>
      </c>
      <c r="D1663" s="8"/>
      <c r="E1663" s="7" t="s">
        <v>53</v>
      </c>
      <c r="F1663" s="7" t="s">
        <v>2095</v>
      </c>
      <c r="G1663" s="8"/>
      <c r="H1663" s="8"/>
      <c r="I1663" s="7" t="s">
        <v>55</v>
      </c>
      <c r="J1663" s="8"/>
      <c r="K1663" s="8"/>
      <c r="L1663" s="7" t="s">
        <v>6687</v>
      </c>
      <c r="M1663" s="7" t="s">
        <v>2095</v>
      </c>
      <c r="N1663" s="7">
        <v>42</v>
      </c>
      <c r="O1663" s="7" t="s">
        <v>6688</v>
      </c>
    </row>
    <row r="1664" spans="1:16">
      <c r="A1664" s="6" t="s">
        <v>31</v>
      </c>
      <c r="B1664" s="7">
        <v>1487564</v>
      </c>
      <c r="C1664" s="7">
        <v>1489309</v>
      </c>
      <c r="D1664" s="8"/>
      <c r="E1664" s="7" t="s">
        <v>75</v>
      </c>
      <c r="F1664" s="7" t="s">
        <v>6689</v>
      </c>
      <c r="G1664" s="7" t="s">
        <v>6399</v>
      </c>
      <c r="H1664" s="8"/>
      <c r="I1664" s="7" t="s">
        <v>55</v>
      </c>
      <c r="J1664" s="8"/>
      <c r="K1664" s="8"/>
      <c r="L1664" s="7" t="s">
        <v>6690</v>
      </c>
      <c r="M1664" s="7" t="s">
        <v>6689</v>
      </c>
      <c r="N1664" s="7">
        <v>581</v>
      </c>
      <c r="O1664" s="7" t="s">
        <v>6691</v>
      </c>
    </row>
    <row r="1665" spans="1:16">
      <c r="A1665" s="6" t="s">
        <v>31</v>
      </c>
      <c r="B1665" s="7">
        <v>1489302</v>
      </c>
      <c r="C1665" s="7">
        <v>1491059</v>
      </c>
      <c r="D1665" s="8"/>
      <c r="E1665" s="7" t="s">
        <v>75</v>
      </c>
      <c r="F1665" s="7" t="s">
        <v>6692</v>
      </c>
      <c r="G1665" s="7" t="s">
        <v>6693</v>
      </c>
      <c r="H1665" s="8"/>
      <c r="I1665" s="7" t="s">
        <v>55</v>
      </c>
      <c r="J1665" s="8"/>
      <c r="K1665" s="8"/>
      <c r="L1665" s="7" t="s">
        <v>6694</v>
      </c>
      <c r="M1665" s="7" t="s">
        <v>6692</v>
      </c>
      <c r="N1665" s="7">
        <v>585</v>
      </c>
      <c r="O1665" s="7" t="s">
        <v>6695</v>
      </c>
    </row>
    <row r="1666" spans="1:16">
      <c r="A1666" s="6" t="s">
        <v>31</v>
      </c>
      <c r="B1666" s="7">
        <v>1491108</v>
      </c>
      <c r="C1666" s="7">
        <v>1491380</v>
      </c>
      <c r="D1666" s="8"/>
      <c r="E1666" s="7" t="s">
        <v>75</v>
      </c>
      <c r="F1666" s="7" t="s">
        <v>2095</v>
      </c>
      <c r="G1666" s="8"/>
      <c r="H1666" s="8"/>
      <c r="I1666" s="7" t="s">
        <v>55</v>
      </c>
      <c r="J1666" s="8"/>
      <c r="K1666" s="8"/>
      <c r="L1666" s="7" t="s">
        <v>6696</v>
      </c>
      <c r="M1666" s="7" t="s">
        <v>2095</v>
      </c>
      <c r="N1666" s="7">
        <v>90</v>
      </c>
      <c r="O1666" s="7" t="s">
        <v>6697</v>
      </c>
    </row>
    <row r="1667" spans="1:16">
      <c r="A1667" s="6" t="s">
        <v>31</v>
      </c>
      <c r="B1667" s="7">
        <v>1491247</v>
      </c>
      <c r="C1667" s="7">
        <v>1491453</v>
      </c>
      <c r="D1667" s="8"/>
      <c r="E1667" s="7" t="s">
        <v>75</v>
      </c>
      <c r="F1667" s="7" t="s">
        <v>2130</v>
      </c>
      <c r="G1667" s="8"/>
      <c r="H1667" s="8"/>
      <c r="I1667" s="7" t="s">
        <v>55</v>
      </c>
      <c r="J1667" s="8"/>
      <c r="K1667" s="8"/>
      <c r="L1667" s="7" t="s">
        <v>6698</v>
      </c>
      <c r="M1667" s="7" t="s">
        <v>2130</v>
      </c>
      <c r="N1667" s="7">
        <v>68</v>
      </c>
      <c r="O1667" s="7" t="s">
        <v>6699</v>
      </c>
    </row>
    <row r="1668" spans="1:16">
      <c r="A1668" s="6" t="s">
        <v>31</v>
      </c>
      <c r="B1668" s="7">
        <v>1491658</v>
      </c>
      <c r="C1668" s="7">
        <v>1492185</v>
      </c>
      <c r="D1668" s="8"/>
      <c r="E1668" s="7" t="s">
        <v>75</v>
      </c>
      <c r="F1668" s="7" t="s">
        <v>6700</v>
      </c>
      <c r="G1668" s="8"/>
      <c r="H1668" s="8"/>
      <c r="I1668" s="7" t="s">
        <v>55</v>
      </c>
      <c r="J1668" s="8"/>
      <c r="K1668" s="8"/>
      <c r="L1668" s="7" t="s">
        <v>6701</v>
      </c>
      <c r="M1668" s="7" t="s">
        <v>6700</v>
      </c>
      <c r="N1668" s="7">
        <v>175</v>
      </c>
      <c r="O1668" s="7" t="s">
        <v>6702</v>
      </c>
    </row>
    <row r="1669" spans="1:16">
      <c r="A1669" s="6" t="s">
        <v>31</v>
      </c>
      <c r="B1669" s="7">
        <v>1492187</v>
      </c>
      <c r="C1669" s="7">
        <v>1493356</v>
      </c>
      <c r="D1669" s="8"/>
      <c r="E1669" s="7" t="s">
        <v>75</v>
      </c>
      <c r="F1669" s="7" t="s">
        <v>6703</v>
      </c>
      <c r="G1669" s="7" t="s">
        <v>1680</v>
      </c>
      <c r="H1669" s="8"/>
      <c r="I1669" s="7" t="s">
        <v>55</v>
      </c>
      <c r="J1669" s="8"/>
      <c r="K1669" s="8"/>
      <c r="L1669" s="7" t="s">
        <v>6704</v>
      </c>
      <c r="M1669" s="7" t="s">
        <v>6703</v>
      </c>
      <c r="N1669" s="7">
        <v>389</v>
      </c>
      <c r="O1669" s="7" t="s">
        <v>6705</v>
      </c>
      <c r="P1669" s="7"/>
    </row>
    <row r="1670" spans="1:16">
      <c r="A1670" s="6" t="s">
        <v>31</v>
      </c>
      <c r="B1670" s="7">
        <v>1493360</v>
      </c>
      <c r="C1670" s="7">
        <v>1494082</v>
      </c>
      <c r="D1670" s="8"/>
      <c r="E1670" s="7" t="s">
        <v>75</v>
      </c>
      <c r="F1670" s="7" t="s">
        <v>2130</v>
      </c>
      <c r="G1670" s="8"/>
      <c r="H1670" s="8"/>
      <c r="I1670" s="7" t="s">
        <v>55</v>
      </c>
      <c r="J1670" s="8"/>
      <c r="K1670" s="8"/>
      <c r="L1670" s="7" t="s">
        <v>6706</v>
      </c>
      <c r="M1670" s="7" t="s">
        <v>2130</v>
      </c>
      <c r="N1670" s="7">
        <v>240</v>
      </c>
      <c r="O1670" s="7" t="s">
        <v>6707</v>
      </c>
    </row>
    <row r="1671" spans="1:16">
      <c r="A1671" s="6" t="s">
        <v>31</v>
      </c>
      <c r="B1671" s="7">
        <v>1494137</v>
      </c>
      <c r="C1671" s="7">
        <v>1495537</v>
      </c>
      <c r="D1671" s="8"/>
      <c r="E1671" s="7" t="s">
        <v>75</v>
      </c>
      <c r="F1671" s="7" t="s">
        <v>2462</v>
      </c>
      <c r="G1671" s="8"/>
      <c r="H1671" s="8"/>
      <c r="I1671" s="7" t="s">
        <v>55</v>
      </c>
      <c r="J1671" s="8"/>
      <c r="K1671" s="8"/>
      <c r="L1671" s="7" t="s">
        <v>6708</v>
      </c>
      <c r="M1671" s="7" t="s">
        <v>2462</v>
      </c>
      <c r="N1671" s="7">
        <v>466</v>
      </c>
      <c r="O1671" s="7" t="s">
        <v>6709</v>
      </c>
      <c r="P1671" s="7"/>
    </row>
    <row r="1672" spans="1:16">
      <c r="A1672" s="6" t="s">
        <v>31</v>
      </c>
      <c r="B1672" s="7">
        <v>1495771</v>
      </c>
      <c r="C1672" s="7">
        <v>1496010</v>
      </c>
      <c r="D1672" s="8"/>
      <c r="E1672" s="7" t="s">
        <v>75</v>
      </c>
      <c r="F1672" s="7" t="s">
        <v>2130</v>
      </c>
      <c r="G1672" s="8"/>
      <c r="H1672" s="8"/>
      <c r="I1672" s="7" t="s">
        <v>55</v>
      </c>
      <c r="J1672" s="8"/>
      <c r="K1672" s="8"/>
      <c r="L1672" s="7" t="s">
        <v>6710</v>
      </c>
      <c r="M1672" s="7" t="s">
        <v>2130</v>
      </c>
      <c r="N1672" s="7">
        <v>79</v>
      </c>
      <c r="O1672" s="7" t="s">
        <v>6711</v>
      </c>
    </row>
    <row r="1673" spans="1:16">
      <c r="A1673" s="6" t="s">
        <v>31</v>
      </c>
      <c r="B1673" s="7">
        <v>1496340</v>
      </c>
      <c r="C1673" s="7">
        <v>1497683</v>
      </c>
      <c r="D1673" s="8"/>
      <c r="E1673" s="7" t="s">
        <v>75</v>
      </c>
      <c r="F1673" s="7" t="s">
        <v>6712</v>
      </c>
      <c r="G1673" s="7" t="s">
        <v>6713</v>
      </c>
      <c r="H1673" s="8"/>
      <c r="I1673" s="7" t="s">
        <v>55</v>
      </c>
      <c r="J1673" s="8"/>
      <c r="K1673" s="8"/>
      <c r="L1673" s="7" t="s">
        <v>6714</v>
      </c>
      <c r="M1673" s="7" t="s">
        <v>6712</v>
      </c>
      <c r="N1673" s="7">
        <v>447</v>
      </c>
      <c r="O1673" s="7" t="s">
        <v>6715</v>
      </c>
      <c r="P1673" s="7"/>
    </row>
    <row r="1674" spans="1:16">
      <c r="A1674" s="6" t="s">
        <v>31</v>
      </c>
      <c r="B1674" s="7">
        <v>1497758</v>
      </c>
      <c r="C1674" s="7">
        <v>1498780</v>
      </c>
      <c r="D1674" s="8"/>
      <c r="E1674" s="7" t="s">
        <v>75</v>
      </c>
      <c r="F1674" s="7" t="s">
        <v>6716</v>
      </c>
      <c r="G1674" s="7" t="s">
        <v>1686</v>
      </c>
      <c r="H1674" s="8"/>
      <c r="I1674" s="7" t="s">
        <v>55</v>
      </c>
      <c r="J1674" s="8"/>
      <c r="K1674" s="8"/>
      <c r="L1674" s="7" t="s">
        <v>6717</v>
      </c>
      <c r="M1674" s="7" t="s">
        <v>6716</v>
      </c>
      <c r="N1674" s="7">
        <v>340</v>
      </c>
      <c r="O1674" s="7" t="s">
        <v>6718</v>
      </c>
      <c r="P1674" s="7"/>
    </row>
    <row r="1675" spans="1:16">
      <c r="A1675" s="6" t="s">
        <v>31</v>
      </c>
      <c r="B1675" s="7">
        <v>1498782</v>
      </c>
      <c r="C1675" s="7">
        <v>1501049</v>
      </c>
      <c r="D1675" s="8"/>
      <c r="E1675" s="7" t="s">
        <v>75</v>
      </c>
      <c r="F1675" s="7" t="s">
        <v>6719</v>
      </c>
      <c r="G1675" s="7" t="s">
        <v>6720</v>
      </c>
      <c r="H1675" s="8"/>
      <c r="I1675" s="7" t="s">
        <v>55</v>
      </c>
      <c r="J1675" s="8"/>
      <c r="K1675" s="8"/>
      <c r="L1675" s="7" t="s">
        <v>6721</v>
      </c>
      <c r="M1675" s="7" t="s">
        <v>6719</v>
      </c>
      <c r="N1675" s="7">
        <v>755</v>
      </c>
      <c r="O1675" s="7" t="s">
        <v>6722</v>
      </c>
    </row>
    <row r="1676" spans="1:16">
      <c r="A1676" s="6" t="s">
        <v>31</v>
      </c>
      <c r="B1676" s="7">
        <v>1501053</v>
      </c>
      <c r="C1676" s="7">
        <v>1501373</v>
      </c>
      <c r="D1676" s="8"/>
      <c r="E1676" s="7" t="s">
        <v>75</v>
      </c>
      <c r="F1676" s="7" t="s">
        <v>6723</v>
      </c>
      <c r="G1676" s="8"/>
      <c r="H1676" s="8"/>
      <c r="I1676" s="7" t="s">
        <v>55</v>
      </c>
      <c r="J1676" s="8"/>
      <c r="K1676" s="8"/>
      <c r="L1676" s="7" t="s">
        <v>6724</v>
      </c>
      <c r="M1676" s="7" t="s">
        <v>6723</v>
      </c>
      <c r="N1676" s="7">
        <v>106</v>
      </c>
      <c r="O1676" s="7" t="s">
        <v>6725</v>
      </c>
    </row>
    <row r="1677" spans="1:16">
      <c r="A1677" s="6" t="s">
        <v>31</v>
      </c>
      <c r="B1677" s="7">
        <v>1501376</v>
      </c>
      <c r="C1677" s="7">
        <v>1502326</v>
      </c>
      <c r="D1677" s="8"/>
      <c r="E1677" s="7" t="s">
        <v>75</v>
      </c>
      <c r="F1677" s="7" t="s">
        <v>6726</v>
      </c>
      <c r="G1677" s="7" t="s">
        <v>1690</v>
      </c>
      <c r="H1677" s="8"/>
      <c r="I1677" s="7" t="s">
        <v>55</v>
      </c>
      <c r="J1677" s="8"/>
      <c r="K1677" s="8"/>
      <c r="L1677" s="7" t="s">
        <v>6727</v>
      </c>
      <c r="M1677" s="7" t="s">
        <v>6726</v>
      </c>
      <c r="N1677" s="7">
        <v>316</v>
      </c>
      <c r="O1677" s="7" t="s">
        <v>6728</v>
      </c>
      <c r="P1677" s="7"/>
    </row>
    <row r="1678" spans="1:16">
      <c r="A1678" s="6" t="s">
        <v>31</v>
      </c>
      <c r="B1678" s="7">
        <v>1502494</v>
      </c>
      <c r="C1678" s="7">
        <v>1503489</v>
      </c>
      <c r="D1678" s="8"/>
      <c r="E1678" s="7" t="s">
        <v>75</v>
      </c>
      <c r="F1678" s="7" t="s">
        <v>2078</v>
      </c>
      <c r="G1678" s="8"/>
      <c r="H1678" s="8"/>
      <c r="I1678" s="7" t="s">
        <v>55</v>
      </c>
      <c r="J1678" s="8"/>
      <c r="K1678" s="8"/>
      <c r="L1678" s="7" t="s">
        <v>6729</v>
      </c>
      <c r="M1678" s="7" t="s">
        <v>2078</v>
      </c>
      <c r="N1678" s="7">
        <v>331</v>
      </c>
      <c r="O1678" s="7" t="s">
        <v>6730</v>
      </c>
    </row>
    <row r="1679" spans="1:16">
      <c r="A1679" s="6" t="s">
        <v>31</v>
      </c>
      <c r="B1679" s="7">
        <v>1503504</v>
      </c>
      <c r="C1679" s="7">
        <v>1503635</v>
      </c>
      <c r="D1679" s="8"/>
      <c r="E1679" s="7" t="s">
        <v>75</v>
      </c>
      <c r="F1679" s="7" t="s">
        <v>2130</v>
      </c>
      <c r="G1679" s="8"/>
      <c r="H1679" s="8"/>
      <c r="I1679" s="7" t="s">
        <v>55</v>
      </c>
      <c r="J1679" s="8"/>
      <c r="K1679" s="8"/>
      <c r="L1679" s="7" t="s">
        <v>6731</v>
      </c>
      <c r="M1679" s="7" t="s">
        <v>2130</v>
      </c>
      <c r="N1679" s="7">
        <v>43</v>
      </c>
      <c r="O1679" s="7" t="s">
        <v>6732</v>
      </c>
    </row>
    <row r="1680" spans="1:16">
      <c r="A1680" s="6" t="s">
        <v>31</v>
      </c>
      <c r="B1680" s="7">
        <v>1503757</v>
      </c>
      <c r="C1680" s="7">
        <v>1503852</v>
      </c>
      <c r="D1680" s="8"/>
      <c r="E1680" s="7" t="s">
        <v>75</v>
      </c>
      <c r="F1680" s="7" t="s">
        <v>2130</v>
      </c>
      <c r="G1680" s="8"/>
      <c r="H1680" s="8"/>
      <c r="I1680" s="7" t="s">
        <v>55</v>
      </c>
      <c r="J1680" s="8"/>
      <c r="K1680" s="8"/>
      <c r="L1680" s="7" t="s">
        <v>6733</v>
      </c>
      <c r="M1680" s="7" t="s">
        <v>2130</v>
      </c>
      <c r="N1680" s="7">
        <v>31</v>
      </c>
      <c r="O1680" s="7" t="s">
        <v>6734</v>
      </c>
    </row>
    <row r="1681" spans="1:17">
      <c r="A1681" s="6" t="s">
        <v>31</v>
      </c>
      <c r="B1681" s="7">
        <v>1504126</v>
      </c>
      <c r="C1681" s="7">
        <v>1504482</v>
      </c>
      <c r="D1681" s="8"/>
      <c r="E1681" s="7" t="s">
        <v>75</v>
      </c>
      <c r="F1681" s="7" t="s">
        <v>6735</v>
      </c>
      <c r="G1681" s="8"/>
      <c r="H1681" s="8"/>
      <c r="I1681" s="7" t="s">
        <v>55</v>
      </c>
      <c r="J1681" s="8"/>
      <c r="K1681" s="8"/>
      <c r="L1681" s="7" t="s">
        <v>6736</v>
      </c>
      <c r="M1681" s="7" t="s">
        <v>6735</v>
      </c>
      <c r="N1681" s="7">
        <v>118</v>
      </c>
      <c r="O1681" s="7" t="s">
        <v>6737</v>
      </c>
    </row>
    <row r="1682" spans="1:17">
      <c r="A1682" s="6" t="s">
        <v>31</v>
      </c>
      <c r="B1682" s="7">
        <v>1504702</v>
      </c>
      <c r="C1682" s="7">
        <v>1504971</v>
      </c>
      <c r="D1682" s="8"/>
      <c r="E1682" s="7" t="s">
        <v>75</v>
      </c>
      <c r="F1682" s="7" t="s">
        <v>2078</v>
      </c>
      <c r="G1682" s="8"/>
      <c r="H1682" s="8"/>
      <c r="I1682" s="7" t="s">
        <v>55</v>
      </c>
      <c r="J1682" s="8"/>
      <c r="K1682" s="8"/>
      <c r="L1682" s="7" t="s">
        <v>6738</v>
      </c>
      <c r="M1682" s="7" t="s">
        <v>2078</v>
      </c>
      <c r="N1682" s="7">
        <v>89</v>
      </c>
      <c r="O1682" s="7" t="s">
        <v>6739</v>
      </c>
    </row>
    <row r="1683" spans="1:17">
      <c r="A1683" s="6" t="s">
        <v>31</v>
      </c>
      <c r="B1683" s="7">
        <v>1505352</v>
      </c>
      <c r="C1683" s="7">
        <v>1506602</v>
      </c>
      <c r="D1683" s="8"/>
      <c r="E1683" s="7" t="s">
        <v>75</v>
      </c>
      <c r="F1683" s="7" t="s">
        <v>6740</v>
      </c>
      <c r="G1683" s="7" t="s">
        <v>6741</v>
      </c>
      <c r="H1683" s="8"/>
      <c r="I1683" s="7" t="s">
        <v>55</v>
      </c>
      <c r="J1683" s="8"/>
      <c r="K1683" s="8"/>
      <c r="L1683" s="7" t="s">
        <v>6742</v>
      </c>
      <c r="M1683" s="7" t="s">
        <v>6740</v>
      </c>
      <c r="N1683" s="7">
        <v>416</v>
      </c>
      <c r="O1683" s="7" t="s">
        <v>6743</v>
      </c>
      <c r="P1683" s="7"/>
    </row>
    <row r="1684" spans="1:17">
      <c r="A1684" s="6" t="s">
        <v>31</v>
      </c>
      <c r="B1684" s="7">
        <v>1506604</v>
      </c>
      <c r="C1684" s="7">
        <v>1507407</v>
      </c>
      <c r="D1684" s="8"/>
      <c r="E1684" s="7" t="s">
        <v>75</v>
      </c>
      <c r="F1684" s="7" t="s">
        <v>6744</v>
      </c>
      <c r="G1684" s="7" t="s">
        <v>1697</v>
      </c>
      <c r="H1684" s="8"/>
      <c r="I1684" s="7" t="s">
        <v>55</v>
      </c>
      <c r="J1684" s="8"/>
      <c r="K1684" s="8"/>
      <c r="L1684" s="7" t="s">
        <v>6745</v>
      </c>
      <c r="M1684" s="7" t="s">
        <v>6744</v>
      </c>
      <c r="N1684" s="7">
        <v>267</v>
      </c>
      <c r="O1684" s="7" t="s">
        <v>6746</v>
      </c>
      <c r="P1684" s="7"/>
    </row>
    <row r="1685" spans="1:17">
      <c r="A1685" s="6" t="s">
        <v>31</v>
      </c>
      <c r="B1685" s="7">
        <v>1507528</v>
      </c>
      <c r="C1685" s="7">
        <v>1509117</v>
      </c>
      <c r="D1685" s="8"/>
      <c r="E1685" s="7" t="s">
        <v>75</v>
      </c>
      <c r="F1685" s="7" t="s">
        <v>2636</v>
      </c>
      <c r="G1685" s="8"/>
      <c r="H1685" s="8"/>
      <c r="I1685" s="7" t="s">
        <v>55</v>
      </c>
      <c r="J1685" s="8"/>
      <c r="K1685" s="8"/>
      <c r="L1685" s="7" t="s">
        <v>6747</v>
      </c>
      <c r="M1685" s="7" t="s">
        <v>2636</v>
      </c>
      <c r="N1685" s="7">
        <v>529</v>
      </c>
      <c r="O1685" s="7" t="s">
        <v>6748</v>
      </c>
    </row>
    <row r="1686" spans="1:17">
      <c r="A1686" s="6" t="s">
        <v>31</v>
      </c>
      <c r="B1686" s="7">
        <v>1509120</v>
      </c>
      <c r="C1686" s="7">
        <v>1509620</v>
      </c>
      <c r="D1686" s="8"/>
      <c r="E1686" s="7" t="s">
        <v>75</v>
      </c>
      <c r="F1686" s="7" t="s">
        <v>5955</v>
      </c>
      <c r="G1686" s="8"/>
      <c r="H1686" s="8"/>
      <c r="I1686" s="7" t="s">
        <v>55</v>
      </c>
      <c r="J1686" s="8"/>
      <c r="K1686" s="8"/>
      <c r="L1686" s="7" t="s">
        <v>6749</v>
      </c>
      <c r="M1686" s="7" t="s">
        <v>5955</v>
      </c>
      <c r="N1686" s="7">
        <v>166</v>
      </c>
      <c r="O1686" s="7" t="s">
        <v>6750</v>
      </c>
    </row>
    <row r="1687" spans="1:17">
      <c r="A1687" s="6" t="s">
        <v>31</v>
      </c>
      <c r="B1687" s="7">
        <v>1509574</v>
      </c>
      <c r="C1687" s="7">
        <v>1509852</v>
      </c>
      <c r="D1687" s="8"/>
      <c r="E1687" s="7" t="s">
        <v>75</v>
      </c>
      <c r="F1687" s="7" t="s">
        <v>5955</v>
      </c>
      <c r="G1687" s="8"/>
      <c r="H1687" s="8"/>
      <c r="I1687" s="7" t="s">
        <v>55</v>
      </c>
      <c r="J1687" s="8"/>
      <c r="K1687" s="8"/>
      <c r="L1687" s="7" t="s">
        <v>6751</v>
      </c>
      <c r="M1687" s="7" t="s">
        <v>5955</v>
      </c>
      <c r="N1687" s="7">
        <v>92</v>
      </c>
      <c r="O1687" s="7" t="s">
        <v>6752</v>
      </c>
    </row>
    <row r="1688" spans="1:17">
      <c r="A1688" s="6" t="s">
        <v>31</v>
      </c>
      <c r="B1688" s="7">
        <v>1509942</v>
      </c>
      <c r="C1688" s="7">
        <v>1510229</v>
      </c>
      <c r="D1688" s="8"/>
      <c r="E1688" s="7" t="s">
        <v>53</v>
      </c>
      <c r="F1688" s="7" t="s">
        <v>2095</v>
      </c>
      <c r="G1688" s="8"/>
      <c r="H1688" s="8"/>
      <c r="I1688" s="7" t="s">
        <v>55</v>
      </c>
      <c r="J1688" s="8"/>
      <c r="K1688" s="8"/>
      <c r="L1688" s="7" t="s">
        <v>6753</v>
      </c>
      <c r="M1688" s="7" t="s">
        <v>2095</v>
      </c>
      <c r="N1688" s="7">
        <v>95</v>
      </c>
      <c r="O1688" s="7" t="s">
        <v>6754</v>
      </c>
    </row>
    <row r="1689" spans="1:17">
      <c r="A1689" s="6" t="s">
        <v>31</v>
      </c>
      <c r="B1689" s="7">
        <v>1510126</v>
      </c>
      <c r="C1689" s="7">
        <v>1510755</v>
      </c>
      <c r="D1689" s="8"/>
      <c r="E1689" s="7" t="s">
        <v>53</v>
      </c>
      <c r="F1689" s="7" t="s">
        <v>2212</v>
      </c>
      <c r="G1689" s="8"/>
      <c r="H1689" s="8"/>
      <c r="I1689" s="7" t="s">
        <v>55</v>
      </c>
      <c r="J1689" s="8"/>
      <c r="K1689" s="8"/>
      <c r="L1689" s="7" t="s">
        <v>6755</v>
      </c>
      <c r="M1689" s="7" t="s">
        <v>2212</v>
      </c>
      <c r="N1689" s="7">
        <v>209</v>
      </c>
      <c r="O1689" s="7" t="s">
        <v>6756</v>
      </c>
    </row>
    <row r="1690" spans="1:17">
      <c r="A1690" s="6" t="s">
        <v>31</v>
      </c>
      <c r="B1690" s="7">
        <v>1511253</v>
      </c>
      <c r="C1690" s="7">
        <v>1514906</v>
      </c>
      <c r="D1690" s="8"/>
      <c r="E1690" s="7" t="s">
        <v>75</v>
      </c>
      <c r="F1690" s="7" t="s">
        <v>6757</v>
      </c>
      <c r="G1690" s="7" t="s">
        <v>1700</v>
      </c>
      <c r="H1690" s="8"/>
      <c r="I1690" s="7" t="s">
        <v>55</v>
      </c>
      <c r="J1690" s="8"/>
      <c r="K1690" s="8"/>
      <c r="L1690" s="7" t="s">
        <v>6758</v>
      </c>
      <c r="M1690" s="7" t="s">
        <v>6757</v>
      </c>
      <c r="N1690" s="7">
        <v>1217</v>
      </c>
      <c r="O1690" s="7" t="s">
        <v>6759</v>
      </c>
      <c r="P1690" s="7"/>
      <c r="Q1690" s="7"/>
    </row>
    <row r="1691" spans="1:17">
      <c r="A1691" s="6" t="s">
        <v>31</v>
      </c>
      <c r="B1691" s="7">
        <v>1514896</v>
      </c>
      <c r="C1691" s="7">
        <v>1518216</v>
      </c>
      <c r="D1691" s="8"/>
      <c r="E1691" s="7" t="s">
        <v>75</v>
      </c>
      <c r="F1691" s="7" t="s">
        <v>6760</v>
      </c>
      <c r="G1691" s="7" t="s">
        <v>1702</v>
      </c>
      <c r="H1691" s="8"/>
      <c r="I1691" s="7" t="s">
        <v>55</v>
      </c>
      <c r="J1691" s="8"/>
      <c r="K1691" s="8"/>
      <c r="L1691" s="7" t="s">
        <v>6761</v>
      </c>
      <c r="M1691" s="7" t="s">
        <v>6760</v>
      </c>
      <c r="N1691" s="7">
        <v>1106</v>
      </c>
      <c r="O1691" s="7" t="s">
        <v>6762</v>
      </c>
      <c r="P1691" s="7"/>
      <c r="Q1691" s="7"/>
    </row>
    <row r="1692" spans="1:17">
      <c r="A1692" s="6" t="s">
        <v>31</v>
      </c>
      <c r="B1692" s="7">
        <v>1518706</v>
      </c>
      <c r="C1692" s="7">
        <v>1518840</v>
      </c>
      <c r="D1692" s="8"/>
      <c r="E1692" s="7" t="s">
        <v>75</v>
      </c>
      <c r="F1692" s="7" t="s">
        <v>2095</v>
      </c>
      <c r="G1692" s="8"/>
      <c r="H1692" s="8"/>
      <c r="I1692" s="7" t="s">
        <v>55</v>
      </c>
      <c r="J1692" s="8"/>
      <c r="K1692" s="8"/>
      <c r="L1692" s="7" t="s">
        <v>6763</v>
      </c>
      <c r="M1692" s="7" t="s">
        <v>2095</v>
      </c>
      <c r="N1692" s="7">
        <v>44</v>
      </c>
      <c r="O1692" s="7" t="s">
        <v>6764</v>
      </c>
    </row>
    <row r="1693" spans="1:17">
      <c r="A1693" s="6" t="s">
        <v>31</v>
      </c>
      <c r="B1693" s="7">
        <v>1518905</v>
      </c>
      <c r="C1693" s="7">
        <v>1519357</v>
      </c>
      <c r="D1693" s="8"/>
      <c r="E1693" s="7" t="s">
        <v>75</v>
      </c>
      <c r="F1693" s="7" t="s">
        <v>2130</v>
      </c>
      <c r="G1693" s="8"/>
      <c r="H1693" s="8"/>
      <c r="I1693" s="7" t="s">
        <v>55</v>
      </c>
      <c r="J1693" s="8"/>
      <c r="K1693" s="8"/>
      <c r="L1693" s="7" t="s">
        <v>6765</v>
      </c>
      <c r="M1693" s="7" t="s">
        <v>2130</v>
      </c>
      <c r="N1693" s="7">
        <v>150</v>
      </c>
      <c r="O1693" s="7" t="s">
        <v>6766</v>
      </c>
    </row>
    <row r="1694" spans="1:17">
      <c r="A1694" s="6" t="s">
        <v>31</v>
      </c>
      <c r="B1694" s="7">
        <v>1519700</v>
      </c>
      <c r="C1694" s="7">
        <v>1519840</v>
      </c>
      <c r="D1694" s="8"/>
      <c r="E1694" s="7" t="s">
        <v>75</v>
      </c>
      <c r="F1694" s="7" t="s">
        <v>2130</v>
      </c>
      <c r="G1694" s="8"/>
      <c r="H1694" s="8"/>
      <c r="I1694" s="7" t="s">
        <v>55</v>
      </c>
      <c r="J1694" s="8"/>
      <c r="K1694" s="8"/>
      <c r="L1694" s="7" t="s">
        <v>6767</v>
      </c>
      <c r="M1694" s="7" t="s">
        <v>2130</v>
      </c>
      <c r="N1694" s="7">
        <v>46</v>
      </c>
      <c r="O1694" s="7" t="s">
        <v>6768</v>
      </c>
    </row>
    <row r="1695" spans="1:17">
      <c r="A1695" s="6" t="s">
        <v>31</v>
      </c>
      <c r="B1695" s="7">
        <v>1520058</v>
      </c>
      <c r="C1695" s="7">
        <v>1520678</v>
      </c>
      <c r="D1695" s="8"/>
      <c r="E1695" s="7" t="s">
        <v>75</v>
      </c>
      <c r="F1695" s="7" t="s">
        <v>2130</v>
      </c>
      <c r="G1695" s="8"/>
      <c r="H1695" s="8"/>
      <c r="I1695" s="7" t="s">
        <v>55</v>
      </c>
      <c r="J1695" s="8"/>
      <c r="K1695" s="8"/>
      <c r="L1695" s="7" t="s">
        <v>6769</v>
      </c>
      <c r="M1695" s="7" t="s">
        <v>2130</v>
      </c>
      <c r="N1695" s="7">
        <v>206</v>
      </c>
      <c r="O1695" s="7" t="s">
        <v>6770</v>
      </c>
    </row>
    <row r="1696" spans="1:17">
      <c r="A1696" s="6" t="s">
        <v>31</v>
      </c>
      <c r="B1696" s="7">
        <v>1520787</v>
      </c>
      <c r="C1696" s="7">
        <v>1520897</v>
      </c>
      <c r="D1696" s="8"/>
      <c r="E1696" s="7" t="s">
        <v>75</v>
      </c>
      <c r="F1696" s="7" t="s">
        <v>6771</v>
      </c>
      <c r="G1696" s="7" t="s">
        <v>6772</v>
      </c>
      <c r="H1696" s="8"/>
      <c r="I1696" s="7" t="s">
        <v>55</v>
      </c>
      <c r="J1696" s="8"/>
      <c r="K1696" s="8"/>
      <c r="L1696" s="7" t="s">
        <v>6773</v>
      </c>
      <c r="M1696" s="7" t="s">
        <v>6771</v>
      </c>
      <c r="N1696" s="7">
        <v>36</v>
      </c>
      <c r="O1696" s="7" t="s">
        <v>6774</v>
      </c>
    </row>
    <row r="1697" spans="1:16">
      <c r="A1697" s="6" t="s">
        <v>31</v>
      </c>
      <c r="B1697" s="7">
        <v>1520955</v>
      </c>
      <c r="C1697" s="7">
        <v>1521095</v>
      </c>
      <c r="D1697" s="8"/>
      <c r="E1697" s="7" t="s">
        <v>75</v>
      </c>
      <c r="F1697" s="7" t="s">
        <v>2130</v>
      </c>
      <c r="G1697" s="8"/>
      <c r="H1697" s="8"/>
      <c r="I1697" s="7" t="s">
        <v>55</v>
      </c>
      <c r="J1697" s="8"/>
      <c r="K1697" s="8"/>
      <c r="L1697" s="7" t="s">
        <v>6775</v>
      </c>
      <c r="M1697" s="7" t="s">
        <v>2130</v>
      </c>
      <c r="N1697" s="7">
        <v>46</v>
      </c>
      <c r="O1697" s="7" t="s">
        <v>6776</v>
      </c>
    </row>
    <row r="1698" spans="1:16">
      <c r="A1698" s="6" t="s">
        <v>31</v>
      </c>
      <c r="B1698" s="7">
        <v>1521140</v>
      </c>
      <c r="C1698" s="7">
        <v>1522165</v>
      </c>
      <c r="D1698" s="8"/>
      <c r="E1698" s="7" t="s">
        <v>75</v>
      </c>
      <c r="F1698" s="7" t="s">
        <v>3497</v>
      </c>
      <c r="G1698" s="8"/>
      <c r="H1698" s="8"/>
      <c r="I1698" s="7" t="s">
        <v>55</v>
      </c>
      <c r="J1698" s="8"/>
      <c r="K1698" s="8"/>
      <c r="L1698" s="7" t="s">
        <v>6777</v>
      </c>
      <c r="M1698" s="7" t="s">
        <v>3497</v>
      </c>
      <c r="N1698" s="7">
        <v>341</v>
      </c>
      <c r="O1698" s="7" t="s">
        <v>6778</v>
      </c>
    </row>
    <row r="1699" spans="1:16">
      <c r="A1699" s="6" t="s">
        <v>31</v>
      </c>
      <c r="B1699" s="7">
        <v>1522282</v>
      </c>
      <c r="C1699" s="7">
        <v>1523667</v>
      </c>
      <c r="D1699" s="8"/>
      <c r="E1699" s="7" t="s">
        <v>75</v>
      </c>
      <c r="F1699" s="7" t="s">
        <v>3026</v>
      </c>
      <c r="G1699" s="8"/>
      <c r="H1699" s="8"/>
      <c r="I1699" s="7" t="s">
        <v>55</v>
      </c>
      <c r="J1699" s="8"/>
      <c r="K1699" s="8"/>
      <c r="L1699" s="7" t="s">
        <v>6779</v>
      </c>
      <c r="M1699" s="7" t="s">
        <v>3026</v>
      </c>
      <c r="N1699" s="7">
        <v>461</v>
      </c>
      <c r="O1699" s="7" t="s">
        <v>6780</v>
      </c>
    </row>
    <row r="1700" spans="1:16">
      <c r="A1700" s="6" t="s">
        <v>31</v>
      </c>
      <c r="B1700" s="7">
        <v>1523783</v>
      </c>
      <c r="C1700" s="7">
        <v>1524706</v>
      </c>
      <c r="D1700" s="8"/>
      <c r="E1700" s="7" t="s">
        <v>53</v>
      </c>
      <c r="F1700" s="7" t="s">
        <v>6781</v>
      </c>
      <c r="G1700" s="7" t="s">
        <v>6782</v>
      </c>
      <c r="H1700" s="8"/>
      <c r="I1700" s="7" t="s">
        <v>55</v>
      </c>
      <c r="J1700" s="8"/>
      <c r="K1700" s="8"/>
      <c r="L1700" s="7" t="s">
        <v>6783</v>
      </c>
      <c r="M1700" s="7" t="s">
        <v>6781</v>
      </c>
      <c r="N1700" s="7">
        <v>307</v>
      </c>
      <c r="O1700" s="7" t="s">
        <v>6784</v>
      </c>
      <c r="P1700" s="7"/>
    </row>
    <row r="1701" spans="1:16">
      <c r="A1701" s="6" t="s">
        <v>31</v>
      </c>
      <c r="B1701" s="7">
        <v>1525475</v>
      </c>
      <c r="C1701" s="7">
        <v>1527493</v>
      </c>
      <c r="D1701" s="8"/>
      <c r="E1701" s="7" t="s">
        <v>75</v>
      </c>
      <c r="F1701" s="7" t="s">
        <v>1709</v>
      </c>
      <c r="G1701" s="7" t="s">
        <v>1710</v>
      </c>
      <c r="H1701" s="8"/>
      <c r="I1701" s="7" t="s">
        <v>55</v>
      </c>
      <c r="J1701" s="8"/>
      <c r="K1701" s="8"/>
      <c r="L1701" s="7" t="s">
        <v>6785</v>
      </c>
      <c r="M1701" s="7" t="s">
        <v>1709</v>
      </c>
      <c r="N1701" s="7">
        <v>672</v>
      </c>
      <c r="O1701" s="7" t="s">
        <v>6786</v>
      </c>
      <c r="P1701" s="7"/>
    </row>
    <row r="1702" spans="1:16">
      <c r="A1702" s="6" t="s">
        <v>31</v>
      </c>
      <c r="B1702" s="7">
        <v>1527622</v>
      </c>
      <c r="C1702" s="7">
        <v>1528725</v>
      </c>
      <c r="D1702" s="8"/>
      <c r="E1702" s="7" t="s">
        <v>75</v>
      </c>
      <c r="F1702" s="7" t="s">
        <v>6787</v>
      </c>
      <c r="G1702" s="7" t="s">
        <v>6788</v>
      </c>
      <c r="H1702" s="8"/>
      <c r="I1702" s="7" t="s">
        <v>55</v>
      </c>
      <c r="J1702" s="8"/>
      <c r="K1702" s="8"/>
      <c r="L1702" s="7" t="s">
        <v>6789</v>
      </c>
      <c r="M1702" s="7" t="s">
        <v>6787</v>
      </c>
      <c r="N1702" s="7">
        <v>367</v>
      </c>
      <c r="O1702" s="7" t="s">
        <v>6790</v>
      </c>
      <c r="P1702" s="7"/>
    </row>
    <row r="1703" spans="1:16">
      <c r="A1703" s="6" t="s">
        <v>31</v>
      </c>
      <c r="B1703" s="7">
        <v>1528746</v>
      </c>
      <c r="C1703" s="7">
        <v>1529105</v>
      </c>
      <c r="D1703" s="8"/>
      <c r="E1703" s="7" t="s">
        <v>75</v>
      </c>
      <c r="F1703" s="7" t="s">
        <v>6791</v>
      </c>
      <c r="G1703" s="7" t="s">
        <v>1713</v>
      </c>
      <c r="H1703" s="8"/>
      <c r="I1703" s="7" t="s">
        <v>55</v>
      </c>
      <c r="J1703" s="8"/>
      <c r="K1703" s="8"/>
      <c r="L1703" s="7" t="s">
        <v>6792</v>
      </c>
      <c r="M1703" s="7" t="s">
        <v>6791</v>
      </c>
      <c r="N1703" s="7">
        <v>119</v>
      </c>
      <c r="O1703" s="7" t="s">
        <v>6793</v>
      </c>
      <c r="P1703" s="7"/>
    </row>
    <row r="1704" spans="1:16">
      <c r="A1704" s="6" t="s">
        <v>31</v>
      </c>
      <c r="B1704" s="7">
        <v>1529109</v>
      </c>
      <c r="C1704" s="7">
        <v>1530140</v>
      </c>
      <c r="D1704" s="8"/>
      <c r="E1704" s="7" t="s">
        <v>75</v>
      </c>
      <c r="F1704" s="7" t="s">
        <v>6794</v>
      </c>
      <c r="G1704" s="8"/>
      <c r="H1704" s="8"/>
      <c r="I1704" s="7" t="s">
        <v>55</v>
      </c>
      <c r="J1704" s="8"/>
      <c r="K1704" s="8"/>
      <c r="L1704" s="7" t="s">
        <v>6795</v>
      </c>
      <c r="M1704" s="7" t="s">
        <v>6794</v>
      </c>
      <c r="N1704" s="7">
        <v>343</v>
      </c>
      <c r="O1704" s="7" t="s">
        <v>6796</v>
      </c>
      <c r="P1704" s="7"/>
    </row>
    <row r="1705" spans="1:16">
      <c r="A1705" s="6" t="s">
        <v>31</v>
      </c>
      <c r="B1705" s="7">
        <v>1530238</v>
      </c>
      <c r="C1705" s="7">
        <v>1531269</v>
      </c>
      <c r="D1705" s="8"/>
      <c r="E1705" s="7" t="s">
        <v>75</v>
      </c>
      <c r="F1705" s="7" t="s">
        <v>6794</v>
      </c>
      <c r="G1705" s="8"/>
      <c r="H1705" s="8"/>
      <c r="I1705" s="7" t="s">
        <v>55</v>
      </c>
      <c r="J1705" s="8"/>
      <c r="K1705" s="8"/>
      <c r="L1705" s="7" t="s">
        <v>6797</v>
      </c>
      <c r="M1705" s="7" t="s">
        <v>6794</v>
      </c>
      <c r="N1705" s="7">
        <v>343</v>
      </c>
      <c r="O1705" s="7" t="s">
        <v>6798</v>
      </c>
      <c r="P1705" s="7"/>
    </row>
    <row r="1706" spans="1:16">
      <c r="A1706" s="6" t="s">
        <v>31</v>
      </c>
      <c r="B1706" s="7">
        <v>1531293</v>
      </c>
      <c r="C1706" s="7">
        <v>1533842</v>
      </c>
      <c r="D1706" s="8"/>
      <c r="E1706" s="7" t="s">
        <v>75</v>
      </c>
      <c r="F1706" s="7" t="s">
        <v>6799</v>
      </c>
      <c r="G1706" s="7" t="s">
        <v>1717</v>
      </c>
      <c r="H1706" s="8"/>
      <c r="I1706" s="7" t="s">
        <v>55</v>
      </c>
      <c r="J1706" s="8"/>
      <c r="K1706" s="8"/>
      <c r="L1706" s="7" t="s">
        <v>6800</v>
      </c>
      <c r="M1706" s="7" t="s">
        <v>6799</v>
      </c>
      <c r="N1706" s="7">
        <v>849</v>
      </c>
      <c r="O1706" s="7" t="s">
        <v>6801</v>
      </c>
    </row>
    <row r="1707" spans="1:16">
      <c r="A1707" s="6" t="s">
        <v>31</v>
      </c>
      <c r="B1707" s="7">
        <v>1534025</v>
      </c>
      <c r="C1707" s="7">
        <v>1534282</v>
      </c>
      <c r="D1707" s="8"/>
      <c r="E1707" s="7" t="s">
        <v>75</v>
      </c>
      <c r="F1707" s="7" t="s">
        <v>3526</v>
      </c>
      <c r="G1707" s="8"/>
      <c r="H1707" s="8"/>
      <c r="I1707" s="7" t="s">
        <v>55</v>
      </c>
      <c r="J1707" s="8"/>
      <c r="K1707" s="8"/>
      <c r="L1707" s="7" t="s">
        <v>6802</v>
      </c>
      <c r="M1707" s="7" t="s">
        <v>3526</v>
      </c>
      <c r="N1707" s="7">
        <v>85</v>
      </c>
      <c r="O1707" s="7" t="s">
        <v>6803</v>
      </c>
    </row>
    <row r="1708" spans="1:16">
      <c r="A1708" s="6" t="s">
        <v>31</v>
      </c>
      <c r="B1708" s="7">
        <v>1534369</v>
      </c>
      <c r="C1708" s="7">
        <v>1535316</v>
      </c>
      <c r="D1708" s="8"/>
      <c r="E1708" s="7" t="s">
        <v>75</v>
      </c>
      <c r="F1708" s="7" t="s">
        <v>6804</v>
      </c>
      <c r="G1708" s="7" t="s">
        <v>1720</v>
      </c>
      <c r="H1708" s="8"/>
      <c r="I1708" s="7" t="s">
        <v>55</v>
      </c>
      <c r="J1708" s="8"/>
      <c r="K1708" s="8"/>
      <c r="L1708" s="7" t="s">
        <v>6805</v>
      </c>
      <c r="M1708" s="7" t="s">
        <v>6804</v>
      </c>
      <c r="N1708" s="7">
        <v>315</v>
      </c>
      <c r="O1708" s="7" t="s">
        <v>6806</v>
      </c>
      <c r="P1708" s="7"/>
    </row>
    <row r="1709" spans="1:16">
      <c r="A1709" s="6" t="s">
        <v>31</v>
      </c>
      <c r="B1709" s="7">
        <v>1535382</v>
      </c>
      <c r="C1709" s="7">
        <v>1536275</v>
      </c>
      <c r="D1709" s="8"/>
      <c r="E1709" s="7" t="s">
        <v>75</v>
      </c>
      <c r="F1709" s="7" t="s">
        <v>6807</v>
      </c>
      <c r="G1709" s="7" t="s">
        <v>6808</v>
      </c>
      <c r="H1709" s="8"/>
      <c r="I1709" s="7" t="s">
        <v>55</v>
      </c>
      <c r="J1709" s="8"/>
      <c r="K1709" s="8"/>
      <c r="L1709" s="7" t="s">
        <v>6809</v>
      </c>
      <c r="M1709" s="7" t="s">
        <v>6807</v>
      </c>
      <c r="N1709" s="7">
        <v>297</v>
      </c>
      <c r="O1709" s="7" t="s">
        <v>6810</v>
      </c>
      <c r="P1709" s="7"/>
    </row>
    <row r="1710" spans="1:16">
      <c r="A1710" s="6" t="s">
        <v>31</v>
      </c>
      <c r="B1710" s="7">
        <v>1536460</v>
      </c>
      <c r="C1710" s="7">
        <v>1538361</v>
      </c>
      <c r="D1710" s="8"/>
      <c r="E1710" s="7" t="s">
        <v>75</v>
      </c>
      <c r="F1710" s="7" t="s">
        <v>6811</v>
      </c>
      <c r="G1710" s="7" t="s">
        <v>6812</v>
      </c>
      <c r="H1710" s="8"/>
      <c r="I1710" s="7" t="s">
        <v>55</v>
      </c>
      <c r="J1710" s="8"/>
      <c r="K1710" s="8"/>
      <c r="L1710" s="7" t="s">
        <v>6813</v>
      </c>
      <c r="M1710" s="7" t="s">
        <v>6811</v>
      </c>
      <c r="N1710" s="7">
        <v>633</v>
      </c>
      <c r="O1710" s="7" t="s">
        <v>6814</v>
      </c>
      <c r="P1710" s="7"/>
    </row>
    <row r="1711" spans="1:16">
      <c r="A1711" s="6" t="s">
        <v>31</v>
      </c>
      <c r="B1711" s="7">
        <v>1538550</v>
      </c>
      <c r="C1711" s="7">
        <v>1539992</v>
      </c>
      <c r="D1711" s="8"/>
      <c r="E1711" s="7" t="s">
        <v>53</v>
      </c>
      <c r="F1711" s="7" t="s">
        <v>6815</v>
      </c>
      <c r="G1711" s="7" t="s">
        <v>6816</v>
      </c>
      <c r="H1711" s="8"/>
      <c r="I1711" s="7" t="s">
        <v>55</v>
      </c>
      <c r="J1711" s="8"/>
      <c r="K1711" s="8"/>
      <c r="L1711" s="7" t="s">
        <v>6817</v>
      </c>
      <c r="M1711" s="7" t="s">
        <v>6815</v>
      </c>
      <c r="N1711" s="7">
        <v>480</v>
      </c>
      <c r="O1711" s="7" t="s">
        <v>6818</v>
      </c>
      <c r="P1711" s="7"/>
    </row>
    <row r="1712" spans="1:16">
      <c r="A1712" s="6" t="s">
        <v>31</v>
      </c>
      <c r="B1712" s="7">
        <v>1540001</v>
      </c>
      <c r="C1712" s="7">
        <v>1540966</v>
      </c>
      <c r="D1712" s="8"/>
      <c r="E1712" s="7" t="s">
        <v>53</v>
      </c>
      <c r="F1712" s="7" t="s">
        <v>6819</v>
      </c>
      <c r="G1712" s="7" t="s">
        <v>6820</v>
      </c>
      <c r="H1712" s="8"/>
      <c r="I1712" s="7" t="s">
        <v>55</v>
      </c>
      <c r="J1712" s="8"/>
      <c r="K1712" s="8"/>
      <c r="L1712" s="7" t="s">
        <v>6821</v>
      </c>
      <c r="M1712" s="7" t="s">
        <v>6819</v>
      </c>
      <c r="N1712" s="7">
        <v>321</v>
      </c>
      <c r="O1712" s="7" t="s">
        <v>6822</v>
      </c>
    </row>
    <row r="1713" spans="1:16">
      <c r="A1713" s="6" t="s">
        <v>31</v>
      </c>
      <c r="B1713" s="7">
        <v>1541056</v>
      </c>
      <c r="C1713" s="7">
        <v>1541490</v>
      </c>
      <c r="D1713" s="8"/>
      <c r="E1713" s="7" t="s">
        <v>75</v>
      </c>
      <c r="F1713" s="7" t="s">
        <v>6823</v>
      </c>
      <c r="G1713" s="7" t="s">
        <v>1726</v>
      </c>
      <c r="H1713" s="8"/>
      <c r="I1713" s="7" t="s">
        <v>55</v>
      </c>
      <c r="J1713" s="8"/>
      <c r="K1713" s="8"/>
      <c r="L1713" s="7" t="s">
        <v>6824</v>
      </c>
      <c r="M1713" s="7" t="s">
        <v>6823</v>
      </c>
      <c r="N1713" s="7">
        <v>144</v>
      </c>
      <c r="O1713" s="7" t="s">
        <v>6825</v>
      </c>
    </row>
    <row r="1714" spans="1:16">
      <c r="A1714" s="6" t="s">
        <v>31</v>
      </c>
      <c r="B1714" s="7">
        <v>1541483</v>
      </c>
      <c r="C1714" s="7">
        <v>1541872</v>
      </c>
      <c r="D1714" s="8"/>
      <c r="E1714" s="7" t="s">
        <v>75</v>
      </c>
      <c r="F1714" s="7" t="s">
        <v>6826</v>
      </c>
      <c r="G1714" s="8"/>
      <c r="H1714" s="8"/>
      <c r="I1714" s="7" t="s">
        <v>55</v>
      </c>
      <c r="J1714" s="8"/>
      <c r="K1714" s="8"/>
      <c r="L1714" s="7" t="s">
        <v>6827</v>
      </c>
      <c r="M1714" s="7" t="s">
        <v>6826</v>
      </c>
      <c r="N1714" s="7">
        <v>129</v>
      </c>
      <c r="O1714" s="7" t="s">
        <v>6828</v>
      </c>
    </row>
    <row r="1715" spans="1:16">
      <c r="A1715" s="6" t="s">
        <v>31</v>
      </c>
      <c r="B1715" s="7">
        <v>1541943</v>
      </c>
      <c r="C1715" s="7">
        <v>1542503</v>
      </c>
      <c r="D1715" s="8"/>
      <c r="E1715" s="7" t="s">
        <v>75</v>
      </c>
      <c r="F1715" s="7" t="s">
        <v>1729</v>
      </c>
      <c r="G1715" s="7" t="s">
        <v>1730</v>
      </c>
      <c r="H1715" s="8"/>
      <c r="I1715" s="7" t="s">
        <v>55</v>
      </c>
      <c r="J1715" s="8"/>
      <c r="K1715" s="8"/>
      <c r="L1715" s="7" t="s">
        <v>6829</v>
      </c>
      <c r="M1715" s="7" t="s">
        <v>1729</v>
      </c>
      <c r="N1715" s="7">
        <v>186</v>
      </c>
      <c r="O1715" s="7" t="s">
        <v>6830</v>
      </c>
    </row>
    <row r="1716" spans="1:16">
      <c r="A1716" s="6" t="s">
        <v>31</v>
      </c>
      <c r="B1716" s="7">
        <v>1542616</v>
      </c>
      <c r="C1716" s="7">
        <v>1543071</v>
      </c>
      <c r="D1716" s="8"/>
      <c r="E1716" s="7" t="s">
        <v>75</v>
      </c>
      <c r="F1716" s="7" t="s">
        <v>6831</v>
      </c>
      <c r="G1716" s="8"/>
      <c r="H1716" s="8"/>
      <c r="I1716" s="7" t="s">
        <v>55</v>
      </c>
      <c r="J1716" s="8"/>
      <c r="K1716" s="8"/>
      <c r="L1716" s="7" t="s">
        <v>6832</v>
      </c>
      <c r="M1716" s="7" t="s">
        <v>6831</v>
      </c>
      <c r="N1716" s="7">
        <v>151</v>
      </c>
      <c r="O1716" s="7" t="s">
        <v>6833</v>
      </c>
      <c r="P1716" s="7"/>
    </row>
    <row r="1717" spans="1:16">
      <c r="A1717" s="6" t="s">
        <v>31</v>
      </c>
      <c r="B1717" s="7">
        <v>1543090</v>
      </c>
      <c r="C1717" s="7">
        <v>1544151</v>
      </c>
      <c r="D1717" s="8"/>
      <c r="E1717" s="7" t="s">
        <v>75</v>
      </c>
      <c r="F1717" s="7" t="s">
        <v>6834</v>
      </c>
      <c r="G1717" s="7" t="s">
        <v>6835</v>
      </c>
      <c r="H1717" s="8"/>
      <c r="I1717" s="7" t="s">
        <v>55</v>
      </c>
      <c r="J1717" s="8"/>
      <c r="K1717" s="8"/>
      <c r="L1717" s="7" t="s">
        <v>6836</v>
      </c>
      <c r="M1717" s="7" t="s">
        <v>6834</v>
      </c>
      <c r="N1717" s="7">
        <v>353</v>
      </c>
      <c r="O1717" s="7" t="s">
        <v>6837</v>
      </c>
      <c r="P1717" s="7"/>
    </row>
    <row r="1718" spans="1:16">
      <c r="A1718" s="6" t="s">
        <v>31</v>
      </c>
      <c r="B1718" s="7">
        <v>1544341</v>
      </c>
      <c r="C1718" s="7">
        <v>1544769</v>
      </c>
      <c r="D1718" s="8"/>
      <c r="E1718" s="7" t="s">
        <v>75</v>
      </c>
      <c r="F1718" s="7" t="s">
        <v>2212</v>
      </c>
      <c r="G1718" s="8"/>
      <c r="H1718" s="8"/>
      <c r="I1718" s="7" t="s">
        <v>55</v>
      </c>
      <c r="J1718" s="8"/>
      <c r="K1718" s="8"/>
      <c r="L1718" s="7" t="s">
        <v>6838</v>
      </c>
      <c r="M1718" s="7" t="s">
        <v>2212</v>
      </c>
      <c r="N1718" s="7">
        <v>142</v>
      </c>
      <c r="O1718" s="7" t="s">
        <v>6839</v>
      </c>
    </row>
    <row r="1719" spans="1:16">
      <c r="A1719" s="6" t="s">
        <v>31</v>
      </c>
      <c r="B1719" s="7">
        <v>1544814</v>
      </c>
      <c r="C1719" s="7">
        <v>1545170</v>
      </c>
      <c r="D1719" s="8"/>
      <c r="E1719" s="7" t="s">
        <v>75</v>
      </c>
      <c r="F1719" s="7" t="s">
        <v>2095</v>
      </c>
      <c r="G1719" s="8"/>
      <c r="H1719" s="8"/>
      <c r="I1719" s="7" t="s">
        <v>55</v>
      </c>
      <c r="J1719" s="8"/>
      <c r="K1719" s="8"/>
      <c r="L1719" s="7" t="s">
        <v>6840</v>
      </c>
      <c r="M1719" s="7" t="s">
        <v>2095</v>
      </c>
      <c r="N1719" s="7">
        <v>118</v>
      </c>
      <c r="O1719" s="7" t="s">
        <v>6841</v>
      </c>
    </row>
    <row r="1720" spans="1:16">
      <c r="A1720" s="6" t="s">
        <v>31</v>
      </c>
      <c r="B1720" s="7">
        <v>1545214</v>
      </c>
      <c r="C1720" s="7">
        <v>1545390</v>
      </c>
      <c r="D1720" s="8"/>
      <c r="E1720" s="7" t="s">
        <v>75</v>
      </c>
      <c r="F1720" s="7" t="s">
        <v>2130</v>
      </c>
      <c r="G1720" s="8"/>
      <c r="H1720" s="8"/>
      <c r="I1720" s="7" t="s">
        <v>55</v>
      </c>
      <c r="J1720" s="8"/>
      <c r="K1720" s="8"/>
      <c r="L1720" s="7" t="s">
        <v>6842</v>
      </c>
      <c r="M1720" s="7" t="s">
        <v>2130</v>
      </c>
      <c r="N1720" s="7">
        <v>58</v>
      </c>
      <c r="O1720" s="7" t="s">
        <v>6843</v>
      </c>
    </row>
    <row r="1721" spans="1:16">
      <c r="A1721" s="6" t="s">
        <v>31</v>
      </c>
      <c r="B1721" s="7">
        <v>1545377</v>
      </c>
      <c r="C1721" s="7">
        <v>1545613</v>
      </c>
      <c r="D1721" s="8"/>
      <c r="E1721" s="7" t="s">
        <v>75</v>
      </c>
      <c r="F1721" s="7" t="s">
        <v>2095</v>
      </c>
      <c r="G1721" s="8"/>
      <c r="H1721" s="8"/>
      <c r="I1721" s="7" t="s">
        <v>55</v>
      </c>
      <c r="J1721" s="8"/>
      <c r="K1721" s="8"/>
      <c r="L1721" s="7" t="s">
        <v>6844</v>
      </c>
      <c r="M1721" s="7" t="s">
        <v>2095</v>
      </c>
      <c r="N1721" s="7">
        <v>78</v>
      </c>
      <c r="O1721" s="7" t="s">
        <v>6845</v>
      </c>
    </row>
    <row r="1722" spans="1:16">
      <c r="A1722" s="6" t="s">
        <v>31</v>
      </c>
      <c r="B1722" s="7">
        <v>1545610</v>
      </c>
      <c r="C1722" s="7">
        <v>1545765</v>
      </c>
      <c r="D1722" s="8"/>
      <c r="E1722" s="7" t="s">
        <v>75</v>
      </c>
      <c r="F1722" s="7" t="s">
        <v>2095</v>
      </c>
      <c r="G1722" s="8"/>
      <c r="H1722" s="8"/>
      <c r="I1722" s="7" t="s">
        <v>55</v>
      </c>
      <c r="J1722" s="8"/>
      <c r="K1722" s="8"/>
      <c r="L1722" s="7" t="s">
        <v>6846</v>
      </c>
      <c r="M1722" s="7" t="s">
        <v>2095</v>
      </c>
      <c r="N1722" s="7">
        <v>51</v>
      </c>
      <c r="O1722" s="7" t="s">
        <v>6847</v>
      </c>
    </row>
    <row r="1723" spans="1:16">
      <c r="A1723" s="6" t="s">
        <v>31</v>
      </c>
      <c r="B1723" s="7">
        <v>1545953</v>
      </c>
      <c r="C1723" s="7">
        <v>1546144</v>
      </c>
      <c r="D1723" s="8"/>
      <c r="E1723" s="7" t="s">
        <v>75</v>
      </c>
      <c r="F1723" s="7" t="s">
        <v>2130</v>
      </c>
      <c r="G1723" s="8"/>
      <c r="H1723" s="8"/>
      <c r="I1723" s="7" t="s">
        <v>55</v>
      </c>
      <c r="J1723" s="8"/>
      <c r="K1723" s="8"/>
      <c r="L1723" s="7" t="s">
        <v>6848</v>
      </c>
      <c r="M1723" s="7" t="s">
        <v>2130</v>
      </c>
      <c r="N1723" s="7">
        <v>63</v>
      </c>
      <c r="O1723" s="7" t="s">
        <v>6849</v>
      </c>
    </row>
    <row r="1724" spans="1:16">
      <c r="A1724" s="6" t="s">
        <v>31</v>
      </c>
      <c r="B1724" s="7">
        <v>1546306</v>
      </c>
      <c r="C1724" s="7">
        <v>1546578</v>
      </c>
      <c r="D1724" s="8"/>
      <c r="E1724" s="7" t="s">
        <v>75</v>
      </c>
      <c r="F1724" s="7" t="s">
        <v>4053</v>
      </c>
      <c r="G1724" s="8"/>
      <c r="H1724" s="8"/>
      <c r="I1724" s="7" t="s">
        <v>55</v>
      </c>
      <c r="J1724" s="8"/>
      <c r="K1724" s="8"/>
      <c r="L1724" s="7" t="s">
        <v>6850</v>
      </c>
      <c r="M1724" s="7" t="s">
        <v>4053</v>
      </c>
      <c r="N1724" s="7">
        <v>90</v>
      </c>
      <c r="O1724" s="7" t="s">
        <v>6851</v>
      </c>
    </row>
    <row r="1725" spans="1:16">
      <c r="A1725" s="6" t="s">
        <v>31</v>
      </c>
      <c r="B1725" s="7">
        <v>1546672</v>
      </c>
      <c r="C1725" s="7">
        <v>1549497</v>
      </c>
      <c r="D1725" s="8"/>
      <c r="E1725" s="7" t="s">
        <v>75</v>
      </c>
      <c r="F1725" s="7" t="s">
        <v>6852</v>
      </c>
      <c r="G1725" s="7" t="s">
        <v>1740</v>
      </c>
      <c r="H1725" s="8"/>
      <c r="I1725" s="7" t="s">
        <v>55</v>
      </c>
      <c r="J1725" s="8"/>
      <c r="K1725" s="8"/>
      <c r="L1725" s="7" t="s">
        <v>6853</v>
      </c>
      <c r="M1725" s="7" t="s">
        <v>6852</v>
      </c>
      <c r="N1725" s="7">
        <v>941</v>
      </c>
      <c r="O1725" s="7" t="s">
        <v>6854</v>
      </c>
    </row>
    <row r="1726" spans="1:16">
      <c r="A1726" s="6" t="s">
        <v>31</v>
      </c>
      <c r="B1726" s="7">
        <v>1549806</v>
      </c>
      <c r="C1726" s="7">
        <v>1550750</v>
      </c>
      <c r="D1726" s="8"/>
      <c r="E1726" s="7" t="s">
        <v>53</v>
      </c>
      <c r="F1726" s="7" t="s">
        <v>6855</v>
      </c>
      <c r="G1726" s="8"/>
      <c r="H1726" s="8"/>
      <c r="I1726" s="7" t="s">
        <v>55</v>
      </c>
      <c r="J1726" s="8"/>
      <c r="K1726" s="8"/>
      <c r="L1726" s="7" t="s">
        <v>6856</v>
      </c>
      <c r="M1726" s="7" t="s">
        <v>6855</v>
      </c>
      <c r="N1726" s="7">
        <v>314</v>
      </c>
      <c r="O1726" s="7" t="s">
        <v>6857</v>
      </c>
    </row>
    <row r="1727" spans="1:16">
      <c r="A1727" s="6" t="s">
        <v>31</v>
      </c>
      <c r="B1727" s="7">
        <v>1550821</v>
      </c>
      <c r="C1727" s="7">
        <v>1551492</v>
      </c>
      <c r="D1727" s="8"/>
      <c r="E1727" s="7" t="s">
        <v>53</v>
      </c>
      <c r="F1727" s="7" t="s">
        <v>5416</v>
      </c>
      <c r="G1727" s="8"/>
      <c r="H1727" s="8"/>
      <c r="I1727" s="7" t="s">
        <v>55</v>
      </c>
      <c r="J1727" s="8"/>
      <c r="K1727" s="8"/>
      <c r="L1727" s="7" t="s">
        <v>6858</v>
      </c>
      <c r="M1727" s="7" t="s">
        <v>5416</v>
      </c>
      <c r="N1727" s="7">
        <v>223</v>
      </c>
      <c r="O1727" s="7" t="s">
        <v>6859</v>
      </c>
    </row>
    <row r="1728" spans="1:16">
      <c r="A1728" s="6" t="s">
        <v>31</v>
      </c>
      <c r="B1728" s="7">
        <v>1551609</v>
      </c>
      <c r="C1728" s="7">
        <v>1552490</v>
      </c>
      <c r="D1728" s="8"/>
      <c r="E1728" s="7" t="s">
        <v>53</v>
      </c>
      <c r="F1728" s="7" t="s">
        <v>2078</v>
      </c>
      <c r="G1728" s="8"/>
      <c r="H1728" s="8"/>
      <c r="I1728" s="7" t="s">
        <v>55</v>
      </c>
      <c r="J1728" s="8"/>
      <c r="K1728" s="8"/>
      <c r="L1728" s="7" t="s">
        <v>6860</v>
      </c>
      <c r="M1728" s="7" t="s">
        <v>2078</v>
      </c>
      <c r="N1728" s="7">
        <v>293</v>
      </c>
      <c r="O1728" s="7" t="s">
        <v>6861</v>
      </c>
    </row>
    <row r="1729" spans="1:16">
      <c r="A1729" s="6" t="s">
        <v>31</v>
      </c>
      <c r="B1729" s="7">
        <v>1552617</v>
      </c>
      <c r="C1729" s="7">
        <v>1552856</v>
      </c>
      <c r="D1729" s="8"/>
      <c r="E1729" s="7" t="s">
        <v>75</v>
      </c>
      <c r="F1729" s="7" t="s">
        <v>6862</v>
      </c>
      <c r="G1729" s="7" t="s">
        <v>1745</v>
      </c>
      <c r="H1729" s="8"/>
      <c r="I1729" s="7" t="s">
        <v>55</v>
      </c>
      <c r="J1729" s="8"/>
      <c r="K1729" s="8"/>
      <c r="L1729" s="7" t="s">
        <v>6863</v>
      </c>
      <c r="M1729" s="7" t="s">
        <v>6862</v>
      </c>
      <c r="N1729" s="7">
        <v>79</v>
      </c>
      <c r="O1729" s="7" t="s">
        <v>6864</v>
      </c>
    </row>
    <row r="1730" spans="1:16">
      <c r="A1730" s="6" t="s">
        <v>31</v>
      </c>
      <c r="B1730" s="7">
        <v>1552898</v>
      </c>
      <c r="C1730" s="7">
        <v>1553416</v>
      </c>
      <c r="D1730" s="8"/>
      <c r="E1730" s="7" t="s">
        <v>75</v>
      </c>
      <c r="F1730" s="7" t="s">
        <v>6865</v>
      </c>
      <c r="G1730" s="7" t="s">
        <v>6866</v>
      </c>
      <c r="H1730" s="8"/>
      <c r="I1730" s="7" t="s">
        <v>55</v>
      </c>
      <c r="J1730" s="8"/>
      <c r="K1730" s="8"/>
      <c r="L1730" s="7" t="s">
        <v>6867</v>
      </c>
      <c r="M1730" s="7" t="s">
        <v>6865</v>
      </c>
      <c r="N1730" s="7">
        <v>172</v>
      </c>
      <c r="O1730" s="7" t="s">
        <v>6868</v>
      </c>
    </row>
    <row r="1731" spans="1:16">
      <c r="A1731" s="6" t="s">
        <v>31</v>
      </c>
      <c r="B1731" s="7">
        <v>1553428</v>
      </c>
      <c r="C1731" s="7">
        <v>1553718</v>
      </c>
      <c r="D1731" s="8"/>
      <c r="E1731" s="7" t="s">
        <v>75</v>
      </c>
      <c r="F1731" s="7" t="s">
        <v>6869</v>
      </c>
      <c r="G1731" s="7" t="s">
        <v>1748</v>
      </c>
      <c r="H1731" s="8"/>
      <c r="I1731" s="7" t="s">
        <v>55</v>
      </c>
      <c r="J1731" s="8"/>
      <c r="K1731" s="8"/>
      <c r="L1731" s="7" t="s">
        <v>6870</v>
      </c>
      <c r="M1731" s="7" t="s">
        <v>6869</v>
      </c>
      <c r="N1731" s="7">
        <v>96</v>
      </c>
      <c r="O1731" s="7" t="s">
        <v>6871</v>
      </c>
    </row>
    <row r="1732" spans="1:16">
      <c r="A1732" s="6" t="s">
        <v>31</v>
      </c>
      <c r="B1732" s="7">
        <v>1553937</v>
      </c>
      <c r="C1732" s="7">
        <v>1554269</v>
      </c>
      <c r="D1732" s="8"/>
      <c r="E1732" s="7" t="s">
        <v>53</v>
      </c>
      <c r="F1732" s="7" t="s">
        <v>2130</v>
      </c>
      <c r="G1732" s="8"/>
      <c r="H1732" s="8"/>
      <c r="I1732" s="7" t="s">
        <v>55</v>
      </c>
      <c r="J1732" s="8"/>
      <c r="K1732" s="8"/>
      <c r="L1732" s="7" t="s">
        <v>6872</v>
      </c>
      <c r="M1732" s="7" t="s">
        <v>2130</v>
      </c>
      <c r="N1732" s="7">
        <v>110</v>
      </c>
      <c r="O1732" s="7" t="s">
        <v>6873</v>
      </c>
    </row>
    <row r="1733" spans="1:16">
      <c r="A1733" s="6" t="s">
        <v>31</v>
      </c>
      <c r="B1733" s="7">
        <v>1554307</v>
      </c>
      <c r="C1733" s="7">
        <v>1554891</v>
      </c>
      <c r="D1733" s="8"/>
      <c r="E1733" s="7" t="s">
        <v>53</v>
      </c>
      <c r="F1733" s="7" t="s">
        <v>2130</v>
      </c>
      <c r="G1733" s="8"/>
      <c r="H1733" s="8"/>
      <c r="I1733" s="7" t="s">
        <v>55</v>
      </c>
      <c r="J1733" s="8"/>
      <c r="K1733" s="8"/>
      <c r="L1733" s="7" t="s">
        <v>6874</v>
      </c>
      <c r="M1733" s="7" t="s">
        <v>2130</v>
      </c>
      <c r="N1733" s="7">
        <v>194</v>
      </c>
      <c r="O1733" s="7" t="s">
        <v>6875</v>
      </c>
    </row>
    <row r="1734" spans="1:16">
      <c r="A1734" s="6" t="s">
        <v>31</v>
      </c>
      <c r="B1734" s="7">
        <v>1555395</v>
      </c>
      <c r="C1734" s="7">
        <v>1555517</v>
      </c>
      <c r="D1734" s="8"/>
      <c r="E1734" s="7" t="s">
        <v>75</v>
      </c>
      <c r="F1734" s="7" t="s">
        <v>2095</v>
      </c>
      <c r="G1734" s="8"/>
      <c r="H1734" s="8"/>
      <c r="I1734" s="7" t="s">
        <v>55</v>
      </c>
      <c r="J1734" s="8"/>
      <c r="K1734" s="8"/>
      <c r="L1734" s="7" t="s">
        <v>6876</v>
      </c>
      <c r="M1734" s="7" t="s">
        <v>2095</v>
      </c>
      <c r="N1734" s="7">
        <v>40</v>
      </c>
      <c r="O1734" s="7" t="s">
        <v>6877</v>
      </c>
    </row>
    <row r="1735" spans="1:16">
      <c r="A1735" s="6" t="s">
        <v>31</v>
      </c>
      <c r="B1735" s="7">
        <v>1555556</v>
      </c>
      <c r="C1735" s="7">
        <v>1556707</v>
      </c>
      <c r="D1735" s="8"/>
      <c r="E1735" s="7" t="s">
        <v>53</v>
      </c>
      <c r="F1735" s="7" t="s">
        <v>6878</v>
      </c>
      <c r="G1735" s="7" t="s">
        <v>1752</v>
      </c>
      <c r="H1735" s="8"/>
      <c r="I1735" s="7" t="s">
        <v>55</v>
      </c>
      <c r="J1735" s="8"/>
      <c r="K1735" s="8"/>
      <c r="L1735" s="7" t="s">
        <v>6879</v>
      </c>
      <c r="M1735" s="7" t="s">
        <v>6878</v>
      </c>
      <c r="N1735" s="7">
        <v>383</v>
      </c>
      <c r="O1735" s="7" t="s">
        <v>6880</v>
      </c>
      <c r="P1735" s="7"/>
    </row>
    <row r="1736" spans="1:16">
      <c r="A1736" s="6" t="s">
        <v>31</v>
      </c>
      <c r="B1736" s="7">
        <v>1556727</v>
      </c>
      <c r="C1736" s="7">
        <v>1556870</v>
      </c>
      <c r="D1736" s="8"/>
      <c r="E1736" s="7" t="s">
        <v>75</v>
      </c>
      <c r="F1736" s="7" t="s">
        <v>2095</v>
      </c>
      <c r="G1736" s="8"/>
      <c r="H1736" s="8"/>
      <c r="I1736" s="7" t="s">
        <v>55</v>
      </c>
      <c r="J1736" s="8"/>
      <c r="K1736" s="8"/>
      <c r="L1736" s="7" t="s">
        <v>6881</v>
      </c>
      <c r="M1736" s="7" t="s">
        <v>2095</v>
      </c>
      <c r="N1736" s="7">
        <v>47</v>
      </c>
      <c r="O1736" s="7" t="s">
        <v>6882</v>
      </c>
    </row>
    <row r="1737" spans="1:16">
      <c r="A1737" s="6" t="s">
        <v>31</v>
      </c>
      <c r="B1737" s="7">
        <v>1556803</v>
      </c>
      <c r="C1737" s="7">
        <v>1556928</v>
      </c>
      <c r="D1737" s="8"/>
      <c r="E1737" s="7" t="s">
        <v>75</v>
      </c>
      <c r="F1737" s="7" t="s">
        <v>2130</v>
      </c>
      <c r="G1737" s="8"/>
      <c r="H1737" s="8"/>
      <c r="I1737" s="7" t="s">
        <v>55</v>
      </c>
      <c r="J1737" s="8"/>
      <c r="K1737" s="8"/>
      <c r="L1737" s="7" t="s">
        <v>6883</v>
      </c>
      <c r="M1737" s="7" t="s">
        <v>2130</v>
      </c>
      <c r="N1737" s="7">
        <v>41</v>
      </c>
      <c r="O1737" s="7" t="s">
        <v>6884</v>
      </c>
    </row>
    <row r="1738" spans="1:16">
      <c r="A1738" s="6" t="s">
        <v>31</v>
      </c>
      <c r="B1738" s="7">
        <v>1557034</v>
      </c>
      <c r="C1738" s="7">
        <v>1557204</v>
      </c>
      <c r="D1738" s="8"/>
      <c r="E1738" s="7" t="s">
        <v>75</v>
      </c>
      <c r="F1738" s="7" t="s">
        <v>2095</v>
      </c>
      <c r="G1738" s="8"/>
      <c r="H1738" s="8"/>
      <c r="I1738" s="7" t="s">
        <v>55</v>
      </c>
      <c r="J1738" s="8"/>
      <c r="K1738" s="8"/>
      <c r="L1738" s="7" t="s">
        <v>6885</v>
      </c>
      <c r="M1738" s="7" t="s">
        <v>2095</v>
      </c>
      <c r="N1738" s="7">
        <v>56</v>
      </c>
      <c r="O1738" s="7" t="s">
        <v>6886</v>
      </c>
    </row>
    <row r="1739" spans="1:16">
      <c r="A1739" s="6" t="s">
        <v>31</v>
      </c>
      <c r="B1739" s="7">
        <v>1557388</v>
      </c>
      <c r="C1739" s="7">
        <v>1557600</v>
      </c>
      <c r="D1739" s="8"/>
      <c r="E1739" s="7" t="s">
        <v>75</v>
      </c>
      <c r="F1739" s="7" t="s">
        <v>2130</v>
      </c>
      <c r="G1739" s="8"/>
      <c r="H1739" s="8"/>
      <c r="I1739" s="7" t="s">
        <v>55</v>
      </c>
      <c r="J1739" s="8"/>
      <c r="K1739" s="8"/>
      <c r="L1739" s="7" t="s">
        <v>6887</v>
      </c>
      <c r="M1739" s="7" t="s">
        <v>2130</v>
      </c>
      <c r="N1739" s="7">
        <v>70</v>
      </c>
      <c r="O1739" s="7" t="s">
        <v>6888</v>
      </c>
    </row>
    <row r="1740" spans="1:16">
      <c r="A1740" s="6" t="s">
        <v>31</v>
      </c>
      <c r="B1740" s="7">
        <v>1557603</v>
      </c>
      <c r="C1740" s="7">
        <v>1557947</v>
      </c>
      <c r="D1740" s="8"/>
      <c r="E1740" s="7" t="s">
        <v>75</v>
      </c>
      <c r="F1740" s="7" t="s">
        <v>2130</v>
      </c>
      <c r="G1740" s="8"/>
      <c r="H1740" s="8"/>
      <c r="I1740" s="7" t="s">
        <v>55</v>
      </c>
      <c r="J1740" s="8"/>
      <c r="K1740" s="8"/>
      <c r="L1740" s="7" t="s">
        <v>6889</v>
      </c>
      <c r="M1740" s="7" t="s">
        <v>2130</v>
      </c>
      <c r="N1740" s="7">
        <v>114</v>
      </c>
      <c r="O1740" s="7" t="s">
        <v>6890</v>
      </c>
    </row>
    <row r="1741" spans="1:16">
      <c r="A1741" s="6" t="s">
        <v>31</v>
      </c>
      <c r="B1741" s="7">
        <v>1558415</v>
      </c>
      <c r="C1741" s="7">
        <v>1558531</v>
      </c>
      <c r="D1741" s="8"/>
      <c r="E1741" s="7" t="s">
        <v>75</v>
      </c>
      <c r="F1741" s="7" t="s">
        <v>2130</v>
      </c>
      <c r="G1741" s="8"/>
      <c r="H1741" s="8"/>
      <c r="I1741" s="7" t="s">
        <v>55</v>
      </c>
      <c r="J1741" s="8"/>
      <c r="K1741" s="8"/>
      <c r="L1741" s="7" t="s">
        <v>6891</v>
      </c>
      <c r="M1741" s="7" t="s">
        <v>2130</v>
      </c>
      <c r="N1741" s="7">
        <v>38</v>
      </c>
      <c r="O1741" s="7" t="s">
        <v>6892</v>
      </c>
    </row>
    <row r="1742" spans="1:16">
      <c r="A1742" s="6" t="s">
        <v>31</v>
      </c>
      <c r="B1742" s="7">
        <v>1558535</v>
      </c>
      <c r="C1742" s="7">
        <v>1561174</v>
      </c>
      <c r="D1742" s="8"/>
      <c r="E1742" s="7" t="s">
        <v>75</v>
      </c>
      <c r="F1742" s="7" t="s">
        <v>1757</v>
      </c>
      <c r="G1742" s="7" t="s">
        <v>1758</v>
      </c>
      <c r="H1742" s="8"/>
      <c r="I1742" s="7" t="s">
        <v>55</v>
      </c>
      <c r="J1742" s="8"/>
      <c r="K1742" s="8"/>
      <c r="L1742" s="7" t="s">
        <v>6893</v>
      </c>
      <c r="M1742" s="7" t="s">
        <v>1757</v>
      </c>
      <c r="N1742" s="7">
        <v>879</v>
      </c>
      <c r="O1742" s="7" t="s">
        <v>6894</v>
      </c>
      <c r="P1742" s="7"/>
    </row>
    <row r="1743" spans="1:16">
      <c r="A1743" s="6" t="s">
        <v>31</v>
      </c>
      <c r="B1743" s="7">
        <v>1561381</v>
      </c>
      <c r="C1743" s="7">
        <v>1563732</v>
      </c>
      <c r="D1743" s="8"/>
      <c r="E1743" s="7" t="s">
        <v>53</v>
      </c>
      <c r="F1743" s="7" t="s">
        <v>6895</v>
      </c>
      <c r="G1743" s="7" t="s">
        <v>116</v>
      </c>
      <c r="H1743" s="8"/>
      <c r="I1743" s="7" t="s">
        <v>55</v>
      </c>
      <c r="J1743" s="8"/>
      <c r="K1743" s="8"/>
      <c r="L1743" s="7" t="s">
        <v>6896</v>
      </c>
      <c r="M1743" s="7" t="s">
        <v>6895</v>
      </c>
      <c r="N1743" s="7">
        <v>783</v>
      </c>
      <c r="O1743" s="7" t="s">
        <v>6897</v>
      </c>
      <c r="P1743" s="7"/>
    </row>
    <row r="1744" spans="1:16">
      <c r="A1744" s="6" t="s">
        <v>31</v>
      </c>
      <c r="B1744" s="7">
        <v>1563834</v>
      </c>
      <c r="C1744" s="7">
        <v>1564376</v>
      </c>
      <c r="D1744" s="8"/>
      <c r="E1744" s="7" t="s">
        <v>75</v>
      </c>
      <c r="F1744" s="7" t="s">
        <v>6898</v>
      </c>
      <c r="G1744" s="8"/>
      <c r="H1744" s="8"/>
      <c r="I1744" s="7" t="s">
        <v>55</v>
      </c>
      <c r="J1744" s="8"/>
      <c r="K1744" s="8"/>
      <c r="L1744" s="7" t="s">
        <v>6899</v>
      </c>
      <c r="M1744" s="7" t="s">
        <v>6898</v>
      </c>
      <c r="N1744" s="7">
        <v>180</v>
      </c>
      <c r="O1744" s="7" t="s">
        <v>6900</v>
      </c>
    </row>
    <row r="1745" spans="1:16">
      <c r="A1745" s="6" t="s">
        <v>31</v>
      </c>
      <c r="B1745" s="7">
        <v>1564373</v>
      </c>
      <c r="C1745" s="7">
        <v>1564612</v>
      </c>
      <c r="D1745" s="8"/>
      <c r="E1745" s="7" t="s">
        <v>75</v>
      </c>
      <c r="F1745" s="7" t="s">
        <v>2095</v>
      </c>
      <c r="G1745" s="8"/>
      <c r="H1745" s="8"/>
      <c r="I1745" s="7" t="s">
        <v>55</v>
      </c>
      <c r="J1745" s="8"/>
      <c r="K1745" s="8"/>
      <c r="L1745" s="7" t="s">
        <v>6901</v>
      </c>
      <c r="M1745" s="7" t="s">
        <v>2095</v>
      </c>
      <c r="N1745" s="7">
        <v>79</v>
      </c>
      <c r="O1745" s="7" t="s">
        <v>6902</v>
      </c>
    </row>
    <row r="1746" spans="1:16">
      <c r="A1746" s="6" t="s">
        <v>31</v>
      </c>
      <c r="B1746" s="7">
        <v>1565004</v>
      </c>
      <c r="C1746" s="7">
        <v>1565894</v>
      </c>
      <c r="D1746" s="8"/>
      <c r="E1746" s="7" t="s">
        <v>53</v>
      </c>
      <c r="F1746" s="7" t="s">
        <v>1763</v>
      </c>
      <c r="G1746" s="7" t="s">
        <v>1764</v>
      </c>
      <c r="H1746" s="8"/>
      <c r="I1746" s="7" t="s">
        <v>55</v>
      </c>
      <c r="J1746" s="8"/>
      <c r="K1746" s="8"/>
      <c r="L1746" s="7" t="s">
        <v>6903</v>
      </c>
      <c r="M1746" s="7" t="s">
        <v>1763</v>
      </c>
      <c r="N1746" s="7">
        <v>296</v>
      </c>
      <c r="O1746" s="7" t="s">
        <v>6904</v>
      </c>
      <c r="P1746" s="7"/>
    </row>
    <row r="1747" spans="1:16">
      <c r="A1747" s="6" t="s">
        <v>31</v>
      </c>
      <c r="B1747" s="7">
        <v>1565913</v>
      </c>
      <c r="C1747" s="7">
        <v>1566536</v>
      </c>
      <c r="D1747" s="8"/>
      <c r="E1747" s="7" t="s">
        <v>53</v>
      </c>
      <c r="F1747" s="7" t="s">
        <v>5146</v>
      </c>
      <c r="G1747" s="7" t="s">
        <v>1115</v>
      </c>
      <c r="H1747" s="8"/>
      <c r="I1747" s="7" t="s">
        <v>55</v>
      </c>
      <c r="J1747" s="8"/>
      <c r="K1747" s="8"/>
      <c r="L1747" s="7" t="s">
        <v>6905</v>
      </c>
      <c r="M1747" s="7" t="s">
        <v>5146</v>
      </c>
      <c r="N1747" s="7">
        <v>207</v>
      </c>
      <c r="O1747" s="7" t="s">
        <v>6906</v>
      </c>
      <c r="P1747" s="7"/>
    </row>
    <row r="1748" spans="1:16">
      <c r="A1748" s="6" t="s">
        <v>31</v>
      </c>
      <c r="B1748" s="7">
        <v>1566598</v>
      </c>
      <c r="C1748" s="7">
        <v>1569102</v>
      </c>
      <c r="D1748" s="8"/>
      <c r="E1748" s="7" t="s">
        <v>53</v>
      </c>
      <c r="F1748" s="7" t="s">
        <v>1767</v>
      </c>
      <c r="G1748" s="7" t="s">
        <v>6907</v>
      </c>
      <c r="H1748" s="8"/>
      <c r="I1748" s="7" t="s">
        <v>55</v>
      </c>
      <c r="J1748" s="8"/>
      <c r="K1748" s="8"/>
      <c r="L1748" s="7" t="s">
        <v>6908</v>
      </c>
      <c r="M1748" s="7" t="s">
        <v>1767</v>
      </c>
      <c r="N1748" s="7">
        <v>834</v>
      </c>
      <c r="O1748" s="7" t="s">
        <v>6909</v>
      </c>
      <c r="P1748" s="7"/>
    </row>
    <row r="1749" spans="1:16">
      <c r="A1749" s="6" t="s">
        <v>31</v>
      </c>
      <c r="B1749" s="7">
        <v>1569158</v>
      </c>
      <c r="C1749" s="7">
        <v>1569484</v>
      </c>
      <c r="D1749" s="8"/>
      <c r="E1749" s="7" t="s">
        <v>75</v>
      </c>
      <c r="F1749" s="7" t="s">
        <v>6910</v>
      </c>
      <c r="G1749" s="8"/>
      <c r="H1749" s="8"/>
      <c r="I1749" s="7" t="s">
        <v>55</v>
      </c>
      <c r="J1749" s="8"/>
      <c r="K1749" s="8"/>
      <c r="L1749" s="7" t="s">
        <v>6911</v>
      </c>
      <c r="M1749" s="7" t="s">
        <v>6910</v>
      </c>
      <c r="N1749" s="7">
        <v>108</v>
      </c>
      <c r="O1749" s="7" t="s">
        <v>6912</v>
      </c>
    </row>
    <row r="1750" spans="1:16">
      <c r="A1750" s="6" t="s">
        <v>31</v>
      </c>
      <c r="B1750" s="7">
        <v>1569471</v>
      </c>
      <c r="C1750" s="7">
        <v>1570163</v>
      </c>
      <c r="D1750" s="8"/>
      <c r="E1750" s="7" t="s">
        <v>75</v>
      </c>
      <c r="F1750" s="7" t="s">
        <v>6913</v>
      </c>
      <c r="G1750" s="8"/>
      <c r="H1750" s="8"/>
      <c r="I1750" s="7" t="s">
        <v>55</v>
      </c>
      <c r="J1750" s="8"/>
      <c r="K1750" s="8"/>
      <c r="L1750" s="7" t="s">
        <v>6914</v>
      </c>
      <c r="M1750" s="7" t="s">
        <v>6913</v>
      </c>
      <c r="N1750" s="7">
        <v>230</v>
      </c>
      <c r="O1750" s="7" t="s">
        <v>6915</v>
      </c>
    </row>
    <row r="1751" spans="1:16">
      <c r="A1751" s="6" t="s">
        <v>31</v>
      </c>
      <c r="B1751" s="7">
        <v>1570215</v>
      </c>
      <c r="C1751" s="7">
        <v>1571228</v>
      </c>
      <c r="D1751" s="8"/>
      <c r="E1751" s="7" t="s">
        <v>75</v>
      </c>
      <c r="F1751" s="7" t="s">
        <v>6916</v>
      </c>
      <c r="G1751" s="7" t="s">
        <v>1771</v>
      </c>
      <c r="H1751" s="8"/>
      <c r="I1751" s="7" t="s">
        <v>55</v>
      </c>
      <c r="J1751" s="8"/>
      <c r="K1751" s="8"/>
      <c r="L1751" s="7" t="s">
        <v>6917</v>
      </c>
      <c r="M1751" s="7" t="s">
        <v>6916</v>
      </c>
      <c r="N1751" s="7">
        <v>337</v>
      </c>
      <c r="O1751" s="7" t="s">
        <v>6918</v>
      </c>
    </row>
    <row r="1752" spans="1:16">
      <c r="A1752" s="6" t="s">
        <v>31</v>
      </c>
      <c r="B1752" s="7">
        <v>1571228</v>
      </c>
      <c r="C1752" s="7">
        <v>1571668</v>
      </c>
      <c r="D1752" s="8"/>
      <c r="E1752" s="7" t="s">
        <v>75</v>
      </c>
      <c r="F1752" s="7" t="s">
        <v>6919</v>
      </c>
      <c r="G1752" s="8"/>
      <c r="H1752" s="8"/>
      <c r="I1752" s="7" t="s">
        <v>55</v>
      </c>
      <c r="J1752" s="8"/>
      <c r="K1752" s="8"/>
      <c r="L1752" s="7" t="s">
        <v>6920</v>
      </c>
      <c r="M1752" s="7" t="s">
        <v>6919</v>
      </c>
      <c r="N1752" s="7">
        <v>146</v>
      </c>
      <c r="O1752" s="7" t="s">
        <v>6921</v>
      </c>
      <c r="P1752" s="7"/>
    </row>
    <row r="1753" spans="1:16">
      <c r="A1753" s="6" t="s">
        <v>31</v>
      </c>
      <c r="B1753" s="7">
        <v>1571643</v>
      </c>
      <c r="C1753" s="7">
        <v>1572329</v>
      </c>
      <c r="D1753" s="8"/>
      <c r="E1753" s="7" t="s">
        <v>75</v>
      </c>
      <c r="F1753" s="7" t="s">
        <v>6922</v>
      </c>
      <c r="G1753" s="8"/>
      <c r="H1753" s="8"/>
      <c r="I1753" s="7" t="s">
        <v>55</v>
      </c>
      <c r="J1753" s="8"/>
      <c r="K1753" s="8"/>
      <c r="L1753" s="7" t="s">
        <v>6923</v>
      </c>
      <c r="M1753" s="7" t="s">
        <v>6922</v>
      </c>
      <c r="N1753" s="7">
        <v>228</v>
      </c>
      <c r="O1753" s="7" t="s">
        <v>6924</v>
      </c>
    </row>
    <row r="1754" spans="1:16">
      <c r="A1754" s="6" t="s">
        <v>31</v>
      </c>
      <c r="B1754" s="7">
        <v>1572593</v>
      </c>
      <c r="C1754" s="7">
        <v>1572823</v>
      </c>
      <c r="D1754" s="8"/>
      <c r="E1754" s="7" t="s">
        <v>53</v>
      </c>
      <c r="F1754" s="7" t="s">
        <v>2130</v>
      </c>
      <c r="G1754" s="8"/>
      <c r="H1754" s="8"/>
      <c r="I1754" s="7" t="s">
        <v>55</v>
      </c>
      <c r="J1754" s="8"/>
      <c r="K1754" s="8"/>
      <c r="L1754" s="7" t="s">
        <v>6925</v>
      </c>
      <c r="M1754" s="7" t="s">
        <v>2130</v>
      </c>
      <c r="N1754" s="7">
        <v>76</v>
      </c>
      <c r="O1754" s="7" t="s">
        <v>6926</v>
      </c>
    </row>
    <row r="1755" spans="1:16">
      <c r="A1755" s="6" t="s">
        <v>31</v>
      </c>
      <c r="B1755" s="7">
        <v>1572828</v>
      </c>
      <c r="C1755" s="7">
        <v>1574510</v>
      </c>
      <c r="D1755" s="8"/>
      <c r="E1755" s="7" t="s">
        <v>53</v>
      </c>
      <c r="F1755" s="7" t="s">
        <v>1776</v>
      </c>
      <c r="G1755" s="7" t="s">
        <v>1777</v>
      </c>
      <c r="H1755" s="8"/>
      <c r="I1755" s="7" t="s">
        <v>55</v>
      </c>
      <c r="J1755" s="8"/>
      <c r="K1755" s="8"/>
      <c r="L1755" s="7" t="s">
        <v>6927</v>
      </c>
      <c r="M1755" s="7" t="s">
        <v>1776</v>
      </c>
      <c r="N1755" s="7">
        <v>560</v>
      </c>
      <c r="O1755" s="7" t="s">
        <v>6928</v>
      </c>
    </row>
    <row r="1756" spans="1:16">
      <c r="A1756" s="6" t="s">
        <v>31</v>
      </c>
      <c r="B1756" s="7">
        <v>1574746</v>
      </c>
      <c r="C1756" s="7">
        <v>1574925</v>
      </c>
      <c r="D1756" s="8"/>
      <c r="E1756" s="7" t="s">
        <v>75</v>
      </c>
      <c r="F1756" s="7" t="s">
        <v>6929</v>
      </c>
      <c r="G1756" s="8"/>
      <c r="H1756" s="8"/>
      <c r="I1756" s="7" t="s">
        <v>55</v>
      </c>
      <c r="J1756" s="8"/>
      <c r="K1756" s="8"/>
      <c r="L1756" s="7" t="s">
        <v>6930</v>
      </c>
      <c r="M1756" s="7" t="s">
        <v>6929</v>
      </c>
      <c r="N1756" s="7">
        <v>59</v>
      </c>
      <c r="O1756" s="7" t="s">
        <v>6931</v>
      </c>
    </row>
    <row r="1757" spans="1:16">
      <c r="A1757" s="6" t="s">
        <v>31</v>
      </c>
      <c r="B1757" s="7">
        <v>1575336</v>
      </c>
      <c r="C1757" s="7">
        <v>1576679</v>
      </c>
      <c r="D1757" s="8"/>
      <c r="E1757" s="7" t="s">
        <v>75</v>
      </c>
      <c r="F1757" s="7" t="s">
        <v>6932</v>
      </c>
      <c r="G1757" s="7" t="s">
        <v>1779</v>
      </c>
      <c r="H1757" s="8"/>
      <c r="I1757" s="7" t="s">
        <v>55</v>
      </c>
      <c r="J1757" s="8"/>
      <c r="K1757" s="8"/>
      <c r="L1757" s="7" t="s">
        <v>6933</v>
      </c>
      <c r="M1757" s="7" t="s">
        <v>6932</v>
      </c>
      <c r="N1757" s="7">
        <v>447</v>
      </c>
      <c r="O1757" s="7" t="s">
        <v>6934</v>
      </c>
      <c r="P1757" s="7"/>
    </row>
    <row r="1758" spans="1:16">
      <c r="A1758" s="6" t="s">
        <v>31</v>
      </c>
      <c r="B1758" s="7">
        <v>1576728</v>
      </c>
      <c r="C1758" s="7">
        <v>1577102</v>
      </c>
      <c r="D1758" s="8"/>
      <c r="E1758" s="7" t="s">
        <v>75</v>
      </c>
      <c r="F1758" s="7" t="s">
        <v>6935</v>
      </c>
      <c r="G1758" s="7" t="s">
        <v>6936</v>
      </c>
      <c r="H1758" s="8"/>
      <c r="I1758" s="7" t="s">
        <v>55</v>
      </c>
      <c r="J1758" s="8"/>
      <c r="K1758" s="8"/>
      <c r="L1758" s="7" t="s">
        <v>6937</v>
      </c>
      <c r="M1758" s="7" t="s">
        <v>6935</v>
      </c>
      <c r="N1758" s="7">
        <v>124</v>
      </c>
      <c r="O1758" s="7" t="s">
        <v>6938</v>
      </c>
    </row>
    <row r="1759" spans="1:16">
      <c r="A1759" s="6" t="s">
        <v>31</v>
      </c>
      <c r="B1759" s="7">
        <v>1577276</v>
      </c>
      <c r="C1759" s="7">
        <v>1577779</v>
      </c>
      <c r="D1759" s="8"/>
      <c r="E1759" s="7" t="s">
        <v>75</v>
      </c>
      <c r="F1759" s="7" t="s">
        <v>2212</v>
      </c>
      <c r="G1759" s="8"/>
      <c r="H1759" s="8"/>
      <c r="I1759" s="7" t="s">
        <v>55</v>
      </c>
      <c r="J1759" s="8"/>
      <c r="K1759" s="8"/>
      <c r="L1759" s="7" t="s">
        <v>6939</v>
      </c>
      <c r="M1759" s="7" t="s">
        <v>2212</v>
      </c>
      <c r="N1759" s="7">
        <v>167</v>
      </c>
      <c r="O1759" s="7" t="s">
        <v>6940</v>
      </c>
    </row>
    <row r="1760" spans="1:16">
      <c r="A1760" s="6" t="s">
        <v>31</v>
      </c>
      <c r="B1760" s="7">
        <v>1578024</v>
      </c>
      <c r="C1760" s="7">
        <v>1578161</v>
      </c>
      <c r="D1760" s="8"/>
      <c r="E1760" s="7" t="s">
        <v>53</v>
      </c>
      <c r="F1760" s="7" t="s">
        <v>1280</v>
      </c>
      <c r="G1760" s="8"/>
      <c r="H1760" s="8"/>
      <c r="I1760" s="7" t="s">
        <v>55</v>
      </c>
      <c r="J1760" s="8"/>
      <c r="K1760" s="8"/>
      <c r="L1760" s="7" t="s">
        <v>6941</v>
      </c>
      <c r="M1760" s="7" t="s">
        <v>1280</v>
      </c>
      <c r="N1760" s="7">
        <v>45</v>
      </c>
      <c r="O1760" s="7" t="s">
        <v>6942</v>
      </c>
    </row>
    <row r="1761" spans="1:16">
      <c r="A1761" s="6" t="s">
        <v>31</v>
      </c>
      <c r="B1761" s="7">
        <v>1578203</v>
      </c>
      <c r="C1761" s="7">
        <v>1578364</v>
      </c>
      <c r="D1761" s="8"/>
      <c r="E1761" s="7" t="s">
        <v>53</v>
      </c>
      <c r="F1761" s="7" t="s">
        <v>2095</v>
      </c>
      <c r="G1761" s="8"/>
      <c r="H1761" s="8"/>
      <c r="I1761" s="7" t="s">
        <v>55</v>
      </c>
      <c r="J1761" s="8"/>
      <c r="K1761" s="8"/>
      <c r="L1761" s="7" t="s">
        <v>6943</v>
      </c>
      <c r="M1761" s="7" t="s">
        <v>2095</v>
      </c>
      <c r="N1761" s="7">
        <v>53</v>
      </c>
      <c r="O1761" s="7" t="s">
        <v>6944</v>
      </c>
    </row>
    <row r="1762" spans="1:16">
      <c r="A1762" s="6" t="s">
        <v>31</v>
      </c>
      <c r="B1762" s="7">
        <v>1578575</v>
      </c>
      <c r="C1762" s="7">
        <v>1578643</v>
      </c>
      <c r="D1762" s="8"/>
      <c r="E1762" s="7" t="s">
        <v>75</v>
      </c>
      <c r="F1762" s="7" t="s">
        <v>2095</v>
      </c>
      <c r="G1762" s="8"/>
      <c r="H1762" s="8"/>
      <c r="I1762" s="7" t="s">
        <v>55</v>
      </c>
      <c r="J1762" s="8"/>
      <c r="K1762" s="8"/>
      <c r="L1762" s="7" t="s">
        <v>6945</v>
      </c>
      <c r="M1762" s="7" t="s">
        <v>2095</v>
      </c>
      <c r="N1762" s="7">
        <v>22</v>
      </c>
      <c r="O1762" s="7" t="s">
        <v>6946</v>
      </c>
    </row>
    <row r="1763" spans="1:16">
      <c r="A1763" s="6" t="s">
        <v>31</v>
      </c>
      <c r="B1763" s="7">
        <v>1578680</v>
      </c>
      <c r="C1763" s="7">
        <v>1578796</v>
      </c>
      <c r="D1763" s="8"/>
      <c r="E1763" s="7" t="s">
        <v>75</v>
      </c>
      <c r="F1763" s="7" t="s">
        <v>2095</v>
      </c>
      <c r="G1763" s="8"/>
      <c r="H1763" s="8"/>
      <c r="I1763" s="7" t="s">
        <v>55</v>
      </c>
      <c r="J1763" s="8"/>
      <c r="K1763" s="8"/>
      <c r="L1763" s="7" t="s">
        <v>6947</v>
      </c>
      <c r="M1763" s="7" t="s">
        <v>2095</v>
      </c>
      <c r="N1763" s="7">
        <v>38</v>
      </c>
      <c r="O1763" s="7" t="s">
        <v>6948</v>
      </c>
    </row>
    <row r="1764" spans="1:16">
      <c r="A1764" s="6" t="s">
        <v>31</v>
      </c>
      <c r="B1764" s="7">
        <v>1578905</v>
      </c>
      <c r="C1764" s="7">
        <v>1580104</v>
      </c>
      <c r="D1764" s="8"/>
      <c r="E1764" s="7" t="s">
        <v>75</v>
      </c>
      <c r="F1764" s="7" t="s">
        <v>1783</v>
      </c>
      <c r="G1764" s="7" t="s">
        <v>6949</v>
      </c>
      <c r="H1764" s="8"/>
      <c r="I1764" s="7" t="s">
        <v>55</v>
      </c>
      <c r="J1764" s="8"/>
      <c r="K1764" s="8"/>
      <c r="L1764" s="7" t="s">
        <v>6950</v>
      </c>
      <c r="M1764" s="7" t="s">
        <v>1783</v>
      </c>
      <c r="N1764" s="7">
        <v>399</v>
      </c>
      <c r="O1764" s="7" t="s">
        <v>6951</v>
      </c>
      <c r="P1764" s="7"/>
    </row>
    <row r="1765" spans="1:16">
      <c r="A1765" s="6" t="s">
        <v>31</v>
      </c>
      <c r="B1765" s="7">
        <v>1580720</v>
      </c>
      <c r="C1765" s="7">
        <v>1581004</v>
      </c>
      <c r="D1765" s="8"/>
      <c r="E1765" s="7" t="s">
        <v>53</v>
      </c>
      <c r="F1765" s="7" t="s">
        <v>1280</v>
      </c>
      <c r="G1765" s="8"/>
      <c r="H1765" s="8"/>
      <c r="I1765" s="7" t="s">
        <v>55</v>
      </c>
      <c r="J1765" s="8"/>
      <c r="K1765" s="8"/>
      <c r="L1765" s="7" t="s">
        <v>6952</v>
      </c>
      <c r="M1765" s="7" t="s">
        <v>1280</v>
      </c>
      <c r="N1765" s="7">
        <v>94</v>
      </c>
      <c r="O1765" s="7" t="s">
        <v>6953</v>
      </c>
    </row>
    <row r="1766" spans="1:16">
      <c r="A1766" s="6" t="s">
        <v>31</v>
      </c>
      <c r="B1766" s="7">
        <v>1581067</v>
      </c>
      <c r="C1766" s="7">
        <v>1581255</v>
      </c>
      <c r="D1766" s="8"/>
      <c r="E1766" s="7" t="s">
        <v>53</v>
      </c>
      <c r="F1766" s="7" t="s">
        <v>1280</v>
      </c>
      <c r="G1766" s="8"/>
      <c r="H1766" s="8"/>
      <c r="I1766" s="7" t="s">
        <v>55</v>
      </c>
      <c r="J1766" s="8"/>
      <c r="K1766" s="8"/>
      <c r="L1766" s="7" t="s">
        <v>6954</v>
      </c>
      <c r="M1766" s="7" t="s">
        <v>1280</v>
      </c>
      <c r="N1766" s="7">
        <v>62</v>
      </c>
      <c r="O1766" s="7" t="s">
        <v>6955</v>
      </c>
    </row>
    <row r="1767" spans="1:16">
      <c r="A1767" s="6" t="s">
        <v>31</v>
      </c>
      <c r="B1767" s="7">
        <v>1582221</v>
      </c>
      <c r="C1767" s="7">
        <v>1583231</v>
      </c>
      <c r="D1767" s="8"/>
      <c r="E1767" s="7" t="s">
        <v>75</v>
      </c>
      <c r="F1767" s="7" t="s">
        <v>6956</v>
      </c>
      <c r="G1767" s="7" t="s">
        <v>6957</v>
      </c>
      <c r="H1767" s="8"/>
      <c r="I1767" s="7" t="s">
        <v>55</v>
      </c>
      <c r="J1767" s="8"/>
      <c r="K1767" s="8"/>
      <c r="L1767" s="7" t="s">
        <v>6958</v>
      </c>
      <c r="M1767" s="7" t="s">
        <v>6956</v>
      </c>
      <c r="N1767" s="7">
        <v>336</v>
      </c>
      <c r="O1767" s="7" t="s">
        <v>6959</v>
      </c>
      <c r="P1767" s="7"/>
    </row>
    <row r="1768" spans="1:16">
      <c r="A1768" s="6" t="s">
        <v>31</v>
      </c>
      <c r="B1768" s="7">
        <v>1583418</v>
      </c>
      <c r="C1768" s="7">
        <v>1585499</v>
      </c>
      <c r="D1768" s="8"/>
      <c r="E1768" s="7" t="s">
        <v>75</v>
      </c>
      <c r="F1768" s="7" t="s">
        <v>1786</v>
      </c>
      <c r="G1768" s="7" t="s">
        <v>1787</v>
      </c>
      <c r="H1768" s="8"/>
      <c r="I1768" s="7" t="s">
        <v>55</v>
      </c>
      <c r="J1768" s="8"/>
      <c r="K1768" s="8"/>
      <c r="L1768" s="7" t="s">
        <v>6960</v>
      </c>
      <c r="M1768" s="7" t="s">
        <v>1786</v>
      </c>
      <c r="N1768" s="7">
        <v>693</v>
      </c>
      <c r="O1768" s="7" t="s">
        <v>6961</v>
      </c>
    </row>
    <row r="1769" spans="1:16">
      <c r="A1769" s="6" t="s">
        <v>31</v>
      </c>
      <c r="B1769" s="7">
        <v>1585720</v>
      </c>
      <c r="C1769" s="7">
        <v>1586190</v>
      </c>
      <c r="D1769" s="8"/>
      <c r="E1769" s="7" t="s">
        <v>75</v>
      </c>
      <c r="F1769" s="7" t="s">
        <v>6962</v>
      </c>
      <c r="G1769" s="7" t="s">
        <v>1789</v>
      </c>
      <c r="H1769" s="8"/>
      <c r="I1769" s="7" t="s">
        <v>55</v>
      </c>
      <c r="J1769" s="8"/>
      <c r="K1769" s="8"/>
      <c r="L1769" s="7" t="s">
        <v>6963</v>
      </c>
      <c r="M1769" s="7" t="s">
        <v>6962</v>
      </c>
      <c r="N1769" s="7">
        <v>156</v>
      </c>
      <c r="O1769" s="7" t="s">
        <v>6964</v>
      </c>
    </row>
    <row r="1770" spans="1:16">
      <c r="A1770" s="6" t="s">
        <v>31</v>
      </c>
      <c r="B1770" s="7">
        <v>1586209</v>
      </c>
      <c r="C1770" s="7">
        <v>1586622</v>
      </c>
      <c r="D1770" s="8"/>
      <c r="E1770" s="7" t="s">
        <v>75</v>
      </c>
      <c r="F1770" s="7" t="s">
        <v>6965</v>
      </c>
      <c r="G1770" s="7" t="s">
        <v>1791</v>
      </c>
      <c r="H1770" s="8"/>
      <c r="I1770" s="7" t="s">
        <v>55</v>
      </c>
      <c r="J1770" s="8"/>
      <c r="K1770" s="8"/>
      <c r="L1770" s="7" t="s">
        <v>6966</v>
      </c>
      <c r="M1770" s="7" t="s">
        <v>6965</v>
      </c>
      <c r="N1770" s="7">
        <v>137</v>
      </c>
      <c r="O1770" s="7" t="s">
        <v>6967</v>
      </c>
    </row>
    <row r="1771" spans="1:16">
      <c r="A1771" s="6" t="s">
        <v>31</v>
      </c>
      <c r="B1771" s="7">
        <v>1586852</v>
      </c>
      <c r="C1771" s="7">
        <v>1587805</v>
      </c>
      <c r="D1771" s="8"/>
      <c r="E1771" s="7" t="s">
        <v>75</v>
      </c>
      <c r="F1771" s="7" t="s">
        <v>1280</v>
      </c>
      <c r="G1771" s="7" t="s">
        <v>2108</v>
      </c>
      <c r="H1771" s="8"/>
      <c r="I1771" s="7" t="s">
        <v>55</v>
      </c>
      <c r="J1771" s="8"/>
      <c r="K1771" s="8"/>
      <c r="L1771" s="7" t="s">
        <v>6968</v>
      </c>
      <c r="M1771" s="7" t="s">
        <v>1280</v>
      </c>
      <c r="N1771" s="7">
        <v>317</v>
      </c>
      <c r="O1771" s="7" t="s">
        <v>6969</v>
      </c>
    </row>
    <row r="1772" spans="1:16">
      <c r="A1772" s="6" t="s">
        <v>31</v>
      </c>
      <c r="B1772" s="7">
        <v>1588084</v>
      </c>
      <c r="C1772" s="7">
        <v>1588908</v>
      </c>
      <c r="D1772" s="8"/>
      <c r="E1772" s="7" t="s">
        <v>75</v>
      </c>
      <c r="F1772" s="7" t="s">
        <v>6970</v>
      </c>
      <c r="G1772" s="7" t="s">
        <v>1793</v>
      </c>
      <c r="H1772" s="8"/>
      <c r="I1772" s="7" t="s">
        <v>55</v>
      </c>
      <c r="J1772" s="8"/>
      <c r="K1772" s="8"/>
      <c r="L1772" s="7" t="s">
        <v>6971</v>
      </c>
      <c r="M1772" s="7" t="s">
        <v>6970</v>
      </c>
      <c r="N1772" s="7">
        <v>274</v>
      </c>
      <c r="O1772" s="7" t="s">
        <v>6972</v>
      </c>
    </row>
    <row r="1773" spans="1:16">
      <c r="A1773" s="6" t="s">
        <v>31</v>
      </c>
      <c r="B1773" s="7">
        <v>1589002</v>
      </c>
      <c r="C1773" s="7">
        <v>1589943</v>
      </c>
      <c r="D1773" s="8"/>
      <c r="E1773" s="7" t="s">
        <v>75</v>
      </c>
      <c r="F1773" s="7" t="s">
        <v>6973</v>
      </c>
      <c r="G1773" s="7" t="s">
        <v>6974</v>
      </c>
      <c r="H1773" s="8"/>
      <c r="I1773" s="7" t="s">
        <v>55</v>
      </c>
      <c r="J1773" s="8"/>
      <c r="K1773" s="8"/>
      <c r="L1773" s="7" t="s">
        <v>6975</v>
      </c>
      <c r="M1773" s="7" t="s">
        <v>6973</v>
      </c>
      <c r="N1773" s="7">
        <v>313</v>
      </c>
      <c r="O1773" s="7" t="s">
        <v>6976</v>
      </c>
      <c r="P1773" s="7"/>
    </row>
    <row r="1774" spans="1:16">
      <c r="A1774" s="6" t="s">
        <v>31</v>
      </c>
      <c r="B1774" s="7">
        <v>1589933</v>
      </c>
      <c r="C1774" s="7">
        <v>1591207</v>
      </c>
      <c r="D1774" s="8"/>
      <c r="E1774" s="7" t="s">
        <v>75</v>
      </c>
      <c r="F1774" s="7" t="s">
        <v>6977</v>
      </c>
      <c r="G1774" s="7" t="s">
        <v>1796</v>
      </c>
      <c r="H1774" s="8"/>
      <c r="I1774" s="7" t="s">
        <v>55</v>
      </c>
      <c r="J1774" s="8"/>
      <c r="K1774" s="8"/>
      <c r="L1774" s="7" t="s">
        <v>6978</v>
      </c>
      <c r="M1774" s="7" t="s">
        <v>6977</v>
      </c>
      <c r="N1774" s="7">
        <v>424</v>
      </c>
      <c r="O1774" s="7" t="s">
        <v>6979</v>
      </c>
    </row>
    <row r="1775" spans="1:16">
      <c r="A1775" s="6" t="s">
        <v>31</v>
      </c>
      <c r="B1775" s="7">
        <v>1591209</v>
      </c>
      <c r="C1775" s="7">
        <v>1591841</v>
      </c>
      <c r="D1775" s="8"/>
      <c r="E1775" s="7" t="s">
        <v>75</v>
      </c>
      <c r="F1775" s="7" t="s">
        <v>6980</v>
      </c>
      <c r="G1775" s="8"/>
      <c r="H1775" s="8"/>
      <c r="I1775" s="7" t="s">
        <v>55</v>
      </c>
      <c r="J1775" s="8"/>
      <c r="K1775" s="8"/>
      <c r="L1775" s="7" t="s">
        <v>6981</v>
      </c>
      <c r="M1775" s="7" t="s">
        <v>6980</v>
      </c>
      <c r="N1775" s="7">
        <v>210</v>
      </c>
      <c r="O1775" s="7" t="s">
        <v>6982</v>
      </c>
      <c r="P1775" s="7"/>
    </row>
    <row r="1776" spans="1:16">
      <c r="A1776" s="6" t="s">
        <v>31</v>
      </c>
      <c r="B1776" s="7">
        <v>1591834</v>
      </c>
      <c r="C1776" s="7">
        <v>1592493</v>
      </c>
      <c r="D1776" s="8"/>
      <c r="E1776" s="7" t="s">
        <v>75</v>
      </c>
      <c r="F1776" s="7" t="s">
        <v>6983</v>
      </c>
      <c r="G1776" s="7" t="s">
        <v>1799</v>
      </c>
      <c r="H1776" s="8"/>
      <c r="I1776" s="7" t="s">
        <v>55</v>
      </c>
      <c r="J1776" s="8"/>
      <c r="K1776" s="8"/>
      <c r="L1776" s="7" t="s">
        <v>6984</v>
      </c>
      <c r="M1776" s="7" t="s">
        <v>6983</v>
      </c>
      <c r="N1776" s="7">
        <v>219</v>
      </c>
      <c r="O1776" s="7" t="s">
        <v>6985</v>
      </c>
      <c r="P1776" s="7"/>
    </row>
    <row r="1777" spans="1:16">
      <c r="A1777" s="6" t="s">
        <v>31</v>
      </c>
      <c r="B1777" s="7">
        <v>1592501</v>
      </c>
      <c r="C1777" s="7">
        <v>1593373</v>
      </c>
      <c r="D1777" s="8"/>
      <c r="E1777" s="7" t="s">
        <v>75</v>
      </c>
      <c r="F1777" s="7" t="s">
        <v>6986</v>
      </c>
      <c r="G1777" s="7" t="s">
        <v>1801</v>
      </c>
      <c r="H1777" s="8"/>
      <c r="I1777" s="7" t="s">
        <v>55</v>
      </c>
      <c r="J1777" s="8"/>
      <c r="K1777" s="8"/>
      <c r="L1777" s="7" t="s">
        <v>6987</v>
      </c>
      <c r="M1777" s="7" t="s">
        <v>6986</v>
      </c>
      <c r="N1777" s="7">
        <v>290</v>
      </c>
      <c r="O1777" s="7" t="s">
        <v>6988</v>
      </c>
    </row>
    <row r="1778" spans="1:16">
      <c r="A1778" s="6" t="s">
        <v>31</v>
      </c>
      <c r="B1778" s="7">
        <v>1593630</v>
      </c>
      <c r="C1778" s="7">
        <v>1594502</v>
      </c>
      <c r="D1778" s="8"/>
      <c r="E1778" s="7" t="s">
        <v>75</v>
      </c>
      <c r="F1778" s="7" t="s">
        <v>6989</v>
      </c>
      <c r="G1778" s="7" t="s">
        <v>1803</v>
      </c>
      <c r="H1778" s="8"/>
      <c r="I1778" s="7" t="s">
        <v>55</v>
      </c>
      <c r="J1778" s="8"/>
      <c r="K1778" s="8"/>
      <c r="L1778" s="7" t="s">
        <v>6990</v>
      </c>
      <c r="M1778" s="7" t="s">
        <v>6989</v>
      </c>
      <c r="N1778" s="7">
        <v>290</v>
      </c>
      <c r="O1778" s="7" t="s">
        <v>6991</v>
      </c>
      <c r="P1778" s="7"/>
    </row>
    <row r="1779" spans="1:16">
      <c r="A1779" s="6" t="s">
        <v>31</v>
      </c>
      <c r="B1779" s="7">
        <v>1594647</v>
      </c>
      <c r="C1779" s="7">
        <v>1595207</v>
      </c>
      <c r="D1779" s="8"/>
      <c r="E1779" s="7" t="s">
        <v>75</v>
      </c>
      <c r="F1779" s="7" t="s">
        <v>1805</v>
      </c>
      <c r="G1779" s="7" t="s">
        <v>1806</v>
      </c>
      <c r="H1779" s="8"/>
      <c r="I1779" s="7" t="s">
        <v>55</v>
      </c>
      <c r="J1779" s="8"/>
      <c r="K1779" s="8"/>
      <c r="L1779" s="7" t="s">
        <v>6992</v>
      </c>
      <c r="M1779" s="7" t="s">
        <v>1805</v>
      </c>
      <c r="N1779" s="7">
        <v>186</v>
      </c>
      <c r="O1779" s="7" t="s">
        <v>6993</v>
      </c>
      <c r="P1779" s="7"/>
    </row>
    <row r="1780" spans="1:16">
      <c r="A1780" s="6" t="s">
        <v>31</v>
      </c>
      <c r="B1780" s="7">
        <v>1595200</v>
      </c>
      <c r="C1780" s="7">
        <v>1595976</v>
      </c>
      <c r="D1780" s="8"/>
      <c r="E1780" s="7" t="s">
        <v>75</v>
      </c>
      <c r="F1780" s="7" t="s">
        <v>6994</v>
      </c>
      <c r="G1780" s="7" t="s">
        <v>6995</v>
      </c>
      <c r="H1780" s="8"/>
      <c r="I1780" s="7" t="s">
        <v>55</v>
      </c>
      <c r="J1780" s="8"/>
      <c r="K1780" s="8"/>
      <c r="L1780" s="7" t="s">
        <v>6996</v>
      </c>
      <c r="M1780" s="7" t="s">
        <v>6994</v>
      </c>
      <c r="N1780" s="7">
        <v>258</v>
      </c>
      <c r="O1780" s="7" t="s">
        <v>6997</v>
      </c>
      <c r="P1780" s="7"/>
    </row>
    <row r="1781" spans="1:16">
      <c r="A1781" s="6" t="s">
        <v>31</v>
      </c>
      <c r="B1781" s="7">
        <v>1596030</v>
      </c>
      <c r="C1781" s="7">
        <v>1596461</v>
      </c>
      <c r="D1781" s="8"/>
      <c r="E1781" s="7" t="s">
        <v>75</v>
      </c>
      <c r="F1781" s="7" t="s">
        <v>6998</v>
      </c>
      <c r="G1781" s="8"/>
      <c r="H1781" s="8"/>
      <c r="I1781" s="7" t="s">
        <v>55</v>
      </c>
      <c r="J1781" s="8"/>
      <c r="K1781" s="8"/>
      <c r="L1781" s="7" t="s">
        <v>6999</v>
      </c>
      <c r="M1781" s="7" t="s">
        <v>6998</v>
      </c>
      <c r="N1781" s="7">
        <v>143</v>
      </c>
      <c r="O1781" s="7" t="s">
        <v>7000</v>
      </c>
    </row>
    <row r="1782" spans="1:16">
      <c r="A1782" s="6" t="s">
        <v>31</v>
      </c>
      <c r="B1782" s="7">
        <v>1596521</v>
      </c>
      <c r="C1782" s="7">
        <v>1596835</v>
      </c>
      <c r="D1782" s="8"/>
      <c r="E1782" s="7" t="s">
        <v>75</v>
      </c>
      <c r="F1782" s="7" t="s">
        <v>1810</v>
      </c>
      <c r="G1782" s="7" t="s">
        <v>1811</v>
      </c>
      <c r="H1782" s="8"/>
      <c r="I1782" s="7" t="s">
        <v>55</v>
      </c>
      <c r="J1782" s="8"/>
      <c r="K1782" s="8"/>
      <c r="L1782" s="7" t="s">
        <v>7001</v>
      </c>
      <c r="M1782" s="7" t="s">
        <v>1810</v>
      </c>
      <c r="N1782" s="7">
        <v>104</v>
      </c>
      <c r="O1782" s="7" t="s">
        <v>7002</v>
      </c>
    </row>
    <row r="1783" spans="1:16">
      <c r="A1783" s="6" t="s">
        <v>31</v>
      </c>
      <c r="B1783" s="7">
        <v>1597031</v>
      </c>
      <c r="C1783" s="7">
        <v>1597813</v>
      </c>
      <c r="D1783" s="8"/>
      <c r="E1783" s="7" t="s">
        <v>53</v>
      </c>
      <c r="F1783" s="7" t="s">
        <v>7003</v>
      </c>
      <c r="G1783" s="8"/>
      <c r="H1783" s="8"/>
      <c r="I1783" s="7" t="s">
        <v>55</v>
      </c>
      <c r="J1783" s="8"/>
      <c r="K1783" s="8"/>
      <c r="L1783" s="7" t="s">
        <v>7004</v>
      </c>
      <c r="M1783" s="7" t="s">
        <v>7003</v>
      </c>
      <c r="N1783" s="7">
        <v>260</v>
      </c>
      <c r="O1783" s="7" t="s">
        <v>7005</v>
      </c>
      <c r="P1783" s="7"/>
    </row>
    <row r="1784" spans="1:16">
      <c r="A1784" s="6" t="s">
        <v>31</v>
      </c>
      <c r="B1784" s="7">
        <v>1597841</v>
      </c>
      <c r="C1784" s="7">
        <v>1597981</v>
      </c>
      <c r="D1784" s="8"/>
      <c r="E1784" s="7" t="s">
        <v>75</v>
      </c>
      <c r="F1784" s="7" t="s">
        <v>2130</v>
      </c>
      <c r="G1784" s="8"/>
      <c r="H1784" s="8"/>
      <c r="I1784" s="7" t="s">
        <v>55</v>
      </c>
      <c r="J1784" s="8"/>
      <c r="K1784" s="8"/>
      <c r="L1784" s="7" t="s">
        <v>7006</v>
      </c>
      <c r="M1784" s="7" t="s">
        <v>2130</v>
      </c>
      <c r="N1784" s="7">
        <v>46</v>
      </c>
      <c r="O1784" s="7" t="s">
        <v>7007</v>
      </c>
    </row>
    <row r="1785" spans="1:16">
      <c r="A1785" s="6" t="s">
        <v>31</v>
      </c>
      <c r="B1785" s="7">
        <v>1598274</v>
      </c>
      <c r="C1785" s="7">
        <v>1598609</v>
      </c>
      <c r="D1785" s="8"/>
      <c r="E1785" s="7" t="s">
        <v>75</v>
      </c>
      <c r="F1785" s="7" t="s">
        <v>7008</v>
      </c>
      <c r="G1785" s="8"/>
      <c r="H1785" s="8"/>
      <c r="I1785" s="7" t="s">
        <v>55</v>
      </c>
      <c r="J1785" s="8"/>
      <c r="K1785" s="8"/>
      <c r="L1785" s="7" t="s">
        <v>7009</v>
      </c>
      <c r="M1785" s="7" t="s">
        <v>7008</v>
      </c>
      <c r="N1785" s="7">
        <v>111</v>
      </c>
      <c r="O1785" s="7" t="s">
        <v>7010</v>
      </c>
    </row>
    <row r="1786" spans="1:16">
      <c r="A1786" s="6" t="s">
        <v>31</v>
      </c>
      <c r="B1786" s="7">
        <v>1604158</v>
      </c>
      <c r="C1786" s="7">
        <v>1604325</v>
      </c>
      <c r="D1786" s="8"/>
      <c r="E1786" s="7" t="s">
        <v>53</v>
      </c>
      <c r="F1786" s="7" t="s">
        <v>2130</v>
      </c>
      <c r="G1786" s="8"/>
      <c r="H1786" s="8"/>
      <c r="I1786" s="7" t="s">
        <v>55</v>
      </c>
      <c r="J1786" s="8"/>
      <c r="K1786" s="8"/>
      <c r="L1786" s="7" t="s">
        <v>7011</v>
      </c>
      <c r="M1786" s="7" t="s">
        <v>2130</v>
      </c>
      <c r="N1786" s="7">
        <v>55</v>
      </c>
      <c r="O1786" s="7" t="s">
        <v>7012</v>
      </c>
    </row>
    <row r="1787" spans="1:16">
      <c r="A1787" s="6" t="s">
        <v>31</v>
      </c>
      <c r="B1787" s="7">
        <v>1604437</v>
      </c>
      <c r="C1787" s="7">
        <v>1605579</v>
      </c>
      <c r="D1787" s="8"/>
      <c r="E1787" s="7" t="s">
        <v>75</v>
      </c>
      <c r="F1787" s="7" t="s">
        <v>7013</v>
      </c>
      <c r="G1787" s="7" t="s">
        <v>1816</v>
      </c>
      <c r="H1787" s="8"/>
      <c r="I1787" s="7" t="s">
        <v>55</v>
      </c>
      <c r="J1787" s="8"/>
      <c r="K1787" s="8"/>
      <c r="L1787" s="7" t="s">
        <v>7014</v>
      </c>
      <c r="M1787" s="7" t="s">
        <v>7013</v>
      </c>
      <c r="N1787" s="7">
        <v>380</v>
      </c>
      <c r="O1787" s="7" t="s">
        <v>7015</v>
      </c>
      <c r="P1787" s="7"/>
    </row>
    <row r="1788" spans="1:16">
      <c r="A1788" s="6" t="s">
        <v>31</v>
      </c>
      <c r="B1788" s="7">
        <v>1605832</v>
      </c>
      <c r="C1788" s="7">
        <v>1606305</v>
      </c>
      <c r="D1788" s="8"/>
      <c r="E1788" s="7" t="s">
        <v>75</v>
      </c>
      <c r="F1788" s="7" t="s">
        <v>1280</v>
      </c>
      <c r="G1788" s="7" t="s">
        <v>1818</v>
      </c>
      <c r="H1788" s="8"/>
      <c r="I1788" s="7" t="s">
        <v>55</v>
      </c>
      <c r="J1788" s="8"/>
      <c r="K1788" s="8"/>
      <c r="L1788" s="7" t="s">
        <v>7016</v>
      </c>
      <c r="M1788" s="7" t="s">
        <v>1280</v>
      </c>
      <c r="N1788" s="7">
        <v>157</v>
      </c>
      <c r="O1788" s="7" t="s">
        <v>7017</v>
      </c>
    </row>
    <row r="1789" spans="1:16">
      <c r="A1789" s="6" t="s">
        <v>31</v>
      </c>
      <c r="B1789" s="7">
        <v>1606483</v>
      </c>
      <c r="C1789" s="7">
        <v>1606617</v>
      </c>
      <c r="D1789" s="8"/>
      <c r="E1789" s="7" t="s">
        <v>75</v>
      </c>
      <c r="F1789" s="7" t="s">
        <v>7018</v>
      </c>
      <c r="G1789" s="7" t="s">
        <v>1820</v>
      </c>
      <c r="H1789" s="8"/>
      <c r="I1789" s="7" t="s">
        <v>55</v>
      </c>
      <c r="J1789" s="8"/>
      <c r="K1789" s="8"/>
      <c r="L1789" s="7" t="s">
        <v>7019</v>
      </c>
      <c r="M1789" s="7" t="s">
        <v>7018</v>
      </c>
      <c r="N1789" s="7">
        <v>44</v>
      </c>
      <c r="O1789" s="7" t="s">
        <v>7020</v>
      </c>
    </row>
    <row r="1790" spans="1:16">
      <c r="A1790" s="6" t="s">
        <v>31</v>
      </c>
      <c r="B1790" s="7">
        <v>1607505</v>
      </c>
      <c r="C1790" s="7">
        <v>1608554</v>
      </c>
      <c r="D1790" s="8"/>
      <c r="E1790" s="7" t="s">
        <v>75</v>
      </c>
      <c r="F1790" s="7" t="s">
        <v>7021</v>
      </c>
      <c r="G1790" s="8"/>
      <c r="H1790" s="8"/>
      <c r="I1790" s="7" t="s">
        <v>55</v>
      </c>
      <c r="J1790" s="8"/>
      <c r="K1790" s="8"/>
      <c r="L1790" s="7" t="s">
        <v>7022</v>
      </c>
      <c r="M1790" s="7" t="s">
        <v>7021</v>
      </c>
      <c r="N1790" s="7">
        <v>349</v>
      </c>
      <c r="O1790" s="7" t="s">
        <v>7023</v>
      </c>
    </row>
    <row r="1791" spans="1:16">
      <c r="A1791" s="6" t="s">
        <v>31</v>
      </c>
      <c r="B1791" s="7">
        <v>1608566</v>
      </c>
      <c r="C1791" s="7">
        <v>1609372</v>
      </c>
      <c r="D1791" s="8"/>
      <c r="E1791" s="7" t="s">
        <v>75</v>
      </c>
      <c r="F1791" s="7" t="s">
        <v>7024</v>
      </c>
      <c r="G1791" s="7" t="s">
        <v>300</v>
      </c>
      <c r="H1791" s="8"/>
      <c r="I1791" s="7" t="s">
        <v>55</v>
      </c>
      <c r="J1791" s="8"/>
      <c r="K1791" s="8"/>
      <c r="L1791" s="7" t="s">
        <v>7025</v>
      </c>
      <c r="M1791" s="7" t="s">
        <v>7024</v>
      </c>
      <c r="N1791" s="7">
        <v>268</v>
      </c>
      <c r="O1791" s="7" t="s">
        <v>7026</v>
      </c>
    </row>
    <row r="1792" spans="1:16">
      <c r="A1792" s="6" t="s">
        <v>31</v>
      </c>
      <c r="B1792" s="7">
        <v>1609487</v>
      </c>
      <c r="C1792" s="7">
        <v>1609822</v>
      </c>
      <c r="D1792" s="8"/>
      <c r="E1792" s="7" t="s">
        <v>75</v>
      </c>
      <c r="F1792" s="7" t="s">
        <v>7027</v>
      </c>
      <c r="G1792" s="7" t="s">
        <v>1824</v>
      </c>
      <c r="H1792" s="8"/>
      <c r="I1792" s="7" t="s">
        <v>55</v>
      </c>
      <c r="J1792" s="8"/>
      <c r="K1792" s="8"/>
      <c r="L1792" s="7" t="s">
        <v>7028</v>
      </c>
      <c r="M1792" s="7" t="s">
        <v>7027</v>
      </c>
      <c r="N1792" s="7">
        <v>111</v>
      </c>
      <c r="O1792" s="7" t="s">
        <v>7029</v>
      </c>
      <c r="P1792" s="7"/>
    </row>
    <row r="1793" spans="1:17">
      <c r="A1793" s="6" t="s">
        <v>31</v>
      </c>
      <c r="B1793" s="7">
        <v>1609907</v>
      </c>
      <c r="C1793" s="7">
        <v>1611292</v>
      </c>
      <c r="D1793" s="8"/>
      <c r="E1793" s="7" t="s">
        <v>75</v>
      </c>
      <c r="F1793" s="7" t="s">
        <v>1826</v>
      </c>
      <c r="G1793" s="7" t="s">
        <v>1827</v>
      </c>
      <c r="H1793" s="8"/>
      <c r="I1793" s="7" t="s">
        <v>55</v>
      </c>
      <c r="J1793" s="8"/>
      <c r="K1793" s="8"/>
      <c r="L1793" s="7" t="s">
        <v>7030</v>
      </c>
      <c r="M1793" s="7" t="s">
        <v>1826</v>
      </c>
      <c r="N1793" s="7">
        <v>461</v>
      </c>
      <c r="O1793" s="7" t="s">
        <v>7031</v>
      </c>
      <c r="P1793" s="7"/>
    </row>
    <row r="1794" spans="1:17">
      <c r="A1794" s="6" t="s">
        <v>31</v>
      </c>
      <c r="B1794" s="7">
        <v>1611621</v>
      </c>
      <c r="C1794" s="7">
        <v>1612820</v>
      </c>
      <c r="D1794" s="8"/>
      <c r="E1794" s="7" t="s">
        <v>75</v>
      </c>
      <c r="F1794" s="7" t="s">
        <v>1829</v>
      </c>
      <c r="G1794" s="7" t="s">
        <v>7032</v>
      </c>
      <c r="H1794" s="8"/>
      <c r="I1794" s="7" t="s">
        <v>55</v>
      </c>
      <c r="J1794" s="8"/>
      <c r="K1794" s="8"/>
      <c r="L1794" s="7" t="s">
        <v>7033</v>
      </c>
      <c r="M1794" s="7" t="s">
        <v>1829</v>
      </c>
      <c r="N1794" s="7">
        <v>399</v>
      </c>
      <c r="O1794" s="7" t="s">
        <v>7034</v>
      </c>
      <c r="P1794" s="7"/>
    </row>
    <row r="1795" spans="1:17">
      <c r="A1795" s="6" t="s">
        <v>31</v>
      </c>
      <c r="B1795" s="7">
        <v>1613723</v>
      </c>
      <c r="C1795" s="7">
        <v>1615177</v>
      </c>
      <c r="D1795" s="8"/>
      <c r="E1795" s="7" t="s">
        <v>75</v>
      </c>
      <c r="F1795" s="7" t="s">
        <v>7035</v>
      </c>
      <c r="G1795" s="7" t="s">
        <v>1831</v>
      </c>
      <c r="H1795" s="8"/>
      <c r="I1795" s="7" t="s">
        <v>55</v>
      </c>
      <c r="J1795" s="8"/>
      <c r="K1795" s="8"/>
      <c r="L1795" s="7" t="s">
        <v>7036</v>
      </c>
      <c r="M1795" s="7" t="s">
        <v>7035</v>
      </c>
      <c r="N1795" s="7">
        <v>484</v>
      </c>
      <c r="O1795" s="7" t="s">
        <v>7037</v>
      </c>
      <c r="P1795" s="7"/>
      <c r="Q1795" s="7"/>
    </row>
    <row r="1796" spans="1:17">
      <c r="A1796" s="6" t="s">
        <v>31</v>
      </c>
      <c r="B1796" s="7">
        <v>1615518</v>
      </c>
      <c r="C1796" s="7">
        <v>1615991</v>
      </c>
      <c r="D1796" s="8"/>
      <c r="E1796" s="7" t="s">
        <v>75</v>
      </c>
      <c r="F1796" s="7" t="s">
        <v>7038</v>
      </c>
      <c r="G1796" s="8"/>
      <c r="H1796" s="8"/>
      <c r="I1796" s="7" t="s">
        <v>55</v>
      </c>
      <c r="J1796" s="8"/>
      <c r="K1796" s="8"/>
      <c r="L1796" s="7" t="s">
        <v>7039</v>
      </c>
      <c r="M1796" s="7" t="s">
        <v>7038</v>
      </c>
      <c r="N1796" s="7">
        <v>157</v>
      </c>
      <c r="O1796" s="7" t="s">
        <v>7040</v>
      </c>
    </row>
    <row r="1797" spans="1:17">
      <c r="A1797" s="6" t="s">
        <v>31</v>
      </c>
      <c r="B1797" s="7">
        <v>1615988</v>
      </c>
      <c r="C1797" s="7">
        <v>1616413</v>
      </c>
      <c r="D1797" s="8"/>
      <c r="E1797" s="7" t="s">
        <v>75</v>
      </c>
      <c r="F1797" s="7" t="s">
        <v>7038</v>
      </c>
      <c r="G1797" s="8"/>
      <c r="H1797" s="8"/>
      <c r="I1797" s="7" t="s">
        <v>55</v>
      </c>
      <c r="J1797" s="8"/>
      <c r="K1797" s="8"/>
      <c r="L1797" s="7" t="s">
        <v>7041</v>
      </c>
      <c r="M1797" s="7" t="s">
        <v>7038</v>
      </c>
      <c r="N1797" s="7">
        <v>141</v>
      </c>
      <c r="O1797" s="7" t="s">
        <v>7042</v>
      </c>
    </row>
    <row r="1798" spans="1:17">
      <c r="A1798" s="6" t="s">
        <v>31</v>
      </c>
      <c r="B1798" s="7">
        <v>1616505</v>
      </c>
      <c r="C1798" s="7">
        <v>1617194</v>
      </c>
      <c r="D1798" s="8"/>
      <c r="E1798" s="7" t="s">
        <v>75</v>
      </c>
      <c r="F1798" s="7" t="s">
        <v>7043</v>
      </c>
      <c r="G1798" s="7" t="s">
        <v>1833</v>
      </c>
      <c r="H1798" s="8"/>
      <c r="I1798" s="7" t="s">
        <v>55</v>
      </c>
      <c r="J1798" s="8"/>
      <c r="K1798" s="8"/>
      <c r="L1798" s="7" t="s">
        <v>7044</v>
      </c>
      <c r="M1798" s="7" t="s">
        <v>7043</v>
      </c>
      <c r="N1798" s="7">
        <v>229</v>
      </c>
      <c r="O1798" s="7" t="s">
        <v>7045</v>
      </c>
    </row>
    <row r="1799" spans="1:17">
      <c r="A1799" s="6" t="s">
        <v>31</v>
      </c>
      <c r="B1799" s="7">
        <v>1617294</v>
      </c>
      <c r="C1799" s="7">
        <v>1617719</v>
      </c>
      <c r="D1799" s="8"/>
      <c r="E1799" s="7" t="s">
        <v>75</v>
      </c>
      <c r="F1799" s="7" t="s">
        <v>7046</v>
      </c>
      <c r="G1799" s="7" t="s">
        <v>1835</v>
      </c>
      <c r="H1799" s="8"/>
      <c r="I1799" s="7" t="s">
        <v>55</v>
      </c>
      <c r="J1799" s="8"/>
      <c r="K1799" s="8"/>
      <c r="L1799" s="7" t="s">
        <v>7047</v>
      </c>
      <c r="M1799" s="7" t="s">
        <v>7046</v>
      </c>
      <c r="N1799" s="7">
        <v>141</v>
      </c>
      <c r="O1799" s="7" t="s">
        <v>7048</v>
      </c>
    </row>
    <row r="1800" spans="1:17">
      <c r="A1800" s="6" t="s">
        <v>31</v>
      </c>
      <c r="B1800" s="7">
        <v>1617891</v>
      </c>
      <c r="C1800" s="7">
        <v>1618244</v>
      </c>
      <c r="D1800" s="8"/>
      <c r="E1800" s="7" t="s">
        <v>53</v>
      </c>
      <c r="F1800" s="7" t="s">
        <v>2212</v>
      </c>
      <c r="G1800" s="8"/>
      <c r="H1800" s="8"/>
      <c r="I1800" s="7" t="s">
        <v>55</v>
      </c>
      <c r="J1800" s="8"/>
      <c r="K1800" s="8"/>
      <c r="L1800" s="7" t="s">
        <v>7049</v>
      </c>
      <c r="M1800" s="7" t="s">
        <v>2212</v>
      </c>
      <c r="N1800" s="7">
        <v>117</v>
      </c>
      <c r="O1800" s="7" t="s">
        <v>7050</v>
      </c>
    </row>
    <row r="1801" spans="1:17">
      <c r="A1801" s="6" t="s">
        <v>31</v>
      </c>
      <c r="B1801" s="7">
        <v>1618336</v>
      </c>
      <c r="C1801" s="7">
        <v>1618833</v>
      </c>
      <c r="D1801" s="8"/>
      <c r="E1801" s="7" t="s">
        <v>75</v>
      </c>
      <c r="F1801" s="7" t="s">
        <v>6593</v>
      </c>
      <c r="G1801" s="8"/>
      <c r="H1801" s="8"/>
      <c r="I1801" s="7" t="s">
        <v>55</v>
      </c>
      <c r="J1801" s="8"/>
      <c r="K1801" s="8"/>
      <c r="L1801" s="7" t="s">
        <v>7051</v>
      </c>
      <c r="M1801" s="7" t="s">
        <v>6593</v>
      </c>
      <c r="N1801" s="7">
        <v>165</v>
      </c>
      <c r="O1801" s="7" t="s">
        <v>7052</v>
      </c>
      <c r="P1801" s="7"/>
    </row>
    <row r="1802" spans="1:17">
      <c r="A1802" s="6" t="s">
        <v>31</v>
      </c>
      <c r="B1802" s="7">
        <v>1619001</v>
      </c>
      <c r="C1802" s="7">
        <v>1619201</v>
      </c>
      <c r="D1802" s="8"/>
      <c r="E1802" s="7" t="s">
        <v>75</v>
      </c>
      <c r="F1802" s="7" t="s">
        <v>7053</v>
      </c>
      <c r="G1802" s="8"/>
      <c r="H1802" s="8"/>
      <c r="I1802" s="7" t="s">
        <v>55</v>
      </c>
      <c r="J1802" s="8"/>
      <c r="K1802" s="8"/>
      <c r="L1802" s="7" t="s">
        <v>7054</v>
      </c>
      <c r="M1802" s="7" t="s">
        <v>7053</v>
      </c>
      <c r="N1802" s="7">
        <v>66</v>
      </c>
      <c r="O1802" s="7" t="s">
        <v>7055</v>
      </c>
    </row>
    <row r="1803" spans="1:17">
      <c r="A1803" s="6" t="s">
        <v>31</v>
      </c>
      <c r="B1803" s="7">
        <v>1619195</v>
      </c>
      <c r="C1803" s="7">
        <v>1619425</v>
      </c>
      <c r="D1803" s="8"/>
      <c r="E1803" s="7" t="s">
        <v>75</v>
      </c>
      <c r="F1803" s="7" t="s">
        <v>7053</v>
      </c>
      <c r="G1803" s="8"/>
      <c r="H1803" s="8"/>
      <c r="I1803" s="7" t="s">
        <v>55</v>
      </c>
      <c r="J1803" s="8"/>
      <c r="K1803" s="8"/>
      <c r="L1803" s="7" t="s">
        <v>7056</v>
      </c>
      <c r="M1803" s="7" t="s">
        <v>7053</v>
      </c>
      <c r="N1803" s="7">
        <v>76</v>
      </c>
      <c r="O1803" s="7" t="s">
        <v>7057</v>
      </c>
    </row>
    <row r="1804" spans="1:17">
      <c r="A1804" s="6" t="s">
        <v>31</v>
      </c>
      <c r="B1804" s="7">
        <v>1619459</v>
      </c>
      <c r="C1804" s="7">
        <v>1619563</v>
      </c>
      <c r="D1804" s="8"/>
      <c r="E1804" s="7" t="s">
        <v>75</v>
      </c>
      <c r="F1804" s="7" t="s">
        <v>2095</v>
      </c>
      <c r="G1804" s="8"/>
      <c r="H1804" s="8"/>
      <c r="I1804" s="7" t="s">
        <v>55</v>
      </c>
      <c r="J1804" s="8"/>
      <c r="K1804" s="8"/>
      <c r="L1804" s="7" t="s">
        <v>7058</v>
      </c>
      <c r="M1804" s="7" t="s">
        <v>2095</v>
      </c>
      <c r="N1804" s="7">
        <v>34</v>
      </c>
      <c r="O1804" s="7" t="s">
        <v>7059</v>
      </c>
    </row>
    <row r="1805" spans="1:17">
      <c r="A1805" s="6" t="s">
        <v>31</v>
      </c>
      <c r="B1805" s="7">
        <v>1619560</v>
      </c>
      <c r="C1805" s="7">
        <v>1619676</v>
      </c>
      <c r="D1805" s="8"/>
      <c r="E1805" s="7" t="s">
        <v>75</v>
      </c>
      <c r="F1805" s="7" t="s">
        <v>2130</v>
      </c>
      <c r="G1805" s="8"/>
      <c r="H1805" s="8"/>
      <c r="I1805" s="7" t="s">
        <v>55</v>
      </c>
      <c r="J1805" s="8"/>
      <c r="K1805" s="8"/>
      <c r="L1805" s="7" t="s">
        <v>7060</v>
      </c>
      <c r="M1805" s="7" t="s">
        <v>2130</v>
      </c>
      <c r="N1805" s="7">
        <v>38</v>
      </c>
      <c r="O1805" s="7" t="s">
        <v>7061</v>
      </c>
    </row>
    <row r="1806" spans="1:17">
      <c r="A1806" s="6" t="s">
        <v>31</v>
      </c>
      <c r="B1806" s="7">
        <v>1619765</v>
      </c>
      <c r="C1806" s="7">
        <v>1621012</v>
      </c>
      <c r="D1806" s="8"/>
      <c r="E1806" s="7" t="s">
        <v>75</v>
      </c>
      <c r="F1806" s="7" t="s">
        <v>7062</v>
      </c>
      <c r="G1806" s="7" t="s">
        <v>1839</v>
      </c>
      <c r="H1806" s="8"/>
      <c r="I1806" s="7" t="s">
        <v>55</v>
      </c>
      <c r="J1806" s="8"/>
      <c r="K1806" s="8"/>
      <c r="L1806" s="7" t="s">
        <v>7063</v>
      </c>
      <c r="M1806" s="7" t="s">
        <v>7062</v>
      </c>
      <c r="N1806" s="7">
        <v>415</v>
      </c>
      <c r="O1806" s="7" t="s">
        <v>7064</v>
      </c>
      <c r="P1806" s="7"/>
    </row>
    <row r="1807" spans="1:17">
      <c r="A1807" s="6" t="s">
        <v>31</v>
      </c>
      <c r="B1807" s="7">
        <v>1621304</v>
      </c>
      <c r="C1807" s="7">
        <v>1621750</v>
      </c>
      <c r="D1807" s="8"/>
      <c r="E1807" s="7" t="s">
        <v>75</v>
      </c>
      <c r="F1807" s="7" t="s">
        <v>7065</v>
      </c>
      <c r="G1807" s="7" t="s">
        <v>7066</v>
      </c>
      <c r="H1807" s="8"/>
      <c r="I1807" s="7" t="s">
        <v>55</v>
      </c>
      <c r="J1807" s="8"/>
      <c r="K1807" s="8"/>
      <c r="L1807" s="7" t="s">
        <v>7067</v>
      </c>
      <c r="M1807" s="7" t="s">
        <v>7065</v>
      </c>
      <c r="N1807" s="7">
        <v>148</v>
      </c>
      <c r="O1807" s="7" t="s">
        <v>7068</v>
      </c>
      <c r="P1807" s="7"/>
    </row>
    <row r="1808" spans="1:17">
      <c r="A1808" s="6" t="s">
        <v>31</v>
      </c>
      <c r="B1808" s="7">
        <v>1621964</v>
      </c>
      <c r="C1808" s="7">
        <v>1622344</v>
      </c>
      <c r="D1808" s="8"/>
      <c r="E1808" s="7" t="s">
        <v>53</v>
      </c>
      <c r="F1808" s="7" t="s">
        <v>7069</v>
      </c>
      <c r="G1808" s="8"/>
      <c r="H1808" s="8"/>
      <c r="I1808" s="7" t="s">
        <v>55</v>
      </c>
      <c r="J1808" s="8"/>
      <c r="K1808" s="8"/>
      <c r="L1808" s="7" t="s">
        <v>7070</v>
      </c>
      <c r="M1808" s="7" t="s">
        <v>7069</v>
      </c>
      <c r="N1808" s="7">
        <v>126</v>
      </c>
      <c r="O1808" s="7" t="s">
        <v>7071</v>
      </c>
    </row>
    <row r="1809" spans="1:16">
      <c r="A1809" s="6" t="s">
        <v>31</v>
      </c>
      <c r="B1809" s="7">
        <v>1622341</v>
      </c>
      <c r="C1809" s="7">
        <v>1622559</v>
      </c>
      <c r="D1809" s="8"/>
      <c r="E1809" s="7" t="s">
        <v>53</v>
      </c>
      <c r="F1809" s="7" t="s">
        <v>2095</v>
      </c>
      <c r="G1809" s="8"/>
      <c r="H1809" s="8"/>
      <c r="I1809" s="7" t="s">
        <v>55</v>
      </c>
      <c r="J1809" s="8"/>
      <c r="K1809" s="8"/>
      <c r="L1809" s="7" t="s">
        <v>7072</v>
      </c>
      <c r="M1809" s="7" t="s">
        <v>2095</v>
      </c>
      <c r="N1809" s="7">
        <v>72</v>
      </c>
      <c r="O1809" s="7" t="s">
        <v>7073</v>
      </c>
    </row>
    <row r="1810" spans="1:16">
      <c r="A1810" s="6" t="s">
        <v>31</v>
      </c>
      <c r="B1810" s="7">
        <v>1622587</v>
      </c>
      <c r="C1810" s="7">
        <v>1622814</v>
      </c>
      <c r="D1810" s="8"/>
      <c r="E1810" s="7" t="s">
        <v>53</v>
      </c>
      <c r="F1810" s="7" t="s">
        <v>7069</v>
      </c>
      <c r="G1810" s="8"/>
      <c r="H1810" s="8"/>
      <c r="I1810" s="7" t="s">
        <v>55</v>
      </c>
      <c r="J1810" s="8"/>
      <c r="K1810" s="8"/>
      <c r="L1810" s="7" t="s">
        <v>7074</v>
      </c>
      <c r="M1810" s="7" t="s">
        <v>7069</v>
      </c>
      <c r="N1810" s="7">
        <v>75</v>
      </c>
      <c r="O1810" s="7" t="s">
        <v>7075</v>
      </c>
    </row>
    <row r="1811" spans="1:16">
      <c r="A1811" s="6" t="s">
        <v>31</v>
      </c>
      <c r="B1811" s="7">
        <v>1622850</v>
      </c>
      <c r="C1811" s="7">
        <v>1623557</v>
      </c>
      <c r="D1811" s="8"/>
      <c r="E1811" s="7" t="s">
        <v>53</v>
      </c>
      <c r="F1811" s="7" t="s">
        <v>7069</v>
      </c>
      <c r="G1811" s="8"/>
      <c r="H1811" s="8"/>
      <c r="I1811" s="7" t="s">
        <v>55</v>
      </c>
      <c r="J1811" s="8"/>
      <c r="K1811" s="8"/>
      <c r="L1811" s="7" t="s">
        <v>7076</v>
      </c>
      <c r="M1811" s="7" t="s">
        <v>7069</v>
      </c>
      <c r="N1811" s="7">
        <v>235</v>
      </c>
      <c r="O1811" s="7" t="s">
        <v>7077</v>
      </c>
    </row>
    <row r="1812" spans="1:16">
      <c r="A1812" s="6" t="s">
        <v>31</v>
      </c>
      <c r="B1812" s="7">
        <v>1623788</v>
      </c>
      <c r="C1812" s="7">
        <v>1623946</v>
      </c>
      <c r="D1812" s="8"/>
      <c r="E1812" s="7" t="s">
        <v>53</v>
      </c>
      <c r="F1812" s="7" t="s">
        <v>7078</v>
      </c>
      <c r="G1812" s="8"/>
      <c r="H1812" s="8"/>
      <c r="I1812" s="7" t="s">
        <v>55</v>
      </c>
      <c r="J1812" s="8"/>
      <c r="K1812" s="8"/>
      <c r="L1812" s="7" t="s">
        <v>7079</v>
      </c>
      <c r="M1812" s="7" t="s">
        <v>7078</v>
      </c>
      <c r="N1812" s="7">
        <v>52</v>
      </c>
      <c r="O1812" s="7" t="s">
        <v>7080</v>
      </c>
    </row>
    <row r="1813" spans="1:16">
      <c r="A1813" s="6" t="s">
        <v>31</v>
      </c>
      <c r="B1813" s="7">
        <v>1624034</v>
      </c>
      <c r="C1813" s="7">
        <v>1624465</v>
      </c>
      <c r="D1813" s="8"/>
      <c r="E1813" s="7" t="s">
        <v>53</v>
      </c>
      <c r="F1813" s="7" t="s">
        <v>7081</v>
      </c>
      <c r="G1813" s="8"/>
      <c r="H1813" s="8"/>
      <c r="I1813" s="7" t="s">
        <v>55</v>
      </c>
      <c r="J1813" s="8"/>
      <c r="K1813" s="8"/>
      <c r="L1813" s="7" t="s">
        <v>7082</v>
      </c>
      <c r="M1813" s="7" t="s">
        <v>7081</v>
      </c>
      <c r="N1813" s="7">
        <v>143</v>
      </c>
      <c r="O1813" s="7" t="s">
        <v>7083</v>
      </c>
    </row>
    <row r="1814" spans="1:16">
      <c r="A1814" s="6" t="s">
        <v>31</v>
      </c>
      <c r="B1814" s="7">
        <v>1624474</v>
      </c>
      <c r="C1814" s="7">
        <v>1624929</v>
      </c>
      <c r="D1814" s="8"/>
      <c r="E1814" s="7" t="s">
        <v>53</v>
      </c>
      <c r="F1814" s="7" t="s">
        <v>2212</v>
      </c>
      <c r="G1814" s="8"/>
      <c r="H1814" s="8"/>
      <c r="I1814" s="7" t="s">
        <v>55</v>
      </c>
      <c r="J1814" s="8"/>
      <c r="K1814" s="8"/>
      <c r="L1814" s="7" t="s">
        <v>7084</v>
      </c>
      <c r="M1814" s="7" t="s">
        <v>2212</v>
      </c>
      <c r="N1814" s="7">
        <v>151</v>
      </c>
      <c r="O1814" s="7" t="s">
        <v>7085</v>
      </c>
    </row>
    <row r="1815" spans="1:16">
      <c r="A1815" s="6" t="s">
        <v>31</v>
      </c>
      <c r="B1815" s="7">
        <v>1625159</v>
      </c>
      <c r="C1815" s="7">
        <v>1626184</v>
      </c>
      <c r="D1815" s="8"/>
      <c r="E1815" s="7" t="s">
        <v>53</v>
      </c>
      <c r="F1815" s="7" t="s">
        <v>7086</v>
      </c>
      <c r="G1815" s="7" t="s">
        <v>7087</v>
      </c>
      <c r="H1815" s="8"/>
      <c r="I1815" s="7" t="s">
        <v>55</v>
      </c>
      <c r="J1815" s="8"/>
      <c r="K1815" s="8"/>
      <c r="L1815" s="7" t="s">
        <v>7088</v>
      </c>
      <c r="M1815" s="7" t="s">
        <v>7086</v>
      </c>
      <c r="N1815" s="7">
        <v>341</v>
      </c>
      <c r="O1815" s="7" t="s">
        <v>7089</v>
      </c>
      <c r="P1815" s="7"/>
    </row>
    <row r="1816" spans="1:16">
      <c r="A1816" s="6" t="s">
        <v>31</v>
      </c>
      <c r="B1816" s="7">
        <v>1626203</v>
      </c>
      <c r="C1816" s="7">
        <v>1627117</v>
      </c>
      <c r="D1816" s="8"/>
      <c r="E1816" s="7" t="s">
        <v>53</v>
      </c>
      <c r="F1816" s="7" t="s">
        <v>7090</v>
      </c>
      <c r="G1816" s="7" t="s">
        <v>7091</v>
      </c>
      <c r="H1816" s="8"/>
      <c r="I1816" s="7" t="s">
        <v>55</v>
      </c>
      <c r="J1816" s="8"/>
      <c r="K1816" s="8"/>
      <c r="L1816" s="7" t="s">
        <v>7092</v>
      </c>
      <c r="M1816" s="7" t="s">
        <v>7090</v>
      </c>
      <c r="N1816" s="7">
        <v>304</v>
      </c>
      <c r="O1816" s="7" t="s">
        <v>7093</v>
      </c>
      <c r="P1816" s="7"/>
    </row>
    <row r="1817" spans="1:16">
      <c r="A1817" s="6" t="s">
        <v>31</v>
      </c>
      <c r="B1817" s="7">
        <v>1627180</v>
      </c>
      <c r="C1817" s="7">
        <v>1628049</v>
      </c>
      <c r="D1817" s="8"/>
      <c r="E1817" s="7" t="s">
        <v>75</v>
      </c>
      <c r="F1817" s="7" t="s">
        <v>2095</v>
      </c>
      <c r="G1817" s="8"/>
      <c r="H1817" s="8"/>
      <c r="I1817" s="7" t="s">
        <v>55</v>
      </c>
      <c r="J1817" s="8"/>
      <c r="K1817" s="8"/>
      <c r="L1817" s="7" t="s">
        <v>7094</v>
      </c>
      <c r="M1817" s="7" t="s">
        <v>2095</v>
      </c>
      <c r="N1817" s="7">
        <v>289</v>
      </c>
      <c r="O1817" s="7" t="s">
        <v>7095</v>
      </c>
    </row>
    <row r="1818" spans="1:16">
      <c r="A1818" s="6" t="s">
        <v>31</v>
      </c>
      <c r="B1818" s="7">
        <v>1628064</v>
      </c>
      <c r="C1818" s="7">
        <v>1628750</v>
      </c>
      <c r="D1818" s="8"/>
      <c r="E1818" s="7" t="s">
        <v>75</v>
      </c>
      <c r="F1818" s="7" t="s">
        <v>1280</v>
      </c>
      <c r="G1818" s="7" t="s">
        <v>5723</v>
      </c>
      <c r="H1818" s="8"/>
      <c r="I1818" s="7" t="s">
        <v>55</v>
      </c>
      <c r="J1818" s="8"/>
      <c r="K1818" s="8"/>
      <c r="L1818" s="7" t="s">
        <v>7096</v>
      </c>
      <c r="M1818" s="7" t="s">
        <v>1280</v>
      </c>
      <c r="N1818" s="7">
        <v>228</v>
      </c>
      <c r="O1818" s="7" t="s">
        <v>7097</v>
      </c>
    </row>
    <row r="1819" spans="1:16">
      <c r="A1819" s="6" t="s">
        <v>31</v>
      </c>
      <c r="B1819" s="7">
        <v>1628850</v>
      </c>
      <c r="C1819" s="7">
        <v>1629524</v>
      </c>
      <c r="D1819" s="8"/>
      <c r="E1819" s="7" t="s">
        <v>75</v>
      </c>
      <c r="F1819" s="7" t="s">
        <v>7098</v>
      </c>
      <c r="G1819" s="8"/>
      <c r="H1819" s="8"/>
      <c r="I1819" s="7" t="s">
        <v>55</v>
      </c>
      <c r="J1819" s="8"/>
      <c r="K1819" s="8"/>
      <c r="L1819" s="7" t="s">
        <v>7099</v>
      </c>
      <c r="M1819" s="7" t="s">
        <v>7098</v>
      </c>
      <c r="N1819" s="7">
        <v>224</v>
      </c>
      <c r="O1819" s="7" t="s">
        <v>7100</v>
      </c>
    </row>
    <row r="1820" spans="1:16">
      <c r="A1820" s="6" t="s">
        <v>31</v>
      </c>
      <c r="B1820" s="7">
        <v>1629515</v>
      </c>
      <c r="C1820" s="7">
        <v>1630042</v>
      </c>
      <c r="D1820" s="8"/>
      <c r="E1820" s="7" t="s">
        <v>75</v>
      </c>
      <c r="F1820" s="7" t="s">
        <v>1845</v>
      </c>
      <c r="G1820" s="8"/>
      <c r="H1820" s="8"/>
      <c r="I1820" s="7" t="s">
        <v>55</v>
      </c>
      <c r="J1820" s="8"/>
      <c r="K1820" s="8"/>
      <c r="L1820" s="7" t="s">
        <v>7101</v>
      </c>
      <c r="M1820" s="7" t="s">
        <v>1845</v>
      </c>
      <c r="N1820" s="7">
        <v>175</v>
      </c>
      <c r="O1820" s="7" t="s">
        <v>7102</v>
      </c>
      <c r="P1820" s="7"/>
    </row>
    <row r="1821" spans="1:16">
      <c r="A1821" s="6" t="s">
        <v>31</v>
      </c>
      <c r="B1821" s="7">
        <v>1630111</v>
      </c>
      <c r="C1821" s="7">
        <v>1631244</v>
      </c>
      <c r="D1821" s="8"/>
      <c r="E1821" s="7" t="s">
        <v>75</v>
      </c>
      <c r="F1821" s="7" t="s">
        <v>7103</v>
      </c>
      <c r="G1821" s="7" t="s">
        <v>7104</v>
      </c>
      <c r="H1821" s="8"/>
      <c r="I1821" s="7" t="s">
        <v>55</v>
      </c>
      <c r="J1821" s="8"/>
      <c r="K1821" s="8"/>
      <c r="L1821" s="7" t="s">
        <v>7105</v>
      </c>
      <c r="M1821" s="7" t="s">
        <v>7103</v>
      </c>
      <c r="N1821" s="7">
        <v>377</v>
      </c>
      <c r="O1821" s="7" t="s">
        <v>7106</v>
      </c>
      <c r="P1821" s="7"/>
    </row>
    <row r="1822" spans="1:16">
      <c r="A1822" s="6" t="s">
        <v>31</v>
      </c>
      <c r="B1822" s="7">
        <v>1631323</v>
      </c>
      <c r="C1822" s="7">
        <v>1632021</v>
      </c>
      <c r="D1822" s="8"/>
      <c r="E1822" s="7" t="s">
        <v>75</v>
      </c>
      <c r="F1822" s="7" t="s">
        <v>7107</v>
      </c>
      <c r="G1822" s="7" t="s">
        <v>7108</v>
      </c>
      <c r="H1822" s="8"/>
      <c r="I1822" s="7" t="s">
        <v>55</v>
      </c>
      <c r="J1822" s="8"/>
      <c r="K1822" s="8"/>
      <c r="L1822" s="7" t="s">
        <v>7109</v>
      </c>
      <c r="M1822" s="7" t="s">
        <v>7107</v>
      </c>
      <c r="N1822" s="7">
        <v>232</v>
      </c>
      <c r="O1822" s="7" t="s">
        <v>7110</v>
      </c>
      <c r="P1822" s="7"/>
    </row>
    <row r="1823" spans="1:16">
      <c r="A1823" s="6" t="s">
        <v>31</v>
      </c>
      <c r="B1823" s="7">
        <v>1632107</v>
      </c>
      <c r="C1823" s="7">
        <v>1632481</v>
      </c>
      <c r="D1823" s="8"/>
      <c r="E1823" s="7" t="s">
        <v>75</v>
      </c>
      <c r="F1823" s="7" t="s">
        <v>2130</v>
      </c>
      <c r="G1823" s="8"/>
      <c r="H1823" s="8"/>
      <c r="I1823" s="7" t="s">
        <v>55</v>
      </c>
      <c r="J1823" s="8"/>
      <c r="K1823" s="8"/>
      <c r="L1823" s="7" t="s">
        <v>7111</v>
      </c>
      <c r="M1823" s="7" t="s">
        <v>2130</v>
      </c>
      <c r="N1823" s="7">
        <v>124</v>
      </c>
      <c r="O1823" s="7" t="s">
        <v>7112</v>
      </c>
    </row>
    <row r="1824" spans="1:16">
      <c r="A1824" s="6" t="s">
        <v>31</v>
      </c>
      <c r="B1824" s="7">
        <v>1632505</v>
      </c>
      <c r="C1824" s="7">
        <v>1632876</v>
      </c>
      <c r="D1824" s="8"/>
      <c r="E1824" s="7" t="s">
        <v>75</v>
      </c>
      <c r="F1824" s="7" t="s">
        <v>7113</v>
      </c>
      <c r="G1824" s="8"/>
      <c r="H1824" s="8"/>
      <c r="I1824" s="7" t="s">
        <v>55</v>
      </c>
      <c r="J1824" s="8"/>
      <c r="K1824" s="8"/>
      <c r="L1824" s="7" t="s">
        <v>7114</v>
      </c>
      <c r="M1824" s="7" t="s">
        <v>7113</v>
      </c>
      <c r="N1824" s="7">
        <v>123</v>
      </c>
      <c r="O1824" s="7" t="s">
        <v>7115</v>
      </c>
    </row>
    <row r="1825" spans="1:16">
      <c r="A1825" s="6" t="s">
        <v>31</v>
      </c>
      <c r="B1825" s="7">
        <v>1632976</v>
      </c>
      <c r="C1825" s="7">
        <v>1633809</v>
      </c>
      <c r="D1825" s="8"/>
      <c r="E1825" s="7" t="s">
        <v>75</v>
      </c>
      <c r="F1825" s="7" t="s">
        <v>7116</v>
      </c>
      <c r="G1825" s="8"/>
      <c r="H1825" s="8"/>
      <c r="I1825" s="7" t="s">
        <v>55</v>
      </c>
      <c r="J1825" s="8"/>
      <c r="K1825" s="8"/>
      <c r="L1825" s="7" t="s">
        <v>7117</v>
      </c>
      <c r="M1825" s="7" t="s">
        <v>7116</v>
      </c>
      <c r="N1825" s="7">
        <v>277</v>
      </c>
      <c r="O1825" s="7" t="s">
        <v>7118</v>
      </c>
    </row>
    <row r="1826" spans="1:16">
      <c r="A1826" s="6" t="s">
        <v>31</v>
      </c>
      <c r="B1826" s="7">
        <v>1634178</v>
      </c>
      <c r="C1826" s="7">
        <v>1634345</v>
      </c>
      <c r="D1826" s="8"/>
      <c r="E1826" s="7" t="s">
        <v>53</v>
      </c>
      <c r="F1826" s="7" t="s">
        <v>2130</v>
      </c>
      <c r="G1826" s="8"/>
      <c r="H1826" s="8"/>
      <c r="I1826" s="7" t="s">
        <v>55</v>
      </c>
      <c r="J1826" s="8"/>
      <c r="K1826" s="8"/>
      <c r="L1826" s="7" t="s">
        <v>7119</v>
      </c>
      <c r="M1826" s="7" t="s">
        <v>2130</v>
      </c>
      <c r="N1826" s="7">
        <v>55</v>
      </c>
      <c r="O1826" s="7" t="s">
        <v>7120</v>
      </c>
    </row>
    <row r="1827" spans="1:16">
      <c r="A1827" s="6" t="s">
        <v>31</v>
      </c>
      <c r="B1827" s="7">
        <v>1634398</v>
      </c>
      <c r="C1827" s="7">
        <v>1634661</v>
      </c>
      <c r="D1827" s="8"/>
      <c r="E1827" s="7" t="s">
        <v>53</v>
      </c>
      <c r="F1827" s="7" t="s">
        <v>2130</v>
      </c>
      <c r="G1827" s="8"/>
      <c r="H1827" s="8"/>
      <c r="I1827" s="7" t="s">
        <v>55</v>
      </c>
      <c r="J1827" s="8"/>
      <c r="K1827" s="8"/>
      <c r="L1827" s="7" t="s">
        <v>7121</v>
      </c>
      <c r="M1827" s="7" t="s">
        <v>2130</v>
      </c>
      <c r="N1827" s="7">
        <v>87</v>
      </c>
      <c r="O1827" s="7" t="s">
        <v>7122</v>
      </c>
    </row>
    <row r="1828" spans="1:16">
      <c r="A1828" s="6" t="s">
        <v>31</v>
      </c>
      <c r="B1828" s="7">
        <v>1634742</v>
      </c>
      <c r="C1828" s="7">
        <v>1635260</v>
      </c>
      <c r="D1828" s="8"/>
      <c r="E1828" s="7" t="s">
        <v>75</v>
      </c>
      <c r="F1828" s="7" t="s">
        <v>7123</v>
      </c>
      <c r="G1828" s="7" t="s">
        <v>1852</v>
      </c>
      <c r="H1828" s="8"/>
      <c r="I1828" s="7" t="s">
        <v>55</v>
      </c>
      <c r="J1828" s="8"/>
      <c r="K1828" s="8"/>
      <c r="L1828" s="7" t="s">
        <v>7124</v>
      </c>
      <c r="M1828" s="7" t="s">
        <v>7123</v>
      </c>
      <c r="N1828" s="7">
        <v>172</v>
      </c>
      <c r="O1828" s="7" t="s">
        <v>7125</v>
      </c>
      <c r="P1828" s="7"/>
    </row>
    <row r="1829" spans="1:16">
      <c r="A1829" s="6" t="s">
        <v>31</v>
      </c>
      <c r="B1829" s="7">
        <v>1635743</v>
      </c>
      <c r="C1829" s="7">
        <v>1635868</v>
      </c>
      <c r="D1829" s="8"/>
      <c r="E1829" s="7" t="s">
        <v>53</v>
      </c>
      <c r="F1829" s="7" t="s">
        <v>2095</v>
      </c>
      <c r="G1829" s="8"/>
      <c r="H1829" s="8"/>
      <c r="I1829" s="7" t="s">
        <v>55</v>
      </c>
      <c r="J1829" s="8"/>
      <c r="K1829" s="8"/>
      <c r="L1829" s="7" t="s">
        <v>7126</v>
      </c>
      <c r="M1829" s="7" t="s">
        <v>2095</v>
      </c>
      <c r="N1829" s="7">
        <v>41</v>
      </c>
      <c r="O1829" s="7" t="s">
        <v>7127</v>
      </c>
    </row>
    <row r="1830" spans="1:16">
      <c r="A1830" s="6" t="s">
        <v>31</v>
      </c>
      <c r="B1830" s="7">
        <v>1636020</v>
      </c>
      <c r="C1830" s="7">
        <v>1636412</v>
      </c>
      <c r="D1830" s="8"/>
      <c r="E1830" s="7" t="s">
        <v>75</v>
      </c>
      <c r="F1830" s="7" t="s">
        <v>7128</v>
      </c>
      <c r="G1830" s="7" t="s">
        <v>7129</v>
      </c>
      <c r="H1830" s="8"/>
      <c r="I1830" s="7" t="s">
        <v>55</v>
      </c>
      <c r="J1830" s="8"/>
      <c r="K1830" s="8"/>
      <c r="L1830" s="7" t="s">
        <v>7130</v>
      </c>
      <c r="M1830" s="7" t="s">
        <v>7128</v>
      </c>
      <c r="N1830" s="7">
        <v>130</v>
      </c>
      <c r="O1830" s="7" t="s">
        <v>7131</v>
      </c>
    </row>
    <row r="1831" spans="1:16">
      <c r="A1831" s="6" t="s">
        <v>31</v>
      </c>
      <c r="B1831" s="7">
        <v>1636617</v>
      </c>
      <c r="C1831" s="7">
        <v>1636844</v>
      </c>
      <c r="D1831" s="8"/>
      <c r="E1831" s="7" t="s">
        <v>75</v>
      </c>
      <c r="F1831" s="7" t="s">
        <v>7132</v>
      </c>
      <c r="G1831" s="7" t="s">
        <v>7133</v>
      </c>
      <c r="H1831" s="8"/>
      <c r="I1831" s="7" t="s">
        <v>55</v>
      </c>
      <c r="J1831" s="8"/>
      <c r="K1831" s="8"/>
      <c r="L1831" s="7" t="s">
        <v>7134</v>
      </c>
      <c r="M1831" s="7" t="s">
        <v>7132</v>
      </c>
      <c r="N1831" s="7">
        <v>75</v>
      </c>
      <c r="O1831" s="7" t="s">
        <v>7135</v>
      </c>
    </row>
    <row r="1832" spans="1:16">
      <c r="A1832" s="6" t="s">
        <v>31</v>
      </c>
      <c r="B1832" s="7">
        <v>1636859</v>
      </c>
      <c r="C1832" s="7">
        <v>1637890</v>
      </c>
      <c r="D1832" s="8"/>
      <c r="E1832" s="7" t="s">
        <v>75</v>
      </c>
      <c r="F1832" s="7" t="s">
        <v>7136</v>
      </c>
      <c r="G1832" s="8"/>
      <c r="H1832" s="8"/>
      <c r="I1832" s="7" t="s">
        <v>55</v>
      </c>
      <c r="J1832" s="8"/>
      <c r="K1832" s="8"/>
      <c r="L1832" s="7" t="s">
        <v>7137</v>
      </c>
      <c r="M1832" s="7" t="s">
        <v>7136</v>
      </c>
      <c r="N1832" s="7">
        <v>343</v>
      </c>
      <c r="O1832" s="7" t="s">
        <v>7138</v>
      </c>
    </row>
    <row r="1833" spans="1:16">
      <c r="A1833" s="6" t="s">
        <v>31</v>
      </c>
      <c r="B1833" s="7">
        <v>1638028</v>
      </c>
      <c r="C1833" s="7">
        <v>1638651</v>
      </c>
      <c r="D1833" s="8"/>
      <c r="E1833" s="7" t="s">
        <v>75</v>
      </c>
      <c r="F1833" s="7" t="s">
        <v>7139</v>
      </c>
      <c r="G1833" s="7" t="s">
        <v>1857</v>
      </c>
      <c r="H1833" s="8"/>
      <c r="I1833" s="7" t="s">
        <v>55</v>
      </c>
      <c r="J1833" s="8"/>
      <c r="K1833" s="8"/>
      <c r="L1833" s="7" t="s">
        <v>7140</v>
      </c>
      <c r="M1833" s="7" t="s">
        <v>7139</v>
      </c>
      <c r="N1833" s="7">
        <v>207</v>
      </c>
      <c r="O1833" s="7" t="s">
        <v>7141</v>
      </c>
    </row>
    <row r="1834" spans="1:16">
      <c r="A1834" s="6" t="s">
        <v>31</v>
      </c>
      <c r="B1834" s="7">
        <v>1638661</v>
      </c>
      <c r="C1834" s="7">
        <v>1638975</v>
      </c>
      <c r="D1834" s="8"/>
      <c r="E1834" s="7" t="s">
        <v>75</v>
      </c>
      <c r="F1834" s="7" t="s">
        <v>7142</v>
      </c>
      <c r="G1834" s="7" t="s">
        <v>7143</v>
      </c>
      <c r="H1834" s="8"/>
      <c r="I1834" s="7" t="s">
        <v>55</v>
      </c>
      <c r="J1834" s="8"/>
      <c r="K1834" s="8"/>
      <c r="L1834" s="7" t="s">
        <v>7144</v>
      </c>
      <c r="M1834" s="7" t="s">
        <v>7142</v>
      </c>
      <c r="N1834" s="7">
        <v>104</v>
      </c>
      <c r="O1834" s="7" t="s">
        <v>7145</v>
      </c>
    </row>
    <row r="1835" spans="1:16">
      <c r="A1835" s="6" t="s">
        <v>31</v>
      </c>
      <c r="B1835" s="7">
        <v>1638972</v>
      </c>
      <c r="C1835" s="7">
        <v>1639256</v>
      </c>
      <c r="D1835" s="8"/>
      <c r="E1835" s="7" t="s">
        <v>75</v>
      </c>
      <c r="F1835" s="7" t="s">
        <v>2130</v>
      </c>
      <c r="G1835" s="8"/>
      <c r="H1835" s="8"/>
      <c r="I1835" s="7" t="s">
        <v>55</v>
      </c>
      <c r="J1835" s="8"/>
      <c r="K1835" s="8"/>
      <c r="L1835" s="7" t="s">
        <v>7146</v>
      </c>
      <c r="M1835" s="7" t="s">
        <v>2130</v>
      </c>
      <c r="N1835" s="7">
        <v>94</v>
      </c>
      <c r="O1835" s="7" t="s">
        <v>7147</v>
      </c>
    </row>
    <row r="1836" spans="1:16">
      <c r="A1836" s="6" t="s">
        <v>31</v>
      </c>
      <c r="B1836" s="7">
        <v>1639356</v>
      </c>
      <c r="C1836" s="7">
        <v>1640423</v>
      </c>
      <c r="D1836" s="8"/>
      <c r="E1836" s="7" t="s">
        <v>53</v>
      </c>
      <c r="F1836" s="7" t="s">
        <v>7148</v>
      </c>
      <c r="G1836" s="7" t="s">
        <v>7149</v>
      </c>
      <c r="H1836" s="8"/>
      <c r="I1836" s="7" t="s">
        <v>55</v>
      </c>
      <c r="J1836" s="8"/>
      <c r="K1836" s="8"/>
      <c r="L1836" s="7" t="s">
        <v>7150</v>
      </c>
      <c r="M1836" s="7" t="s">
        <v>7148</v>
      </c>
      <c r="N1836" s="7">
        <v>355</v>
      </c>
      <c r="O1836" s="7" t="s">
        <v>7151</v>
      </c>
      <c r="P1836" s="7"/>
    </row>
    <row r="1837" spans="1:16">
      <c r="A1837" s="6" t="s">
        <v>31</v>
      </c>
      <c r="B1837" s="7">
        <v>1640439</v>
      </c>
      <c r="C1837" s="7">
        <v>1641209</v>
      </c>
      <c r="D1837" s="8"/>
      <c r="E1837" s="7" t="s">
        <v>53</v>
      </c>
      <c r="F1837" s="7" t="s">
        <v>7152</v>
      </c>
      <c r="G1837" s="7" t="s">
        <v>1862</v>
      </c>
      <c r="H1837" s="8"/>
      <c r="I1837" s="7" t="s">
        <v>55</v>
      </c>
      <c r="J1837" s="8"/>
      <c r="K1837" s="8"/>
      <c r="L1837" s="7" t="s">
        <v>7153</v>
      </c>
      <c r="M1837" s="7" t="s">
        <v>7152</v>
      </c>
      <c r="N1837" s="7">
        <v>256</v>
      </c>
      <c r="O1837" s="7" t="s">
        <v>7154</v>
      </c>
      <c r="P1837" s="7"/>
    </row>
    <row r="1838" spans="1:16">
      <c r="A1838" s="6" t="s">
        <v>31</v>
      </c>
      <c r="B1838" s="7">
        <v>1641239</v>
      </c>
      <c r="C1838" s="7">
        <v>1641901</v>
      </c>
      <c r="D1838" s="8"/>
      <c r="E1838" s="7" t="s">
        <v>75</v>
      </c>
      <c r="F1838" s="7" t="s">
        <v>7155</v>
      </c>
      <c r="G1838" s="8"/>
      <c r="H1838" s="8"/>
      <c r="I1838" s="7" t="s">
        <v>55</v>
      </c>
      <c r="J1838" s="8"/>
      <c r="K1838" s="8"/>
      <c r="L1838" s="7" t="s">
        <v>7156</v>
      </c>
      <c r="M1838" s="7" t="s">
        <v>7155</v>
      </c>
      <c r="N1838" s="7">
        <v>220</v>
      </c>
      <c r="O1838" s="7" t="s">
        <v>7157</v>
      </c>
    </row>
    <row r="1839" spans="1:16">
      <c r="A1839" s="6" t="s">
        <v>31</v>
      </c>
      <c r="B1839" s="7">
        <v>1642004</v>
      </c>
      <c r="C1839" s="7">
        <v>1642126</v>
      </c>
      <c r="D1839" s="8"/>
      <c r="E1839" s="7" t="s">
        <v>75</v>
      </c>
      <c r="F1839" s="7" t="s">
        <v>2095</v>
      </c>
      <c r="G1839" s="8"/>
      <c r="H1839" s="8"/>
      <c r="I1839" s="7" t="s">
        <v>55</v>
      </c>
      <c r="J1839" s="8"/>
      <c r="K1839" s="8"/>
      <c r="L1839" s="7" t="s">
        <v>7158</v>
      </c>
      <c r="M1839" s="7" t="s">
        <v>2095</v>
      </c>
      <c r="N1839" s="7">
        <v>40</v>
      </c>
      <c r="O1839" s="7" t="s">
        <v>7159</v>
      </c>
    </row>
    <row r="1840" spans="1:16">
      <c r="A1840" s="6" t="s">
        <v>31</v>
      </c>
      <c r="B1840" s="7">
        <v>1642123</v>
      </c>
      <c r="C1840" s="7">
        <v>1642452</v>
      </c>
      <c r="D1840" s="8"/>
      <c r="E1840" s="7" t="s">
        <v>75</v>
      </c>
      <c r="F1840" s="7" t="s">
        <v>2212</v>
      </c>
      <c r="G1840" s="8"/>
      <c r="H1840" s="8"/>
      <c r="I1840" s="7" t="s">
        <v>55</v>
      </c>
      <c r="J1840" s="8"/>
      <c r="K1840" s="8"/>
      <c r="L1840" s="7" t="s">
        <v>7160</v>
      </c>
      <c r="M1840" s="7" t="s">
        <v>2212</v>
      </c>
      <c r="N1840" s="7">
        <v>109</v>
      </c>
      <c r="O1840" s="7" t="s">
        <v>7161</v>
      </c>
    </row>
    <row r="1841" spans="1:17">
      <c r="A1841" s="6" t="s">
        <v>31</v>
      </c>
      <c r="B1841" s="7">
        <v>1642526</v>
      </c>
      <c r="C1841" s="7">
        <v>1642951</v>
      </c>
      <c r="D1841" s="8"/>
      <c r="E1841" s="7" t="s">
        <v>75</v>
      </c>
      <c r="F1841" s="7" t="s">
        <v>7155</v>
      </c>
      <c r="G1841" s="8"/>
      <c r="H1841" s="8"/>
      <c r="I1841" s="7" t="s">
        <v>55</v>
      </c>
      <c r="J1841" s="8"/>
      <c r="K1841" s="8"/>
      <c r="L1841" s="7" t="s">
        <v>7162</v>
      </c>
      <c r="M1841" s="7" t="s">
        <v>7155</v>
      </c>
      <c r="N1841" s="7">
        <v>141</v>
      </c>
      <c r="O1841" s="7" t="s">
        <v>7163</v>
      </c>
    </row>
    <row r="1842" spans="1:17">
      <c r="A1842" s="6" t="s">
        <v>31</v>
      </c>
      <c r="B1842" s="7">
        <v>1642908</v>
      </c>
      <c r="C1842" s="7">
        <v>1643063</v>
      </c>
      <c r="D1842" s="8"/>
      <c r="E1842" s="7" t="s">
        <v>75</v>
      </c>
      <c r="F1842" s="7" t="s">
        <v>2095</v>
      </c>
      <c r="G1842" s="8"/>
      <c r="H1842" s="8"/>
      <c r="I1842" s="7" t="s">
        <v>55</v>
      </c>
      <c r="J1842" s="8"/>
      <c r="K1842" s="8"/>
      <c r="L1842" s="7" t="s">
        <v>7164</v>
      </c>
      <c r="M1842" s="7" t="s">
        <v>2095</v>
      </c>
      <c r="N1842" s="7">
        <v>51</v>
      </c>
      <c r="O1842" s="7" t="s">
        <v>7165</v>
      </c>
    </row>
    <row r="1843" spans="1:17">
      <c r="A1843" s="6" t="s">
        <v>31</v>
      </c>
      <c r="B1843" s="7">
        <v>1643194</v>
      </c>
      <c r="C1843" s="7">
        <v>1643391</v>
      </c>
      <c r="D1843" s="8"/>
      <c r="E1843" s="7" t="s">
        <v>75</v>
      </c>
      <c r="F1843" s="7" t="s">
        <v>7166</v>
      </c>
      <c r="G1843" s="8"/>
      <c r="H1843" s="8"/>
      <c r="I1843" s="7" t="s">
        <v>55</v>
      </c>
      <c r="J1843" s="8"/>
      <c r="K1843" s="8"/>
      <c r="L1843" s="7" t="s">
        <v>7167</v>
      </c>
      <c r="M1843" s="7" t="s">
        <v>7166</v>
      </c>
      <c r="N1843" s="7">
        <v>65</v>
      </c>
      <c r="O1843" s="7" t="s">
        <v>7168</v>
      </c>
    </row>
    <row r="1844" spans="1:17">
      <c r="A1844" s="6" t="s">
        <v>31</v>
      </c>
      <c r="B1844" s="7">
        <v>1643640</v>
      </c>
      <c r="C1844" s="7">
        <v>1644833</v>
      </c>
      <c r="D1844" s="8"/>
      <c r="E1844" s="7" t="s">
        <v>75</v>
      </c>
      <c r="F1844" s="7" t="s">
        <v>1867</v>
      </c>
      <c r="G1844" s="7" t="s">
        <v>7169</v>
      </c>
      <c r="H1844" s="8"/>
      <c r="I1844" s="7" t="s">
        <v>55</v>
      </c>
      <c r="J1844" s="8"/>
      <c r="K1844" s="8"/>
      <c r="L1844" s="7" t="s">
        <v>7170</v>
      </c>
      <c r="M1844" s="7" t="s">
        <v>1867</v>
      </c>
      <c r="N1844" s="7">
        <v>397</v>
      </c>
      <c r="O1844" s="7" t="s">
        <v>7171</v>
      </c>
      <c r="P1844" s="7"/>
    </row>
    <row r="1845" spans="1:17">
      <c r="A1845" s="6" t="s">
        <v>31</v>
      </c>
      <c r="B1845" s="7">
        <v>1644889</v>
      </c>
      <c r="C1845" s="7">
        <v>1645845</v>
      </c>
      <c r="D1845" s="8"/>
      <c r="E1845" s="7" t="s">
        <v>75</v>
      </c>
      <c r="F1845" s="7" t="s">
        <v>7172</v>
      </c>
      <c r="G1845" s="8"/>
      <c r="H1845" s="8"/>
      <c r="I1845" s="7" t="s">
        <v>55</v>
      </c>
      <c r="J1845" s="8"/>
      <c r="K1845" s="8"/>
      <c r="L1845" s="7" t="s">
        <v>7173</v>
      </c>
      <c r="M1845" s="7" t="s">
        <v>7172</v>
      </c>
      <c r="N1845" s="7">
        <v>318</v>
      </c>
      <c r="O1845" s="7" t="s">
        <v>7174</v>
      </c>
      <c r="P1845" s="7"/>
    </row>
    <row r="1846" spans="1:17">
      <c r="A1846" s="6" t="s">
        <v>31</v>
      </c>
      <c r="B1846" s="7">
        <v>1645890</v>
      </c>
      <c r="C1846" s="7">
        <v>1646207</v>
      </c>
      <c r="D1846" s="8"/>
      <c r="E1846" s="7" t="s">
        <v>75</v>
      </c>
      <c r="F1846" s="7" t="s">
        <v>2130</v>
      </c>
      <c r="G1846" s="8"/>
      <c r="H1846" s="8"/>
      <c r="I1846" s="7" t="s">
        <v>55</v>
      </c>
      <c r="J1846" s="8"/>
      <c r="K1846" s="8"/>
      <c r="L1846" s="7" t="s">
        <v>7175</v>
      </c>
      <c r="M1846" s="7" t="s">
        <v>2130</v>
      </c>
      <c r="N1846" s="7">
        <v>105</v>
      </c>
      <c r="O1846" s="7" t="s">
        <v>7176</v>
      </c>
    </row>
    <row r="1847" spans="1:17">
      <c r="A1847" s="6" t="s">
        <v>31</v>
      </c>
      <c r="B1847" s="7">
        <v>1646185</v>
      </c>
      <c r="C1847" s="7">
        <v>1646622</v>
      </c>
      <c r="D1847" s="8"/>
      <c r="E1847" s="7" t="s">
        <v>75</v>
      </c>
      <c r="F1847" s="7" t="s">
        <v>7177</v>
      </c>
      <c r="G1847" s="8"/>
      <c r="H1847" s="8"/>
      <c r="I1847" s="7" t="s">
        <v>55</v>
      </c>
      <c r="J1847" s="8"/>
      <c r="K1847" s="8"/>
      <c r="L1847" s="7" t="s">
        <v>7178</v>
      </c>
      <c r="M1847" s="7" t="s">
        <v>7177</v>
      </c>
      <c r="N1847" s="7">
        <v>145</v>
      </c>
      <c r="O1847" s="7" t="s">
        <v>7179</v>
      </c>
    </row>
    <row r="1848" spans="1:17">
      <c r="A1848" s="6" t="s">
        <v>31</v>
      </c>
      <c r="B1848" s="7">
        <v>1646606</v>
      </c>
      <c r="C1848" s="7">
        <v>1646839</v>
      </c>
      <c r="D1848" s="8"/>
      <c r="E1848" s="7" t="s">
        <v>75</v>
      </c>
      <c r="F1848" s="7" t="s">
        <v>7180</v>
      </c>
      <c r="G1848" s="8"/>
      <c r="H1848" s="8"/>
      <c r="I1848" s="7" t="s">
        <v>55</v>
      </c>
      <c r="J1848" s="8"/>
      <c r="K1848" s="8"/>
      <c r="L1848" s="7" t="s">
        <v>7181</v>
      </c>
      <c r="M1848" s="7" t="s">
        <v>7180</v>
      </c>
      <c r="N1848" s="7">
        <v>77</v>
      </c>
      <c r="O1848" s="7" t="s">
        <v>7182</v>
      </c>
    </row>
    <row r="1849" spans="1:17">
      <c r="A1849" s="6" t="s">
        <v>31</v>
      </c>
      <c r="B1849" s="7">
        <v>1646871</v>
      </c>
      <c r="C1849" s="7">
        <v>1647233</v>
      </c>
      <c r="D1849" s="8"/>
      <c r="E1849" s="7" t="s">
        <v>75</v>
      </c>
      <c r="F1849" s="7" t="s">
        <v>7183</v>
      </c>
      <c r="G1849" s="8"/>
      <c r="H1849" s="8"/>
      <c r="I1849" s="7" t="s">
        <v>55</v>
      </c>
      <c r="J1849" s="8"/>
      <c r="K1849" s="8"/>
      <c r="L1849" s="7" t="s">
        <v>7184</v>
      </c>
      <c r="M1849" s="7" t="s">
        <v>7183</v>
      </c>
      <c r="N1849" s="7">
        <v>120</v>
      </c>
      <c r="O1849" s="7" t="s">
        <v>7185</v>
      </c>
    </row>
    <row r="1850" spans="1:17">
      <c r="A1850" s="6" t="s">
        <v>31</v>
      </c>
      <c r="B1850" s="7">
        <v>1647259</v>
      </c>
      <c r="C1850" s="7">
        <v>1647585</v>
      </c>
      <c r="D1850" s="8"/>
      <c r="E1850" s="7" t="s">
        <v>75</v>
      </c>
      <c r="F1850" s="7" t="s">
        <v>7186</v>
      </c>
      <c r="G1850" s="8"/>
      <c r="H1850" s="8"/>
      <c r="I1850" s="7" t="s">
        <v>55</v>
      </c>
      <c r="J1850" s="8"/>
      <c r="K1850" s="8"/>
      <c r="L1850" s="7" t="s">
        <v>7187</v>
      </c>
      <c r="M1850" s="7" t="s">
        <v>7186</v>
      </c>
      <c r="N1850" s="7">
        <v>108</v>
      </c>
      <c r="O1850" s="7" t="s">
        <v>7188</v>
      </c>
    </row>
    <row r="1851" spans="1:17">
      <c r="A1851" s="6" t="s">
        <v>31</v>
      </c>
      <c r="B1851" s="7">
        <v>1647582</v>
      </c>
      <c r="C1851" s="7">
        <v>1648445</v>
      </c>
      <c r="D1851" s="8"/>
      <c r="E1851" s="7" t="s">
        <v>75</v>
      </c>
      <c r="F1851" s="7" t="s">
        <v>7189</v>
      </c>
      <c r="G1851" s="8"/>
      <c r="H1851" s="8"/>
      <c r="I1851" s="7" t="s">
        <v>55</v>
      </c>
      <c r="J1851" s="8"/>
      <c r="K1851" s="8"/>
      <c r="L1851" s="7" t="s">
        <v>7190</v>
      </c>
      <c r="M1851" s="7" t="s">
        <v>7189</v>
      </c>
      <c r="N1851" s="7">
        <v>287</v>
      </c>
      <c r="O1851" s="7" t="s">
        <v>7191</v>
      </c>
    </row>
    <row r="1852" spans="1:17">
      <c r="A1852" s="6" t="s">
        <v>31</v>
      </c>
      <c r="B1852" s="7">
        <v>1648564</v>
      </c>
      <c r="C1852" s="7">
        <v>1649505</v>
      </c>
      <c r="D1852" s="8"/>
      <c r="E1852" s="7" t="s">
        <v>75</v>
      </c>
      <c r="F1852" s="7" t="s">
        <v>7192</v>
      </c>
      <c r="G1852" s="8"/>
      <c r="H1852" s="8"/>
      <c r="I1852" s="7" t="s">
        <v>55</v>
      </c>
      <c r="J1852" s="8"/>
      <c r="K1852" s="8"/>
      <c r="L1852" s="7" t="s">
        <v>7193</v>
      </c>
      <c r="M1852" s="7" t="s">
        <v>7192</v>
      </c>
      <c r="N1852" s="7">
        <v>313</v>
      </c>
      <c r="O1852" s="7" t="s">
        <v>7194</v>
      </c>
    </row>
    <row r="1853" spans="1:17">
      <c r="A1853" s="6" t="s">
        <v>31</v>
      </c>
      <c r="B1853" s="7">
        <v>1649586</v>
      </c>
      <c r="C1853" s="7">
        <v>1649948</v>
      </c>
      <c r="D1853" s="8"/>
      <c r="E1853" s="7" t="s">
        <v>75</v>
      </c>
      <c r="F1853" s="7" t="s">
        <v>2130</v>
      </c>
      <c r="G1853" s="8"/>
      <c r="H1853" s="8"/>
      <c r="I1853" s="7" t="s">
        <v>55</v>
      </c>
      <c r="J1853" s="8"/>
      <c r="K1853" s="8"/>
      <c r="L1853" s="7" t="s">
        <v>7195</v>
      </c>
      <c r="M1853" s="7" t="s">
        <v>2130</v>
      </c>
      <c r="N1853" s="7">
        <v>120</v>
      </c>
      <c r="O1853" s="7" t="s">
        <v>7196</v>
      </c>
    </row>
    <row r="1854" spans="1:17">
      <c r="A1854" s="6" t="s">
        <v>31</v>
      </c>
      <c r="B1854" s="7">
        <v>1650107</v>
      </c>
      <c r="C1854" s="7">
        <v>1653745</v>
      </c>
      <c r="D1854" s="8"/>
      <c r="E1854" s="7" t="s">
        <v>75</v>
      </c>
      <c r="F1854" s="7" t="s">
        <v>7197</v>
      </c>
      <c r="G1854" s="7" t="s">
        <v>1878</v>
      </c>
      <c r="H1854" s="8"/>
      <c r="I1854" s="7" t="s">
        <v>55</v>
      </c>
      <c r="J1854" s="8"/>
      <c r="K1854" s="8"/>
      <c r="L1854" s="7" t="s">
        <v>7198</v>
      </c>
      <c r="M1854" s="7" t="s">
        <v>7197</v>
      </c>
      <c r="N1854" s="7">
        <v>1212</v>
      </c>
      <c r="O1854" s="7" t="s">
        <v>7199</v>
      </c>
      <c r="P1854" s="7"/>
    </row>
    <row r="1855" spans="1:17">
      <c r="A1855" s="6" t="s">
        <v>31</v>
      </c>
      <c r="B1855" s="7">
        <v>1653846</v>
      </c>
      <c r="C1855" s="7">
        <v>1657427</v>
      </c>
      <c r="D1855" s="8"/>
      <c r="E1855" s="7" t="s">
        <v>75</v>
      </c>
      <c r="F1855" s="7" t="s">
        <v>7200</v>
      </c>
      <c r="G1855" s="7" t="s">
        <v>1880</v>
      </c>
      <c r="H1855" s="8"/>
      <c r="I1855" s="7" t="s">
        <v>55</v>
      </c>
      <c r="J1855" s="8"/>
      <c r="K1855" s="8"/>
      <c r="L1855" s="7" t="s">
        <v>7201</v>
      </c>
      <c r="M1855" s="7" t="s">
        <v>7200</v>
      </c>
      <c r="N1855" s="7">
        <v>1193</v>
      </c>
      <c r="O1855" s="7" t="s">
        <v>7202</v>
      </c>
      <c r="P1855" s="7"/>
    </row>
    <row r="1856" spans="1:17">
      <c r="A1856" s="6" t="s">
        <v>31</v>
      </c>
      <c r="B1856" s="7">
        <v>1657789</v>
      </c>
      <c r="C1856" s="7">
        <v>1660212</v>
      </c>
      <c r="D1856" s="8"/>
      <c r="E1856" s="7" t="s">
        <v>75</v>
      </c>
      <c r="F1856" s="7" t="s">
        <v>2667</v>
      </c>
      <c r="G1856" s="8"/>
      <c r="H1856" s="8"/>
      <c r="I1856" s="7" t="s">
        <v>55</v>
      </c>
      <c r="J1856" s="8"/>
      <c r="K1856" s="8"/>
      <c r="L1856" s="7" t="s">
        <v>7203</v>
      </c>
      <c r="M1856" s="7" t="s">
        <v>2667</v>
      </c>
      <c r="N1856" s="7">
        <v>807</v>
      </c>
      <c r="O1856" s="7" t="s">
        <v>7204</v>
      </c>
      <c r="P1856" s="7"/>
      <c r="Q1856" s="7"/>
    </row>
    <row r="1857" spans="1:17">
      <c r="A1857" s="6" t="s">
        <v>31</v>
      </c>
      <c r="B1857" s="7">
        <v>1660314</v>
      </c>
      <c r="C1857" s="7">
        <v>1661570</v>
      </c>
      <c r="D1857" s="8"/>
      <c r="E1857" s="7" t="s">
        <v>53</v>
      </c>
      <c r="F1857" s="7" t="s">
        <v>7205</v>
      </c>
      <c r="G1857" s="7" t="s">
        <v>1059</v>
      </c>
      <c r="H1857" s="8"/>
      <c r="I1857" s="7" t="s">
        <v>55</v>
      </c>
      <c r="J1857" s="8"/>
      <c r="K1857" s="8"/>
      <c r="L1857" s="7" t="s">
        <v>7206</v>
      </c>
      <c r="M1857" s="7" t="s">
        <v>7205</v>
      </c>
      <c r="N1857" s="7">
        <v>418</v>
      </c>
      <c r="O1857" s="7" t="s">
        <v>7207</v>
      </c>
      <c r="P1857" s="7"/>
    </row>
    <row r="1858" spans="1:17">
      <c r="A1858" s="6" t="s">
        <v>31</v>
      </c>
      <c r="B1858" s="7">
        <v>1661696</v>
      </c>
      <c r="C1858" s="7">
        <v>1662718</v>
      </c>
      <c r="D1858" s="8"/>
      <c r="E1858" s="7" t="s">
        <v>75</v>
      </c>
      <c r="F1858" s="7" t="s">
        <v>7208</v>
      </c>
      <c r="G1858" s="7" t="s">
        <v>1884</v>
      </c>
      <c r="H1858" s="8"/>
      <c r="I1858" s="7" t="s">
        <v>55</v>
      </c>
      <c r="J1858" s="8"/>
      <c r="K1858" s="8"/>
      <c r="L1858" s="7" t="s">
        <v>7209</v>
      </c>
      <c r="M1858" s="7" t="s">
        <v>7208</v>
      </c>
      <c r="N1858" s="7">
        <v>340</v>
      </c>
      <c r="O1858" s="7" t="s">
        <v>7210</v>
      </c>
      <c r="P1858" s="7"/>
    </row>
    <row r="1859" spans="1:17">
      <c r="A1859" s="6" t="s">
        <v>31</v>
      </c>
      <c r="B1859" s="7">
        <v>1662794</v>
      </c>
      <c r="C1859" s="7">
        <v>1663270</v>
      </c>
      <c r="D1859" s="8"/>
      <c r="E1859" s="7" t="s">
        <v>75</v>
      </c>
      <c r="F1859" s="7" t="s">
        <v>7211</v>
      </c>
      <c r="G1859" s="7" t="s">
        <v>7212</v>
      </c>
      <c r="H1859" s="8"/>
      <c r="I1859" s="7" t="s">
        <v>55</v>
      </c>
      <c r="J1859" s="8"/>
      <c r="K1859" s="8"/>
      <c r="L1859" s="7" t="s">
        <v>7213</v>
      </c>
      <c r="M1859" s="7" t="s">
        <v>7211</v>
      </c>
      <c r="N1859" s="7">
        <v>158</v>
      </c>
      <c r="O1859" s="7" t="s">
        <v>7214</v>
      </c>
      <c r="P1859" s="7"/>
    </row>
    <row r="1860" spans="1:17">
      <c r="A1860" s="6" t="s">
        <v>31</v>
      </c>
      <c r="B1860" s="7">
        <v>1663263</v>
      </c>
      <c r="C1860" s="7">
        <v>1664963</v>
      </c>
      <c r="D1860" s="8"/>
      <c r="E1860" s="7" t="s">
        <v>75</v>
      </c>
      <c r="F1860" s="7" t="s">
        <v>7215</v>
      </c>
      <c r="G1860" s="7" t="s">
        <v>7216</v>
      </c>
      <c r="H1860" s="8"/>
      <c r="I1860" s="7" t="s">
        <v>55</v>
      </c>
      <c r="J1860" s="8"/>
      <c r="K1860" s="8"/>
      <c r="L1860" s="7" t="s">
        <v>7217</v>
      </c>
      <c r="M1860" s="7" t="s">
        <v>7215</v>
      </c>
      <c r="N1860" s="7">
        <v>566</v>
      </c>
      <c r="O1860" s="7" t="s">
        <v>7218</v>
      </c>
      <c r="P1860" s="7"/>
    </row>
    <row r="1861" spans="1:17">
      <c r="A1861" s="6" t="s">
        <v>31</v>
      </c>
      <c r="B1861" s="7">
        <v>1665097</v>
      </c>
      <c r="C1861" s="7">
        <v>1666569</v>
      </c>
      <c r="D1861" s="8"/>
      <c r="E1861" s="7" t="s">
        <v>75</v>
      </c>
      <c r="F1861" s="7" t="s">
        <v>1586</v>
      </c>
      <c r="G1861" s="7" t="s">
        <v>1587</v>
      </c>
      <c r="H1861" s="8"/>
      <c r="I1861" s="7" t="s">
        <v>55</v>
      </c>
      <c r="J1861" s="8"/>
      <c r="K1861" s="8"/>
      <c r="L1861" s="7" t="s">
        <v>7219</v>
      </c>
      <c r="M1861" s="7" t="s">
        <v>1586</v>
      </c>
      <c r="N1861" s="7">
        <v>490</v>
      </c>
      <c r="O1861" s="7" t="s">
        <v>7220</v>
      </c>
      <c r="P1861" s="7"/>
    </row>
    <row r="1862" spans="1:17">
      <c r="A1862" s="6" t="s">
        <v>31</v>
      </c>
      <c r="B1862" s="7">
        <v>1666653</v>
      </c>
      <c r="C1862" s="7">
        <v>1666817</v>
      </c>
      <c r="D1862" s="8"/>
      <c r="E1862" s="7" t="s">
        <v>75</v>
      </c>
      <c r="F1862" s="7" t="s">
        <v>2130</v>
      </c>
      <c r="G1862" s="8"/>
      <c r="H1862" s="8"/>
      <c r="I1862" s="7" t="s">
        <v>55</v>
      </c>
      <c r="J1862" s="8"/>
      <c r="K1862" s="8"/>
      <c r="L1862" s="7" t="s">
        <v>7221</v>
      </c>
      <c r="M1862" s="7" t="s">
        <v>2130</v>
      </c>
      <c r="N1862" s="7">
        <v>54</v>
      </c>
      <c r="O1862" s="7" t="s">
        <v>7222</v>
      </c>
    </row>
    <row r="1863" spans="1:17">
      <c r="A1863" s="6" t="s">
        <v>31</v>
      </c>
      <c r="B1863" s="7">
        <v>1666987</v>
      </c>
      <c r="C1863" s="7">
        <v>1668654</v>
      </c>
      <c r="D1863" s="8"/>
      <c r="E1863" s="7" t="s">
        <v>75</v>
      </c>
      <c r="F1863" s="7" t="s">
        <v>7223</v>
      </c>
      <c r="G1863" s="7" t="s">
        <v>7224</v>
      </c>
      <c r="H1863" s="8"/>
      <c r="I1863" s="7" t="s">
        <v>55</v>
      </c>
      <c r="J1863" s="8"/>
      <c r="K1863" s="8"/>
      <c r="L1863" s="7" t="s">
        <v>7225</v>
      </c>
      <c r="M1863" s="7" t="s">
        <v>7223</v>
      </c>
      <c r="N1863" s="7">
        <v>555</v>
      </c>
      <c r="O1863" s="7" t="s">
        <v>7226</v>
      </c>
      <c r="P1863" s="7"/>
    </row>
    <row r="1864" spans="1:17">
      <c r="A1864" s="6" t="s">
        <v>31</v>
      </c>
      <c r="B1864" s="7">
        <v>1668654</v>
      </c>
      <c r="C1864" s="7">
        <v>1669019</v>
      </c>
      <c r="D1864" s="8"/>
      <c r="E1864" s="7" t="s">
        <v>75</v>
      </c>
      <c r="F1864" s="7" t="s">
        <v>7227</v>
      </c>
      <c r="G1864" s="7" t="s">
        <v>7228</v>
      </c>
      <c r="H1864" s="8"/>
      <c r="I1864" s="7" t="s">
        <v>55</v>
      </c>
      <c r="J1864" s="8"/>
      <c r="K1864" s="8"/>
      <c r="L1864" s="7" t="s">
        <v>7229</v>
      </c>
      <c r="M1864" s="7" t="s">
        <v>7227</v>
      </c>
      <c r="N1864" s="7">
        <v>121</v>
      </c>
      <c r="O1864" s="7" t="s">
        <v>7230</v>
      </c>
    </row>
    <row r="1865" spans="1:17">
      <c r="A1865" s="6" t="s">
        <v>31</v>
      </c>
      <c r="B1865" s="7">
        <v>1669129</v>
      </c>
      <c r="C1865" s="7">
        <v>1670418</v>
      </c>
      <c r="D1865" s="8"/>
      <c r="E1865" s="7" t="s">
        <v>75</v>
      </c>
      <c r="F1865" s="7" t="s">
        <v>7231</v>
      </c>
      <c r="G1865" s="8"/>
      <c r="H1865" s="8"/>
      <c r="I1865" s="7" t="s">
        <v>55</v>
      </c>
      <c r="J1865" s="8"/>
      <c r="K1865" s="8"/>
      <c r="L1865" s="7" t="s">
        <v>7232</v>
      </c>
      <c r="M1865" s="7" t="s">
        <v>7231</v>
      </c>
      <c r="N1865" s="7">
        <v>429</v>
      </c>
      <c r="O1865" s="7" t="s">
        <v>7233</v>
      </c>
    </row>
    <row r="1866" spans="1:17">
      <c r="A1866" s="6" t="s">
        <v>31</v>
      </c>
      <c r="B1866" s="7">
        <v>1670476</v>
      </c>
      <c r="C1866" s="7">
        <v>1671960</v>
      </c>
      <c r="D1866" s="8"/>
      <c r="E1866" s="7" t="s">
        <v>75</v>
      </c>
      <c r="F1866" s="7" t="s">
        <v>7234</v>
      </c>
      <c r="G1866" s="8"/>
      <c r="H1866" s="8"/>
      <c r="I1866" s="7" t="s">
        <v>55</v>
      </c>
      <c r="J1866" s="8"/>
      <c r="K1866" s="8"/>
      <c r="L1866" s="7" t="s">
        <v>7235</v>
      </c>
      <c r="M1866" s="7" t="s">
        <v>7234</v>
      </c>
      <c r="N1866" s="7">
        <v>494</v>
      </c>
      <c r="O1866" s="7" t="s">
        <v>7236</v>
      </c>
      <c r="P1866" s="7"/>
    </row>
    <row r="1867" spans="1:17">
      <c r="A1867" s="6" t="s">
        <v>31</v>
      </c>
      <c r="B1867" s="7">
        <v>1672479</v>
      </c>
      <c r="C1867" s="7">
        <v>1672598</v>
      </c>
      <c r="D1867" s="8"/>
      <c r="E1867" s="7" t="s">
        <v>53</v>
      </c>
      <c r="F1867" s="7" t="s">
        <v>2095</v>
      </c>
      <c r="G1867" s="8"/>
      <c r="H1867" s="8"/>
      <c r="I1867" s="7" t="s">
        <v>55</v>
      </c>
      <c r="J1867" s="8"/>
      <c r="K1867" s="8"/>
      <c r="L1867" s="7" t="s">
        <v>7237</v>
      </c>
      <c r="M1867" s="7" t="s">
        <v>2095</v>
      </c>
      <c r="N1867" s="7">
        <v>39</v>
      </c>
      <c r="O1867" s="7" t="s">
        <v>7238</v>
      </c>
    </row>
    <row r="1868" spans="1:17">
      <c r="A1868" s="6" t="s">
        <v>31</v>
      </c>
      <c r="B1868" s="7">
        <v>1674170</v>
      </c>
      <c r="C1868" s="7">
        <v>1674406</v>
      </c>
      <c r="D1868" s="8"/>
      <c r="E1868" s="7" t="s">
        <v>75</v>
      </c>
      <c r="F1868" s="7" t="s">
        <v>2095</v>
      </c>
      <c r="G1868" s="8"/>
      <c r="H1868" s="8"/>
      <c r="I1868" s="7" t="s">
        <v>55</v>
      </c>
      <c r="J1868" s="8"/>
      <c r="K1868" s="8"/>
      <c r="L1868" s="7" t="s">
        <v>7239</v>
      </c>
      <c r="M1868" s="7" t="s">
        <v>2095</v>
      </c>
      <c r="N1868" s="7">
        <v>78</v>
      </c>
      <c r="O1868" s="7" t="s">
        <v>7240</v>
      </c>
    </row>
    <row r="1869" spans="1:17">
      <c r="A1869" s="6" t="s">
        <v>31</v>
      </c>
      <c r="B1869" s="7">
        <v>1674414</v>
      </c>
      <c r="C1869" s="7">
        <v>1674557</v>
      </c>
      <c r="D1869" s="8"/>
      <c r="E1869" s="7" t="s">
        <v>75</v>
      </c>
      <c r="F1869" s="7" t="s">
        <v>7241</v>
      </c>
      <c r="G1869" s="8"/>
      <c r="H1869" s="8"/>
      <c r="I1869" s="7" t="s">
        <v>55</v>
      </c>
      <c r="J1869" s="8"/>
      <c r="K1869" s="8"/>
      <c r="L1869" s="7" t="s">
        <v>7242</v>
      </c>
      <c r="M1869" s="7" t="s">
        <v>7241</v>
      </c>
      <c r="N1869" s="7">
        <v>47</v>
      </c>
      <c r="O1869" s="7" t="s">
        <v>7243</v>
      </c>
      <c r="P1869" s="7"/>
      <c r="Q1869" s="7"/>
    </row>
    <row r="1870" spans="1:17">
      <c r="A1870" s="6" t="s">
        <v>31</v>
      </c>
      <c r="B1870" s="7">
        <v>1675284</v>
      </c>
      <c r="C1870" s="7">
        <v>1677179</v>
      </c>
      <c r="D1870" s="8"/>
      <c r="E1870" s="7" t="s">
        <v>75</v>
      </c>
      <c r="F1870" s="7" t="s">
        <v>7244</v>
      </c>
      <c r="G1870" s="8"/>
      <c r="H1870" s="8"/>
      <c r="I1870" s="7" t="s">
        <v>55</v>
      </c>
      <c r="J1870" s="8"/>
      <c r="K1870" s="8"/>
      <c r="L1870" s="7" t="s">
        <v>7245</v>
      </c>
      <c r="M1870" s="7" t="s">
        <v>7244</v>
      </c>
      <c r="N1870" s="7">
        <v>631</v>
      </c>
      <c r="O1870" s="7" t="s">
        <v>7246</v>
      </c>
      <c r="P1870" s="7"/>
    </row>
    <row r="1871" spans="1:17">
      <c r="A1871" s="6" t="s">
        <v>31</v>
      </c>
      <c r="B1871" s="7">
        <v>1678454</v>
      </c>
      <c r="C1871" s="7">
        <v>1678600</v>
      </c>
      <c r="D1871" s="8"/>
      <c r="E1871" s="7" t="s">
        <v>75</v>
      </c>
      <c r="F1871" s="7" t="s">
        <v>7247</v>
      </c>
      <c r="G1871" s="8"/>
      <c r="H1871" s="8"/>
      <c r="I1871" s="7" t="s">
        <v>55</v>
      </c>
      <c r="J1871" s="8"/>
      <c r="K1871" s="8"/>
      <c r="L1871" s="7" t="s">
        <v>7248</v>
      </c>
      <c r="M1871" s="7" t="s">
        <v>7247</v>
      </c>
      <c r="N1871" s="7">
        <v>48</v>
      </c>
      <c r="O1871" s="7" t="s">
        <v>7249</v>
      </c>
    </row>
    <row r="1872" spans="1:17">
      <c r="A1872" s="6" t="s">
        <v>31</v>
      </c>
      <c r="B1872" s="7">
        <v>1678474</v>
      </c>
      <c r="C1872" s="7">
        <v>1678794</v>
      </c>
      <c r="D1872" s="8"/>
      <c r="E1872" s="7" t="s">
        <v>75</v>
      </c>
      <c r="F1872" s="7" t="s">
        <v>7250</v>
      </c>
      <c r="G1872" s="8"/>
      <c r="H1872" s="8"/>
      <c r="I1872" s="7" t="s">
        <v>55</v>
      </c>
      <c r="J1872" s="8"/>
      <c r="K1872" s="8"/>
      <c r="L1872" s="7" t="s">
        <v>7251</v>
      </c>
      <c r="M1872" s="7" t="s">
        <v>7250</v>
      </c>
      <c r="N1872" s="7">
        <v>106</v>
      </c>
      <c r="O1872" s="7" t="s">
        <v>7252</v>
      </c>
      <c r="P1872" s="7"/>
    </row>
    <row r="1873" spans="1:16">
      <c r="A1873" s="6" t="s">
        <v>31</v>
      </c>
      <c r="B1873" s="7">
        <v>1678825</v>
      </c>
      <c r="C1873" s="7">
        <v>1679190</v>
      </c>
      <c r="D1873" s="8"/>
      <c r="E1873" s="7" t="s">
        <v>75</v>
      </c>
      <c r="F1873" s="7" t="s">
        <v>7253</v>
      </c>
      <c r="G1873" s="8"/>
      <c r="H1873" s="8"/>
      <c r="I1873" s="7" t="s">
        <v>55</v>
      </c>
      <c r="J1873" s="8"/>
      <c r="K1873" s="8"/>
      <c r="L1873" s="7" t="s">
        <v>7254</v>
      </c>
      <c r="M1873" s="7" t="s">
        <v>7253</v>
      </c>
      <c r="N1873" s="7">
        <v>121</v>
      </c>
      <c r="O1873" s="7" t="s">
        <v>7255</v>
      </c>
      <c r="P1873" s="7"/>
    </row>
    <row r="1874" spans="1:16">
      <c r="A1874" s="6" t="s">
        <v>31</v>
      </c>
      <c r="B1874" s="7">
        <v>1679536</v>
      </c>
      <c r="C1874" s="7">
        <v>1679694</v>
      </c>
      <c r="D1874" s="8"/>
      <c r="E1874" s="7" t="s">
        <v>53</v>
      </c>
      <c r="F1874" s="7" t="s">
        <v>7256</v>
      </c>
      <c r="G1874" s="8"/>
      <c r="H1874" s="8"/>
      <c r="I1874" s="7" t="s">
        <v>55</v>
      </c>
      <c r="J1874" s="8"/>
      <c r="K1874" s="8"/>
      <c r="L1874" s="7" t="s">
        <v>7257</v>
      </c>
      <c r="M1874" s="7" t="s">
        <v>7256</v>
      </c>
      <c r="N1874" s="7">
        <v>52</v>
      </c>
      <c r="O1874" s="7" t="s">
        <v>7258</v>
      </c>
    </row>
    <row r="1875" spans="1:16">
      <c r="A1875" s="6" t="s">
        <v>31</v>
      </c>
      <c r="B1875" s="7">
        <v>1679749</v>
      </c>
      <c r="C1875" s="7">
        <v>1680246</v>
      </c>
      <c r="D1875" s="8"/>
      <c r="E1875" s="7" t="s">
        <v>53</v>
      </c>
      <c r="F1875" s="7" t="s">
        <v>7256</v>
      </c>
      <c r="G1875" s="8"/>
      <c r="H1875" s="8"/>
      <c r="I1875" s="7" t="s">
        <v>55</v>
      </c>
      <c r="J1875" s="8"/>
      <c r="K1875" s="8"/>
      <c r="L1875" s="7" t="s">
        <v>7259</v>
      </c>
      <c r="M1875" s="7" t="s">
        <v>7256</v>
      </c>
      <c r="N1875" s="7">
        <v>165</v>
      </c>
      <c r="O1875" s="7" t="s">
        <v>7260</v>
      </c>
    </row>
    <row r="1876" spans="1:16">
      <c r="A1876" s="6" t="s">
        <v>31</v>
      </c>
      <c r="B1876" s="7">
        <v>1680302</v>
      </c>
      <c r="C1876" s="7">
        <v>1680862</v>
      </c>
      <c r="D1876" s="8"/>
      <c r="E1876" s="7" t="s">
        <v>75</v>
      </c>
      <c r="F1876" s="7" t="s">
        <v>7261</v>
      </c>
      <c r="G1876" s="8"/>
      <c r="H1876" s="8"/>
      <c r="I1876" s="7" t="s">
        <v>55</v>
      </c>
      <c r="J1876" s="8"/>
      <c r="K1876" s="8"/>
      <c r="L1876" s="7" t="s">
        <v>7262</v>
      </c>
      <c r="M1876" s="7" t="s">
        <v>7261</v>
      </c>
      <c r="N1876" s="7">
        <v>186</v>
      </c>
      <c r="O1876" s="7" t="s">
        <v>7263</v>
      </c>
    </row>
    <row r="1877" spans="1:16">
      <c r="A1877" s="6" t="s">
        <v>31</v>
      </c>
      <c r="B1877" s="7">
        <v>1680875</v>
      </c>
      <c r="C1877" s="7">
        <v>1681201</v>
      </c>
      <c r="D1877" s="8"/>
      <c r="E1877" s="7" t="s">
        <v>75</v>
      </c>
      <c r="F1877" s="7" t="s">
        <v>2212</v>
      </c>
      <c r="G1877" s="8"/>
      <c r="H1877" s="8"/>
      <c r="I1877" s="7" t="s">
        <v>55</v>
      </c>
      <c r="J1877" s="8"/>
      <c r="K1877" s="8"/>
      <c r="L1877" s="7" t="s">
        <v>7264</v>
      </c>
      <c r="M1877" s="7" t="s">
        <v>2212</v>
      </c>
      <c r="N1877" s="7">
        <v>108</v>
      </c>
      <c r="O1877" s="7" t="s">
        <v>7265</v>
      </c>
    </row>
    <row r="1878" spans="1:16">
      <c r="A1878" s="6" t="s">
        <v>31</v>
      </c>
      <c r="B1878" s="7">
        <v>1681246</v>
      </c>
      <c r="C1878" s="7">
        <v>1681602</v>
      </c>
      <c r="D1878" s="8"/>
      <c r="E1878" s="7" t="s">
        <v>75</v>
      </c>
      <c r="F1878" s="7" t="s">
        <v>2212</v>
      </c>
      <c r="G1878" s="8"/>
      <c r="H1878" s="8"/>
      <c r="I1878" s="7" t="s">
        <v>55</v>
      </c>
      <c r="J1878" s="8"/>
      <c r="K1878" s="8"/>
      <c r="L1878" s="7" t="s">
        <v>7266</v>
      </c>
      <c r="M1878" s="7" t="s">
        <v>2212</v>
      </c>
      <c r="N1878" s="7">
        <v>118</v>
      </c>
      <c r="O1878" s="7" t="s">
        <v>7267</v>
      </c>
    </row>
    <row r="1879" spans="1:16">
      <c r="A1879" s="6" t="s">
        <v>31</v>
      </c>
      <c r="B1879" s="7">
        <v>1682170</v>
      </c>
      <c r="C1879" s="7">
        <v>1682337</v>
      </c>
      <c r="D1879" s="8"/>
      <c r="E1879" s="7" t="s">
        <v>53</v>
      </c>
      <c r="F1879" s="7" t="s">
        <v>2095</v>
      </c>
      <c r="G1879" s="8"/>
      <c r="H1879" s="8"/>
      <c r="I1879" s="7" t="s">
        <v>55</v>
      </c>
      <c r="J1879" s="8"/>
      <c r="K1879" s="8"/>
      <c r="L1879" s="7" t="s">
        <v>7268</v>
      </c>
      <c r="M1879" s="7" t="s">
        <v>2095</v>
      </c>
      <c r="N1879" s="7">
        <v>55</v>
      </c>
      <c r="O1879" s="7" t="s">
        <v>7269</v>
      </c>
    </row>
    <row r="1880" spans="1:16">
      <c r="A1880" s="6" t="s">
        <v>31</v>
      </c>
      <c r="B1880" s="7">
        <v>1682183</v>
      </c>
      <c r="C1880" s="7">
        <v>1682638</v>
      </c>
      <c r="D1880" s="8"/>
      <c r="E1880" s="7" t="s">
        <v>53</v>
      </c>
      <c r="F1880" s="7" t="s">
        <v>2095</v>
      </c>
      <c r="G1880" s="8"/>
      <c r="H1880" s="8"/>
      <c r="I1880" s="7" t="s">
        <v>55</v>
      </c>
      <c r="J1880" s="8"/>
      <c r="K1880" s="8"/>
      <c r="L1880" s="7" t="s">
        <v>7270</v>
      </c>
      <c r="M1880" s="7" t="s">
        <v>2095</v>
      </c>
      <c r="N1880" s="7">
        <v>151</v>
      </c>
      <c r="O1880" s="7" t="s">
        <v>7271</v>
      </c>
    </row>
    <row r="1881" spans="1:16">
      <c r="A1881" s="6" t="s">
        <v>31</v>
      </c>
      <c r="B1881" s="7">
        <v>1682913</v>
      </c>
      <c r="C1881" s="7">
        <v>1683794</v>
      </c>
      <c r="D1881" s="8"/>
      <c r="E1881" s="7" t="s">
        <v>75</v>
      </c>
      <c r="F1881" s="7" t="s">
        <v>7272</v>
      </c>
      <c r="G1881" s="7" t="s">
        <v>7273</v>
      </c>
      <c r="H1881" s="8"/>
      <c r="I1881" s="7" t="s">
        <v>55</v>
      </c>
      <c r="J1881" s="8"/>
      <c r="K1881" s="8"/>
      <c r="L1881" s="7" t="s">
        <v>7274</v>
      </c>
      <c r="M1881" s="7" t="s">
        <v>7272</v>
      </c>
      <c r="N1881" s="7">
        <v>293</v>
      </c>
      <c r="O1881" s="7" t="s">
        <v>7275</v>
      </c>
      <c r="P1881" s="7"/>
    </row>
    <row r="1882" spans="1:16">
      <c r="A1882" s="6" t="s">
        <v>31</v>
      </c>
      <c r="B1882" s="7">
        <v>1685456</v>
      </c>
      <c r="C1882" s="7">
        <v>1686061</v>
      </c>
      <c r="D1882" s="8"/>
      <c r="E1882" s="7" t="s">
        <v>75</v>
      </c>
      <c r="F1882" s="7" t="s">
        <v>7276</v>
      </c>
      <c r="G1882" s="8"/>
      <c r="H1882" s="8"/>
      <c r="I1882" s="7" t="s">
        <v>55</v>
      </c>
      <c r="J1882" s="8"/>
      <c r="K1882" s="8"/>
      <c r="L1882" s="7" t="s">
        <v>7277</v>
      </c>
      <c r="M1882" s="7" t="s">
        <v>7276</v>
      </c>
      <c r="N1882" s="7">
        <v>201</v>
      </c>
      <c r="O1882" s="7" t="s">
        <v>7278</v>
      </c>
    </row>
    <row r="1883" spans="1:16">
      <c r="A1883" s="6" t="s">
        <v>31</v>
      </c>
      <c r="B1883" s="7">
        <v>1686119</v>
      </c>
      <c r="C1883" s="7">
        <v>1686307</v>
      </c>
      <c r="D1883" s="8"/>
      <c r="E1883" s="7" t="s">
        <v>75</v>
      </c>
      <c r="F1883" s="7" t="s">
        <v>2130</v>
      </c>
      <c r="G1883" s="8"/>
      <c r="H1883" s="8"/>
      <c r="I1883" s="7" t="s">
        <v>55</v>
      </c>
      <c r="J1883" s="8"/>
      <c r="K1883" s="8"/>
      <c r="L1883" s="7" t="s">
        <v>7279</v>
      </c>
      <c r="M1883" s="7" t="s">
        <v>2130</v>
      </c>
      <c r="N1883" s="7">
        <v>62</v>
      </c>
      <c r="O1883" s="7" t="s">
        <v>7280</v>
      </c>
    </row>
    <row r="1884" spans="1:16">
      <c r="A1884" s="6" t="s">
        <v>31</v>
      </c>
      <c r="B1884" s="7">
        <v>1686368</v>
      </c>
      <c r="C1884" s="7">
        <v>1686514</v>
      </c>
      <c r="D1884" s="8"/>
      <c r="E1884" s="7" t="s">
        <v>75</v>
      </c>
      <c r="F1884" s="7" t="s">
        <v>7281</v>
      </c>
      <c r="G1884" s="8"/>
      <c r="H1884" s="8"/>
      <c r="I1884" s="7" t="s">
        <v>55</v>
      </c>
      <c r="J1884" s="8"/>
      <c r="K1884" s="8"/>
      <c r="L1884" s="7" t="s">
        <v>7282</v>
      </c>
      <c r="M1884" s="7" t="s">
        <v>7281</v>
      </c>
      <c r="N1884" s="7">
        <v>48</v>
      </c>
      <c r="O1884" s="7" t="s">
        <v>7283</v>
      </c>
    </row>
    <row r="1885" spans="1:16">
      <c r="A1885" s="6" t="s">
        <v>31</v>
      </c>
      <c r="B1885" s="7">
        <v>1686611</v>
      </c>
      <c r="C1885" s="7">
        <v>1686787</v>
      </c>
      <c r="D1885" s="8"/>
      <c r="E1885" s="7" t="s">
        <v>75</v>
      </c>
      <c r="F1885" s="7" t="s">
        <v>2095</v>
      </c>
      <c r="G1885" s="8"/>
      <c r="H1885" s="8"/>
      <c r="I1885" s="7" t="s">
        <v>55</v>
      </c>
      <c r="J1885" s="8"/>
      <c r="K1885" s="8"/>
      <c r="L1885" s="7" t="s">
        <v>7284</v>
      </c>
      <c r="M1885" s="7" t="s">
        <v>2095</v>
      </c>
      <c r="N1885" s="7">
        <v>58</v>
      </c>
      <c r="O1885" s="7" t="s">
        <v>7285</v>
      </c>
    </row>
    <row r="1886" spans="1:16">
      <c r="A1886" s="6" t="s">
        <v>31</v>
      </c>
      <c r="B1886" s="7">
        <v>1687210</v>
      </c>
      <c r="C1886" s="7">
        <v>1687377</v>
      </c>
      <c r="D1886" s="8"/>
      <c r="E1886" s="7" t="s">
        <v>53</v>
      </c>
      <c r="F1886" s="7" t="s">
        <v>2095</v>
      </c>
      <c r="G1886" s="8"/>
      <c r="H1886" s="8"/>
      <c r="I1886" s="7" t="s">
        <v>55</v>
      </c>
      <c r="J1886" s="8"/>
      <c r="K1886" s="8"/>
      <c r="L1886" s="7" t="s">
        <v>7286</v>
      </c>
      <c r="M1886" s="7" t="s">
        <v>2095</v>
      </c>
      <c r="N1886" s="7">
        <v>55</v>
      </c>
      <c r="O1886" s="7" t="s">
        <v>7287</v>
      </c>
    </row>
    <row r="1887" spans="1:16">
      <c r="A1887" s="6" t="s">
        <v>31</v>
      </c>
      <c r="B1887" s="7">
        <v>1687223</v>
      </c>
      <c r="C1887" s="7">
        <v>1687678</v>
      </c>
      <c r="D1887" s="8"/>
      <c r="E1887" s="7" t="s">
        <v>53</v>
      </c>
      <c r="F1887" s="7" t="s">
        <v>2095</v>
      </c>
      <c r="G1887" s="8"/>
      <c r="H1887" s="8"/>
      <c r="I1887" s="7" t="s">
        <v>55</v>
      </c>
      <c r="J1887" s="8"/>
      <c r="K1887" s="8"/>
      <c r="L1887" s="7" t="s">
        <v>7288</v>
      </c>
      <c r="M1887" s="7" t="s">
        <v>2095</v>
      </c>
      <c r="N1887" s="7">
        <v>151</v>
      </c>
      <c r="O1887" s="7" t="s">
        <v>7289</v>
      </c>
    </row>
    <row r="1888" spans="1:16">
      <c r="A1888" s="6" t="s">
        <v>31</v>
      </c>
      <c r="B1888" s="7">
        <v>1688093</v>
      </c>
      <c r="C1888" s="7">
        <v>1688479</v>
      </c>
      <c r="D1888" s="8"/>
      <c r="E1888" s="7" t="s">
        <v>75</v>
      </c>
      <c r="F1888" s="7" t="s">
        <v>7290</v>
      </c>
      <c r="G1888" s="7" t="s">
        <v>1898</v>
      </c>
      <c r="H1888" s="8"/>
      <c r="I1888" s="7" t="s">
        <v>55</v>
      </c>
      <c r="J1888" s="8"/>
      <c r="K1888" s="8"/>
      <c r="L1888" s="7" t="s">
        <v>7291</v>
      </c>
      <c r="M1888" s="7" t="s">
        <v>7290</v>
      </c>
      <c r="N1888" s="7">
        <v>128</v>
      </c>
      <c r="O1888" s="7" t="s">
        <v>7292</v>
      </c>
    </row>
    <row r="1889" spans="1:16">
      <c r="A1889" s="6" t="s">
        <v>31</v>
      </c>
      <c r="B1889" s="7">
        <v>1688497</v>
      </c>
      <c r="C1889" s="7">
        <v>1689435</v>
      </c>
      <c r="D1889" s="8"/>
      <c r="E1889" s="7" t="s">
        <v>75</v>
      </c>
      <c r="F1889" s="7" t="s">
        <v>7293</v>
      </c>
      <c r="G1889" s="7" t="s">
        <v>7294</v>
      </c>
      <c r="H1889" s="8"/>
      <c r="I1889" s="7" t="s">
        <v>55</v>
      </c>
      <c r="J1889" s="8"/>
      <c r="K1889" s="8"/>
      <c r="L1889" s="7" t="s">
        <v>7295</v>
      </c>
      <c r="M1889" s="7" t="s">
        <v>7293</v>
      </c>
      <c r="N1889" s="7">
        <v>312</v>
      </c>
      <c r="O1889" s="7" t="s">
        <v>7296</v>
      </c>
      <c r="P1889" s="7"/>
    </row>
    <row r="1890" spans="1:16">
      <c r="A1890" s="6" t="s">
        <v>31</v>
      </c>
      <c r="B1890" s="7">
        <v>1689484</v>
      </c>
      <c r="C1890" s="7">
        <v>1689867</v>
      </c>
      <c r="D1890" s="8"/>
      <c r="E1890" s="7" t="s">
        <v>75</v>
      </c>
      <c r="F1890" s="7" t="s">
        <v>7297</v>
      </c>
      <c r="G1890" s="7" t="s">
        <v>1901</v>
      </c>
      <c r="H1890" s="8"/>
      <c r="I1890" s="7" t="s">
        <v>55</v>
      </c>
      <c r="J1890" s="8"/>
      <c r="K1890" s="8"/>
      <c r="L1890" s="7" t="s">
        <v>7298</v>
      </c>
      <c r="M1890" s="7" t="s">
        <v>7297</v>
      </c>
      <c r="N1890" s="7">
        <v>127</v>
      </c>
      <c r="O1890" s="7" t="s">
        <v>7299</v>
      </c>
    </row>
    <row r="1891" spans="1:16">
      <c r="A1891" s="6" t="s">
        <v>31</v>
      </c>
      <c r="B1891" s="7">
        <v>1689895</v>
      </c>
      <c r="C1891" s="7">
        <v>1690260</v>
      </c>
      <c r="D1891" s="8"/>
      <c r="E1891" s="7" t="s">
        <v>75</v>
      </c>
      <c r="F1891" s="7" t="s">
        <v>7300</v>
      </c>
      <c r="G1891" s="7" t="s">
        <v>1903</v>
      </c>
      <c r="H1891" s="8"/>
      <c r="I1891" s="7" t="s">
        <v>55</v>
      </c>
      <c r="J1891" s="8"/>
      <c r="K1891" s="8"/>
      <c r="L1891" s="7" t="s">
        <v>7301</v>
      </c>
      <c r="M1891" s="7" t="s">
        <v>7300</v>
      </c>
      <c r="N1891" s="7">
        <v>121</v>
      </c>
      <c r="O1891" s="7" t="s">
        <v>7302</v>
      </c>
    </row>
    <row r="1892" spans="1:16">
      <c r="A1892" s="6" t="s">
        <v>31</v>
      </c>
      <c r="B1892" s="7">
        <v>1690420</v>
      </c>
      <c r="C1892" s="7">
        <v>1690638</v>
      </c>
      <c r="D1892" s="8"/>
      <c r="E1892" s="7" t="s">
        <v>75</v>
      </c>
      <c r="F1892" s="7" t="s">
        <v>7303</v>
      </c>
      <c r="G1892" s="7" t="s">
        <v>1906</v>
      </c>
      <c r="H1892" s="8"/>
      <c r="I1892" s="7" t="s">
        <v>55</v>
      </c>
      <c r="J1892" s="8"/>
      <c r="K1892" s="8"/>
      <c r="L1892" s="7" t="s">
        <v>7304</v>
      </c>
      <c r="M1892" s="7" t="s">
        <v>7303</v>
      </c>
      <c r="N1892" s="7">
        <v>72</v>
      </c>
      <c r="O1892" s="7" t="s">
        <v>7305</v>
      </c>
    </row>
    <row r="1893" spans="1:16">
      <c r="A1893" s="6" t="s">
        <v>31</v>
      </c>
      <c r="B1893" s="7">
        <v>1690756</v>
      </c>
      <c r="C1893" s="7">
        <v>1691412</v>
      </c>
      <c r="D1893" s="8"/>
      <c r="E1893" s="7" t="s">
        <v>75</v>
      </c>
      <c r="F1893" s="7" t="s">
        <v>1908</v>
      </c>
      <c r="G1893" s="7" t="s">
        <v>7306</v>
      </c>
      <c r="H1893" s="8"/>
      <c r="I1893" s="7" t="s">
        <v>55</v>
      </c>
      <c r="J1893" s="8"/>
      <c r="K1893" s="8"/>
      <c r="L1893" s="7" t="s">
        <v>7307</v>
      </c>
      <c r="M1893" s="7" t="s">
        <v>1908</v>
      </c>
      <c r="N1893" s="7">
        <v>218</v>
      </c>
      <c r="O1893" s="7" t="s">
        <v>7308</v>
      </c>
      <c r="P1893" s="7"/>
    </row>
    <row r="1894" spans="1:16">
      <c r="A1894" s="6" t="s">
        <v>31</v>
      </c>
      <c r="B1894" s="7">
        <v>1691544</v>
      </c>
      <c r="C1894" s="7">
        <v>1692839</v>
      </c>
      <c r="D1894" s="8"/>
      <c r="E1894" s="7" t="s">
        <v>75</v>
      </c>
      <c r="F1894" s="7" t="s">
        <v>7309</v>
      </c>
      <c r="G1894" s="7" t="s">
        <v>1910</v>
      </c>
      <c r="H1894" s="8"/>
      <c r="I1894" s="7" t="s">
        <v>55</v>
      </c>
      <c r="J1894" s="8"/>
      <c r="K1894" s="8"/>
      <c r="L1894" s="7" t="s">
        <v>7310</v>
      </c>
      <c r="M1894" s="7" t="s">
        <v>7309</v>
      </c>
      <c r="N1894" s="7">
        <v>431</v>
      </c>
      <c r="O1894" s="7" t="s">
        <v>7311</v>
      </c>
    </row>
    <row r="1895" spans="1:16">
      <c r="A1895" s="6" t="s">
        <v>31</v>
      </c>
      <c r="B1895" s="7">
        <v>1692856</v>
      </c>
      <c r="C1895" s="7">
        <v>1693296</v>
      </c>
      <c r="D1895" s="8"/>
      <c r="E1895" s="7" t="s">
        <v>75</v>
      </c>
      <c r="F1895" s="7" t="s">
        <v>7312</v>
      </c>
      <c r="G1895" s="7" t="s">
        <v>1912</v>
      </c>
      <c r="H1895" s="8"/>
      <c r="I1895" s="7" t="s">
        <v>55</v>
      </c>
      <c r="J1895" s="8"/>
      <c r="K1895" s="8"/>
      <c r="L1895" s="7" t="s">
        <v>7313</v>
      </c>
      <c r="M1895" s="7" t="s">
        <v>7312</v>
      </c>
      <c r="N1895" s="7">
        <v>146</v>
      </c>
      <c r="O1895" s="7" t="s">
        <v>7314</v>
      </c>
    </row>
    <row r="1896" spans="1:16">
      <c r="A1896" s="6" t="s">
        <v>31</v>
      </c>
      <c r="B1896" s="7">
        <v>1693424</v>
      </c>
      <c r="C1896" s="7">
        <v>1693606</v>
      </c>
      <c r="D1896" s="8"/>
      <c r="E1896" s="7" t="s">
        <v>75</v>
      </c>
      <c r="F1896" s="7" t="s">
        <v>7315</v>
      </c>
      <c r="G1896" s="7" t="s">
        <v>1914</v>
      </c>
      <c r="H1896" s="8"/>
      <c r="I1896" s="7" t="s">
        <v>55</v>
      </c>
      <c r="J1896" s="8"/>
      <c r="K1896" s="8"/>
      <c r="L1896" s="7" t="s">
        <v>7316</v>
      </c>
      <c r="M1896" s="7" t="s">
        <v>7315</v>
      </c>
      <c r="N1896" s="7">
        <v>60</v>
      </c>
      <c r="O1896" s="7" t="s">
        <v>7317</v>
      </c>
    </row>
    <row r="1897" spans="1:16">
      <c r="A1897" s="6" t="s">
        <v>31</v>
      </c>
      <c r="B1897" s="7">
        <v>1693621</v>
      </c>
      <c r="C1897" s="7">
        <v>1694115</v>
      </c>
      <c r="D1897" s="8"/>
      <c r="E1897" s="7" t="s">
        <v>75</v>
      </c>
      <c r="F1897" s="7" t="s">
        <v>7318</v>
      </c>
      <c r="G1897" s="7" t="s">
        <v>1916</v>
      </c>
      <c r="H1897" s="8"/>
      <c r="I1897" s="7" t="s">
        <v>55</v>
      </c>
      <c r="J1897" s="8"/>
      <c r="K1897" s="8"/>
      <c r="L1897" s="7" t="s">
        <v>7319</v>
      </c>
      <c r="M1897" s="7" t="s">
        <v>7318</v>
      </c>
      <c r="N1897" s="7">
        <v>164</v>
      </c>
      <c r="O1897" s="7" t="s">
        <v>7320</v>
      </c>
    </row>
    <row r="1898" spans="1:16">
      <c r="A1898" s="6" t="s">
        <v>31</v>
      </c>
      <c r="B1898" s="7">
        <v>1694134</v>
      </c>
      <c r="C1898" s="7">
        <v>1694490</v>
      </c>
      <c r="D1898" s="8"/>
      <c r="E1898" s="7" t="s">
        <v>75</v>
      </c>
      <c r="F1898" s="7" t="s">
        <v>7321</v>
      </c>
      <c r="G1898" s="7" t="s">
        <v>1918</v>
      </c>
      <c r="H1898" s="8"/>
      <c r="I1898" s="7" t="s">
        <v>55</v>
      </c>
      <c r="J1898" s="8"/>
      <c r="K1898" s="8"/>
      <c r="L1898" s="7" t="s">
        <v>7322</v>
      </c>
      <c r="M1898" s="7" t="s">
        <v>7321</v>
      </c>
      <c r="N1898" s="7">
        <v>118</v>
      </c>
      <c r="O1898" s="7" t="s">
        <v>7323</v>
      </c>
    </row>
    <row r="1899" spans="1:16">
      <c r="A1899" s="6" t="s">
        <v>31</v>
      </c>
      <c r="B1899" s="7">
        <v>1694580</v>
      </c>
      <c r="C1899" s="7">
        <v>1695116</v>
      </c>
      <c r="D1899" s="8"/>
      <c r="E1899" s="7" t="s">
        <v>75</v>
      </c>
      <c r="F1899" s="7" t="s">
        <v>7324</v>
      </c>
      <c r="G1899" s="7" t="s">
        <v>1920</v>
      </c>
      <c r="H1899" s="8"/>
      <c r="I1899" s="7" t="s">
        <v>55</v>
      </c>
      <c r="J1899" s="8"/>
      <c r="K1899" s="8"/>
      <c r="L1899" s="7" t="s">
        <v>7325</v>
      </c>
      <c r="M1899" s="7" t="s">
        <v>7324</v>
      </c>
      <c r="N1899" s="7">
        <v>178</v>
      </c>
      <c r="O1899" s="7" t="s">
        <v>7326</v>
      </c>
    </row>
    <row r="1900" spans="1:16">
      <c r="A1900" s="6" t="s">
        <v>31</v>
      </c>
      <c r="B1900" s="7">
        <v>1695243</v>
      </c>
      <c r="C1900" s="7">
        <v>1695641</v>
      </c>
      <c r="D1900" s="8"/>
      <c r="E1900" s="7" t="s">
        <v>75</v>
      </c>
      <c r="F1900" s="7" t="s">
        <v>7327</v>
      </c>
      <c r="G1900" s="7" t="s">
        <v>1922</v>
      </c>
      <c r="H1900" s="8"/>
      <c r="I1900" s="7" t="s">
        <v>55</v>
      </c>
      <c r="J1900" s="8"/>
      <c r="K1900" s="8"/>
      <c r="L1900" s="7" t="s">
        <v>7328</v>
      </c>
      <c r="M1900" s="7" t="s">
        <v>7327</v>
      </c>
      <c r="N1900" s="7">
        <v>132</v>
      </c>
      <c r="O1900" s="7" t="s">
        <v>7329</v>
      </c>
    </row>
    <row r="1901" spans="1:16">
      <c r="A1901" s="6" t="s">
        <v>31</v>
      </c>
      <c r="B1901" s="7">
        <v>1695764</v>
      </c>
      <c r="C1901" s="7">
        <v>1695949</v>
      </c>
      <c r="D1901" s="8"/>
      <c r="E1901" s="7" t="s">
        <v>75</v>
      </c>
      <c r="F1901" s="7" t="s">
        <v>7330</v>
      </c>
      <c r="G1901" s="7" t="s">
        <v>7331</v>
      </c>
      <c r="H1901" s="8"/>
      <c r="I1901" s="7" t="s">
        <v>55</v>
      </c>
      <c r="J1901" s="8"/>
      <c r="K1901" s="8"/>
      <c r="L1901" s="7" t="s">
        <v>7332</v>
      </c>
      <c r="M1901" s="7" t="s">
        <v>7330</v>
      </c>
      <c r="N1901" s="7">
        <v>61</v>
      </c>
      <c r="O1901" s="7" t="s">
        <v>7333</v>
      </c>
    </row>
    <row r="1902" spans="1:16">
      <c r="A1902" s="6" t="s">
        <v>31</v>
      </c>
      <c r="B1902" s="7">
        <v>1695967</v>
      </c>
      <c r="C1902" s="7">
        <v>1696509</v>
      </c>
      <c r="D1902" s="8"/>
      <c r="E1902" s="7" t="s">
        <v>75</v>
      </c>
      <c r="F1902" s="7" t="s">
        <v>7334</v>
      </c>
      <c r="G1902" s="7" t="s">
        <v>1925</v>
      </c>
      <c r="H1902" s="8"/>
      <c r="I1902" s="7" t="s">
        <v>55</v>
      </c>
      <c r="J1902" s="8"/>
      <c r="K1902" s="8"/>
      <c r="L1902" s="7" t="s">
        <v>7335</v>
      </c>
      <c r="M1902" s="7" t="s">
        <v>7334</v>
      </c>
      <c r="N1902" s="7">
        <v>180</v>
      </c>
      <c r="O1902" s="7" t="s">
        <v>7336</v>
      </c>
    </row>
    <row r="1903" spans="1:16">
      <c r="A1903" s="6" t="s">
        <v>31</v>
      </c>
      <c r="B1903" s="7">
        <v>1696536</v>
      </c>
      <c r="C1903" s="7">
        <v>1696841</v>
      </c>
      <c r="D1903" s="8"/>
      <c r="E1903" s="7" t="s">
        <v>75</v>
      </c>
      <c r="F1903" s="7" t="s">
        <v>7337</v>
      </c>
      <c r="G1903" s="7" t="s">
        <v>1927</v>
      </c>
      <c r="H1903" s="8"/>
      <c r="I1903" s="7" t="s">
        <v>55</v>
      </c>
      <c r="J1903" s="8"/>
      <c r="K1903" s="8"/>
      <c r="L1903" s="7" t="s">
        <v>7338</v>
      </c>
      <c r="M1903" s="7" t="s">
        <v>7337</v>
      </c>
      <c r="N1903" s="7">
        <v>101</v>
      </c>
      <c r="O1903" s="7" t="s">
        <v>7339</v>
      </c>
    </row>
    <row r="1904" spans="1:16">
      <c r="A1904" s="6" t="s">
        <v>31</v>
      </c>
      <c r="B1904" s="7">
        <v>1696922</v>
      </c>
      <c r="C1904" s="7">
        <v>1697290</v>
      </c>
      <c r="D1904" s="8"/>
      <c r="E1904" s="7" t="s">
        <v>75</v>
      </c>
      <c r="F1904" s="7" t="s">
        <v>7340</v>
      </c>
      <c r="G1904" s="7" t="s">
        <v>7341</v>
      </c>
      <c r="H1904" s="8"/>
      <c r="I1904" s="7" t="s">
        <v>55</v>
      </c>
      <c r="J1904" s="8"/>
      <c r="K1904" s="8"/>
      <c r="L1904" s="7" t="s">
        <v>7342</v>
      </c>
      <c r="M1904" s="7" t="s">
        <v>7340</v>
      </c>
      <c r="N1904" s="7">
        <v>122</v>
      </c>
      <c r="O1904" s="7" t="s">
        <v>7343</v>
      </c>
    </row>
    <row r="1905" spans="1:16">
      <c r="A1905" s="6" t="s">
        <v>31</v>
      </c>
      <c r="B1905" s="7">
        <v>1697315</v>
      </c>
      <c r="C1905" s="7">
        <v>1697575</v>
      </c>
      <c r="D1905" s="8"/>
      <c r="E1905" s="7" t="s">
        <v>75</v>
      </c>
      <c r="F1905" s="7" t="s">
        <v>7344</v>
      </c>
      <c r="G1905" s="7" t="s">
        <v>1930</v>
      </c>
      <c r="H1905" s="8"/>
      <c r="I1905" s="7" t="s">
        <v>55</v>
      </c>
      <c r="J1905" s="8"/>
      <c r="K1905" s="8"/>
      <c r="L1905" s="7" t="s">
        <v>7345</v>
      </c>
      <c r="M1905" s="7" t="s">
        <v>7344</v>
      </c>
      <c r="N1905" s="7">
        <v>86</v>
      </c>
      <c r="O1905" s="7" t="s">
        <v>7346</v>
      </c>
    </row>
    <row r="1906" spans="1:16">
      <c r="A1906" s="6" t="s">
        <v>31</v>
      </c>
      <c r="B1906" s="7">
        <v>1697603</v>
      </c>
      <c r="C1906" s="7">
        <v>1697809</v>
      </c>
      <c r="D1906" s="8"/>
      <c r="E1906" s="7" t="s">
        <v>75</v>
      </c>
      <c r="F1906" s="7" t="s">
        <v>7347</v>
      </c>
      <c r="G1906" s="7" t="s">
        <v>1932</v>
      </c>
      <c r="H1906" s="8"/>
      <c r="I1906" s="7" t="s">
        <v>55</v>
      </c>
      <c r="J1906" s="8"/>
      <c r="K1906" s="8"/>
      <c r="L1906" s="7" t="s">
        <v>7348</v>
      </c>
      <c r="M1906" s="7" t="s">
        <v>7347</v>
      </c>
      <c r="N1906" s="7">
        <v>68</v>
      </c>
      <c r="O1906" s="7" t="s">
        <v>7349</v>
      </c>
    </row>
    <row r="1907" spans="1:16">
      <c r="A1907" s="6" t="s">
        <v>31</v>
      </c>
      <c r="B1907" s="7">
        <v>1697819</v>
      </c>
      <c r="C1907" s="7">
        <v>1698232</v>
      </c>
      <c r="D1907" s="8"/>
      <c r="E1907" s="7" t="s">
        <v>75</v>
      </c>
      <c r="F1907" s="7" t="s">
        <v>7350</v>
      </c>
      <c r="G1907" s="7" t="s">
        <v>1934</v>
      </c>
      <c r="H1907" s="8"/>
      <c r="I1907" s="7" t="s">
        <v>55</v>
      </c>
      <c r="J1907" s="8"/>
      <c r="K1907" s="8"/>
      <c r="L1907" s="7" t="s">
        <v>7351</v>
      </c>
      <c r="M1907" s="7" t="s">
        <v>7350</v>
      </c>
      <c r="N1907" s="7">
        <v>137</v>
      </c>
      <c r="O1907" s="7" t="s">
        <v>7352</v>
      </c>
    </row>
    <row r="1908" spans="1:16">
      <c r="A1908" s="6" t="s">
        <v>31</v>
      </c>
      <c r="B1908" s="7">
        <v>1698236</v>
      </c>
      <c r="C1908" s="7">
        <v>1698889</v>
      </c>
      <c r="D1908" s="8"/>
      <c r="E1908" s="7" t="s">
        <v>75</v>
      </c>
      <c r="F1908" s="7" t="s">
        <v>7353</v>
      </c>
      <c r="G1908" s="7" t="s">
        <v>1936</v>
      </c>
      <c r="H1908" s="8"/>
      <c r="I1908" s="7" t="s">
        <v>55</v>
      </c>
      <c r="J1908" s="8"/>
      <c r="K1908" s="8"/>
      <c r="L1908" s="7" t="s">
        <v>7354</v>
      </c>
      <c r="M1908" s="7" t="s">
        <v>7353</v>
      </c>
      <c r="N1908" s="7">
        <v>217</v>
      </c>
      <c r="O1908" s="7" t="s">
        <v>7355</v>
      </c>
    </row>
    <row r="1909" spans="1:16">
      <c r="A1909" s="6" t="s">
        <v>31</v>
      </c>
      <c r="B1909" s="7">
        <v>1698902</v>
      </c>
      <c r="C1909" s="7">
        <v>1699246</v>
      </c>
      <c r="D1909" s="8"/>
      <c r="E1909" s="7" t="s">
        <v>75</v>
      </c>
      <c r="F1909" s="7" t="s">
        <v>7356</v>
      </c>
      <c r="G1909" s="7" t="s">
        <v>1938</v>
      </c>
      <c r="H1909" s="8"/>
      <c r="I1909" s="7" t="s">
        <v>55</v>
      </c>
      <c r="J1909" s="8"/>
      <c r="K1909" s="8"/>
      <c r="L1909" s="7" t="s">
        <v>7357</v>
      </c>
      <c r="M1909" s="7" t="s">
        <v>7356</v>
      </c>
      <c r="N1909" s="7">
        <v>114</v>
      </c>
      <c r="O1909" s="7" t="s">
        <v>7358</v>
      </c>
    </row>
    <row r="1910" spans="1:16">
      <c r="A1910" s="6" t="s">
        <v>31</v>
      </c>
      <c r="B1910" s="7">
        <v>1699262</v>
      </c>
      <c r="C1910" s="7">
        <v>1699540</v>
      </c>
      <c r="D1910" s="8"/>
      <c r="E1910" s="7" t="s">
        <v>75</v>
      </c>
      <c r="F1910" s="7" t="s">
        <v>7359</v>
      </c>
      <c r="G1910" s="7" t="s">
        <v>1940</v>
      </c>
      <c r="H1910" s="8"/>
      <c r="I1910" s="7" t="s">
        <v>55</v>
      </c>
      <c r="J1910" s="8"/>
      <c r="K1910" s="8"/>
      <c r="L1910" s="7" t="s">
        <v>7360</v>
      </c>
      <c r="M1910" s="7" t="s">
        <v>7359</v>
      </c>
      <c r="N1910" s="7">
        <v>92</v>
      </c>
      <c r="O1910" s="7" t="s">
        <v>7361</v>
      </c>
    </row>
    <row r="1911" spans="1:16">
      <c r="A1911" s="6" t="s">
        <v>31</v>
      </c>
      <c r="B1911" s="7">
        <v>1699634</v>
      </c>
      <c r="C1911" s="7">
        <v>1700467</v>
      </c>
      <c r="D1911" s="8"/>
      <c r="E1911" s="7" t="s">
        <v>75</v>
      </c>
      <c r="F1911" s="7" t="s">
        <v>7362</v>
      </c>
      <c r="G1911" s="7" t="s">
        <v>1942</v>
      </c>
      <c r="H1911" s="8"/>
      <c r="I1911" s="7" t="s">
        <v>55</v>
      </c>
      <c r="J1911" s="8"/>
      <c r="K1911" s="8"/>
      <c r="L1911" s="7" t="s">
        <v>7363</v>
      </c>
      <c r="M1911" s="7" t="s">
        <v>7362</v>
      </c>
      <c r="N1911" s="7">
        <v>277</v>
      </c>
      <c r="O1911" s="7" t="s">
        <v>7364</v>
      </c>
    </row>
    <row r="1912" spans="1:16">
      <c r="A1912" s="6" t="s">
        <v>31</v>
      </c>
      <c r="B1912" s="7">
        <v>1700485</v>
      </c>
      <c r="C1912" s="7">
        <v>1700781</v>
      </c>
      <c r="D1912" s="8"/>
      <c r="E1912" s="7" t="s">
        <v>75</v>
      </c>
      <c r="F1912" s="7" t="s">
        <v>7365</v>
      </c>
      <c r="G1912" s="7" t="s">
        <v>7366</v>
      </c>
      <c r="H1912" s="8"/>
      <c r="I1912" s="7" t="s">
        <v>55</v>
      </c>
      <c r="J1912" s="8"/>
      <c r="K1912" s="8"/>
      <c r="L1912" s="7" t="s">
        <v>7367</v>
      </c>
      <c r="M1912" s="7" t="s">
        <v>7365</v>
      </c>
      <c r="N1912" s="7">
        <v>98</v>
      </c>
      <c r="O1912" s="7" t="s">
        <v>7368</v>
      </c>
    </row>
    <row r="1913" spans="1:16">
      <c r="A1913" s="6" t="s">
        <v>31</v>
      </c>
      <c r="B1913" s="7">
        <v>1700781</v>
      </c>
      <c r="C1913" s="7">
        <v>1701404</v>
      </c>
      <c r="D1913" s="8"/>
      <c r="E1913" s="7" t="s">
        <v>75</v>
      </c>
      <c r="F1913" s="7" t="s">
        <v>7369</v>
      </c>
      <c r="G1913" s="7" t="s">
        <v>1945</v>
      </c>
      <c r="H1913" s="8"/>
      <c r="I1913" s="7" t="s">
        <v>55</v>
      </c>
      <c r="J1913" s="8"/>
      <c r="K1913" s="8"/>
      <c r="L1913" s="7" t="s">
        <v>7370</v>
      </c>
      <c r="M1913" s="7" t="s">
        <v>7369</v>
      </c>
      <c r="N1913" s="7">
        <v>207</v>
      </c>
      <c r="O1913" s="7" t="s">
        <v>7371</v>
      </c>
    </row>
    <row r="1914" spans="1:16">
      <c r="A1914" s="6" t="s">
        <v>31</v>
      </c>
      <c r="B1914" s="7">
        <v>1701429</v>
      </c>
      <c r="C1914" s="7">
        <v>1702055</v>
      </c>
      <c r="D1914" s="8"/>
      <c r="E1914" s="7" t="s">
        <v>75</v>
      </c>
      <c r="F1914" s="7" t="s">
        <v>7372</v>
      </c>
      <c r="G1914" s="7" t="s">
        <v>1947</v>
      </c>
      <c r="H1914" s="8"/>
      <c r="I1914" s="7" t="s">
        <v>55</v>
      </c>
      <c r="J1914" s="8"/>
      <c r="K1914" s="8"/>
      <c r="L1914" s="7" t="s">
        <v>7373</v>
      </c>
      <c r="M1914" s="7" t="s">
        <v>7372</v>
      </c>
      <c r="N1914" s="7">
        <v>208</v>
      </c>
      <c r="O1914" s="7" t="s">
        <v>7374</v>
      </c>
    </row>
    <row r="1915" spans="1:16">
      <c r="A1915" s="6" t="s">
        <v>31</v>
      </c>
      <c r="B1915" s="7">
        <v>1702172</v>
      </c>
      <c r="C1915" s="7">
        <v>1702480</v>
      </c>
      <c r="D1915" s="8"/>
      <c r="E1915" s="7" t="s">
        <v>75</v>
      </c>
      <c r="F1915" s="7" t="s">
        <v>7375</v>
      </c>
      <c r="G1915" s="7" t="s">
        <v>1949</v>
      </c>
      <c r="H1915" s="8"/>
      <c r="I1915" s="7" t="s">
        <v>55</v>
      </c>
      <c r="J1915" s="8"/>
      <c r="K1915" s="8"/>
      <c r="L1915" s="7" t="s">
        <v>7376</v>
      </c>
      <c r="M1915" s="7" t="s">
        <v>7375</v>
      </c>
      <c r="N1915" s="7">
        <v>102</v>
      </c>
      <c r="O1915" s="7" t="s">
        <v>7377</v>
      </c>
    </row>
    <row r="1916" spans="1:16">
      <c r="A1916" s="6" t="s">
        <v>31</v>
      </c>
      <c r="B1916" s="7">
        <v>1702724</v>
      </c>
      <c r="C1916" s="7">
        <v>1703725</v>
      </c>
      <c r="D1916" s="8"/>
      <c r="E1916" s="7" t="s">
        <v>75</v>
      </c>
      <c r="F1916" s="7" t="s">
        <v>7378</v>
      </c>
      <c r="G1916" s="7" t="s">
        <v>1951</v>
      </c>
      <c r="H1916" s="8"/>
      <c r="I1916" s="7" t="s">
        <v>55</v>
      </c>
      <c r="J1916" s="8"/>
      <c r="K1916" s="8"/>
      <c r="L1916" s="7" t="s">
        <v>7379</v>
      </c>
      <c r="M1916" s="7" t="s">
        <v>7378</v>
      </c>
      <c r="N1916" s="7">
        <v>333</v>
      </c>
      <c r="O1916" s="7" t="s">
        <v>7380</v>
      </c>
      <c r="P1916" s="7"/>
    </row>
    <row r="1917" spans="1:16">
      <c r="A1917" s="6" t="s">
        <v>31</v>
      </c>
      <c r="B1917" s="7">
        <v>1703806</v>
      </c>
      <c r="C1917" s="7">
        <v>1705629</v>
      </c>
      <c r="D1917" s="8"/>
      <c r="E1917" s="7" t="s">
        <v>75</v>
      </c>
      <c r="F1917" s="7" t="s">
        <v>7381</v>
      </c>
      <c r="G1917" s="8"/>
      <c r="H1917" s="8"/>
      <c r="I1917" s="7" t="s">
        <v>55</v>
      </c>
      <c r="J1917" s="8"/>
      <c r="K1917" s="8"/>
      <c r="L1917" s="7" t="s">
        <v>7382</v>
      </c>
      <c r="M1917" s="7" t="s">
        <v>7381</v>
      </c>
      <c r="N1917" s="7">
        <v>607</v>
      </c>
      <c r="O1917" s="7" t="s">
        <v>7383</v>
      </c>
    </row>
    <row r="1918" spans="1:16">
      <c r="A1918" s="6" t="s">
        <v>31</v>
      </c>
      <c r="B1918" s="7">
        <v>1705626</v>
      </c>
      <c r="C1918" s="7">
        <v>1706036</v>
      </c>
      <c r="D1918" s="8"/>
      <c r="E1918" s="7" t="s">
        <v>75</v>
      </c>
      <c r="F1918" s="7" t="s">
        <v>7384</v>
      </c>
      <c r="G1918" s="8"/>
      <c r="H1918" s="8"/>
      <c r="I1918" s="7" t="s">
        <v>55</v>
      </c>
      <c r="J1918" s="8"/>
      <c r="K1918" s="8"/>
      <c r="L1918" s="7" t="s">
        <v>7385</v>
      </c>
      <c r="M1918" s="7" t="s">
        <v>7384</v>
      </c>
      <c r="N1918" s="7">
        <v>136</v>
      </c>
      <c r="O1918" s="7" t="s">
        <v>7386</v>
      </c>
    </row>
    <row r="1919" spans="1:16">
      <c r="A1919" s="6" t="s">
        <v>31</v>
      </c>
      <c r="B1919" s="7">
        <v>1706033</v>
      </c>
      <c r="C1919" s="7">
        <v>1706467</v>
      </c>
      <c r="D1919" s="8"/>
      <c r="E1919" s="7" t="s">
        <v>75</v>
      </c>
      <c r="F1919" s="7" t="s">
        <v>7387</v>
      </c>
      <c r="G1919" s="7" t="s">
        <v>7388</v>
      </c>
      <c r="H1919" s="8"/>
      <c r="I1919" s="7" t="s">
        <v>55</v>
      </c>
      <c r="J1919" s="8"/>
      <c r="K1919" s="8"/>
      <c r="L1919" s="7" t="s">
        <v>7389</v>
      </c>
      <c r="M1919" s="7" t="s">
        <v>7387</v>
      </c>
      <c r="N1919" s="7">
        <v>144</v>
      </c>
      <c r="O1919" s="7" t="s">
        <v>7390</v>
      </c>
      <c r="P1919" s="7"/>
    </row>
    <row r="1920" spans="1:16">
      <c r="A1920" s="6" t="s">
        <v>31</v>
      </c>
      <c r="B1920" s="7">
        <v>1706749</v>
      </c>
      <c r="C1920" s="7">
        <v>1708041</v>
      </c>
      <c r="D1920" s="8"/>
      <c r="E1920" s="7" t="s">
        <v>75</v>
      </c>
      <c r="F1920" s="7" t="s">
        <v>7391</v>
      </c>
      <c r="G1920" s="7" t="s">
        <v>7392</v>
      </c>
      <c r="H1920" s="8"/>
      <c r="I1920" s="7" t="s">
        <v>55</v>
      </c>
      <c r="J1920" s="8"/>
      <c r="K1920" s="8"/>
      <c r="L1920" s="7" t="s">
        <v>7393</v>
      </c>
      <c r="M1920" s="7" t="s">
        <v>7391</v>
      </c>
      <c r="N1920" s="7">
        <v>430</v>
      </c>
      <c r="O1920" s="7" t="s">
        <v>7394</v>
      </c>
      <c r="P1920" s="7"/>
    </row>
    <row r="1921" spans="1:15">
      <c r="A1921" s="6" t="s">
        <v>31</v>
      </c>
      <c r="B1921" s="7">
        <v>1708295</v>
      </c>
      <c r="C1921" s="7">
        <v>1708810</v>
      </c>
      <c r="D1921" s="8"/>
      <c r="E1921" s="7" t="s">
        <v>75</v>
      </c>
      <c r="F1921" s="7" t="s">
        <v>7395</v>
      </c>
      <c r="G1921" s="8"/>
      <c r="H1921" s="8"/>
      <c r="I1921" s="7" t="s">
        <v>55</v>
      </c>
      <c r="J1921" s="8"/>
      <c r="K1921" s="8"/>
      <c r="L1921" s="7" t="s">
        <v>7396</v>
      </c>
      <c r="M1921" s="7" t="s">
        <v>7395</v>
      </c>
      <c r="N1921" s="7">
        <v>171</v>
      </c>
      <c r="O1921" s="7" t="s">
        <v>7397</v>
      </c>
    </row>
    <row r="1922" spans="1:15">
      <c r="A1922" s="6" t="s">
        <v>31</v>
      </c>
      <c r="B1922" s="7">
        <v>1709150</v>
      </c>
      <c r="C1922" s="7">
        <v>1710355</v>
      </c>
      <c r="D1922" s="8"/>
      <c r="E1922" s="7" t="s">
        <v>53</v>
      </c>
      <c r="F1922" s="7" t="s">
        <v>2130</v>
      </c>
      <c r="G1922" s="8"/>
      <c r="H1922" s="8"/>
      <c r="I1922" s="7" t="s">
        <v>55</v>
      </c>
      <c r="J1922" s="8"/>
      <c r="K1922" s="8"/>
      <c r="L1922" s="7" t="s">
        <v>7398</v>
      </c>
      <c r="M1922" s="7" t="s">
        <v>2130</v>
      </c>
      <c r="N1922" s="7">
        <v>401</v>
      </c>
      <c r="O1922" s="7" t="s">
        <v>7399</v>
      </c>
    </row>
    <row r="1923" spans="1:15">
      <c r="A1923" s="6" t="s">
        <v>31</v>
      </c>
      <c r="B1923" s="7">
        <v>1710551</v>
      </c>
      <c r="C1923" s="7">
        <v>1711726</v>
      </c>
      <c r="D1923" s="8"/>
      <c r="E1923" s="7" t="s">
        <v>75</v>
      </c>
      <c r="F1923" s="7" t="s">
        <v>1280</v>
      </c>
      <c r="G1923" s="7" t="s">
        <v>2998</v>
      </c>
      <c r="H1923" s="8"/>
      <c r="I1923" s="7" t="s">
        <v>55</v>
      </c>
      <c r="J1923" s="8"/>
      <c r="K1923" s="8"/>
      <c r="L1923" s="7" t="s">
        <v>7400</v>
      </c>
      <c r="M1923" s="7" t="s">
        <v>1280</v>
      </c>
      <c r="N1923" s="7">
        <v>391</v>
      </c>
      <c r="O1923" s="7" t="s">
        <v>7401</v>
      </c>
    </row>
    <row r="1924" spans="1:15">
      <c r="A1924" s="6" t="s">
        <v>31</v>
      </c>
      <c r="B1924" s="7">
        <v>1711871</v>
      </c>
      <c r="C1924" s="7">
        <v>1711990</v>
      </c>
      <c r="D1924" s="8"/>
      <c r="E1924" s="7" t="s">
        <v>53</v>
      </c>
      <c r="F1924" s="7" t="s">
        <v>2095</v>
      </c>
      <c r="G1924" s="8"/>
      <c r="H1924" s="8"/>
      <c r="I1924" s="7" t="s">
        <v>55</v>
      </c>
      <c r="J1924" s="8"/>
      <c r="K1924" s="8"/>
      <c r="L1924" s="7" t="s">
        <v>7402</v>
      </c>
      <c r="M1924" s="7" t="s">
        <v>2095</v>
      </c>
      <c r="N1924" s="7">
        <v>39</v>
      </c>
      <c r="O1924" s="7" t="s">
        <v>7403</v>
      </c>
    </row>
    <row r="1925" spans="1:15">
      <c r="A1925" s="6" t="s">
        <v>31</v>
      </c>
      <c r="B1925" s="7">
        <v>1712151</v>
      </c>
      <c r="C1925" s="7">
        <v>1713023</v>
      </c>
      <c r="D1925" s="8"/>
      <c r="E1925" s="7" t="s">
        <v>53</v>
      </c>
      <c r="F1925" s="7" t="s">
        <v>7404</v>
      </c>
      <c r="G1925" s="8"/>
      <c r="H1925" s="8"/>
      <c r="I1925" s="7" t="s">
        <v>55</v>
      </c>
      <c r="J1925" s="8"/>
      <c r="K1925" s="8"/>
      <c r="L1925" s="7" t="s">
        <v>7405</v>
      </c>
      <c r="M1925" s="7" t="s">
        <v>7404</v>
      </c>
      <c r="N1925" s="7">
        <v>290</v>
      </c>
      <c r="O1925" s="7" t="s">
        <v>7406</v>
      </c>
    </row>
    <row r="1926" spans="1:15">
      <c r="A1926" s="6" t="s">
        <v>31</v>
      </c>
      <c r="B1926" s="7">
        <v>1713108</v>
      </c>
      <c r="C1926" s="7">
        <v>1715267</v>
      </c>
      <c r="D1926" s="8"/>
      <c r="E1926" s="7" t="s">
        <v>53</v>
      </c>
      <c r="F1926" s="7" t="s">
        <v>2130</v>
      </c>
      <c r="G1926" s="8"/>
      <c r="H1926" s="8"/>
      <c r="I1926" s="7" t="s">
        <v>55</v>
      </c>
      <c r="J1926" s="8"/>
      <c r="K1926" s="8"/>
      <c r="L1926" s="7" t="s">
        <v>7407</v>
      </c>
      <c r="M1926" s="7" t="s">
        <v>2130</v>
      </c>
      <c r="N1926" s="7">
        <v>719</v>
      </c>
      <c r="O1926" s="7" t="s">
        <v>7408</v>
      </c>
    </row>
    <row r="1927" spans="1:15">
      <c r="A1927" s="6" t="s">
        <v>31</v>
      </c>
      <c r="B1927" s="7">
        <v>1715272</v>
      </c>
      <c r="C1927" s="7">
        <v>1715709</v>
      </c>
      <c r="D1927" s="8"/>
      <c r="E1927" s="7" t="s">
        <v>53</v>
      </c>
      <c r="F1927" s="7" t="s">
        <v>2095</v>
      </c>
      <c r="G1927" s="8"/>
      <c r="H1927" s="8"/>
      <c r="I1927" s="7" t="s">
        <v>55</v>
      </c>
      <c r="J1927" s="8"/>
      <c r="K1927" s="8"/>
      <c r="L1927" s="7" t="s">
        <v>7409</v>
      </c>
      <c r="M1927" s="7" t="s">
        <v>2095</v>
      </c>
      <c r="N1927" s="7">
        <v>145</v>
      </c>
      <c r="O1927" s="7" t="s">
        <v>7410</v>
      </c>
    </row>
    <row r="1928" spans="1:15">
      <c r="A1928" s="6" t="s">
        <v>31</v>
      </c>
      <c r="B1928" s="7">
        <v>1715801</v>
      </c>
      <c r="C1928" s="7">
        <v>1716841</v>
      </c>
      <c r="D1928" s="8"/>
      <c r="E1928" s="7" t="s">
        <v>53</v>
      </c>
      <c r="F1928" s="7" t="s">
        <v>7411</v>
      </c>
      <c r="G1928" s="8"/>
      <c r="H1928" s="8"/>
      <c r="I1928" s="7" t="s">
        <v>55</v>
      </c>
      <c r="J1928" s="8"/>
      <c r="K1928" s="8"/>
      <c r="L1928" s="7" t="s">
        <v>7412</v>
      </c>
      <c r="M1928" s="7" t="s">
        <v>7411</v>
      </c>
      <c r="N1928" s="7">
        <v>346</v>
      </c>
      <c r="O1928" s="7" t="s">
        <v>7413</v>
      </c>
    </row>
    <row r="1929" spans="1:15">
      <c r="A1929" s="6" t="s">
        <v>31</v>
      </c>
      <c r="B1929" s="7">
        <v>1716843</v>
      </c>
      <c r="C1929" s="7">
        <v>1716977</v>
      </c>
      <c r="D1929" s="8"/>
      <c r="E1929" s="7" t="s">
        <v>53</v>
      </c>
      <c r="F1929" s="7" t="s">
        <v>2095</v>
      </c>
      <c r="G1929" s="8"/>
      <c r="H1929" s="8"/>
      <c r="I1929" s="7" t="s">
        <v>55</v>
      </c>
      <c r="J1929" s="8"/>
      <c r="K1929" s="8"/>
      <c r="L1929" s="7" t="s">
        <v>7414</v>
      </c>
      <c r="M1929" s="7" t="s">
        <v>2095</v>
      </c>
      <c r="N1929" s="7">
        <v>44</v>
      </c>
      <c r="O1929" s="7" t="s">
        <v>7415</v>
      </c>
    </row>
    <row r="1930" spans="1:15">
      <c r="A1930" s="6" t="s">
        <v>31</v>
      </c>
      <c r="B1930" s="7">
        <v>1717760</v>
      </c>
      <c r="C1930" s="7">
        <v>1718458</v>
      </c>
      <c r="D1930" s="8"/>
      <c r="E1930" s="7" t="s">
        <v>53</v>
      </c>
      <c r="F1930" s="7" t="s">
        <v>7416</v>
      </c>
      <c r="G1930" s="8"/>
      <c r="H1930" s="8"/>
      <c r="I1930" s="7" t="s">
        <v>55</v>
      </c>
      <c r="J1930" s="8"/>
      <c r="K1930" s="8"/>
      <c r="L1930" s="7" t="s">
        <v>7417</v>
      </c>
      <c r="M1930" s="7" t="s">
        <v>7416</v>
      </c>
      <c r="N1930" s="7">
        <v>232</v>
      </c>
      <c r="O1930" s="7" t="s">
        <v>7418</v>
      </c>
    </row>
    <row r="1931" spans="1:15">
      <c r="A1931" s="6" t="s">
        <v>31</v>
      </c>
      <c r="B1931" s="7">
        <v>1718700</v>
      </c>
      <c r="C1931" s="7">
        <v>1719899</v>
      </c>
      <c r="D1931" s="8"/>
      <c r="E1931" s="7" t="s">
        <v>53</v>
      </c>
      <c r="F1931" s="7" t="s">
        <v>7419</v>
      </c>
      <c r="G1931" s="8"/>
      <c r="H1931" s="8"/>
      <c r="I1931" s="7" t="s">
        <v>55</v>
      </c>
      <c r="J1931" s="8"/>
      <c r="K1931" s="8"/>
      <c r="L1931" s="7" t="s">
        <v>7420</v>
      </c>
      <c r="M1931" s="7" t="s">
        <v>7419</v>
      </c>
      <c r="N1931" s="7">
        <v>399</v>
      </c>
      <c r="O1931" s="7" t="s">
        <v>7421</v>
      </c>
    </row>
    <row r="1932" spans="1:15">
      <c r="A1932" s="6" t="s">
        <v>31</v>
      </c>
      <c r="B1932" s="7">
        <v>1719892</v>
      </c>
      <c r="C1932" s="7">
        <v>1721433</v>
      </c>
      <c r="D1932" s="8"/>
      <c r="E1932" s="7" t="s">
        <v>53</v>
      </c>
      <c r="F1932" s="7" t="s">
        <v>7411</v>
      </c>
      <c r="G1932" s="8"/>
      <c r="H1932" s="8"/>
      <c r="I1932" s="7" t="s">
        <v>55</v>
      </c>
      <c r="J1932" s="8"/>
      <c r="K1932" s="8"/>
      <c r="L1932" s="7" t="s">
        <v>7422</v>
      </c>
      <c r="M1932" s="7" t="s">
        <v>7411</v>
      </c>
      <c r="N1932" s="7">
        <v>513</v>
      </c>
      <c r="O1932" s="7" t="s">
        <v>7423</v>
      </c>
    </row>
    <row r="1933" spans="1:15">
      <c r="A1933" s="6" t="s">
        <v>31</v>
      </c>
      <c r="B1933" s="7">
        <v>1721827</v>
      </c>
      <c r="C1933" s="7">
        <v>1722804</v>
      </c>
      <c r="D1933" s="8"/>
      <c r="E1933" s="7" t="s">
        <v>53</v>
      </c>
      <c r="F1933" s="7" t="s">
        <v>7424</v>
      </c>
      <c r="G1933" s="8"/>
      <c r="H1933" s="8"/>
      <c r="I1933" s="7" t="s">
        <v>55</v>
      </c>
      <c r="J1933" s="8"/>
      <c r="K1933" s="8"/>
      <c r="L1933" s="7" t="s">
        <v>7425</v>
      </c>
      <c r="M1933" s="7" t="s">
        <v>7424</v>
      </c>
      <c r="N1933" s="7">
        <v>325</v>
      </c>
      <c r="O1933" s="7" t="s">
        <v>7426</v>
      </c>
    </row>
    <row r="1934" spans="1:15">
      <c r="A1934" s="6" t="s">
        <v>31</v>
      </c>
      <c r="B1934" s="7">
        <v>1722816</v>
      </c>
      <c r="C1934" s="7">
        <v>1723004</v>
      </c>
      <c r="D1934" s="8"/>
      <c r="E1934" s="7" t="s">
        <v>53</v>
      </c>
      <c r="F1934" s="7" t="s">
        <v>2130</v>
      </c>
      <c r="G1934" s="8"/>
      <c r="H1934" s="8"/>
      <c r="I1934" s="7" t="s">
        <v>55</v>
      </c>
      <c r="J1934" s="8"/>
      <c r="K1934" s="8"/>
      <c r="L1934" s="7" t="s">
        <v>7427</v>
      </c>
      <c r="M1934" s="7" t="s">
        <v>2130</v>
      </c>
      <c r="N1934" s="7">
        <v>62</v>
      </c>
      <c r="O1934" s="7" t="s">
        <v>7428</v>
      </c>
    </row>
    <row r="1935" spans="1:15">
      <c r="A1935" s="6" t="s">
        <v>31</v>
      </c>
      <c r="B1935" s="7">
        <v>1723006</v>
      </c>
      <c r="C1935" s="7">
        <v>1724145</v>
      </c>
      <c r="D1935" s="8"/>
      <c r="E1935" s="7" t="s">
        <v>53</v>
      </c>
      <c r="F1935" s="7" t="s">
        <v>4284</v>
      </c>
      <c r="G1935" s="8"/>
      <c r="H1935" s="8"/>
      <c r="I1935" s="7" t="s">
        <v>55</v>
      </c>
      <c r="J1935" s="8"/>
      <c r="K1935" s="8"/>
      <c r="L1935" s="7" t="s">
        <v>7429</v>
      </c>
      <c r="M1935" s="7" t="s">
        <v>4284</v>
      </c>
      <c r="N1935" s="7">
        <v>379</v>
      </c>
      <c r="O1935" s="7" t="s">
        <v>7430</v>
      </c>
    </row>
    <row r="1936" spans="1:15">
      <c r="A1936" s="6" t="s">
        <v>31</v>
      </c>
      <c r="B1936" s="7">
        <v>1724588</v>
      </c>
      <c r="C1936" s="7">
        <v>1725856</v>
      </c>
      <c r="D1936" s="8"/>
      <c r="E1936" s="7" t="s">
        <v>75</v>
      </c>
      <c r="F1936" s="7" t="s">
        <v>7431</v>
      </c>
      <c r="G1936" s="7" t="s">
        <v>7432</v>
      </c>
      <c r="H1936" s="8"/>
      <c r="I1936" s="7" t="s">
        <v>55</v>
      </c>
      <c r="J1936" s="8"/>
      <c r="K1936" s="8"/>
      <c r="L1936" s="7" t="s">
        <v>7433</v>
      </c>
      <c r="M1936" s="7" t="s">
        <v>7431</v>
      </c>
      <c r="N1936" s="7">
        <v>422</v>
      </c>
      <c r="O1936" s="7" t="s">
        <v>7434</v>
      </c>
    </row>
    <row r="1937" spans="1:16">
      <c r="A1937" s="6" t="s">
        <v>31</v>
      </c>
      <c r="B1937" s="7">
        <v>1726027</v>
      </c>
      <c r="C1937" s="7">
        <v>1726215</v>
      </c>
      <c r="D1937" s="8"/>
      <c r="E1937" s="7" t="s">
        <v>53</v>
      </c>
      <c r="F1937" s="7" t="s">
        <v>7435</v>
      </c>
      <c r="G1937" s="7" t="s">
        <v>1971</v>
      </c>
      <c r="H1937" s="8"/>
      <c r="I1937" s="7" t="s">
        <v>55</v>
      </c>
      <c r="J1937" s="8"/>
      <c r="K1937" s="8"/>
      <c r="L1937" s="7" t="s">
        <v>7436</v>
      </c>
      <c r="M1937" s="7" t="s">
        <v>7435</v>
      </c>
      <c r="N1937" s="7">
        <v>62</v>
      </c>
      <c r="O1937" s="7" t="s">
        <v>7437</v>
      </c>
    </row>
    <row r="1938" spans="1:16">
      <c r="A1938" s="6" t="s">
        <v>31</v>
      </c>
      <c r="B1938" s="7">
        <v>1726342</v>
      </c>
      <c r="C1938" s="7">
        <v>1726608</v>
      </c>
      <c r="D1938" s="8"/>
      <c r="E1938" s="7" t="s">
        <v>53</v>
      </c>
      <c r="F1938" s="7" t="s">
        <v>2130</v>
      </c>
      <c r="G1938" s="8"/>
      <c r="H1938" s="8"/>
      <c r="I1938" s="7" t="s">
        <v>55</v>
      </c>
      <c r="J1938" s="8"/>
      <c r="K1938" s="8"/>
      <c r="L1938" s="7" t="s">
        <v>7438</v>
      </c>
      <c r="M1938" s="7" t="s">
        <v>2130</v>
      </c>
      <c r="N1938" s="7">
        <v>88</v>
      </c>
      <c r="O1938" s="7" t="s">
        <v>7439</v>
      </c>
    </row>
    <row r="1939" spans="1:16">
      <c r="A1939" s="6" t="s">
        <v>31</v>
      </c>
      <c r="B1939" s="7">
        <v>1726608</v>
      </c>
      <c r="C1939" s="7">
        <v>1727027</v>
      </c>
      <c r="D1939" s="8"/>
      <c r="E1939" s="7" t="s">
        <v>53</v>
      </c>
      <c r="F1939" s="7" t="s">
        <v>7440</v>
      </c>
      <c r="G1939" s="7" t="s">
        <v>7441</v>
      </c>
      <c r="H1939" s="8"/>
      <c r="I1939" s="7" t="s">
        <v>55</v>
      </c>
      <c r="J1939" s="8"/>
      <c r="K1939" s="8"/>
      <c r="L1939" s="7" t="s">
        <v>7442</v>
      </c>
      <c r="M1939" s="7" t="s">
        <v>7440</v>
      </c>
      <c r="N1939" s="7">
        <v>139</v>
      </c>
      <c r="O1939" s="7" t="s">
        <v>7443</v>
      </c>
    </row>
    <row r="1940" spans="1:16">
      <c r="A1940" s="6" t="s">
        <v>31</v>
      </c>
      <c r="B1940" s="7">
        <v>1727136</v>
      </c>
      <c r="C1940" s="7">
        <v>1727441</v>
      </c>
      <c r="D1940" s="8"/>
      <c r="E1940" s="7" t="s">
        <v>53</v>
      </c>
      <c r="F1940" s="7" t="s">
        <v>2055</v>
      </c>
      <c r="G1940" s="7" t="s">
        <v>7444</v>
      </c>
      <c r="H1940" s="8"/>
      <c r="I1940" s="7" t="s">
        <v>55</v>
      </c>
      <c r="J1940" s="8"/>
      <c r="K1940" s="8"/>
      <c r="L1940" s="7" t="s">
        <v>7445</v>
      </c>
      <c r="M1940" s="7" t="s">
        <v>2055</v>
      </c>
      <c r="N1940" s="7">
        <v>101</v>
      </c>
      <c r="O1940" s="7" t="s">
        <v>7446</v>
      </c>
    </row>
    <row r="1941" spans="1:16">
      <c r="A1941" s="6" t="s">
        <v>31</v>
      </c>
      <c r="B1941" s="7">
        <v>1727654</v>
      </c>
      <c r="C1941" s="7">
        <v>1729300</v>
      </c>
      <c r="D1941" s="8"/>
      <c r="E1941" s="7" t="s">
        <v>53</v>
      </c>
      <c r="F1941" s="7" t="s">
        <v>7447</v>
      </c>
      <c r="G1941" s="8"/>
      <c r="H1941" s="8"/>
      <c r="I1941" s="7" t="s">
        <v>55</v>
      </c>
      <c r="J1941" s="8"/>
      <c r="K1941" s="8"/>
      <c r="L1941" s="7" t="s">
        <v>7448</v>
      </c>
      <c r="M1941" s="7" t="s">
        <v>7447</v>
      </c>
      <c r="N1941" s="7">
        <v>548</v>
      </c>
      <c r="O1941" s="7" t="s">
        <v>7449</v>
      </c>
    </row>
    <row r="1942" spans="1:16">
      <c r="A1942" s="6" t="s">
        <v>31</v>
      </c>
      <c r="B1942" s="7">
        <v>1729410</v>
      </c>
      <c r="C1942" s="7">
        <v>1731614</v>
      </c>
      <c r="D1942" s="8"/>
      <c r="E1942" s="7" t="s">
        <v>53</v>
      </c>
      <c r="F1942" s="7" t="s">
        <v>1977</v>
      </c>
      <c r="G1942" s="7" t="s">
        <v>1978</v>
      </c>
      <c r="H1942" s="8"/>
      <c r="I1942" s="7" t="s">
        <v>55</v>
      </c>
      <c r="J1942" s="8"/>
      <c r="K1942" s="8"/>
      <c r="L1942" s="7" t="s">
        <v>7450</v>
      </c>
      <c r="M1942" s="7" t="s">
        <v>1977</v>
      </c>
      <c r="N1942" s="7">
        <v>734</v>
      </c>
      <c r="O1942" s="7" t="s">
        <v>7451</v>
      </c>
      <c r="P1942" s="7"/>
    </row>
    <row r="1943" spans="1:16">
      <c r="A1943" s="6" t="s">
        <v>31</v>
      </c>
      <c r="B1943" s="7">
        <v>1731716</v>
      </c>
      <c r="C1943" s="7">
        <v>1731847</v>
      </c>
      <c r="D1943" s="8"/>
      <c r="E1943" s="7" t="s">
        <v>53</v>
      </c>
      <c r="F1943" s="7" t="s">
        <v>2130</v>
      </c>
      <c r="G1943" s="8"/>
      <c r="H1943" s="8"/>
      <c r="I1943" s="7" t="s">
        <v>55</v>
      </c>
      <c r="J1943" s="8"/>
      <c r="K1943" s="8"/>
      <c r="L1943" s="7" t="s">
        <v>7452</v>
      </c>
      <c r="M1943" s="7" t="s">
        <v>2130</v>
      </c>
      <c r="N1943" s="7">
        <v>43</v>
      </c>
      <c r="O1943" s="7" t="s">
        <v>7453</v>
      </c>
    </row>
    <row r="1944" spans="1:16">
      <c r="A1944" s="6" t="s">
        <v>31</v>
      </c>
      <c r="B1944" s="7">
        <v>1731849</v>
      </c>
      <c r="C1944" s="7">
        <v>1732349</v>
      </c>
      <c r="D1944" s="8"/>
      <c r="E1944" s="7" t="s">
        <v>53</v>
      </c>
      <c r="F1944" s="7" t="s">
        <v>3035</v>
      </c>
      <c r="G1944" s="8"/>
      <c r="H1944" s="8"/>
      <c r="I1944" s="7" t="s">
        <v>55</v>
      </c>
      <c r="J1944" s="8"/>
      <c r="K1944" s="8"/>
      <c r="L1944" s="7" t="s">
        <v>7454</v>
      </c>
      <c r="M1944" s="7" t="s">
        <v>3035</v>
      </c>
      <c r="N1944" s="7">
        <v>166</v>
      </c>
      <c r="O1944" s="7" t="s">
        <v>7455</v>
      </c>
      <c r="P1944" s="7"/>
    </row>
    <row r="1945" spans="1:16">
      <c r="A1945" s="6" t="s">
        <v>31</v>
      </c>
      <c r="B1945" s="7">
        <v>1732354</v>
      </c>
      <c r="C1945" s="7">
        <v>1732959</v>
      </c>
      <c r="D1945" s="8"/>
      <c r="E1945" s="7" t="s">
        <v>53</v>
      </c>
      <c r="F1945" s="7" t="s">
        <v>7456</v>
      </c>
      <c r="G1945" s="8"/>
      <c r="H1945" s="8"/>
      <c r="I1945" s="7" t="s">
        <v>55</v>
      </c>
      <c r="J1945" s="8"/>
      <c r="K1945" s="8"/>
      <c r="L1945" s="7" t="s">
        <v>7457</v>
      </c>
      <c r="M1945" s="7" t="s">
        <v>7456</v>
      </c>
      <c r="N1945" s="7">
        <v>201</v>
      </c>
      <c r="O1945" s="7" t="s">
        <v>7458</v>
      </c>
      <c r="P1945" s="7"/>
    </row>
    <row r="1946" spans="1:16">
      <c r="A1946" s="6" t="s">
        <v>31</v>
      </c>
      <c r="B1946" s="7">
        <v>1732981</v>
      </c>
      <c r="C1946" s="7">
        <v>1733784</v>
      </c>
      <c r="D1946" s="8"/>
      <c r="E1946" s="7" t="s">
        <v>75</v>
      </c>
      <c r="F1946" s="7" t="s">
        <v>2130</v>
      </c>
      <c r="G1946" s="8"/>
      <c r="H1946" s="8"/>
      <c r="I1946" s="7" t="s">
        <v>55</v>
      </c>
      <c r="J1946" s="8"/>
      <c r="K1946" s="8"/>
      <c r="L1946" s="7" t="s">
        <v>7459</v>
      </c>
      <c r="M1946" s="7" t="s">
        <v>2130</v>
      </c>
      <c r="N1946" s="7">
        <v>267</v>
      </c>
      <c r="O1946" s="7" t="s">
        <v>7460</v>
      </c>
    </row>
    <row r="1947" spans="1:16">
      <c r="A1947" s="6" t="s">
        <v>31</v>
      </c>
      <c r="B1947" s="7">
        <v>1733808</v>
      </c>
      <c r="C1947" s="7">
        <v>1734749</v>
      </c>
      <c r="D1947" s="8"/>
      <c r="E1947" s="7" t="s">
        <v>75</v>
      </c>
      <c r="F1947" s="7" t="s">
        <v>5416</v>
      </c>
      <c r="G1947" s="8"/>
      <c r="H1947" s="8"/>
      <c r="I1947" s="7" t="s">
        <v>55</v>
      </c>
      <c r="J1947" s="8"/>
      <c r="K1947" s="8"/>
      <c r="L1947" s="7" t="s">
        <v>7461</v>
      </c>
      <c r="M1947" s="7" t="s">
        <v>5416</v>
      </c>
      <c r="N1947" s="7">
        <v>313</v>
      </c>
      <c r="O1947" s="7" t="s">
        <v>7462</v>
      </c>
    </row>
    <row r="1948" spans="1:16">
      <c r="A1948" s="6" t="s">
        <v>31</v>
      </c>
      <c r="B1948" s="7">
        <v>1734742</v>
      </c>
      <c r="C1948" s="7">
        <v>1736493</v>
      </c>
      <c r="D1948" s="8"/>
      <c r="E1948" s="7" t="s">
        <v>75</v>
      </c>
      <c r="F1948" s="7" t="s">
        <v>7463</v>
      </c>
      <c r="G1948" s="7" t="s">
        <v>1985</v>
      </c>
      <c r="H1948" s="8"/>
      <c r="I1948" s="7" t="s">
        <v>55</v>
      </c>
      <c r="J1948" s="8"/>
      <c r="K1948" s="8"/>
      <c r="L1948" s="7" t="s">
        <v>7464</v>
      </c>
      <c r="M1948" s="7" t="s">
        <v>7463</v>
      </c>
      <c r="N1948" s="7">
        <v>583</v>
      </c>
      <c r="O1948" s="7" t="s">
        <v>7465</v>
      </c>
      <c r="P1948" s="7"/>
    </row>
    <row r="1949" spans="1:16">
      <c r="A1949" s="6" t="s">
        <v>31</v>
      </c>
      <c r="B1949" s="7">
        <v>1736603</v>
      </c>
      <c r="C1949" s="7">
        <v>1737025</v>
      </c>
      <c r="D1949" s="8"/>
      <c r="E1949" s="7" t="s">
        <v>75</v>
      </c>
      <c r="F1949" s="7" t="s">
        <v>2130</v>
      </c>
      <c r="G1949" s="8"/>
      <c r="H1949" s="8"/>
      <c r="I1949" s="7" t="s">
        <v>55</v>
      </c>
      <c r="J1949" s="8"/>
      <c r="K1949" s="8"/>
      <c r="L1949" s="7" t="s">
        <v>7466</v>
      </c>
      <c r="M1949" s="7" t="s">
        <v>2130</v>
      </c>
      <c r="N1949" s="7">
        <v>140</v>
      </c>
      <c r="O1949" s="7" t="s">
        <v>7467</v>
      </c>
    </row>
    <row r="1950" spans="1:16">
      <c r="A1950" s="6" t="s">
        <v>31</v>
      </c>
      <c r="B1950" s="7">
        <v>1737033</v>
      </c>
      <c r="C1950" s="7">
        <v>1738313</v>
      </c>
      <c r="D1950" s="8"/>
      <c r="E1950" s="7" t="s">
        <v>75</v>
      </c>
      <c r="F1950" s="7" t="s">
        <v>7468</v>
      </c>
      <c r="G1950" s="7" t="s">
        <v>1988</v>
      </c>
      <c r="H1950" s="8"/>
      <c r="I1950" s="7" t="s">
        <v>55</v>
      </c>
      <c r="J1950" s="8"/>
      <c r="K1950" s="8"/>
      <c r="L1950" s="7" t="s">
        <v>7469</v>
      </c>
      <c r="M1950" s="7" t="s">
        <v>7468</v>
      </c>
      <c r="N1950" s="7">
        <v>426</v>
      </c>
      <c r="O1950" s="7" t="s">
        <v>7470</v>
      </c>
      <c r="P1950" s="7"/>
    </row>
    <row r="1951" spans="1:16">
      <c r="A1951" s="6" t="s">
        <v>31</v>
      </c>
      <c r="B1951" s="7">
        <v>1738623</v>
      </c>
      <c r="C1951" s="7">
        <v>1739381</v>
      </c>
      <c r="D1951" s="8"/>
      <c r="E1951" s="7" t="s">
        <v>75</v>
      </c>
      <c r="F1951" s="7" t="s">
        <v>7471</v>
      </c>
      <c r="G1951" s="8"/>
      <c r="H1951" s="8"/>
      <c r="I1951" s="7" t="s">
        <v>55</v>
      </c>
      <c r="J1951" s="8"/>
      <c r="K1951" s="8"/>
      <c r="L1951" s="7" t="s">
        <v>7472</v>
      </c>
      <c r="M1951" s="7" t="s">
        <v>7471</v>
      </c>
      <c r="N1951" s="7">
        <v>252</v>
      </c>
      <c r="O1951" s="7" t="s">
        <v>7473</v>
      </c>
    </row>
    <row r="1952" spans="1:16">
      <c r="A1952" s="6" t="s">
        <v>31</v>
      </c>
      <c r="B1952" s="7">
        <v>1739529</v>
      </c>
      <c r="C1952" s="7">
        <v>1739756</v>
      </c>
      <c r="D1952" s="8"/>
      <c r="E1952" s="7" t="s">
        <v>75</v>
      </c>
      <c r="F1952" s="7" t="s">
        <v>4289</v>
      </c>
      <c r="G1952" s="8"/>
      <c r="H1952" s="8"/>
      <c r="I1952" s="7" t="s">
        <v>55</v>
      </c>
      <c r="J1952" s="8"/>
      <c r="K1952" s="8"/>
      <c r="L1952" s="7" t="s">
        <v>7474</v>
      </c>
      <c r="M1952" s="7" t="s">
        <v>4289</v>
      </c>
      <c r="N1952" s="7">
        <v>75</v>
      </c>
      <c r="O1952" s="7" t="s">
        <v>7475</v>
      </c>
      <c r="P1952" s="7"/>
    </row>
    <row r="1953" spans="1:15">
      <c r="A1953" s="6" t="s">
        <v>31</v>
      </c>
      <c r="B1953" s="7">
        <v>1739986</v>
      </c>
      <c r="C1953" s="7">
        <v>1740168</v>
      </c>
      <c r="D1953" s="8"/>
      <c r="E1953" s="7" t="s">
        <v>53</v>
      </c>
      <c r="F1953" s="7" t="s">
        <v>1990</v>
      </c>
      <c r="G1953" s="7" t="s">
        <v>1991</v>
      </c>
      <c r="H1953" s="8"/>
      <c r="I1953" s="7" t="s">
        <v>55</v>
      </c>
      <c r="J1953" s="8"/>
      <c r="K1953" s="8"/>
      <c r="L1953" s="7" t="s">
        <v>7476</v>
      </c>
      <c r="M1953" s="7" t="s">
        <v>1990</v>
      </c>
      <c r="N1953" s="7">
        <v>60</v>
      </c>
      <c r="O1953" s="7" t="s">
        <v>7477</v>
      </c>
    </row>
    <row r="1954" spans="1:15">
      <c r="A1954" s="6" t="s">
        <v>31</v>
      </c>
      <c r="B1954" s="7">
        <v>1740184</v>
      </c>
      <c r="C1954" s="7">
        <v>1740333</v>
      </c>
      <c r="D1954" s="8"/>
      <c r="E1954" s="7" t="s">
        <v>53</v>
      </c>
      <c r="F1954" s="7" t="s">
        <v>7478</v>
      </c>
      <c r="G1954" s="7" t="s">
        <v>7479</v>
      </c>
      <c r="H1954" s="8"/>
      <c r="I1954" s="7" t="s">
        <v>55</v>
      </c>
      <c r="J1954" s="8"/>
      <c r="K1954" s="8"/>
      <c r="L1954" s="7" t="s">
        <v>7480</v>
      </c>
      <c r="M1954" s="7" t="s">
        <v>7478</v>
      </c>
      <c r="N1954" s="7">
        <v>49</v>
      </c>
      <c r="O1954" s="7" t="s">
        <v>7481</v>
      </c>
    </row>
    <row r="1955" spans="1:15">
      <c r="A1955" s="6" t="s">
        <v>31</v>
      </c>
      <c r="B1955" s="7">
        <v>1740554</v>
      </c>
      <c r="C1955" s="7">
        <v>1740787</v>
      </c>
      <c r="D1955" s="8"/>
      <c r="E1955" s="7" t="s">
        <v>75</v>
      </c>
      <c r="F1955" s="7" t="s">
        <v>2130</v>
      </c>
      <c r="G1955" s="8"/>
      <c r="H1955" s="8"/>
      <c r="I1955" s="7" t="s">
        <v>55</v>
      </c>
      <c r="J1955" s="8"/>
      <c r="K1955" s="8"/>
      <c r="L1955" s="7" t="s">
        <v>7482</v>
      </c>
      <c r="M1955" s="7" t="s">
        <v>2130</v>
      </c>
      <c r="N1955" s="7">
        <v>77</v>
      </c>
      <c r="O1955" s="7" t="s">
        <v>7483</v>
      </c>
    </row>
    <row r="1956" spans="1:15">
      <c r="A1956" s="6" t="s">
        <v>31</v>
      </c>
      <c r="B1956" s="7">
        <v>1740787</v>
      </c>
      <c r="C1956" s="7">
        <v>1741041</v>
      </c>
      <c r="D1956" s="8"/>
      <c r="E1956" s="7" t="s">
        <v>75</v>
      </c>
      <c r="F1956" s="7" t="s">
        <v>2130</v>
      </c>
      <c r="G1956" s="8"/>
      <c r="H1956" s="8"/>
      <c r="I1956" s="7" t="s">
        <v>55</v>
      </c>
      <c r="J1956" s="8"/>
      <c r="K1956" s="8"/>
      <c r="L1956" s="7" t="s">
        <v>7484</v>
      </c>
      <c r="M1956" s="7" t="s">
        <v>2130</v>
      </c>
      <c r="N1956" s="7">
        <v>84</v>
      </c>
      <c r="O1956" s="7" t="s">
        <v>7485</v>
      </c>
    </row>
    <row r="1957" spans="1:15">
      <c r="A1957" s="6" t="s">
        <v>31</v>
      </c>
      <c r="B1957" s="7">
        <v>1741100</v>
      </c>
      <c r="C1957" s="7">
        <v>1741279</v>
      </c>
      <c r="D1957" s="8"/>
      <c r="E1957" s="7" t="s">
        <v>75</v>
      </c>
      <c r="F1957" s="7" t="s">
        <v>2130</v>
      </c>
      <c r="G1957" s="8"/>
      <c r="H1957" s="8"/>
      <c r="I1957" s="7" t="s">
        <v>55</v>
      </c>
      <c r="J1957" s="8"/>
      <c r="K1957" s="8"/>
      <c r="L1957" s="7" t="s">
        <v>7486</v>
      </c>
      <c r="M1957" s="7" t="s">
        <v>2130</v>
      </c>
      <c r="N1957" s="7">
        <v>59</v>
      </c>
      <c r="O1957" s="7" t="s">
        <v>7487</v>
      </c>
    </row>
    <row r="1958" spans="1:15">
      <c r="A1958" s="6" t="s">
        <v>31</v>
      </c>
      <c r="B1958" s="7">
        <v>1741418</v>
      </c>
      <c r="C1958" s="7">
        <v>1741486</v>
      </c>
      <c r="D1958" s="8"/>
      <c r="E1958" s="7" t="s">
        <v>75</v>
      </c>
      <c r="F1958" s="7" t="s">
        <v>2095</v>
      </c>
      <c r="G1958" s="8"/>
      <c r="H1958" s="8"/>
      <c r="I1958" s="7" t="s">
        <v>55</v>
      </c>
      <c r="J1958" s="8"/>
      <c r="K1958" s="8"/>
      <c r="L1958" s="7" t="s">
        <v>7488</v>
      </c>
      <c r="M1958" s="7" t="s">
        <v>2095</v>
      </c>
      <c r="N1958" s="7">
        <v>22</v>
      </c>
      <c r="O1958" s="7" t="s">
        <v>7489</v>
      </c>
    </row>
    <row r="1959" spans="1:15">
      <c r="A1959" s="6" t="s">
        <v>31</v>
      </c>
      <c r="B1959" s="7">
        <v>1741667</v>
      </c>
      <c r="C1959" s="7">
        <v>1741981</v>
      </c>
      <c r="D1959" s="8"/>
      <c r="E1959" s="7" t="s">
        <v>75</v>
      </c>
      <c r="F1959" s="7" t="s">
        <v>7490</v>
      </c>
      <c r="G1959" s="8"/>
      <c r="H1959" s="8"/>
      <c r="I1959" s="7" t="s">
        <v>55</v>
      </c>
      <c r="J1959" s="8"/>
      <c r="K1959" s="8"/>
      <c r="L1959" s="7" t="s">
        <v>7491</v>
      </c>
      <c r="M1959" s="7" t="s">
        <v>7490</v>
      </c>
      <c r="N1959" s="7">
        <v>104</v>
      </c>
      <c r="O1959" s="7" t="s">
        <v>7492</v>
      </c>
    </row>
    <row r="1960" spans="1:15">
      <c r="A1960" s="6" t="s">
        <v>31</v>
      </c>
      <c r="B1960" s="7">
        <v>1742327</v>
      </c>
      <c r="C1960" s="7">
        <v>1742929</v>
      </c>
      <c r="D1960" s="8"/>
      <c r="E1960" s="7" t="s">
        <v>75</v>
      </c>
      <c r="F1960" s="7" t="s">
        <v>4053</v>
      </c>
      <c r="G1960" s="8"/>
      <c r="H1960" s="8"/>
      <c r="I1960" s="7" t="s">
        <v>55</v>
      </c>
      <c r="J1960" s="8"/>
      <c r="K1960" s="8"/>
      <c r="L1960" s="7" t="s">
        <v>7493</v>
      </c>
      <c r="M1960" s="7" t="s">
        <v>4053</v>
      </c>
      <c r="N1960" s="7">
        <v>200</v>
      </c>
      <c r="O1960" s="7" t="s">
        <v>7494</v>
      </c>
    </row>
    <row r="1961" spans="1:15">
      <c r="A1961" s="6" t="s">
        <v>31</v>
      </c>
      <c r="B1961" s="7">
        <v>1742973</v>
      </c>
      <c r="C1961" s="7">
        <v>1743344</v>
      </c>
      <c r="D1961" s="8"/>
      <c r="E1961" s="7" t="s">
        <v>75</v>
      </c>
      <c r="F1961" s="7" t="s">
        <v>2130</v>
      </c>
      <c r="G1961" s="8"/>
      <c r="H1961" s="8"/>
      <c r="I1961" s="7" t="s">
        <v>55</v>
      </c>
      <c r="J1961" s="8"/>
      <c r="K1961" s="8"/>
      <c r="L1961" s="7" t="s">
        <v>7495</v>
      </c>
      <c r="M1961" s="7" t="s">
        <v>2130</v>
      </c>
      <c r="N1961" s="7">
        <v>123</v>
      </c>
      <c r="O1961" s="7" t="s">
        <v>7496</v>
      </c>
    </row>
    <row r="1962" spans="1:15">
      <c r="A1962" s="6" t="s">
        <v>31</v>
      </c>
      <c r="B1962" s="7">
        <v>1743933</v>
      </c>
      <c r="C1962" s="7">
        <v>1744172</v>
      </c>
      <c r="D1962" s="8"/>
      <c r="E1962" s="7" t="s">
        <v>53</v>
      </c>
      <c r="F1962" s="7" t="s">
        <v>4053</v>
      </c>
      <c r="G1962" s="8"/>
      <c r="H1962" s="8"/>
      <c r="I1962" s="7" t="s">
        <v>55</v>
      </c>
      <c r="J1962" s="8"/>
      <c r="K1962" s="8"/>
      <c r="L1962" s="7" t="s">
        <v>7497</v>
      </c>
      <c r="M1962" s="7" t="s">
        <v>4053</v>
      </c>
      <c r="N1962" s="7">
        <v>79</v>
      </c>
      <c r="O1962" s="7" t="s">
        <v>7498</v>
      </c>
    </row>
    <row r="1963" spans="1:15">
      <c r="A1963" s="6" t="s">
        <v>31</v>
      </c>
      <c r="B1963" s="7">
        <v>1744231</v>
      </c>
      <c r="C1963" s="7">
        <v>1744797</v>
      </c>
      <c r="D1963" s="8"/>
      <c r="E1963" s="7" t="s">
        <v>53</v>
      </c>
      <c r="F1963" s="7" t="s">
        <v>2130</v>
      </c>
      <c r="G1963" s="8"/>
      <c r="H1963" s="8"/>
      <c r="I1963" s="7" t="s">
        <v>55</v>
      </c>
      <c r="J1963" s="8"/>
      <c r="K1963" s="8"/>
      <c r="L1963" s="7" t="s">
        <v>7499</v>
      </c>
      <c r="M1963" s="7" t="s">
        <v>2130</v>
      </c>
      <c r="N1963" s="7">
        <v>188</v>
      </c>
      <c r="O1963" s="7" t="s">
        <v>7500</v>
      </c>
    </row>
    <row r="1964" spans="1:15">
      <c r="A1964" s="6" t="s">
        <v>31</v>
      </c>
      <c r="B1964" s="7">
        <v>1744810</v>
      </c>
      <c r="C1964" s="7">
        <v>1744980</v>
      </c>
      <c r="D1964" s="8"/>
      <c r="E1964" s="7" t="s">
        <v>53</v>
      </c>
      <c r="F1964" s="7" t="s">
        <v>2130</v>
      </c>
      <c r="G1964" s="8"/>
      <c r="H1964" s="8"/>
      <c r="I1964" s="7" t="s">
        <v>55</v>
      </c>
      <c r="J1964" s="8"/>
      <c r="K1964" s="8"/>
      <c r="L1964" s="7" t="s">
        <v>7501</v>
      </c>
      <c r="M1964" s="7" t="s">
        <v>2130</v>
      </c>
      <c r="N1964" s="7">
        <v>56</v>
      </c>
      <c r="O1964" s="7" t="s">
        <v>7502</v>
      </c>
    </row>
    <row r="1965" spans="1:15">
      <c r="A1965" s="6" t="s">
        <v>31</v>
      </c>
      <c r="B1965" s="7">
        <v>1745024</v>
      </c>
      <c r="C1965" s="7">
        <v>1745977</v>
      </c>
      <c r="D1965" s="8"/>
      <c r="E1965" s="7" t="s">
        <v>75</v>
      </c>
      <c r="F1965" s="7" t="s">
        <v>1280</v>
      </c>
      <c r="G1965" s="7" t="s">
        <v>2108</v>
      </c>
      <c r="H1965" s="8"/>
      <c r="I1965" s="7" t="s">
        <v>55</v>
      </c>
      <c r="J1965" s="8"/>
      <c r="K1965" s="8"/>
      <c r="L1965" s="7" t="s">
        <v>7503</v>
      </c>
      <c r="M1965" s="7" t="s">
        <v>1280</v>
      </c>
      <c r="N1965" s="7">
        <v>317</v>
      </c>
      <c r="O1965" s="7" t="s">
        <v>7504</v>
      </c>
    </row>
    <row r="1966" spans="1:15">
      <c r="A1966" s="6" t="s">
        <v>31</v>
      </c>
      <c r="B1966" s="7">
        <v>1746209</v>
      </c>
      <c r="C1966" s="7">
        <v>1746796</v>
      </c>
      <c r="D1966" s="8"/>
      <c r="E1966" s="7" t="s">
        <v>53</v>
      </c>
      <c r="F1966" s="7" t="s">
        <v>7505</v>
      </c>
      <c r="G1966" s="8"/>
      <c r="H1966" s="8"/>
      <c r="I1966" s="7" t="s">
        <v>55</v>
      </c>
      <c r="J1966" s="8"/>
      <c r="K1966" s="8"/>
      <c r="L1966" s="7" t="s">
        <v>7506</v>
      </c>
      <c r="M1966" s="7" t="s">
        <v>7505</v>
      </c>
      <c r="N1966" s="7">
        <v>195</v>
      </c>
      <c r="O1966" s="7" t="s">
        <v>7507</v>
      </c>
    </row>
    <row r="1967" spans="1:15">
      <c r="A1967" s="6" t="s">
        <v>31</v>
      </c>
      <c r="B1967" s="7">
        <v>1746869</v>
      </c>
      <c r="C1967" s="7">
        <v>1747072</v>
      </c>
      <c r="D1967" s="8"/>
      <c r="E1967" s="7" t="s">
        <v>53</v>
      </c>
      <c r="F1967" s="7" t="s">
        <v>2130</v>
      </c>
      <c r="G1967" s="8"/>
      <c r="H1967" s="8"/>
      <c r="I1967" s="7" t="s">
        <v>55</v>
      </c>
      <c r="J1967" s="8"/>
      <c r="K1967" s="8"/>
      <c r="L1967" s="7" t="s">
        <v>7508</v>
      </c>
      <c r="M1967" s="7" t="s">
        <v>2130</v>
      </c>
      <c r="N1967" s="7">
        <v>67</v>
      </c>
      <c r="O1967" s="7" t="s">
        <v>7509</v>
      </c>
    </row>
    <row r="1968" spans="1:15">
      <c r="A1968" s="6" t="s">
        <v>31</v>
      </c>
      <c r="B1968" s="7">
        <v>1747664</v>
      </c>
      <c r="C1968" s="7">
        <v>1748215</v>
      </c>
      <c r="D1968" s="8"/>
      <c r="E1968" s="7" t="s">
        <v>75</v>
      </c>
      <c r="F1968" s="7" t="s">
        <v>7510</v>
      </c>
      <c r="G1968" s="8"/>
      <c r="H1968" s="8"/>
      <c r="I1968" s="7" t="s">
        <v>55</v>
      </c>
      <c r="J1968" s="8"/>
      <c r="K1968" s="8"/>
      <c r="L1968" s="7" t="s">
        <v>7511</v>
      </c>
      <c r="M1968" s="7" t="s">
        <v>7510</v>
      </c>
      <c r="N1968" s="7">
        <v>183</v>
      </c>
      <c r="O1968" s="7" t="s">
        <v>7512</v>
      </c>
    </row>
    <row r="1969" spans="1:16">
      <c r="A1969" s="6" t="s">
        <v>31</v>
      </c>
      <c r="B1969" s="7">
        <v>1748184</v>
      </c>
      <c r="C1969" s="7">
        <v>1748339</v>
      </c>
      <c r="D1969" s="8"/>
      <c r="E1969" s="7" t="s">
        <v>75</v>
      </c>
      <c r="F1969" s="7" t="s">
        <v>2130</v>
      </c>
      <c r="G1969" s="8"/>
      <c r="H1969" s="8"/>
      <c r="I1969" s="7" t="s">
        <v>55</v>
      </c>
      <c r="J1969" s="8"/>
      <c r="K1969" s="8"/>
      <c r="L1969" s="7" t="s">
        <v>7513</v>
      </c>
      <c r="M1969" s="7" t="s">
        <v>2130</v>
      </c>
      <c r="N1969" s="7">
        <v>51</v>
      </c>
      <c r="O1969" s="7" t="s">
        <v>7514</v>
      </c>
    </row>
    <row r="1970" spans="1:16">
      <c r="A1970" s="6" t="s">
        <v>31</v>
      </c>
      <c r="B1970" s="7">
        <v>1748502</v>
      </c>
      <c r="C1970" s="7">
        <v>1748654</v>
      </c>
      <c r="D1970" s="8"/>
      <c r="E1970" s="7" t="s">
        <v>53</v>
      </c>
      <c r="F1970" s="7" t="s">
        <v>7515</v>
      </c>
      <c r="G1970" s="8"/>
      <c r="H1970" s="8"/>
      <c r="I1970" s="7" t="s">
        <v>55</v>
      </c>
      <c r="J1970" s="8"/>
      <c r="K1970" s="8"/>
      <c r="L1970" s="7" t="s">
        <v>7516</v>
      </c>
      <c r="M1970" s="7" t="s">
        <v>7515</v>
      </c>
      <c r="N1970" s="7">
        <v>50</v>
      </c>
      <c r="O1970" s="7" t="s">
        <v>7517</v>
      </c>
    </row>
    <row r="1971" spans="1:16">
      <c r="A1971" s="6" t="s">
        <v>31</v>
      </c>
      <c r="B1971" s="7">
        <v>1748668</v>
      </c>
      <c r="C1971" s="7">
        <v>1748829</v>
      </c>
      <c r="D1971" s="8"/>
      <c r="E1971" s="7" t="s">
        <v>53</v>
      </c>
      <c r="F1971" s="7" t="s">
        <v>7515</v>
      </c>
      <c r="G1971" s="8"/>
      <c r="H1971" s="8"/>
      <c r="I1971" s="7" t="s">
        <v>55</v>
      </c>
      <c r="J1971" s="8"/>
      <c r="K1971" s="8"/>
      <c r="L1971" s="7" t="s">
        <v>7518</v>
      </c>
      <c r="M1971" s="7" t="s">
        <v>7515</v>
      </c>
      <c r="N1971" s="7">
        <v>53</v>
      </c>
      <c r="O1971" s="7" t="s">
        <v>7519</v>
      </c>
    </row>
    <row r="1972" spans="1:16">
      <c r="A1972" s="6" t="s">
        <v>31</v>
      </c>
      <c r="B1972" s="7">
        <v>1749035</v>
      </c>
      <c r="C1972" s="7">
        <v>1749256</v>
      </c>
      <c r="D1972" s="8"/>
      <c r="E1972" s="7" t="s">
        <v>53</v>
      </c>
      <c r="F1972" s="7" t="s">
        <v>2130</v>
      </c>
      <c r="G1972" s="8"/>
      <c r="H1972" s="8"/>
      <c r="I1972" s="7" t="s">
        <v>55</v>
      </c>
      <c r="J1972" s="8"/>
      <c r="K1972" s="8"/>
      <c r="L1972" s="7" t="s">
        <v>7520</v>
      </c>
      <c r="M1972" s="7" t="s">
        <v>2130</v>
      </c>
      <c r="N1972" s="7">
        <v>73</v>
      </c>
      <c r="O1972" s="7" t="s">
        <v>7521</v>
      </c>
    </row>
    <row r="1973" spans="1:16">
      <c r="A1973" s="6" t="s">
        <v>31</v>
      </c>
      <c r="B1973" s="7">
        <v>1749370</v>
      </c>
      <c r="C1973" s="7">
        <v>1750245</v>
      </c>
      <c r="D1973" s="8"/>
      <c r="E1973" s="7" t="s">
        <v>53</v>
      </c>
      <c r="F1973" s="7" t="s">
        <v>2130</v>
      </c>
      <c r="G1973" s="8"/>
      <c r="H1973" s="8"/>
      <c r="I1973" s="7" t="s">
        <v>55</v>
      </c>
      <c r="J1973" s="8"/>
      <c r="K1973" s="8"/>
      <c r="L1973" s="7" t="s">
        <v>7522</v>
      </c>
      <c r="M1973" s="7" t="s">
        <v>2130</v>
      </c>
      <c r="N1973" s="7">
        <v>291</v>
      </c>
      <c r="O1973" s="7" t="s">
        <v>7523</v>
      </c>
    </row>
    <row r="1974" spans="1:16">
      <c r="A1974" s="6" t="s">
        <v>31</v>
      </c>
      <c r="B1974" s="7">
        <v>1750282</v>
      </c>
      <c r="C1974" s="7">
        <v>1752651</v>
      </c>
      <c r="D1974" s="8"/>
      <c r="E1974" s="7" t="s">
        <v>75</v>
      </c>
      <c r="F1974" s="7" t="s">
        <v>7524</v>
      </c>
      <c r="G1974" s="8"/>
      <c r="H1974" s="8"/>
      <c r="I1974" s="7" t="s">
        <v>55</v>
      </c>
      <c r="J1974" s="8"/>
      <c r="K1974" s="8"/>
      <c r="L1974" s="7" t="s">
        <v>7525</v>
      </c>
      <c r="M1974" s="7" t="s">
        <v>7524</v>
      </c>
      <c r="N1974" s="7">
        <v>789</v>
      </c>
      <c r="O1974" s="7" t="s">
        <v>7526</v>
      </c>
    </row>
    <row r="1975" spans="1:16">
      <c r="A1975" s="6" t="s">
        <v>31</v>
      </c>
      <c r="B1975" s="7">
        <v>1752780</v>
      </c>
      <c r="C1975" s="7">
        <v>1753319</v>
      </c>
      <c r="D1975" s="8"/>
      <c r="E1975" s="7" t="s">
        <v>53</v>
      </c>
      <c r="F1975" s="7" t="s">
        <v>7527</v>
      </c>
      <c r="G1975" s="8"/>
      <c r="H1975" s="8"/>
      <c r="I1975" s="7" t="s">
        <v>55</v>
      </c>
      <c r="J1975" s="8"/>
      <c r="K1975" s="8"/>
      <c r="L1975" s="7" t="s">
        <v>7528</v>
      </c>
      <c r="M1975" s="7" t="s">
        <v>7527</v>
      </c>
      <c r="N1975" s="7">
        <v>179</v>
      </c>
      <c r="O1975" s="7" t="s">
        <v>7529</v>
      </c>
    </row>
    <row r="1976" spans="1:16">
      <c r="A1976" s="6" t="s">
        <v>31</v>
      </c>
      <c r="B1976" s="7">
        <v>1753397</v>
      </c>
      <c r="C1976" s="7">
        <v>1753759</v>
      </c>
      <c r="D1976" s="8"/>
      <c r="E1976" s="7" t="s">
        <v>75</v>
      </c>
      <c r="F1976" s="7" t="s">
        <v>2212</v>
      </c>
      <c r="G1976" s="8"/>
      <c r="H1976" s="8"/>
      <c r="I1976" s="7" t="s">
        <v>55</v>
      </c>
      <c r="J1976" s="8"/>
      <c r="K1976" s="8"/>
      <c r="L1976" s="7" t="s">
        <v>7530</v>
      </c>
      <c r="M1976" s="7" t="s">
        <v>2212</v>
      </c>
      <c r="N1976" s="7">
        <v>120</v>
      </c>
      <c r="O1976" s="7" t="s">
        <v>7531</v>
      </c>
    </row>
    <row r="1977" spans="1:16">
      <c r="A1977" s="6" t="s">
        <v>31</v>
      </c>
      <c r="B1977" s="7">
        <v>1753875</v>
      </c>
      <c r="C1977" s="7">
        <v>1754042</v>
      </c>
      <c r="D1977" s="8"/>
      <c r="E1977" s="7" t="s">
        <v>53</v>
      </c>
      <c r="F1977" s="7" t="s">
        <v>2130</v>
      </c>
      <c r="G1977" s="8"/>
      <c r="H1977" s="8"/>
      <c r="I1977" s="7" t="s">
        <v>55</v>
      </c>
      <c r="J1977" s="8"/>
      <c r="K1977" s="8"/>
      <c r="L1977" s="7" t="s">
        <v>7532</v>
      </c>
      <c r="M1977" s="7" t="s">
        <v>2130</v>
      </c>
      <c r="N1977" s="7">
        <v>55</v>
      </c>
      <c r="O1977" s="7" t="s">
        <v>7533</v>
      </c>
    </row>
    <row r="1978" spans="1:16">
      <c r="A1978" s="6" t="s">
        <v>31</v>
      </c>
      <c r="B1978" s="7">
        <v>1754290</v>
      </c>
      <c r="C1978" s="7">
        <v>1754901</v>
      </c>
      <c r="D1978" s="8"/>
      <c r="E1978" s="7" t="s">
        <v>75</v>
      </c>
      <c r="F1978" s="7" t="s">
        <v>7534</v>
      </c>
      <c r="G1978" s="7" t="s">
        <v>2008</v>
      </c>
      <c r="H1978" s="8"/>
      <c r="I1978" s="7" t="s">
        <v>55</v>
      </c>
      <c r="J1978" s="8"/>
      <c r="K1978" s="8"/>
      <c r="L1978" s="7" t="s">
        <v>7535</v>
      </c>
      <c r="M1978" s="7" t="s">
        <v>7534</v>
      </c>
      <c r="N1978" s="7">
        <v>203</v>
      </c>
      <c r="O1978" s="7" t="s">
        <v>7536</v>
      </c>
    </row>
    <row r="1979" spans="1:16">
      <c r="A1979" s="6" t="s">
        <v>31</v>
      </c>
      <c r="B1979" s="7">
        <v>1755099</v>
      </c>
      <c r="C1979" s="7">
        <v>1755401</v>
      </c>
      <c r="D1979" s="8"/>
      <c r="E1979" s="7" t="s">
        <v>75</v>
      </c>
      <c r="F1979" s="7" t="s">
        <v>7537</v>
      </c>
      <c r="G1979" s="8"/>
      <c r="H1979" s="8"/>
      <c r="I1979" s="7" t="s">
        <v>55</v>
      </c>
      <c r="J1979" s="8"/>
      <c r="K1979" s="8"/>
      <c r="L1979" s="7" t="s">
        <v>7538</v>
      </c>
      <c r="M1979" s="7" t="s">
        <v>7537</v>
      </c>
      <c r="N1979" s="7">
        <v>100</v>
      </c>
      <c r="O1979" s="7" t="s">
        <v>7539</v>
      </c>
    </row>
    <row r="1980" spans="1:16">
      <c r="A1980" s="6" t="s">
        <v>31</v>
      </c>
      <c r="B1980" s="7">
        <v>1755425</v>
      </c>
      <c r="C1980" s="7">
        <v>1756786</v>
      </c>
      <c r="D1980" s="8"/>
      <c r="E1980" s="7" t="s">
        <v>75</v>
      </c>
      <c r="F1980" s="7" t="s">
        <v>2011</v>
      </c>
      <c r="G1980" s="7" t="s">
        <v>7540</v>
      </c>
      <c r="H1980" s="8"/>
      <c r="I1980" s="7" t="s">
        <v>55</v>
      </c>
      <c r="J1980" s="8"/>
      <c r="K1980" s="8"/>
      <c r="L1980" s="7" t="s">
        <v>7541</v>
      </c>
      <c r="M1980" s="7" t="s">
        <v>2011</v>
      </c>
      <c r="N1980" s="7">
        <v>453</v>
      </c>
      <c r="O1980" s="7" t="s">
        <v>7542</v>
      </c>
      <c r="P1980" s="7"/>
    </row>
    <row r="1981" spans="1:16">
      <c r="A1981" s="6" t="s">
        <v>31</v>
      </c>
      <c r="B1981" s="7">
        <v>1756830</v>
      </c>
      <c r="C1981" s="7">
        <v>1757288</v>
      </c>
      <c r="D1981" s="8"/>
      <c r="E1981" s="7" t="s">
        <v>75</v>
      </c>
      <c r="F1981" s="7" t="s">
        <v>7543</v>
      </c>
      <c r="G1981" s="7" t="s">
        <v>2013</v>
      </c>
      <c r="H1981" s="8"/>
      <c r="I1981" s="7" t="s">
        <v>55</v>
      </c>
      <c r="J1981" s="8"/>
      <c r="K1981" s="8"/>
      <c r="L1981" s="7" t="s">
        <v>7544</v>
      </c>
      <c r="M1981" s="7" t="s">
        <v>7543</v>
      </c>
      <c r="N1981" s="7">
        <v>152</v>
      </c>
      <c r="O1981" s="7" t="s">
        <v>7545</v>
      </c>
    </row>
    <row r="1982" spans="1:16">
      <c r="A1982" s="6" t="s">
        <v>31</v>
      </c>
      <c r="B1982" s="7">
        <v>1757290</v>
      </c>
      <c r="C1982" s="7">
        <v>1759254</v>
      </c>
      <c r="D1982" s="8"/>
      <c r="E1982" s="7" t="s">
        <v>75</v>
      </c>
      <c r="F1982" s="7" t="s">
        <v>7546</v>
      </c>
      <c r="G1982" s="8"/>
      <c r="H1982" s="8"/>
      <c r="I1982" s="7" t="s">
        <v>55</v>
      </c>
      <c r="J1982" s="8"/>
      <c r="K1982" s="8"/>
      <c r="L1982" s="7" t="s">
        <v>7547</v>
      </c>
      <c r="M1982" s="7" t="s">
        <v>7546</v>
      </c>
      <c r="N1982" s="7">
        <v>654</v>
      </c>
      <c r="O1982" s="7" t="s">
        <v>7548</v>
      </c>
    </row>
    <row r="1983" spans="1:16">
      <c r="A1983" s="6" t="s">
        <v>31</v>
      </c>
      <c r="B1983" s="7">
        <v>1759328</v>
      </c>
      <c r="C1983" s="7">
        <v>1761340</v>
      </c>
      <c r="D1983" s="8"/>
      <c r="E1983" s="7" t="s">
        <v>75</v>
      </c>
      <c r="F1983" s="7" t="s">
        <v>7549</v>
      </c>
      <c r="G1983" s="7" t="s">
        <v>7550</v>
      </c>
      <c r="H1983" s="8"/>
      <c r="I1983" s="7" t="s">
        <v>55</v>
      </c>
      <c r="J1983" s="8"/>
      <c r="K1983" s="8"/>
      <c r="L1983" s="7" t="s">
        <v>7551</v>
      </c>
      <c r="M1983" s="7" t="s">
        <v>7549</v>
      </c>
      <c r="N1983" s="7">
        <v>670</v>
      </c>
      <c r="O1983" s="7" t="s">
        <v>7552</v>
      </c>
    </row>
    <row r="1984" spans="1:16">
      <c r="A1984" s="6" t="s">
        <v>31</v>
      </c>
      <c r="B1984" s="7">
        <v>1761504</v>
      </c>
      <c r="C1984" s="7">
        <v>1762625</v>
      </c>
      <c r="D1984" s="8"/>
      <c r="E1984" s="7" t="s">
        <v>75</v>
      </c>
      <c r="F1984" s="7" t="s">
        <v>7553</v>
      </c>
      <c r="G1984" s="7" t="s">
        <v>2017</v>
      </c>
      <c r="H1984" s="8"/>
      <c r="I1984" s="7" t="s">
        <v>55</v>
      </c>
      <c r="J1984" s="8"/>
      <c r="K1984" s="8"/>
      <c r="L1984" s="7" t="s">
        <v>7554</v>
      </c>
      <c r="M1984" s="7" t="s">
        <v>7553</v>
      </c>
      <c r="N1984" s="7">
        <v>373</v>
      </c>
      <c r="O1984" s="7" t="s">
        <v>7555</v>
      </c>
      <c r="P1984" s="7"/>
    </row>
    <row r="1985" spans="1:16">
      <c r="A1985" s="6" t="s">
        <v>31</v>
      </c>
      <c r="B1985" s="7">
        <v>1762764</v>
      </c>
      <c r="C1985" s="7">
        <v>1764479</v>
      </c>
      <c r="D1985" s="8"/>
      <c r="E1985" s="7" t="s">
        <v>75</v>
      </c>
      <c r="F1985" s="7" t="s">
        <v>2212</v>
      </c>
      <c r="G1985" s="8"/>
      <c r="H1985" s="8"/>
      <c r="I1985" s="7" t="s">
        <v>55</v>
      </c>
      <c r="J1985" s="8"/>
      <c r="K1985" s="8"/>
      <c r="L1985" s="7" t="s">
        <v>7556</v>
      </c>
      <c r="M1985" s="7" t="s">
        <v>2212</v>
      </c>
      <c r="N1985" s="7">
        <v>571</v>
      </c>
      <c r="O1985" s="7" t="s">
        <v>7557</v>
      </c>
    </row>
    <row r="1986" spans="1:16">
      <c r="A1986" s="6" t="s">
        <v>31</v>
      </c>
      <c r="B1986" s="7">
        <v>1764581</v>
      </c>
      <c r="C1986" s="7">
        <v>1765210</v>
      </c>
      <c r="D1986" s="8"/>
      <c r="E1986" s="7" t="s">
        <v>75</v>
      </c>
      <c r="F1986" s="7" t="s">
        <v>7558</v>
      </c>
      <c r="G1986" s="8"/>
      <c r="H1986" s="8"/>
      <c r="I1986" s="7" t="s">
        <v>55</v>
      </c>
      <c r="J1986" s="8"/>
      <c r="K1986" s="8"/>
      <c r="L1986" s="7" t="s">
        <v>7559</v>
      </c>
      <c r="M1986" s="7" t="s">
        <v>7558</v>
      </c>
      <c r="N1986" s="7">
        <v>209</v>
      </c>
      <c r="O1986" s="7" t="s">
        <v>7560</v>
      </c>
    </row>
    <row r="1987" spans="1:16">
      <c r="A1987" s="6" t="s">
        <v>31</v>
      </c>
      <c r="B1987" s="7">
        <v>1765451</v>
      </c>
      <c r="C1987" s="7">
        <v>1766005</v>
      </c>
      <c r="D1987" s="8"/>
      <c r="E1987" s="7" t="s">
        <v>75</v>
      </c>
      <c r="F1987" s="7" t="s">
        <v>7561</v>
      </c>
      <c r="G1987" s="8"/>
      <c r="H1987" s="8"/>
      <c r="I1987" s="7" t="s">
        <v>55</v>
      </c>
      <c r="J1987" s="8"/>
      <c r="K1987" s="8"/>
      <c r="L1987" s="7" t="s">
        <v>7562</v>
      </c>
      <c r="M1987" s="7" t="s">
        <v>7561</v>
      </c>
      <c r="N1987" s="7">
        <v>184</v>
      </c>
      <c r="O1987" s="7" t="s">
        <v>7563</v>
      </c>
    </row>
    <row r="1988" spans="1:16">
      <c r="A1988" s="6" t="s">
        <v>31</v>
      </c>
      <c r="B1988" s="7">
        <v>1766309</v>
      </c>
      <c r="C1988" s="7">
        <v>1767103</v>
      </c>
      <c r="D1988" s="8"/>
      <c r="E1988" s="7" t="s">
        <v>75</v>
      </c>
      <c r="F1988" s="7" t="s">
        <v>7564</v>
      </c>
      <c r="G1988" s="7" t="s">
        <v>7565</v>
      </c>
      <c r="H1988" s="8"/>
      <c r="I1988" s="7" t="s">
        <v>55</v>
      </c>
      <c r="J1988" s="8"/>
      <c r="K1988" s="8"/>
      <c r="L1988" s="7" t="s">
        <v>7566</v>
      </c>
      <c r="M1988" s="7" t="s">
        <v>7564</v>
      </c>
      <c r="N1988" s="7">
        <v>264</v>
      </c>
      <c r="O1988" s="7" t="s">
        <v>7567</v>
      </c>
    </row>
    <row r="1989" spans="1:16">
      <c r="A1989" s="6" t="s">
        <v>31</v>
      </c>
      <c r="B1989" s="7">
        <v>1767096</v>
      </c>
      <c r="C1989" s="7">
        <v>1767938</v>
      </c>
      <c r="D1989" s="8"/>
      <c r="E1989" s="7" t="s">
        <v>75</v>
      </c>
      <c r="F1989" s="7" t="s">
        <v>7568</v>
      </c>
      <c r="G1989" s="7" t="s">
        <v>7569</v>
      </c>
      <c r="H1989" s="8"/>
      <c r="I1989" s="7" t="s">
        <v>55</v>
      </c>
      <c r="J1989" s="8"/>
      <c r="K1989" s="8"/>
      <c r="L1989" s="7" t="s">
        <v>7570</v>
      </c>
      <c r="M1989" s="7" t="s">
        <v>7568</v>
      </c>
      <c r="N1989" s="7">
        <v>280</v>
      </c>
      <c r="O1989" s="7" t="s">
        <v>7571</v>
      </c>
    </row>
    <row r="1990" spans="1:16">
      <c r="A1990" s="6" t="s">
        <v>31</v>
      </c>
      <c r="B1990" s="7">
        <v>1767914</v>
      </c>
      <c r="C1990" s="7">
        <v>1768744</v>
      </c>
      <c r="D1990" s="8"/>
      <c r="E1990" s="7" t="s">
        <v>75</v>
      </c>
      <c r="F1990" s="7" t="s">
        <v>7568</v>
      </c>
      <c r="G1990" s="7" t="s">
        <v>7572</v>
      </c>
      <c r="H1990" s="8"/>
      <c r="I1990" s="7" t="s">
        <v>55</v>
      </c>
      <c r="J1990" s="8"/>
      <c r="K1990" s="8"/>
      <c r="L1990" s="7" t="s">
        <v>7573</v>
      </c>
      <c r="M1990" s="7" t="s">
        <v>7568</v>
      </c>
      <c r="N1990" s="7">
        <v>276</v>
      </c>
      <c r="O1990" s="7" t="s">
        <v>7574</v>
      </c>
    </row>
    <row r="1991" spans="1:16">
      <c r="A1991" s="6" t="s">
        <v>31</v>
      </c>
      <c r="B1991" s="7">
        <v>1768757</v>
      </c>
      <c r="C1991" s="7">
        <v>1769299</v>
      </c>
      <c r="D1991" s="8"/>
      <c r="E1991" s="7" t="s">
        <v>75</v>
      </c>
      <c r="F1991" s="7" t="s">
        <v>7575</v>
      </c>
      <c r="G1991" s="7" t="s">
        <v>2025</v>
      </c>
      <c r="H1991" s="8"/>
      <c r="I1991" s="7" t="s">
        <v>55</v>
      </c>
      <c r="J1991" s="8"/>
      <c r="K1991" s="8"/>
      <c r="L1991" s="7" t="s">
        <v>7576</v>
      </c>
      <c r="M1991" s="7" t="s">
        <v>7575</v>
      </c>
      <c r="N1991" s="7">
        <v>180</v>
      </c>
      <c r="O1991" s="7" t="s">
        <v>7577</v>
      </c>
      <c r="P1991" s="7"/>
    </row>
    <row r="1992" spans="1:16">
      <c r="A1992" s="6" t="s">
        <v>31</v>
      </c>
      <c r="B1992" s="7">
        <v>1769312</v>
      </c>
      <c r="C1992" s="7">
        <v>1770169</v>
      </c>
      <c r="D1992" s="8"/>
      <c r="E1992" s="7" t="s">
        <v>75</v>
      </c>
      <c r="F1992" s="7" t="s">
        <v>2831</v>
      </c>
      <c r="G1992" s="8"/>
      <c r="H1992" s="8"/>
      <c r="I1992" s="7" t="s">
        <v>55</v>
      </c>
      <c r="J1992" s="8"/>
      <c r="K1992" s="8"/>
      <c r="L1992" s="7" t="s">
        <v>7578</v>
      </c>
      <c r="M1992" s="7" t="s">
        <v>2831</v>
      </c>
      <c r="N1992" s="7">
        <v>285</v>
      </c>
      <c r="O1992" s="7" t="s">
        <v>7579</v>
      </c>
    </row>
    <row r="1993" spans="1:16">
      <c r="A1993" s="6" t="s">
        <v>31</v>
      </c>
      <c r="B1993" s="7">
        <v>1770228</v>
      </c>
      <c r="C1993" s="7">
        <v>1771505</v>
      </c>
      <c r="D1993" s="8"/>
      <c r="E1993" s="7" t="s">
        <v>75</v>
      </c>
      <c r="F1993" s="7" t="s">
        <v>7580</v>
      </c>
      <c r="G1993" s="8"/>
      <c r="H1993" s="8"/>
      <c r="I1993" s="7" t="s">
        <v>55</v>
      </c>
      <c r="J1993" s="8"/>
      <c r="K1993" s="8"/>
      <c r="L1993" s="7" t="s">
        <v>7581</v>
      </c>
      <c r="M1993" s="7" t="s">
        <v>7580</v>
      </c>
      <c r="N1993" s="7">
        <v>425</v>
      </c>
      <c r="O1993" s="7" t="s">
        <v>7582</v>
      </c>
    </row>
    <row r="1994" spans="1:16">
      <c r="A1994" s="6" t="s">
        <v>31</v>
      </c>
      <c r="B1994" s="7">
        <v>1771507</v>
      </c>
      <c r="C1994" s="7">
        <v>1772757</v>
      </c>
      <c r="D1994" s="8"/>
      <c r="E1994" s="7" t="s">
        <v>75</v>
      </c>
      <c r="F1994" s="7" t="s">
        <v>7583</v>
      </c>
      <c r="G1994" s="8"/>
      <c r="H1994" s="8"/>
      <c r="I1994" s="7" t="s">
        <v>55</v>
      </c>
      <c r="J1994" s="8"/>
      <c r="K1994" s="8"/>
      <c r="L1994" s="7" t="s">
        <v>7584</v>
      </c>
      <c r="M1994" s="7" t="s">
        <v>7583</v>
      </c>
      <c r="N1994" s="7">
        <v>416</v>
      </c>
      <c r="O1994" s="7" t="s">
        <v>7585</v>
      </c>
    </row>
    <row r="1995" spans="1:16">
      <c r="A1995" s="6" t="s">
        <v>31</v>
      </c>
      <c r="B1995" s="7">
        <v>1772835</v>
      </c>
      <c r="C1995" s="7">
        <v>1773212</v>
      </c>
      <c r="D1995" s="8"/>
      <c r="E1995" s="7" t="s">
        <v>53</v>
      </c>
      <c r="F1995" s="7" t="s">
        <v>3526</v>
      </c>
      <c r="G1995" s="8"/>
      <c r="H1995" s="8"/>
      <c r="I1995" s="7" t="s">
        <v>55</v>
      </c>
      <c r="J1995" s="8"/>
      <c r="K1995" s="8"/>
      <c r="L1995" s="7" t="s">
        <v>7586</v>
      </c>
      <c r="M1995" s="7" t="s">
        <v>3526</v>
      </c>
      <c r="N1995" s="7">
        <v>125</v>
      </c>
      <c r="O1995" s="7" t="s">
        <v>7587</v>
      </c>
    </row>
    <row r="1996" spans="1:16">
      <c r="A1996" s="6" t="s">
        <v>31</v>
      </c>
      <c r="B1996" s="7">
        <v>1773215</v>
      </c>
      <c r="C1996" s="7">
        <v>1774315</v>
      </c>
      <c r="D1996" s="8"/>
      <c r="E1996" s="7" t="s">
        <v>53</v>
      </c>
      <c r="F1996" s="7" t="s">
        <v>7588</v>
      </c>
      <c r="G1996" s="7" t="s">
        <v>2031</v>
      </c>
      <c r="H1996" s="8"/>
      <c r="I1996" s="7" t="s">
        <v>55</v>
      </c>
      <c r="J1996" s="8"/>
      <c r="K1996" s="8"/>
      <c r="L1996" s="7" t="s">
        <v>7589</v>
      </c>
      <c r="M1996" s="7" t="s">
        <v>7588</v>
      </c>
      <c r="N1996" s="7">
        <v>366</v>
      </c>
      <c r="O1996" s="7" t="s">
        <v>7590</v>
      </c>
    </row>
    <row r="1997" spans="1:16">
      <c r="A1997" s="6" t="s">
        <v>31</v>
      </c>
      <c r="B1997" s="7">
        <v>1774484</v>
      </c>
      <c r="C1997" s="7">
        <v>1775965</v>
      </c>
      <c r="D1997" s="8"/>
      <c r="E1997" s="7" t="s">
        <v>75</v>
      </c>
      <c r="F1997" s="7" t="s">
        <v>7591</v>
      </c>
      <c r="G1997" s="7" t="s">
        <v>2033</v>
      </c>
      <c r="H1997" s="8"/>
      <c r="I1997" s="7" t="s">
        <v>55</v>
      </c>
      <c r="J1997" s="8"/>
      <c r="K1997" s="8"/>
      <c r="L1997" s="7" t="s">
        <v>7592</v>
      </c>
      <c r="M1997" s="7" t="s">
        <v>7591</v>
      </c>
      <c r="N1997" s="7">
        <v>493</v>
      </c>
      <c r="O1997" s="7" t="s">
        <v>7593</v>
      </c>
      <c r="P1997" s="7"/>
    </row>
    <row r="1998" spans="1:16">
      <c r="A1998" s="6" t="s">
        <v>31</v>
      </c>
      <c r="B1998" s="7">
        <v>1776364</v>
      </c>
      <c r="C1998" s="7">
        <v>1777317</v>
      </c>
      <c r="D1998" s="8"/>
      <c r="E1998" s="7" t="s">
        <v>53</v>
      </c>
      <c r="F1998" s="7" t="s">
        <v>1280</v>
      </c>
      <c r="G1998" s="7" t="s">
        <v>2108</v>
      </c>
      <c r="H1998" s="8"/>
      <c r="I1998" s="7" t="s">
        <v>55</v>
      </c>
      <c r="J1998" s="8"/>
      <c r="K1998" s="8"/>
      <c r="L1998" s="7" t="s">
        <v>7594</v>
      </c>
      <c r="M1998" s="7" t="s">
        <v>1280</v>
      </c>
      <c r="N1998" s="7">
        <v>317</v>
      </c>
      <c r="O1998" s="7" t="s">
        <v>7595</v>
      </c>
    </row>
    <row r="1999" spans="1:16">
      <c r="A1999" s="6" t="s">
        <v>31</v>
      </c>
      <c r="B1999" s="7">
        <v>1777387</v>
      </c>
      <c r="C1999" s="7">
        <v>1778409</v>
      </c>
      <c r="D1999" s="8"/>
      <c r="E1999" s="7" t="s">
        <v>75</v>
      </c>
      <c r="F1999" s="7" t="s">
        <v>7596</v>
      </c>
      <c r="G1999" s="7" t="s">
        <v>2035</v>
      </c>
      <c r="H1999" s="8"/>
      <c r="I1999" s="7" t="s">
        <v>55</v>
      </c>
      <c r="J1999" s="8"/>
      <c r="K1999" s="8"/>
      <c r="L1999" s="7" t="s">
        <v>7597</v>
      </c>
      <c r="M1999" s="7" t="s">
        <v>7596</v>
      </c>
      <c r="N1999" s="7">
        <v>340</v>
      </c>
      <c r="O1999" s="7" t="s">
        <v>7598</v>
      </c>
      <c r="P1999" s="7"/>
    </row>
    <row r="2000" spans="1:16">
      <c r="A2000" s="6" t="s">
        <v>31</v>
      </c>
      <c r="B2000" s="7">
        <v>1778837</v>
      </c>
      <c r="C2000" s="7">
        <v>1779709</v>
      </c>
      <c r="D2000" s="8"/>
      <c r="E2000" s="7" t="s">
        <v>53</v>
      </c>
      <c r="F2000" s="7" t="s">
        <v>2847</v>
      </c>
      <c r="G2000" s="8"/>
      <c r="H2000" s="8"/>
      <c r="I2000" s="7" t="s">
        <v>55</v>
      </c>
      <c r="J2000" s="8"/>
      <c r="K2000" s="8"/>
      <c r="L2000" s="7" t="s">
        <v>7599</v>
      </c>
      <c r="M2000" s="7" t="s">
        <v>2847</v>
      </c>
      <c r="N2000" s="7">
        <v>290</v>
      </c>
      <c r="O2000" s="7" t="s">
        <v>7600</v>
      </c>
    </row>
    <row r="2001" spans="1:16">
      <c r="A2001" s="6" t="s">
        <v>31</v>
      </c>
      <c r="B2001" s="7">
        <v>1779776</v>
      </c>
      <c r="C2001" s="7">
        <v>1781398</v>
      </c>
      <c r="D2001" s="8"/>
      <c r="E2001" s="7" t="s">
        <v>53</v>
      </c>
      <c r="F2001" s="7" t="s">
        <v>5488</v>
      </c>
      <c r="G2001" s="7" t="s">
        <v>7601</v>
      </c>
      <c r="H2001" s="8"/>
      <c r="I2001" s="7" t="s">
        <v>55</v>
      </c>
      <c r="J2001" s="8"/>
      <c r="K2001" s="8"/>
      <c r="L2001" s="7" t="s">
        <v>7602</v>
      </c>
      <c r="M2001" s="7" t="s">
        <v>5488</v>
      </c>
      <c r="N2001" s="7">
        <v>540</v>
      </c>
      <c r="O2001" s="7" t="s">
        <v>7603</v>
      </c>
    </row>
    <row r="2002" spans="1:16">
      <c r="A2002" s="6" t="s">
        <v>31</v>
      </c>
      <c r="B2002" s="7">
        <v>1781448</v>
      </c>
      <c r="C2002" s="7">
        <v>1784054</v>
      </c>
      <c r="D2002" s="8"/>
      <c r="E2002" s="7" t="s">
        <v>53</v>
      </c>
      <c r="F2002" s="7" t="s">
        <v>6439</v>
      </c>
      <c r="G2002" s="8"/>
      <c r="H2002" s="8"/>
      <c r="I2002" s="7" t="s">
        <v>55</v>
      </c>
      <c r="J2002" s="8"/>
      <c r="K2002" s="8"/>
      <c r="L2002" s="7" t="s">
        <v>7604</v>
      </c>
      <c r="M2002" s="7" t="s">
        <v>6439</v>
      </c>
      <c r="N2002" s="7">
        <v>868</v>
      </c>
      <c r="O2002" s="7" t="s">
        <v>7605</v>
      </c>
    </row>
    <row r="2003" spans="1:16">
      <c r="A2003" s="6" t="s">
        <v>31</v>
      </c>
      <c r="B2003" s="7">
        <v>1784599</v>
      </c>
      <c r="C2003" s="7">
        <v>1785282</v>
      </c>
      <c r="D2003" s="8"/>
      <c r="E2003" s="7" t="s">
        <v>75</v>
      </c>
      <c r="F2003" s="7" t="s">
        <v>7606</v>
      </c>
      <c r="G2003" s="8"/>
      <c r="H2003" s="8"/>
      <c r="I2003" s="7" t="s">
        <v>55</v>
      </c>
      <c r="J2003" s="8"/>
      <c r="K2003" s="8"/>
      <c r="L2003" s="7" t="s">
        <v>7607</v>
      </c>
      <c r="M2003" s="7" t="s">
        <v>7606</v>
      </c>
      <c r="N2003" s="7">
        <v>227</v>
      </c>
      <c r="O2003" s="7" t="s">
        <v>7608</v>
      </c>
    </row>
    <row r="2004" spans="1:16">
      <c r="A2004" s="6" t="s">
        <v>31</v>
      </c>
      <c r="B2004" s="7">
        <v>1785298</v>
      </c>
      <c r="C2004" s="7">
        <v>1785795</v>
      </c>
      <c r="D2004" s="8"/>
      <c r="E2004" s="7" t="s">
        <v>75</v>
      </c>
      <c r="F2004" s="7" t="s">
        <v>7609</v>
      </c>
      <c r="G2004" s="7" t="s">
        <v>2041</v>
      </c>
      <c r="H2004" s="8"/>
      <c r="I2004" s="7" t="s">
        <v>55</v>
      </c>
      <c r="J2004" s="8"/>
      <c r="K2004" s="8"/>
      <c r="L2004" s="7" t="s">
        <v>7610</v>
      </c>
      <c r="M2004" s="7" t="s">
        <v>7609</v>
      </c>
      <c r="N2004" s="7">
        <v>165</v>
      </c>
      <c r="O2004" s="7" t="s">
        <v>7611</v>
      </c>
      <c r="P2004" s="7"/>
    </row>
    <row r="2005" spans="1:16">
      <c r="A2005" s="6" t="s">
        <v>31</v>
      </c>
      <c r="B2005" s="7">
        <v>1785982</v>
      </c>
      <c r="C2005" s="7">
        <v>1787217</v>
      </c>
      <c r="D2005" s="8"/>
      <c r="E2005" s="7" t="s">
        <v>53</v>
      </c>
      <c r="F2005" s="7" t="s">
        <v>7612</v>
      </c>
      <c r="G2005" s="7" t="s">
        <v>7613</v>
      </c>
      <c r="H2005" s="8"/>
      <c r="I2005" s="7" t="s">
        <v>55</v>
      </c>
      <c r="J2005" s="8"/>
      <c r="K2005" s="8"/>
      <c r="L2005" s="7" t="s">
        <v>7614</v>
      </c>
      <c r="M2005" s="7" t="s">
        <v>7612</v>
      </c>
      <c r="N2005" s="7">
        <v>411</v>
      </c>
      <c r="O2005" s="7" t="s">
        <v>7615</v>
      </c>
      <c r="P2005" s="7"/>
    </row>
    <row r="2006" spans="1:16">
      <c r="A2006" s="6" t="s">
        <v>31</v>
      </c>
      <c r="B2006" s="7">
        <v>1787283</v>
      </c>
      <c r="C2006" s="7">
        <v>1788050</v>
      </c>
      <c r="D2006" s="8"/>
      <c r="E2006" s="7" t="s">
        <v>53</v>
      </c>
      <c r="F2006" s="7" t="s">
        <v>7616</v>
      </c>
      <c r="G2006" s="7" t="s">
        <v>7617</v>
      </c>
      <c r="H2006" s="8"/>
      <c r="I2006" s="7" t="s">
        <v>55</v>
      </c>
      <c r="J2006" s="8"/>
      <c r="K2006" s="8"/>
      <c r="L2006" s="7" t="s">
        <v>7618</v>
      </c>
      <c r="M2006" s="7" t="s">
        <v>7616</v>
      </c>
      <c r="N2006" s="7">
        <v>255</v>
      </c>
      <c r="O2006" s="7" t="s">
        <v>7619</v>
      </c>
    </row>
    <row r="2007" spans="1:16">
      <c r="A2007" s="6" t="s">
        <v>7620</v>
      </c>
      <c r="B2007" s="7">
        <v>1</v>
      </c>
      <c r="C2007" s="7">
        <v>948</v>
      </c>
      <c r="D2007" s="7" t="s">
        <v>2045</v>
      </c>
      <c r="E2007" s="7" t="s">
        <v>53</v>
      </c>
      <c r="F2007" s="7" t="s">
        <v>7621</v>
      </c>
      <c r="G2007" s="7" t="s">
        <v>7622</v>
      </c>
      <c r="H2007" s="8"/>
      <c r="I2007" s="7" t="s">
        <v>55</v>
      </c>
      <c r="J2007" s="8"/>
      <c r="K2007" s="8"/>
      <c r="L2007" s="7" t="s">
        <v>7623</v>
      </c>
      <c r="M2007" s="7" t="s">
        <v>7621</v>
      </c>
      <c r="N2007" s="7">
        <v>315</v>
      </c>
      <c r="O2007" s="7" t="s">
        <v>7624</v>
      </c>
    </row>
    <row r="2008" spans="1:16">
      <c r="A2008" s="6" t="s">
        <v>7620</v>
      </c>
      <c r="B2008" s="7">
        <v>937</v>
      </c>
      <c r="C2008" s="7">
        <v>1152</v>
      </c>
      <c r="D2008" s="7" t="s">
        <v>2045</v>
      </c>
      <c r="E2008" s="7" t="s">
        <v>75</v>
      </c>
      <c r="F2008" s="7" t="s">
        <v>2095</v>
      </c>
      <c r="G2008" s="8"/>
      <c r="H2008" s="8"/>
      <c r="I2008" s="7" t="s">
        <v>55</v>
      </c>
      <c r="J2008" s="8"/>
      <c r="K2008" s="8"/>
      <c r="L2008" s="7" t="s">
        <v>7625</v>
      </c>
      <c r="M2008" s="7" t="s">
        <v>2095</v>
      </c>
      <c r="N2008" s="7">
        <v>71</v>
      </c>
      <c r="O2008" s="7" t="s">
        <v>7626</v>
      </c>
    </row>
    <row r="2009" spans="1:16">
      <c r="A2009" s="6" t="s">
        <v>7620</v>
      </c>
      <c r="B2009" s="7">
        <v>1493</v>
      </c>
      <c r="C2009" s="7">
        <v>1693</v>
      </c>
      <c r="D2009" s="7" t="s">
        <v>2045</v>
      </c>
      <c r="E2009" s="7" t="s">
        <v>75</v>
      </c>
      <c r="F2009" s="7" t="s">
        <v>2095</v>
      </c>
      <c r="G2009" s="8"/>
      <c r="H2009" s="8"/>
      <c r="I2009" s="7" t="s">
        <v>55</v>
      </c>
      <c r="J2009" s="8"/>
      <c r="K2009" s="8"/>
      <c r="L2009" s="7" t="s">
        <v>7627</v>
      </c>
      <c r="M2009" s="7" t="s">
        <v>2095</v>
      </c>
      <c r="N2009" s="7">
        <v>66</v>
      </c>
      <c r="O2009" s="7" t="s">
        <v>7628</v>
      </c>
    </row>
    <row r="2010" spans="1:16">
      <c r="A2010" s="6" t="s">
        <v>7620</v>
      </c>
      <c r="B2010" s="7">
        <v>2599</v>
      </c>
      <c r="C2010" s="7">
        <v>2721</v>
      </c>
      <c r="D2010" s="7" t="s">
        <v>2045</v>
      </c>
      <c r="E2010" s="7" t="s">
        <v>75</v>
      </c>
      <c r="F2010" s="7" t="s">
        <v>2095</v>
      </c>
      <c r="G2010" s="8"/>
      <c r="H2010" s="8"/>
      <c r="I2010" s="7" t="s">
        <v>55</v>
      </c>
      <c r="J2010" s="8"/>
      <c r="K2010" s="8"/>
      <c r="L2010" s="7" t="s">
        <v>7629</v>
      </c>
      <c r="M2010" s="7" t="s">
        <v>2095</v>
      </c>
      <c r="N2010" s="7">
        <v>40</v>
      </c>
      <c r="O2010" s="7" t="s">
        <v>7630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077D-F915-C546-8355-D8068264E273}">
  <dimension ref="A1:H2045"/>
  <sheetViews>
    <sheetView zoomScale="75" zoomScaleNormal="135" workbookViewId="0">
      <selection activeCell="C617" sqref="C617"/>
    </sheetView>
  </sheetViews>
  <sheetFormatPr defaultColWidth="10.6640625" defaultRowHeight="16"/>
  <cols>
    <col min="1" max="1" width="18.33203125" customWidth="1"/>
    <col min="2" max="2" width="16.6640625" customWidth="1"/>
    <col min="4" max="4" width="37.6640625" customWidth="1"/>
    <col min="5" max="5" width="200.6640625" customWidth="1"/>
    <col min="6" max="6" width="34.33203125" customWidth="1"/>
    <col min="7" max="7" width="39" customWidth="1"/>
  </cols>
  <sheetData>
    <row r="1" spans="1:7">
      <c r="A1" t="s">
        <v>33</v>
      </c>
      <c r="B1" t="s">
        <v>34</v>
      </c>
      <c r="C1" t="s">
        <v>35</v>
      </c>
      <c r="D1" t="s">
        <v>36</v>
      </c>
      <c r="E1" t="s">
        <v>8078</v>
      </c>
      <c r="F1" t="s">
        <v>37</v>
      </c>
      <c r="G1" t="s">
        <v>38</v>
      </c>
    </row>
    <row r="2" spans="1:7">
      <c r="A2" s="7" t="s">
        <v>316</v>
      </c>
      <c r="B2" s="7" t="s">
        <v>2577</v>
      </c>
      <c r="C2" s="7" t="s">
        <v>7677</v>
      </c>
    </row>
    <row r="3" spans="1:7">
      <c r="A3" s="7" t="s">
        <v>1599</v>
      </c>
      <c r="B3" s="7" t="s">
        <v>5395</v>
      </c>
      <c r="C3" s="7" t="s">
        <v>7677</v>
      </c>
    </row>
    <row r="4" spans="1:7">
      <c r="A4" s="7" t="s">
        <v>1760</v>
      </c>
      <c r="B4" s="7" t="s">
        <v>5760</v>
      </c>
      <c r="C4" s="7" t="s">
        <v>7677</v>
      </c>
    </row>
    <row r="5" spans="1:7">
      <c r="B5" s="7" t="s">
        <v>6432</v>
      </c>
      <c r="C5" s="7" t="s">
        <v>7677</v>
      </c>
    </row>
    <row r="6" spans="1:7">
      <c r="A6" s="7" t="s">
        <v>904</v>
      </c>
      <c r="B6" s="7" t="s">
        <v>3907</v>
      </c>
      <c r="C6" s="7" t="s">
        <v>7808</v>
      </c>
    </row>
    <row r="7" spans="1:7">
      <c r="A7" s="7" t="s">
        <v>1236</v>
      </c>
      <c r="B7" s="7" t="s">
        <v>4620</v>
      </c>
      <c r="C7" s="7" t="s">
        <v>7808</v>
      </c>
    </row>
    <row r="8" spans="1:7">
      <c r="A8" s="7" t="s">
        <v>1238</v>
      </c>
      <c r="B8" s="7" t="s">
        <v>4625</v>
      </c>
      <c r="C8" s="7" t="s">
        <v>7808</v>
      </c>
    </row>
    <row r="9" spans="1:7">
      <c r="A9" s="7" t="s">
        <v>1268</v>
      </c>
      <c r="B9" s="7" t="s">
        <v>4676</v>
      </c>
      <c r="C9" s="7" t="s">
        <v>7808</v>
      </c>
    </row>
    <row r="10" spans="1:7">
      <c r="A10" s="7" t="s">
        <v>1762</v>
      </c>
      <c r="B10" s="7" t="s">
        <v>5766</v>
      </c>
      <c r="C10" s="7" t="s">
        <v>7808</v>
      </c>
    </row>
    <row r="11" spans="1:7">
      <c r="B11" s="7" t="s">
        <v>7243</v>
      </c>
      <c r="C11" s="7" t="s">
        <v>8063</v>
      </c>
      <c r="D11" s="4" t="s">
        <v>8079</v>
      </c>
      <c r="E11" s="4" t="s">
        <v>8080</v>
      </c>
      <c r="F11" t="s">
        <v>9303</v>
      </c>
      <c r="G11" t="s">
        <v>9304</v>
      </c>
    </row>
    <row r="12" spans="1:7">
      <c r="B12" s="7"/>
      <c r="C12" s="7" t="s">
        <v>8064</v>
      </c>
      <c r="D12" s="4" t="s">
        <v>8081</v>
      </c>
      <c r="E12" s="4" t="s">
        <v>8082</v>
      </c>
      <c r="F12" s="10" t="s">
        <v>9305</v>
      </c>
      <c r="G12" s="10" t="s">
        <v>9306</v>
      </c>
    </row>
    <row r="13" spans="1:7">
      <c r="A13" s="7" t="s">
        <v>588</v>
      </c>
      <c r="B13" s="7" t="s">
        <v>3185</v>
      </c>
      <c r="C13" s="7" t="s">
        <v>7728</v>
      </c>
      <c r="D13" s="4" t="s">
        <v>8083</v>
      </c>
      <c r="E13" s="4" t="s">
        <v>8084</v>
      </c>
      <c r="F13" t="s">
        <v>9307</v>
      </c>
      <c r="G13" t="s">
        <v>9308</v>
      </c>
    </row>
    <row r="14" spans="1:7">
      <c r="A14" s="7" t="s">
        <v>200</v>
      </c>
      <c r="B14" s="7" t="s">
        <v>2330</v>
      </c>
      <c r="C14" s="7" t="s">
        <v>7659</v>
      </c>
      <c r="D14" s="4" t="s">
        <v>8086</v>
      </c>
      <c r="E14" s="4" t="s">
        <v>8085</v>
      </c>
      <c r="F14" s="7" t="s">
        <v>9309</v>
      </c>
      <c r="G14" s="7" t="s">
        <v>9310</v>
      </c>
    </row>
    <row r="15" spans="1:7">
      <c r="B15" s="7" t="s">
        <v>7593</v>
      </c>
      <c r="C15" s="7" t="s">
        <v>8074</v>
      </c>
      <c r="D15" s="4" t="s">
        <v>8087</v>
      </c>
      <c r="E15" s="4" t="s">
        <v>8088</v>
      </c>
      <c r="F15" t="s">
        <v>9311</v>
      </c>
      <c r="G15" t="s">
        <v>9312</v>
      </c>
    </row>
    <row r="16" spans="1:7">
      <c r="A16" s="7" t="s">
        <v>897</v>
      </c>
      <c r="B16" s="7" t="s">
        <v>3893</v>
      </c>
      <c r="C16" s="7" t="s">
        <v>7804</v>
      </c>
      <c r="D16" s="4" t="s">
        <v>8089</v>
      </c>
      <c r="E16" s="4" t="s">
        <v>8090</v>
      </c>
      <c r="F16" t="s">
        <v>9313</v>
      </c>
      <c r="G16" t="s">
        <v>9314</v>
      </c>
    </row>
    <row r="17" spans="1:8">
      <c r="A17" s="7" t="s">
        <v>1666</v>
      </c>
      <c r="B17" s="7" t="s">
        <v>5552</v>
      </c>
      <c r="C17" s="7" t="s">
        <v>7949</v>
      </c>
      <c r="D17" s="4" t="s">
        <v>8091</v>
      </c>
      <c r="E17" s="4" t="s">
        <v>8092</v>
      </c>
      <c r="F17" t="s">
        <v>9315</v>
      </c>
      <c r="G17" t="s">
        <v>9316</v>
      </c>
    </row>
    <row r="18" spans="1:8">
      <c r="A18" s="7" t="s">
        <v>676</v>
      </c>
      <c r="B18" s="7" t="s">
        <v>3398</v>
      </c>
      <c r="C18" s="7" t="s">
        <v>7756</v>
      </c>
      <c r="D18" s="4" t="s">
        <v>8093</v>
      </c>
      <c r="E18" s="4" t="s">
        <v>8094</v>
      </c>
      <c r="F18" t="s">
        <v>9317</v>
      </c>
      <c r="G18" t="s">
        <v>9318</v>
      </c>
    </row>
    <row r="19" spans="1:8">
      <c r="A19" s="7" t="s">
        <v>1419</v>
      </c>
      <c r="B19" s="7" t="s">
        <v>4995</v>
      </c>
      <c r="C19" s="7" t="s">
        <v>7892</v>
      </c>
      <c r="D19" s="4" t="s">
        <v>8095</v>
      </c>
      <c r="E19" s="4" t="s">
        <v>8096</v>
      </c>
      <c r="F19" t="s">
        <v>9319</v>
      </c>
      <c r="G19" t="s">
        <v>9320</v>
      </c>
    </row>
    <row r="20" spans="1:8">
      <c r="A20" s="7"/>
      <c r="B20" s="7"/>
      <c r="C20" s="7" t="s">
        <v>7893</v>
      </c>
      <c r="D20" s="4" t="s">
        <v>8097</v>
      </c>
      <c r="E20" s="4" t="s">
        <v>8098</v>
      </c>
      <c r="F20" s="7" t="s">
        <v>9321</v>
      </c>
      <c r="G20" s="7" t="s">
        <v>9322</v>
      </c>
    </row>
    <row r="21" spans="1:8">
      <c r="A21" s="7" t="s">
        <v>1420</v>
      </c>
      <c r="B21" s="7" t="s">
        <v>4999</v>
      </c>
      <c r="C21" s="9" t="s">
        <v>7894</v>
      </c>
      <c r="D21" s="4" t="s">
        <v>8099</v>
      </c>
      <c r="E21" s="4" t="s">
        <v>8100</v>
      </c>
      <c r="F21" t="s">
        <v>9320</v>
      </c>
      <c r="G21" t="s">
        <v>9323</v>
      </c>
    </row>
    <row r="22" spans="1:8">
      <c r="A22" s="7"/>
      <c r="B22" s="7"/>
      <c r="C22" s="7" t="s">
        <v>7895</v>
      </c>
      <c r="D22" s="4" t="s">
        <v>8101</v>
      </c>
      <c r="E22" s="4" t="s">
        <v>8102</v>
      </c>
      <c r="F22" s="7" t="s">
        <v>9324</v>
      </c>
      <c r="G22" s="7" t="s">
        <v>9325</v>
      </c>
    </row>
    <row r="23" spans="1:8">
      <c r="A23" s="7" t="s">
        <v>1647</v>
      </c>
      <c r="B23" s="7" t="s">
        <v>5511</v>
      </c>
      <c r="C23" s="7" t="s">
        <v>7944</v>
      </c>
      <c r="D23" s="4" t="s">
        <v>8103</v>
      </c>
      <c r="E23" s="4" t="s">
        <v>8104</v>
      </c>
      <c r="F23" t="s">
        <v>9326</v>
      </c>
      <c r="G23" t="s">
        <v>9327</v>
      </c>
    </row>
    <row r="24" spans="1:8">
      <c r="A24" s="7" t="s">
        <v>1572</v>
      </c>
      <c r="B24" s="7" t="s">
        <v>5327</v>
      </c>
      <c r="C24" s="7" t="s">
        <v>7921</v>
      </c>
      <c r="D24" s="4" t="s">
        <v>8105</v>
      </c>
      <c r="E24" s="4" t="s">
        <v>8106</v>
      </c>
      <c r="F24" s="7" t="s">
        <v>9328</v>
      </c>
      <c r="G24" s="7" t="s">
        <v>8107</v>
      </c>
    </row>
    <row r="25" spans="1:8">
      <c r="B25" s="7" t="s">
        <v>7210</v>
      </c>
      <c r="C25" s="7" t="s">
        <v>8060</v>
      </c>
      <c r="D25" s="4" t="s">
        <v>8108</v>
      </c>
      <c r="E25" s="4" t="s">
        <v>8109</v>
      </c>
      <c r="F25" t="s">
        <v>9329</v>
      </c>
      <c r="G25" t="s">
        <v>9330</v>
      </c>
    </row>
    <row r="26" spans="1:8">
      <c r="A26" s="7" t="s">
        <v>812</v>
      </c>
      <c r="B26" s="7" t="s">
        <v>3698</v>
      </c>
      <c r="C26" s="7" t="s">
        <v>7784</v>
      </c>
      <c r="D26" s="4" t="s">
        <v>8110</v>
      </c>
      <c r="E26" s="4" t="s">
        <v>8111</v>
      </c>
      <c r="F26" s="7" t="s">
        <v>9331</v>
      </c>
      <c r="G26" s="7" t="s">
        <v>9332</v>
      </c>
    </row>
    <row r="27" spans="1:8">
      <c r="A27" s="7" t="s">
        <v>225</v>
      </c>
      <c r="B27" s="7" t="s">
        <v>2382</v>
      </c>
      <c r="C27" s="7" t="s">
        <v>7660</v>
      </c>
      <c r="D27" s="4" t="s">
        <v>8112</v>
      </c>
      <c r="E27" s="4" t="s">
        <v>8113</v>
      </c>
      <c r="F27" s="7" t="s">
        <v>9333</v>
      </c>
      <c r="G27" s="7" t="s">
        <v>9334</v>
      </c>
    </row>
    <row r="28" spans="1:8">
      <c r="B28" s="7" t="s">
        <v>7089</v>
      </c>
      <c r="C28" s="7" t="s">
        <v>7660</v>
      </c>
      <c r="D28" s="4" t="s">
        <v>8114</v>
      </c>
      <c r="E28" s="4" t="s">
        <v>8115</v>
      </c>
      <c r="F28" s="7" t="s">
        <v>9335</v>
      </c>
      <c r="G28" s="7" t="s">
        <v>9336</v>
      </c>
    </row>
    <row r="29" spans="1:8">
      <c r="A29" s="7" t="s">
        <v>1986</v>
      </c>
      <c r="B29" s="7" t="s">
        <v>6187</v>
      </c>
      <c r="C29" s="7" t="s">
        <v>7984</v>
      </c>
      <c r="D29" s="4" t="s">
        <v>8114</v>
      </c>
      <c r="E29" s="4" t="s">
        <v>8116</v>
      </c>
      <c r="F29" s="7" t="s">
        <v>9337</v>
      </c>
      <c r="G29" s="7" t="s">
        <v>9338</v>
      </c>
    </row>
    <row r="30" spans="1:8">
      <c r="A30" s="7" t="s">
        <v>1382</v>
      </c>
      <c r="B30" s="7" t="s">
        <v>4932</v>
      </c>
      <c r="C30" s="7" t="s">
        <v>7888</v>
      </c>
    </row>
    <row r="31" spans="1:8">
      <c r="A31" s="7" t="s">
        <v>1345</v>
      </c>
      <c r="B31" s="7" t="s">
        <v>4836</v>
      </c>
      <c r="C31" s="7" t="s">
        <v>7879</v>
      </c>
      <c r="D31" s="4" t="s">
        <v>8117</v>
      </c>
    </row>
    <row r="32" spans="1:8">
      <c r="A32" s="7" t="s">
        <v>992</v>
      </c>
      <c r="B32" s="7" t="s">
        <v>4108</v>
      </c>
      <c r="C32" s="7" t="s">
        <v>7822</v>
      </c>
      <c r="D32" s="4" t="s">
        <v>8118</v>
      </c>
      <c r="E32" s="4" t="s">
        <v>8119</v>
      </c>
      <c r="F32" s="7" t="s">
        <v>9339</v>
      </c>
      <c r="G32" s="7" t="s">
        <v>9340</v>
      </c>
      <c r="H32" t="s">
        <v>9893</v>
      </c>
    </row>
    <row r="33" spans="1:7">
      <c r="A33" s="7" t="s">
        <v>996</v>
      </c>
      <c r="B33" s="7" t="s">
        <v>4117</v>
      </c>
      <c r="C33" s="7" t="s">
        <v>7823</v>
      </c>
    </row>
    <row r="34" spans="1:7">
      <c r="A34" s="7" t="s">
        <v>623</v>
      </c>
      <c r="B34" s="7" t="s">
        <v>3272</v>
      </c>
      <c r="C34" s="7" t="s">
        <v>7742</v>
      </c>
      <c r="D34" s="4" t="s">
        <v>8120</v>
      </c>
      <c r="E34" s="4" t="s">
        <v>8121</v>
      </c>
      <c r="F34" t="s">
        <v>9341</v>
      </c>
      <c r="G34" t="s">
        <v>9342</v>
      </c>
    </row>
    <row r="35" spans="1:7">
      <c r="A35" s="7" t="s">
        <v>1653</v>
      </c>
      <c r="B35" s="7" t="s">
        <v>5525</v>
      </c>
      <c r="C35" s="7" t="s">
        <v>7947</v>
      </c>
      <c r="D35" s="4" t="s">
        <v>8122</v>
      </c>
      <c r="E35" s="4" t="s">
        <v>8123</v>
      </c>
      <c r="F35" t="s">
        <v>9343</v>
      </c>
      <c r="G35" t="s">
        <v>9344</v>
      </c>
    </row>
    <row r="36" spans="1:7">
      <c r="A36" s="7" t="s">
        <v>1654</v>
      </c>
      <c r="B36" s="7" t="s">
        <v>5528</v>
      </c>
      <c r="C36" s="7" t="s">
        <v>7948</v>
      </c>
      <c r="D36" s="4" t="s">
        <v>8124</v>
      </c>
      <c r="E36" s="4" t="s">
        <v>8125</v>
      </c>
      <c r="F36" t="s">
        <v>9345</v>
      </c>
      <c r="G36" t="s">
        <v>9346</v>
      </c>
    </row>
    <row r="37" spans="1:7">
      <c r="A37" s="7" t="s">
        <v>1674</v>
      </c>
      <c r="B37" s="7" t="s">
        <v>5576</v>
      </c>
      <c r="C37" s="7" t="s">
        <v>7948</v>
      </c>
      <c r="D37" s="4" t="s">
        <v>8124</v>
      </c>
      <c r="E37" s="4" t="s">
        <v>8125</v>
      </c>
      <c r="F37" t="s">
        <v>9345</v>
      </c>
      <c r="G37" t="s">
        <v>9346</v>
      </c>
    </row>
    <row r="38" spans="1:7">
      <c r="B38" s="7" t="s">
        <v>7451</v>
      </c>
      <c r="C38" s="7" t="s">
        <v>7948</v>
      </c>
      <c r="D38" s="4" t="s">
        <v>8126</v>
      </c>
      <c r="E38" s="4" t="s">
        <v>8127</v>
      </c>
      <c r="F38" t="s">
        <v>9347</v>
      </c>
      <c r="G38" t="s">
        <v>9348</v>
      </c>
    </row>
    <row r="39" spans="1:7">
      <c r="A39" s="7" t="s">
        <v>1494</v>
      </c>
      <c r="B39" s="7" t="s">
        <v>5169</v>
      </c>
      <c r="C39" s="7" t="s">
        <v>7910</v>
      </c>
      <c r="D39" s="4" t="s">
        <v>8128</v>
      </c>
      <c r="E39" s="4" t="s">
        <v>8129</v>
      </c>
      <c r="F39" t="s">
        <v>9349</v>
      </c>
      <c r="G39" t="s">
        <v>9350</v>
      </c>
    </row>
    <row r="40" spans="1:7">
      <c r="A40" s="7" t="s">
        <v>1345</v>
      </c>
      <c r="B40" s="7" t="s">
        <v>5899</v>
      </c>
      <c r="C40" s="7" t="s">
        <v>7969</v>
      </c>
      <c r="D40" s="4" t="s">
        <v>8130</v>
      </c>
      <c r="E40" s="4" t="s">
        <v>8131</v>
      </c>
      <c r="F40" t="s">
        <v>9351</v>
      </c>
      <c r="G40" t="s">
        <v>9352</v>
      </c>
    </row>
    <row r="41" spans="1:7">
      <c r="A41" s="7" t="s">
        <v>1684</v>
      </c>
      <c r="B41" s="7" t="s">
        <v>5599</v>
      </c>
      <c r="C41" s="7" t="s">
        <v>7955</v>
      </c>
      <c r="D41" s="4" t="s">
        <v>8132</v>
      </c>
      <c r="E41" s="4" t="s">
        <v>8133</v>
      </c>
      <c r="F41" t="s">
        <v>9353</v>
      </c>
      <c r="G41" t="s">
        <v>9354</v>
      </c>
    </row>
    <row r="42" spans="1:7">
      <c r="B42" s="7" t="s">
        <v>6959</v>
      </c>
      <c r="C42" s="7" t="s">
        <v>8040</v>
      </c>
      <c r="D42" s="4" t="s">
        <v>8134</v>
      </c>
      <c r="E42" s="4" t="s">
        <v>8135</v>
      </c>
      <c r="F42" t="s">
        <v>9355</v>
      </c>
      <c r="G42" t="s">
        <v>9356</v>
      </c>
    </row>
    <row r="43" spans="1:7">
      <c r="A43" s="7" t="s">
        <v>671</v>
      </c>
      <c r="B43" s="7" t="s">
        <v>3381</v>
      </c>
      <c r="C43" s="7" t="s">
        <v>7751</v>
      </c>
      <c r="D43" s="4" t="s">
        <v>8136</v>
      </c>
      <c r="E43" s="4" t="s">
        <v>8137</v>
      </c>
      <c r="F43" t="s">
        <v>9357</v>
      </c>
      <c r="G43" t="s">
        <v>9358</v>
      </c>
    </row>
    <row r="44" spans="1:7">
      <c r="B44" s="7" t="s">
        <v>6743</v>
      </c>
      <c r="C44" s="7" t="s">
        <v>8027</v>
      </c>
      <c r="D44" s="4" t="s">
        <v>8138</v>
      </c>
      <c r="E44" s="4" t="s">
        <v>8139</v>
      </c>
      <c r="F44" t="s">
        <v>9359</v>
      </c>
      <c r="G44" t="s">
        <v>9360</v>
      </c>
    </row>
    <row r="45" spans="1:7">
      <c r="A45" s="7" t="s">
        <v>1644</v>
      </c>
      <c r="B45" s="7" t="s">
        <v>5500</v>
      </c>
      <c r="C45" s="7" t="s">
        <v>7942</v>
      </c>
      <c r="D45" s="4" t="s">
        <v>8140</v>
      </c>
      <c r="E45" s="4" t="s">
        <v>8141</v>
      </c>
      <c r="F45" t="s">
        <v>9361</v>
      </c>
      <c r="G45" t="s">
        <v>9362</v>
      </c>
    </row>
    <row r="46" spans="1:7">
      <c r="A46" s="7" t="s">
        <v>1983</v>
      </c>
      <c r="B46" s="7" t="s">
        <v>6181</v>
      </c>
      <c r="C46" s="7" t="s">
        <v>7982</v>
      </c>
    </row>
    <row r="47" spans="1:7">
      <c r="A47" s="7" t="s">
        <v>902</v>
      </c>
      <c r="B47" s="7" t="s">
        <v>3901</v>
      </c>
      <c r="C47" s="7" t="s">
        <v>7807</v>
      </c>
      <c r="D47" s="4" t="s">
        <v>8142</v>
      </c>
      <c r="E47" s="4" t="s">
        <v>8143</v>
      </c>
      <c r="F47" t="s">
        <v>9363</v>
      </c>
      <c r="G47" t="s">
        <v>9364</v>
      </c>
    </row>
    <row r="48" spans="1:7">
      <c r="A48" s="7" t="s">
        <v>1310</v>
      </c>
      <c r="B48" s="7" t="s">
        <v>4748</v>
      </c>
      <c r="C48" s="7" t="s">
        <v>7871</v>
      </c>
      <c r="D48" s="4" t="s">
        <v>8144</v>
      </c>
      <c r="E48" s="4" t="s">
        <v>8145</v>
      </c>
      <c r="F48" t="s">
        <v>9365</v>
      </c>
      <c r="G48" t="s">
        <v>9366</v>
      </c>
    </row>
    <row r="49" spans="1:7">
      <c r="A49" s="7" t="s">
        <v>586</v>
      </c>
      <c r="B49" s="7" t="s">
        <v>3179</v>
      </c>
      <c r="C49" s="7" t="s">
        <v>7726</v>
      </c>
      <c r="D49" s="4" t="s">
        <v>8146</v>
      </c>
      <c r="E49" s="4" t="s">
        <v>8147</v>
      </c>
      <c r="F49" t="s">
        <v>9367</v>
      </c>
      <c r="G49" t="s">
        <v>9368</v>
      </c>
    </row>
    <row r="50" spans="1:7">
      <c r="A50" s="7" t="s">
        <v>110</v>
      </c>
      <c r="B50" s="7" t="s">
        <v>6221</v>
      </c>
      <c r="C50" s="7" t="s">
        <v>7988</v>
      </c>
      <c r="D50" s="4" t="s">
        <v>8148</v>
      </c>
      <c r="E50" s="4" t="s">
        <v>8149</v>
      </c>
      <c r="F50" t="s">
        <v>9369</v>
      </c>
      <c r="G50" t="s">
        <v>9370</v>
      </c>
    </row>
    <row r="51" spans="1:7">
      <c r="A51" s="7" t="s">
        <v>913</v>
      </c>
      <c r="B51" s="7" t="s">
        <v>3928</v>
      </c>
      <c r="C51" s="7" t="s">
        <v>7812</v>
      </c>
      <c r="D51" s="4" t="s">
        <v>8150</v>
      </c>
      <c r="E51" s="4" t="s">
        <v>8151</v>
      </c>
      <c r="F51" t="s">
        <v>9371</v>
      </c>
      <c r="G51" t="s">
        <v>9372</v>
      </c>
    </row>
    <row r="52" spans="1:7">
      <c r="A52" s="7" t="s">
        <v>1309</v>
      </c>
      <c r="B52" s="7" t="s">
        <v>4744</v>
      </c>
      <c r="C52" s="7" t="s">
        <v>7870</v>
      </c>
      <c r="D52" s="4" t="s">
        <v>8152</v>
      </c>
      <c r="E52" s="4" t="s">
        <v>8153</v>
      </c>
      <c r="F52" t="s">
        <v>9373</v>
      </c>
      <c r="G52" t="s">
        <v>9374</v>
      </c>
    </row>
    <row r="53" spans="1:7">
      <c r="A53" s="7" t="s">
        <v>1577</v>
      </c>
      <c r="B53" s="7" t="s">
        <v>5337</v>
      </c>
      <c r="C53" s="7" t="s">
        <v>7870</v>
      </c>
      <c r="D53" s="4" t="s">
        <v>8152</v>
      </c>
      <c r="E53" s="4" t="s">
        <v>8153</v>
      </c>
      <c r="F53" t="s">
        <v>9373</v>
      </c>
      <c r="G53" t="s">
        <v>9374</v>
      </c>
    </row>
    <row r="54" spans="1:7">
      <c r="A54" s="7" t="s">
        <v>631</v>
      </c>
      <c r="B54" s="7" t="s">
        <v>3292</v>
      </c>
      <c r="C54" s="7" t="s">
        <v>7746</v>
      </c>
      <c r="D54" s="4" t="s">
        <v>8154</v>
      </c>
      <c r="E54" s="4" t="s">
        <v>8155</v>
      </c>
      <c r="F54" t="s">
        <v>9375</v>
      </c>
      <c r="G54" t="s">
        <v>9376</v>
      </c>
    </row>
    <row r="55" spans="1:7">
      <c r="B55" s="7" t="s">
        <v>7154</v>
      </c>
      <c r="C55" s="7" t="s">
        <v>8058</v>
      </c>
      <c r="D55" s="4" t="s">
        <v>8156</v>
      </c>
      <c r="E55" s="4" t="s">
        <v>8157</v>
      </c>
      <c r="F55" t="s">
        <v>9377</v>
      </c>
      <c r="G55" t="s">
        <v>9378</v>
      </c>
    </row>
    <row r="56" spans="1:7">
      <c r="A56" s="7" t="s">
        <v>1073</v>
      </c>
      <c r="B56" s="7" t="s">
        <v>4294</v>
      </c>
      <c r="C56" s="7" t="s">
        <v>7841</v>
      </c>
      <c r="D56" s="4" t="s">
        <v>8158</v>
      </c>
      <c r="E56" s="4" t="s">
        <v>8159</v>
      </c>
      <c r="F56" s="7" t="s">
        <v>9379</v>
      </c>
      <c r="G56" s="7" t="s">
        <v>9380</v>
      </c>
    </row>
    <row r="57" spans="1:7">
      <c r="A57" s="7" t="s">
        <v>815</v>
      </c>
      <c r="B57" s="7" t="s">
        <v>3710</v>
      </c>
      <c r="C57" s="7" t="s">
        <v>7787</v>
      </c>
      <c r="D57" s="4" t="s">
        <v>8160</v>
      </c>
      <c r="E57" s="4" t="s">
        <v>8161</v>
      </c>
      <c r="F57" t="s">
        <v>9381</v>
      </c>
      <c r="G57" t="s">
        <v>9382</v>
      </c>
    </row>
    <row r="58" spans="1:7">
      <c r="A58" s="7" t="s">
        <v>863</v>
      </c>
      <c r="B58" s="7" t="s">
        <v>3810</v>
      </c>
      <c r="C58" s="7" t="s">
        <v>7793</v>
      </c>
      <c r="D58" s="4" t="s">
        <v>8162</v>
      </c>
      <c r="E58" s="4" t="s">
        <v>8163</v>
      </c>
      <c r="F58" t="s">
        <v>9383</v>
      </c>
      <c r="G58" t="s">
        <v>9384</v>
      </c>
    </row>
    <row r="59" spans="1:7">
      <c r="A59" s="7"/>
      <c r="B59" s="7"/>
      <c r="C59" s="7" t="s">
        <v>7794</v>
      </c>
      <c r="D59" s="4" t="s">
        <v>8164</v>
      </c>
      <c r="E59" s="4" t="s">
        <v>8165</v>
      </c>
      <c r="F59" s="7" t="s">
        <v>9385</v>
      </c>
      <c r="G59" s="7" t="s">
        <v>9386</v>
      </c>
    </row>
    <row r="60" spans="1:7">
      <c r="A60" s="7" t="s">
        <v>1498</v>
      </c>
      <c r="B60" s="7" t="s">
        <v>5175</v>
      </c>
      <c r="C60" s="7" t="s">
        <v>7911</v>
      </c>
    </row>
    <row r="61" spans="1:7">
      <c r="A61" s="7" t="s">
        <v>1667</v>
      </c>
      <c r="B61" s="7" t="s">
        <v>5555</v>
      </c>
      <c r="C61" s="7" t="s">
        <v>7950</v>
      </c>
      <c r="D61" s="4" t="s">
        <v>8852</v>
      </c>
    </row>
    <row r="62" spans="1:7">
      <c r="A62" s="7" t="s">
        <v>1122</v>
      </c>
      <c r="B62" s="7" t="s">
        <v>4402</v>
      </c>
      <c r="C62" s="7" t="s">
        <v>7855</v>
      </c>
      <c r="D62" s="4" t="s">
        <v>8166</v>
      </c>
      <c r="E62" s="4" t="s">
        <v>8167</v>
      </c>
      <c r="F62" s="7" t="s">
        <v>9387</v>
      </c>
      <c r="G62" s="7" t="s">
        <v>9388</v>
      </c>
    </row>
    <row r="63" spans="1:7">
      <c r="A63" s="7" t="s">
        <v>1417</v>
      </c>
      <c r="B63" s="7" t="s">
        <v>4988</v>
      </c>
      <c r="C63" s="7" t="s">
        <v>7891</v>
      </c>
      <c r="D63" s="4" t="s">
        <v>8168</v>
      </c>
      <c r="E63" s="4" t="s">
        <v>8169</v>
      </c>
      <c r="F63" t="s">
        <v>9389</v>
      </c>
      <c r="G63" t="s">
        <v>9390</v>
      </c>
    </row>
    <row r="64" spans="1:7">
      <c r="A64" s="7" t="s">
        <v>605</v>
      </c>
      <c r="B64" s="7" t="s">
        <v>3231</v>
      </c>
      <c r="C64" s="7" t="s">
        <v>7737</v>
      </c>
      <c r="D64" t="s">
        <v>8170</v>
      </c>
      <c r="E64" t="s">
        <v>8171</v>
      </c>
      <c r="F64" t="s">
        <v>9391</v>
      </c>
      <c r="G64" t="s">
        <v>9392</v>
      </c>
    </row>
    <row r="65" spans="1:7">
      <c r="B65" s="7" t="s">
        <v>6571</v>
      </c>
      <c r="C65" s="7" t="s">
        <v>8019</v>
      </c>
      <c r="D65" t="s">
        <v>8172</v>
      </c>
      <c r="E65" t="s">
        <v>8173</v>
      </c>
      <c r="F65" t="s">
        <v>9393</v>
      </c>
      <c r="G65" t="s">
        <v>9394</v>
      </c>
    </row>
    <row r="66" spans="1:7">
      <c r="A66" s="7" t="s">
        <v>1741</v>
      </c>
      <c r="B66" s="7" t="s">
        <v>5720</v>
      </c>
      <c r="C66" s="7" t="s">
        <v>7960</v>
      </c>
      <c r="D66" t="s">
        <v>8174</v>
      </c>
      <c r="E66" t="s">
        <v>8175</v>
      </c>
      <c r="F66" t="s">
        <v>9395</v>
      </c>
      <c r="G66" t="s">
        <v>9396</v>
      </c>
    </row>
    <row r="67" spans="1:7">
      <c r="A67" s="7"/>
      <c r="B67" s="7"/>
      <c r="C67" s="7" t="s">
        <v>7961</v>
      </c>
      <c r="D67" t="s">
        <v>8176</v>
      </c>
      <c r="E67" t="s">
        <v>8177</v>
      </c>
      <c r="F67" s="7" t="s">
        <v>9397</v>
      </c>
      <c r="G67" s="7" t="s">
        <v>9398</v>
      </c>
    </row>
    <row r="68" spans="1:7">
      <c r="B68" s="7" t="s">
        <v>6505</v>
      </c>
      <c r="C68" s="7" t="s">
        <v>7960</v>
      </c>
      <c r="D68" t="s">
        <v>8174</v>
      </c>
      <c r="E68" t="s">
        <v>8175</v>
      </c>
      <c r="F68" t="s">
        <v>9397</v>
      </c>
      <c r="G68" t="s">
        <v>9396</v>
      </c>
    </row>
    <row r="69" spans="1:7">
      <c r="B69" s="7" t="s">
        <v>7458</v>
      </c>
      <c r="C69" s="7" t="s">
        <v>8069</v>
      </c>
    </row>
    <row r="70" spans="1:7">
      <c r="B70" s="7" t="s">
        <v>6534</v>
      </c>
      <c r="C70" s="7" t="s">
        <v>8015</v>
      </c>
      <c r="D70" t="s">
        <v>8178</v>
      </c>
      <c r="E70" t="s">
        <v>8179</v>
      </c>
      <c r="F70" t="s">
        <v>9399</v>
      </c>
      <c r="G70" t="s">
        <v>9400</v>
      </c>
    </row>
    <row r="71" spans="1:7">
      <c r="A71" s="7" t="s">
        <v>1045</v>
      </c>
      <c r="B71" s="7" t="s">
        <v>4233</v>
      </c>
      <c r="C71" s="7" t="s">
        <v>7836</v>
      </c>
    </row>
    <row r="72" spans="1:7">
      <c r="A72" s="7" t="s">
        <v>195</v>
      </c>
      <c r="B72" s="7" t="s">
        <v>2318</v>
      </c>
      <c r="C72" s="7" t="s">
        <v>7658</v>
      </c>
    </row>
    <row r="73" spans="1:7">
      <c r="A73" s="7" t="s">
        <v>263</v>
      </c>
      <c r="B73" s="7" t="s">
        <v>2457</v>
      </c>
      <c r="C73" s="7" t="s">
        <v>7658</v>
      </c>
    </row>
    <row r="74" spans="1:7">
      <c r="A74" s="7" t="s">
        <v>397</v>
      </c>
      <c r="B74" s="7" t="s">
        <v>2766</v>
      </c>
      <c r="C74" s="7" t="s">
        <v>7658</v>
      </c>
    </row>
    <row r="75" spans="1:7">
      <c r="A75" s="7" t="s">
        <v>894</v>
      </c>
      <c r="B75" s="7" t="s">
        <v>3886</v>
      </c>
      <c r="C75" s="7" t="s">
        <v>7658</v>
      </c>
    </row>
    <row r="76" spans="1:7">
      <c r="A76" s="7" t="s">
        <v>1090</v>
      </c>
      <c r="B76" s="7" t="s">
        <v>4338</v>
      </c>
      <c r="C76" s="7" t="s">
        <v>7658</v>
      </c>
    </row>
    <row r="77" spans="1:7">
      <c r="A77" s="7" t="s">
        <v>1585</v>
      </c>
      <c r="B77" s="7" t="s">
        <v>5360</v>
      </c>
      <c r="C77" s="7" t="s">
        <v>7658</v>
      </c>
    </row>
    <row r="78" spans="1:7">
      <c r="A78" s="7" t="s">
        <v>2010</v>
      </c>
      <c r="B78" s="7" t="s">
        <v>6251</v>
      </c>
      <c r="C78" s="7" t="s">
        <v>7658</v>
      </c>
    </row>
    <row r="79" spans="1:7">
      <c r="B79" s="7" t="s">
        <v>6464</v>
      </c>
      <c r="C79" s="7" t="s">
        <v>7658</v>
      </c>
    </row>
    <row r="80" spans="1:7">
      <c r="B80" s="7" t="s">
        <v>6555</v>
      </c>
      <c r="C80" s="7" t="s">
        <v>7658</v>
      </c>
    </row>
    <row r="81" spans="1:7">
      <c r="A81" s="7" t="s">
        <v>822</v>
      </c>
      <c r="B81" s="7" t="s">
        <v>3727</v>
      </c>
      <c r="C81" s="7" t="s">
        <v>7788</v>
      </c>
      <c r="D81" t="s">
        <v>8180</v>
      </c>
      <c r="E81" t="s">
        <v>8181</v>
      </c>
      <c r="F81" t="s">
        <v>9401</v>
      </c>
      <c r="G81" t="s">
        <v>8182</v>
      </c>
    </row>
    <row r="82" spans="1:7">
      <c r="A82" s="7" t="s">
        <v>1071</v>
      </c>
      <c r="B82" s="7" t="s">
        <v>4291</v>
      </c>
      <c r="C82" s="7" t="s">
        <v>7840</v>
      </c>
      <c r="D82" t="s">
        <v>8183</v>
      </c>
      <c r="E82" t="s">
        <v>8184</v>
      </c>
      <c r="F82" s="7" t="s">
        <v>9402</v>
      </c>
      <c r="G82" s="7" t="s">
        <v>9403</v>
      </c>
    </row>
    <row r="83" spans="1:7">
      <c r="A83" s="7" t="s">
        <v>1227</v>
      </c>
      <c r="B83" s="7" t="s">
        <v>4604</v>
      </c>
      <c r="C83" s="7" t="s">
        <v>7840</v>
      </c>
      <c r="D83" s="4" t="s">
        <v>8183</v>
      </c>
      <c r="E83" s="4" t="s">
        <v>8184</v>
      </c>
      <c r="F83" s="7" t="s">
        <v>9402</v>
      </c>
      <c r="G83" s="7" t="s">
        <v>9403</v>
      </c>
    </row>
    <row r="84" spans="1:7">
      <c r="B84" s="7" t="s">
        <v>7475</v>
      </c>
      <c r="C84" s="7" t="s">
        <v>7840</v>
      </c>
      <c r="D84" s="4" t="s">
        <v>8183</v>
      </c>
      <c r="E84" s="4" t="s">
        <v>8184</v>
      </c>
      <c r="F84" s="7" t="s">
        <v>9402</v>
      </c>
      <c r="G84" t="s">
        <v>9404</v>
      </c>
    </row>
    <row r="85" spans="1:7">
      <c r="A85" s="7" t="s">
        <v>493</v>
      </c>
      <c r="B85" s="7" t="s">
        <v>2971</v>
      </c>
      <c r="C85" s="7" t="s">
        <v>7708</v>
      </c>
      <c r="D85" s="4" t="s">
        <v>8853</v>
      </c>
    </row>
    <row r="86" spans="1:7">
      <c r="B86" s="7" t="s">
        <v>6568</v>
      </c>
      <c r="C86" s="7" t="s">
        <v>8018</v>
      </c>
      <c r="D86" t="s">
        <v>8185</v>
      </c>
      <c r="E86" t="s">
        <v>8186</v>
      </c>
      <c r="F86" s="7" t="s">
        <v>9405</v>
      </c>
      <c r="G86" t="s">
        <v>9406</v>
      </c>
    </row>
    <row r="87" spans="1:7">
      <c r="A87" s="7" t="s">
        <v>1856</v>
      </c>
      <c r="B87" s="7" t="s">
        <v>5931</v>
      </c>
      <c r="C87" s="7" t="s">
        <v>7973</v>
      </c>
      <c r="D87" t="s">
        <v>8888</v>
      </c>
    </row>
    <row r="88" spans="1:7">
      <c r="B88" s="7" t="s">
        <v>7611</v>
      </c>
      <c r="C88" s="7" t="s">
        <v>8076</v>
      </c>
      <c r="D88" s="4" t="s">
        <v>8889</v>
      </c>
    </row>
    <row r="89" spans="1:7">
      <c r="B89" s="7" t="s">
        <v>6991</v>
      </c>
      <c r="C89" s="7" t="s">
        <v>8043</v>
      </c>
      <c r="D89" t="s">
        <v>8187</v>
      </c>
      <c r="E89" t="s">
        <v>8188</v>
      </c>
      <c r="F89" t="s">
        <v>9407</v>
      </c>
      <c r="G89" t="s">
        <v>9408</v>
      </c>
    </row>
    <row r="90" spans="1:7">
      <c r="B90" s="7" t="s">
        <v>6705</v>
      </c>
      <c r="C90" s="7" t="s">
        <v>8023</v>
      </c>
      <c r="D90" t="s">
        <v>8887</v>
      </c>
    </row>
    <row r="91" spans="1:7">
      <c r="A91" s="7" t="s">
        <v>264</v>
      </c>
      <c r="B91" s="7" t="s">
        <v>2461</v>
      </c>
      <c r="C91" s="7" t="s">
        <v>7667</v>
      </c>
      <c r="D91" t="s">
        <v>8886</v>
      </c>
    </row>
    <row r="92" spans="1:7">
      <c r="A92" s="7" t="s">
        <v>712</v>
      </c>
      <c r="B92" s="7" t="s">
        <v>3474</v>
      </c>
      <c r="C92" s="7" t="s">
        <v>7762</v>
      </c>
      <c r="D92" t="s">
        <v>8885</v>
      </c>
    </row>
    <row r="93" spans="1:7">
      <c r="B93" s="7" t="s">
        <v>6728</v>
      </c>
      <c r="C93" s="7" t="s">
        <v>8026</v>
      </c>
      <c r="D93" t="s">
        <v>8884</v>
      </c>
    </row>
    <row r="94" spans="1:7">
      <c r="A94" s="7" t="s">
        <v>421</v>
      </c>
      <c r="B94" s="7" t="s">
        <v>2823</v>
      </c>
      <c r="C94" s="7" t="s">
        <v>7701</v>
      </c>
      <c r="D94" t="s">
        <v>8883</v>
      </c>
    </row>
    <row r="95" spans="1:7">
      <c r="A95" s="7" t="s">
        <v>1630</v>
      </c>
      <c r="B95" s="7" t="s">
        <v>5464</v>
      </c>
      <c r="C95" s="7" t="s">
        <v>7936</v>
      </c>
      <c r="D95" t="s">
        <v>8882</v>
      </c>
    </row>
    <row r="96" spans="1:7">
      <c r="A96" s="7" t="s">
        <v>2036</v>
      </c>
      <c r="B96" s="7" t="s">
        <v>6309</v>
      </c>
      <c r="C96" s="7" t="s">
        <v>7999</v>
      </c>
      <c r="D96" s="7" t="s">
        <v>8881</v>
      </c>
    </row>
    <row r="97" spans="1:7">
      <c r="A97" s="7" t="s">
        <v>378</v>
      </c>
      <c r="B97" s="7" t="s">
        <v>2729</v>
      </c>
      <c r="C97" s="7" t="s">
        <v>7692</v>
      </c>
      <c r="D97" t="s">
        <v>8880</v>
      </c>
    </row>
    <row r="98" spans="1:7">
      <c r="A98" s="7" t="s">
        <v>1844</v>
      </c>
      <c r="B98" s="7" t="s">
        <v>5902</v>
      </c>
      <c r="C98" s="7" t="s">
        <v>7970</v>
      </c>
      <c r="D98" t="s">
        <v>8189</v>
      </c>
      <c r="E98" t="s">
        <v>8190</v>
      </c>
      <c r="F98" t="s">
        <v>9409</v>
      </c>
      <c r="G98" t="s">
        <v>9410</v>
      </c>
    </row>
    <row r="99" spans="1:7">
      <c r="A99" s="7" t="s">
        <v>1033</v>
      </c>
      <c r="B99" s="7" t="s">
        <v>4208</v>
      </c>
      <c r="C99" s="7" t="s">
        <v>7833</v>
      </c>
      <c r="D99" t="s">
        <v>8191</v>
      </c>
      <c r="E99" t="s">
        <v>8192</v>
      </c>
      <c r="F99" t="s">
        <v>9411</v>
      </c>
      <c r="G99" t="s">
        <v>9412</v>
      </c>
    </row>
    <row r="100" spans="1:7">
      <c r="B100" s="7" t="s">
        <v>6435</v>
      </c>
      <c r="C100" s="7" t="s">
        <v>8010</v>
      </c>
      <c r="D100" t="s">
        <v>8193</v>
      </c>
      <c r="E100" t="s">
        <v>8194</v>
      </c>
      <c r="F100" t="s">
        <v>9413</v>
      </c>
      <c r="G100" t="s">
        <v>9414</v>
      </c>
    </row>
    <row r="101" spans="1:7">
      <c r="A101" s="7" t="s">
        <v>814</v>
      </c>
      <c r="B101" s="7" t="s">
        <v>3706</v>
      </c>
      <c r="C101" s="7" t="s">
        <v>7786</v>
      </c>
      <c r="D101" t="s">
        <v>8195</v>
      </c>
      <c r="E101" t="s">
        <v>8196</v>
      </c>
      <c r="F101" t="s">
        <v>9415</v>
      </c>
      <c r="G101" t="s">
        <v>9416</v>
      </c>
    </row>
    <row r="102" spans="1:7">
      <c r="A102" s="7" t="s">
        <v>1984</v>
      </c>
      <c r="B102" s="7" t="s">
        <v>6184</v>
      </c>
      <c r="C102" s="7" t="s">
        <v>7983</v>
      </c>
      <c r="D102" s="4" t="s">
        <v>8197</v>
      </c>
      <c r="E102" t="s">
        <v>8198</v>
      </c>
      <c r="F102" t="s">
        <v>9417</v>
      </c>
      <c r="G102" t="s">
        <v>9418</v>
      </c>
    </row>
    <row r="103" spans="1:7">
      <c r="B103" s="7" t="s">
        <v>7064</v>
      </c>
      <c r="C103" s="7" t="s">
        <v>7983</v>
      </c>
      <c r="D103" t="s">
        <v>8197</v>
      </c>
      <c r="E103" t="s">
        <v>8198</v>
      </c>
      <c r="F103" t="s">
        <v>9417</v>
      </c>
      <c r="G103" t="s">
        <v>9418</v>
      </c>
    </row>
    <row r="104" spans="1:7">
      <c r="A104" s="7" t="s">
        <v>981</v>
      </c>
      <c r="B104" s="7" t="s">
        <v>4080</v>
      </c>
      <c r="C104" s="7" t="s">
        <v>7820</v>
      </c>
      <c r="D104" t="s">
        <v>8199</v>
      </c>
      <c r="E104" t="s">
        <v>8200</v>
      </c>
      <c r="F104" t="s">
        <v>9419</v>
      </c>
      <c r="G104" t="s">
        <v>9420</v>
      </c>
    </row>
    <row r="105" spans="1:7">
      <c r="A105" s="7" t="s">
        <v>1164</v>
      </c>
      <c r="B105" s="7" t="s">
        <v>4480</v>
      </c>
      <c r="C105" s="7" t="s">
        <v>7820</v>
      </c>
      <c r="D105" s="11" t="s">
        <v>8199</v>
      </c>
      <c r="E105" s="11" t="s">
        <v>8200</v>
      </c>
      <c r="F105" s="11" t="s">
        <v>9419</v>
      </c>
      <c r="G105" s="11" t="s">
        <v>9420</v>
      </c>
    </row>
    <row r="106" spans="1:7">
      <c r="A106" s="7" t="s">
        <v>1203</v>
      </c>
      <c r="B106" s="7" t="s">
        <v>4552</v>
      </c>
      <c r="C106" s="7" t="s">
        <v>7820</v>
      </c>
      <c r="D106" s="11" t="s">
        <v>8199</v>
      </c>
      <c r="E106" s="11" t="s">
        <v>8200</v>
      </c>
      <c r="F106" s="11" t="s">
        <v>9419</v>
      </c>
      <c r="G106" s="11" t="s">
        <v>9420</v>
      </c>
    </row>
    <row r="107" spans="1:7">
      <c r="B107" s="7" t="s">
        <v>7174</v>
      </c>
      <c r="C107" s="7" t="s">
        <v>7820</v>
      </c>
      <c r="D107" s="11" t="s">
        <v>8199</v>
      </c>
      <c r="E107" s="11" t="s">
        <v>8200</v>
      </c>
      <c r="F107" s="11" t="s">
        <v>9419</v>
      </c>
      <c r="G107" s="11" t="s">
        <v>9420</v>
      </c>
    </row>
    <row r="108" spans="1:7">
      <c r="A108" s="7" t="s">
        <v>1226</v>
      </c>
      <c r="B108" s="7" t="s">
        <v>4602</v>
      </c>
      <c r="C108" s="7" t="s">
        <v>7862</v>
      </c>
      <c r="D108" t="s">
        <v>8201</v>
      </c>
      <c r="E108" t="s">
        <v>8202</v>
      </c>
      <c r="F108" s="11" t="s">
        <v>9421</v>
      </c>
      <c r="G108" s="11" t="s">
        <v>9422</v>
      </c>
    </row>
    <row r="109" spans="1:7">
      <c r="A109" s="7" t="s">
        <v>251</v>
      </c>
      <c r="B109" s="7" t="s">
        <v>2428</v>
      </c>
      <c r="C109" s="7" t="s">
        <v>7664</v>
      </c>
      <c r="D109" t="s">
        <v>8203</v>
      </c>
      <c r="E109" t="s">
        <v>8204</v>
      </c>
      <c r="F109" s="11" t="s">
        <v>9423</v>
      </c>
      <c r="G109" s="11" t="s">
        <v>9424</v>
      </c>
    </row>
    <row r="110" spans="1:7">
      <c r="A110" s="7" t="s">
        <v>1036</v>
      </c>
      <c r="B110" s="7" t="s">
        <v>4213</v>
      </c>
      <c r="C110" s="7" t="s">
        <v>7834</v>
      </c>
      <c r="D110" t="s">
        <v>8205</v>
      </c>
      <c r="E110" t="s">
        <v>8206</v>
      </c>
      <c r="F110" s="11" t="s">
        <v>9425</v>
      </c>
      <c r="G110" s="11" t="s">
        <v>9426</v>
      </c>
    </row>
    <row r="111" spans="1:7">
      <c r="A111" s="7" t="s">
        <v>120</v>
      </c>
      <c r="B111" s="7" t="s">
        <v>2161</v>
      </c>
      <c r="C111" s="7" t="s">
        <v>7641</v>
      </c>
      <c r="D111" t="s">
        <v>8207</v>
      </c>
      <c r="E111" t="s">
        <v>8208</v>
      </c>
      <c r="F111" s="11" t="s">
        <v>9427</v>
      </c>
      <c r="G111" s="11" t="s">
        <v>9428</v>
      </c>
    </row>
    <row r="112" spans="1:7">
      <c r="A112" s="7" t="s">
        <v>121</v>
      </c>
      <c r="B112" s="7" t="s">
        <v>2164</v>
      </c>
      <c r="C112" s="7" t="s">
        <v>7642</v>
      </c>
      <c r="D112" t="s">
        <v>8209</v>
      </c>
      <c r="E112" t="s">
        <v>8210</v>
      </c>
      <c r="F112" s="11" t="s">
        <v>9429</v>
      </c>
      <c r="G112" s="11" t="s">
        <v>9430</v>
      </c>
    </row>
    <row r="113" spans="1:7">
      <c r="A113" s="7"/>
      <c r="B113" s="7"/>
      <c r="C113" s="7" t="s">
        <v>7643</v>
      </c>
      <c r="D113" t="s">
        <v>8211</v>
      </c>
      <c r="E113" t="s">
        <v>8212</v>
      </c>
      <c r="F113" s="11" t="s">
        <v>9431</v>
      </c>
      <c r="G113" s="11" t="s">
        <v>8213</v>
      </c>
    </row>
    <row r="114" spans="1:7">
      <c r="A114" s="7" t="s">
        <v>1858</v>
      </c>
      <c r="B114" s="7" t="s">
        <v>5933</v>
      </c>
      <c r="C114" s="7" t="s">
        <v>7974</v>
      </c>
      <c r="D114" t="s">
        <v>8214</v>
      </c>
      <c r="E114" t="s">
        <v>8215</v>
      </c>
      <c r="F114" s="11" t="s">
        <v>9432</v>
      </c>
      <c r="G114" s="11" t="s">
        <v>9433</v>
      </c>
    </row>
    <row r="115" spans="1:7">
      <c r="A115" s="7" t="s">
        <v>595</v>
      </c>
      <c r="B115" s="7" t="s">
        <v>3205</v>
      </c>
      <c r="C115" s="7" t="s">
        <v>7733</v>
      </c>
      <c r="D115" t="s">
        <v>8216</v>
      </c>
      <c r="E115" t="s">
        <v>8217</v>
      </c>
      <c r="F115" s="11" t="s">
        <v>9434</v>
      </c>
      <c r="G115" s="11" t="s">
        <v>9435</v>
      </c>
    </row>
    <row r="116" spans="1:7">
      <c r="A116" s="7" t="s">
        <v>753</v>
      </c>
      <c r="B116" s="7" t="s">
        <v>3553</v>
      </c>
      <c r="C116" s="7" t="s">
        <v>7767</v>
      </c>
      <c r="D116" t="s">
        <v>8218</v>
      </c>
      <c r="E116" t="s">
        <v>8219</v>
      </c>
      <c r="F116" s="11" t="s">
        <v>9436</v>
      </c>
      <c r="G116" s="11" t="s">
        <v>9437</v>
      </c>
    </row>
    <row r="117" spans="1:7">
      <c r="A117" s="7" t="s">
        <v>853</v>
      </c>
      <c r="B117" s="7" t="s">
        <v>3783</v>
      </c>
      <c r="C117" s="7" t="s">
        <v>7792</v>
      </c>
      <c r="D117" t="s">
        <v>8220</v>
      </c>
      <c r="E117" t="s">
        <v>8221</v>
      </c>
      <c r="F117" s="11" t="s">
        <v>9438</v>
      </c>
      <c r="G117" s="11" t="s">
        <v>9439</v>
      </c>
    </row>
    <row r="118" spans="1:7">
      <c r="B118" s="7" t="s">
        <v>6796</v>
      </c>
      <c r="C118" s="7" t="s">
        <v>8032</v>
      </c>
    </row>
    <row r="119" spans="1:7">
      <c r="B119" s="7" t="s">
        <v>6798</v>
      </c>
      <c r="C119" s="7" t="s">
        <v>8032</v>
      </c>
    </row>
    <row r="120" spans="1:7">
      <c r="A120" s="7" t="s">
        <v>487</v>
      </c>
      <c r="B120" s="7" t="s">
        <v>2962</v>
      </c>
      <c r="C120" s="7" t="s">
        <v>7707</v>
      </c>
      <c r="D120" t="s">
        <v>8222</v>
      </c>
      <c r="E120" t="s">
        <v>8223</v>
      </c>
      <c r="F120" s="11" t="s">
        <v>9440</v>
      </c>
      <c r="G120" s="11" t="s">
        <v>9441</v>
      </c>
    </row>
    <row r="121" spans="1:7">
      <c r="A121" s="7" t="s">
        <v>1256</v>
      </c>
      <c r="B121" s="7" t="s">
        <v>4657</v>
      </c>
      <c r="C121" s="7" t="s">
        <v>7866</v>
      </c>
      <c r="D121" t="s">
        <v>8224</v>
      </c>
      <c r="E121" t="s">
        <v>8225</v>
      </c>
      <c r="F121" s="11" t="s">
        <v>9442</v>
      </c>
      <c r="G121" s="11" t="s">
        <v>8226</v>
      </c>
    </row>
    <row r="122" spans="1:7">
      <c r="B122" s="7" t="s">
        <v>7214</v>
      </c>
      <c r="C122" s="7" t="s">
        <v>7866</v>
      </c>
      <c r="D122" t="s">
        <v>8224</v>
      </c>
      <c r="E122" t="s">
        <v>8225</v>
      </c>
      <c r="F122" s="11" t="s">
        <v>9442</v>
      </c>
      <c r="G122" s="11" t="s">
        <v>8226</v>
      </c>
    </row>
    <row r="123" spans="1:7">
      <c r="B123" s="7" t="s">
        <v>7218</v>
      </c>
      <c r="C123" s="7" t="s">
        <v>7866</v>
      </c>
      <c r="D123" t="s">
        <v>8224</v>
      </c>
      <c r="E123" t="s">
        <v>8225</v>
      </c>
      <c r="F123" s="11" t="s">
        <v>9442</v>
      </c>
      <c r="G123" s="11" t="s">
        <v>8226</v>
      </c>
    </row>
    <row r="124" spans="1:7">
      <c r="A124" s="7" t="s">
        <v>1574</v>
      </c>
      <c r="B124" s="7" t="s">
        <v>5330</v>
      </c>
      <c r="C124" s="7" t="s">
        <v>7922</v>
      </c>
    </row>
    <row r="125" spans="1:7">
      <c r="A125" s="7" t="s">
        <v>521</v>
      </c>
      <c r="B125" s="7" t="s">
        <v>3037</v>
      </c>
      <c r="C125" s="7" t="s">
        <v>7712</v>
      </c>
    </row>
    <row r="126" spans="1:7">
      <c r="A126" s="7" t="s">
        <v>1418</v>
      </c>
      <c r="B126" s="7" t="s">
        <v>4991</v>
      </c>
      <c r="C126" s="7" t="s">
        <v>7712</v>
      </c>
    </row>
    <row r="127" spans="1:7">
      <c r="A127" s="7" t="s">
        <v>1987</v>
      </c>
      <c r="B127" s="7" t="s">
        <v>6189</v>
      </c>
      <c r="C127" s="7" t="s">
        <v>7712</v>
      </c>
    </row>
    <row r="128" spans="1:7">
      <c r="B128" s="7" t="s">
        <v>6598</v>
      </c>
      <c r="C128" s="7" t="s">
        <v>7712</v>
      </c>
    </row>
    <row r="129" spans="1:7">
      <c r="B129" s="7" t="s">
        <v>7455</v>
      </c>
      <c r="C129" s="7" t="s">
        <v>7712</v>
      </c>
    </row>
    <row r="130" spans="1:7">
      <c r="A130" s="7" t="s">
        <v>583</v>
      </c>
      <c r="B130" s="7" t="s">
        <v>3173</v>
      </c>
      <c r="C130" s="7" t="s">
        <v>7725</v>
      </c>
      <c r="D130" t="s">
        <v>8227</v>
      </c>
      <c r="E130" t="s">
        <v>8228</v>
      </c>
      <c r="F130" t="s">
        <v>9443</v>
      </c>
      <c r="G130" t="s">
        <v>9444</v>
      </c>
    </row>
    <row r="131" spans="1:7">
      <c r="B131" s="7" t="s">
        <v>6921</v>
      </c>
      <c r="C131" s="7" t="s">
        <v>8037</v>
      </c>
      <c r="D131" t="s">
        <v>8229</v>
      </c>
      <c r="E131" t="s">
        <v>8230</v>
      </c>
      <c r="F131" t="s">
        <v>9445</v>
      </c>
      <c r="G131" t="s">
        <v>9446</v>
      </c>
    </row>
    <row r="132" spans="1:7">
      <c r="A132" s="7" t="s">
        <v>186</v>
      </c>
      <c r="B132" s="7" t="s">
        <v>2300</v>
      </c>
      <c r="C132" s="7" t="s">
        <v>7656</v>
      </c>
      <c r="D132" t="s">
        <v>8231</v>
      </c>
      <c r="E132" t="s">
        <v>8232</v>
      </c>
      <c r="F132" s="7" t="s">
        <v>9447</v>
      </c>
      <c r="G132" s="7" t="s">
        <v>9448</v>
      </c>
    </row>
    <row r="133" spans="1:7">
      <c r="A133" s="7" t="s">
        <v>1149</v>
      </c>
      <c r="B133" s="7" t="s">
        <v>4459</v>
      </c>
      <c r="C133" s="7" t="s">
        <v>7656</v>
      </c>
      <c r="D133" t="s">
        <v>8231</v>
      </c>
      <c r="E133" t="s">
        <v>8232</v>
      </c>
      <c r="F133" s="7" t="s">
        <v>9447</v>
      </c>
      <c r="G133" s="7" t="s">
        <v>9448</v>
      </c>
    </row>
    <row r="134" spans="1:7">
      <c r="A134" s="7" t="s">
        <v>1596</v>
      </c>
      <c r="B134" s="7" t="s">
        <v>5385</v>
      </c>
      <c r="C134" s="7" t="s">
        <v>7928</v>
      </c>
      <c r="D134" t="s">
        <v>8233</v>
      </c>
      <c r="E134" t="s">
        <v>8234</v>
      </c>
      <c r="F134" t="s">
        <v>9449</v>
      </c>
      <c r="G134" t="s">
        <v>9450</v>
      </c>
    </row>
    <row r="135" spans="1:7">
      <c r="A135" s="7" t="s">
        <v>672</v>
      </c>
      <c r="B135" s="7" t="s">
        <v>3384</v>
      </c>
      <c r="C135" s="7" t="s">
        <v>7752</v>
      </c>
      <c r="D135" t="s">
        <v>8235</v>
      </c>
      <c r="E135" t="s">
        <v>8236</v>
      </c>
      <c r="F135" t="s">
        <v>9451</v>
      </c>
      <c r="G135" t="s">
        <v>9452</v>
      </c>
    </row>
    <row r="136" spans="1:7">
      <c r="A136" s="7"/>
      <c r="B136" s="7"/>
      <c r="C136" s="7" t="s">
        <v>7753</v>
      </c>
      <c r="D136" t="s">
        <v>8237</v>
      </c>
      <c r="E136" t="s">
        <v>8238</v>
      </c>
      <c r="F136" s="7" t="s">
        <v>9453</v>
      </c>
      <c r="G136" s="7" t="s">
        <v>9454</v>
      </c>
    </row>
    <row r="137" spans="1:7">
      <c r="A137" s="7" t="s">
        <v>587</v>
      </c>
      <c r="B137" s="7" t="s">
        <v>3182</v>
      </c>
      <c r="C137" s="7" t="s">
        <v>7727</v>
      </c>
      <c r="D137" t="s">
        <v>8239</v>
      </c>
      <c r="E137" t="s">
        <v>8240</v>
      </c>
      <c r="F137" s="7" t="s">
        <v>9455</v>
      </c>
      <c r="G137" s="7" t="s">
        <v>9456</v>
      </c>
    </row>
    <row r="138" spans="1:7">
      <c r="A138" s="7" t="s">
        <v>589</v>
      </c>
      <c r="B138" s="7" t="s">
        <v>3188</v>
      </c>
      <c r="C138" s="7" t="s">
        <v>7729</v>
      </c>
      <c r="D138" t="s">
        <v>8241</v>
      </c>
      <c r="E138" t="s">
        <v>8242</v>
      </c>
      <c r="F138" s="7" t="s">
        <v>9457</v>
      </c>
      <c r="G138" s="7" t="s">
        <v>9458</v>
      </c>
    </row>
    <row r="139" spans="1:7">
      <c r="B139" s="7" t="s">
        <v>6592</v>
      </c>
      <c r="C139" s="7" t="s">
        <v>8020</v>
      </c>
      <c r="D139" t="s">
        <v>8243</v>
      </c>
      <c r="E139" t="s">
        <v>8244</v>
      </c>
      <c r="F139" s="7" t="s">
        <v>9459</v>
      </c>
      <c r="G139" s="7" t="s">
        <v>9460</v>
      </c>
    </row>
    <row r="140" spans="1:7">
      <c r="A140" s="7" t="s">
        <v>1887</v>
      </c>
      <c r="B140" s="7" t="s">
        <v>5995</v>
      </c>
      <c r="C140" s="7" t="s">
        <v>7977</v>
      </c>
      <c r="D140" t="s">
        <v>8245</v>
      </c>
      <c r="E140" t="s">
        <v>8246</v>
      </c>
      <c r="F140" s="7" t="s">
        <v>9461</v>
      </c>
      <c r="G140" s="7" t="s">
        <v>9462</v>
      </c>
    </row>
    <row r="141" spans="1:7">
      <c r="B141" s="7" t="s">
        <v>7110</v>
      </c>
      <c r="C141" s="7" t="s">
        <v>8056</v>
      </c>
      <c r="D141" t="s">
        <v>8247</v>
      </c>
      <c r="E141" t="s">
        <v>8248</v>
      </c>
      <c r="F141" s="7" t="s">
        <v>9463</v>
      </c>
      <c r="G141" s="7" t="s">
        <v>9464</v>
      </c>
    </row>
    <row r="142" spans="1:7">
      <c r="A142" s="7" t="s">
        <v>813</v>
      </c>
      <c r="B142" s="7" t="s">
        <v>3702</v>
      </c>
      <c r="C142" s="7" t="s">
        <v>7785</v>
      </c>
      <c r="D142" t="s">
        <v>8249</v>
      </c>
      <c r="E142" t="s">
        <v>8250</v>
      </c>
      <c r="F142" s="7" t="s">
        <v>9465</v>
      </c>
      <c r="G142" s="7" t="s">
        <v>9466</v>
      </c>
    </row>
    <row r="143" spans="1:7">
      <c r="A143" s="7" t="s">
        <v>1648</v>
      </c>
      <c r="B143" s="7" t="s">
        <v>5515</v>
      </c>
      <c r="C143" s="7" t="s">
        <v>7945</v>
      </c>
      <c r="D143" t="s">
        <v>8251</v>
      </c>
      <c r="E143" t="s">
        <v>8252</v>
      </c>
      <c r="F143" s="7" t="s">
        <v>9467</v>
      </c>
      <c r="G143" s="7" t="s">
        <v>9468</v>
      </c>
    </row>
    <row r="144" spans="1:7">
      <c r="A144" s="7" t="s">
        <v>1919</v>
      </c>
      <c r="B144" s="7" t="s">
        <v>6068</v>
      </c>
      <c r="C144" s="7" t="s">
        <v>7979</v>
      </c>
    </row>
    <row r="145" spans="1:7">
      <c r="A145" s="7" t="s">
        <v>611</v>
      </c>
      <c r="B145" s="7" t="s">
        <v>3246</v>
      </c>
      <c r="C145" s="7" t="s">
        <v>7741</v>
      </c>
    </row>
    <row r="146" spans="1:7">
      <c r="A146" s="7" t="s">
        <v>110</v>
      </c>
      <c r="B146" s="7" t="s">
        <v>6030</v>
      </c>
      <c r="C146" s="7" t="s">
        <v>7741</v>
      </c>
    </row>
    <row r="147" spans="1:7">
      <c r="A147" s="7" t="s">
        <v>1904</v>
      </c>
      <c r="B147" s="7" t="s">
        <v>6042</v>
      </c>
      <c r="C147" s="7" t="s">
        <v>7741</v>
      </c>
    </row>
    <row r="148" spans="1:7">
      <c r="A148" s="7" t="s">
        <v>1905</v>
      </c>
      <c r="B148" s="7" t="s">
        <v>6045</v>
      </c>
      <c r="C148" s="7" t="s">
        <v>7741</v>
      </c>
    </row>
    <row r="149" spans="1:7">
      <c r="A149" s="7" t="s">
        <v>1368</v>
      </c>
      <c r="B149" s="7" t="s">
        <v>4900</v>
      </c>
      <c r="C149" s="7" t="s">
        <v>7886</v>
      </c>
    </row>
    <row r="150" spans="1:7">
      <c r="A150" s="7" t="s">
        <v>352</v>
      </c>
      <c r="B150" s="7" t="s">
        <v>2669</v>
      </c>
      <c r="C150" s="7" t="s">
        <v>7685</v>
      </c>
      <c r="D150" t="s">
        <v>8879</v>
      </c>
    </row>
    <row r="151" spans="1:7">
      <c r="A151" s="7"/>
      <c r="B151" s="7"/>
      <c r="C151" s="7" t="s">
        <v>7686</v>
      </c>
    </row>
    <row r="152" spans="1:7">
      <c r="A152" s="7" t="s">
        <v>374</v>
      </c>
      <c r="B152" s="7" t="s">
        <v>2717</v>
      </c>
      <c r="C152" s="7" t="s">
        <v>7685</v>
      </c>
      <c r="D152" t="s">
        <v>8879</v>
      </c>
    </row>
    <row r="153" spans="1:7">
      <c r="A153" s="7"/>
      <c r="B153" s="7"/>
      <c r="C153" s="7" t="s">
        <v>7653</v>
      </c>
    </row>
    <row r="154" spans="1:7">
      <c r="A154" s="7" t="s">
        <v>703</v>
      </c>
      <c r="B154" s="7" t="s">
        <v>3453</v>
      </c>
      <c r="C154" s="7" t="s">
        <v>7685</v>
      </c>
      <c r="D154" t="s">
        <v>8879</v>
      </c>
    </row>
    <row r="155" spans="1:7">
      <c r="B155" s="7" t="s">
        <v>7204</v>
      </c>
      <c r="C155" s="7" t="s">
        <v>7685</v>
      </c>
      <c r="D155" t="s">
        <v>8879</v>
      </c>
    </row>
    <row r="156" spans="1:7">
      <c r="B156" s="7"/>
      <c r="C156" s="7" t="s">
        <v>7686</v>
      </c>
    </row>
    <row r="157" spans="1:7">
      <c r="A157" s="7" t="s">
        <v>110</v>
      </c>
      <c r="B157" s="7" t="s">
        <v>3675</v>
      </c>
      <c r="C157" s="7" t="s">
        <v>7781</v>
      </c>
      <c r="D157" t="s">
        <v>8253</v>
      </c>
      <c r="E157" t="s">
        <v>8254</v>
      </c>
      <c r="F157" t="s">
        <v>9469</v>
      </c>
      <c r="G157" t="s">
        <v>9470</v>
      </c>
    </row>
    <row r="158" spans="1:7">
      <c r="A158" s="7"/>
      <c r="B158" s="7"/>
      <c r="C158" s="7" t="s">
        <v>7782</v>
      </c>
      <c r="D158" t="s">
        <v>8255</v>
      </c>
      <c r="E158" t="s">
        <v>8256</v>
      </c>
      <c r="F158" s="7" t="s">
        <v>9471</v>
      </c>
      <c r="G158" s="7" t="s">
        <v>9472</v>
      </c>
    </row>
    <row r="159" spans="1:7">
      <c r="A159" s="7" t="s">
        <v>1007</v>
      </c>
      <c r="B159" s="7" t="s">
        <v>4142</v>
      </c>
      <c r="C159" s="7" t="s">
        <v>7827</v>
      </c>
      <c r="D159" t="s">
        <v>8257</v>
      </c>
      <c r="E159" t="s">
        <v>8258</v>
      </c>
      <c r="F159" t="s">
        <v>9473</v>
      </c>
      <c r="G159" t="s">
        <v>9474</v>
      </c>
    </row>
    <row r="160" spans="1:7">
      <c r="A160" s="7" t="s">
        <v>1369</v>
      </c>
      <c r="B160" s="7" t="s">
        <v>4902</v>
      </c>
      <c r="C160" s="7" t="s">
        <v>7887</v>
      </c>
      <c r="D160" t="s">
        <v>8259</v>
      </c>
      <c r="E160" t="s">
        <v>8260</v>
      </c>
      <c r="F160" t="s">
        <v>9475</v>
      </c>
      <c r="G160" t="s">
        <v>8261</v>
      </c>
    </row>
    <row r="161" spans="1:7">
      <c r="A161" s="7" t="s">
        <v>801</v>
      </c>
      <c r="B161" s="7" t="s">
        <v>3678</v>
      </c>
      <c r="C161" s="7" t="s">
        <v>7782</v>
      </c>
      <c r="D161" t="s">
        <v>8255</v>
      </c>
      <c r="E161" t="s">
        <v>8256</v>
      </c>
      <c r="F161" t="s">
        <v>9471</v>
      </c>
      <c r="G161" t="s">
        <v>8262</v>
      </c>
    </row>
    <row r="162" spans="1:7">
      <c r="A162" s="7" t="s">
        <v>1457</v>
      </c>
      <c r="B162" s="7" t="s">
        <v>5083</v>
      </c>
      <c r="C162" s="7" t="s">
        <v>7873</v>
      </c>
      <c r="D162" t="s">
        <v>8263</v>
      </c>
      <c r="E162" t="s">
        <v>8264</v>
      </c>
      <c r="F162" t="s">
        <v>9476</v>
      </c>
      <c r="G162" t="s">
        <v>9477</v>
      </c>
    </row>
    <row r="163" spans="1:7">
      <c r="A163" s="7" t="s">
        <v>1461</v>
      </c>
      <c r="B163" s="7" t="s">
        <v>5094</v>
      </c>
      <c r="C163" s="7" t="s">
        <v>7873</v>
      </c>
      <c r="D163" t="s">
        <v>8263</v>
      </c>
      <c r="E163" t="s">
        <v>8264</v>
      </c>
      <c r="F163" t="s">
        <v>9476</v>
      </c>
      <c r="G163" t="s">
        <v>9477</v>
      </c>
    </row>
    <row r="164" spans="1:7">
      <c r="A164" s="7" t="s">
        <v>1325</v>
      </c>
      <c r="B164" s="7" t="s">
        <v>4786</v>
      </c>
      <c r="C164" s="7" t="s">
        <v>7874</v>
      </c>
      <c r="D164" t="s">
        <v>8265</v>
      </c>
      <c r="E164" t="s">
        <v>8266</v>
      </c>
      <c r="F164" t="s">
        <v>9478</v>
      </c>
      <c r="G164" t="s">
        <v>9479</v>
      </c>
    </row>
    <row r="165" spans="1:7">
      <c r="A165" s="7" t="s">
        <v>117</v>
      </c>
      <c r="B165" s="7" t="s">
        <v>2156</v>
      </c>
      <c r="C165" s="7" t="s">
        <v>7639</v>
      </c>
      <c r="D165" t="s">
        <v>8267</v>
      </c>
      <c r="E165" t="s">
        <v>8268</v>
      </c>
      <c r="F165" t="s">
        <v>9480</v>
      </c>
      <c r="G165" t="s">
        <v>9481</v>
      </c>
    </row>
    <row r="166" spans="1:7">
      <c r="B166" s="7" t="s">
        <v>6384</v>
      </c>
      <c r="C166" s="7" t="s">
        <v>8007</v>
      </c>
      <c r="D166" t="s">
        <v>8269</v>
      </c>
      <c r="E166" t="s">
        <v>8270</v>
      </c>
      <c r="F166" t="s">
        <v>9482</v>
      </c>
      <c r="G166" t="s">
        <v>9483</v>
      </c>
    </row>
    <row r="167" spans="1:7">
      <c r="B167" s="7" t="s">
        <v>7015</v>
      </c>
      <c r="C167" s="7" t="s">
        <v>8046</v>
      </c>
      <c r="D167" t="s">
        <v>8271</v>
      </c>
      <c r="E167" t="s">
        <v>8272</v>
      </c>
      <c r="F167" t="s">
        <v>9484</v>
      </c>
      <c r="G167" t="s">
        <v>9485</v>
      </c>
    </row>
    <row r="168" spans="1:7">
      <c r="A168" s="7" t="s">
        <v>778</v>
      </c>
      <c r="B168" s="7" t="s">
        <v>3619</v>
      </c>
      <c r="C168" s="7" t="s">
        <v>7771</v>
      </c>
      <c r="D168" t="s">
        <v>8273</v>
      </c>
      <c r="E168" t="s">
        <v>8274</v>
      </c>
      <c r="F168" t="s">
        <v>9486</v>
      </c>
      <c r="G168" t="s">
        <v>9487</v>
      </c>
    </row>
    <row r="169" spans="1:7">
      <c r="A169" s="7" t="s">
        <v>1288</v>
      </c>
      <c r="B169" s="7" t="s">
        <v>4711</v>
      </c>
      <c r="C169" s="7" t="s">
        <v>7771</v>
      </c>
      <c r="D169" t="s">
        <v>8273</v>
      </c>
      <c r="E169" t="s">
        <v>8274</v>
      </c>
      <c r="F169" t="s">
        <v>9486</v>
      </c>
      <c r="G169" t="s">
        <v>9487</v>
      </c>
    </row>
    <row r="170" spans="1:7">
      <c r="A170" s="7" t="s">
        <v>1597</v>
      </c>
      <c r="B170" s="7" t="s">
        <v>5388</v>
      </c>
      <c r="C170" s="7" t="s">
        <v>7929</v>
      </c>
      <c r="D170" t="s">
        <v>8275</v>
      </c>
      <c r="E170" t="s">
        <v>8276</v>
      </c>
      <c r="F170" t="s">
        <v>9488</v>
      </c>
      <c r="G170" t="s">
        <v>9489</v>
      </c>
    </row>
    <row r="171" spans="1:7">
      <c r="A171" s="7" t="s">
        <v>72</v>
      </c>
      <c r="B171" s="7" t="s">
        <v>2087</v>
      </c>
      <c r="C171" s="7" t="s">
        <v>7633</v>
      </c>
      <c r="D171" t="s">
        <v>8277</v>
      </c>
      <c r="E171" t="s">
        <v>8278</v>
      </c>
      <c r="F171" t="s">
        <v>9431</v>
      </c>
      <c r="G171" t="s">
        <v>9490</v>
      </c>
    </row>
    <row r="172" spans="1:7">
      <c r="A172" s="7" t="s">
        <v>549</v>
      </c>
      <c r="B172" s="7" t="s">
        <v>3090</v>
      </c>
      <c r="C172" s="7" t="s">
        <v>7717</v>
      </c>
      <c r="D172" t="s">
        <v>8279</v>
      </c>
      <c r="E172" t="s">
        <v>8280</v>
      </c>
      <c r="F172" t="s">
        <v>9491</v>
      </c>
      <c r="G172" t="s">
        <v>9492</v>
      </c>
    </row>
    <row r="173" spans="1:7">
      <c r="A173" s="7" t="s">
        <v>750</v>
      </c>
      <c r="B173" s="7" t="s">
        <v>3545</v>
      </c>
      <c r="C173" s="7" t="s">
        <v>7717</v>
      </c>
      <c r="D173" t="s">
        <v>8279</v>
      </c>
      <c r="E173" t="s">
        <v>8280</v>
      </c>
      <c r="F173" t="s">
        <v>9491</v>
      </c>
      <c r="G173" t="s">
        <v>9492</v>
      </c>
    </row>
    <row r="174" spans="1:7">
      <c r="A174" s="7" t="s">
        <v>935</v>
      </c>
      <c r="B174" s="7" t="s">
        <v>3986</v>
      </c>
      <c r="C174" s="7" t="s">
        <v>7815</v>
      </c>
    </row>
    <row r="175" spans="1:7">
      <c r="A175" s="7" t="s">
        <v>768</v>
      </c>
      <c r="B175" s="7" t="s">
        <v>3591</v>
      </c>
      <c r="C175" s="7" t="s">
        <v>7769</v>
      </c>
      <c r="D175" t="s">
        <v>8281</v>
      </c>
      <c r="E175" t="s">
        <v>8282</v>
      </c>
      <c r="F175" t="s">
        <v>9493</v>
      </c>
      <c r="G175" t="s">
        <v>9494</v>
      </c>
    </row>
    <row r="176" spans="1:7">
      <c r="A176" s="7" t="s">
        <v>1342</v>
      </c>
      <c r="B176" s="7" t="s">
        <v>4829</v>
      </c>
      <c r="C176" s="7" t="s">
        <v>7878</v>
      </c>
    </row>
    <row r="177" spans="1:7">
      <c r="A177" s="7" t="s">
        <v>1588</v>
      </c>
      <c r="B177" s="7" t="s">
        <v>5364</v>
      </c>
      <c r="C177" s="7" t="s">
        <v>7924</v>
      </c>
      <c r="D177" t="s">
        <v>8283</v>
      </c>
      <c r="E177" t="s">
        <v>8284</v>
      </c>
      <c r="F177" t="s">
        <v>9495</v>
      </c>
      <c r="G177" t="s">
        <v>9496</v>
      </c>
    </row>
    <row r="178" spans="1:7">
      <c r="A178" s="7" t="s">
        <v>2003</v>
      </c>
      <c r="B178" s="7" t="s">
        <v>6232</v>
      </c>
      <c r="C178" s="7" t="s">
        <v>7992</v>
      </c>
      <c r="D178" t="s">
        <v>8285</v>
      </c>
      <c r="E178" t="s">
        <v>8286</v>
      </c>
      <c r="F178" t="s">
        <v>9497</v>
      </c>
      <c r="G178" t="s">
        <v>9498</v>
      </c>
    </row>
    <row r="179" spans="1:7">
      <c r="A179" s="7" t="s">
        <v>1028</v>
      </c>
      <c r="B179" s="7" t="s">
        <v>4196</v>
      </c>
      <c r="C179" s="7" t="s">
        <v>7830</v>
      </c>
      <c r="D179" t="s">
        <v>8287</v>
      </c>
      <c r="E179" t="s">
        <v>8288</v>
      </c>
      <c r="F179" t="s">
        <v>9499</v>
      </c>
      <c r="G179" t="s">
        <v>9500</v>
      </c>
    </row>
    <row r="180" spans="1:7">
      <c r="A180" s="7" t="s">
        <v>905</v>
      </c>
      <c r="B180" s="7" t="s">
        <v>3910</v>
      </c>
      <c r="C180" s="7" t="s">
        <v>7809</v>
      </c>
      <c r="D180" t="s">
        <v>8289</v>
      </c>
      <c r="E180" t="s">
        <v>8290</v>
      </c>
      <c r="F180" t="s">
        <v>9501</v>
      </c>
      <c r="G180" t="s">
        <v>9502</v>
      </c>
    </row>
    <row r="181" spans="1:7">
      <c r="A181" s="7" t="s">
        <v>331</v>
      </c>
      <c r="B181" s="7" t="s">
        <v>2624</v>
      </c>
      <c r="C181" s="7" t="s">
        <v>7681</v>
      </c>
      <c r="D181" t="s">
        <v>8291</v>
      </c>
      <c r="E181" t="s">
        <v>8292</v>
      </c>
      <c r="F181" t="s">
        <v>9503</v>
      </c>
      <c r="G181" t="s">
        <v>9504</v>
      </c>
    </row>
    <row r="182" spans="1:7">
      <c r="A182" s="7" t="s">
        <v>564</v>
      </c>
      <c r="B182" s="7" t="s">
        <v>3124</v>
      </c>
      <c r="C182" s="7" t="s">
        <v>7719</v>
      </c>
      <c r="D182" t="s">
        <v>8293</v>
      </c>
      <c r="E182" t="s">
        <v>8294</v>
      </c>
      <c r="F182" t="s">
        <v>9505</v>
      </c>
      <c r="G182" t="s">
        <v>9506</v>
      </c>
    </row>
    <row r="183" spans="1:7">
      <c r="A183" s="7"/>
      <c r="B183" s="7"/>
      <c r="C183" s="7" t="s">
        <v>7720</v>
      </c>
      <c r="D183" t="s">
        <v>8295</v>
      </c>
      <c r="E183" t="s">
        <v>8296</v>
      </c>
      <c r="F183" s="7" t="s">
        <v>9507</v>
      </c>
      <c r="G183" s="7" t="s">
        <v>9508</v>
      </c>
    </row>
    <row r="184" spans="1:7">
      <c r="A184" s="7" t="s">
        <v>1146</v>
      </c>
      <c r="B184" s="7" t="s">
        <v>4453</v>
      </c>
      <c r="C184" s="7" t="s">
        <v>7719</v>
      </c>
      <c r="D184" t="s">
        <v>8293</v>
      </c>
      <c r="E184" t="s">
        <v>8294</v>
      </c>
      <c r="F184" t="s">
        <v>9505</v>
      </c>
      <c r="G184" t="s">
        <v>9506</v>
      </c>
    </row>
    <row r="185" spans="1:7">
      <c r="A185" s="7"/>
      <c r="B185" s="7"/>
      <c r="C185" s="7" t="s">
        <v>7766</v>
      </c>
    </row>
    <row r="186" spans="1:7">
      <c r="A186" s="7" t="s">
        <v>542</v>
      </c>
      <c r="B186" s="7" t="s">
        <v>3080</v>
      </c>
      <c r="C186" s="7" t="s">
        <v>7714</v>
      </c>
      <c r="D186" t="s">
        <v>8297</v>
      </c>
      <c r="E186" t="s">
        <v>8298</v>
      </c>
      <c r="F186" t="s">
        <v>9509</v>
      </c>
      <c r="G186" t="s">
        <v>9510</v>
      </c>
    </row>
    <row r="187" spans="1:7">
      <c r="A187" s="7"/>
      <c r="B187" s="7"/>
      <c r="C187" s="7" t="s">
        <v>7715</v>
      </c>
      <c r="D187" t="s">
        <v>8299</v>
      </c>
      <c r="E187" t="s">
        <v>8300</v>
      </c>
      <c r="F187" s="7" t="s">
        <v>9511</v>
      </c>
      <c r="G187" s="7" t="s">
        <v>9512</v>
      </c>
    </row>
    <row r="188" spans="1:7">
      <c r="A188" s="7" t="s">
        <v>1531</v>
      </c>
      <c r="B188" s="7" t="s">
        <v>5242</v>
      </c>
      <c r="C188" s="7" t="s">
        <v>7914</v>
      </c>
      <c r="D188" t="s">
        <v>8301</v>
      </c>
      <c r="E188" t="s">
        <v>8302</v>
      </c>
      <c r="F188" t="s">
        <v>9513</v>
      </c>
      <c r="G188" t="s">
        <v>9514</v>
      </c>
    </row>
    <row r="189" spans="1:7">
      <c r="A189" s="7" t="s">
        <v>1402</v>
      </c>
      <c r="B189" s="7" t="s">
        <v>4966</v>
      </c>
      <c r="C189" s="7" t="s">
        <v>7889</v>
      </c>
      <c r="D189" s="4" t="s">
        <v>9515</v>
      </c>
      <c r="E189" t="s">
        <v>8303</v>
      </c>
      <c r="F189" t="s">
        <v>9516</v>
      </c>
      <c r="G189" t="s">
        <v>9517</v>
      </c>
    </row>
    <row r="190" spans="1:7">
      <c r="A190" s="7" t="s">
        <v>1524</v>
      </c>
      <c r="B190" s="7" t="s">
        <v>5230</v>
      </c>
      <c r="C190" s="7" t="s">
        <v>7889</v>
      </c>
      <c r="D190" s="4" t="s">
        <v>9515</v>
      </c>
      <c r="E190" t="s">
        <v>8303</v>
      </c>
      <c r="F190" t="s">
        <v>9516</v>
      </c>
      <c r="G190" t="s">
        <v>9517</v>
      </c>
    </row>
    <row r="191" spans="1:7">
      <c r="A191" s="7" t="s">
        <v>2028</v>
      </c>
      <c r="B191" s="7" t="s">
        <v>6291</v>
      </c>
      <c r="C191" s="7" t="s">
        <v>7889</v>
      </c>
      <c r="D191" s="4" t="s">
        <v>9515</v>
      </c>
      <c r="E191" t="s">
        <v>8303</v>
      </c>
      <c r="F191" t="s">
        <v>9516</v>
      </c>
      <c r="G191" t="s">
        <v>9517</v>
      </c>
    </row>
    <row r="192" spans="1:7">
      <c r="A192" s="7" t="s">
        <v>1536</v>
      </c>
      <c r="B192" s="7" t="s">
        <v>5256</v>
      </c>
      <c r="C192" s="7" t="s">
        <v>7915</v>
      </c>
      <c r="D192" t="s">
        <v>8304</v>
      </c>
      <c r="E192" t="s">
        <v>8305</v>
      </c>
      <c r="F192" t="s">
        <v>9518</v>
      </c>
      <c r="G192" t="s">
        <v>9519</v>
      </c>
    </row>
    <row r="193" spans="1:7">
      <c r="A193" s="7" t="s">
        <v>106</v>
      </c>
      <c r="B193" s="7" t="s">
        <v>2138</v>
      </c>
      <c r="C193" s="7" t="s">
        <v>7636</v>
      </c>
    </row>
    <row r="194" spans="1:7">
      <c r="A194" s="7" t="s">
        <v>544</v>
      </c>
      <c r="B194" s="7" t="s">
        <v>3083</v>
      </c>
      <c r="C194" s="7" t="s">
        <v>7716</v>
      </c>
      <c r="D194" t="s">
        <v>8306</v>
      </c>
      <c r="E194" t="s">
        <v>8307</v>
      </c>
      <c r="F194" t="s">
        <v>9520</v>
      </c>
      <c r="G194" t="s">
        <v>9521</v>
      </c>
    </row>
    <row r="195" spans="1:7">
      <c r="A195" s="7" t="s">
        <v>670</v>
      </c>
      <c r="B195" s="7" t="s">
        <v>3378</v>
      </c>
      <c r="C195" s="7" t="s">
        <v>7716</v>
      </c>
      <c r="D195" t="s">
        <v>8306</v>
      </c>
      <c r="E195" t="s">
        <v>8307</v>
      </c>
      <c r="F195" t="s">
        <v>9520</v>
      </c>
      <c r="G195" t="s">
        <v>9521</v>
      </c>
    </row>
    <row r="196" spans="1:7">
      <c r="A196" s="7" t="s">
        <v>1103</v>
      </c>
      <c r="B196" s="7" t="s">
        <v>4371</v>
      </c>
      <c r="C196" s="7" t="s">
        <v>7716</v>
      </c>
      <c r="D196" t="s">
        <v>8306</v>
      </c>
      <c r="E196" t="s">
        <v>8307</v>
      </c>
      <c r="F196" t="s">
        <v>9520</v>
      </c>
      <c r="G196" t="s">
        <v>9521</v>
      </c>
    </row>
    <row r="197" spans="1:7">
      <c r="A197" s="7" t="s">
        <v>1933</v>
      </c>
      <c r="B197" s="7" t="s">
        <v>6090</v>
      </c>
      <c r="C197" s="7" t="s">
        <v>7716</v>
      </c>
      <c r="D197" t="s">
        <v>8306</v>
      </c>
      <c r="E197" t="s">
        <v>8307</v>
      </c>
      <c r="F197" t="s">
        <v>9520</v>
      </c>
      <c r="G197" t="s">
        <v>9521</v>
      </c>
    </row>
    <row r="198" spans="1:7">
      <c r="A198" s="7" t="s">
        <v>674</v>
      </c>
      <c r="B198" s="7" t="s">
        <v>3391</v>
      </c>
      <c r="C198" s="7" t="s">
        <v>7755</v>
      </c>
      <c r="D198" t="s">
        <v>8308</v>
      </c>
      <c r="E198" t="s">
        <v>8309</v>
      </c>
      <c r="F198" t="s">
        <v>9522</v>
      </c>
      <c r="G198" t="s">
        <v>9523</v>
      </c>
    </row>
    <row r="199" spans="1:7">
      <c r="A199" s="7" t="s">
        <v>1186</v>
      </c>
      <c r="B199" s="7" t="s">
        <v>4523</v>
      </c>
      <c r="C199" s="7" t="s">
        <v>7857</v>
      </c>
      <c r="D199" t="s">
        <v>8310</v>
      </c>
      <c r="E199" t="s">
        <v>8311</v>
      </c>
      <c r="F199" t="s">
        <v>9524</v>
      </c>
      <c r="G199" t="s">
        <v>9525</v>
      </c>
    </row>
    <row r="200" spans="1:7">
      <c r="A200" s="7" t="s">
        <v>834</v>
      </c>
      <c r="B200" s="7" t="s">
        <v>3747</v>
      </c>
      <c r="C200" s="7" t="s">
        <v>7790</v>
      </c>
      <c r="D200" t="s">
        <v>8312</v>
      </c>
      <c r="E200" t="s">
        <v>8313</v>
      </c>
      <c r="F200" t="s">
        <v>9526</v>
      </c>
      <c r="G200" t="s">
        <v>9527</v>
      </c>
    </row>
    <row r="201" spans="1:7">
      <c r="A201" s="7" t="s">
        <v>1989</v>
      </c>
      <c r="B201" s="7" t="s">
        <v>6192</v>
      </c>
      <c r="C201" s="7" t="s">
        <v>7985</v>
      </c>
      <c r="D201" t="s">
        <v>8314</v>
      </c>
      <c r="E201" t="s">
        <v>8315</v>
      </c>
      <c r="F201" t="s">
        <v>9528</v>
      </c>
      <c r="G201" t="s">
        <v>9529</v>
      </c>
    </row>
    <row r="202" spans="1:7">
      <c r="A202" s="7" t="s">
        <v>1055</v>
      </c>
      <c r="B202" s="7" t="s">
        <v>4255</v>
      </c>
      <c r="C202" s="7" t="s">
        <v>7838</v>
      </c>
      <c r="D202" t="s">
        <v>8316</v>
      </c>
      <c r="E202" t="s">
        <v>8317</v>
      </c>
      <c r="F202" t="s">
        <v>9530</v>
      </c>
      <c r="G202" t="s">
        <v>9531</v>
      </c>
    </row>
    <row r="203" spans="1:7">
      <c r="A203" s="7"/>
      <c r="B203" s="7"/>
      <c r="C203" s="7" t="s">
        <v>7839</v>
      </c>
      <c r="D203" t="s">
        <v>8318</v>
      </c>
      <c r="E203" t="s">
        <v>8319</v>
      </c>
      <c r="F203" s="7" t="s">
        <v>8320</v>
      </c>
      <c r="G203" s="7" t="s">
        <v>9532</v>
      </c>
    </row>
    <row r="204" spans="1:7">
      <c r="B204" s="7" t="s">
        <v>6388</v>
      </c>
      <c r="C204" s="7" t="s">
        <v>7838</v>
      </c>
      <c r="D204" t="s">
        <v>8316</v>
      </c>
      <c r="E204" t="s">
        <v>8317</v>
      </c>
      <c r="F204" t="s">
        <v>9530</v>
      </c>
      <c r="G204" t="s">
        <v>9533</v>
      </c>
    </row>
    <row r="205" spans="1:7">
      <c r="B205" s="7"/>
      <c r="C205" s="7" t="s">
        <v>8008</v>
      </c>
      <c r="D205" t="s">
        <v>8321</v>
      </c>
      <c r="E205" t="s">
        <v>8322</v>
      </c>
      <c r="F205" s="7" t="s">
        <v>9534</v>
      </c>
      <c r="G205" s="7" t="s">
        <v>9535</v>
      </c>
    </row>
    <row r="206" spans="1:7">
      <c r="B206" s="7" t="s">
        <v>7226</v>
      </c>
      <c r="C206" s="7" t="s">
        <v>8061</v>
      </c>
    </row>
    <row r="207" spans="1:7">
      <c r="A207" s="7" t="s">
        <v>325</v>
      </c>
      <c r="B207" s="7" t="s">
        <v>2603</v>
      </c>
      <c r="C207" s="7" t="s">
        <v>7678</v>
      </c>
    </row>
    <row r="208" spans="1:7">
      <c r="A208" s="7" t="s">
        <v>326</v>
      </c>
      <c r="B208" s="7" t="s">
        <v>2606</v>
      </c>
      <c r="C208" s="7" t="s">
        <v>7678</v>
      </c>
    </row>
    <row r="209" spans="1:7">
      <c r="A209" s="7" t="s">
        <v>1812</v>
      </c>
      <c r="B209" s="7" t="s">
        <v>5845</v>
      </c>
      <c r="C209" s="7" t="s">
        <v>7678</v>
      </c>
    </row>
    <row r="210" spans="1:7">
      <c r="A210" s="7" t="s">
        <v>1992</v>
      </c>
      <c r="B210" s="7" t="s">
        <v>6195</v>
      </c>
      <c r="C210" s="7" t="s">
        <v>7678</v>
      </c>
    </row>
    <row r="211" spans="1:7">
      <c r="B211" s="7" t="s">
        <v>6814</v>
      </c>
      <c r="C211" s="7" t="s">
        <v>7678</v>
      </c>
    </row>
    <row r="212" spans="1:7">
      <c r="B212" s="7" t="s">
        <v>7252</v>
      </c>
      <c r="C212" s="7" t="s">
        <v>7678</v>
      </c>
    </row>
    <row r="213" spans="1:7">
      <c r="B213" s="7" t="s">
        <v>7255</v>
      </c>
      <c r="C213" s="7" t="s">
        <v>7678</v>
      </c>
    </row>
    <row r="214" spans="1:7">
      <c r="A214" s="7" t="s">
        <v>2020</v>
      </c>
      <c r="B214" s="7" t="s">
        <v>6268</v>
      </c>
      <c r="C214" s="7" t="s">
        <v>7995</v>
      </c>
      <c r="D214" t="s">
        <v>8323</v>
      </c>
      <c r="E214" t="s">
        <v>8324</v>
      </c>
      <c r="F214" t="s">
        <v>9536</v>
      </c>
      <c r="G214" t="s">
        <v>9537</v>
      </c>
    </row>
    <row r="215" spans="1:7">
      <c r="A215" s="7" t="s">
        <v>1563</v>
      </c>
      <c r="B215" s="7" t="s">
        <v>5312</v>
      </c>
      <c r="C215" s="7" t="s">
        <v>7918</v>
      </c>
      <c r="D215" t="s">
        <v>8325</v>
      </c>
      <c r="E215" t="s">
        <v>8326</v>
      </c>
      <c r="F215" t="s">
        <v>9538</v>
      </c>
      <c r="G215" t="s">
        <v>9539</v>
      </c>
    </row>
    <row r="216" spans="1:7">
      <c r="A216" s="7" t="s">
        <v>1025</v>
      </c>
      <c r="B216" s="7" t="s">
        <v>4189</v>
      </c>
      <c r="C216" s="7" t="s">
        <v>7829</v>
      </c>
      <c r="D216" t="s">
        <v>8327</v>
      </c>
      <c r="E216" t="s">
        <v>8328</v>
      </c>
      <c r="F216" t="s">
        <v>9540</v>
      </c>
      <c r="G216" t="s">
        <v>9541</v>
      </c>
    </row>
    <row r="217" spans="1:7">
      <c r="A217" s="7" t="s">
        <v>1000</v>
      </c>
      <c r="B217" s="7" t="s">
        <v>4130</v>
      </c>
      <c r="C217" s="7" t="s">
        <v>7824</v>
      </c>
      <c r="D217" t="s">
        <v>8329</v>
      </c>
      <c r="E217" t="s">
        <v>8330</v>
      </c>
      <c r="F217" t="s">
        <v>9542</v>
      </c>
      <c r="G217" t="s">
        <v>9543</v>
      </c>
    </row>
    <row r="218" spans="1:7">
      <c r="A218" s="7"/>
      <c r="B218" s="7"/>
      <c r="C218" s="7" t="s">
        <v>7825</v>
      </c>
      <c r="D218" t="s">
        <v>8331</v>
      </c>
      <c r="E218" t="s">
        <v>8332</v>
      </c>
      <c r="F218" s="7" t="s">
        <v>9544</v>
      </c>
      <c r="G218" s="7" t="s">
        <v>9545</v>
      </c>
    </row>
    <row r="219" spans="1:7">
      <c r="A219" s="7" t="s">
        <v>1031</v>
      </c>
      <c r="B219" s="7" t="s">
        <v>4203</v>
      </c>
      <c r="C219" s="7" t="s">
        <v>7832</v>
      </c>
      <c r="D219" t="s">
        <v>8333</v>
      </c>
      <c r="E219" t="s">
        <v>8334</v>
      </c>
      <c r="F219" t="s">
        <v>9546</v>
      </c>
      <c r="G219" t="s">
        <v>9547</v>
      </c>
    </row>
    <row r="220" spans="1:7">
      <c r="A220" s="7" t="s">
        <v>1889</v>
      </c>
      <c r="B220" s="7" t="s">
        <v>6002</v>
      </c>
      <c r="C220" s="7" t="s">
        <v>7978</v>
      </c>
      <c r="D220" t="s">
        <v>8335</v>
      </c>
      <c r="E220" t="s">
        <v>8336</v>
      </c>
      <c r="F220" t="s">
        <v>9548</v>
      </c>
      <c r="G220" t="s">
        <v>9549</v>
      </c>
    </row>
    <row r="221" spans="1:7">
      <c r="A221" s="7" t="s">
        <v>874</v>
      </c>
      <c r="B221" s="7" t="s">
        <v>3838</v>
      </c>
      <c r="C221" s="7" t="s">
        <v>7798</v>
      </c>
      <c r="D221" t="s">
        <v>8337</v>
      </c>
      <c r="E221" t="s">
        <v>8338</v>
      </c>
      <c r="F221" t="s">
        <v>9550</v>
      </c>
      <c r="G221" t="s">
        <v>9551</v>
      </c>
    </row>
    <row r="222" spans="1:7">
      <c r="A222" s="7" t="s">
        <v>1351</v>
      </c>
      <c r="B222" s="7" t="s">
        <v>4850</v>
      </c>
      <c r="C222" s="7" t="s">
        <v>7881</v>
      </c>
      <c r="D222" t="s">
        <v>8339</v>
      </c>
      <c r="E222" t="s">
        <v>8340</v>
      </c>
      <c r="F222" t="s">
        <v>9552</v>
      </c>
      <c r="G222" t="s">
        <v>9553</v>
      </c>
    </row>
    <row r="223" spans="1:7">
      <c r="A223" s="7"/>
      <c r="B223" s="7"/>
      <c r="C223" s="7" t="s">
        <v>7882</v>
      </c>
      <c r="D223" t="s">
        <v>8341</v>
      </c>
      <c r="E223" t="s">
        <v>8342</v>
      </c>
      <c r="F223" s="7" t="s">
        <v>9554</v>
      </c>
      <c r="G223" s="7" t="s">
        <v>9555</v>
      </c>
    </row>
    <row r="224" spans="1:7">
      <c r="A224" s="7" t="s">
        <v>889</v>
      </c>
      <c r="B224" s="7" t="s">
        <v>3873</v>
      </c>
      <c r="C224" s="7" t="s">
        <v>7801</v>
      </c>
      <c r="D224" t="s">
        <v>8343</v>
      </c>
      <c r="E224" t="s">
        <v>8344</v>
      </c>
      <c r="F224" t="s">
        <v>9556</v>
      </c>
      <c r="G224" t="s">
        <v>9557</v>
      </c>
    </row>
    <row r="225" spans="1:7">
      <c r="A225" s="7" t="s">
        <v>1089</v>
      </c>
      <c r="B225" s="7" t="s">
        <v>4335</v>
      </c>
      <c r="C225" s="7" t="s">
        <v>7847</v>
      </c>
      <c r="D225" t="s">
        <v>8345</v>
      </c>
      <c r="E225" t="s">
        <v>8346</v>
      </c>
      <c r="F225" s="7" t="s">
        <v>9558</v>
      </c>
      <c r="G225" s="7" t="s">
        <v>9559</v>
      </c>
    </row>
    <row r="226" spans="1:7">
      <c r="A226" s="7" t="s">
        <v>1670</v>
      </c>
      <c r="B226" s="7" t="s">
        <v>5565</v>
      </c>
      <c r="C226" s="7" t="s">
        <v>7951</v>
      </c>
      <c r="D226" t="s">
        <v>8347</v>
      </c>
      <c r="E226" s="4" t="s">
        <v>8348</v>
      </c>
      <c r="F226" t="s">
        <v>9560</v>
      </c>
      <c r="G226" t="s">
        <v>9561</v>
      </c>
    </row>
    <row r="227" spans="1:7">
      <c r="A227" s="7" t="s">
        <v>784</v>
      </c>
      <c r="B227" s="7" t="s">
        <v>3638</v>
      </c>
      <c r="C227" s="7" t="s">
        <v>7772</v>
      </c>
      <c r="D227" t="s">
        <v>8349</v>
      </c>
      <c r="E227" t="s">
        <v>8350</v>
      </c>
      <c r="F227" s="7" t="s">
        <v>9562</v>
      </c>
      <c r="G227" s="7" t="s">
        <v>9563</v>
      </c>
    </row>
    <row r="228" spans="1:7">
      <c r="A228" s="7" t="s">
        <v>677</v>
      </c>
      <c r="B228" s="7" t="s">
        <v>3400</v>
      </c>
      <c r="C228" s="7" t="s">
        <v>7757</v>
      </c>
      <c r="D228" t="s">
        <v>8351</v>
      </c>
      <c r="E228" t="s">
        <v>8352</v>
      </c>
      <c r="F228" t="s">
        <v>9564</v>
      </c>
      <c r="G228" t="s">
        <v>9565</v>
      </c>
    </row>
    <row r="229" spans="1:7">
      <c r="B229" s="7" t="s">
        <v>6810</v>
      </c>
      <c r="C229" s="7" t="s">
        <v>8033</v>
      </c>
      <c r="D229" t="s">
        <v>8353</v>
      </c>
      <c r="E229" t="s">
        <v>8354</v>
      </c>
      <c r="F229" s="7" t="s">
        <v>9566</v>
      </c>
      <c r="G229" s="7" t="s">
        <v>9567</v>
      </c>
    </row>
    <row r="230" spans="1:7">
      <c r="A230" s="7" t="s">
        <v>1562</v>
      </c>
      <c r="B230" s="7" t="s">
        <v>5310</v>
      </c>
      <c r="C230" s="7" t="s">
        <v>7917</v>
      </c>
      <c r="D230" t="s">
        <v>8355</v>
      </c>
      <c r="E230" t="s">
        <v>8356</v>
      </c>
      <c r="F230" t="s">
        <v>9568</v>
      </c>
      <c r="G230" t="s">
        <v>9569</v>
      </c>
    </row>
    <row r="231" spans="1:7">
      <c r="A231" s="7" t="s">
        <v>1641</v>
      </c>
      <c r="B231" s="7" t="s">
        <v>5493</v>
      </c>
      <c r="C231" s="7" t="s">
        <v>7941</v>
      </c>
      <c r="D231" t="s">
        <v>8357</v>
      </c>
      <c r="E231" t="s">
        <v>8358</v>
      </c>
      <c r="F231" s="7" t="s">
        <v>9570</v>
      </c>
      <c r="G231" s="7" t="s">
        <v>9571</v>
      </c>
    </row>
    <row r="232" spans="1:7">
      <c r="A232" s="7" t="s">
        <v>604</v>
      </c>
      <c r="B232" s="7" t="s">
        <v>3227</v>
      </c>
      <c r="C232" s="7" t="s">
        <v>7736</v>
      </c>
      <c r="D232" t="s">
        <v>8359</v>
      </c>
      <c r="E232" t="s">
        <v>8360</v>
      </c>
      <c r="F232" t="s">
        <v>9572</v>
      </c>
      <c r="G232" t="s">
        <v>9573</v>
      </c>
    </row>
    <row r="233" spans="1:7">
      <c r="A233" s="7" t="s">
        <v>1817</v>
      </c>
      <c r="B233" s="7" t="s">
        <v>5855</v>
      </c>
      <c r="C233" s="7" t="s">
        <v>7966</v>
      </c>
      <c r="D233" t="s">
        <v>8361</v>
      </c>
      <c r="E233" t="s">
        <v>8362</v>
      </c>
      <c r="F233" s="7" t="s">
        <v>9574</v>
      </c>
      <c r="G233" s="7" t="s">
        <v>9575</v>
      </c>
    </row>
    <row r="234" spans="1:7">
      <c r="A234" s="7" t="s">
        <v>870</v>
      </c>
      <c r="B234" s="7" t="s">
        <v>3829</v>
      </c>
      <c r="C234" s="7" t="s">
        <v>7796</v>
      </c>
      <c r="D234" s="7" t="s">
        <v>8363</v>
      </c>
      <c r="E234" t="s">
        <v>8364</v>
      </c>
      <c r="F234" s="7" t="s">
        <v>9576</v>
      </c>
      <c r="G234" t="s">
        <v>9577</v>
      </c>
    </row>
    <row r="235" spans="1:7">
      <c r="A235" s="7" t="s">
        <v>907</v>
      </c>
      <c r="B235" s="7" t="s">
        <v>3914</v>
      </c>
      <c r="C235" s="7" t="s">
        <v>7810</v>
      </c>
      <c r="D235" t="s">
        <v>8365</v>
      </c>
      <c r="E235" t="s">
        <v>8366</v>
      </c>
      <c r="F235" s="7" t="s">
        <v>9578</v>
      </c>
      <c r="G235" s="7" t="s">
        <v>9579</v>
      </c>
    </row>
    <row r="236" spans="1:7">
      <c r="A236" s="7" t="s">
        <v>934</v>
      </c>
      <c r="B236" s="7" t="s">
        <v>3983</v>
      </c>
      <c r="C236" s="7" t="s">
        <v>7813</v>
      </c>
    </row>
    <row r="237" spans="1:7">
      <c r="A237" s="7"/>
      <c r="B237" s="7"/>
      <c r="C237" s="7" t="s">
        <v>7814</v>
      </c>
    </row>
    <row r="238" spans="1:7">
      <c r="A238" s="7" t="s">
        <v>1854</v>
      </c>
      <c r="B238" s="7" t="s">
        <v>5924</v>
      </c>
      <c r="C238" s="7" t="s">
        <v>7971</v>
      </c>
      <c r="D238" t="s">
        <v>8367</v>
      </c>
      <c r="E238" t="s">
        <v>8368</v>
      </c>
      <c r="F238" s="7" t="s">
        <v>9580</v>
      </c>
      <c r="G238" t="s">
        <v>9581</v>
      </c>
    </row>
    <row r="239" spans="1:7">
      <c r="A239" s="7" t="s">
        <v>1084</v>
      </c>
      <c r="B239" s="7" t="s">
        <v>4326</v>
      </c>
      <c r="C239" s="7" t="s">
        <v>7846</v>
      </c>
      <c r="D239" t="s">
        <v>8369</v>
      </c>
    </row>
    <row r="240" spans="1:7">
      <c r="A240" s="7" t="s">
        <v>1848</v>
      </c>
      <c r="B240" s="7" t="s">
        <v>5911</v>
      </c>
      <c r="C240" s="7" t="s">
        <v>7846</v>
      </c>
      <c r="D240" t="s">
        <v>8369</v>
      </c>
    </row>
    <row r="241" spans="1:7">
      <c r="B241" s="7" t="s">
        <v>7171</v>
      </c>
      <c r="C241" s="7" t="s">
        <v>8059</v>
      </c>
      <c r="D241" t="s">
        <v>8370</v>
      </c>
      <c r="E241" t="s">
        <v>8371</v>
      </c>
      <c r="F241" t="s">
        <v>9582</v>
      </c>
      <c r="G241" t="s">
        <v>9583</v>
      </c>
    </row>
    <row r="242" spans="1:7">
      <c r="B242" s="7" t="s">
        <v>6746</v>
      </c>
      <c r="C242" s="7" t="s">
        <v>8028</v>
      </c>
      <c r="D242" t="s">
        <v>8372</v>
      </c>
      <c r="E242" t="s">
        <v>8373</v>
      </c>
      <c r="F242" t="s">
        <v>9584</v>
      </c>
      <c r="G242" t="s">
        <v>9585</v>
      </c>
    </row>
    <row r="243" spans="1:7">
      <c r="B243" s="7" t="s">
        <v>6951</v>
      </c>
      <c r="C243" s="7" t="s">
        <v>8039</v>
      </c>
      <c r="D243" t="s">
        <v>8374</v>
      </c>
      <c r="E243" t="s">
        <v>8375</v>
      </c>
      <c r="F243" t="s">
        <v>9586</v>
      </c>
      <c r="G243" t="s">
        <v>9587</v>
      </c>
    </row>
    <row r="244" spans="1:7">
      <c r="A244" s="7" t="s">
        <v>577</v>
      </c>
      <c r="B244" s="7" t="s">
        <v>3160</v>
      </c>
      <c r="C244" s="7" t="s">
        <v>7723</v>
      </c>
      <c r="D244" t="s">
        <v>8376</v>
      </c>
      <c r="E244" t="s">
        <v>8377</v>
      </c>
      <c r="F244" t="s">
        <v>9588</v>
      </c>
      <c r="G244" t="s">
        <v>9589</v>
      </c>
    </row>
    <row r="245" spans="1:7">
      <c r="A245" s="7" t="s">
        <v>673</v>
      </c>
      <c r="B245" s="7" t="s">
        <v>3387</v>
      </c>
      <c r="C245" s="7" t="s">
        <v>7754</v>
      </c>
      <c r="D245" t="s">
        <v>8378</v>
      </c>
      <c r="E245" t="s">
        <v>8379</v>
      </c>
      <c r="F245" t="s">
        <v>9590</v>
      </c>
      <c r="G245" t="s">
        <v>9591</v>
      </c>
    </row>
    <row r="246" spans="1:7">
      <c r="A246" s="7" t="s">
        <v>1645</v>
      </c>
      <c r="B246" s="7" t="s">
        <v>5504</v>
      </c>
      <c r="C246" s="7" t="s">
        <v>7943</v>
      </c>
      <c r="D246" t="s">
        <v>8380</v>
      </c>
      <c r="E246" t="s">
        <v>8381</v>
      </c>
      <c r="F246" t="s">
        <v>9592</v>
      </c>
      <c r="G246" t="s">
        <v>9593</v>
      </c>
    </row>
    <row r="247" spans="1:7">
      <c r="A247" s="7" t="s">
        <v>786</v>
      </c>
      <c r="B247" s="7" t="s">
        <v>3644</v>
      </c>
      <c r="C247" s="7" t="s">
        <v>7774</v>
      </c>
      <c r="D247" t="s">
        <v>8382</v>
      </c>
      <c r="E247" t="s">
        <v>8383</v>
      </c>
      <c r="F247" t="s">
        <v>9594</v>
      </c>
      <c r="G247" t="s">
        <v>9595</v>
      </c>
    </row>
    <row r="248" spans="1:7">
      <c r="A248" s="7" t="s">
        <v>641</v>
      </c>
      <c r="B248" s="7" t="s">
        <v>3314</v>
      </c>
      <c r="C248" s="7" t="s">
        <v>7747</v>
      </c>
      <c r="D248" t="s">
        <v>8384</v>
      </c>
      <c r="E248" t="s">
        <v>8385</v>
      </c>
      <c r="F248" t="s">
        <v>9596</v>
      </c>
      <c r="G248" t="s">
        <v>9597</v>
      </c>
    </row>
    <row r="249" spans="1:7">
      <c r="A249" s="7" t="s">
        <v>1480</v>
      </c>
      <c r="B249" s="7" t="s">
        <v>5137</v>
      </c>
      <c r="C249" s="7" t="s">
        <v>7906</v>
      </c>
      <c r="D249" t="s">
        <v>8386</v>
      </c>
      <c r="E249" t="s">
        <v>8387</v>
      </c>
      <c r="F249" t="s">
        <v>9598</v>
      </c>
      <c r="G249" t="s">
        <v>9599</v>
      </c>
    </row>
    <row r="250" spans="1:7">
      <c r="B250" s="7" t="s">
        <v>7308</v>
      </c>
      <c r="C250" s="7" t="s">
        <v>8066</v>
      </c>
      <c r="D250" t="s">
        <v>8388</v>
      </c>
      <c r="E250" t="s">
        <v>8389</v>
      </c>
      <c r="F250" t="s">
        <v>9600</v>
      </c>
      <c r="G250" t="s">
        <v>8390</v>
      </c>
    </row>
    <row r="251" spans="1:7">
      <c r="A251" s="7" t="s">
        <v>1232</v>
      </c>
      <c r="B251" s="7" t="s">
        <v>4611</v>
      </c>
      <c r="C251" s="7" t="s">
        <v>7863</v>
      </c>
      <c r="D251" t="s">
        <v>8391</v>
      </c>
      <c r="E251" t="s">
        <v>8392</v>
      </c>
      <c r="F251" t="s">
        <v>9601</v>
      </c>
      <c r="G251" t="s">
        <v>9602</v>
      </c>
    </row>
    <row r="252" spans="1:7">
      <c r="A252" s="7" t="s">
        <v>244</v>
      </c>
      <c r="B252" s="7" t="s">
        <v>2409</v>
      </c>
      <c r="C252" s="7" t="s">
        <v>7662</v>
      </c>
      <c r="D252" t="s">
        <v>8393</v>
      </c>
      <c r="E252" t="s">
        <v>8394</v>
      </c>
      <c r="F252" s="7" t="s">
        <v>9603</v>
      </c>
      <c r="G252" s="7" t="s">
        <v>9604</v>
      </c>
    </row>
    <row r="253" spans="1:7">
      <c r="A253" s="7" t="s">
        <v>1861</v>
      </c>
      <c r="B253" s="7" t="s">
        <v>5941</v>
      </c>
      <c r="C253" s="7" t="s">
        <v>7976</v>
      </c>
      <c r="D253" s="7" t="s">
        <v>8395</v>
      </c>
      <c r="E253" t="s">
        <v>8396</v>
      </c>
      <c r="F253" s="7" t="s">
        <v>9605</v>
      </c>
      <c r="G253" t="s">
        <v>9606</v>
      </c>
    </row>
    <row r="254" spans="1:7">
      <c r="A254" s="7" t="s">
        <v>707</v>
      </c>
      <c r="B254" s="7" t="s">
        <v>3462</v>
      </c>
      <c r="C254" s="7" t="s">
        <v>7761</v>
      </c>
      <c r="D254" t="s">
        <v>8397</v>
      </c>
      <c r="E254" t="s">
        <v>8398</v>
      </c>
      <c r="F254" t="s">
        <v>9607</v>
      </c>
      <c r="G254" t="s">
        <v>9608</v>
      </c>
    </row>
    <row r="255" spans="1:7">
      <c r="A255" s="7" t="s">
        <v>99</v>
      </c>
      <c r="B255" s="7" t="s">
        <v>2127</v>
      </c>
      <c r="C255" s="7" t="s">
        <v>7635</v>
      </c>
      <c r="D255" t="s">
        <v>8399</v>
      </c>
      <c r="E255" t="s">
        <v>8400</v>
      </c>
      <c r="F255" t="s">
        <v>9609</v>
      </c>
      <c r="G255" t="s">
        <v>9610</v>
      </c>
    </row>
    <row r="256" spans="1:7">
      <c r="A256" s="7" t="s">
        <v>1892</v>
      </c>
      <c r="B256" s="7" t="s">
        <v>6011</v>
      </c>
      <c r="C256" s="7" t="s">
        <v>7635</v>
      </c>
      <c r="D256" t="s">
        <v>8399</v>
      </c>
      <c r="E256" t="s">
        <v>8400</v>
      </c>
      <c r="F256" t="s">
        <v>9609</v>
      </c>
      <c r="G256" t="s">
        <v>9610</v>
      </c>
    </row>
    <row r="257" spans="1:7">
      <c r="B257" s="7" t="s">
        <v>6982</v>
      </c>
      <c r="C257" s="7" t="s">
        <v>8041</v>
      </c>
      <c r="D257" s="7" t="s">
        <v>8401</v>
      </c>
      <c r="E257" t="s">
        <v>8402</v>
      </c>
      <c r="F257" s="7" t="s">
        <v>9611</v>
      </c>
      <c r="G257" t="s">
        <v>9612</v>
      </c>
    </row>
    <row r="258" spans="1:7">
      <c r="A258" s="7" t="s">
        <v>2000</v>
      </c>
      <c r="B258" s="7" t="s">
        <v>6224</v>
      </c>
      <c r="C258" s="7" t="s">
        <v>7989</v>
      </c>
      <c r="D258" t="s">
        <v>8403</v>
      </c>
      <c r="E258" t="s">
        <v>8404</v>
      </c>
      <c r="F258" t="s">
        <v>9613</v>
      </c>
      <c r="G258" t="s">
        <v>9614</v>
      </c>
    </row>
    <row r="259" spans="1:7">
      <c r="A259" s="7" t="s">
        <v>268</v>
      </c>
      <c r="B259" s="7" t="s">
        <v>2473</v>
      </c>
      <c r="C259" s="7" t="s">
        <v>7668</v>
      </c>
      <c r="D259" t="s">
        <v>8405</v>
      </c>
      <c r="E259" t="s">
        <v>8406</v>
      </c>
      <c r="F259" t="s">
        <v>9615</v>
      </c>
      <c r="G259" t="s">
        <v>9616</v>
      </c>
    </row>
    <row r="260" spans="1:7">
      <c r="A260" s="7"/>
      <c r="B260" s="7"/>
      <c r="C260" s="7" t="s">
        <v>7669</v>
      </c>
      <c r="D260" t="s">
        <v>8407</v>
      </c>
      <c r="E260" t="s">
        <v>8408</v>
      </c>
      <c r="F260" s="7" t="s">
        <v>9617</v>
      </c>
      <c r="G260" s="7" t="s">
        <v>9618</v>
      </c>
    </row>
    <row r="261" spans="1:7">
      <c r="A261" s="7" t="s">
        <v>1890</v>
      </c>
      <c r="B261" s="7" t="s">
        <v>6006</v>
      </c>
      <c r="C261" s="7" t="s">
        <v>7668</v>
      </c>
      <c r="D261" t="s">
        <v>8405</v>
      </c>
      <c r="E261" t="s">
        <v>8406</v>
      </c>
      <c r="F261" t="s">
        <v>9615</v>
      </c>
      <c r="G261" t="s">
        <v>9616</v>
      </c>
    </row>
    <row r="262" spans="1:7">
      <c r="A262" s="7" t="s">
        <v>1928</v>
      </c>
      <c r="B262" s="7" t="s">
        <v>6082</v>
      </c>
      <c r="C262" s="7" t="s">
        <v>7980</v>
      </c>
    </row>
    <row r="263" spans="1:7">
      <c r="A263" s="7" t="s">
        <v>630</v>
      </c>
      <c r="B263" s="7" t="s">
        <v>3289</v>
      </c>
      <c r="C263" s="7" t="s">
        <v>7744</v>
      </c>
      <c r="D263" t="s">
        <v>8409</v>
      </c>
      <c r="E263" t="s">
        <v>8410</v>
      </c>
      <c r="F263" t="s">
        <v>9619</v>
      </c>
      <c r="G263" t="s">
        <v>9620</v>
      </c>
    </row>
    <row r="264" spans="1:7">
      <c r="A264" s="7"/>
      <c r="B264" s="7"/>
      <c r="C264" s="7" t="s">
        <v>7745</v>
      </c>
      <c r="D264" t="s">
        <v>8411</v>
      </c>
      <c r="E264" t="s">
        <v>8412</v>
      </c>
      <c r="F264" s="7" t="s">
        <v>9621</v>
      </c>
      <c r="G264" s="7" t="s">
        <v>9622</v>
      </c>
    </row>
    <row r="265" spans="1:7">
      <c r="A265" s="7" t="s">
        <v>1815</v>
      </c>
      <c r="B265" s="7" t="s">
        <v>5852</v>
      </c>
      <c r="C265" s="7" t="s">
        <v>7965</v>
      </c>
      <c r="D265" t="s">
        <v>8413</v>
      </c>
      <c r="E265" t="s">
        <v>8414</v>
      </c>
      <c r="F265" t="s">
        <v>9623</v>
      </c>
      <c r="G265" t="s">
        <v>9624</v>
      </c>
    </row>
    <row r="266" spans="1:7">
      <c r="A266" s="7" t="s">
        <v>791</v>
      </c>
      <c r="B266" s="7" t="s">
        <v>3652</v>
      </c>
      <c r="C266" s="7" t="s">
        <v>7776</v>
      </c>
      <c r="D266" t="s">
        <v>8415</v>
      </c>
      <c r="E266" t="s">
        <v>8416</v>
      </c>
      <c r="F266" t="s">
        <v>9625</v>
      </c>
      <c r="G266" t="s">
        <v>9626</v>
      </c>
    </row>
    <row r="267" spans="1:7">
      <c r="A267" s="7"/>
      <c r="B267" s="7"/>
      <c r="C267" s="7" t="s">
        <v>7777</v>
      </c>
      <c r="D267" s="7" t="s">
        <v>8417</v>
      </c>
      <c r="E267" t="s">
        <v>8418</v>
      </c>
      <c r="F267" s="7" t="s">
        <v>9627</v>
      </c>
      <c r="G267" s="7" t="s">
        <v>9628</v>
      </c>
    </row>
    <row r="268" spans="1:7">
      <c r="A268" s="7" t="s">
        <v>1623</v>
      </c>
      <c r="B268" s="7" t="s">
        <v>5447</v>
      </c>
      <c r="C268" s="7" t="s">
        <v>7935</v>
      </c>
      <c r="D268" t="s">
        <v>8419</v>
      </c>
      <c r="E268" t="s">
        <v>8420</v>
      </c>
      <c r="F268" t="s">
        <v>9629</v>
      </c>
      <c r="G268" t="s">
        <v>9630</v>
      </c>
    </row>
    <row r="269" spans="1:7">
      <c r="B269" s="7" t="s">
        <v>6564</v>
      </c>
      <c r="C269" s="7" t="s">
        <v>8017</v>
      </c>
      <c r="D269" t="s">
        <v>8421</v>
      </c>
      <c r="E269" t="s">
        <v>8422</v>
      </c>
      <c r="F269" t="s">
        <v>9631</v>
      </c>
      <c r="G269" t="s">
        <v>9632</v>
      </c>
    </row>
    <row r="270" spans="1:7">
      <c r="A270" s="7" t="s">
        <v>332</v>
      </c>
      <c r="B270" s="7" t="s">
        <v>2628</v>
      </c>
      <c r="C270" s="7" t="s">
        <v>7682</v>
      </c>
      <c r="D270" s="7" t="s">
        <v>8423</v>
      </c>
      <c r="E270" t="s">
        <v>8424</v>
      </c>
      <c r="F270" s="7" t="s">
        <v>9633</v>
      </c>
      <c r="G270" t="s">
        <v>9634</v>
      </c>
    </row>
    <row r="271" spans="1:7">
      <c r="A271" s="7" t="s">
        <v>1860</v>
      </c>
      <c r="B271" s="7" t="s">
        <v>5939</v>
      </c>
      <c r="C271" s="7" t="s">
        <v>7975</v>
      </c>
      <c r="D271" s="4" t="s">
        <v>8425</v>
      </c>
      <c r="E271" t="s">
        <v>8426</v>
      </c>
      <c r="F271" t="s">
        <v>9635</v>
      </c>
      <c r="G271" t="s">
        <v>9636</v>
      </c>
    </row>
    <row r="272" spans="1:7">
      <c r="B272" s="7" t="s">
        <v>7199</v>
      </c>
      <c r="C272" s="7" t="s">
        <v>7975</v>
      </c>
      <c r="D272" s="4" t="s">
        <v>8425</v>
      </c>
      <c r="E272" t="s">
        <v>8426</v>
      </c>
      <c r="F272" t="s">
        <v>9635</v>
      </c>
      <c r="G272" t="s">
        <v>9636</v>
      </c>
    </row>
    <row r="273" spans="1:7">
      <c r="B273" s="7" t="s">
        <v>7202</v>
      </c>
      <c r="C273" s="7" t="s">
        <v>7975</v>
      </c>
      <c r="D273" s="4" t="s">
        <v>8425</v>
      </c>
      <c r="E273" t="s">
        <v>8426</v>
      </c>
      <c r="F273" t="s">
        <v>9635</v>
      </c>
      <c r="G273" t="s">
        <v>9636</v>
      </c>
    </row>
    <row r="274" spans="1:7">
      <c r="B274" s="7" t="s">
        <v>7296</v>
      </c>
      <c r="C274" s="7" t="s">
        <v>7975</v>
      </c>
      <c r="D274" s="4" t="s">
        <v>8425</v>
      </c>
      <c r="E274" t="s">
        <v>8426</v>
      </c>
      <c r="F274" t="s">
        <v>9635</v>
      </c>
      <c r="G274" t="s">
        <v>9636</v>
      </c>
    </row>
    <row r="275" spans="1:7">
      <c r="A275" s="7" t="s">
        <v>160</v>
      </c>
      <c r="B275" s="7" t="s">
        <v>2243</v>
      </c>
      <c r="C275" s="7" t="s">
        <v>7651</v>
      </c>
      <c r="D275" t="s">
        <v>8427</v>
      </c>
      <c r="E275" t="s">
        <v>8428</v>
      </c>
      <c r="F275" t="s">
        <v>9637</v>
      </c>
      <c r="G275" t="s">
        <v>9638</v>
      </c>
    </row>
    <row r="276" spans="1:7">
      <c r="A276" s="7" t="s">
        <v>708</v>
      </c>
      <c r="B276" s="7" t="s">
        <v>3465</v>
      </c>
      <c r="C276" s="7" t="s">
        <v>7651</v>
      </c>
      <c r="D276" t="s">
        <v>8427</v>
      </c>
      <c r="E276" t="s">
        <v>8428</v>
      </c>
      <c r="F276" t="s">
        <v>9637</v>
      </c>
      <c r="G276" t="s">
        <v>9638</v>
      </c>
    </row>
    <row r="277" spans="1:7">
      <c r="A277" s="7" t="s">
        <v>990</v>
      </c>
      <c r="B277" s="7" t="s">
        <v>4105</v>
      </c>
      <c r="C277" s="7" t="s">
        <v>7651</v>
      </c>
      <c r="D277" t="s">
        <v>8427</v>
      </c>
      <c r="E277" t="s">
        <v>8428</v>
      </c>
      <c r="F277" t="s">
        <v>9637</v>
      </c>
      <c r="G277" t="s">
        <v>9638</v>
      </c>
    </row>
    <row r="278" spans="1:7">
      <c r="A278" s="7" t="s">
        <v>1534</v>
      </c>
      <c r="B278" s="7" t="s">
        <v>5249</v>
      </c>
      <c r="C278" s="7" t="s">
        <v>7651</v>
      </c>
      <c r="D278" t="s">
        <v>8427</v>
      </c>
      <c r="E278" t="s">
        <v>8428</v>
      </c>
      <c r="F278" t="s">
        <v>9637</v>
      </c>
      <c r="G278" t="s">
        <v>9638</v>
      </c>
    </row>
    <row r="279" spans="1:7">
      <c r="A279" s="7" t="s">
        <v>1564</v>
      </c>
      <c r="B279" s="7" t="s">
        <v>5315</v>
      </c>
      <c r="C279" s="7" t="s">
        <v>7651</v>
      </c>
      <c r="D279" t="s">
        <v>8427</v>
      </c>
      <c r="E279" t="s">
        <v>8428</v>
      </c>
      <c r="F279" t="s">
        <v>9637</v>
      </c>
      <c r="G279" t="s">
        <v>9638</v>
      </c>
    </row>
    <row r="280" spans="1:7">
      <c r="B280" s="7" t="s">
        <v>6420</v>
      </c>
      <c r="C280" s="7" t="s">
        <v>7651</v>
      </c>
      <c r="D280" t="s">
        <v>8427</v>
      </c>
      <c r="E280" t="s">
        <v>8428</v>
      </c>
      <c r="F280" t="s">
        <v>9637</v>
      </c>
      <c r="G280" t="s">
        <v>9638</v>
      </c>
    </row>
    <row r="281" spans="1:7">
      <c r="B281" s="7" t="s">
        <v>6588</v>
      </c>
      <c r="C281" s="7" t="s">
        <v>7651</v>
      </c>
      <c r="D281" t="s">
        <v>8427</v>
      </c>
      <c r="E281" t="s">
        <v>8428</v>
      </c>
      <c r="F281" t="s">
        <v>9637</v>
      </c>
      <c r="G281" t="s">
        <v>9638</v>
      </c>
    </row>
    <row r="282" spans="1:7">
      <c r="B282" s="7" t="s">
        <v>6894</v>
      </c>
      <c r="C282" s="7" t="s">
        <v>7651</v>
      </c>
      <c r="D282" t="s">
        <v>8427</v>
      </c>
      <c r="E282" t="s">
        <v>8428</v>
      </c>
      <c r="F282" t="s">
        <v>9637</v>
      </c>
      <c r="G282" t="s">
        <v>9638</v>
      </c>
    </row>
    <row r="283" spans="1:7">
      <c r="A283" s="7" t="s">
        <v>625</v>
      </c>
      <c r="B283" s="7" t="s">
        <v>3276</v>
      </c>
      <c r="C283" s="7" t="s">
        <v>7743</v>
      </c>
      <c r="D283" t="s">
        <v>8429</v>
      </c>
      <c r="E283" t="s">
        <v>8430</v>
      </c>
      <c r="F283" t="s">
        <v>9639</v>
      </c>
      <c r="G283" t="s">
        <v>9640</v>
      </c>
    </row>
    <row r="284" spans="1:7">
      <c r="A284" s="7" t="s">
        <v>184</v>
      </c>
      <c r="B284" s="7" t="s">
        <v>2295</v>
      </c>
      <c r="C284" s="7" t="s">
        <v>7654</v>
      </c>
      <c r="D284" t="s">
        <v>8431</v>
      </c>
      <c r="E284" t="s">
        <v>8432</v>
      </c>
      <c r="F284" t="s">
        <v>9641</v>
      </c>
      <c r="G284" t="s">
        <v>9642</v>
      </c>
    </row>
    <row r="285" spans="1:7">
      <c r="A285" s="7"/>
      <c r="B285" s="7"/>
      <c r="C285" s="7" t="s">
        <v>7655</v>
      </c>
      <c r="D285" t="s">
        <v>8433</v>
      </c>
    </row>
    <row r="286" spans="1:7">
      <c r="A286" s="7" t="s">
        <v>1634</v>
      </c>
      <c r="B286" s="7" t="s">
        <v>5475</v>
      </c>
      <c r="C286" s="7" t="s">
        <v>7938</v>
      </c>
      <c r="D286" s="7" t="s">
        <v>8434</v>
      </c>
      <c r="E286" t="s">
        <v>8435</v>
      </c>
      <c r="F286" s="7" t="s">
        <v>8436</v>
      </c>
      <c r="G286" t="s">
        <v>9643</v>
      </c>
    </row>
    <row r="287" spans="1:7">
      <c r="B287" s="7" t="s">
        <v>7093</v>
      </c>
      <c r="C287" s="7" t="s">
        <v>8053</v>
      </c>
      <c r="D287" t="s">
        <v>8437</v>
      </c>
      <c r="E287" t="s">
        <v>8438</v>
      </c>
      <c r="F287" t="s">
        <v>9644</v>
      </c>
      <c r="G287" t="s">
        <v>9645</v>
      </c>
    </row>
    <row r="288" spans="1:7">
      <c r="A288" s="7" t="s">
        <v>292</v>
      </c>
      <c r="B288" s="7" t="s">
        <v>2525</v>
      </c>
      <c r="C288" s="7" t="s">
        <v>7675</v>
      </c>
    </row>
    <row r="289" spans="1:7">
      <c r="A289" s="7" t="s">
        <v>1693</v>
      </c>
      <c r="B289" s="7" t="s">
        <v>5616</v>
      </c>
      <c r="C289" s="7" t="s">
        <v>7675</v>
      </c>
    </row>
    <row r="290" spans="1:7">
      <c r="B290" s="7" t="s">
        <v>6718</v>
      </c>
      <c r="C290" s="7" t="s">
        <v>8025</v>
      </c>
      <c r="D290" t="s">
        <v>8439</v>
      </c>
      <c r="E290" t="s">
        <v>8440</v>
      </c>
      <c r="F290" t="s">
        <v>9646</v>
      </c>
      <c r="G290" t="s">
        <v>9647</v>
      </c>
    </row>
    <row r="291" spans="1:7">
      <c r="B291" s="7" t="s">
        <v>7577</v>
      </c>
      <c r="C291" s="7" t="s">
        <v>8073</v>
      </c>
      <c r="D291" t="s">
        <v>8441</v>
      </c>
      <c r="E291" t="s">
        <v>8442</v>
      </c>
      <c r="F291" t="s">
        <v>9648</v>
      </c>
      <c r="G291" t="s">
        <v>9649</v>
      </c>
    </row>
    <row r="292" spans="1:7">
      <c r="B292" s="7" t="s">
        <v>6793</v>
      </c>
      <c r="C292" s="7" t="s">
        <v>8031</v>
      </c>
      <c r="D292" t="s">
        <v>8443</v>
      </c>
      <c r="E292" t="s">
        <v>8444</v>
      </c>
      <c r="F292" t="s">
        <v>9650</v>
      </c>
      <c r="G292" t="s">
        <v>9651</v>
      </c>
    </row>
    <row r="293" spans="1:7">
      <c r="A293" s="7" t="s">
        <v>1233</v>
      </c>
      <c r="B293" s="7" t="s">
        <v>4614</v>
      </c>
      <c r="C293" s="7" t="s">
        <v>7864</v>
      </c>
    </row>
    <row r="294" spans="1:7">
      <c r="B294" s="7" t="s">
        <v>7555</v>
      </c>
      <c r="C294" s="7" t="s">
        <v>8072</v>
      </c>
      <c r="D294" t="s">
        <v>8445</v>
      </c>
      <c r="E294" t="s">
        <v>8446</v>
      </c>
      <c r="F294" t="s">
        <v>9652</v>
      </c>
      <c r="G294" t="s">
        <v>9653</v>
      </c>
    </row>
    <row r="295" spans="1:7">
      <c r="A295" s="7" t="s">
        <v>610</v>
      </c>
      <c r="B295" s="7" t="s">
        <v>3243</v>
      </c>
      <c r="C295" s="7" t="s">
        <v>7740</v>
      </c>
      <c r="D295" t="s">
        <v>8447</v>
      </c>
      <c r="E295" t="s">
        <v>8448</v>
      </c>
      <c r="F295" t="s">
        <v>9654</v>
      </c>
      <c r="G295" t="s">
        <v>9655</v>
      </c>
    </row>
    <row r="296" spans="1:7">
      <c r="A296" s="7" t="s">
        <v>296</v>
      </c>
      <c r="B296" s="7" t="s">
        <v>2533</v>
      </c>
      <c r="C296" s="7" t="s">
        <v>7676</v>
      </c>
      <c r="D296" t="s">
        <v>8449</v>
      </c>
      <c r="E296" t="s">
        <v>8450</v>
      </c>
      <c r="F296" s="7" t="s">
        <v>9656</v>
      </c>
      <c r="G296" s="7" t="s">
        <v>9657</v>
      </c>
    </row>
    <row r="297" spans="1:7">
      <c r="A297" s="7" t="s">
        <v>609</v>
      </c>
      <c r="B297" s="7" t="s">
        <v>3239</v>
      </c>
      <c r="C297" s="7" t="s">
        <v>7676</v>
      </c>
      <c r="D297" t="s">
        <v>8449</v>
      </c>
      <c r="E297" t="s">
        <v>8450</v>
      </c>
      <c r="F297" s="7" t="s">
        <v>9656</v>
      </c>
      <c r="G297" s="7" t="s">
        <v>9657</v>
      </c>
    </row>
    <row r="298" spans="1:7">
      <c r="A298" s="7" t="s">
        <v>1893</v>
      </c>
      <c r="B298" s="7" t="s">
        <v>6015</v>
      </c>
      <c r="C298" s="7" t="s">
        <v>7676</v>
      </c>
      <c r="D298" t="s">
        <v>8449</v>
      </c>
      <c r="E298" t="s">
        <v>8450</v>
      </c>
      <c r="F298" s="7" t="s">
        <v>9656</v>
      </c>
      <c r="G298" s="7" t="s">
        <v>9657</v>
      </c>
    </row>
    <row r="299" spans="1:7">
      <c r="A299" s="7" t="s">
        <v>516</v>
      </c>
      <c r="B299" s="7" t="s">
        <v>3025</v>
      </c>
      <c r="C299" s="7" t="s">
        <v>7711</v>
      </c>
    </row>
    <row r="300" spans="1:7">
      <c r="A300" s="7" t="s">
        <v>781</v>
      </c>
      <c r="B300" s="7" t="s">
        <v>3629</v>
      </c>
      <c r="C300" s="7" t="s">
        <v>7711</v>
      </c>
    </row>
    <row r="301" spans="1:7">
      <c r="A301" s="7" t="s">
        <v>269</v>
      </c>
      <c r="B301" s="7" t="s">
        <v>2476</v>
      </c>
      <c r="C301" s="7" t="s">
        <v>7670</v>
      </c>
    </row>
    <row r="302" spans="1:7">
      <c r="A302" s="7" t="s">
        <v>922</v>
      </c>
      <c r="B302" s="7" t="s">
        <v>3952</v>
      </c>
      <c r="C302" s="7" t="s">
        <v>7670</v>
      </c>
    </row>
    <row r="303" spans="1:7">
      <c r="A303" s="7" t="s">
        <v>923</v>
      </c>
      <c r="B303" s="7" t="s">
        <v>3954</v>
      </c>
      <c r="C303" s="7" t="s">
        <v>7670</v>
      </c>
    </row>
    <row r="304" spans="1:7">
      <c r="A304" s="7" t="s">
        <v>924</v>
      </c>
      <c r="B304" s="7" t="s">
        <v>3957</v>
      </c>
      <c r="C304" s="7" t="s">
        <v>7670</v>
      </c>
    </row>
    <row r="305" spans="1:7">
      <c r="A305" s="7" t="s">
        <v>1026</v>
      </c>
      <c r="B305" s="7" t="s">
        <v>4193</v>
      </c>
      <c r="C305" s="7" t="s">
        <v>7670</v>
      </c>
    </row>
    <row r="306" spans="1:7">
      <c r="A306" s="7" t="s">
        <v>1099</v>
      </c>
      <c r="B306" s="7" t="s">
        <v>4363</v>
      </c>
      <c r="C306" s="7" t="s">
        <v>7670</v>
      </c>
    </row>
    <row r="307" spans="1:7">
      <c r="A307" s="7" t="s">
        <v>1316</v>
      </c>
      <c r="B307" s="7" t="s">
        <v>4761</v>
      </c>
      <c r="C307" s="7" t="s">
        <v>7670</v>
      </c>
    </row>
    <row r="308" spans="1:7">
      <c r="A308" s="7" t="s">
        <v>1317</v>
      </c>
      <c r="B308" s="7" t="s">
        <v>4764</v>
      </c>
      <c r="C308" s="7" t="s">
        <v>7670</v>
      </c>
    </row>
    <row r="309" spans="1:7">
      <c r="A309" s="7" t="s">
        <v>1319</v>
      </c>
      <c r="B309" s="7" t="s">
        <v>4771</v>
      </c>
      <c r="C309" s="7" t="s">
        <v>7670</v>
      </c>
    </row>
    <row r="310" spans="1:7">
      <c r="A310" s="7" t="s">
        <v>1548</v>
      </c>
      <c r="B310" s="7" t="s">
        <v>5286</v>
      </c>
      <c r="C310" s="7" t="s">
        <v>7670</v>
      </c>
    </row>
    <row r="311" spans="1:7">
      <c r="A311" s="7" t="s">
        <v>1598</v>
      </c>
      <c r="B311" s="7" t="s">
        <v>5391</v>
      </c>
      <c r="C311" s="7" t="s">
        <v>7670</v>
      </c>
    </row>
    <row r="312" spans="1:7">
      <c r="A312" s="7" t="s">
        <v>2023</v>
      </c>
      <c r="B312" s="7" t="s">
        <v>6278</v>
      </c>
      <c r="C312" s="7" t="s">
        <v>7670</v>
      </c>
    </row>
    <row r="313" spans="1:7">
      <c r="B313" s="7" t="s">
        <v>6759</v>
      </c>
      <c r="C313" s="7" t="s">
        <v>7670</v>
      </c>
    </row>
    <row r="314" spans="1:7">
      <c r="B314" s="7"/>
      <c r="C314" s="7" t="s">
        <v>7649</v>
      </c>
      <c r="D314" t="s">
        <v>8451</v>
      </c>
    </row>
    <row r="315" spans="1:7">
      <c r="B315" s="7" t="s">
        <v>6762</v>
      </c>
      <c r="C315" s="7" t="s">
        <v>7670</v>
      </c>
    </row>
    <row r="316" spans="1:7">
      <c r="B316" s="7"/>
      <c r="C316" s="7" t="s">
        <v>7649</v>
      </c>
      <c r="D316" t="s">
        <v>8451</v>
      </c>
    </row>
    <row r="317" spans="1:7">
      <c r="B317" s="7" t="s">
        <v>6897</v>
      </c>
      <c r="C317" s="7" t="s">
        <v>7670</v>
      </c>
    </row>
    <row r="318" spans="1:7">
      <c r="B318" s="7" t="s">
        <v>6976</v>
      </c>
      <c r="C318" s="7" t="s">
        <v>7670</v>
      </c>
    </row>
    <row r="319" spans="1:7">
      <c r="B319" s="7" t="s">
        <v>6997</v>
      </c>
      <c r="C319" s="7" t="s">
        <v>7670</v>
      </c>
    </row>
    <row r="320" spans="1:7">
      <c r="A320" s="7" t="s">
        <v>62</v>
      </c>
      <c r="B320" s="7" t="s">
        <v>2065</v>
      </c>
      <c r="C320" s="7" t="s">
        <v>7631</v>
      </c>
      <c r="D320" t="s">
        <v>8452</v>
      </c>
      <c r="E320" t="s">
        <v>8453</v>
      </c>
      <c r="F320" t="s">
        <v>9658</v>
      </c>
      <c r="G320" t="s">
        <v>9659</v>
      </c>
    </row>
    <row r="321" spans="1:7">
      <c r="A321" s="7" t="s">
        <v>2016</v>
      </c>
      <c r="B321" s="7" t="s">
        <v>6261</v>
      </c>
      <c r="C321" s="7" t="s">
        <v>7994</v>
      </c>
      <c r="D321" s="4" t="s">
        <v>8877</v>
      </c>
    </row>
    <row r="322" spans="1:7">
      <c r="A322" s="7" t="s">
        <v>1589</v>
      </c>
      <c r="B322" s="7" t="s">
        <v>5368</v>
      </c>
      <c r="C322" s="7" t="s">
        <v>7925</v>
      </c>
      <c r="D322" s="4" t="s">
        <v>8878</v>
      </c>
    </row>
    <row r="323" spans="1:7">
      <c r="A323" s="7" t="s">
        <v>1591</v>
      </c>
      <c r="B323" s="7" t="s">
        <v>5371</v>
      </c>
      <c r="C323" s="7" t="s">
        <v>7926</v>
      </c>
      <c r="D323" t="s">
        <v>8876</v>
      </c>
    </row>
    <row r="324" spans="1:7">
      <c r="A324" s="7" t="s">
        <v>881</v>
      </c>
      <c r="B324" s="7" t="s">
        <v>3849</v>
      </c>
      <c r="C324" s="7" t="s">
        <v>7655</v>
      </c>
      <c r="D324" t="s">
        <v>8433</v>
      </c>
    </row>
    <row r="325" spans="1:7">
      <c r="A325" s="7" t="s">
        <v>1097</v>
      </c>
      <c r="B325" s="7" t="s">
        <v>4359</v>
      </c>
      <c r="C325" s="7" t="s">
        <v>7849</v>
      </c>
      <c r="D325" t="s">
        <v>8454</v>
      </c>
      <c r="E325" t="s">
        <v>8455</v>
      </c>
      <c r="F325" s="7" t="s">
        <v>9660</v>
      </c>
      <c r="G325" s="7" t="s">
        <v>9661</v>
      </c>
    </row>
    <row r="326" spans="1:7">
      <c r="A326" s="7" t="s">
        <v>975</v>
      </c>
      <c r="B326" s="7" t="s">
        <v>4066</v>
      </c>
      <c r="C326" s="7" t="s">
        <v>7819</v>
      </c>
      <c r="D326" t="s">
        <v>8854</v>
      </c>
    </row>
    <row r="327" spans="1:7">
      <c r="A327" s="7" t="s">
        <v>978</v>
      </c>
      <c r="B327" s="7" t="s">
        <v>4073</v>
      </c>
      <c r="C327" s="7" t="s">
        <v>7819</v>
      </c>
      <c r="D327" t="s">
        <v>8854</v>
      </c>
    </row>
    <row r="328" spans="1:7">
      <c r="A328" s="7" t="s">
        <v>1143</v>
      </c>
      <c r="B328" s="7" t="s">
        <v>4447</v>
      </c>
      <c r="C328" s="7" t="s">
        <v>7819</v>
      </c>
      <c r="D328" t="s">
        <v>8854</v>
      </c>
    </row>
    <row r="329" spans="1:7">
      <c r="A329" s="7" t="s">
        <v>1161</v>
      </c>
      <c r="B329" s="7" t="s">
        <v>4474</v>
      </c>
      <c r="C329" s="7" t="s">
        <v>7819</v>
      </c>
      <c r="D329" t="s">
        <v>8854</v>
      </c>
    </row>
    <row r="330" spans="1:7">
      <c r="A330" s="7" t="s">
        <v>1202</v>
      </c>
      <c r="B330" s="7" t="s">
        <v>4549</v>
      </c>
      <c r="C330" s="7" t="s">
        <v>7858</v>
      </c>
      <c r="D330" t="s">
        <v>8855</v>
      </c>
    </row>
    <row r="331" spans="1:7">
      <c r="B331" s="7" t="s">
        <v>7380</v>
      </c>
      <c r="C331" s="7" t="s">
        <v>8067</v>
      </c>
      <c r="D331" s="4" t="s">
        <v>8856</v>
      </c>
    </row>
    <row r="332" spans="1:7">
      <c r="A332" s="7" t="s">
        <v>601</v>
      </c>
      <c r="B332" s="7" t="s">
        <v>3217</v>
      </c>
      <c r="C332" s="7" t="s">
        <v>7735</v>
      </c>
    </row>
    <row r="333" spans="1:7">
      <c r="A333" s="7" t="s">
        <v>1600</v>
      </c>
      <c r="B333" s="7" t="s">
        <v>5397</v>
      </c>
      <c r="C333" s="7" t="s">
        <v>7930</v>
      </c>
      <c r="D333" s="4" t="s">
        <v>8873</v>
      </c>
    </row>
    <row r="334" spans="1:7">
      <c r="A334" s="7" t="s">
        <v>1682</v>
      </c>
      <c r="B334" s="7" t="s">
        <v>5594</v>
      </c>
      <c r="C334" s="7" t="s">
        <v>7953</v>
      </c>
      <c r="D334" s="4" t="s">
        <v>8874</v>
      </c>
    </row>
    <row r="335" spans="1:7">
      <c r="A335" s="7" t="s">
        <v>1214</v>
      </c>
      <c r="B335" s="7" t="s">
        <v>4580</v>
      </c>
      <c r="C335" s="7" t="s">
        <v>7860</v>
      </c>
      <c r="D335" s="4" t="s">
        <v>8875</v>
      </c>
    </row>
    <row r="336" spans="1:7">
      <c r="B336" s="7" t="s">
        <v>6904</v>
      </c>
      <c r="C336" s="7" t="s">
        <v>7860</v>
      </c>
      <c r="D336" s="4" t="s">
        <v>8875</v>
      </c>
    </row>
    <row r="337" spans="1:7">
      <c r="B337" s="7" t="s">
        <v>7029</v>
      </c>
      <c r="C337" s="7" t="s">
        <v>8047</v>
      </c>
      <c r="D337" t="s">
        <v>8872</v>
      </c>
    </row>
    <row r="338" spans="1:7">
      <c r="B338" s="7" t="s">
        <v>6993</v>
      </c>
      <c r="C338" s="7" t="s">
        <v>8044</v>
      </c>
      <c r="D338" t="s">
        <v>8871</v>
      </c>
    </row>
    <row r="339" spans="1:7">
      <c r="A339" s="7" t="s">
        <v>883</v>
      </c>
      <c r="B339" s="7" t="s">
        <v>3855</v>
      </c>
      <c r="C339" s="7" t="s">
        <v>7799</v>
      </c>
    </row>
    <row r="340" spans="1:7">
      <c r="A340" s="7"/>
      <c r="B340" s="7"/>
      <c r="C340" s="7" t="s">
        <v>7665</v>
      </c>
      <c r="D340" t="s">
        <v>8456</v>
      </c>
      <c r="E340" t="s">
        <v>8457</v>
      </c>
      <c r="F340" s="7" t="s">
        <v>8458</v>
      </c>
      <c r="G340" s="7" t="s">
        <v>8459</v>
      </c>
    </row>
    <row r="341" spans="1:7">
      <c r="A341" s="7" t="s">
        <v>1608</v>
      </c>
      <c r="B341" s="7" t="s">
        <v>5415</v>
      </c>
      <c r="C341" s="7" t="s">
        <v>7932</v>
      </c>
      <c r="D341" t="s">
        <v>8460</v>
      </c>
      <c r="E341" t="s">
        <v>8461</v>
      </c>
      <c r="F341" t="s">
        <v>9662</v>
      </c>
      <c r="G341" t="s">
        <v>9663</v>
      </c>
    </row>
    <row r="342" spans="1:7">
      <c r="A342" s="7" t="s">
        <v>1855</v>
      </c>
      <c r="B342" s="7" t="s">
        <v>5928</v>
      </c>
      <c r="C342" s="7" t="s">
        <v>7972</v>
      </c>
      <c r="D342" t="s">
        <v>8462</v>
      </c>
      <c r="E342" t="s">
        <v>8463</v>
      </c>
      <c r="F342" t="s">
        <v>9664</v>
      </c>
      <c r="G342" t="s">
        <v>9665</v>
      </c>
    </row>
    <row r="343" spans="1:7">
      <c r="A343" s="7" t="s">
        <v>1289</v>
      </c>
      <c r="B343" s="7" t="s">
        <v>4714</v>
      </c>
      <c r="C343" s="7" t="s">
        <v>7869</v>
      </c>
      <c r="D343" t="s">
        <v>8464</v>
      </c>
      <c r="E343" t="s">
        <v>8465</v>
      </c>
      <c r="F343" t="s">
        <v>9666</v>
      </c>
      <c r="G343" t="s">
        <v>9667</v>
      </c>
    </row>
    <row r="344" spans="1:7">
      <c r="A344" s="7" t="s">
        <v>1354</v>
      </c>
      <c r="B344" s="7" t="s">
        <v>4858</v>
      </c>
      <c r="C344" s="7" t="s">
        <v>7883</v>
      </c>
      <c r="D344" s="7" t="s">
        <v>8466</v>
      </c>
      <c r="E344" t="s">
        <v>8467</v>
      </c>
      <c r="F344" s="7" t="s">
        <v>9668</v>
      </c>
      <c r="G344" t="s">
        <v>9669</v>
      </c>
    </row>
    <row r="345" spans="1:7">
      <c r="A345" s="7" t="s">
        <v>356</v>
      </c>
      <c r="B345" s="7" t="s">
        <v>2678</v>
      </c>
      <c r="C345" s="7" t="s">
        <v>7687</v>
      </c>
      <c r="D345" t="s">
        <v>8468</v>
      </c>
      <c r="E345" t="s">
        <v>8469</v>
      </c>
      <c r="F345" t="s">
        <v>9670</v>
      </c>
      <c r="G345" t="s">
        <v>9671</v>
      </c>
    </row>
    <row r="346" spans="1:7">
      <c r="A346" s="7" t="s">
        <v>1974</v>
      </c>
      <c r="B346" s="7" t="s">
        <v>6161</v>
      </c>
      <c r="C346" s="7" t="s">
        <v>7981</v>
      </c>
      <c r="D346" t="s">
        <v>8470</v>
      </c>
      <c r="E346" t="s">
        <v>8471</v>
      </c>
      <c r="F346" t="s">
        <v>9672</v>
      </c>
      <c r="G346" t="s">
        <v>9673</v>
      </c>
    </row>
    <row r="347" spans="1:7">
      <c r="A347" s="7" t="s">
        <v>1454</v>
      </c>
      <c r="B347" s="7" t="s">
        <v>5077</v>
      </c>
      <c r="C347" s="7" t="s">
        <v>7901</v>
      </c>
      <c r="D347" t="s">
        <v>8472</v>
      </c>
      <c r="E347" t="s">
        <v>8473</v>
      </c>
      <c r="F347" t="s">
        <v>9674</v>
      </c>
      <c r="G347" t="s">
        <v>9675</v>
      </c>
    </row>
    <row r="348" spans="1:7">
      <c r="B348" s="7" t="s">
        <v>7390</v>
      </c>
      <c r="C348" s="7" t="s">
        <v>7901</v>
      </c>
      <c r="D348" t="s">
        <v>8472</v>
      </c>
      <c r="E348" t="s">
        <v>8473</v>
      </c>
      <c r="F348" t="s">
        <v>9674</v>
      </c>
      <c r="G348" t="s">
        <v>9675</v>
      </c>
    </row>
    <row r="349" spans="1:7">
      <c r="A349" s="7" t="s">
        <v>1335</v>
      </c>
      <c r="B349" s="7" t="s">
        <v>4808</v>
      </c>
      <c r="C349" s="7" t="s">
        <v>7876</v>
      </c>
      <c r="D349" t="s">
        <v>8474</v>
      </c>
      <c r="E349" t="s">
        <v>8475</v>
      </c>
      <c r="F349" t="s">
        <v>9676</v>
      </c>
      <c r="G349" t="s">
        <v>9677</v>
      </c>
    </row>
    <row r="350" spans="1:7">
      <c r="A350" s="7" t="s">
        <v>1610</v>
      </c>
      <c r="B350" s="7" t="s">
        <v>5422</v>
      </c>
      <c r="C350" s="7" t="s">
        <v>7876</v>
      </c>
      <c r="D350" t="s">
        <v>8474</v>
      </c>
      <c r="E350" t="s">
        <v>8475</v>
      </c>
      <c r="F350" t="s">
        <v>9676</v>
      </c>
      <c r="G350" t="s">
        <v>9677</v>
      </c>
    </row>
    <row r="351" spans="1:7">
      <c r="B351" s="7" t="s">
        <v>6709</v>
      </c>
      <c r="C351" s="7" t="s">
        <v>7876</v>
      </c>
      <c r="D351" t="s">
        <v>8474</v>
      </c>
      <c r="E351" t="s">
        <v>8475</v>
      </c>
      <c r="F351" t="s">
        <v>9676</v>
      </c>
      <c r="G351" t="s">
        <v>9677</v>
      </c>
    </row>
    <row r="352" spans="1:7">
      <c r="A352" s="7" t="s">
        <v>327</v>
      </c>
      <c r="B352" s="7" t="s">
        <v>2610</v>
      </c>
      <c r="C352" s="7" t="s">
        <v>7679</v>
      </c>
      <c r="D352" t="s">
        <v>8476</v>
      </c>
      <c r="E352" t="s">
        <v>8477</v>
      </c>
      <c r="F352" t="s">
        <v>9678</v>
      </c>
      <c r="G352" t="s">
        <v>9679</v>
      </c>
    </row>
    <row r="353" spans="1:7">
      <c r="A353" s="7" t="s">
        <v>410</v>
      </c>
      <c r="B353" s="7" t="s">
        <v>2792</v>
      </c>
      <c r="C353" s="7" t="s">
        <v>7699</v>
      </c>
    </row>
    <row r="354" spans="1:7">
      <c r="A354" s="7" t="s">
        <v>793</v>
      </c>
      <c r="B354" s="7" t="s">
        <v>3656</v>
      </c>
      <c r="C354" s="7" t="s">
        <v>7778</v>
      </c>
      <c r="D354" t="s">
        <v>8478</v>
      </c>
      <c r="E354" t="s">
        <v>8479</v>
      </c>
      <c r="F354" t="s">
        <v>9680</v>
      </c>
      <c r="G354" t="s">
        <v>9681</v>
      </c>
    </row>
    <row r="355" spans="1:7">
      <c r="A355" s="7"/>
      <c r="B355" s="7"/>
      <c r="C355" s="7" t="s">
        <v>7779</v>
      </c>
      <c r="D355" t="s">
        <v>8480</v>
      </c>
      <c r="E355" t="s">
        <v>8481</v>
      </c>
      <c r="F355" s="7" t="s">
        <v>9682</v>
      </c>
      <c r="G355" s="7" t="s">
        <v>9683</v>
      </c>
    </row>
    <row r="356" spans="1:7">
      <c r="B356" s="7" t="s">
        <v>7005</v>
      </c>
      <c r="C356" s="7" t="s">
        <v>8045</v>
      </c>
    </row>
    <row r="357" spans="1:7">
      <c r="A357" s="7" t="s">
        <v>2002</v>
      </c>
      <c r="B357" s="7" t="s">
        <v>6230</v>
      </c>
      <c r="C357" s="7" t="s">
        <v>7991</v>
      </c>
      <c r="D357" t="s">
        <v>8482</v>
      </c>
      <c r="E357" t="s">
        <v>8483</v>
      </c>
      <c r="F357" t="s">
        <v>9684</v>
      </c>
      <c r="G357" t="s">
        <v>9685</v>
      </c>
    </row>
    <row r="358" spans="1:7">
      <c r="A358" s="7" t="s">
        <v>272</v>
      </c>
      <c r="B358" s="7" t="s">
        <v>2481</v>
      </c>
      <c r="C358" s="7" t="s">
        <v>7671</v>
      </c>
      <c r="D358" s="7" t="s">
        <v>8484</v>
      </c>
      <c r="E358" t="s">
        <v>8485</v>
      </c>
      <c r="F358" s="7" t="s">
        <v>8486</v>
      </c>
      <c r="G358" s="7" t="s">
        <v>8487</v>
      </c>
    </row>
    <row r="359" spans="1:7">
      <c r="A359" s="7" t="s">
        <v>1809</v>
      </c>
      <c r="B359" s="7" t="s">
        <v>5841</v>
      </c>
      <c r="C359" s="7" t="s">
        <v>7963</v>
      </c>
      <c r="D359" t="s">
        <v>8488</v>
      </c>
      <c r="E359" t="s">
        <v>8489</v>
      </c>
      <c r="F359" t="s">
        <v>9686</v>
      </c>
      <c r="G359" t="s">
        <v>9687</v>
      </c>
    </row>
    <row r="360" spans="1:7">
      <c r="B360" s="7" t="s">
        <v>6818</v>
      </c>
      <c r="C360" s="7" t="s">
        <v>8034</v>
      </c>
      <c r="D360" t="s">
        <v>8490</v>
      </c>
      <c r="E360" t="s">
        <v>8491</v>
      </c>
      <c r="F360" t="s">
        <v>9688</v>
      </c>
      <c r="G360" t="s">
        <v>9689</v>
      </c>
    </row>
    <row r="361" spans="1:7">
      <c r="A361" s="7" t="s">
        <v>152</v>
      </c>
      <c r="B361" s="7" t="s">
        <v>2226</v>
      </c>
      <c r="C361" s="7" t="s">
        <v>7650</v>
      </c>
      <c r="D361" t="s">
        <v>8492</v>
      </c>
    </row>
    <row r="362" spans="1:7">
      <c r="A362" s="7" t="s">
        <v>873</v>
      </c>
      <c r="B362" s="7" t="s">
        <v>3835</v>
      </c>
      <c r="C362" s="7" t="s">
        <v>7797</v>
      </c>
      <c r="D362" t="s">
        <v>8493</v>
      </c>
    </row>
    <row r="363" spans="1:7">
      <c r="A363" s="7" t="s">
        <v>1427</v>
      </c>
      <c r="B363" s="7" t="s">
        <v>5017</v>
      </c>
      <c r="C363" s="7" t="s">
        <v>7897</v>
      </c>
      <c r="D363" t="s">
        <v>8494</v>
      </c>
    </row>
    <row r="364" spans="1:7">
      <c r="B364" s="7" t="s">
        <v>6880</v>
      </c>
      <c r="C364" s="7" t="s">
        <v>8036</v>
      </c>
      <c r="D364" t="s">
        <v>8495</v>
      </c>
    </row>
    <row r="365" spans="1:7">
      <c r="A365" s="7" t="s">
        <v>796</v>
      </c>
      <c r="B365" s="7" t="s">
        <v>3663</v>
      </c>
      <c r="C365" s="7" t="s">
        <v>7780</v>
      </c>
      <c r="D365" t="s">
        <v>8496</v>
      </c>
      <c r="E365" t="s">
        <v>8497</v>
      </c>
      <c r="F365" t="s">
        <v>9690</v>
      </c>
      <c r="G365" t="s">
        <v>9691</v>
      </c>
    </row>
    <row r="366" spans="1:7">
      <c r="A366" s="7" t="s">
        <v>460</v>
      </c>
      <c r="B366" s="7" t="s">
        <v>2908</v>
      </c>
      <c r="C366" s="7" t="s">
        <v>7705</v>
      </c>
      <c r="D366" s="7" t="s">
        <v>7705</v>
      </c>
    </row>
    <row r="367" spans="1:7">
      <c r="A367" s="7" t="s">
        <v>1134</v>
      </c>
      <c r="B367" s="7" t="s">
        <v>4425</v>
      </c>
      <c r="C367" s="7" t="s">
        <v>7686</v>
      </c>
    </row>
    <row r="368" spans="1:7">
      <c r="A368" s="7" t="s">
        <v>1135</v>
      </c>
      <c r="B368" s="7" t="s">
        <v>4427</v>
      </c>
      <c r="C368" s="7" t="s">
        <v>7686</v>
      </c>
    </row>
    <row r="369" spans="1:7">
      <c r="A369" s="7" t="s">
        <v>1136</v>
      </c>
      <c r="B369" s="7" t="s">
        <v>4429</v>
      </c>
      <c r="C369" s="7" t="s">
        <v>7686</v>
      </c>
    </row>
    <row r="370" spans="1:7">
      <c r="B370" s="7" t="s">
        <v>6837</v>
      </c>
      <c r="C370" s="7" t="s">
        <v>7686</v>
      </c>
    </row>
    <row r="371" spans="1:7">
      <c r="B371" s="7" t="s">
        <v>7151</v>
      </c>
      <c r="C371" s="7" t="s">
        <v>7686</v>
      </c>
    </row>
    <row r="372" spans="1:7">
      <c r="A372" s="7" t="s">
        <v>2024</v>
      </c>
      <c r="B372" s="7" t="s">
        <v>6282</v>
      </c>
      <c r="C372" s="7" t="s">
        <v>7997</v>
      </c>
      <c r="D372" t="s">
        <v>8870</v>
      </c>
    </row>
    <row r="373" spans="1:7">
      <c r="A373" s="7" t="s">
        <v>1362</v>
      </c>
      <c r="B373" s="7" t="s">
        <v>4883</v>
      </c>
      <c r="C373" s="7" t="s">
        <v>7884</v>
      </c>
      <c r="D373" t="s">
        <v>8498</v>
      </c>
      <c r="E373" t="s">
        <v>8499</v>
      </c>
      <c r="F373" t="s">
        <v>9692</v>
      </c>
      <c r="G373" t="s">
        <v>9693</v>
      </c>
    </row>
    <row r="374" spans="1:7">
      <c r="A374" s="7" t="s">
        <v>161</v>
      </c>
      <c r="B374" s="7" t="s">
        <v>2246</v>
      </c>
      <c r="C374" s="7" t="s">
        <v>7652</v>
      </c>
      <c r="D374" t="s">
        <v>8869</v>
      </c>
    </row>
    <row r="375" spans="1:7">
      <c r="A375" s="7" t="s">
        <v>1484</v>
      </c>
      <c r="B375" s="7" t="s">
        <v>5145</v>
      </c>
      <c r="C375" s="7" t="s">
        <v>7907</v>
      </c>
      <c r="D375" t="s">
        <v>8868</v>
      </c>
    </row>
    <row r="376" spans="1:7">
      <c r="A376" s="7" t="s">
        <v>1473</v>
      </c>
      <c r="B376" s="7" t="s">
        <v>5118</v>
      </c>
      <c r="C376" s="7" t="s">
        <v>7904</v>
      </c>
    </row>
    <row r="377" spans="1:7">
      <c r="A377" s="7" t="s">
        <v>885</v>
      </c>
      <c r="B377" s="7" t="s">
        <v>3862</v>
      </c>
      <c r="C377" s="7" t="s">
        <v>7800</v>
      </c>
      <c r="D377" t="s">
        <v>8867</v>
      </c>
    </row>
    <row r="378" spans="1:7">
      <c r="B378" s="7" t="s">
        <v>6635</v>
      </c>
      <c r="C378" s="7" t="s">
        <v>8022</v>
      </c>
      <c r="D378" t="s">
        <v>8866</v>
      </c>
    </row>
    <row r="379" spans="1:7">
      <c r="A379" s="7" t="s">
        <v>183</v>
      </c>
      <c r="B379" s="7" t="s">
        <v>2291</v>
      </c>
      <c r="C379" s="7" t="s">
        <v>7653</v>
      </c>
      <c r="D379" s="4" t="s">
        <v>8865</v>
      </c>
    </row>
    <row r="380" spans="1:7">
      <c r="A380" s="7" t="s">
        <v>232</v>
      </c>
      <c r="B380" s="7" t="s">
        <v>2388</v>
      </c>
      <c r="C380" s="7" t="s">
        <v>7653</v>
      </c>
      <c r="D380" s="4" t="s">
        <v>8865</v>
      </c>
    </row>
    <row r="381" spans="1:7">
      <c r="A381" s="7" t="s">
        <v>1430</v>
      </c>
      <c r="B381" s="7" t="s">
        <v>5025</v>
      </c>
      <c r="C381" s="7" t="s">
        <v>7653</v>
      </c>
      <c r="D381" s="4" t="s">
        <v>8865</v>
      </c>
    </row>
    <row r="382" spans="1:7">
      <c r="A382" s="7" t="s">
        <v>1431</v>
      </c>
      <c r="B382" s="7" t="s">
        <v>5027</v>
      </c>
      <c r="C382" s="7" t="s">
        <v>7898</v>
      </c>
      <c r="D382" t="s">
        <v>8864</v>
      </c>
    </row>
    <row r="383" spans="1:7">
      <c r="A383" s="7" t="s">
        <v>250</v>
      </c>
      <c r="B383" s="7" t="s">
        <v>2425</v>
      </c>
      <c r="C383" s="7" t="s">
        <v>7663</v>
      </c>
    </row>
    <row r="384" spans="1:7">
      <c r="A384" s="7" t="s">
        <v>1432</v>
      </c>
      <c r="B384" s="7" t="s">
        <v>5030</v>
      </c>
      <c r="C384" s="7" t="s">
        <v>7899</v>
      </c>
    </row>
    <row r="385" spans="1:4">
      <c r="B385" s="7" t="s">
        <v>7615</v>
      </c>
      <c r="C385" s="7" t="s">
        <v>8077</v>
      </c>
      <c r="D385" t="s">
        <v>8863</v>
      </c>
    </row>
    <row r="386" spans="1:4">
      <c r="B386" s="7" t="s">
        <v>6561</v>
      </c>
      <c r="C386" s="7" t="s">
        <v>8016</v>
      </c>
      <c r="D386" t="s">
        <v>8862</v>
      </c>
    </row>
    <row r="387" spans="1:4">
      <c r="A387" s="7" t="s">
        <v>1486</v>
      </c>
      <c r="B387" s="7" t="s">
        <v>5148</v>
      </c>
      <c r="C387" s="7" t="s">
        <v>7908</v>
      </c>
      <c r="D387" t="s">
        <v>8860</v>
      </c>
    </row>
    <row r="388" spans="1:4">
      <c r="B388" s="7" t="s">
        <v>6906</v>
      </c>
      <c r="C388" s="7" t="s">
        <v>7908</v>
      </c>
      <c r="D388" s="7" t="s">
        <v>8860</v>
      </c>
    </row>
    <row r="389" spans="1:4">
      <c r="A389" s="7" t="s">
        <v>551</v>
      </c>
      <c r="B389" s="7" t="s">
        <v>3094</v>
      </c>
      <c r="C389" s="7" t="s">
        <v>7718</v>
      </c>
      <c r="D389" s="4" t="s">
        <v>8861</v>
      </c>
    </row>
    <row r="390" spans="1:4">
      <c r="A390" s="7" t="s">
        <v>430</v>
      </c>
      <c r="B390" s="7" t="s">
        <v>2844</v>
      </c>
      <c r="C390" s="7" t="s">
        <v>7702</v>
      </c>
    </row>
    <row r="391" spans="1:4">
      <c r="B391" s="7" t="s">
        <v>6684</v>
      </c>
      <c r="C391" s="7" t="s">
        <v>7702</v>
      </c>
    </row>
    <row r="392" spans="1:4">
      <c r="A392" s="7" t="s">
        <v>373</v>
      </c>
      <c r="B392" s="7" t="s">
        <v>2713</v>
      </c>
      <c r="C392" s="7" t="s">
        <v>7691</v>
      </c>
      <c r="D392" t="s">
        <v>8859</v>
      </c>
    </row>
    <row r="393" spans="1:4">
      <c r="A393" s="7" t="s">
        <v>747</v>
      </c>
      <c r="B393" s="7" t="s">
        <v>3538</v>
      </c>
      <c r="C393" s="7" t="s">
        <v>7765</v>
      </c>
      <c r="D393" t="s">
        <v>8858</v>
      </c>
    </row>
    <row r="394" spans="1:4">
      <c r="A394" s="7" t="s">
        <v>74</v>
      </c>
      <c r="B394" s="7" t="s">
        <v>2090</v>
      </c>
      <c r="C394" s="7" t="s">
        <v>7634</v>
      </c>
    </row>
    <row r="395" spans="1:4">
      <c r="A395" s="7" t="s">
        <v>334</v>
      </c>
      <c r="B395" s="7" t="s">
        <v>2631</v>
      </c>
      <c r="C395" s="7" t="s">
        <v>7634</v>
      </c>
    </row>
    <row r="396" spans="1:4">
      <c r="A396" s="7" t="s">
        <v>986</v>
      </c>
      <c r="B396" s="7" t="s">
        <v>4094</v>
      </c>
      <c r="C396" s="7" t="s">
        <v>7634</v>
      </c>
    </row>
    <row r="397" spans="1:4">
      <c r="A397" s="7" t="s">
        <v>1828</v>
      </c>
      <c r="B397" s="7" t="s">
        <v>5870</v>
      </c>
      <c r="C397" s="7" t="s">
        <v>7634</v>
      </c>
    </row>
    <row r="398" spans="1:4">
      <c r="A398" s="7" t="s">
        <v>1830</v>
      </c>
      <c r="B398" s="7" t="s">
        <v>5872</v>
      </c>
      <c r="C398" s="7" t="s">
        <v>7634</v>
      </c>
    </row>
    <row r="399" spans="1:4">
      <c r="B399" s="7" t="s">
        <v>7246</v>
      </c>
      <c r="C399" s="7" t="s">
        <v>7634</v>
      </c>
    </row>
    <row r="400" spans="1:4">
      <c r="A400" s="7" t="s">
        <v>110</v>
      </c>
      <c r="B400" s="7" t="s">
        <v>6306</v>
      </c>
      <c r="C400" s="7" t="s">
        <v>7998</v>
      </c>
    </row>
    <row r="401" spans="1:7">
      <c r="B401" s="7" t="s">
        <v>6784</v>
      </c>
      <c r="C401" s="7" t="s">
        <v>8029</v>
      </c>
      <c r="D401" t="s">
        <v>8500</v>
      </c>
      <c r="E401" t="s">
        <v>8501</v>
      </c>
      <c r="F401" t="s">
        <v>9694</v>
      </c>
      <c r="G401" t="s">
        <v>9695</v>
      </c>
    </row>
    <row r="402" spans="1:7">
      <c r="A402" s="7" t="s">
        <v>467</v>
      </c>
      <c r="B402" s="7" t="s">
        <v>2924</v>
      </c>
      <c r="C402" s="7" t="s">
        <v>7706</v>
      </c>
      <c r="D402" t="s">
        <v>8502</v>
      </c>
      <c r="E402" t="s">
        <v>8503</v>
      </c>
      <c r="F402" t="s">
        <v>8504</v>
      </c>
      <c r="G402" t="s">
        <v>9696</v>
      </c>
    </row>
    <row r="403" spans="1:7">
      <c r="A403" s="7" t="s">
        <v>469</v>
      </c>
      <c r="B403" s="7" t="s">
        <v>2926</v>
      </c>
      <c r="C403" s="7" t="s">
        <v>7706</v>
      </c>
      <c r="D403" t="s">
        <v>8502</v>
      </c>
      <c r="E403" t="s">
        <v>8503</v>
      </c>
      <c r="F403" t="s">
        <v>8504</v>
      </c>
      <c r="G403" t="s">
        <v>9696</v>
      </c>
    </row>
    <row r="404" spans="1:7">
      <c r="A404" s="7" t="s">
        <v>471</v>
      </c>
      <c r="B404" s="7" t="s">
        <v>2928</v>
      </c>
      <c r="C404" s="7" t="s">
        <v>7706</v>
      </c>
      <c r="D404" t="s">
        <v>8502</v>
      </c>
      <c r="E404" t="s">
        <v>8503</v>
      </c>
      <c r="F404" t="s">
        <v>8504</v>
      </c>
      <c r="G404" t="s">
        <v>9696</v>
      </c>
    </row>
    <row r="405" spans="1:7">
      <c r="B405" s="7" t="s">
        <v>6511</v>
      </c>
      <c r="C405" s="7" t="s">
        <v>8014</v>
      </c>
      <c r="D405" t="s">
        <v>8505</v>
      </c>
      <c r="E405" t="s">
        <v>8506</v>
      </c>
      <c r="F405" t="s">
        <v>9697</v>
      </c>
      <c r="G405" t="s">
        <v>9698</v>
      </c>
    </row>
    <row r="406" spans="1:7">
      <c r="A406" s="7" t="s">
        <v>727</v>
      </c>
      <c r="B406" s="7" t="s">
        <v>3496</v>
      </c>
      <c r="C406" s="7" t="s">
        <v>7763</v>
      </c>
      <c r="D406" s="7" t="s">
        <v>8507</v>
      </c>
      <c r="E406" t="s">
        <v>8508</v>
      </c>
      <c r="F406" s="7" t="s">
        <v>9699</v>
      </c>
      <c r="G406" t="s">
        <v>9700</v>
      </c>
    </row>
    <row r="407" spans="1:7">
      <c r="A407" s="7" t="s">
        <v>669</v>
      </c>
      <c r="B407" s="7" t="s">
        <v>3374</v>
      </c>
      <c r="C407" s="7" t="s">
        <v>7750</v>
      </c>
      <c r="D407" t="s">
        <v>8509</v>
      </c>
      <c r="E407" t="s">
        <v>8510</v>
      </c>
      <c r="F407" t="s">
        <v>9701</v>
      </c>
      <c r="G407" t="s">
        <v>9702</v>
      </c>
    </row>
    <row r="408" spans="1:7">
      <c r="A408" s="7" t="s">
        <v>1331</v>
      </c>
      <c r="B408" s="7" t="s">
        <v>4797</v>
      </c>
      <c r="C408" s="7" t="s">
        <v>7875</v>
      </c>
      <c r="D408" t="s">
        <v>8511</v>
      </c>
      <c r="E408" t="s">
        <v>8512</v>
      </c>
      <c r="F408" t="s">
        <v>9703</v>
      </c>
      <c r="G408" t="s">
        <v>9704</v>
      </c>
    </row>
    <row r="409" spans="1:7">
      <c r="B409" s="7" t="s">
        <v>7106</v>
      </c>
      <c r="C409" s="7" t="s">
        <v>8055</v>
      </c>
      <c r="D409" t="s">
        <v>8513</v>
      </c>
      <c r="E409" t="s">
        <v>8514</v>
      </c>
      <c r="F409" t="s">
        <v>9705</v>
      </c>
      <c r="G409" t="s">
        <v>9706</v>
      </c>
    </row>
    <row r="410" spans="1:7">
      <c r="A410" s="7" t="s">
        <v>439</v>
      </c>
      <c r="B410" s="7" t="s">
        <v>2865</v>
      </c>
      <c r="C410" s="7" t="s">
        <v>7703</v>
      </c>
      <c r="D410" s="7" t="s">
        <v>8515</v>
      </c>
      <c r="E410" t="s">
        <v>8516</v>
      </c>
      <c r="F410" s="7" t="s">
        <v>9707</v>
      </c>
      <c r="G410" t="s">
        <v>9708</v>
      </c>
    </row>
    <row r="411" spans="1:7">
      <c r="A411" s="7" t="s">
        <v>440</v>
      </c>
      <c r="B411" s="7" t="s">
        <v>2869</v>
      </c>
      <c r="C411" s="7" t="s">
        <v>7703</v>
      </c>
      <c r="D411" s="7" t="s">
        <v>8515</v>
      </c>
      <c r="E411" t="s">
        <v>8516</v>
      </c>
      <c r="F411" s="7" t="s">
        <v>9707</v>
      </c>
      <c r="G411" t="s">
        <v>9708</v>
      </c>
    </row>
    <row r="412" spans="1:7">
      <c r="A412" s="7" t="s">
        <v>442</v>
      </c>
      <c r="B412" s="7" t="s">
        <v>2872</v>
      </c>
      <c r="C412" s="7" t="s">
        <v>7703</v>
      </c>
      <c r="D412" s="7" t="s">
        <v>8515</v>
      </c>
      <c r="E412" t="s">
        <v>8516</v>
      </c>
      <c r="F412" s="7" t="s">
        <v>9707</v>
      </c>
      <c r="G412" t="s">
        <v>9708</v>
      </c>
    </row>
    <row r="413" spans="1:7">
      <c r="A413" s="7" t="s">
        <v>110</v>
      </c>
      <c r="B413" s="7" t="s">
        <v>2491</v>
      </c>
      <c r="C413" s="7" t="s">
        <v>7673</v>
      </c>
      <c r="D413" t="s">
        <v>8517</v>
      </c>
      <c r="E413" t="s">
        <v>8518</v>
      </c>
      <c r="F413" s="7" t="s">
        <v>9709</v>
      </c>
      <c r="G413" s="7" t="s">
        <v>9710</v>
      </c>
    </row>
    <row r="414" spans="1:7">
      <c r="A414" s="7" t="s">
        <v>632</v>
      </c>
      <c r="B414" s="7" t="s">
        <v>3294</v>
      </c>
      <c r="C414" s="7" t="s">
        <v>7673</v>
      </c>
      <c r="D414" t="s">
        <v>8517</v>
      </c>
      <c r="E414" t="s">
        <v>8518</v>
      </c>
      <c r="F414" s="7" t="s">
        <v>9709</v>
      </c>
      <c r="G414" s="7" t="s">
        <v>9710</v>
      </c>
    </row>
    <row r="415" spans="1:7">
      <c r="A415" s="7" t="s">
        <v>1426</v>
      </c>
      <c r="B415" s="7" t="s">
        <v>5014</v>
      </c>
      <c r="C415" s="7" t="s">
        <v>7896</v>
      </c>
      <c r="D415" t="s">
        <v>8519</v>
      </c>
      <c r="E415" t="s">
        <v>8520</v>
      </c>
      <c r="F415" s="7" t="s">
        <v>9711</v>
      </c>
      <c r="G415" t="s">
        <v>8521</v>
      </c>
    </row>
    <row r="416" spans="1:7">
      <c r="A416" s="7" t="s">
        <v>1252</v>
      </c>
      <c r="B416" s="7" t="s">
        <v>4652</v>
      </c>
      <c r="C416" s="7" t="s">
        <v>7865</v>
      </c>
      <c r="D416" s="4" t="s">
        <v>8522</v>
      </c>
      <c r="E416" t="s">
        <v>8523</v>
      </c>
      <c r="F416" s="7" t="s">
        <v>9712</v>
      </c>
      <c r="G416" t="s">
        <v>9713</v>
      </c>
    </row>
    <row r="417" spans="1:7">
      <c r="B417" s="7" t="s">
        <v>6833</v>
      </c>
      <c r="C417" s="7" t="s">
        <v>8035</v>
      </c>
      <c r="D417" t="s">
        <v>8524</v>
      </c>
      <c r="E417" t="s">
        <v>8525</v>
      </c>
      <c r="F417" s="7" t="s">
        <v>9714</v>
      </c>
      <c r="G417" t="s">
        <v>9715</v>
      </c>
    </row>
    <row r="418" spans="1:7">
      <c r="A418" s="7" t="s">
        <v>2004</v>
      </c>
      <c r="B418" s="7" t="s">
        <v>6236</v>
      </c>
      <c r="C418" s="7" t="s">
        <v>7993</v>
      </c>
      <c r="D418" t="s">
        <v>8526</v>
      </c>
      <c r="E418" t="s">
        <v>8527</v>
      </c>
      <c r="F418" s="7" t="s">
        <v>9716</v>
      </c>
      <c r="G418" t="s">
        <v>9717</v>
      </c>
    </row>
    <row r="419" spans="1:7">
      <c r="B419" s="7" t="s">
        <v>7125</v>
      </c>
      <c r="C419" s="7" t="s">
        <v>8057</v>
      </c>
      <c r="D419" t="s">
        <v>8528</v>
      </c>
      <c r="E419" t="s">
        <v>8529</v>
      </c>
      <c r="F419" s="7" t="s">
        <v>9718</v>
      </c>
      <c r="G419" t="s">
        <v>9719</v>
      </c>
    </row>
    <row r="420" spans="1:7">
      <c r="A420" s="7" t="s">
        <v>1030</v>
      </c>
      <c r="B420" s="7" t="s">
        <v>4199</v>
      </c>
      <c r="C420" s="7" t="s">
        <v>7831</v>
      </c>
      <c r="D420" t="s">
        <v>8530</v>
      </c>
      <c r="E420" t="s">
        <v>8531</v>
      </c>
      <c r="F420" s="7" t="s">
        <v>9720</v>
      </c>
      <c r="G420" t="s">
        <v>9721</v>
      </c>
    </row>
    <row r="421" spans="1:7">
      <c r="A421" s="7" t="s">
        <v>1091</v>
      </c>
      <c r="B421" s="7" t="s">
        <v>4341</v>
      </c>
      <c r="C421" s="7" t="s">
        <v>7848</v>
      </c>
      <c r="D421" s="7" t="s">
        <v>8532</v>
      </c>
      <c r="E421" t="s">
        <v>8533</v>
      </c>
      <c r="F421" s="7" t="s">
        <v>9722</v>
      </c>
      <c r="G421" s="7" t="s">
        <v>9723</v>
      </c>
    </row>
    <row r="422" spans="1:7">
      <c r="A422" s="7" t="s">
        <v>1116</v>
      </c>
      <c r="B422" s="7" t="s">
        <v>4390</v>
      </c>
      <c r="C422" s="7" t="s">
        <v>7851</v>
      </c>
      <c r="D422" t="s">
        <v>8534</v>
      </c>
      <c r="E422" t="s">
        <v>8535</v>
      </c>
      <c r="F422" s="7" t="s">
        <v>9724</v>
      </c>
      <c r="G422" s="7" t="s">
        <v>9725</v>
      </c>
    </row>
    <row r="423" spans="1:7">
      <c r="A423" s="7" t="s">
        <v>769</v>
      </c>
      <c r="B423" s="7" t="s">
        <v>3595</v>
      </c>
      <c r="C423" s="7" t="s">
        <v>7770</v>
      </c>
      <c r="D423" s="7" t="s">
        <v>8536</v>
      </c>
      <c r="E423" t="s">
        <v>8537</v>
      </c>
      <c r="F423" s="7" t="s">
        <v>9726</v>
      </c>
      <c r="G423" t="s">
        <v>9727</v>
      </c>
    </row>
    <row r="424" spans="1:7">
      <c r="A424" s="7" t="s">
        <v>1339</v>
      </c>
      <c r="B424" s="7" t="s">
        <v>4819</v>
      </c>
      <c r="C424" s="7" t="s">
        <v>7877</v>
      </c>
    </row>
    <row r="425" spans="1:7">
      <c r="A425" s="7" t="s">
        <v>851</v>
      </c>
      <c r="B425" s="7" t="s">
        <v>3776</v>
      </c>
      <c r="C425" s="7" t="s">
        <v>7791</v>
      </c>
    </row>
    <row r="426" spans="1:7">
      <c r="A426" s="7" t="s">
        <v>950</v>
      </c>
      <c r="B426" s="7" t="s">
        <v>4018</v>
      </c>
      <c r="C426" s="7" t="s">
        <v>7791</v>
      </c>
    </row>
    <row r="427" spans="1:7">
      <c r="A427" s="7" t="s">
        <v>1643</v>
      </c>
      <c r="B427" s="7" t="s">
        <v>5497</v>
      </c>
      <c r="C427" s="7" t="s">
        <v>7791</v>
      </c>
    </row>
    <row r="428" spans="1:7">
      <c r="A428" s="7" t="s">
        <v>571</v>
      </c>
      <c r="B428" s="7" t="s">
        <v>3141</v>
      </c>
      <c r="C428" s="7" t="s">
        <v>7721</v>
      </c>
    </row>
    <row r="429" spans="1:7">
      <c r="A429" s="7" t="s">
        <v>2038</v>
      </c>
      <c r="B429" s="7" t="s">
        <v>6316</v>
      </c>
      <c r="C429" s="7" t="s">
        <v>7779</v>
      </c>
      <c r="D429" t="s">
        <v>8480</v>
      </c>
      <c r="E429" t="s">
        <v>8481</v>
      </c>
      <c r="F429" t="s">
        <v>9682</v>
      </c>
      <c r="G429" t="s">
        <v>9683</v>
      </c>
    </row>
    <row r="430" spans="1:7">
      <c r="B430" s="7" t="s">
        <v>7068</v>
      </c>
      <c r="C430" s="7" t="s">
        <v>8052</v>
      </c>
      <c r="D430" t="s">
        <v>8538</v>
      </c>
      <c r="E430" t="s">
        <v>8539</v>
      </c>
      <c r="F430" t="s">
        <v>9728</v>
      </c>
      <c r="G430" t="s">
        <v>9729</v>
      </c>
    </row>
    <row r="431" spans="1:7">
      <c r="A431" s="7" t="s">
        <v>290</v>
      </c>
      <c r="B431" s="7" t="s">
        <v>2519</v>
      </c>
      <c r="C431" s="7" t="s">
        <v>7674</v>
      </c>
      <c r="D431" t="s">
        <v>8540</v>
      </c>
      <c r="E431" t="s">
        <v>8541</v>
      </c>
      <c r="F431" s="7" t="s">
        <v>9730</v>
      </c>
      <c r="G431" s="7" t="s">
        <v>9731</v>
      </c>
    </row>
    <row r="432" spans="1:7">
      <c r="B432" s="7" t="s">
        <v>6449</v>
      </c>
      <c r="C432" s="7" t="s">
        <v>8011</v>
      </c>
      <c r="D432" t="s">
        <v>8542</v>
      </c>
      <c r="E432" t="s">
        <v>8543</v>
      </c>
      <c r="F432" t="s">
        <v>9732</v>
      </c>
      <c r="G432" t="s">
        <v>9733</v>
      </c>
    </row>
    <row r="433" spans="1:7">
      <c r="B433" s="7"/>
      <c r="C433" s="7" t="s">
        <v>7791</v>
      </c>
    </row>
    <row r="434" spans="1:7">
      <c r="A434" s="7" t="s">
        <v>1490</v>
      </c>
      <c r="B434" s="7" t="s">
        <v>5157</v>
      </c>
      <c r="C434" s="7" t="s">
        <v>7909</v>
      </c>
      <c r="D434" s="4" t="s">
        <v>8544</v>
      </c>
      <c r="E434" t="s">
        <v>8545</v>
      </c>
      <c r="F434" t="s">
        <v>9734</v>
      </c>
      <c r="G434" t="s">
        <v>9735</v>
      </c>
    </row>
    <row r="435" spans="1:7">
      <c r="A435" s="7" t="s">
        <v>396</v>
      </c>
      <c r="B435" s="7" t="s">
        <v>2762</v>
      </c>
      <c r="C435" s="7" t="s">
        <v>7695</v>
      </c>
      <c r="D435" t="s">
        <v>8546</v>
      </c>
      <c r="E435" t="s">
        <v>8547</v>
      </c>
      <c r="F435" t="s">
        <v>9736</v>
      </c>
      <c r="G435" t="s">
        <v>9737</v>
      </c>
    </row>
    <row r="436" spans="1:7">
      <c r="A436" s="7" t="s">
        <v>409</v>
      </c>
      <c r="B436" s="7" t="s">
        <v>2789</v>
      </c>
      <c r="C436" s="7" t="s">
        <v>7698</v>
      </c>
    </row>
    <row r="437" spans="1:7">
      <c r="A437" s="7" t="s">
        <v>454</v>
      </c>
      <c r="B437" s="7" t="s">
        <v>2896</v>
      </c>
      <c r="C437" s="7" t="s">
        <v>7704</v>
      </c>
    </row>
    <row r="438" spans="1:7">
      <c r="A438" s="7" t="s">
        <v>483</v>
      </c>
      <c r="B438" s="7" t="s">
        <v>2953</v>
      </c>
      <c r="C438" s="7" t="s">
        <v>7704</v>
      </c>
    </row>
    <row r="439" spans="1:7">
      <c r="A439" s="7" t="s">
        <v>626</v>
      </c>
      <c r="B439" s="7" t="s">
        <v>3280</v>
      </c>
      <c r="C439" s="7" t="s">
        <v>7704</v>
      </c>
    </row>
    <row r="440" spans="1:7">
      <c r="A440" s="7" t="s">
        <v>1141</v>
      </c>
      <c r="B440" s="7" t="s">
        <v>4443</v>
      </c>
      <c r="C440" s="7" t="s">
        <v>7704</v>
      </c>
    </row>
    <row r="441" spans="1:7">
      <c r="A441" s="7" t="s">
        <v>1516</v>
      </c>
      <c r="B441" s="7" t="s">
        <v>5209</v>
      </c>
      <c r="C441" s="7" t="s">
        <v>7704</v>
      </c>
    </row>
    <row r="442" spans="1:7">
      <c r="A442" s="7" t="s">
        <v>1668</v>
      </c>
      <c r="B442" s="7" t="s">
        <v>5558</v>
      </c>
      <c r="C442" s="7" t="s">
        <v>7704</v>
      </c>
    </row>
    <row r="443" spans="1:7">
      <c r="B443" s="7" t="s">
        <v>6401</v>
      </c>
      <c r="C443" s="7" t="s">
        <v>7704</v>
      </c>
    </row>
    <row r="444" spans="1:7">
      <c r="A444" s="7" t="s">
        <v>151</v>
      </c>
      <c r="B444" s="7" t="s">
        <v>2222</v>
      </c>
      <c r="C444" s="7" t="s">
        <v>7649</v>
      </c>
      <c r="D444" t="s">
        <v>8451</v>
      </c>
    </row>
    <row r="445" spans="1:7">
      <c r="A445" s="7" t="s">
        <v>1341</v>
      </c>
      <c r="B445" s="7" t="s">
        <v>4825</v>
      </c>
      <c r="C445" s="7" t="s">
        <v>7649</v>
      </c>
      <c r="D445" t="s">
        <v>8451</v>
      </c>
    </row>
    <row r="446" spans="1:7">
      <c r="B446" s="7" t="s">
        <v>6786</v>
      </c>
      <c r="C446" s="7" t="s">
        <v>7649</v>
      </c>
      <c r="D446" t="s">
        <v>8451</v>
      </c>
    </row>
    <row r="447" spans="1:7">
      <c r="B447" s="7" t="s">
        <v>6909</v>
      </c>
      <c r="C447" s="7" t="s">
        <v>7649</v>
      </c>
      <c r="D447" t="s">
        <v>8451</v>
      </c>
    </row>
    <row r="448" spans="1:7">
      <c r="B448" s="7" t="s">
        <v>7542</v>
      </c>
      <c r="C448" s="7" t="s">
        <v>7649</v>
      </c>
      <c r="D448" t="s">
        <v>8451</v>
      </c>
    </row>
    <row r="449" spans="1:7">
      <c r="B449" s="7" t="s">
        <v>6715</v>
      </c>
      <c r="C449" s="7" t="s">
        <v>8024</v>
      </c>
      <c r="D449" t="s">
        <v>8857</v>
      </c>
    </row>
    <row r="450" spans="1:7">
      <c r="A450" s="7" t="s">
        <v>500</v>
      </c>
      <c r="B450" s="7" t="s">
        <v>2992</v>
      </c>
      <c r="C450" s="7" t="s">
        <v>7709</v>
      </c>
    </row>
    <row r="451" spans="1:7">
      <c r="A451" s="7" t="s">
        <v>963</v>
      </c>
      <c r="B451" s="7" t="s">
        <v>4038</v>
      </c>
      <c r="C451" s="7" t="s">
        <v>7817</v>
      </c>
      <c r="D451" s="7" t="s">
        <v>8548</v>
      </c>
      <c r="E451" t="s">
        <v>8549</v>
      </c>
      <c r="F451" s="7" t="s">
        <v>9738</v>
      </c>
      <c r="G451" t="s">
        <v>9739</v>
      </c>
    </row>
    <row r="452" spans="1:7">
      <c r="A452" s="7" t="s">
        <v>1118</v>
      </c>
      <c r="B452" s="7" t="s">
        <v>4396</v>
      </c>
      <c r="C452" s="7" t="s">
        <v>7853</v>
      </c>
    </row>
    <row r="453" spans="1:7">
      <c r="B453" s="7" t="s">
        <v>6394</v>
      </c>
      <c r="C453" s="7" t="s">
        <v>7853</v>
      </c>
    </row>
    <row r="454" spans="1:7">
      <c r="A454" s="7" t="s">
        <v>403</v>
      </c>
      <c r="B454" s="7" t="s">
        <v>2778</v>
      </c>
      <c r="C454" s="7" t="s">
        <v>7696</v>
      </c>
      <c r="D454" s="7" t="s">
        <v>8550</v>
      </c>
      <c r="E454" t="s">
        <v>8551</v>
      </c>
      <c r="F454" s="7" t="s">
        <v>8552</v>
      </c>
      <c r="G454" t="s">
        <v>9740</v>
      </c>
    </row>
    <row r="455" spans="1:7">
      <c r="A455" s="7" t="s">
        <v>1324</v>
      </c>
      <c r="B455" s="7" t="s">
        <v>4784</v>
      </c>
      <c r="C455" s="7" t="s">
        <v>7872</v>
      </c>
      <c r="D455" s="7" t="s">
        <v>8553</v>
      </c>
      <c r="E455" t="s">
        <v>8554</v>
      </c>
      <c r="F455" s="7" t="s">
        <v>8555</v>
      </c>
      <c r="G455" t="s">
        <v>9741</v>
      </c>
    </row>
    <row r="456" spans="1:7">
      <c r="A456" s="7" t="s">
        <v>989</v>
      </c>
      <c r="B456" s="7" t="s">
        <v>4102</v>
      </c>
      <c r="C456" s="7" t="s">
        <v>7821</v>
      </c>
      <c r="D456" t="s">
        <v>8556</v>
      </c>
      <c r="E456" t="s">
        <v>8557</v>
      </c>
      <c r="F456" s="7" t="s">
        <v>9742</v>
      </c>
      <c r="G456" t="s">
        <v>9743</v>
      </c>
    </row>
    <row r="457" spans="1:7">
      <c r="A457" s="7" t="s">
        <v>785</v>
      </c>
      <c r="B457" s="7" t="s">
        <v>3641</v>
      </c>
      <c r="C457" s="7" t="s">
        <v>7773</v>
      </c>
      <c r="D457" t="s">
        <v>8558</v>
      </c>
      <c r="E457" t="s">
        <v>8559</v>
      </c>
      <c r="F457" s="7" t="s">
        <v>9744</v>
      </c>
      <c r="G457" t="s">
        <v>9745</v>
      </c>
    </row>
    <row r="458" spans="1:7">
      <c r="A458" s="7" t="s">
        <v>1076</v>
      </c>
      <c r="B458" s="7" t="s">
        <v>4305</v>
      </c>
      <c r="C458" s="7" t="s">
        <v>7843</v>
      </c>
      <c r="D458" t="s">
        <v>8560</v>
      </c>
      <c r="E458" t="s">
        <v>8561</v>
      </c>
      <c r="F458" s="7" t="s">
        <v>8562</v>
      </c>
      <c r="G458" s="7" t="s">
        <v>9746</v>
      </c>
    </row>
    <row r="459" spans="1:7">
      <c r="B459" s="7" t="s">
        <v>6381</v>
      </c>
      <c r="C459" s="7" t="s">
        <v>8006</v>
      </c>
      <c r="D459" t="s">
        <v>8563</v>
      </c>
      <c r="E459" t="s">
        <v>8564</v>
      </c>
      <c r="F459" s="7" t="s">
        <v>8565</v>
      </c>
      <c r="G459" t="s">
        <v>9747</v>
      </c>
    </row>
    <row r="460" spans="1:7">
      <c r="A460" s="7" t="s">
        <v>1258</v>
      </c>
      <c r="B460" s="7" t="s">
        <v>4661</v>
      </c>
      <c r="C460" s="7" t="s">
        <v>7867</v>
      </c>
      <c r="D460" s="7" t="s">
        <v>8566</v>
      </c>
      <c r="E460" t="s">
        <v>8567</v>
      </c>
      <c r="F460" s="7" t="s">
        <v>8568</v>
      </c>
      <c r="G460" t="s">
        <v>9748</v>
      </c>
    </row>
    <row r="461" spans="1:7">
      <c r="B461" s="7" t="s">
        <v>7275</v>
      </c>
      <c r="C461" s="7" t="s">
        <v>8065</v>
      </c>
      <c r="D461" t="s">
        <v>8569</v>
      </c>
      <c r="E461" t="s">
        <v>8570</v>
      </c>
      <c r="F461" s="7" t="s">
        <v>8571</v>
      </c>
      <c r="G461" t="s">
        <v>9749</v>
      </c>
    </row>
    <row r="462" spans="1:7">
      <c r="A462" s="7" t="s">
        <v>2001</v>
      </c>
      <c r="B462" s="7" t="s">
        <v>6226</v>
      </c>
      <c r="C462" s="7" t="s">
        <v>7990</v>
      </c>
      <c r="D462" t="s">
        <v>8572</v>
      </c>
      <c r="E462" t="s">
        <v>8573</v>
      </c>
      <c r="F462" s="7" t="s">
        <v>8574</v>
      </c>
      <c r="G462" t="s">
        <v>9750</v>
      </c>
    </row>
    <row r="463" spans="1:7">
      <c r="B463" s="7" t="s">
        <v>6391</v>
      </c>
      <c r="C463" s="7" t="s">
        <v>8008</v>
      </c>
      <c r="D463" t="s">
        <v>8321</v>
      </c>
      <c r="E463" t="s">
        <v>8322</v>
      </c>
      <c r="F463" s="7" t="s">
        <v>9751</v>
      </c>
      <c r="G463" t="s">
        <v>9535</v>
      </c>
    </row>
    <row r="464" spans="1:7">
      <c r="A464" s="7" t="s">
        <v>1694</v>
      </c>
      <c r="B464" s="7" t="s">
        <v>5619</v>
      </c>
      <c r="C464" s="7" t="s">
        <v>7956</v>
      </c>
      <c r="D464" t="s">
        <v>8575</v>
      </c>
      <c r="E464" t="s">
        <v>8576</v>
      </c>
      <c r="F464" s="7" t="s">
        <v>8577</v>
      </c>
      <c r="G464" t="s">
        <v>9894</v>
      </c>
    </row>
    <row r="465" spans="1:7">
      <c r="A465" s="7" t="s">
        <v>966</v>
      </c>
      <c r="B465" s="7" t="s">
        <v>4046</v>
      </c>
      <c r="C465" s="7" t="s">
        <v>7818</v>
      </c>
    </row>
    <row r="466" spans="1:7">
      <c r="A466" s="7" t="s">
        <v>748</v>
      </c>
      <c r="B466" s="7" t="s">
        <v>3542</v>
      </c>
      <c r="C466" s="7" t="s">
        <v>7766</v>
      </c>
    </row>
    <row r="467" spans="1:7">
      <c r="B467" s="7" t="s">
        <v>6596</v>
      </c>
      <c r="C467" s="7" t="s">
        <v>8021</v>
      </c>
      <c r="D467" t="s">
        <v>8578</v>
      </c>
      <c r="E467" t="s">
        <v>8579</v>
      </c>
      <c r="F467" s="7" t="s">
        <v>8580</v>
      </c>
      <c r="G467" t="s">
        <v>9752</v>
      </c>
    </row>
    <row r="468" spans="1:7">
      <c r="B468" s="7" t="s">
        <v>7052</v>
      </c>
      <c r="C468" s="7" t="s">
        <v>8021</v>
      </c>
      <c r="D468" t="s">
        <v>8578</v>
      </c>
      <c r="E468" t="s">
        <v>8579</v>
      </c>
      <c r="F468" s="7" t="s">
        <v>8580</v>
      </c>
      <c r="G468" t="s">
        <v>9752</v>
      </c>
    </row>
    <row r="469" spans="1:7">
      <c r="A469" s="7" t="s">
        <v>896</v>
      </c>
      <c r="B469" s="7" t="s">
        <v>3889</v>
      </c>
      <c r="C469" s="7" t="s">
        <v>7803</v>
      </c>
      <c r="D469" t="s">
        <v>8581</v>
      </c>
      <c r="E469" t="s">
        <v>8582</v>
      </c>
      <c r="F469" s="7" t="s">
        <v>8583</v>
      </c>
      <c r="G469" t="s">
        <v>9753</v>
      </c>
    </row>
    <row r="470" spans="1:7">
      <c r="A470" s="7" t="s">
        <v>892</v>
      </c>
      <c r="B470" s="7" t="s">
        <v>3878</v>
      </c>
      <c r="C470" s="7" t="s">
        <v>7802</v>
      </c>
      <c r="D470" s="7" t="s">
        <v>8584</v>
      </c>
      <c r="E470" t="s">
        <v>8585</v>
      </c>
      <c r="F470" s="7" t="s">
        <v>8586</v>
      </c>
      <c r="G470" t="s">
        <v>9754</v>
      </c>
    </row>
    <row r="471" spans="1:7">
      <c r="A471" s="7" t="s">
        <v>864</v>
      </c>
      <c r="B471" s="7" t="s">
        <v>3814</v>
      </c>
      <c r="C471" s="7" t="s">
        <v>7795</v>
      </c>
      <c r="D471" t="s">
        <v>8587</v>
      </c>
      <c r="E471" t="s">
        <v>8588</v>
      </c>
      <c r="F471" s="7" t="s">
        <v>9755</v>
      </c>
      <c r="G471" t="s">
        <v>9756</v>
      </c>
    </row>
    <row r="472" spans="1:7">
      <c r="B472" s="7" t="s">
        <v>6371</v>
      </c>
      <c r="C472" s="7" t="s">
        <v>8003</v>
      </c>
      <c r="D472" t="s">
        <v>8589</v>
      </c>
      <c r="E472" t="s">
        <v>8590</v>
      </c>
      <c r="F472" s="7" t="s">
        <v>9757</v>
      </c>
      <c r="G472" t="s">
        <v>9758</v>
      </c>
    </row>
    <row r="473" spans="1:7">
      <c r="B473" s="7" t="s">
        <v>6374</v>
      </c>
      <c r="C473" s="7" t="s">
        <v>8004</v>
      </c>
    </row>
    <row r="474" spans="1:7">
      <c r="A474" s="7" t="s">
        <v>1651</v>
      </c>
      <c r="B474" s="7" t="s">
        <v>5519</v>
      </c>
      <c r="C474" s="7" t="s">
        <v>7946</v>
      </c>
      <c r="D474" t="s">
        <v>8591</v>
      </c>
      <c r="E474" t="s">
        <v>8592</v>
      </c>
      <c r="F474" s="7" t="s">
        <v>8593</v>
      </c>
      <c r="G474" t="s">
        <v>8594</v>
      </c>
    </row>
    <row r="475" spans="1:7">
      <c r="A475" s="7" t="s">
        <v>1567</v>
      </c>
      <c r="B475" s="7" t="s">
        <v>5320</v>
      </c>
      <c r="C475" s="7" t="s">
        <v>7919</v>
      </c>
      <c r="D475" s="7" t="s">
        <v>8595</v>
      </c>
      <c r="E475" t="s">
        <v>8596</v>
      </c>
      <c r="F475" s="7" t="s">
        <v>8597</v>
      </c>
      <c r="G475" t="s">
        <v>9759</v>
      </c>
    </row>
    <row r="476" spans="1:7">
      <c r="A476" s="7" t="s">
        <v>1569</v>
      </c>
      <c r="B476" s="7" t="s">
        <v>5323</v>
      </c>
      <c r="C476" s="7" t="s">
        <v>7920</v>
      </c>
      <c r="D476" t="s">
        <v>8598</v>
      </c>
      <c r="E476" t="s">
        <v>8599</v>
      </c>
      <c r="F476" s="7" t="s">
        <v>8600</v>
      </c>
      <c r="G476" t="s">
        <v>9760</v>
      </c>
    </row>
    <row r="477" spans="1:7">
      <c r="A477" s="7" t="s">
        <v>1620</v>
      </c>
      <c r="B477" s="7" t="s">
        <v>5439</v>
      </c>
      <c r="C477" s="7" t="s">
        <v>7933</v>
      </c>
      <c r="D477" t="s">
        <v>8601</v>
      </c>
      <c r="E477" t="s">
        <v>8602</v>
      </c>
      <c r="F477" s="7" t="s">
        <v>8603</v>
      </c>
      <c r="G477" t="s">
        <v>9761</v>
      </c>
    </row>
    <row r="478" spans="1:7">
      <c r="A478" s="7" t="s">
        <v>1706</v>
      </c>
      <c r="B478" s="7" t="s">
        <v>5648</v>
      </c>
      <c r="C478" s="7" t="s">
        <v>7957</v>
      </c>
      <c r="D478" t="s">
        <v>8604</v>
      </c>
      <c r="E478" t="s">
        <v>8605</v>
      </c>
      <c r="F478" s="7" t="s">
        <v>8606</v>
      </c>
      <c r="G478" t="s">
        <v>9762</v>
      </c>
    </row>
    <row r="479" spans="1:7">
      <c r="A479" s="7" t="s">
        <v>908</v>
      </c>
      <c r="B479" s="7" t="s">
        <v>3917</v>
      </c>
      <c r="C479" s="7" t="s">
        <v>7811</v>
      </c>
      <c r="D479" s="7" t="s">
        <v>8607</v>
      </c>
      <c r="E479" t="s">
        <v>8608</v>
      </c>
      <c r="F479" s="7" t="s">
        <v>8609</v>
      </c>
      <c r="G479" t="s">
        <v>9763</v>
      </c>
    </row>
    <row r="480" spans="1:7">
      <c r="A480" s="7" t="s">
        <v>591</v>
      </c>
      <c r="B480" s="7" t="s">
        <v>3194</v>
      </c>
      <c r="C480" s="7" t="s">
        <v>7731</v>
      </c>
      <c r="D480" t="s">
        <v>8610</v>
      </c>
      <c r="E480" t="s">
        <v>8611</v>
      </c>
      <c r="F480" s="7" t="s">
        <v>8612</v>
      </c>
      <c r="G480" t="s">
        <v>9764</v>
      </c>
    </row>
    <row r="481" spans="1:7">
      <c r="A481" s="7" t="s">
        <v>416</v>
      </c>
      <c r="B481" s="7" t="s">
        <v>2810</v>
      </c>
      <c r="C481" s="7" t="s">
        <v>7700</v>
      </c>
      <c r="D481" t="s">
        <v>8613</v>
      </c>
      <c r="E481" t="s">
        <v>8614</v>
      </c>
      <c r="F481" s="7" t="s">
        <v>9765</v>
      </c>
      <c r="G481" t="s">
        <v>9766</v>
      </c>
    </row>
    <row r="482" spans="1:7">
      <c r="B482" s="7" t="s">
        <v>6428</v>
      </c>
      <c r="C482" s="7" t="s">
        <v>8009</v>
      </c>
      <c r="D482" t="s">
        <v>8615</v>
      </c>
      <c r="E482" t="s">
        <v>8616</v>
      </c>
      <c r="F482" s="7" t="s">
        <v>8617</v>
      </c>
      <c r="G482" t="s">
        <v>9767</v>
      </c>
    </row>
    <row r="483" spans="1:7">
      <c r="B483" s="7" t="s">
        <v>7220</v>
      </c>
      <c r="C483" s="7" t="s">
        <v>8009</v>
      </c>
      <c r="D483" t="s">
        <v>8615</v>
      </c>
      <c r="E483" t="s">
        <v>8616</v>
      </c>
      <c r="F483" s="7" t="s">
        <v>8617</v>
      </c>
      <c r="G483" t="s">
        <v>9767</v>
      </c>
    </row>
    <row r="484" spans="1:7">
      <c r="A484" s="7" t="s">
        <v>388</v>
      </c>
      <c r="B484" s="7" t="s">
        <v>2748</v>
      </c>
      <c r="C484" s="7" t="s">
        <v>7694</v>
      </c>
    </row>
    <row r="485" spans="1:7">
      <c r="B485" s="7" t="s">
        <v>7236</v>
      </c>
      <c r="C485" s="7" t="s">
        <v>8062</v>
      </c>
      <c r="D485" t="s">
        <v>8618</v>
      </c>
      <c r="E485" t="s">
        <v>8619</v>
      </c>
      <c r="F485" s="7" t="s">
        <v>9768</v>
      </c>
      <c r="G485" t="s">
        <v>9769</v>
      </c>
    </row>
    <row r="486" spans="1:7">
      <c r="A486" s="7" t="s">
        <v>899</v>
      </c>
      <c r="B486" s="7" t="s">
        <v>3895</v>
      </c>
      <c r="C486" s="7" t="s">
        <v>7805</v>
      </c>
      <c r="D486" s="7" t="s">
        <v>8620</v>
      </c>
      <c r="E486" t="s">
        <v>8621</v>
      </c>
      <c r="F486" s="7" t="s">
        <v>8622</v>
      </c>
      <c r="G486" t="s">
        <v>9770</v>
      </c>
    </row>
    <row r="487" spans="1:7">
      <c r="A487" s="7" t="s">
        <v>901</v>
      </c>
      <c r="B487" s="7" t="s">
        <v>3898</v>
      </c>
      <c r="C487" s="7" t="s">
        <v>7806</v>
      </c>
      <c r="D487" t="s">
        <v>8623</v>
      </c>
      <c r="E487" t="s">
        <v>8624</v>
      </c>
      <c r="F487" s="7" t="s">
        <v>8625</v>
      </c>
      <c r="G487" t="s">
        <v>8626</v>
      </c>
    </row>
    <row r="488" spans="1:7">
      <c r="A488" s="7" t="s">
        <v>1594</v>
      </c>
      <c r="B488" s="7" t="s">
        <v>5378</v>
      </c>
      <c r="C488" s="7" t="s">
        <v>7927</v>
      </c>
      <c r="D488" t="s">
        <v>8627</v>
      </c>
    </row>
    <row r="489" spans="1:7">
      <c r="A489" s="7" t="s">
        <v>1707</v>
      </c>
      <c r="B489" s="7" t="s">
        <v>5651</v>
      </c>
      <c r="C489" s="7" t="s">
        <v>7958</v>
      </c>
      <c r="D489" t="s">
        <v>8628</v>
      </c>
      <c r="E489" t="s">
        <v>8629</v>
      </c>
      <c r="F489" s="7" t="s">
        <v>8630</v>
      </c>
      <c r="G489" t="s">
        <v>9771</v>
      </c>
    </row>
    <row r="490" spans="1:7">
      <c r="A490" s="7" t="s">
        <v>1708</v>
      </c>
      <c r="B490" s="7" t="s">
        <v>5654</v>
      </c>
      <c r="C490" s="7" t="s">
        <v>7959</v>
      </c>
      <c r="D490" s="7" t="s">
        <v>8631</v>
      </c>
      <c r="E490" t="s">
        <v>8632</v>
      </c>
      <c r="F490" s="7" t="s">
        <v>8633</v>
      </c>
      <c r="G490" t="s">
        <v>9771</v>
      </c>
    </row>
    <row r="491" spans="1:7">
      <c r="A491" s="7" t="s">
        <v>276</v>
      </c>
      <c r="B491" s="7" t="s">
        <v>2488</v>
      </c>
      <c r="C491" s="7" t="s">
        <v>7672</v>
      </c>
      <c r="D491" t="s">
        <v>8634</v>
      </c>
      <c r="E491" t="s">
        <v>8635</v>
      </c>
      <c r="F491" s="7" t="s">
        <v>8636</v>
      </c>
      <c r="G491" s="7" t="s">
        <v>9725</v>
      </c>
    </row>
    <row r="492" spans="1:7">
      <c r="B492" s="7" t="s">
        <v>7031</v>
      </c>
      <c r="C492" s="7" t="s">
        <v>8048</v>
      </c>
      <c r="D492" t="s">
        <v>8637</v>
      </c>
      <c r="E492" t="s">
        <v>8638</v>
      </c>
      <c r="F492" s="7" t="s">
        <v>8639</v>
      </c>
      <c r="G492" t="s">
        <v>9772</v>
      </c>
    </row>
    <row r="493" spans="1:7">
      <c r="A493" s="7" t="s">
        <v>136</v>
      </c>
      <c r="B493" s="7" t="s">
        <v>2190</v>
      </c>
      <c r="C493" s="7" t="s">
        <v>7647</v>
      </c>
      <c r="D493" s="7" t="s">
        <v>8640</v>
      </c>
      <c r="E493" t="s">
        <v>8641</v>
      </c>
      <c r="F493" s="7" t="s">
        <v>8642</v>
      </c>
      <c r="G493" t="s">
        <v>9773</v>
      </c>
    </row>
    <row r="494" spans="1:7">
      <c r="A494" s="7" t="s">
        <v>1683</v>
      </c>
      <c r="B494" s="7" t="s">
        <v>5596</v>
      </c>
      <c r="C494" s="7" t="s">
        <v>7954</v>
      </c>
      <c r="D494" t="s">
        <v>8643</v>
      </c>
      <c r="E494" t="s">
        <v>8644</v>
      </c>
      <c r="F494" s="7" t="s">
        <v>9774</v>
      </c>
      <c r="G494" t="s">
        <v>9775</v>
      </c>
    </row>
    <row r="495" spans="1:7">
      <c r="A495" s="7" t="s">
        <v>1120</v>
      </c>
      <c r="B495" s="7" t="s">
        <v>4399</v>
      </c>
      <c r="C495" s="7" t="s">
        <v>7854</v>
      </c>
      <c r="D495" s="7" t="s">
        <v>8645</v>
      </c>
      <c r="E495" t="s">
        <v>8646</v>
      </c>
      <c r="F495" s="7" t="s">
        <v>8647</v>
      </c>
      <c r="G495" s="7" t="s">
        <v>9776</v>
      </c>
    </row>
    <row r="496" spans="1:7">
      <c r="A496" s="7" t="s">
        <v>1147</v>
      </c>
      <c r="B496" s="7" t="s">
        <v>4457</v>
      </c>
      <c r="C496" s="7" t="s">
        <v>7720</v>
      </c>
      <c r="D496" t="s">
        <v>8295</v>
      </c>
      <c r="E496" t="s">
        <v>8296</v>
      </c>
      <c r="F496" s="7" t="s">
        <v>9507</v>
      </c>
      <c r="G496" t="s">
        <v>9777</v>
      </c>
    </row>
    <row r="497" spans="1:7">
      <c r="A497" s="7"/>
      <c r="B497" s="7"/>
      <c r="C497" s="7" t="s">
        <v>7856</v>
      </c>
      <c r="D497" t="s">
        <v>8648</v>
      </c>
      <c r="E497" t="s">
        <v>8649</v>
      </c>
      <c r="F497" s="7" t="s">
        <v>9778</v>
      </c>
      <c r="G497" s="7" t="s">
        <v>9779</v>
      </c>
    </row>
    <row r="498" spans="1:7">
      <c r="A498" s="7" t="s">
        <v>597</v>
      </c>
      <c r="B498" s="7" t="s">
        <v>3208</v>
      </c>
      <c r="C498" s="7" t="s">
        <v>7734</v>
      </c>
      <c r="D498" t="s">
        <v>8650</v>
      </c>
      <c r="E498" t="s">
        <v>8651</v>
      </c>
      <c r="F498" s="7" t="s">
        <v>8652</v>
      </c>
      <c r="G498" t="s">
        <v>9780</v>
      </c>
    </row>
    <row r="499" spans="1:7">
      <c r="A499" s="7" t="s">
        <v>1994</v>
      </c>
      <c r="B499" s="7" t="s">
        <v>6201</v>
      </c>
      <c r="C499" s="7" t="s">
        <v>7986</v>
      </c>
      <c r="D499" t="s">
        <v>8653</v>
      </c>
      <c r="E499" t="s">
        <v>8654</v>
      </c>
      <c r="F499" s="7" t="s">
        <v>8655</v>
      </c>
      <c r="G499" s="7" t="s">
        <v>9781</v>
      </c>
    </row>
    <row r="500" spans="1:7">
      <c r="A500" s="7" t="s">
        <v>1601</v>
      </c>
      <c r="B500" s="7" t="s">
        <v>5400</v>
      </c>
      <c r="C500" s="7" t="s">
        <v>7931</v>
      </c>
      <c r="D500" t="s">
        <v>8656</v>
      </c>
    </row>
    <row r="501" spans="1:7">
      <c r="A501" s="7"/>
      <c r="B501" s="7"/>
      <c r="C501" s="7" t="s">
        <v>7720</v>
      </c>
      <c r="D501" t="s">
        <v>8295</v>
      </c>
      <c r="E501" t="s">
        <v>8296</v>
      </c>
      <c r="F501" s="7" t="s">
        <v>9507</v>
      </c>
      <c r="G501" s="7" t="s">
        <v>9777</v>
      </c>
    </row>
    <row r="502" spans="1:7">
      <c r="A502" s="7" t="s">
        <v>1273</v>
      </c>
      <c r="B502" s="7" t="s">
        <v>4687</v>
      </c>
      <c r="C502" s="7" t="s">
        <v>7868</v>
      </c>
      <c r="D502" t="s">
        <v>8657</v>
      </c>
    </row>
    <row r="503" spans="1:7">
      <c r="A503" s="7" t="s">
        <v>1275</v>
      </c>
      <c r="B503" s="7" t="s">
        <v>4690</v>
      </c>
      <c r="C503" s="7" t="s">
        <v>7868</v>
      </c>
      <c r="D503" t="s">
        <v>8657</v>
      </c>
    </row>
    <row r="504" spans="1:7">
      <c r="B504" s="7" t="s">
        <v>6790</v>
      </c>
      <c r="C504" s="7" t="s">
        <v>8030</v>
      </c>
      <c r="D504" t="s">
        <v>8658</v>
      </c>
      <c r="E504" t="s">
        <v>8659</v>
      </c>
      <c r="F504" t="s">
        <v>8660</v>
      </c>
      <c r="G504" t="s">
        <v>8661</v>
      </c>
    </row>
    <row r="505" spans="1:7">
      <c r="A505" s="7" t="s">
        <v>408</v>
      </c>
      <c r="B505" s="7" t="s">
        <v>2786</v>
      </c>
      <c r="C505" s="7" t="s">
        <v>7697</v>
      </c>
      <c r="D505" t="s">
        <v>8662</v>
      </c>
      <c r="E505" t="s">
        <v>8663</v>
      </c>
      <c r="F505" t="s">
        <v>8664</v>
      </c>
      <c r="G505" t="s">
        <v>8665</v>
      </c>
    </row>
    <row r="506" spans="1:7">
      <c r="A506" s="7" t="s">
        <v>1622</v>
      </c>
      <c r="B506" s="7" t="s">
        <v>5443</v>
      </c>
      <c r="C506" s="7" t="s">
        <v>7934</v>
      </c>
    </row>
    <row r="507" spans="1:7">
      <c r="B507" s="7" t="s">
        <v>6985</v>
      </c>
      <c r="C507" s="7" t="s">
        <v>8042</v>
      </c>
      <c r="D507" t="s">
        <v>8666</v>
      </c>
      <c r="E507" t="s">
        <v>8667</v>
      </c>
      <c r="F507" t="s">
        <v>8668</v>
      </c>
      <c r="G507" t="s">
        <v>8669</v>
      </c>
    </row>
    <row r="508" spans="1:7">
      <c r="A508" s="7" t="s">
        <v>1527</v>
      </c>
      <c r="B508" s="7" t="s">
        <v>5235</v>
      </c>
      <c r="C508" s="7" t="s">
        <v>7912</v>
      </c>
      <c r="D508" t="s">
        <v>8670</v>
      </c>
      <c r="E508" t="s">
        <v>8671</v>
      </c>
      <c r="F508" t="s">
        <v>8672</v>
      </c>
      <c r="G508" t="s">
        <v>8673</v>
      </c>
    </row>
    <row r="509" spans="1:7">
      <c r="A509" s="7"/>
      <c r="B509" s="7"/>
      <c r="C509" s="7" t="s">
        <v>7913</v>
      </c>
      <c r="D509" t="s">
        <v>8674</v>
      </c>
      <c r="E509" t="s">
        <v>8675</v>
      </c>
      <c r="F509" s="7" t="s">
        <v>8676</v>
      </c>
      <c r="G509" s="7" t="s">
        <v>8677</v>
      </c>
    </row>
    <row r="510" spans="1:7">
      <c r="A510" s="7" t="s">
        <v>1766</v>
      </c>
      <c r="B510" s="7" t="s">
        <v>5771</v>
      </c>
      <c r="C510" s="7" t="s">
        <v>7912</v>
      </c>
      <c r="D510" t="s">
        <v>8670</v>
      </c>
      <c r="E510" t="s">
        <v>8671</v>
      </c>
      <c r="F510" t="s">
        <v>8672</v>
      </c>
      <c r="G510" t="s">
        <v>8673</v>
      </c>
    </row>
    <row r="511" spans="1:7">
      <c r="A511" s="7" t="s">
        <v>1814</v>
      </c>
      <c r="B511" s="7" t="s">
        <v>5849</v>
      </c>
      <c r="C511" s="7" t="s">
        <v>7912</v>
      </c>
      <c r="D511" t="s">
        <v>8670</v>
      </c>
      <c r="E511" t="s">
        <v>8671</v>
      </c>
      <c r="F511" t="s">
        <v>8672</v>
      </c>
      <c r="G511" t="s">
        <v>8673</v>
      </c>
    </row>
    <row r="512" spans="1:7">
      <c r="A512" s="7" t="s">
        <v>1813</v>
      </c>
      <c r="B512" s="7" t="s">
        <v>5847</v>
      </c>
      <c r="C512" s="7" t="s">
        <v>7964</v>
      </c>
      <c r="D512" t="s">
        <v>8678</v>
      </c>
      <c r="E512" t="s">
        <v>8679</v>
      </c>
      <c r="F512" t="s">
        <v>8680</v>
      </c>
      <c r="G512" t="s">
        <v>8681</v>
      </c>
    </row>
    <row r="513" spans="1:7">
      <c r="A513" s="7" t="s">
        <v>257</v>
      </c>
      <c r="B513" s="7" t="s">
        <v>2442</v>
      </c>
      <c r="C513" s="7" t="s">
        <v>7665</v>
      </c>
      <c r="D513" s="7" t="s">
        <v>8456</v>
      </c>
      <c r="E513" t="s">
        <v>8457</v>
      </c>
      <c r="F513" s="7" t="s">
        <v>8682</v>
      </c>
      <c r="G513" s="7" t="s">
        <v>8459</v>
      </c>
    </row>
    <row r="514" spans="1:7">
      <c r="A514" s="7" t="s">
        <v>662</v>
      </c>
      <c r="B514" s="7" t="s">
        <v>3357</v>
      </c>
      <c r="C514" s="7" t="s">
        <v>7665</v>
      </c>
      <c r="D514" s="7" t="s">
        <v>8456</v>
      </c>
      <c r="E514" t="s">
        <v>8457</v>
      </c>
      <c r="F514" s="7" t="s">
        <v>8682</v>
      </c>
      <c r="G514" s="7" t="s">
        <v>8459</v>
      </c>
    </row>
    <row r="515" spans="1:7">
      <c r="A515" s="7" t="s">
        <v>735</v>
      </c>
      <c r="B515" s="7" t="s">
        <v>3516</v>
      </c>
      <c r="C515" s="7" t="s">
        <v>7665</v>
      </c>
      <c r="D515" s="7" t="s">
        <v>8456</v>
      </c>
      <c r="E515" t="s">
        <v>8457</v>
      </c>
      <c r="F515" s="7" t="s">
        <v>8682</v>
      </c>
      <c r="G515" s="7" t="s">
        <v>8459</v>
      </c>
    </row>
    <row r="516" spans="1:7">
      <c r="A516" s="7" t="s">
        <v>705</v>
      </c>
      <c r="B516" s="7" t="s">
        <v>3459</v>
      </c>
      <c r="C516" s="7" t="s">
        <v>7760</v>
      </c>
      <c r="D516" t="s">
        <v>8683</v>
      </c>
      <c r="E516" t="s">
        <v>8684</v>
      </c>
      <c r="F516" s="7" t="s">
        <v>8685</v>
      </c>
      <c r="G516" s="7" t="s">
        <v>8686</v>
      </c>
    </row>
    <row r="517" spans="1:7">
      <c r="B517" s="7" t="s">
        <v>6378</v>
      </c>
      <c r="C517" s="7" t="s">
        <v>8005</v>
      </c>
      <c r="D517" t="s">
        <v>8687</v>
      </c>
      <c r="E517" t="s">
        <v>8688</v>
      </c>
      <c r="F517" s="7" t="s">
        <v>8689</v>
      </c>
      <c r="G517" s="7" t="s">
        <v>8690</v>
      </c>
    </row>
    <row r="518" spans="1:7">
      <c r="A518" s="7" t="s">
        <v>1465</v>
      </c>
      <c r="B518" s="7" t="s">
        <v>5103</v>
      </c>
      <c r="C518" s="7" t="s">
        <v>7903</v>
      </c>
      <c r="D518" t="s">
        <v>8691</v>
      </c>
      <c r="E518" t="s">
        <v>8692</v>
      </c>
      <c r="F518" s="7" t="s">
        <v>8693</v>
      </c>
      <c r="G518" s="7" t="s">
        <v>8694</v>
      </c>
    </row>
    <row r="519" spans="1:7">
      <c r="A519" s="7" t="s">
        <v>1746</v>
      </c>
      <c r="B519" s="7" t="s">
        <v>5731</v>
      </c>
      <c r="C519" s="7" t="s">
        <v>7962</v>
      </c>
      <c r="D519" t="s">
        <v>8695</v>
      </c>
      <c r="E519" t="s">
        <v>8696</v>
      </c>
      <c r="F519" s="7" t="s">
        <v>8697</v>
      </c>
      <c r="G519" s="7" t="s">
        <v>8698</v>
      </c>
    </row>
    <row r="520" spans="1:7">
      <c r="B520" s="7" t="s">
        <v>6806</v>
      </c>
      <c r="C520" s="7" t="s">
        <v>7962</v>
      </c>
      <c r="D520" t="s">
        <v>8695</v>
      </c>
      <c r="E520" t="s">
        <v>8696</v>
      </c>
      <c r="F520" s="7" t="s">
        <v>8697</v>
      </c>
      <c r="G520" s="7" t="s">
        <v>8698</v>
      </c>
    </row>
    <row r="521" spans="1:7">
      <c r="A521" s="7" t="s">
        <v>328</v>
      </c>
      <c r="B521" s="7" t="s">
        <v>2613</v>
      </c>
      <c r="C521" s="7" t="s">
        <v>7680</v>
      </c>
      <c r="D521" s="7" t="s">
        <v>8699</v>
      </c>
      <c r="E521" t="s">
        <v>8700</v>
      </c>
      <c r="F521" s="7" t="s">
        <v>8701</v>
      </c>
      <c r="G521" s="7" t="s">
        <v>8702</v>
      </c>
    </row>
    <row r="522" spans="1:7">
      <c r="A522" s="7" t="s">
        <v>1747</v>
      </c>
      <c r="B522" s="7" t="s">
        <v>5733</v>
      </c>
      <c r="C522" s="7" t="s">
        <v>7680</v>
      </c>
      <c r="D522" s="7" t="s">
        <v>8699</v>
      </c>
      <c r="E522" t="s">
        <v>8700</v>
      </c>
      <c r="F522" s="7" t="s">
        <v>8701</v>
      </c>
      <c r="G522" s="7" t="s">
        <v>8702</v>
      </c>
    </row>
    <row r="523" spans="1:7">
      <c r="A523" s="7" t="s">
        <v>1474</v>
      </c>
      <c r="B523" s="7" t="s">
        <v>5121</v>
      </c>
      <c r="C523" s="7" t="s">
        <v>7905</v>
      </c>
    </row>
    <row r="524" spans="1:7">
      <c r="A524" s="7" t="s">
        <v>579</v>
      </c>
      <c r="B524" s="7" t="s">
        <v>3166</v>
      </c>
      <c r="C524" s="7" t="s">
        <v>7724</v>
      </c>
      <c r="D524" t="s">
        <v>8703</v>
      </c>
      <c r="E524" t="s">
        <v>8704</v>
      </c>
      <c r="F524" s="7" t="s">
        <v>8705</v>
      </c>
      <c r="G524" s="7" t="s">
        <v>8706</v>
      </c>
    </row>
    <row r="525" spans="1:7">
      <c r="A525" s="7" t="s">
        <v>788</v>
      </c>
      <c r="B525" s="7" t="s">
        <v>3647</v>
      </c>
      <c r="C525" s="7" t="s">
        <v>7775</v>
      </c>
      <c r="D525" t="s">
        <v>8707</v>
      </c>
      <c r="E525" t="s">
        <v>8708</v>
      </c>
      <c r="F525" s="7" t="s">
        <v>8709</v>
      </c>
      <c r="G525" s="7" t="s">
        <v>8710</v>
      </c>
    </row>
    <row r="526" spans="1:7">
      <c r="A526" s="7" t="s">
        <v>1575</v>
      </c>
      <c r="B526" s="7" t="s">
        <v>5334</v>
      </c>
      <c r="C526" s="7" t="s">
        <v>7923</v>
      </c>
    </row>
    <row r="527" spans="1:7">
      <c r="A527" s="7" t="s">
        <v>1632</v>
      </c>
      <c r="B527" s="7" t="s">
        <v>5469</v>
      </c>
      <c r="C527" s="7" t="s">
        <v>7937</v>
      </c>
      <c r="D527" t="s">
        <v>8711</v>
      </c>
      <c r="E527" t="s">
        <v>8712</v>
      </c>
      <c r="F527" s="7" t="s">
        <v>8713</v>
      </c>
      <c r="G527" s="7" t="s">
        <v>8714</v>
      </c>
    </row>
    <row r="528" spans="1:7">
      <c r="A528" s="7" t="s">
        <v>1074</v>
      </c>
      <c r="B528" s="7" t="s">
        <v>4298</v>
      </c>
      <c r="C528" s="7" t="s">
        <v>7842</v>
      </c>
      <c r="D528" t="s">
        <v>8715</v>
      </c>
      <c r="E528" t="s">
        <v>8716</v>
      </c>
      <c r="F528" s="7" t="s">
        <v>8717</v>
      </c>
      <c r="G528" s="7" t="s">
        <v>8718</v>
      </c>
    </row>
    <row r="529" spans="1:7">
      <c r="A529" s="7" t="s">
        <v>1464</v>
      </c>
      <c r="B529" s="7" t="s">
        <v>5100</v>
      </c>
      <c r="C529" s="7" t="s">
        <v>7902</v>
      </c>
      <c r="D529" t="s">
        <v>8719</v>
      </c>
      <c r="E529" t="s">
        <v>8720</v>
      </c>
      <c r="F529" s="7" t="s">
        <v>8721</v>
      </c>
      <c r="G529" s="7" t="s">
        <v>8693</v>
      </c>
    </row>
    <row r="530" spans="1:7">
      <c r="A530" s="7" t="s">
        <v>350</v>
      </c>
      <c r="B530" s="7" t="s">
        <v>2666</v>
      </c>
      <c r="C530" s="7" t="s">
        <v>7684</v>
      </c>
    </row>
    <row r="531" spans="1:7">
      <c r="A531" s="7" t="s">
        <v>780</v>
      </c>
      <c r="B531" s="7" t="s">
        <v>3625</v>
      </c>
      <c r="C531" s="7" t="s">
        <v>7684</v>
      </c>
    </row>
    <row r="532" spans="1:7">
      <c r="A532" s="7" t="s">
        <v>1888</v>
      </c>
      <c r="B532" s="7" t="s">
        <v>5998</v>
      </c>
      <c r="C532" s="7" t="s">
        <v>7684</v>
      </c>
    </row>
    <row r="533" spans="1:7">
      <c r="A533" s="7" t="s">
        <v>1957</v>
      </c>
      <c r="B533" s="7" t="s">
        <v>6125</v>
      </c>
      <c r="C533" s="7" t="s">
        <v>7684</v>
      </c>
    </row>
    <row r="534" spans="1:7">
      <c r="A534" s="7" t="s">
        <v>243</v>
      </c>
      <c r="B534" s="7" t="s">
        <v>2406</v>
      </c>
      <c r="C534" s="7" t="s">
        <v>7661</v>
      </c>
      <c r="D534" s="7" t="s">
        <v>8722</v>
      </c>
      <c r="E534" t="s">
        <v>8723</v>
      </c>
      <c r="F534" s="7" t="s">
        <v>8724</v>
      </c>
      <c r="G534" s="7" t="s">
        <v>8725</v>
      </c>
    </row>
    <row r="535" spans="1:7">
      <c r="A535" s="7" t="s">
        <v>129</v>
      </c>
      <c r="B535" s="7" t="s">
        <v>2179</v>
      </c>
      <c r="C535" s="7" t="s">
        <v>7645</v>
      </c>
      <c r="D535" t="s">
        <v>8726</v>
      </c>
      <c r="E535" t="s">
        <v>8727</v>
      </c>
      <c r="F535" t="s">
        <v>8728</v>
      </c>
      <c r="G535" t="s">
        <v>8729</v>
      </c>
    </row>
    <row r="536" spans="1:7">
      <c r="A536" s="7" t="s">
        <v>1350</v>
      </c>
      <c r="B536" s="7" t="s">
        <v>4847</v>
      </c>
      <c r="C536" s="7" t="s">
        <v>7880</v>
      </c>
      <c r="D536" t="s">
        <v>8730</v>
      </c>
    </row>
    <row r="537" spans="1:7">
      <c r="A537" s="7" t="s">
        <v>1541</v>
      </c>
      <c r="B537" s="7" t="s">
        <v>5267</v>
      </c>
      <c r="C537" s="7" t="s">
        <v>7916</v>
      </c>
      <c r="D537" t="s">
        <v>8731</v>
      </c>
      <c r="E537" t="s">
        <v>8732</v>
      </c>
      <c r="F537" t="s">
        <v>8626</v>
      </c>
      <c r="G537" t="s">
        <v>8609</v>
      </c>
    </row>
    <row r="538" spans="1:7">
      <c r="A538" s="7" t="s">
        <v>1449</v>
      </c>
      <c r="B538" s="7" t="s">
        <v>5069</v>
      </c>
      <c r="C538" s="7" t="s">
        <v>7900</v>
      </c>
      <c r="D538" s="7" t="s">
        <v>8733</v>
      </c>
      <c r="E538" t="s">
        <v>8734</v>
      </c>
      <c r="F538" s="7" t="s">
        <v>8673</v>
      </c>
      <c r="G538" t="s">
        <v>8735</v>
      </c>
    </row>
    <row r="539" spans="1:7">
      <c r="A539" s="7" t="s">
        <v>1219</v>
      </c>
      <c r="B539" s="7" t="s">
        <v>4590</v>
      </c>
      <c r="C539" s="7" t="s">
        <v>7861</v>
      </c>
      <c r="D539" t="s">
        <v>8736</v>
      </c>
    </row>
    <row r="540" spans="1:7">
      <c r="A540" s="7" t="s">
        <v>828</v>
      </c>
      <c r="B540" s="7" t="s">
        <v>3738</v>
      </c>
      <c r="C540" s="7" t="s">
        <v>7789</v>
      </c>
      <c r="D540" t="s">
        <v>8737</v>
      </c>
    </row>
    <row r="541" spans="1:7">
      <c r="A541" s="7" t="s">
        <v>831</v>
      </c>
      <c r="B541" s="7" t="s">
        <v>3741</v>
      </c>
      <c r="C541" s="7" t="s">
        <v>7789</v>
      </c>
      <c r="D541" t="s">
        <v>8737</v>
      </c>
    </row>
    <row r="542" spans="1:7">
      <c r="A542" s="7" t="s">
        <v>1665</v>
      </c>
      <c r="B542" s="7" t="s">
        <v>5549</v>
      </c>
      <c r="C542" s="7" t="s">
        <v>7789</v>
      </c>
      <c r="D542" t="s">
        <v>8737</v>
      </c>
    </row>
    <row r="543" spans="1:7">
      <c r="A543" s="7" t="s">
        <v>1976</v>
      </c>
      <c r="B543" s="7" t="s">
        <v>6167</v>
      </c>
      <c r="C543" s="7" t="s">
        <v>7789</v>
      </c>
      <c r="D543" t="s">
        <v>8737</v>
      </c>
    </row>
    <row r="544" spans="1:7">
      <c r="A544" s="7" t="s">
        <v>1406</v>
      </c>
      <c r="B544" s="7" t="s">
        <v>4971</v>
      </c>
      <c r="C544" s="7" t="s">
        <v>7890</v>
      </c>
      <c r="D544" t="s">
        <v>8738</v>
      </c>
      <c r="E544" t="s">
        <v>8739</v>
      </c>
      <c r="F544" t="s">
        <v>9782</v>
      </c>
      <c r="G544" t="s">
        <v>9783</v>
      </c>
    </row>
    <row r="545" spans="1:7">
      <c r="B545" s="7" t="s">
        <v>7207</v>
      </c>
      <c r="C545" s="7" t="s">
        <v>7890</v>
      </c>
      <c r="D545" t="s">
        <v>8738</v>
      </c>
      <c r="E545" t="s">
        <v>8739</v>
      </c>
      <c r="F545" t="s">
        <v>9782</v>
      </c>
      <c r="G545" t="s">
        <v>9783</v>
      </c>
    </row>
    <row r="546" spans="1:7">
      <c r="A546" s="7" t="s">
        <v>656</v>
      </c>
      <c r="B546" s="7" t="s">
        <v>3343</v>
      </c>
      <c r="C546" s="7" t="s">
        <v>7748</v>
      </c>
      <c r="D546" t="s">
        <v>8740</v>
      </c>
      <c r="E546" t="s">
        <v>8741</v>
      </c>
      <c r="F546" t="s">
        <v>9784</v>
      </c>
      <c r="G546" t="s">
        <v>9785</v>
      </c>
    </row>
    <row r="547" spans="1:7">
      <c r="A547" s="7" t="s">
        <v>507</v>
      </c>
      <c r="B547" s="7" t="s">
        <v>3005</v>
      </c>
      <c r="C547" s="7" t="s">
        <v>7710</v>
      </c>
      <c r="D547" s="7" t="s">
        <v>8742</v>
      </c>
      <c r="E547" t="s">
        <v>8743</v>
      </c>
      <c r="F547" s="7" t="s">
        <v>9786</v>
      </c>
      <c r="G547" t="s">
        <v>9787</v>
      </c>
    </row>
    <row r="548" spans="1:7">
      <c r="B548" s="7" t="s">
        <v>7465</v>
      </c>
      <c r="C548" s="7" t="s">
        <v>8070</v>
      </c>
      <c r="D548" t="s">
        <v>8744</v>
      </c>
      <c r="E548" t="s">
        <v>8745</v>
      </c>
      <c r="F548" t="s">
        <v>9788</v>
      </c>
      <c r="G548" t="s">
        <v>9789</v>
      </c>
    </row>
    <row r="549" spans="1:7">
      <c r="A549" s="7" t="s">
        <v>733</v>
      </c>
      <c r="B549" s="7" t="s">
        <v>3511</v>
      </c>
      <c r="C549" s="7" t="s">
        <v>7764</v>
      </c>
      <c r="D549" s="4" t="s">
        <v>8746</v>
      </c>
      <c r="E549" t="s">
        <v>8747</v>
      </c>
      <c r="F549" t="s">
        <v>9790</v>
      </c>
      <c r="G549" t="s">
        <v>9791</v>
      </c>
    </row>
    <row r="550" spans="1:7">
      <c r="A550" s="7" t="s">
        <v>734</v>
      </c>
      <c r="B550" s="7" t="s">
        <v>3514</v>
      </c>
      <c r="C550" s="7" t="s">
        <v>7764</v>
      </c>
      <c r="D550" s="4" t="s">
        <v>8746</v>
      </c>
      <c r="E550" t="s">
        <v>8747</v>
      </c>
      <c r="F550" t="s">
        <v>9790</v>
      </c>
      <c r="G550" t="s">
        <v>9791</v>
      </c>
    </row>
    <row r="551" spans="1:7">
      <c r="A551" s="7" t="s">
        <v>336</v>
      </c>
      <c r="B551" s="7" t="s">
        <v>2635</v>
      </c>
      <c r="C551" s="7" t="s">
        <v>7683</v>
      </c>
      <c r="D551" t="s">
        <v>8748</v>
      </c>
      <c r="E551" t="s">
        <v>8749</v>
      </c>
      <c r="F551" t="s">
        <v>9792</v>
      </c>
      <c r="G551" t="s">
        <v>9793</v>
      </c>
    </row>
    <row r="552" spans="1:7">
      <c r="A552" s="7" t="s">
        <v>187</v>
      </c>
      <c r="B552" s="7" t="s">
        <v>2303</v>
      </c>
      <c r="C552" s="7" t="s">
        <v>7657</v>
      </c>
      <c r="D552" t="s">
        <v>8750</v>
      </c>
      <c r="E552" t="s">
        <v>8751</v>
      </c>
      <c r="F552" s="7" t="s">
        <v>9794</v>
      </c>
      <c r="G552" s="7" t="s">
        <v>9795</v>
      </c>
    </row>
    <row r="553" spans="1:7">
      <c r="B553" s="7" t="s">
        <v>7037</v>
      </c>
      <c r="C553" s="7" t="s">
        <v>8050</v>
      </c>
      <c r="D553" s="7" t="s">
        <v>8752</v>
      </c>
      <c r="E553" t="s">
        <v>8753</v>
      </c>
      <c r="F553" s="7" t="s">
        <v>9796</v>
      </c>
      <c r="G553" t="s">
        <v>9797</v>
      </c>
    </row>
    <row r="554" spans="1:7">
      <c r="B554" s="7"/>
      <c r="C554" s="7" t="s">
        <v>8051</v>
      </c>
      <c r="D554" t="s">
        <v>8754</v>
      </c>
      <c r="E554" t="s">
        <v>8755</v>
      </c>
      <c r="F554" s="7" t="s">
        <v>9798</v>
      </c>
      <c r="G554" s="7" t="s">
        <v>9799</v>
      </c>
    </row>
    <row r="555" spans="1:7">
      <c r="A555" s="7" t="s">
        <v>140</v>
      </c>
      <c r="B555" s="7" t="s">
        <v>2197</v>
      </c>
      <c r="C555" s="7" t="s">
        <v>7648</v>
      </c>
      <c r="D555" t="s">
        <v>8756</v>
      </c>
      <c r="E555" t="s">
        <v>8757</v>
      </c>
      <c r="F555" s="7" t="s">
        <v>9800</v>
      </c>
      <c r="G555" t="s">
        <v>9801</v>
      </c>
    </row>
    <row r="556" spans="1:7">
      <c r="B556" s="7" t="s">
        <v>7598</v>
      </c>
      <c r="C556" s="7" t="s">
        <v>8075</v>
      </c>
      <c r="D556" t="s">
        <v>8758</v>
      </c>
      <c r="E556" t="s">
        <v>8759</v>
      </c>
      <c r="F556" s="7" t="s">
        <v>9802</v>
      </c>
      <c r="G556" s="7" t="s">
        <v>9803</v>
      </c>
    </row>
    <row r="557" spans="1:7">
      <c r="A557" s="7" t="s">
        <v>1677</v>
      </c>
      <c r="B557" s="7" t="s">
        <v>5583</v>
      </c>
      <c r="C557" s="7" t="s">
        <v>7952</v>
      </c>
      <c r="D557" t="s">
        <v>8760</v>
      </c>
      <c r="E557" t="s">
        <v>8761</v>
      </c>
      <c r="F557" s="7" t="s">
        <v>9804</v>
      </c>
      <c r="G557" t="s">
        <v>9805</v>
      </c>
    </row>
    <row r="558" spans="1:7">
      <c r="A558" s="7" t="s">
        <v>1679</v>
      </c>
      <c r="B558" s="7" t="s">
        <v>5589</v>
      </c>
      <c r="C558" s="7" t="s">
        <v>7952</v>
      </c>
      <c r="D558" t="s">
        <v>8760</v>
      </c>
      <c r="E558" t="s">
        <v>8761</v>
      </c>
      <c r="F558" s="7" t="s">
        <v>9804</v>
      </c>
      <c r="G558" t="s">
        <v>9805</v>
      </c>
    </row>
    <row r="559" spans="1:7">
      <c r="B559" s="7" t="s">
        <v>7470</v>
      </c>
      <c r="C559" s="7" t="s">
        <v>8071</v>
      </c>
      <c r="D559" t="s">
        <v>8762</v>
      </c>
      <c r="E559" t="s">
        <v>8763</v>
      </c>
      <c r="F559" s="7" t="s">
        <v>9806</v>
      </c>
      <c r="G559" t="s">
        <v>9807</v>
      </c>
    </row>
    <row r="560" spans="1:7">
      <c r="A560" s="7" t="s">
        <v>1105</v>
      </c>
      <c r="B560" s="7" t="s">
        <v>4374</v>
      </c>
      <c r="C560" s="7" t="s">
        <v>7850</v>
      </c>
      <c r="D560" t="s">
        <v>8764</v>
      </c>
      <c r="E560" t="s">
        <v>8765</v>
      </c>
      <c r="F560" s="7" t="s">
        <v>9808</v>
      </c>
      <c r="G560" s="7" t="s">
        <v>9809</v>
      </c>
    </row>
    <row r="561" spans="1:7">
      <c r="A561" s="7" t="s">
        <v>803</v>
      </c>
      <c r="B561" s="7" t="s">
        <v>3683</v>
      </c>
      <c r="C561" s="7" t="s">
        <v>7783</v>
      </c>
      <c r="D561" s="7" t="s">
        <v>8766</v>
      </c>
      <c r="E561" t="s">
        <v>8767</v>
      </c>
      <c r="F561" s="7" t="s">
        <v>9810</v>
      </c>
      <c r="G561" t="s">
        <v>9811</v>
      </c>
    </row>
    <row r="562" spans="1:7">
      <c r="A562" s="7" t="s">
        <v>363</v>
      </c>
      <c r="B562" s="7" t="s">
        <v>2691</v>
      </c>
      <c r="C562" s="7" t="s">
        <v>7688</v>
      </c>
      <c r="D562" t="s">
        <v>8768</v>
      </c>
      <c r="E562" t="s">
        <v>8769</v>
      </c>
      <c r="F562" s="7" t="s">
        <v>9812</v>
      </c>
      <c r="G562" t="s">
        <v>9813</v>
      </c>
    </row>
    <row r="563" spans="1:7">
      <c r="A563" s="7" t="s">
        <v>1018</v>
      </c>
      <c r="B563" s="7" t="s">
        <v>4173</v>
      </c>
      <c r="C563" s="7" t="s">
        <v>7828</v>
      </c>
      <c r="D563" t="s">
        <v>8770</v>
      </c>
      <c r="E563" t="s">
        <v>8771</v>
      </c>
      <c r="F563" s="7" t="s">
        <v>9814</v>
      </c>
      <c r="G563" t="s">
        <v>9815</v>
      </c>
    </row>
    <row r="564" spans="1:7">
      <c r="A564" s="7" t="s">
        <v>954</v>
      </c>
      <c r="B564" s="7" t="s">
        <v>4025</v>
      </c>
      <c r="C564" s="7" t="s">
        <v>7816</v>
      </c>
      <c r="D564" t="s">
        <v>8772</v>
      </c>
      <c r="E564" t="s">
        <v>8773</v>
      </c>
      <c r="F564" s="7" t="s">
        <v>9816</v>
      </c>
      <c r="G564" t="s">
        <v>9817</v>
      </c>
    </row>
    <row r="565" spans="1:7">
      <c r="A565" s="7" t="s">
        <v>663</v>
      </c>
      <c r="B565" s="7" t="s">
        <v>3360</v>
      </c>
      <c r="C565" s="7" t="s">
        <v>7749</v>
      </c>
      <c r="D565" t="s">
        <v>8774</v>
      </c>
      <c r="E565" t="s">
        <v>8775</v>
      </c>
      <c r="F565" s="7" t="s">
        <v>9818</v>
      </c>
      <c r="G565" t="s">
        <v>9819</v>
      </c>
    </row>
    <row r="566" spans="1:7">
      <c r="A566" s="7" t="s">
        <v>690</v>
      </c>
      <c r="B566" s="7" t="s">
        <v>3422</v>
      </c>
      <c r="C566" s="7" t="s">
        <v>7758</v>
      </c>
      <c r="D566" t="s">
        <v>8776</v>
      </c>
      <c r="E566" t="s">
        <v>8777</v>
      </c>
      <c r="F566" s="7" t="s">
        <v>9820</v>
      </c>
      <c r="G566" t="s">
        <v>9821</v>
      </c>
    </row>
    <row r="567" spans="1:7">
      <c r="A567" s="7" t="s">
        <v>1044</v>
      </c>
      <c r="B567" s="7" t="s">
        <v>4230</v>
      </c>
      <c r="C567" s="7" t="s">
        <v>7835</v>
      </c>
      <c r="D567" t="s">
        <v>8778</v>
      </c>
    </row>
    <row r="568" spans="1:7">
      <c r="A568" s="7" t="s">
        <v>576</v>
      </c>
      <c r="B568" s="7" t="s">
        <v>3156</v>
      </c>
      <c r="C568" s="7" t="s">
        <v>7722</v>
      </c>
      <c r="D568" t="s">
        <v>8779</v>
      </c>
      <c r="E568" t="s">
        <v>8780</v>
      </c>
      <c r="F568" s="7" t="s">
        <v>9822</v>
      </c>
      <c r="G568" t="s">
        <v>9823</v>
      </c>
    </row>
    <row r="569" spans="1:7">
      <c r="B569" s="7" t="s">
        <v>6934</v>
      </c>
      <c r="C569" s="7" t="s">
        <v>8038</v>
      </c>
      <c r="D569" t="s">
        <v>8781</v>
      </c>
      <c r="E569" t="s">
        <v>8782</v>
      </c>
      <c r="F569" s="7" t="s">
        <v>9824</v>
      </c>
      <c r="G569" t="s">
        <v>9825</v>
      </c>
    </row>
    <row r="570" spans="1:7">
      <c r="A570" s="7" t="s">
        <v>1365</v>
      </c>
      <c r="B570" s="7" t="s">
        <v>4892</v>
      </c>
      <c r="C570" s="7" t="s">
        <v>7885</v>
      </c>
      <c r="D570" t="s">
        <v>8783</v>
      </c>
      <c r="E570" t="s">
        <v>8784</v>
      </c>
      <c r="F570" s="7" t="s">
        <v>9826</v>
      </c>
      <c r="G570" t="s">
        <v>9827</v>
      </c>
    </row>
    <row r="571" spans="1:7">
      <c r="A571" s="7" t="s">
        <v>370</v>
      </c>
      <c r="B571" s="7" t="s">
        <v>2707</v>
      </c>
      <c r="C571" s="7" t="s">
        <v>7690</v>
      </c>
      <c r="D571" t="s">
        <v>8785</v>
      </c>
      <c r="E571" t="s">
        <v>8786</v>
      </c>
      <c r="F571" s="7" t="s">
        <v>9828</v>
      </c>
      <c r="G571" t="s">
        <v>9829</v>
      </c>
    </row>
    <row r="572" spans="1:7">
      <c r="B572" s="7" t="s">
        <v>6339</v>
      </c>
      <c r="C572" s="7" t="s">
        <v>8000</v>
      </c>
      <c r="D572" s="7" t="s">
        <v>8787</v>
      </c>
      <c r="E572" t="s">
        <v>8788</v>
      </c>
      <c r="F572" s="7" t="s">
        <v>9830</v>
      </c>
      <c r="G572" t="s">
        <v>9831</v>
      </c>
    </row>
    <row r="573" spans="1:7">
      <c r="A573" s="7" t="s">
        <v>606</v>
      </c>
      <c r="B573" s="7" t="s">
        <v>3234</v>
      </c>
      <c r="C573" s="7" t="s">
        <v>7738</v>
      </c>
      <c r="D573" s="7" t="s">
        <v>8789</v>
      </c>
      <c r="E573" t="s">
        <v>8790</v>
      </c>
      <c r="F573" s="7" t="s">
        <v>9832</v>
      </c>
      <c r="G573" t="s">
        <v>9833</v>
      </c>
    </row>
    <row r="574" spans="1:7">
      <c r="A574" s="7"/>
      <c r="B574" s="7"/>
      <c r="C574" s="7" t="s">
        <v>7739</v>
      </c>
      <c r="D574" t="s">
        <v>8791</v>
      </c>
      <c r="E574" t="s">
        <v>8792</v>
      </c>
      <c r="F574" s="7" t="s">
        <v>9834</v>
      </c>
      <c r="G574" s="7" t="s">
        <v>9835</v>
      </c>
    </row>
    <row r="575" spans="1:7">
      <c r="A575" s="7" t="s">
        <v>2006</v>
      </c>
      <c r="B575" s="7" t="s">
        <v>6242</v>
      </c>
      <c r="C575" s="7" t="s">
        <v>7738</v>
      </c>
      <c r="D575" s="7" t="s">
        <v>8789</v>
      </c>
      <c r="E575" t="s">
        <v>8790</v>
      </c>
      <c r="F575" s="7" t="s">
        <v>9832</v>
      </c>
      <c r="G575" t="s">
        <v>9833</v>
      </c>
    </row>
    <row r="576" spans="1:7">
      <c r="A576" s="7"/>
      <c r="B576" s="7"/>
      <c r="C576" s="7" t="s">
        <v>7739</v>
      </c>
      <c r="D576" t="s">
        <v>8791</v>
      </c>
      <c r="E576" t="s">
        <v>8792</v>
      </c>
      <c r="F576" s="7" t="s">
        <v>9834</v>
      </c>
      <c r="G576" s="7" t="s">
        <v>9835</v>
      </c>
    </row>
    <row r="577" spans="1:7">
      <c r="A577" s="7" t="s">
        <v>1840</v>
      </c>
      <c r="B577" s="7" t="s">
        <v>5889</v>
      </c>
      <c r="C577" s="7" t="s">
        <v>7967</v>
      </c>
      <c r="D577" t="s">
        <v>8793</v>
      </c>
      <c r="E577" t="s">
        <v>8794</v>
      </c>
      <c r="F577" s="7" t="s">
        <v>9836</v>
      </c>
      <c r="G577" t="s">
        <v>9837</v>
      </c>
    </row>
    <row r="578" spans="1:7">
      <c r="A578" s="7"/>
      <c r="B578" s="7"/>
      <c r="C578" s="7" t="s">
        <v>7968</v>
      </c>
      <c r="D578" t="s">
        <v>8795</v>
      </c>
      <c r="E578" t="s">
        <v>8796</v>
      </c>
      <c r="F578" s="7" t="s">
        <v>9838</v>
      </c>
      <c r="G578" s="7" t="s">
        <v>9839</v>
      </c>
    </row>
    <row r="579" spans="1:7">
      <c r="B579" s="7" t="s">
        <v>6358</v>
      </c>
      <c r="C579" s="7" t="s">
        <v>8001</v>
      </c>
      <c r="D579" t="s">
        <v>8797</v>
      </c>
      <c r="E579" t="s">
        <v>8798</v>
      </c>
      <c r="F579" s="7" t="s">
        <v>9840</v>
      </c>
      <c r="G579" t="s">
        <v>9841</v>
      </c>
    </row>
    <row r="580" spans="1:7">
      <c r="A580" s="7" t="s">
        <v>1077</v>
      </c>
      <c r="B580" s="7" t="s">
        <v>4308</v>
      </c>
      <c r="C580" s="7" t="s">
        <v>7844</v>
      </c>
      <c r="D580" s="7" t="s">
        <v>8799</v>
      </c>
      <c r="E580" t="s">
        <v>8800</v>
      </c>
      <c r="F580" s="7" t="s">
        <v>9842</v>
      </c>
      <c r="G580" s="7" t="s">
        <v>9843</v>
      </c>
    </row>
    <row r="581" spans="1:7">
      <c r="A581" s="7" t="s">
        <v>114</v>
      </c>
      <c r="B581" s="7" t="s">
        <v>2150</v>
      </c>
      <c r="C581" s="7" t="s">
        <v>7637</v>
      </c>
      <c r="D581" s="7" t="s">
        <v>8801</v>
      </c>
      <c r="E581" t="s">
        <v>8802</v>
      </c>
      <c r="F581" s="7" t="s">
        <v>9844</v>
      </c>
      <c r="G581" t="s">
        <v>9845</v>
      </c>
    </row>
    <row r="582" spans="1:7">
      <c r="A582" s="7" t="s">
        <v>537</v>
      </c>
      <c r="B582" s="7" t="s">
        <v>3070</v>
      </c>
      <c r="C582" s="7" t="s">
        <v>7713</v>
      </c>
      <c r="D582" t="s">
        <v>8803</v>
      </c>
      <c r="E582" t="s">
        <v>8804</v>
      </c>
      <c r="F582" s="7" t="s">
        <v>9846</v>
      </c>
      <c r="G582" s="7" t="s">
        <v>9847</v>
      </c>
    </row>
    <row r="583" spans="1:7">
      <c r="A583" s="7" t="s">
        <v>384</v>
      </c>
      <c r="B583" s="7" t="s">
        <v>2741</v>
      </c>
      <c r="C583" s="7" t="s">
        <v>7693</v>
      </c>
      <c r="D583" t="s">
        <v>8805</v>
      </c>
      <c r="E583" t="s">
        <v>8806</v>
      </c>
      <c r="F583" s="7" t="s">
        <v>9848</v>
      </c>
      <c r="G583" t="s">
        <v>9849</v>
      </c>
    </row>
    <row r="584" spans="1:7">
      <c r="A584" s="7" t="s">
        <v>1004</v>
      </c>
      <c r="B584" s="7" t="s">
        <v>4139</v>
      </c>
      <c r="C584" s="7" t="s">
        <v>7826</v>
      </c>
      <c r="D584" t="s">
        <v>8807</v>
      </c>
      <c r="E584" t="s">
        <v>8808</v>
      </c>
      <c r="F584" s="7" t="s">
        <v>9850</v>
      </c>
      <c r="G584" s="7" t="s">
        <v>9851</v>
      </c>
    </row>
    <row r="585" spans="1:7">
      <c r="A585" s="7" t="s">
        <v>118</v>
      </c>
      <c r="B585" s="7" t="s">
        <v>2159</v>
      </c>
      <c r="C585" s="7" t="s">
        <v>7640</v>
      </c>
      <c r="D585" t="s">
        <v>8809</v>
      </c>
      <c r="E585" t="s">
        <v>8810</v>
      </c>
      <c r="F585" s="7" t="s">
        <v>9852</v>
      </c>
      <c r="G585" t="s">
        <v>9853</v>
      </c>
    </row>
    <row r="586" spans="1:7">
      <c r="B586" s="7" t="s">
        <v>7102</v>
      </c>
      <c r="C586" s="7" t="s">
        <v>8054</v>
      </c>
      <c r="D586" t="s">
        <v>8811</v>
      </c>
      <c r="E586" t="s">
        <v>8812</v>
      </c>
      <c r="F586" s="7" t="s">
        <v>9854</v>
      </c>
      <c r="G586" s="7" t="s">
        <v>9855</v>
      </c>
    </row>
    <row r="587" spans="1:7">
      <c r="B587" s="7" t="s">
        <v>6461</v>
      </c>
      <c r="C587" s="7" t="s">
        <v>8012</v>
      </c>
    </row>
    <row r="588" spans="1:7">
      <c r="A588" s="7" t="s">
        <v>128</v>
      </c>
      <c r="B588" s="7" t="s">
        <v>2176</v>
      </c>
      <c r="C588" s="7" t="s">
        <v>7644</v>
      </c>
      <c r="D588" s="7" t="s">
        <v>8813</v>
      </c>
      <c r="E588" t="s">
        <v>8814</v>
      </c>
      <c r="F588" s="7" t="s">
        <v>9856</v>
      </c>
      <c r="G588" s="7" t="s">
        <v>9857</v>
      </c>
    </row>
    <row r="589" spans="1:7">
      <c r="A589" s="7" t="s">
        <v>592</v>
      </c>
      <c r="B589" s="7" t="s">
        <v>3198</v>
      </c>
      <c r="C589" s="7" t="s">
        <v>7732</v>
      </c>
      <c r="D589" t="s">
        <v>8815</v>
      </c>
      <c r="E589" t="s">
        <v>8816</v>
      </c>
      <c r="F589" s="7" t="s">
        <v>9858</v>
      </c>
      <c r="G589" t="s">
        <v>9859</v>
      </c>
    </row>
    <row r="590" spans="1:7">
      <c r="A590" s="7" t="s">
        <v>131</v>
      </c>
      <c r="B590" s="7" t="s">
        <v>2182</v>
      </c>
      <c r="C590" s="7" t="s">
        <v>7646</v>
      </c>
      <c r="D590" t="s">
        <v>8817</v>
      </c>
      <c r="E590" t="s">
        <v>8818</v>
      </c>
      <c r="F590" s="7" t="s">
        <v>9860</v>
      </c>
      <c r="G590" s="7" t="s">
        <v>9861</v>
      </c>
    </row>
    <row r="591" spans="1:7">
      <c r="A591" s="7" t="s">
        <v>71</v>
      </c>
      <c r="B591" s="7" t="s">
        <v>2083</v>
      </c>
      <c r="C591" s="7" t="s">
        <v>7632</v>
      </c>
      <c r="D591" t="s">
        <v>8819</v>
      </c>
      <c r="E591" t="s">
        <v>8820</v>
      </c>
      <c r="F591" s="7" t="s">
        <v>9862</v>
      </c>
      <c r="G591" t="s">
        <v>9863</v>
      </c>
    </row>
    <row r="592" spans="1:7">
      <c r="A592" s="7" t="s">
        <v>259</v>
      </c>
      <c r="B592" s="7" t="s">
        <v>2449</v>
      </c>
      <c r="C592" s="7" t="s">
        <v>7666</v>
      </c>
      <c r="D592" t="s">
        <v>8821</v>
      </c>
      <c r="E592" t="s">
        <v>8822</v>
      </c>
      <c r="F592" s="7" t="s">
        <v>9530</v>
      </c>
      <c r="G592" s="7" t="s">
        <v>9531</v>
      </c>
    </row>
    <row r="593" spans="1:7">
      <c r="A593" s="7" t="s">
        <v>1117</v>
      </c>
      <c r="B593" s="7" t="s">
        <v>4393</v>
      </c>
      <c r="C593" s="7" t="s">
        <v>7852</v>
      </c>
      <c r="D593" t="s">
        <v>8823</v>
      </c>
      <c r="E593" t="s">
        <v>8824</v>
      </c>
      <c r="F593" s="7" t="s">
        <v>9864</v>
      </c>
      <c r="G593" s="7" t="s">
        <v>9865</v>
      </c>
    </row>
    <row r="594" spans="1:7">
      <c r="A594" s="7" t="s">
        <v>369</v>
      </c>
      <c r="B594" s="7" t="s">
        <v>2704</v>
      </c>
      <c r="C594" s="7" t="s">
        <v>7689</v>
      </c>
      <c r="D594" s="7" t="s">
        <v>8825</v>
      </c>
      <c r="E594" t="s">
        <v>8826</v>
      </c>
      <c r="F594" s="7" t="s">
        <v>9866</v>
      </c>
      <c r="G594" s="7" t="s">
        <v>9867</v>
      </c>
    </row>
    <row r="595" spans="1:7">
      <c r="A595" s="7" t="s">
        <v>1078</v>
      </c>
      <c r="B595" s="7" t="s">
        <v>4312</v>
      </c>
      <c r="C595" s="7" t="s">
        <v>7845</v>
      </c>
      <c r="D595" t="s">
        <v>8827</v>
      </c>
      <c r="E595" t="s">
        <v>8828</v>
      </c>
      <c r="F595" s="7" t="s">
        <v>9868</v>
      </c>
      <c r="G595" s="7" t="s">
        <v>9869</v>
      </c>
    </row>
    <row r="596" spans="1:7">
      <c r="B596" s="7" t="s">
        <v>7394</v>
      </c>
      <c r="C596" s="7" t="s">
        <v>8068</v>
      </c>
      <c r="D596" t="s">
        <v>8829</v>
      </c>
      <c r="E596" t="s">
        <v>8830</v>
      </c>
      <c r="F596" s="7" t="s">
        <v>9870</v>
      </c>
      <c r="G596" s="7" t="s">
        <v>9871</v>
      </c>
    </row>
    <row r="597" spans="1:7">
      <c r="B597" s="7" t="s">
        <v>7034</v>
      </c>
      <c r="C597" s="7" t="s">
        <v>8049</v>
      </c>
      <c r="D597" t="s">
        <v>8831</v>
      </c>
      <c r="E597" t="s">
        <v>8832</v>
      </c>
      <c r="F597" s="7" t="s">
        <v>9872</v>
      </c>
      <c r="G597" s="7" t="s">
        <v>9873</v>
      </c>
    </row>
    <row r="598" spans="1:7">
      <c r="A598" s="7" t="s">
        <v>1635</v>
      </c>
      <c r="B598" s="7" t="s">
        <v>5478</v>
      </c>
      <c r="C598" s="7" t="s">
        <v>7939</v>
      </c>
      <c r="D598" t="s">
        <v>8833</v>
      </c>
      <c r="E598" t="s">
        <v>8834</v>
      </c>
      <c r="F598" s="7" t="s">
        <v>9530</v>
      </c>
      <c r="G598" s="7" t="s">
        <v>9531</v>
      </c>
    </row>
    <row r="599" spans="1:7">
      <c r="A599" s="7" t="s">
        <v>1636</v>
      </c>
      <c r="B599" s="7" t="s">
        <v>5481</v>
      </c>
      <c r="C599" s="7" t="s">
        <v>7940</v>
      </c>
    </row>
    <row r="600" spans="1:7">
      <c r="A600" s="7" t="s">
        <v>1204</v>
      </c>
      <c r="B600" s="7" t="s">
        <v>4555</v>
      </c>
      <c r="C600" s="7" t="s">
        <v>7859</v>
      </c>
      <c r="D600" t="s">
        <v>8835</v>
      </c>
      <c r="E600" t="s">
        <v>8836</v>
      </c>
      <c r="F600" s="7" t="s">
        <v>9874</v>
      </c>
      <c r="G600" s="7" t="s">
        <v>9531</v>
      </c>
    </row>
    <row r="601" spans="1:7">
      <c r="A601" s="7" t="s">
        <v>115</v>
      </c>
      <c r="B601" s="7" t="s">
        <v>2153</v>
      </c>
      <c r="C601" s="7" t="s">
        <v>7638</v>
      </c>
      <c r="D601" t="s">
        <v>8837</v>
      </c>
      <c r="E601" t="s">
        <v>8838</v>
      </c>
      <c r="F601" s="7" t="s">
        <v>9875</v>
      </c>
      <c r="G601" s="7" t="s">
        <v>9876</v>
      </c>
    </row>
    <row r="602" spans="1:7">
      <c r="A602" s="7" t="s">
        <v>754</v>
      </c>
      <c r="B602" s="7" t="s">
        <v>3557</v>
      </c>
      <c r="C602" s="7" t="s">
        <v>7768</v>
      </c>
      <c r="D602" t="s">
        <v>8839</v>
      </c>
      <c r="E602" t="s">
        <v>8840</v>
      </c>
      <c r="F602" s="7" t="s">
        <v>9877</v>
      </c>
      <c r="G602" s="7" t="s">
        <v>9531</v>
      </c>
    </row>
    <row r="603" spans="1:7">
      <c r="A603" s="7" t="s">
        <v>755</v>
      </c>
      <c r="B603" s="7" t="s">
        <v>3561</v>
      </c>
      <c r="C603" s="7" t="s">
        <v>7768</v>
      </c>
      <c r="D603" t="s">
        <v>8839</v>
      </c>
      <c r="E603" t="s">
        <v>8840</v>
      </c>
      <c r="F603" s="7" t="s">
        <v>9877</v>
      </c>
      <c r="G603" s="7" t="s">
        <v>9531</v>
      </c>
    </row>
    <row r="604" spans="1:7">
      <c r="B604" s="7" t="s">
        <v>6492</v>
      </c>
      <c r="C604" s="7" t="s">
        <v>8013</v>
      </c>
      <c r="D604" t="s">
        <v>8841</v>
      </c>
      <c r="E604" t="s">
        <v>8842</v>
      </c>
      <c r="F604" s="7" t="s">
        <v>9878</v>
      </c>
      <c r="G604" s="7" t="s">
        <v>9879</v>
      </c>
    </row>
    <row r="605" spans="1:7">
      <c r="B605" s="7" t="s">
        <v>6495</v>
      </c>
      <c r="C605" s="7" t="s">
        <v>8013</v>
      </c>
      <c r="D605" t="s">
        <v>8841</v>
      </c>
      <c r="E605" t="s">
        <v>8842</v>
      </c>
      <c r="F605" s="7" t="s">
        <v>9878</v>
      </c>
      <c r="G605" s="7" t="s">
        <v>9879</v>
      </c>
    </row>
    <row r="606" spans="1:7">
      <c r="B606" s="7" t="s">
        <v>6498</v>
      </c>
      <c r="C606" s="7" t="s">
        <v>8013</v>
      </c>
      <c r="D606" t="s">
        <v>8841</v>
      </c>
      <c r="E606" t="s">
        <v>8842</v>
      </c>
      <c r="F606" s="7" t="s">
        <v>9878</v>
      </c>
      <c r="G606" s="7" t="s">
        <v>9879</v>
      </c>
    </row>
    <row r="607" spans="1:7">
      <c r="A607" s="7" t="s">
        <v>590</v>
      </c>
      <c r="B607" s="7" t="s">
        <v>3191</v>
      </c>
      <c r="C607" s="7" t="s">
        <v>7730</v>
      </c>
      <c r="D607" s="7" t="s">
        <v>8843</v>
      </c>
      <c r="E607" t="s">
        <v>8844</v>
      </c>
      <c r="F607" s="7" t="s">
        <v>9880</v>
      </c>
      <c r="G607" s="7" t="s">
        <v>9881</v>
      </c>
    </row>
    <row r="608" spans="1:7">
      <c r="A608" s="7" t="s">
        <v>593</v>
      </c>
      <c r="B608" s="7" t="s">
        <v>3201</v>
      </c>
      <c r="C608" s="7" t="s">
        <v>7730</v>
      </c>
      <c r="D608" s="7" t="s">
        <v>8843</v>
      </c>
      <c r="E608" t="s">
        <v>8844</v>
      </c>
      <c r="F608" s="7" t="s">
        <v>9880</v>
      </c>
      <c r="G608" s="7" t="s">
        <v>9881</v>
      </c>
    </row>
    <row r="609" spans="1:7">
      <c r="A609" s="7" t="s">
        <v>2021</v>
      </c>
      <c r="B609" s="7" t="s">
        <v>6271</v>
      </c>
      <c r="C609" s="7" t="s">
        <v>7996</v>
      </c>
      <c r="D609" t="s">
        <v>8845</v>
      </c>
      <c r="E609" t="s">
        <v>8846</v>
      </c>
      <c r="F609" s="7" t="s">
        <v>9882</v>
      </c>
      <c r="G609" s="7" t="s">
        <v>9883</v>
      </c>
    </row>
    <row r="610" spans="1:7">
      <c r="A610" s="7" t="s">
        <v>698</v>
      </c>
      <c r="B610" s="7" t="s">
        <v>3439</v>
      </c>
      <c r="C610" s="7" t="s">
        <v>7759</v>
      </c>
      <c r="D610" t="s">
        <v>8847</v>
      </c>
      <c r="E610" t="s">
        <v>8848</v>
      </c>
      <c r="F610" s="7" t="s">
        <v>9884</v>
      </c>
      <c r="G610" s="7" t="s">
        <v>9885</v>
      </c>
    </row>
    <row r="611" spans="1:7">
      <c r="A611" s="7" t="s">
        <v>699</v>
      </c>
      <c r="B611" s="7" t="s">
        <v>3443</v>
      </c>
      <c r="C611" s="7" t="s">
        <v>7759</v>
      </c>
      <c r="D611" t="s">
        <v>8847</v>
      </c>
      <c r="E611" t="s">
        <v>8848</v>
      </c>
      <c r="F611" s="7" t="s">
        <v>9884</v>
      </c>
      <c r="G611" s="7" t="s">
        <v>9885</v>
      </c>
    </row>
    <row r="612" spans="1:7">
      <c r="A612" s="7" t="s">
        <v>701</v>
      </c>
      <c r="B612" s="7" t="s">
        <v>3446</v>
      </c>
      <c r="C612" s="7" t="s">
        <v>7759</v>
      </c>
      <c r="D612" t="s">
        <v>8847</v>
      </c>
      <c r="E612" t="s">
        <v>8848</v>
      </c>
      <c r="F612" s="7" t="s">
        <v>9884</v>
      </c>
      <c r="G612" s="7" t="s">
        <v>9885</v>
      </c>
    </row>
    <row r="613" spans="1:7">
      <c r="A613" s="7" t="s">
        <v>1054</v>
      </c>
      <c r="B613" s="7" t="s">
        <v>4252</v>
      </c>
      <c r="C613" s="7" t="s">
        <v>7837</v>
      </c>
      <c r="D613" t="s">
        <v>8849</v>
      </c>
    </row>
    <row r="614" spans="1:7">
      <c r="A614" s="7" t="s">
        <v>1499</v>
      </c>
      <c r="B614" s="7" t="s">
        <v>5178</v>
      </c>
      <c r="C614" s="7" t="s">
        <v>7837</v>
      </c>
      <c r="D614" t="s">
        <v>8849</v>
      </c>
    </row>
    <row r="615" spans="1:7">
      <c r="B615" s="7" t="s">
        <v>6365</v>
      </c>
      <c r="C615" s="7" t="s">
        <v>8002</v>
      </c>
      <c r="D615" s="4" t="s">
        <v>8851</v>
      </c>
    </row>
    <row r="616" spans="1:7">
      <c r="A616" s="7" t="s">
        <v>1999</v>
      </c>
      <c r="B616" s="7" t="s">
        <v>6218</v>
      </c>
      <c r="C616" s="7" t="s">
        <v>7987</v>
      </c>
      <c r="D616" t="s">
        <v>8850</v>
      </c>
    </row>
    <row r="617" spans="1:7">
      <c r="A617" s="7" t="s">
        <v>56</v>
      </c>
      <c r="B617" s="7" t="s">
        <v>2051</v>
      </c>
    </row>
    <row r="618" spans="1:7">
      <c r="A618" s="7" t="s">
        <v>58</v>
      </c>
      <c r="B618" s="7" t="s">
        <v>2054</v>
      </c>
    </row>
    <row r="619" spans="1:7">
      <c r="A619" s="7" t="s">
        <v>59</v>
      </c>
      <c r="B619" s="7" t="s">
        <v>2058</v>
      </c>
    </row>
    <row r="620" spans="1:7">
      <c r="A620" s="7" t="s">
        <v>60</v>
      </c>
      <c r="B620" s="7" t="s">
        <v>2062</v>
      </c>
    </row>
    <row r="621" spans="1:7">
      <c r="A621" s="7" t="s">
        <v>65</v>
      </c>
      <c r="B621" s="7" t="s">
        <v>2067</v>
      </c>
    </row>
    <row r="622" spans="1:7">
      <c r="A622" s="7" t="s">
        <v>66</v>
      </c>
      <c r="B622" s="7" t="s">
        <v>2071</v>
      </c>
    </row>
    <row r="623" spans="1:7">
      <c r="A623" s="7" t="s">
        <v>67</v>
      </c>
      <c r="B623" s="7" t="s">
        <v>2074</v>
      </c>
    </row>
    <row r="624" spans="1:7">
      <c r="A624" s="7" t="s">
        <v>68</v>
      </c>
      <c r="B624" s="7" t="s">
        <v>2077</v>
      </c>
    </row>
    <row r="625" spans="1:2">
      <c r="A625" s="7" t="s">
        <v>69</v>
      </c>
      <c r="B625" s="7" t="s">
        <v>2080</v>
      </c>
    </row>
    <row r="626" spans="1:2">
      <c r="A626" s="7" t="s">
        <v>76</v>
      </c>
      <c r="B626" s="7" t="s">
        <v>2092</v>
      </c>
    </row>
    <row r="627" spans="1:2">
      <c r="A627" s="7" t="s">
        <v>77</v>
      </c>
      <c r="B627" s="7" t="s">
        <v>2094</v>
      </c>
    </row>
    <row r="628" spans="1:2">
      <c r="A628" s="7" t="s">
        <v>78</v>
      </c>
      <c r="B628" s="7" t="s">
        <v>2097</v>
      </c>
    </row>
    <row r="629" spans="1:2">
      <c r="A629" s="7" t="s">
        <v>79</v>
      </c>
      <c r="B629" s="7" t="s">
        <v>2099</v>
      </c>
    </row>
    <row r="630" spans="1:2">
      <c r="A630" s="7" t="s">
        <v>80</v>
      </c>
      <c r="B630" s="7" t="s">
        <v>2101</v>
      </c>
    </row>
    <row r="631" spans="1:2">
      <c r="A631" s="7" t="s">
        <v>81</v>
      </c>
      <c r="B631" s="7" t="s">
        <v>2103</v>
      </c>
    </row>
    <row r="632" spans="1:2">
      <c r="A632" s="7" t="s">
        <v>84</v>
      </c>
      <c r="B632" s="7" t="s">
        <v>2105</v>
      </c>
    </row>
    <row r="633" spans="1:2">
      <c r="A633" s="7" t="s">
        <v>86</v>
      </c>
      <c r="B633" s="7" t="s">
        <v>2107</v>
      </c>
    </row>
    <row r="634" spans="1:2">
      <c r="A634" s="7" t="s">
        <v>87</v>
      </c>
      <c r="B634" s="7" t="s">
        <v>2110</v>
      </c>
    </row>
    <row r="635" spans="1:2">
      <c r="A635" s="7" t="s">
        <v>89</v>
      </c>
      <c r="B635" s="7" t="s">
        <v>2112</v>
      </c>
    </row>
    <row r="636" spans="1:2">
      <c r="A636" s="7" t="s">
        <v>90</v>
      </c>
      <c r="B636" s="7" t="s">
        <v>2114</v>
      </c>
    </row>
    <row r="637" spans="1:2">
      <c r="A637" s="7" t="s">
        <v>92</v>
      </c>
      <c r="B637" s="7" t="s">
        <v>2117</v>
      </c>
    </row>
    <row r="638" spans="1:2">
      <c r="A638" s="7" t="s">
        <v>94</v>
      </c>
      <c r="B638" s="7" t="s">
        <v>2120</v>
      </c>
    </row>
    <row r="639" spans="1:2">
      <c r="A639" s="7" t="s">
        <v>97</v>
      </c>
      <c r="B639" s="7" t="s">
        <v>2123</v>
      </c>
    </row>
    <row r="640" spans="1:2">
      <c r="A640" s="7" t="s">
        <v>100</v>
      </c>
      <c r="B640" s="7" t="s">
        <v>2129</v>
      </c>
    </row>
    <row r="641" spans="1:2">
      <c r="A641" s="7" t="s">
        <v>102</v>
      </c>
      <c r="B641" s="7" t="s">
        <v>2132</v>
      </c>
    </row>
    <row r="642" spans="1:2">
      <c r="A642" s="7" t="s">
        <v>104</v>
      </c>
      <c r="B642" s="7" t="s">
        <v>2134</v>
      </c>
    </row>
    <row r="643" spans="1:2">
      <c r="A643" s="7" t="s">
        <v>109</v>
      </c>
      <c r="B643" s="7" t="s">
        <v>2140</v>
      </c>
    </row>
    <row r="644" spans="1:2">
      <c r="A644" s="7" t="s">
        <v>110</v>
      </c>
      <c r="B644" s="7" t="s">
        <v>2143</v>
      </c>
    </row>
    <row r="645" spans="1:2">
      <c r="A645" s="7" t="s">
        <v>112</v>
      </c>
      <c r="B645" s="7" t="s">
        <v>2147</v>
      </c>
    </row>
    <row r="646" spans="1:2">
      <c r="A646" s="7" t="s">
        <v>123</v>
      </c>
      <c r="B646" s="7" t="s">
        <v>2166</v>
      </c>
    </row>
    <row r="647" spans="1:2">
      <c r="A647" s="7" t="s">
        <v>124</v>
      </c>
      <c r="B647" s="7" t="s">
        <v>2168</v>
      </c>
    </row>
    <row r="648" spans="1:2">
      <c r="A648" s="7" t="s">
        <v>125</v>
      </c>
      <c r="B648" s="7" t="s">
        <v>2170</v>
      </c>
    </row>
    <row r="649" spans="1:2">
      <c r="A649" s="7" t="s">
        <v>127</v>
      </c>
      <c r="B649" s="7" t="s">
        <v>2173</v>
      </c>
    </row>
    <row r="650" spans="1:2">
      <c r="A650" s="7" t="s">
        <v>132</v>
      </c>
      <c r="B650" s="7" t="s">
        <v>2184</v>
      </c>
    </row>
    <row r="651" spans="1:2">
      <c r="A651" s="7" t="s">
        <v>133</v>
      </c>
      <c r="B651" s="7" t="s">
        <v>2186</v>
      </c>
    </row>
    <row r="652" spans="1:2">
      <c r="A652" s="7" t="s">
        <v>134</v>
      </c>
      <c r="B652" s="7" t="s">
        <v>2188</v>
      </c>
    </row>
    <row r="653" spans="1:2">
      <c r="A653" s="7" t="s">
        <v>138</v>
      </c>
      <c r="B653" s="7" t="s">
        <v>2192</v>
      </c>
    </row>
    <row r="654" spans="1:2">
      <c r="A654" s="7" t="s">
        <v>139</v>
      </c>
      <c r="B654" s="7" t="s">
        <v>2194</v>
      </c>
    </row>
    <row r="655" spans="1:2">
      <c r="A655" s="7" t="s">
        <v>141</v>
      </c>
      <c r="B655" s="7" t="s">
        <v>2200</v>
      </c>
    </row>
    <row r="656" spans="1:2">
      <c r="A656" s="7" t="s">
        <v>142</v>
      </c>
      <c r="B656" s="7" t="s">
        <v>2202</v>
      </c>
    </row>
    <row r="657" spans="1:2">
      <c r="A657" s="7" t="s">
        <v>143</v>
      </c>
      <c r="B657" s="7" t="s">
        <v>2205</v>
      </c>
    </row>
    <row r="658" spans="1:2">
      <c r="A658" s="7" t="s">
        <v>144</v>
      </c>
      <c r="B658" s="7" t="s">
        <v>2207</v>
      </c>
    </row>
    <row r="659" spans="1:2">
      <c r="A659" s="7" t="s">
        <v>145</v>
      </c>
      <c r="B659" s="7" t="s">
        <v>2209</v>
      </c>
    </row>
    <row r="660" spans="1:2">
      <c r="A660" s="7" t="s">
        <v>147</v>
      </c>
      <c r="B660" s="7" t="s">
        <v>2211</v>
      </c>
    </row>
    <row r="661" spans="1:2">
      <c r="A661" s="7" t="s">
        <v>148</v>
      </c>
      <c r="B661" s="7" t="s">
        <v>2214</v>
      </c>
    </row>
    <row r="662" spans="1:2">
      <c r="A662" s="7" t="s">
        <v>149</v>
      </c>
      <c r="B662" s="7" t="s">
        <v>2217</v>
      </c>
    </row>
    <row r="663" spans="1:2">
      <c r="A663" s="7" t="s">
        <v>150</v>
      </c>
      <c r="B663" s="7" t="s">
        <v>2219</v>
      </c>
    </row>
    <row r="664" spans="1:2">
      <c r="A664" s="7" t="s">
        <v>154</v>
      </c>
      <c r="B664" s="7" t="s">
        <v>2230</v>
      </c>
    </row>
    <row r="665" spans="1:2">
      <c r="A665" s="7" t="s">
        <v>155</v>
      </c>
      <c r="B665" s="7" t="s">
        <v>2233</v>
      </c>
    </row>
    <row r="666" spans="1:2">
      <c r="A666" s="7" t="s">
        <v>156</v>
      </c>
      <c r="B666" s="7" t="s">
        <v>2237</v>
      </c>
    </row>
    <row r="667" spans="1:2">
      <c r="A667" s="7" t="s">
        <v>158</v>
      </c>
      <c r="B667" s="7" t="s">
        <v>2239</v>
      </c>
    </row>
    <row r="668" spans="1:2">
      <c r="A668" s="7" t="s">
        <v>162</v>
      </c>
      <c r="B668" s="7" t="s">
        <v>2248</v>
      </c>
    </row>
    <row r="669" spans="1:2">
      <c r="A669" s="7" t="s">
        <v>163</v>
      </c>
      <c r="B669" s="7" t="s">
        <v>2251</v>
      </c>
    </row>
    <row r="670" spans="1:2">
      <c r="A670" s="7" t="s">
        <v>164</v>
      </c>
      <c r="B670" s="7" t="s">
        <v>2254</v>
      </c>
    </row>
    <row r="671" spans="1:2">
      <c r="A671" s="7" t="s">
        <v>165</v>
      </c>
      <c r="B671" s="7" t="s">
        <v>2256</v>
      </c>
    </row>
    <row r="672" spans="1:2">
      <c r="A672" s="7" t="s">
        <v>166</v>
      </c>
      <c r="B672" s="7" t="s">
        <v>2258</v>
      </c>
    </row>
    <row r="673" spans="1:2">
      <c r="A673" s="7" t="s">
        <v>167</v>
      </c>
      <c r="B673" s="7" t="s">
        <v>2260</v>
      </c>
    </row>
    <row r="674" spans="1:2">
      <c r="A674" s="7" t="s">
        <v>168</v>
      </c>
      <c r="B674" s="7" t="s">
        <v>2262</v>
      </c>
    </row>
    <row r="675" spans="1:2">
      <c r="A675" s="7" t="s">
        <v>169</v>
      </c>
      <c r="B675" s="7" t="s">
        <v>2265</v>
      </c>
    </row>
    <row r="676" spans="1:2">
      <c r="A676" s="7" t="s">
        <v>170</v>
      </c>
      <c r="B676" s="7" t="s">
        <v>2267</v>
      </c>
    </row>
    <row r="677" spans="1:2">
      <c r="A677" s="7" t="s">
        <v>171</v>
      </c>
      <c r="B677" s="7" t="s">
        <v>2269</v>
      </c>
    </row>
    <row r="678" spans="1:2">
      <c r="A678" s="7" t="s">
        <v>173</v>
      </c>
      <c r="B678" s="7" t="s">
        <v>2272</v>
      </c>
    </row>
    <row r="679" spans="1:2">
      <c r="A679" s="7" t="s">
        <v>175</v>
      </c>
      <c r="B679" s="7" t="s">
        <v>2275</v>
      </c>
    </row>
    <row r="680" spans="1:2">
      <c r="A680" s="7" t="s">
        <v>177</v>
      </c>
      <c r="B680" s="7" t="s">
        <v>2278</v>
      </c>
    </row>
    <row r="681" spans="1:2">
      <c r="A681" s="7" t="s">
        <v>179</v>
      </c>
      <c r="B681" s="7" t="s">
        <v>2282</v>
      </c>
    </row>
    <row r="682" spans="1:2">
      <c r="A682" s="7" t="s">
        <v>181</v>
      </c>
      <c r="B682" s="7" t="s">
        <v>2286</v>
      </c>
    </row>
    <row r="683" spans="1:2">
      <c r="A683" s="7" t="s">
        <v>182</v>
      </c>
      <c r="B683" s="7" t="s">
        <v>2288</v>
      </c>
    </row>
    <row r="684" spans="1:2">
      <c r="A684" s="7" t="s">
        <v>185</v>
      </c>
      <c r="B684" s="7" t="s">
        <v>2297</v>
      </c>
    </row>
    <row r="685" spans="1:2">
      <c r="A685" s="7" t="s">
        <v>188</v>
      </c>
      <c r="B685" s="7" t="s">
        <v>2307</v>
      </c>
    </row>
    <row r="686" spans="1:2">
      <c r="A686" s="7" t="s">
        <v>189</v>
      </c>
      <c r="B686" s="7" t="s">
        <v>2309</v>
      </c>
    </row>
    <row r="687" spans="1:2">
      <c r="A687" s="7" t="s">
        <v>191</v>
      </c>
      <c r="B687" s="7" t="s">
        <v>2311</v>
      </c>
    </row>
    <row r="688" spans="1:2">
      <c r="A688" s="7" t="s">
        <v>193</v>
      </c>
      <c r="B688" s="7" t="s">
        <v>2313</v>
      </c>
    </row>
    <row r="689" spans="1:2">
      <c r="A689" s="7" t="s">
        <v>194</v>
      </c>
      <c r="B689" s="7" t="s">
        <v>2315</v>
      </c>
    </row>
    <row r="690" spans="1:2">
      <c r="A690" s="7" t="s">
        <v>196</v>
      </c>
      <c r="B690" s="7" t="s">
        <v>2322</v>
      </c>
    </row>
    <row r="691" spans="1:2">
      <c r="A691" s="7" t="s">
        <v>198</v>
      </c>
      <c r="B691" s="7" t="s">
        <v>2325</v>
      </c>
    </row>
    <row r="692" spans="1:2">
      <c r="A692" s="7" t="s">
        <v>199</v>
      </c>
      <c r="B692" s="7" t="s">
        <v>2327</v>
      </c>
    </row>
    <row r="693" spans="1:2">
      <c r="A693" s="7" t="s">
        <v>201</v>
      </c>
      <c r="B693" s="7" t="s">
        <v>2333</v>
      </c>
    </row>
    <row r="694" spans="1:2">
      <c r="A694" s="7" t="s">
        <v>203</v>
      </c>
      <c r="B694" s="7" t="s">
        <v>2336</v>
      </c>
    </row>
    <row r="695" spans="1:2">
      <c r="A695" s="7" t="s">
        <v>204</v>
      </c>
      <c r="B695" s="7" t="s">
        <v>2339</v>
      </c>
    </row>
    <row r="696" spans="1:2">
      <c r="A696" s="7" t="s">
        <v>205</v>
      </c>
      <c r="B696" s="7" t="s">
        <v>2342</v>
      </c>
    </row>
    <row r="697" spans="1:2">
      <c r="A697" s="7" t="s">
        <v>206</v>
      </c>
      <c r="B697" s="7" t="s">
        <v>2346</v>
      </c>
    </row>
    <row r="698" spans="1:2">
      <c r="A698" s="7" t="s">
        <v>208</v>
      </c>
      <c r="B698" s="7" t="s">
        <v>2349</v>
      </c>
    </row>
    <row r="699" spans="1:2">
      <c r="A699" s="7" t="s">
        <v>210</v>
      </c>
      <c r="B699" s="7" t="s">
        <v>2353</v>
      </c>
    </row>
    <row r="700" spans="1:2">
      <c r="A700" s="7" t="s">
        <v>211</v>
      </c>
      <c r="B700" s="7" t="s">
        <v>2355</v>
      </c>
    </row>
    <row r="701" spans="1:2">
      <c r="A701" s="7" t="s">
        <v>213</v>
      </c>
      <c r="B701" s="7" t="s">
        <v>2357</v>
      </c>
    </row>
    <row r="702" spans="1:2">
      <c r="A702" s="7" t="s">
        <v>215</v>
      </c>
      <c r="B702" s="7" t="s">
        <v>2360</v>
      </c>
    </row>
    <row r="703" spans="1:2">
      <c r="A703" s="7" t="s">
        <v>216</v>
      </c>
      <c r="B703" s="7" t="s">
        <v>2363</v>
      </c>
    </row>
    <row r="704" spans="1:2">
      <c r="A704" s="7" t="s">
        <v>217</v>
      </c>
      <c r="B704" s="7" t="s">
        <v>2365</v>
      </c>
    </row>
    <row r="705" spans="1:2">
      <c r="A705" s="7" t="s">
        <v>218</v>
      </c>
      <c r="B705" s="7" t="s">
        <v>2367</v>
      </c>
    </row>
    <row r="706" spans="1:2">
      <c r="A706" s="7" t="s">
        <v>219</v>
      </c>
      <c r="B706" s="7" t="s">
        <v>2369</v>
      </c>
    </row>
    <row r="707" spans="1:2">
      <c r="A707" s="7" t="s">
        <v>220</v>
      </c>
      <c r="B707" s="7" t="s">
        <v>2371</v>
      </c>
    </row>
    <row r="708" spans="1:2">
      <c r="A708" s="7" t="s">
        <v>221</v>
      </c>
      <c r="B708" s="7" t="s">
        <v>2373</v>
      </c>
    </row>
    <row r="709" spans="1:2">
      <c r="A709" s="7" t="s">
        <v>222</v>
      </c>
      <c r="B709" s="7" t="s">
        <v>2376</v>
      </c>
    </row>
    <row r="710" spans="1:2">
      <c r="A710" s="7" t="s">
        <v>224</v>
      </c>
      <c r="B710" s="7" t="s">
        <v>2379</v>
      </c>
    </row>
    <row r="711" spans="1:2">
      <c r="A711" s="7" t="s">
        <v>227</v>
      </c>
      <c r="B711" s="7" t="s">
        <v>2384</v>
      </c>
    </row>
    <row r="712" spans="1:2">
      <c r="A712" s="7" t="s">
        <v>230</v>
      </c>
      <c r="B712" s="7" t="s">
        <v>2386</v>
      </c>
    </row>
    <row r="713" spans="1:2">
      <c r="A713" s="7" t="s">
        <v>234</v>
      </c>
      <c r="B713" s="7" t="s">
        <v>2391</v>
      </c>
    </row>
    <row r="714" spans="1:2">
      <c r="A714" s="7" t="s">
        <v>236</v>
      </c>
      <c r="B714" s="7" t="s">
        <v>2394</v>
      </c>
    </row>
    <row r="715" spans="1:2">
      <c r="A715" s="7" t="s">
        <v>238</v>
      </c>
      <c r="B715" s="7" t="s">
        <v>2397</v>
      </c>
    </row>
    <row r="716" spans="1:2">
      <c r="A716" s="7" t="s">
        <v>239</v>
      </c>
      <c r="B716" s="7" t="s">
        <v>2400</v>
      </c>
    </row>
    <row r="717" spans="1:2">
      <c r="A717" s="7" t="s">
        <v>241</v>
      </c>
      <c r="B717" s="7" t="s">
        <v>2403</v>
      </c>
    </row>
    <row r="718" spans="1:2">
      <c r="A718" s="7" t="s">
        <v>245</v>
      </c>
      <c r="B718" s="7" t="s">
        <v>2411</v>
      </c>
    </row>
    <row r="719" spans="1:2">
      <c r="A719" s="7" t="s">
        <v>246</v>
      </c>
      <c r="B719" s="7" t="s">
        <v>2415</v>
      </c>
    </row>
    <row r="720" spans="1:2">
      <c r="A720" s="7" t="s">
        <v>247</v>
      </c>
      <c r="B720" s="7" t="s">
        <v>2417</v>
      </c>
    </row>
    <row r="721" spans="1:2">
      <c r="A721" s="7" t="s">
        <v>248</v>
      </c>
      <c r="B721" s="7" t="s">
        <v>2419</v>
      </c>
    </row>
    <row r="722" spans="1:2">
      <c r="A722" s="7" t="s">
        <v>249</v>
      </c>
      <c r="B722" s="7" t="s">
        <v>2421</v>
      </c>
    </row>
    <row r="723" spans="1:2">
      <c r="A723" s="7" t="s">
        <v>253</v>
      </c>
      <c r="B723" s="7" t="s">
        <v>2430</v>
      </c>
    </row>
    <row r="724" spans="1:2">
      <c r="A724" s="7" t="s">
        <v>254</v>
      </c>
      <c r="B724" s="7" t="s">
        <v>2432</v>
      </c>
    </row>
    <row r="725" spans="1:2">
      <c r="A725" s="7" t="s">
        <v>255</v>
      </c>
      <c r="B725" s="7" t="s">
        <v>2435</v>
      </c>
    </row>
    <row r="726" spans="1:2">
      <c r="A726" s="7" t="s">
        <v>256</v>
      </c>
      <c r="B726" s="7" t="s">
        <v>2439</v>
      </c>
    </row>
    <row r="727" spans="1:2">
      <c r="A727" s="7" t="s">
        <v>258</v>
      </c>
      <c r="B727" s="7" t="s">
        <v>2445</v>
      </c>
    </row>
    <row r="728" spans="1:2">
      <c r="A728" s="7" t="s">
        <v>260</v>
      </c>
      <c r="B728" s="7" t="s">
        <v>2451</v>
      </c>
    </row>
    <row r="729" spans="1:2">
      <c r="A729" s="7" t="s">
        <v>261</v>
      </c>
      <c r="B729" s="7" t="s">
        <v>2454</v>
      </c>
    </row>
    <row r="730" spans="1:2">
      <c r="A730" s="7" t="s">
        <v>265</v>
      </c>
      <c r="B730" s="7" t="s">
        <v>2464</v>
      </c>
    </row>
    <row r="731" spans="1:2">
      <c r="A731" s="7" t="s">
        <v>266</v>
      </c>
      <c r="B731" s="7" t="s">
        <v>2466</v>
      </c>
    </row>
    <row r="732" spans="1:2">
      <c r="A732" s="7" t="s">
        <v>267</v>
      </c>
      <c r="B732" s="7" t="s">
        <v>2469</v>
      </c>
    </row>
    <row r="733" spans="1:2">
      <c r="A733" s="7" t="s">
        <v>270</v>
      </c>
      <c r="B733" s="7" t="s">
        <v>2478</v>
      </c>
    </row>
    <row r="734" spans="1:2">
      <c r="A734" s="7" t="s">
        <v>273</v>
      </c>
      <c r="B734" s="7" t="s">
        <v>2483</v>
      </c>
    </row>
    <row r="735" spans="1:2">
      <c r="A735" s="7" t="s">
        <v>274</v>
      </c>
      <c r="B735" s="7" t="s">
        <v>2485</v>
      </c>
    </row>
    <row r="736" spans="1:2">
      <c r="A736" s="7" t="s">
        <v>278</v>
      </c>
      <c r="B736" s="7" t="s">
        <v>2494</v>
      </c>
    </row>
    <row r="737" spans="1:2">
      <c r="A737" s="7" t="s">
        <v>280</v>
      </c>
      <c r="B737" s="7" t="s">
        <v>2497</v>
      </c>
    </row>
    <row r="738" spans="1:2">
      <c r="A738" s="7" t="s">
        <v>281</v>
      </c>
      <c r="B738" s="7" t="s">
        <v>2500</v>
      </c>
    </row>
    <row r="739" spans="1:2">
      <c r="A739" s="7" t="s">
        <v>283</v>
      </c>
      <c r="B739" s="7" t="s">
        <v>2503</v>
      </c>
    </row>
    <row r="740" spans="1:2">
      <c r="A740" s="7" t="s">
        <v>284</v>
      </c>
      <c r="B740" s="7" t="s">
        <v>2506</v>
      </c>
    </row>
    <row r="741" spans="1:2">
      <c r="A741" s="7" t="s">
        <v>286</v>
      </c>
      <c r="B741" s="7" t="s">
        <v>2508</v>
      </c>
    </row>
    <row r="742" spans="1:2">
      <c r="A742" s="7" t="s">
        <v>287</v>
      </c>
      <c r="B742" s="7" t="s">
        <v>2512</v>
      </c>
    </row>
    <row r="743" spans="1:2">
      <c r="A743" s="7" t="s">
        <v>289</v>
      </c>
      <c r="B743" s="7" t="s">
        <v>2515</v>
      </c>
    </row>
    <row r="744" spans="1:2">
      <c r="A744" s="7" t="s">
        <v>291</v>
      </c>
      <c r="B744" s="7" t="s">
        <v>2522</v>
      </c>
    </row>
    <row r="745" spans="1:2">
      <c r="A745" s="7" t="s">
        <v>293</v>
      </c>
      <c r="B745" s="7" t="s">
        <v>2528</v>
      </c>
    </row>
    <row r="746" spans="1:2">
      <c r="A746" s="7" t="s">
        <v>295</v>
      </c>
      <c r="B746" s="7" t="s">
        <v>2530</v>
      </c>
    </row>
    <row r="747" spans="1:2">
      <c r="A747" s="7" t="s">
        <v>297</v>
      </c>
      <c r="B747" s="7" t="s">
        <v>2536</v>
      </c>
    </row>
    <row r="748" spans="1:2">
      <c r="A748" s="7" t="s">
        <v>299</v>
      </c>
      <c r="B748" s="7" t="s">
        <v>2539</v>
      </c>
    </row>
    <row r="749" spans="1:2">
      <c r="A749" s="7" t="s">
        <v>301</v>
      </c>
      <c r="B749" s="7" t="s">
        <v>2542</v>
      </c>
    </row>
    <row r="750" spans="1:2">
      <c r="A750" s="7" t="s">
        <v>302</v>
      </c>
      <c r="B750" s="7" t="s">
        <v>2544</v>
      </c>
    </row>
    <row r="751" spans="1:2">
      <c r="A751" s="7" t="s">
        <v>303</v>
      </c>
      <c r="B751" s="7" t="s">
        <v>2547</v>
      </c>
    </row>
    <row r="752" spans="1:2">
      <c r="A752" s="7" t="s">
        <v>304</v>
      </c>
      <c r="B752" s="7" t="s">
        <v>2549</v>
      </c>
    </row>
    <row r="753" spans="1:2">
      <c r="A753" s="7" t="s">
        <v>305</v>
      </c>
      <c r="B753" s="7" t="s">
        <v>2552</v>
      </c>
    </row>
    <row r="754" spans="1:2">
      <c r="A754" s="7" t="s">
        <v>306</v>
      </c>
      <c r="B754" s="7" t="s">
        <v>2554</v>
      </c>
    </row>
    <row r="755" spans="1:2">
      <c r="A755" s="7" t="s">
        <v>307</v>
      </c>
      <c r="B755" s="7" t="s">
        <v>2557</v>
      </c>
    </row>
    <row r="756" spans="1:2">
      <c r="A756" s="7" t="s">
        <v>308</v>
      </c>
      <c r="B756" s="7" t="s">
        <v>2559</v>
      </c>
    </row>
    <row r="757" spans="1:2">
      <c r="A757" s="7" t="s">
        <v>309</v>
      </c>
      <c r="B757" s="7" t="s">
        <v>2561</v>
      </c>
    </row>
    <row r="758" spans="1:2">
      <c r="A758" s="7" t="s">
        <v>310</v>
      </c>
      <c r="B758" s="7" t="s">
        <v>2563</v>
      </c>
    </row>
    <row r="759" spans="1:2">
      <c r="A759" s="7" t="s">
        <v>312</v>
      </c>
      <c r="B759" s="7" t="s">
        <v>2567</v>
      </c>
    </row>
    <row r="760" spans="1:2">
      <c r="A760" s="7" t="s">
        <v>313</v>
      </c>
      <c r="B760" s="7" t="s">
        <v>2569</v>
      </c>
    </row>
    <row r="761" spans="1:2">
      <c r="A761" s="7" t="s">
        <v>314</v>
      </c>
      <c r="B761" s="7" t="s">
        <v>2571</v>
      </c>
    </row>
    <row r="762" spans="1:2">
      <c r="A762" s="7" t="s">
        <v>315</v>
      </c>
      <c r="B762" s="7" t="s">
        <v>2574</v>
      </c>
    </row>
    <row r="763" spans="1:2">
      <c r="A763" s="7" t="s">
        <v>317</v>
      </c>
      <c r="B763" s="7" t="s">
        <v>2580</v>
      </c>
    </row>
    <row r="764" spans="1:2">
      <c r="A764" s="7" t="s">
        <v>318</v>
      </c>
      <c r="B764" s="7" t="s">
        <v>2582</v>
      </c>
    </row>
    <row r="765" spans="1:2">
      <c r="A765" s="7" t="s">
        <v>319</v>
      </c>
      <c r="B765" s="7" t="s">
        <v>2585</v>
      </c>
    </row>
    <row r="766" spans="1:2">
      <c r="A766" s="7" t="s">
        <v>320</v>
      </c>
      <c r="B766" s="7" t="s">
        <v>2589</v>
      </c>
    </row>
    <row r="767" spans="1:2">
      <c r="A767" s="7" t="s">
        <v>321</v>
      </c>
      <c r="B767" s="7" t="s">
        <v>2593</v>
      </c>
    </row>
    <row r="768" spans="1:2">
      <c r="A768" s="7" t="s">
        <v>322</v>
      </c>
      <c r="B768" s="7" t="s">
        <v>2597</v>
      </c>
    </row>
    <row r="769" spans="1:3">
      <c r="A769" s="7" t="s">
        <v>324</v>
      </c>
      <c r="B769" s="7" t="s">
        <v>2600</v>
      </c>
    </row>
    <row r="770" spans="1:3">
      <c r="A770" s="7" t="s">
        <v>329</v>
      </c>
      <c r="B770" s="7" t="s">
        <v>2617</v>
      </c>
    </row>
    <row r="771" spans="1:3">
      <c r="A771" s="7" t="s">
        <v>330</v>
      </c>
      <c r="B771" s="7" t="s">
        <v>2620</v>
      </c>
    </row>
    <row r="772" spans="1:3">
      <c r="A772" s="7" t="s">
        <v>337</v>
      </c>
      <c r="B772" s="7" t="s">
        <v>2638</v>
      </c>
    </row>
    <row r="773" spans="1:3">
      <c r="A773" s="7" t="s">
        <v>339</v>
      </c>
      <c r="B773" s="7" t="s">
        <v>2640</v>
      </c>
    </row>
    <row r="774" spans="1:3">
      <c r="A774" s="7" t="s">
        <v>340</v>
      </c>
      <c r="B774" s="7" t="s">
        <v>2643</v>
      </c>
      <c r="C774" s="7"/>
    </row>
    <row r="775" spans="1:3">
      <c r="A775" s="7" t="s">
        <v>341</v>
      </c>
      <c r="B775" s="7" t="s">
        <v>2647</v>
      </c>
    </row>
    <row r="776" spans="1:3">
      <c r="A776" s="7" t="s">
        <v>342</v>
      </c>
      <c r="B776" s="7" t="s">
        <v>2649</v>
      </c>
    </row>
    <row r="777" spans="1:3">
      <c r="A777" s="7" t="s">
        <v>343</v>
      </c>
      <c r="B777" s="7" t="s">
        <v>2651</v>
      </c>
    </row>
    <row r="778" spans="1:3">
      <c r="A778" s="7" t="s">
        <v>344</v>
      </c>
      <c r="B778" s="7" t="s">
        <v>2653</v>
      </c>
    </row>
    <row r="779" spans="1:3">
      <c r="A779" s="7" t="s">
        <v>345</v>
      </c>
      <c r="B779" s="7" t="s">
        <v>2655</v>
      </c>
    </row>
    <row r="780" spans="1:3">
      <c r="A780" s="7" t="s">
        <v>346</v>
      </c>
      <c r="B780" s="7" t="s">
        <v>2657</v>
      </c>
    </row>
    <row r="781" spans="1:3">
      <c r="A781" s="7" t="s">
        <v>347</v>
      </c>
      <c r="B781" s="7" t="s">
        <v>2659</v>
      </c>
    </row>
    <row r="782" spans="1:3">
      <c r="A782" s="7" t="s">
        <v>348</v>
      </c>
      <c r="B782" s="7" t="s">
        <v>2661</v>
      </c>
    </row>
    <row r="783" spans="1:3">
      <c r="A783" s="7" t="s">
        <v>349</v>
      </c>
      <c r="B783" s="7" t="s">
        <v>2663</v>
      </c>
    </row>
    <row r="784" spans="1:3">
      <c r="A784" s="7" t="s">
        <v>354</v>
      </c>
      <c r="B784" s="7" t="s">
        <v>2672</v>
      </c>
    </row>
    <row r="785" spans="1:2">
      <c r="A785" s="7" t="s">
        <v>355</v>
      </c>
      <c r="B785" s="7" t="s">
        <v>2675</v>
      </c>
    </row>
    <row r="786" spans="1:2">
      <c r="A786" s="7" t="s">
        <v>358</v>
      </c>
      <c r="B786" s="7" t="s">
        <v>2681</v>
      </c>
    </row>
    <row r="787" spans="1:2">
      <c r="A787" s="7" t="s">
        <v>359</v>
      </c>
      <c r="B787" s="7" t="s">
        <v>2683</v>
      </c>
    </row>
    <row r="788" spans="1:2">
      <c r="A788" s="7" t="s">
        <v>360</v>
      </c>
      <c r="B788" s="7" t="s">
        <v>2685</v>
      </c>
    </row>
    <row r="789" spans="1:2">
      <c r="A789" s="7" t="s">
        <v>361</v>
      </c>
      <c r="B789" s="7" t="s">
        <v>2688</v>
      </c>
    </row>
    <row r="790" spans="1:2">
      <c r="A790" s="7" t="s">
        <v>364</v>
      </c>
      <c r="B790" s="7" t="s">
        <v>2693</v>
      </c>
    </row>
    <row r="791" spans="1:2">
      <c r="A791" s="7" t="s">
        <v>365</v>
      </c>
      <c r="B791" s="7" t="s">
        <v>2695</v>
      </c>
    </row>
    <row r="792" spans="1:2">
      <c r="A792" s="7" t="s">
        <v>367</v>
      </c>
      <c r="B792" s="7" t="s">
        <v>2698</v>
      </c>
    </row>
    <row r="793" spans="1:2">
      <c r="A793" s="7" t="s">
        <v>368</v>
      </c>
      <c r="B793" s="7" t="s">
        <v>2701</v>
      </c>
    </row>
    <row r="794" spans="1:2">
      <c r="A794" s="7" t="s">
        <v>372</v>
      </c>
      <c r="B794" s="7" t="s">
        <v>2710</v>
      </c>
    </row>
    <row r="795" spans="1:2">
      <c r="A795" s="7" t="s">
        <v>375</v>
      </c>
      <c r="B795" s="7" t="s">
        <v>2720</v>
      </c>
    </row>
    <row r="796" spans="1:2">
      <c r="A796" s="7" t="s">
        <v>376</v>
      </c>
      <c r="B796" s="7" t="s">
        <v>2722</v>
      </c>
    </row>
    <row r="797" spans="1:2">
      <c r="A797" s="7" t="s">
        <v>377</v>
      </c>
      <c r="B797" s="7" t="s">
        <v>2725</v>
      </c>
    </row>
    <row r="798" spans="1:2">
      <c r="A798" s="7" t="s">
        <v>379</v>
      </c>
      <c r="B798" s="7" t="s">
        <v>2733</v>
      </c>
    </row>
    <row r="799" spans="1:2">
      <c r="A799" s="7" t="s">
        <v>381</v>
      </c>
      <c r="B799" s="7" t="s">
        <v>2736</v>
      </c>
    </row>
    <row r="800" spans="1:2">
      <c r="A800" s="7" t="s">
        <v>382</v>
      </c>
      <c r="B800" s="7" t="s">
        <v>2738</v>
      </c>
    </row>
    <row r="801" spans="1:2">
      <c r="A801" s="7" t="s">
        <v>386</v>
      </c>
      <c r="B801" s="7" t="s">
        <v>2744</v>
      </c>
    </row>
    <row r="802" spans="1:2">
      <c r="A802" s="7" t="s">
        <v>389</v>
      </c>
      <c r="B802" s="7" t="s">
        <v>2751</v>
      </c>
    </row>
    <row r="803" spans="1:2">
      <c r="A803" s="7" t="s">
        <v>390</v>
      </c>
      <c r="B803" s="7" t="s">
        <v>2753</v>
      </c>
    </row>
    <row r="804" spans="1:2">
      <c r="A804" s="7" t="s">
        <v>393</v>
      </c>
      <c r="B804" s="7" t="s">
        <v>2755</v>
      </c>
    </row>
    <row r="805" spans="1:2">
      <c r="A805" s="7" t="s">
        <v>395</v>
      </c>
      <c r="B805" s="7" t="s">
        <v>2758</v>
      </c>
    </row>
    <row r="806" spans="1:2">
      <c r="A806" s="7" t="s">
        <v>398</v>
      </c>
      <c r="B806" s="7" t="s">
        <v>2769</v>
      </c>
    </row>
    <row r="807" spans="1:2">
      <c r="A807" s="7" t="s">
        <v>400</v>
      </c>
      <c r="B807" s="7" t="s">
        <v>2771</v>
      </c>
    </row>
    <row r="808" spans="1:2">
      <c r="A808" s="7" t="s">
        <v>401</v>
      </c>
      <c r="B808" s="7" t="s">
        <v>2773</v>
      </c>
    </row>
    <row r="809" spans="1:2">
      <c r="A809" s="7" t="s">
        <v>402</v>
      </c>
      <c r="B809" s="7" t="s">
        <v>2775</v>
      </c>
    </row>
    <row r="810" spans="1:2">
      <c r="A810" s="7" t="s">
        <v>404</v>
      </c>
      <c r="B810" s="7" t="s">
        <v>2781</v>
      </c>
    </row>
    <row r="811" spans="1:2">
      <c r="A811" s="7" t="s">
        <v>405</v>
      </c>
      <c r="B811" s="7" t="s">
        <v>2783</v>
      </c>
    </row>
    <row r="812" spans="1:2">
      <c r="A812" s="7" t="s">
        <v>411</v>
      </c>
      <c r="B812" s="7" t="s">
        <v>2795</v>
      </c>
    </row>
    <row r="813" spans="1:2">
      <c r="A813" s="7" t="s">
        <v>413</v>
      </c>
      <c r="B813" s="7" t="s">
        <v>2798</v>
      </c>
    </row>
    <row r="814" spans="1:2">
      <c r="A814" s="7" t="s">
        <v>414</v>
      </c>
      <c r="B814" s="7" t="s">
        <v>2802</v>
      </c>
    </row>
    <row r="815" spans="1:2">
      <c r="A815" s="7" t="s">
        <v>415</v>
      </c>
      <c r="B815" s="7" t="s">
        <v>2806</v>
      </c>
    </row>
    <row r="816" spans="1:2">
      <c r="A816" s="7" t="s">
        <v>417</v>
      </c>
      <c r="B816" s="7" t="s">
        <v>2814</v>
      </c>
    </row>
    <row r="817" spans="1:2">
      <c r="A817" s="7" t="s">
        <v>419</v>
      </c>
      <c r="B817" s="7" t="s">
        <v>2817</v>
      </c>
    </row>
    <row r="818" spans="1:2">
      <c r="A818" s="7" t="s">
        <v>420</v>
      </c>
      <c r="B818" s="7" t="s">
        <v>2820</v>
      </c>
    </row>
    <row r="819" spans="1:2">
      <c r="A819" s="7" t="s">
        <v>422</v>
      </c>
      <c r="B819" s="7" t="s">
        <v>2827</v>
      </c>
    </row>
    <row r="820" spans="1:2">
      <c r="A820" s="7" t="s">
        <v>424</v>
      </c>
      <c r="B820" s="7" t="s">
        <v>2830</v>
      </c>
    </row>
    <row r="821" spans="1:2">
      <c r="A821" s="7" t="s">
        <v>425</v>
      </c>
      <c r="B821" s="7" t="s">
        <v>2833</v>
      </c>
    </row>
    <row r="822" spans="1:2">
      <c r="A822" s="7" t="s">
        <v>426</v>
      </c>
      <c r="B822" s="7" t="s">
        <v>2836</v>
      </c>
    </row>
    <row r="823" spans="1:2">
      <c r="A823" s="7" t="s">
        <v>427</v>
      </c>
      <c r="B823" s="7" t="s">
        <v>2839</v>
      </c>
    </row>
    <row r="824" spans="1:2">
      <c r="A824" s="7" t="s">
        <v>429</v>
      </c>
      <c r="B824" s="7" t="s">
        <v>2841</v>
      </c>
    </row>
    <row r="825" spans="1:2">
      <c r="A825" s="7" t="s">
        <v>432</v>
      </c>
      <c r="B825" s="7" t="s">
        <v>2846</v>
      </c>
    </row>
    <row r="826" spans="1:2">
      <c r="A826" s="7" t="s">
        <v>433</v>
      </c>
      <c r="B826" s="7" t="s">
        <v>2849</v>
      </c>
    </row>
    <row r="827" spans="1:2">
      <c r="A827" s="7" t="s">
        <v>434</v>
      </c>
      <c r="B827" s="7" t="s">
        <v>2852</v>
      </c>
    </row>
    <row r="828" spans="1:2">
      <c r="A828" s="7" t="s">
        <v>435</v>
      </c>
      <c r="B828" s="7" t="s">
        <v>2854</v>
      </c>
    </row>
    <row r="829" spans="1:2">
      <c r="A829" s="7" t="s">
        <v>436</v>
      </c>
      <c r="B829" s="7" t="s">
        <v>2857</v>
      </c>
    </row>
    <row r="830" spans="1:2">
      <c r="A830" s="7" t="s">
        <v>437</v>
      </c>
      <c r="B830" s="7" t="s">
        <v>2861</v>
      </c>
    </row>
    <row r="831" spans="1:2">
      <c r="A831" s="7" t="s">
        <v>444</v>
      </c>
      <c r="B831" s="7" t="s">
        <v>2875</v>
      </c>
    </row>
    <row r="832" spans="1:2">
      <c r="A832" s="7" t="s">
        <v>446</v>
      </c>
      <c r="B832" s="7" t="s">
        <v>2879</v>
      </c>
    </row>
    <row r="833" spans="1:2">
      <c r="A833" s="7" t="s">
        <v>448</v>
      </c>
      <c r="B833" s="7" t="s">
        <v>2882</v>
      </c>
    </row>
    <row r="834" spans="1:2">
      <c r="A834" s="7" t="s">
        <v>450</v>
      </c>
      <c r="B834" s="7" t="s">
        <v>2886</v>
      </c>
    </row>
    <row r="835" spans="1:2">
      <c r="A835" s="7" t="s">
        <v>451</v>
      </c>
      <c r="B835" s="7" t="s">
        <v>2890</v>
      </c>
    </row>
    <row r="836" spans="1:2">
      <c r="A836" s="7" t="s">
        <v>453</v>
      </c>
      <c r="B836" s="7" t="s">
        <v>2893</v>
      </c>
    </row>
    <row r="837" spans="1:2">
      <c r="A837" s="7" t="s">
        <v>456</v>
      </c>
      <c r="B837" s="7" t="s">
        <v>2898</v>
      </c>
    </row>
    <row r="838" spans="1:2">
      <c r="A838" s="7" t="s">
        <v>457</v>
      </c>
      <c r="B838" s="7" t="s">
        <v>2900</v>
      </c>
    </row>
    <row r="839" spans="1:2">
      <c r="A839" s="7" t="s">
        <v>458</v>
      </c>
      <c r="B839" s="7" t="s">
        <v>2902</v>
      </c>
    </row>
    <row r="840" spans="1:2">
      <c r="A840" s="7" t="s">
        <v>459</v>
      </c>
      <c r="B840" s="7" t="s">
        <v>2905</v>
      </c>
    </row>
    <row r="841" spans="1:2">
      <c r="A841" s="7" t="s">
        <v>461</v>
      </c>
      <c r="B841" s="7" t="s">
        <v>2911</v>
      </c>
    </row>
    <row r="842" spans="1:2">
      <c r="A842" s="7" t="s">
        <v>462</v>
      </c>
      <c r="B842" s="7" t="s">
        <v>2913</v>
      </c>
    </row>
    <row r="843" spans="1:2">
      <c r="A843" s="7" t="s">
        <v>463</v>
      </c>
      <c r="B843" s="7" t="s">
        <v>2915</v>
      </c>
    </row>
    <row r="844" spans="1:2">
      <c r="A844" s="7" t="s">
        <v>464</v>
      </c>
      <c r="B844" s="7" t="s">
        <v>2918</v>
      </c>
    </row>
    <row r="845" spans="1:2">
      <c r="A845" s="7" t="s">
        <v>465</v>
      </c>
      <c r="B845" s="7" t="s">
        <v>2921</v>
      </c>
    </row>
    <row r="846" spans="1:2">
      <c r="A846" s="7" t="s">
        <v>473</v>
      </c>
      <c r="B846" s="7" t="s">
        <v>2932</v>
      </c>
    </row>
    <row r="847" spans="1:2">
      <c r="A847" s="7" t="s">
        <v>474</v>
      </c>
      <c r="B847" s="7" t="s">
        <v>2936</v>
      </c>
    </row>
    <row r="848" spans="1:2">
      <c r="A848" s="7" t="s">
        <v>476</v>
      </c>
      <c r="B848" s="7" t="s">
        <v>2939</v>
      </c>
    </row>
    <row r="849" spans="1:2">
      <c r="A849" s="7" t="s">
        <v>477</v>
      </c>
      <c r="B849" s="7" t="s">
        <v>2941</v>
      </c>
    </row>
    <row r="850" spans="1:2">
      <c r="A850" s="7" t="s">
        <v>478</v>
      </c>
      <c r="B850" s="7" t="s">
        <v>2943</v>
      </c>
    </row>
    <row r="851" spans="1:2">
      <c r="A851" s="7" t="s">
        <v>479</v>
      </c>
      <c r="B851" s="7" t="s">
        <v>2945</v>
      </c>
    </row>
    <row r="852" spans="1:2">
      <c r="A852" s="7" t="s">
        <v>480</v>
      </c>
      <c r="B852" s="7" t="s">
        <v>2947</v>
      </c>
    </row>
    <row r="853" spans="1:2">
      <c r="A853" s="7" t="s">
        <v>482</v>
      </c>
      <c r="B853" s="7" t="s">
        <v>2949</v>
      </c>
    </row>
    <row r="854" spans="1:2">
      <c r="A854" s="7" t="s">
        <v>484</v>
      </c>
      <c r="B854" s="7" t="s">
        <v>2955</v>
      </c>
    </row>
    <row r="855" spans="1:2">
      <c r="A855" s="7" t="s">
        <v>485</v>
      </c>
      <c r="B855" s="7" t="s">
        <v>2957</v>
      </c>
    </row>
    <row r="856" spans="1:2">
      <c r="A856" s="7" t="s">
        <v>486</v>
      </c>
      <c r="B856" s="7" t="s">
        <v>2959</v>
      </c>
    </row>
    <row r="857" spans="1:2">
      <c r="A857" s="7" t="s">
        <v>489</v>
      </c>
      <c r="B857" s="7" t="s">
        <v>2965</v>
      </c>
    </row>
    <row r="858" spans="1:2">
      <c r="A858" s="7" t="s">
        <v>492</v>
      </c>
      <c r="B858" s="7" t="s">
        <v>2968</v>
      </c>
    </row>
    <row r="859" spans="1:2">
      <c r="A859" s="7" t="s">
        <v>494</v>
      </c>
      <c r="B859" s="7" t="s">
        <v>2973</v>
      </c>
    </row>
    <row r="860" spans="1:2">
      <c r="A860" s="7" t="s">
        <v>495</v>
      </c>
      <c r="B860" s="7" t="s">
        <v>2977</v>
      </c>
    </row>
    <row r="861" spans="1:2">
      <c r="A861" s="7" t="s">
        <v>496</v>
      </c>
      <c r="B861" s="7" t="s">
        <v>2980</v>
      </c>
    </row>
    <row r="862" spans="1:2">
      <c r="A862" s="7" t="s">
        <v>497</v>
      </c>
      <c r="B862" s="7" t="s">
        <v>2983</v>
      </c>
    </row>
    <row r="863" spans="1:2">
      <c r="A863" s="7" t="s">
        <v>498</v>
      </c>
      <c r="B863" s="7" t="s">
        <v>2986</v>
      </c>
    </row>
    <row r="864" spans="1:2">
      <c r="A864" s="7" t="s">
        <v>499</v>
      </c>
      <c r="B864" s="7" t="s">
        <v>2989</v>
      </c>
    </row>
    <row r="865" spans="1:2">
      <c r="A865" s="7" t="s">
        <v>501</v>
      </c>
      <c r="B865" s="7" t="s">
        <v>2995</v>
      </c>
    </row>
    <row r="866" spans="1:2">
      <c r="A866" s="7" t="s">
        <v>502</v>
      </c>
      <c r="B866" s="7" t="s">
        <v>2997</v>
      </c>
    </row>
    <row r="867" spans="1:2">
      <c r="A867" s="7" t="s">
        <v>503</v>
      </c>
      <c r="B867" s="7" t="s">
        <v>3000</v>
      </c>
    </row>
    <row r="868" spans="1:2">
      <c r="A868" s="7" t="s">
        <v>506</v>
      </c>
      <c r="B868" s="7" t="s">
        <v>3002</v>
      </c>
    </row>
    <row r="869" spans="1:2">
      <c r="A869" s="7" t="s">
        <v>508</v>
      </c>
      <c r="B869" s="7" t="s">
        <v>3008</v>
      </c>
    </row>
    <row r="870" spans="1:2">
      <c r="A870" s="7" t="s">
        <v>510</v>
      </c>
      <c r="B870" s="7" t="s">
        <v>3012</v>
      </c>
    </row>
    <row r="871" spans="1:2">
      <c r="A871" s="7" t="s">
        <v>511</v>
      </c>
      <c r="B871" s="7" t="s">
        <v>3016</v>
      </c>
    </row>
    <row r="872" spans="1:2">
      <c r="A872" s="7" t="s">
        <v>512</v>
      </c>
      <c r="B872" s="7" t="s">
        <v>3020</v>
      </c>
    </row>
    <row r="873" spans="1:2">
      <c r="A873" s="7" t="s">
        <v>514</v>
      </c>
      <c r="B873" s="7" t="s">
        <v>3022</v>
      </c>
    </row>
    <row r="874" spans="1:2">
      <c r="A874" s="7" t="s">
        <v>518</v>
      </c>
      <c r="B874" s="7" t="s">
        <v>3028</v>
      </c>
    </row>
    <row r="875" spans="1:2">
      <c r="A875" s="7" t="s">
        <v>519</v>
      </c>
      <c r="B875" s="7" t="s">
        <v>3031</v>
      </c>
    </row>
    <row r="876" spans="1:2">
      <c r="A876" s="7" t="s">
        <v>520</v>
      </c>
      <c r="B876" s="7" t="s">
        <v>3034</v>
      </c>
    </row>
    <row r="877" spans="1:2">
      <c r="A877" s="7" t="s">
        <v>524</v>
      </c>
      <c r="B877" s="7" t="s">
        <v>3040</v>
      </c>
    </row>
    <row r="878" spans="1:2">
      <c r="A878" s="7" t="s">
        <v>525</v>
      </c>
      <c r="B878" s="7" t="s">
        <v>3043</v>
      </c>
    </row>
    <row r="879" spans="1:2">
      <c r="A879" s="7" t="s">
        <v>526</v>
      </c>
      <c r="B879" s="7" t="s">
        <v>3046</v>
      </c>
    </row>
    <row r="880" spans="1:2">
      <c r="A880" s="7" t="s">
        <v>527</v>
      </c>
      <c r="B880" s="7" t="s">
        <v>3050</v>
      </c>
    </row>
    <row r="881" spans="1:2">
      <c r="A881" s="7" t="s">
        <v>528</v>
      </c>
      <c r="B881" s="7" t="s">
        <v>3054</v>
      </c>
    </row>
    <row r="882" spans="1:2">
      <c r="A882" s="7" t="s">
        <v>529</v>
      </c>
      <c r="B882" s="7" t="s">
        <v>3056</v>
      </c>
    </row>
    <row r="883" spans="1:2">
      <c r="A883" s="7" t="s">
        <v>531</v>
      </c>
      <c r="B883" s="7" t="s">
        <v>3059</v>
      </c>
    </row>
    <row r="884" spans="1:2">
      <c r="A884" s="7" t="s">
        <v>533</v>
      </c>
      <c r="B884" s="7" t="s">
        <v>3061</v>
      </c>
    </row>
    <row r="885" spans="1:2">
      <c r="A885" s="7" t="s">
        <v>534</v>
      </c>
      <c r="B885" s="7" t="s">
        <v>3063</v>
      </c>
    </row>
    <row r="886" spans="1:2">
      <c r="A886" s="7" t="s">
        <v>536</v>
      </c>
      <c r="B886" s="7" t="s">
        <v>3067</v>
      </c>
    </row>
    <row r="887" spans="1:2">
      <c r="A887" s="7" t="s">
        <v>539</v>
      </c>
      <c r="B887" s="7" t="s">
        <v>3073</v>
      </c>
    </row>
    <row r="888" spans="1:2">
      <c r="A888" s="7" t="s">
        <v>540</v>
      </c>
      <c r="B888" s="7" t="s">
        <v>3076</v>
      </c>
    </row>
    <row r="889" spans="1:2">
      <c r="A889" s="7" t="s">
        <v>546</v>
      </c>
      <c r="B889" s="7" t="s">
        <v>3086</v>
      </c>
    </row>
    <row r="890" spans="1:2">
      <c r="A890" s="7" t="s">
        <v>548</v>
      </c>
      <c r="B890" s="7" t="s">
        <v>3088</v>
      </c>
    </row>
    <row r="891" spans="1:2">
      <c r="A891" s="7" t="s">
        <v>552</v>
      </c>
      <c r="B891" s="7" t="s">
        <v>3096</v>
      </c>
    </row>
    <row r="892" spans="1:2">
      <c r="A892" s="7" t="s">
        <v>554</v>
      </c>
      <c r="B892" s="7" t="s">
        <v>3098</v>
      </c>
    </row>
    <row r="893" spans="1:2">
      <c r="A893" s="7" t="s">
        <v>556</v>
      </c>
      <c r="B893" s="7" t="s">
        <v>3101</v>
      </c>
    </row>
    <row r="894" spans="1:2">
      <c r="A894" s="7" t="s">
        <v>557</v>
      </c>
      <c r="B894" s="7" t="s">
        <v>3105</v>
      </c>
    </row>
    <row r="895" spans="1:2">
      <c r="A895" s="7" t="s">
        <v>558</v>
      </c>
      <c r="B895" s="7" t="s">
        <v>3108</v>
      </c>
    </row>
    <row r="896" spans="1:2">
      <c r="A896" s="7" t="s">
        <v>559</v>
      </c>
      <c r="B896" s="7" t="s">
        <v>3112</v>
      </c>
    </row>
    <row r="897" spans="1:2">
      <c r="A897" s="7" t="s">
        <v>560</v>
      </c>
      <c r="B897" s="7" t="s">
        <v>3115</v>
      </c>
    </row>
    <row r="898" spans="1:2">
      <c r="A898" s="7" t="s">
        <v>561</v>
      </c>
      <c r="B898" s="7" t="s">
        <v>3118</v>
      </c>
    </row>
    <row r="899" spans="1:2">
      <c r="A899" s="7" t="s">
        <v>563</v>
      </c>
      <c r="B899" s="7" t="s">
        <v>3121</v>
      </c>
    </row>
    <row r="900" spans="1:2">
      <c r="A900" s="7" t="s">
        <v>565</v>
      </c>
      <c r="B900" s="7" t="s">
        <v>3128</v>
      </c>
    </row>
    <row r="901" spans="1:2">
      <c r="A901" s="7" t="s">
        <v>566</v>
      </c>
      <c r="B901" s="7" t="s">
        <v>3131</v>
      </c>
    </row>
    <row r="902" spans="1:2">
      <c r="A902" s="7" t="s">
        <v>567</v>
      </c>
      <c r="B902" s="7" t="s">
        <v>3134</v>
      </c>
    </row>
    <row r="903" spans="1:2">
      <c r="A903" s="7" t="s">
        <v>569</v>
      </c>
      <c r="B903" s="7" t="s">
        <v>3137</v>
      </c>
    </row>
    <row r="904" spans="1:2">
      <c r="A904" s="7" t="s">
        <v>572</v>
      </c>
      <c r="B904" s="7" t="s">
        <v>3143</v>
      </c>
    </row>
    <row r="905" spans="1:2">
      <c r="A905" s="7" t="s">
        <v>573</v>
      </c>
      <c r="B905" s="7" t="s">
        <v>3147</v>
      </c>
    </row>
    <row r="906" spans="1:2">
      <c r="A906" s="7" t="s">
        <v>574</v>
      </c>
      <c r="B906" s="7" t="s">
        <v>3150</v>
      </c>
    </row>
    <row r="907" spans="1:2">
      <c r="A907" s="7" t="s">
        <v>575</v>
      </c>
      <c r="B907" s="7" t="s">
        <v>3153</v>
      </c>
    </row>
    <row r="908" spans="1:2">
      <c r="A908" s="7" t="s">
        <v>578</v>
      </c>
      <c r="B908" s="7" t="s">
        <v>3162</v>
      </c>
    </row>
    <row r="909" spans="1:2">
      <c r="A909" s="7" t="s">
        <v>580</v>
      </c>
      <c r="B909" s="7" t="s">
        <v>3169</v>
      </c>
    </row>
    <row r="910" spans="1:2">
      <c r="A910" s="7" t="s">
        <v>584</v>
      </c>
      <c r="B910" s="7" t="s">
        <v>3176</v>
      </c>
    </row>
    <row r="911" spans="1:2">
      <c r="A911" s="7" t="s">
        <v>598</v>
      </c>
      <c r="B911" s="7" t="s">
        <v>3211</v>
      </c>
    </row>
    <row r="912" spans="1:2">
      <c r="A912" s="7" t="s">
        <v>599</v>
      </c>
      <c r="B912" s="7" t="s">
        <v>3213</v>
      </c>
    </row>
    <row r="913" spans="1:2">
      <c r="A913" s="7" t="s">
        <v>602</v>
      </c>
      <c r="B913" s="7" t="s">
        <v>3219</v>
      </c>
    </row>
    <row r="914" spans="1:2">
      <c r="A914" s="7" t="s">
        <v>603</v>
      </c>
      <c r="B914" s="7" t="s">
        <v>3223</v>
      </c>
    </row>
    <row r="915" spans="1:2">
      <c r="A915" s="7" t="s">
        <v>608</v>
      </c>
      <c r="B915" s="7" t="s">
        <v>3236</v>
      </c>
    </row>
    <row r="916" spans="1:2">
      <c r="A916" s="7" t="s">
        <v>612</v>
      </c>
      <c r="B916" s="7" t="s">
        <v>3249</v>
      </c>
    </row>
    <row r="917" spans="1:2">
      <c r="A917" s="7" t="s">
        <v>613</v>
      </c>
      <c r="B917" s="7" t="s">
        <v>3251</v>
      </c>
    </row>
    <row r="918" spans="1:2">
      <c r="A918" s="7" t="s">
        <v>614</v>
      </c>
      <c r="B918" s="7" t="s">
        <v>3253</v>
      </c>
    </row>
    <row r="919" spans="1:2">
      <c r="A919" s="7" t="s">
        <v>615</v>
      </c>
      <c r="B919" s="7" t="s">
        <v>3256</v>
      </c>
    </row>
    <row r="920" spans="1:2">
      <c r="A920" s="7" t="s">
        <v>616</v>
      </c>
      <c r="B920" s="7" t="s">
        <v>3259</v>
      </c>
    </row>
    <row r="921" spans="1:2">
      <c r="A921" s="7" t="s">
        <v>617</v>
      </c>
      <c r="B921" s="7" t="s">
        <v>3261</v>
      </c>
    </row>
    <row r="922" spans="1:2">
      <c r="A922" s="7" t="s">
        <v>618</v>
      </c>
      <c r="B922" s="7" t="s">
        <v>3263</v>
      </c>
    </row>
    <row r="923" spans="1:2">
      <c r="A923" s="7" t="s">
        <v>619</v>
      </c>
      <c r="B923" s="7" t="s">
        <v>3265</v>
      </c>
    </row>
    <row r="924" spans="1:2">
      <c r="A924" s="7" t="s">
        <v>620</v>
      </c>
      <c r="B924" s="7" t="s">
        <v>3267</v>
      </c>
    </row>
    <row r="925" spans="1:2">
      <c r="A925" s="7" t="s">
        <v>621</v>
      </c>
      <c r="B925" s="7" t="s">
        <v>3269</v>
      </c>
    </row>
    <row r="926" spans="1:2">
      <c r="A926" s="7" t="s">
        <v>627</v>
      </c>
      <c r="B926" s="7" t="s">
        <v>3282</v>
      </c>
    </row>
    <row r="927" spans="1:2">
      <c r="A927" s="7" t="s">
        <v>628</v>
      </c>
      <c r="B927" s="7" t="s">
        <v>3284</v>
      </c>
    </row>
    <row r="928" spans="1:2">
      <c r="A928" s="7" t="s">
        <v>629</v>
      </c>
      <c r="B928" s="7" t="s">
        <v>3286</v>
      </c>
    </row>
    <row r="929" spans="1:2">
      <c r="A929" s="7" t="s">
        <v>634</v>
      </c>
      <c r="B929" s="7" t="s">
        <v>3296</v>
      </c>
    </row>
    <row r="930" spans="1:2">
      <c r="A930" s="7" t="s">
        <v>635</v>
      </c>
      <c r="B930" s="7" t="s">
        <v>3300</v>
      </c>
    </row>
    <row r="931" spans="1:2">
      <c r="A931" s="7" t="s">
        <v>636</v>
      </c>
      <c r="B931" s="7" t="s">
        <v>3303</v>
      </c>
    </row>
    <row r="932" spans="1:2">
      <c r="A932" s="7" t="s">
        <v>637</v>
      </c>
      <c r="B932" s="7" t="s">
        <v>3305</v>
      </c>
    </row>
    <row r="933" spans="1:2">
      <c r="A933" s="7" t="s">
        <v>638</v>
      </c>
      <c r="B933" s="7" t="s">
        <v>3307</v>
      </c>
    </row>
    <row r="934" spans="1:2">
      <c r="A934" s="7" t="s">
        <v>639</v>
      </c>
      <c r="B934" s="7" t="s">
        <v>3309</v>
      </c>
    </row>
    <row r="935" spans="1:2">
      <c r="A935" s="7" t="s">
        <v>640</v>
      </c>
      <c r="B935" s="7" t="s">
        <v>3311</v>
      </c>
    </row>
    <row r="936" spans="1:2">
      <c r="A936" s="7" t="s">
        <v>642</v>
      </c>
      <c r="B936" s="7" t="s">
        <v>3316</v>
      </c>
    </row>
    <row r="937" spans="1:2">
      <c r="A937" s="7" t="s">
        <v>643</v>
      </c>
      <c r="B937" s="7" t="s">
        <v>3319</v>
      </c>
    </row>
    <row r="938" spans="1:2">
      <c r="A938" s="7" t="s">
        <v>645</v>
      </c>
      <c r="B938" s="7" t="s">
        <v>3321</v>
      </c>
    </row>
    <row r="939" spans="1:2">
      <c r="A939" s="7" t="s">
        <v>646</v>
      </c>
      <c r="B939" s="7" t="s">
        <v>3324</v>
      </c>
    </row>
    <row r="940" spans="1:2">
      <c r="A940" s="7" t="s">
        <v>647</v>
      </c>
      <c r="B940" s="7" t="s">
        <v>3327</v>
      </c>
    </row>
    <row r="941" spans="1:2">
      <c r="A941" s="7" t="s">
        <v>648</v>
      </c>
      <c r="B941" s="7" t="s">
        <v>3331</v>
      </c>
    </row>
    <row r="942" spans="1:2">
      <c r="A942" s="7" t="s">
        <v>649</v>
      </c>
      <c r="B942" s="7" t="s">
        <v>3333</v>
      </c>
    </row>
    <row r="943" spans="1:2">
      <c r="A943" s="7" t="s">
        <v>650</v>
      </c>
      <c r="B943" s="7" t="s">
        <v>3335</v>
      </c>
    </row>
    <row r="944" spans="1:2">
      <c r="A944" s="7" t="s">
        <v>652</v>
      </c>
      <c r="B944" s="7" t="s">
        <v>3337</v>
      </c>
    </row>
    <row r="945" spans="1:2">
      <c r="A945" s="7" t="s">
        <v>654</v>
      </c>
      <c r="B945" s="7" t="s">
        <v>3339</v>
      </c>
    </row>
    <row r="946" spans="1:2">
      <c r="A946" s="7" t="s">
        <v>657</v>
      </c>
      <c r="B946" s="7" t="s">
        <v>3346</v>
      </c>
    </row>
    <row r="947" spans="1:2">
      <c r="A947" s="7" t="s">
        <v>659</v>
      </c>
      <c r="B947" s="7" t="s">
        <v>3349</v>
      </c>
    </row>
    <row r="948" spans="1:2">
      <c r="A948" s="7" t="s">
        <v>660</v>
      </c>
      <c r="B948" s="7" t="s">
        <v>3351</v>
      </c>
    </row>
    <row r="949" spans="1:2">
      <c r="A949" s="7" t="s">
        <v>661</v>
      </c>
      <c r="B949" s="7" t="s">
        <v>3354</v>
      </c>
    </row>
    <row r="950" spans="1:2">
      <c r="A950" s="7" t="s">
        <v>664</v>
      </c>
      <c r="B950" s="7" t="s">
        <v>3362</v>
      </c>
    </row>
    <row r="951" spans="1:2">
      <c r="A951" s="7" t="s">
        <v>665</v>
      </c>
      <c r="B951" s="7" t="s">
        <v>3364</v>
      </c>
    </row>
    <row r="952" spans="1:2">
      <c r="A952" s="7" t="s">
        <v>667</v>
      </c>
      <c r="B952" s="7" t="s">
        <v>3366</v>
      </c>
    </row>
    <row r="953" spans="1:2">
      <c r="A953" s="7" t="s">
        <v>668</v>
      </c>
      <c r="B953" s="7" t="s">
        <v>3370</v>
      </c>
    </row>
    <row r="954" spans="1:2">
      <c r="A954" s="7" t="s">
        <v>675</v>
      </c>
      <c r="B954" s="7" t="s">
        <v>3394</v>
      </c>
    </row>
    <row r="955" spans="1:2">
      <c r="A955" s="7" t="s">
        <v>678</v>
      </c>
      <c r="B955" s="7" t="s">
        <v>3403</v>
      </c>
    </row>
    <row r="956" spans="1:2">
      <c r="A956" s="7" t="s">
        <v>680</v>
      </c>
      <c r="B956" s="7" t="s">
        <v>3406</v>
      </c>
    </row>
    <row r="957" spans="1:2">
      <c r="A957" s="7" t="s">
        <v>681</v>
      </c>
      <c r="B957" s="7" t="s">
        <v>3408</v>
      </c>
    </row>
    <row r="958" spans="1:2">
      <c r="A958" s="7" t="s">
        <v>682</v>
      </c>
      <c r="B958" s="7" t="s">
        <v>3410</v>
      </c>
    </row>
    <row r="959" spans="1:2">
      <c r="A959" s="7" t="s">
        <v>684</v>
      </c>
      <c r="B959" s="7" t="s">
        <v>3412</v>
      </c>
    </row>
    <row r="960" spans="1:2">
      <c r="A960" s="7" t="s">
        <v>686</v>
      </c>
      <c r="B960" s="7" t="s">
        <v>3414</v>
      </c>
    </row>
    <row r="961" spans="1:2">
      <c r="A961" s="7" t="s">
        <v>688</v>
      </c>
      <c r="B961" s="7" t="s">
        <v>3416</v>
      </c>
    </row>
    <row r="962" spans="1:2">
      <c r="A962" s="7" t="s">
        <v>689</v>
      </c>
      <c r="B962" s="7" t="s">
        <v>3418</v>
      </c>
    </row>
    <row r="963" spans="1:2">
      <c r="A963" s="7" t="s">
        <v>691</v>
      </c>
      <c r="B963" s="7" t="s">
        <v>3426</v>
      </c>
    </row>
    <row r="964" spans="1:2">
      <c r="A964" s="7" t="s">
        <v>694</v>
      </c>
      <c r="B964" s="7" t="s">
        <v>3429</v>
      </c>
    </row>
    <row r="965" spans="1:2">
      <c r="A965" s="7" t="s">
        <v>696</v>
      </c>
      <c r="B965" s="7" t="s">
        <v>3432</v>
      </c>
    </row>
    <row r="966" spans="1:2">
      <c r="A966" s="7" t="s">
        <v>697</v>
      </c>
      <c r="B966" s="7" t="s">
        <v>3436</v>
      </c>
    </row>
    <row r="967" spans="1:2">
      <c r="A967" s="7" t="s">
        <v>702</v>
      </c>
      <c r="B967" s="7" t="s">
        <v>3450</v>
      </c>
    </row>
    <row r="968" spans="1:2">
      <c r="A968" s="7" t="s">
        <v>704</v>
      </c>
      <c r="B968" s="7" t="s">
        <v>3456</v>
      </c>
    </row>
    <row r="969" spans="1:2">
      <c r="A969" s="7" t="s">
        <v>709</v>
      </c>
      <c r="B969" s="7" t="s">
        <v>3468</v>
      </c>
    </row>
    <row r="970" spans="1:2">
      <c r="A970" s="7" t="s">
        <v>711</v>
      </c>
      <c r="B970" s="7" t="s">
        <v>3471</v>
      </c>
    </row>
    <row r="971" spans="1:2">
      <c r="A971" s="7" t="s">
        <v>715</v>
      </c>
      <c r="B971" s="7" t="s">
        <v>3477</v>
      </c>
    </row>
    <row r="972" spans="1:2">
      <c r="A972" s="7" t="s">
        <v>717</v>
      </c>
      <c r="B972" s="7" t="s">
        <v>3481</v>
      </c>
    </row>
    <row r="973" spans="1:2">
      <c r="A973" s="7" t="s">
        <v>719</v>
      </c>
      <c r="B973" s="7" t="s">
        <v>3485</v>
      </c>
    </row>
    <row r="974" spans="1:2">
      <c r="A974" s="7" t="s">
        <v>720</v>
      </c>
      <c r="B974" s="7" t="s">
        <v>3487</v>
      </c>
    </row>
    <row r="975" spans="1:2">
      <c r="A975" s="7" t="s">
        <v>722</v>
      </c>
      <c r="B975" s="7" t="s">
        <v>3489</v>
      </c>
    </row>
    <row r="976" spans="1:2">
      <c r="A976" s="7" t="s">
        <v>724</v>
      </c>
      <c r="B976" s="7" t="s">
        <v>3491</v>
      </c>
    </row>
    <row r="977" spans="1:2">
      <c r="A977" s="7" t="s">
        <v>725</v>
      </c>
      <c r="B977" s="7" t="s">
        <v>3493</v>
      </c>
    </row>
    <row r="978" spans="1:2">
      <c r="A978" s="7" t="s">
        <v>728</v>
      </c>
      <c r="B978" s="7" t="s">
        <v>3499</v>
      </c>
    </row>
    <row r="979" spans="1:2">
      <c r="A979" s="7" t="s">
        <v>729</v>
      </c>
      <c r="B979" s="7" t="s">
        <v>3502</v>
      </c>
    </row>
    <row r="980" spans="1:2">
      <c r="A980" s="7" t="s">
        <v>730</v>
      </c>
      <c r="B980" s="7" t="s">
        <v>3504</v>
      </c>
    </row>
    <row r="981" spans="1:2">
      <c r="A981" s="7" t="s">
        <v>731</v>
      </c>
      <c r="B981" s="7" t="s">
        <v>3506</v>
      </c>
    </row>
    <row r="982" spans="1:2">
      <c r="A982" s="7" t="s">
        <v>732</v>
      </c>
      <c r="B982" s="7" t="s">
        <v>3508</v>
      </c>
    </row>
    <row r="983" spans="1:2">
      <c r="A983" s="7" t="s">
        <v>737</v>
      </c>
      <c r="B983" s="7" t="s">
        <v>3520</v>
      </c>
    </row>
    <row r="984" spans="1:2">
      <c r="A984" s="7" t="s">
        <v>739</v>
      </c>
      <c r="B984" s="7" t="s">
        <v>3522</v>
      </c>
    </row>
    <row r="985" spans="1:2">
      <c r="A985" s="7" t="s">
        <v>741</v>
      </c>
      <c r="B985" s="7" t="s">
        <v>3525</v>
      </c>
    </row>
    <row r="986" spans="1:2">
      <c r="A986" s="7" t="s">
        <v>742</v>
      </c>
      <c r="B986" s="7" t="s">
        <v>3528</v>
      </c>
    </row>
    <row r="987" spans="1:2">
      <c r="A987" s="7" t="s">
        <v>743</v>
      </c>
      <c r="B987" s="7" t="s">
        <v>3530</v>
      </c>
    </row>
    <row r="988" spans="1:2">
      <c r="A988" s="7" t="s">
        <v>744</v>
      </c>
      <c r="B988" s="7" t="s">
        <v>3532</v>
      </c>
    </row>
    <row r="989" spans="1:2">
      <c r="A989" s="7" t="s">
        <v>745</v>
      </c>
      <c r="B989" s="7" t="s">
        <v>3534</v>
      </c>
    </row>
    <row r="990" spans="1:2">
      <c r="A990" s="7" t="s">
        <v>746</v>
      </c>
      <c r="B990" s="7" t="s">
        <v>3536</v>
      </c>
    </row>
    <row r="991" spans="1:2">
      <c r="A991" s="7" t="s">
        <v>752</v>
      </c>
      <c r="B991" s="7" t="s">
        <v>3549</v>
      </c>
    </row>
    <row r="992" spans="1:2">
      <c r="A992" s="7" t="s">
        <v>756</v>
      </c>
      <c r="B992" s="7" t="s">
        <v>3564</v>
      </c>
    </row>
    <row r="993" spans="1:2">
      <c r="A993" s="7" t="s">
        <v>757</v>
      </c>
      <c r="B993" s="7" t="s">
        <v>3566</v>
      </c>
    </row>
    <row r="994" spans="1:2">
      <c r="A994" s="7" t="s">
        <v>758</v>
      </c>
      <c r="B994" s="7" t="s">
        <v>3568</v>
      </c>
    </row>
    <row r="995" spans="1:2">
      <c r="A995" s="7" t="s">
        <v>759</v>
      </c>
      <c r="B995" s="7" t="s">
        <v>3571</v>
      </c>
    </row>
    <row r="996" spans="1:2">
      <c r="A996" s="7" t="s">
        <v>760</v>
      </c>
      <c r="B996" s="7" t="s">
        <v>3573</v>
      </c>
    </row>
    <row r="997" spans="1:2">
      <c r="A997" s="7" t="s">
        <v>761</v>
      </c>
      <c r="B997" s="7" t="s">
        <v>3575</v>
      </c>
    </row>
    <row r="998" spans="1:2">
      <c r="A998" s="7" t="s">
        <v>762</v>
      </c>
      <c r="B998" s="7" t="s">
        <v>3578</v>
      </c>
    </row>
    <row r="999" spans="1:2">
      <c r="A999" s="7" t="s">
        <v>763</v>
      </c>
      <c r="B999" s="7" t="s">
        <v>3581</v>
      </c>
    </row>
    <row r="1000" spans="1:2">
      <c r="A1000" s="7" t="s">
        <v>765</v>
      </c>
      <c r="B1000" s="7" t="s">
        <v>3583</v>
      </c>
    </row>
    <row r="1001" spans="1:2">
      <c r="A1001" s="7" t="s">
        <v>766</v>
      </c>
      <c r="B1001" s="7" t="s">
        <v>3586</v>
      </c>
    </row>
    <row r="1002" spans="1:2">
      <c r="A1002" s="7" t="s">
        <v>767</v>
      </c>
      <c r="B1002" s="7" t="s">
        <v>3588</v>
      </c>
    </row>
    <row r="1003" spans="1:2">
      <c r="A1003" s="7" t="s">
        <v>770</v>
      </c>
      <c r="B1003" s="7" t="s">
        <v>3598</v>
      </c>
    </row>
    <row r="1004" spans="1:2">
      <c r="A1004" s="7" t="s">
        <v>771</v>
      </c>
      <c r="B1004" s="7" t="s">
        <v>3601</v>
      </c>
    </row>
    <row r="1005" spans="1:2">
      <c r="A1005" s="7" t="s">
        <v>772</v>
      </c>
      <c r="B1005" s="7" t="s">
        <v>3604</v>
      </c>
    </row>
    <row r="1006" spans="1:2">
      <c r="A1006" s="7" t="s">
        <v>773</v>
      </c>
      <c r="B1006" s="7" t="s">
        <v>3606</v>
      </c>
    </row>
    <row r="1007" spans="1:2">
      <c r="A1007" s="7" t="s">
        <v>774</v>
      </c>
      <c r="B1007" s="7" t="s">
        <v>3608</v>
      </c>
    </row>
    <row r="1008" spans="1:2">
      <c r="A1008" s="7" t="s">
        <v>775</v>
      </c>
      <c r="B1008" s="7" t="s">
        <v>3612</v>
      </c>
    </row>
    <row r="1009" spans="1:2">
      <c r="A1009" s="7" t="s">
        <v>776</v>
      </c>
      <c r="B1009" s="7" t="s">
        <v>3614</v>
      </c>
    </row>
    <row r="1010" spans="1:2">
      <c r="A1010" s="7" t="s">
        <v>777</v>
      </c>
      <c r="B1010" s="7" t="s">
        <v>3616</v>
      </c>
    </row>
    <row r="1011" spans="1:2">
      <c r="A1011" s="7" t="s">
        <v>779</v>
      </c>
      <c r="B1011" s="7" t="s">
        <v>3621</v>
      </c>
    </row>
    <row r="1012" spans="1:2">
      <c r="A1012" s="7" t="s">
        <v>782</v>
      </c>
      <c r="B1012" s="7" t="s">
        <v>3633</v>
      </c>
    </row>
    <row r="1013" spans="1:2">
      <c r="A1013" s="7" t="s">
        <v>783</v>
      </c>
      <c r="B1013" s="7" t="s">
        <v>3635</v>
      </c>
    </row>
    <row r="1014" spans="1:2">
      <c r="A1014" s="7" t="s">
        <v>790</v>
      </c>
      <c r="B1014" s="7" t="s">
        <v>3649</v>
      </c>
    </row>
    <row r="1015" spans="1:2">
      <c r="A1015" s="7" t="s">
        <v>794</v>
      </c>
      <c r="B1015" s="7" t="s">
        <v>3659</v>
      </c>
    </row>
    <row r="1016" spans="1:2">
      <c r="A1016" s="7" t="s">
        <v>797</v>
      </c>
      <c r="B1016" s="7" t="s">
        <v>3665</v>
      </c>
    </row>
    <row r="1017" spans="1:2">
      <c r="A1017" s="7" t="s">
        <v>798</v>
      </c>
      <c r="B1017" s="7" t="s">
        <v>3667</v>
      </c>
    </row>
    <row r="1018" spans="1:2">
      <c r="A1018" s="7" t="s">
        <v>799</v>
      </c>
      <c r="B1018" s="7" t="s">
        <v>3669</v>
      </c>
    </row>
    <row r="1019" spans="1:2">
      <c r="A1019" s="7" t="s">
        <v>800</v>
      </c>
      <c r="B1019" s="7" t="s">
        <v>3671</v>
      </c>
    </row>
    <row r="1020" spans="1:2">
      <c r="A1020" s="7" t="s">
        <v>802</v>
      </c>
      <c r="B1020" s="7" t="s">
        <v>3680</v>
      </c>
    </row>
    <row r="1021" spans="1:2">
      <c r="A1021" s="7" t="s">
        <v>804</v>
      </c>
      <c r="B1021" s="7" t="s">
        <v>3685</v>
      </c>
    </row>
    <row r="1022" spans="1:2">
      <c r="A1022" s="7" t="s">
        <v>806</v>
      </c>
      <c r="B1022" s="7" t="s">
        <v>3687</v>
      </c>
    </row>
    <row r="1023" spans="1:2">
      <c r="A1023" s="7" t="s">
        <v>808</v>
      </c>
      <c r="B1023" s="7" t="s">
        <v>3689</v>
      </c>
    </row>
    <row r="1024" spans="1:2">
      <c r="A1024" s="7" t="s">
        <v>809</v>
      </c>
      <c r="B1024" s="7" t="s">
        <v>3692</v>
      </c>
    </row>
    <row r="1025" spans="1:2">
      <c r="A1025" s="7" t="s">
        <v>811</v>
      </c>
      <c r="B1025" s="7" t="s">
        <v>3694</v>
      </c>
    </row>
    <row r="1026" spans="1:2">
      <c r="A1026" s="7" t="s">
        <v>816</v>
      </c>
      <c r="B1026" s="7" t="s">
        <v>3712</v>
      </c>
    </row>
    <row r="1027" spans="1:2">
      <c r="A1027" s="7" t="s">
        <v>818</v>
      </c>
      <c r="B1027" s="7" t="s">
        <v>3715</v>
      </c>
    </row>
    <row r="1028" spans="1:2">
      <c r="A1028" s="7" t="s">
        <v>819</v>
      </c>
      <c r="B1028" s="7" t="s">
        <v>3719</v>
      </c>
    </row>
    <row r="1029" spans="1:2">
      <c r="A1029" s="7" t="s">
        <v>820</v>
      </c>
      <c r="B1029" s="7" t="s">
        <v>3723</v>
      </c>
    </row>
    <row r="1030" spans="1:2">
      <c r="A1030" s="7" t="s">
        <v>823</v>
      </c>
      <c r="B1030" s="7" t="s">
        <v>3730</v>
      </c>
    </row>
    <row r="1031" spans="1:2">
      <c r="A1031" s="7" t="s">
        <v>825</v>
      </c>
      <c r="B1031" s="7" t="s">
        <v>3732</v>
      </c>
    </row>
    <row r="1032" spans="1:2">
      <c r="A1032" s="7" t="s">
        <v>827</v>
      </c>
      <c r="B1032" s="7" t="s">
        <v>3735</v>
      </c>
    </row>
    <row r="1033" spans="1:2">
      <c r="A1033" s="7" t="s">
        <v>833</v>
      </c>
      <c r="B1033" s="7" t="s">
        <v>3743</v>
      </c>
    </row>
    <row r="1034" spans="1:2">
      <c r="A1034" s="7" t="s">
        <v>837</v>
      </c>
      <c r="B1034" s="7" t="s">
        <v>3749</v>
      </c>
    </row>
    <row r="1035" spans="1:2">
      <c r="A1035" s="7" t="s">
        <v>838</v>
      </c>
      <c r="B1035" s="7" t="s">
        <v>3752</v>
      </c>
    </row>
    <row r="1036" spans="1:2">
      <c r="A1036" s="7" t="s">
        <v>839</v>
      </c>
      <c r="B1036" s="7" t="s">
        <v>3754</v>
      </c>
    </row>
    <row r="1037" spans="1:2">
      <c r="A1037" s="7" t="s">
        <v>840</v>
      </c>
      <c r="B1037" s="7" t="s">
        <v>3756</v>
      </c>
    </row>
    <row r="1038" spans="1:2">
      <c r="A1038" s="7" t="s">
        <v>841</v>
      </c>
      <c r="B1038" s="7" t="s">
        <v>3758</v>
      </c>
    </row>
    <row r="1039" spans="1:2">
      <c r="A1039" s="7" t="s">
        <v>842</v>
      </c>
      <c r="B1039" s="7" t="s">
        <v>3761</v>
      </c>
    </row>
    <row r="1040" spans="1:2">
      <c r="A1040" s="7" t="s">
        <v>844</v>
      </c>
      <c r="B1040" s="7" t="s">
        <v>3764</v>
      </c>
    </row>
    <row r="1041" spans="1:2">
      <c r="A1041" s="7" t="s">
        <v>846</v>
      </c>
      <c r="B1041" s="7" t="s">
        <v>3766</v>
      </c>
    </row>
    <row r="1042" spans="1:2">
      <c r="A1042" s="7" t="s">
        <v>848</v>
      </c>
      <c r="B1042" s="7" t="s">
        <v>3769</v>
      </c>
    </row>
    <row r="1043" spans="1:2">
      <c r="A1043" s="7" t="s">
        <v>849</v>
      </c>
      <c r="B1043" s="7" t="s">
        <v>3771</v>
      </c>
    </row>
    <row r="1044" spans="1:2">
      <c r="A1044" s="7" t="s">
        <v>850</v>
      </c>
      <c r="B1044" s="7" t="s">
        <v>3773</v>
      </c>
    </row>
    <row r="1045" spans="1:2">
      <c r="A1045" s="7" t="s">
        <v>852</v>
      </c>
      <c r="B1045" s="7" t="s">
        <v>3780</v>
      </c>
    </row>
    <row r="1046" spans="1:2">
      <c r="A1046" s="7" t="s">
        <v>854</v>
      </c>
      <c r="B1046" s="7" t="s">
        <v>3785</v>
      </c>
    </row>
    <row r="1047" spans="1:2">
      <c r="A1047" s="7" t="s">
        <v>855</v>
      </c>
      <c r="B1047" s="7" t="s">
        <v>3789</v>
      </c>
    </row>
    <row r="1048" spans="1:2">
      <c r="A1048" s="7" t="s">
        <v>856</v>
      </c>
      <c r="B1048" s="7" t="s">
        <v>3791</v>
      </c>
    </row>
    <row r="1049" spans="1:2">
      <c r="A1049" s="7" t="s">
        <v>857</v>
      </c>
      <c r="B1049" s="7" t="s">
        <v>3794</v>
      </c>
    </row>
    <row r="1050" spans="1:2">
      <c r="A1050" s="7" t="s">
        <v>858</v>
      </c>
      <c r="B1050" s="7" t="s">
        <v>3797</v>
      </c>
    </row>
    <row r="1051" spans="1:2">
      <c r="A1051" s="7" t="s">
        <v>859</v>
      </c>
      <c r="B1051" s="7" t="s">
        <v>3799</v>
      </c>
    </row>
    <row r="1052" spans="1:2">
      <c r="A1052" s="7" t="s">
        <v>860</v>
      </c>
      <c r="B1052" s="7" t="s">
        <v>3801</v>
      </c>
    </row>
    <row r="1053" spans="1:2">
      <c r="A1053" s="7" t="s">
        <v>861</v>
      </c>
      <c r="B1053" s="7" t="s">
        <v>3803</v>
      </c>
    </row>
    <row r="1054" spans="1:2">
      <c r="A1054" s="7" t="s">
        <v>862</v>
      </c>
      <c r="B1054" s="7" t="s">
        <v>3806</v>
      </c>
    </row>
    <row r="1055" spans="1:2">
      <c r="A1055" s="7" t="s">
        <v>865</v>
      </c>
      <c r="B1055" s="7" t="s">
        <v>3818</v>
      </c>
    </row>
    <row r="1056" spans="1:2">
      <c r="A1056" s="7" t="s">
        <v>868</v>
      </c>
      <c r="B1056" s="7" t="s">
        <v>3821</v>
      </c>
    </row>
    <row r="1057" spans="1:2">
      <c r="A1057" s="7" t="s">
        <v>869</v>
      </c>
      <c r="B1057" s="7" t="s">
        <v>3825</v>
      </c>
    </row>
    <row r="1058" spans="1:2">
      <c r="A1058" s="7" t="s">
        <v>871</v>
      </c>
      <c r="B1058" s="7" t="s">
        <v>3832</v>
      </c>
    </row>
    <row r="1059" spans="1:2">
      <c r="A1059" s="7" t="s">
        <v>875</v>
      </c>
      <c r="B1059" s="7" t="s">
        <v>3842</v>
      </c>
    </row>
    <row r="1060" spans="1:2">
      <c r="A1060" s="7" t="s">
        <v>876</v>
      </c>
      <c r="B1060" s="7" t="s">
        <v>3844</v>
      </c>
    </row>
    <row r="1061" spans="1:2">
      <c r="A1061" s="7" t="s">
        <v>879</v>
      </c>
      <c r="B1061" s="7" t="s">
        <v>3847</v>
      </c>
    </row>
    <row r="1062" spans="1:2">
      <c r="A1062" s="7" t="s">
        <v>882</v>
      </c>
      <c r="B1062" s="7" t="s">
        <v>3852</v>
      </c>
    </row>
    <row r="1063" spans="1:2">
      <c r="A1063" s="7" t="s">
        <v>884</v>
      </c>
      <c r="B1063" s="7" t="s">
        <v>3858</v>
      </c>
    </row>
    <row r="1064" spans="1:2">
      <c r="A1064" s="7" t="s">
        <v>886</v>
      </c>
      <c r="B1064" s="7" t="s">
        <v>3865</v>
      </c>
    </row>
    <row r="1065" spans="1:2">
      <c r="A1065" s="7" t="s">
        <v>887</v>
      </c>
      <c r="B1065" s="7" t="s">
        <v>3867</v>
      </c>
    </row>
    <row r="1066" spans="1:2">
      <c r="A1066" s="7" t="s">
        <v>888</v>
      </c>
      <c r="B1066" s="7" t="s">
        <v>3869</v>
      </c>
    </row>
    <row r="1067" spans="1:2">
      <c r="A1067" s="7" t="s">
        <v>890</v>
      </c>
      <c r="B1067" s="7" t="s">
        <v>3875</v>
      </c>
    </row>
    <row r="1068" spans="1:2">
      <c r="A1068" s="7" t="s">
        <v>893</v>
      </c>
      <c r="B1068" s="7" t="s">
        <v>3882</v>
      </c>
    </row>
    <row r="1069" spans="1:2">
      <c r="A1069" s="7" t="s">
        <v>903</v>
      </c>
      <c r="B1069" s="7" t="s">
        <v>3904</v>
      </c>
    </row>
    <row r="1070" spans="1:2">
      <c r="A1070" s="7" t="s">
        <v>910</v>
      </c>
      <c r="B1070" s="7" t="s">
        <v>3919</v>
      </c>
    </row>
    <row r="1071" spans="1:2">
      <c r="A1071" s="7" t="s">
        <v>911</v>
      </c>
      <c r="B1071" s="7" t="s">
        <v>3922</v>
      </c>
    </row>
    <row r="1072" spans="1:2">
      <c r="A1072" s="7" t="s">
        <v>912</v>
      </c>
      <c r="B1072" s="7" t="s">
        <v>3925</v>
      </c>
    </row>
    <row r="1073" spans="1:2">
      <c r="A1073" s="7" t="s">
        <v>914</v>
      </c>
      <c r="B1073" s="7" t="s">
        <v>3931</v>
      </c>
    </row>
    <row r="1074" spans="1:2">
      <c r="A1074" s="7" t="s">
        <v>915</v>
      </c>
      <c r="B1074" s="7" t="s">
        <v>3933</v>
      </c>
    </row>
    <row r="1075" spans="1:2">
      <c r="A1075" s="7" t="s">
        <v>916</v>
      </c>
      <c r="B1075" s="7" t="s">
        <v>3935</v>
      </c>
    </row>
    <row r="1076" spans="1:2">
      <c r="A1076" s="7" t="s">
        <v>917</v>
      </c>
      <c r="B1076" s="7" t="s">
        <v>3938</v>
      </c>
    </row>
    <row r="1077" spans="1:2">
      <c r="A1077" s="7" t="s">
        <v>918</v>
      </c>
      <c r="B1077" s="7" t="s">
        <v>3942</v>
      </c>
    </row>
    <row r="1078" spans="1:2">
      <c r="A1078" s="7" t="s">
        <v>919</v>
      </c>
      <c r="B1078" s="7" t="s">
        <v>3945</v>
      </c>
    </row>
    <row r="1079" spans="1:2">
      <c r="A1079" s="7" t="s">
        <v>920</v>
      </c>
      <c r="B1079" s="7" t="s">
        <v>3947</v>
      </c>
    </row>
    <row r="1080" spans="1:2">
      <c r="A1080" s="7" t="s">
        <v>921</v>
      </c>
      <c r="B1080" s="7" t="s">
        <v>3949</v>
      </c>
    </row>
    <row r="1081" spans="1:2">
      <c r="A1081" s="7" t="s">
        <v>925</v>
      </c>
      <c r="B1081" s="7" t="s">
        <v>3960</v>
      </c>
    </row>
    <row r="1082" spans="1:2">
      <c r="A1082" s="7" t="s">
        <v>926</v>
      </c>
      <c r="B1082" s="7" t="s">
        <v>3962</v>
      </c>
    </row>
    <row r="1083" spans="1:2">
      <c r="A1083" s="7" t="s">
        <v>928</v>
      </c>
      <c r="B1083" s="7" t="s">
        <v>3964</v>
      </c>
    </row>
    <row r="1084" spans="1:2">
      <c r="A1084" s="7" t="s">
        <v>929</v>
      </c>
      <c r="B1084" s="7" t="s">
        <v>3967</v>
      </c>
    </row>
    <row r="1085" spans="1:2">
      <c r="A1085" s="7" t="s">
        <v>930</v>
      </c>
      <c r="B1085" s="7" t="s">
        <v>3971</v>
      </c>
    </row>
    <row r="1086" spans="1:2">
      <c r="A1086" s="7" t="s">
        <v>931</v>
      </c>
      <c r="B1086" s="7" t="s">
        <v>3973</v>
      </c>
    </row>
    <row r="1087" spans="1:2">
      <c r="A1087" s="7" t="s">
        <v>932</v>
      </c>
      <c r="B1087" s="7" t="s">
        <v>3977</v>
      </c>
    </row>
    <row r="1088" spans="1:2">
      <c r="A1088" s="7" t="s">
        <v>933</v>
      </c>
      <c r="B1088" s="7" t="s">
        <v>3980</v>
      </c>
    </row>
    <row r="1089" spans="1:2">
      <c r="A1089" s="7" t="s">
        <v>937</v>
      </c>
      <c r="B1089" s="7" t="s">
        <v>3989</v>
      </c>
    </row>
    <row r="1090" spans="1:2">
      <c r="A1090" s="7" t="s">
        <v>938</v>
      </c>
      <c r="B1090" s="7" t="s">
        <v>3992</v>
      </c>
    </row>
    <row r="1091" spans="1:2">
      <c r="A1091" s="7" t="s">
        <v>939</v>
      </c>
      <c r="B1091" s="7" t="s">
        <v>3994</v>
      </c>
    </row>
    <row r="1092" spans="1:2">
      <c r="A1092" s="7" t="s">
        <v>941</v>
      </c>
      <c r="B1092" s="7" t="s">
        <v>3997</v>
      </c>
    </row>
    <row r="1093" spans="1:2">
      <c r="A1093" s="7" t="s">
        <v>942</v>
      </c>
      <c r="B1093" s="7" t="s">
        <v>4001</v>
      </c>
    </row>
    <row r="1094" spans="1:2">
      <c r="A1094" s="7" t="s">
        <v>943</v>
      </c>
      <c r="B1094" s="7" t="s">
        <v>4005</v>
      </c>
    </row>
    <row r="1095" spans="1:2">
      <c r="A1095" s="7" t="s">
        <v>944</v>
      </c>
      <c r="B1095" s="7" t="s">
        <v>4007</v>
      </c>
    </row>
    <row r="1096" spans="1:2">
      <c r="A1096" s="7" t="s">
        <v>945</v>
      </c>
      <c r="B1096" s="7" t="s">
        <v>4010</v>
      </c>
    </row>
    <row r="1097" spans="1:2">
      <c r="A1097" s="7" t="s">
        <v>947</v>
      </c>
      <c r="B1097" s="7" t="s">
        <v>4014</v>
      </c>
    </row>
    <row r="1098" spans="1:2">
      <c r="A1098" s="7" t="s">
        <v>948</v>
      </c>
      <c r="B1098" s="7" t="s">
        <v>4016</v>
      </c>
    </row>
    <row r="1099" spans="1:2">
      <c r="A1099" s="7" t="s">
        <v>952</v>
      </c>
      <c r="B1099" s="7" t="s">
        <v>4020</v>
      </c>
    </row>
    <row r="1100" spans="1:2">
      <c r="A1100" s="7" t="s">
        <v>953</v>
      </c>
      <c r="B1100" s="7" t="s">
        <v>4022</v>
      </c>
    </row>
    <row r="1101" spans="1:2">
      <c r="A1101" s="7" t="s">
        <v>955</v>
      </c>
      <c r="B1101" s="7" t="s">
        <v>4027</v>
      </c>
    </row>
    <row r="1102" spans="1:2">
      <c r="A1102" s="7" t="s">
        <v>957</v>
      </c>
      <c r="B1102" s="7" t="s">
        <v>4029</v>
      </c>
    </row>
    <row r="1103" spans="1:2">
      <c r="A1103" s="7" t="s">
        <v>959</v>
      </c>
      <c r="B1103" s="7" t="s">
        <v>4031</v>
      </c>
    </row>
    <row r="1104" spans="1:2">
      <c r="A1104" s="7" t="s">
        <v>960</v>
      </c>
      <c r="B1104" s="7" t="s">
        <v>4033</v>
      </c>
    </row>
    <row r="1105" spans="1:2">
      <c r="A1105" s="7" t="s">
        <v>961</v>
      </c>
      <c r="B1105" s="7" t="s">
        <v>4035</v>
      </c>
    </row>
    <row r="1106" spans="1:2">
      <c r="A1106" s="7" t="s">
        <v>964</v>
      </c>
      <c r="B1106" s="7" t="s">
        <v>4040</v>
      </c>
    </row>
    <row r="1107" spans="1:2">
      <c r="A1107" s="7" t="s">
        <v>965</v>
      </c>
      <c r="B1107" s="7" t="s">
        <v>4043</v>
      </c>
    </row>
    <row r="1108" spans="1:2">
      <c r="A1108" s="7" t="s">
        <v>967</v>
      </c>
      <c r="B1108" s="7" t="s">
        <v>4049</v>
      </c>
    </row>
    <row r="1109" spans="1:2">
      <c r="A1109" s="7" t="s">
        <v>969</v>
      </c>
      <c r="B1109" s="7" t="s">
        <v>4052</v>
      </c>
    </row>
    <row r="1110" spans="1:2">
      <c r="A1110" s="7" t="s">
        <v>970</v>
      </c>
      <c r="B1110" s="7" t="s">
        <v>4055</v>
      </c>
    </row>
    <row r="1111" spans="1:2">
      <c r="A1111" s="7" t="s">
        <v>971</v>
      </c>
      <c r="B1111" s="7" t="s">
        <v>4057</v>
      </c>
    </row>
    <row r="1112" spans="1:2">
      <c r="A1112" s="7" t="s">
        <v>972</v>
      </c>
      <c r="B1112" s="7" t="s">
        <v>4059</v>
      </c>
    </row>
    <row r="1113" spans="1:2">
      <c r="A1113" s="7" t="s">
        <v>973</v>
      </c>
      <c r="B1113" s="7" t="s">
        <v>4063</v>
      </c>
    </row>
    <row r="1114" spans="1:2">
      <c r="A1114" s="7" t="s">
        <v>976</v>
      </c>
      <c r="B1114" s="7" t="s">
        <v>4068</v>
      </c>
    </row>
    <row r="1115" spans="1:2">
      <c r="A1115" s="7" t="s">
        <v>977</v>
      </c>
      <c r="B1115" s="7" t="s">
        <v>4070</v>
      </c>
    </row>
    <row r="1116" spans="1:2">
      <c r="A1116" s="7" t="s">
        <v>979</v>
      </c>
      <c r="B1116" s="7" t="s">
        <v>4075</v>
      </c>
    </row>
    <row r="1117" spans="1:2">
      <c r="A1117" s="7" t="s">
        <v>980</v>
      </c>
      <c r="B1117" s="7" t="s">
        <v>4077</v>
      </c>
    </row>
    <row r="1118" spans="1:2">
      <c r="A1118" s="7" t="s">
        <v>982</v>
      </c>
      <c r="B1118" s="7" t="s">
        <v>4082</v>
      </c>
    </row>
    <row r="1119" spans="1:2">
      <c r="A1119" s="7" t="s">
        <v>983</v>
      </c>
      <c r="B1119" s="7" t="s">
        <v>4084</v>
      </c>
    </row>
    <row r="1120" spans="1:2">
      <c r="A1120" s="7" t="s">
        <v>984</v>
      </c>
      <c r="B1120" s="7" t="s">
        <v>4087</v>
      </c>
    </row>
    <row r="1121" spans="1:2">
      <c r="A1121" s="7" t="s">
        <v>985</v>
      </c>
      <c r="B1121" s="7" t="s">
        <v>4091</v>
      </c>
    </row>
    <row r="1122" spans="1:2">
      <c r="A1122" s="7" t="s">
        <v>987</v>
      </c>
      <c r="B1122" s="7" t="s">
        <v>4096</v>
      </c>
    </row>
    <row r="1123" spans="1:2">
      <c r="A1123" s="7" t="s">
        <v>988</v>
      </c>
      <c r="B1123" s="7" t="s">
        <v>4099</v>
      </c>
    </row>
    <row r="1124" spans="1:2">
      <c r="A1124" s="7" t="s">
        <v>993</v>
      </c>
      <c r="B1124" s="7" t="s">
        <v>4110</v>
      </c>
    </row>
    <row r="1125" spans="1:2">
      <c r="A1125" s="7" t="s">
        <v>994</v>
      </c>
      <c r="B1125" s="7" t="s">
        <v>4113</v>
      </c>
    </row>
    <row r="1126" spans="1:2">
      <c r="A1126" s="7" t="s">
        <v>997</v>
      </c>
      <c r="B1126" s="7" t="s">
        <v>4120</v>
      </c>
    </row>
    <row r="1127" spans="1:2">
      <c r="A1127" s="7" t="s">
        <v>998</v>
      </c>
      <c r="B1127" s="7" t="s">
        <v>4122</v>
      </c>
    </row>
    <row r="1128" spans="1:2">
      <c r="A1128" s="7" t="s">
        <v>999</v>
      </c>
      <c r="B1128" s="7" t="s">
        <v>4126</v>
      </c>
    </row>
    <row r="1129" spans="1:2">
      <c r="A1129" s="7" t="s">
        <v>1001</v>
      </c>
      <c r="B1129" s="7" t="s">
        <v>4134</v>
      </c>
    </row>
    <row r="1130" spans="1:2">
      <c r="A1130" s="7" t="s">
        <v>1002</v>
      </c>
      <c r="B1130" s="7" t="s">
        <v>4136</v>
      </c>
    </row>
    <row r="1131" spans="1:2">
      <c r="A1131" s="7" t="s">
        <v>1008</v>
      </c>
      <c r="B1131" s="7" t="s">
        <v>4145</v>
      </c>
    </row>
    <row r="1132" spans="1:2">
      <c r="A1132" s="7" t="s">
        <v>110</v>
      </c>
      <c r="B1132" s="7" t="s">
        <v>4148</v>
      </c>
    </row>
    <row r="1133" spans="1:2">
      <c r="A1133" s="7" t="s">
        <v>1010</v>
      </c>
      <c r="B1133" s="7" t="s">
        <v>4152</v>
      </c>
    </row>
    <row r="1134" spans="1:2">
      <c r="A1134" s="7" t="s">
        <v>1011</v>
      </c>
      <c r="B1134" s="7" t="s">
        <v>4156</v>
      </c>
    </row>
    <row r="1135" spans="1:2">
      <c r="A1135" s="7" t="s">
        <v>1013</v>
      </c>
      <c r="B1135" s="7" t="s">
        <v>4160</v>
      </c>
    </row>
    <row r="1136" spans="1:2">
      <c r="A1136" s="7" t="s">
        <v>1014</v>
      </c>
      <c r="B1136" s="7" t="s">
        <v>4163</v>
      </c>
    </row>
    <row r="1137" spans="1:2">
      <c r="A1137" s="7" t="s">
        <v>1016</v>
      </c>
      <c r="B1137" s="7" t="s">
        <v>4166</v>
      </c>
    </row>
    <row r="1138" spans="1:2">
      <c r="A1138" s="7" t="s">
        <v>1017</v>
      </c>
      <c r="B1138" s="7" t="s">
        <v>4170</v>
      </c>
    </row>
    <row r="1139" spans="1:2">
      <c r="A1139" s="7" t="s">
        <v>1020</v>
      </c>
      <c r="B1139" s="7" t="s">
        <v>4175</v>
      </c>
    </row>
    <row r="1140" spans="1:2">
      <c r="A1140" s="7" t="s">
        <v>1021</v>
      </c>
      <c r="B1140" s="7" t="s">
        <v>4177</v>
      </c>
    </row>
    <row r="1141" spans="1:2">
      <c r="A1141" s="7" t="s">
        <v>1022</v>
      </c>
      <c r="B1141" s="7" t="s">
        <v>4179</v>
      </c>
    </row>
    <row r="1142" spans="1:2">
      <c r="A1142" s="7" t="s">
        <v>1023</v>
      </c>
      <c r="B1142" s="7" t="s">
        <v>4182</v>
      </c>
    </row>
    <row r="1143" spans="1:2">
      <c r="A1143" s="7" t="s">
        <v>1024</v>
      </c>
      <c r="B1143" s="7" t="s">
        <v>4186</v>
      </c>
    </row>
    <row r="1144" spans="1:2">
      <c r="A1144" s="7" t="s">
        <v>1032</v>
      </c>
      <c r="B1144" s="7" t="s">
        <v>4205</v>
      </c>
    </row>
    <row r="1145" spans="1:2">
      <c r="A1145" s="7" t="s">
        <v>1034</v>
      </c>
      <c r="B1145" s="7" t="s">
        <v>4211</v>
      </c>
    </row>
    <row r="1146" spans="1:2">
      <c r="A1146" s="7" t="s">
        <v>1037</v>
      </c>
      <c r="B1146" s="7" t="s">
        <v>4216</v>
      </c>
    </row>
    <row r="1147" spans="1:2">
      <c r="A1147" s="7" t="s">
        <v>1038</v>
      </c>
      <c r="B1147" s="7" t="s">
        <v>4220</v>
      </c>
    </row>
    <row r="1148" spans="1:2">
      <c r="A1148" s="7" t="s">
        <v>1039</v>
      </c>
      <c r="B1148" s="7" t="s">
        <v>4222</v>
      </c>
    </row>
    <row r="1149" spans="1:2">
      <c r="A1149" s="7" t="s">
        <v>1040</v>
      </c>
      <c r="B1149" s="7" t="s">
        <v>4224</v>
      </c>
    </row>
    <row r="1150" spans="1:2">
      <c r="A1150" s="7" t="s">
        <v>1043</v>
      </c>
      <c r="B1150" s="7" t="s">
        <v>4227</v>
      </c>
    </row>
    <row r="1151" spans="1:2">
      <c r="A1151" s="7" t="s">
        <v>1046</v>
      </c>
      <c r="B1151" s="7" t="s">
        <v>4236</v>
      </c>
    </row>
    <row r="1152" spans="1:2">
      <c r="A1152" s="7" t="s">
        <v>1047</v>
      </c>
      <c r="B1152" s="7" t="s">
        <v>4239</v>
      </c>
    </row>
    <row r="1153" spans="1:2">
      <c r="A1153" s="7" t="s">
        <v>1048</v>
      </c>
      <c r="B1153" s="7" t="s">
        <v>4241</v>
      </c>
    </row>
    <row r="1154" spans="1:2">
      <c r="A1154" s="7" t="s">
        <v>1050</v>
      </c>
      <c r="B1154" s="7" t="s">
        <v>4243</v>
      </c>
    </row>
    <row r="1155" spans="1:2">
      <c r="A1155" s="7" t="s">
        <v>1051</v>
      </c>
      <c r="B1155" s="7" t="s">
        <v>4245</v>
      </c>
    </row>
    <row r="1156" spans="1:2">
      <c r="A1156" s="7" t="s">
        <v>1052</v>
      </c>
      <c r="B1156" s="7" t="s">
        <v>4247</v>
      </c>
    </row>
    <row r="1157" spans="1:2">
      <c r="A1157" s="7" t="s">
        <v>1053</v>
      </c>
      <c r="B1157" s="7" t="s">
        <v>4249</v>
      </c>
    </row>
    <row r="1158" spans="1:2">
      <c r="A1158" s="7" t="s">
        <v>1056</v>
      </c>
      <c r="B1158" s="7" t="s">
        <v>4257</v>
      </c>
    </row>
    <row r="1159" spans="1:2">
      <c r="A1159" s="7" t="s">
        <v>1057</v>
      </c>
      <c r="B1159" s="7" t="s">
        <v>4259</v>
      </c>
    </row>
    <row r="1160" spans="1:2">
      <c r="A1160" s="7" t="s">
        <v>1058</v>
      </c>
      <c r="B1160" s="7" t="s">
        <v>4261</v>
      </c>
    </row>
    <row r="1161" spans="1:2">
      <c r="A1161" s="7" t="s">
        <v>1060</v>
      </c>
      <c r="B1161" s="7" t="s">
        <v>4264</v>
      </c>
    </row>
    <row r="1162" spans="1:2">
      <c r="A1162" s="7" t="s">
        <v>1061</v>
      </c>
      <c r="B1162" s="7" t="s">
        <v>4267</v>
      </c>
    </row>
    <row r="1163" spans="1:2">
      <c r="A1163" s="7" t="s">
        <v>1062</v>
      </c>
      <c r="B1163" s="7" t="s">
        <v>4269</v>
      </c>
    </row>
    <row r="1164" spans="1:2">
      <c r="A1164" s="7" t="s">
        <v>1063</v>
      </c>
      <c r="B1164" s="7" t="s">
        <v>4271</v>
      </c>
    </row>
    <row r="1165" spans="1:2">
      <c r="A1165" s="7" t="s">
        <v>1064</v>
      </c>
      <c r="B1165" s="7" t="s">
        <v>4273</v>
      </c>
    </row>
    <row r="1166" spans="1:2">
      <c r="A1166" s="7" t="s">
        <v>1065</v>
      </c>
      <c r="B1166" s="7" t="s">
        <v>4275</v>
      </c>
    </row>
    <row r="1167" spans="1:2">
      <c r="A1167" s="7" t="s">
        <v>1066</v>
      </c>
      <c r="B1167" s="7" t="s">
        <v>4277</v>
      </c>
    </row>
    <row r="1168" spans="1:2">
      <c r="A1168" s="7" t="s">
        <v>1067</v>
      </c>
      <c r="B1168" s="7" t="s">
        <v>4280</v>
      </c>
    </row>
    <row r="1169" spans="1:2">
      <c r="A1169" s="7" t="s">
        <v>1068</v>
      </c>
      <c r="B1169" s="7" t="s">
        <v>4283</v>
      </c>
    </row>
    <row r="1170" spans="1:2">
      <c r="A1170" s="7" t="s">
        <v>1069</v>
      </c>
      <c r="B1170" s="7" t="s">
        <v>4286</v>
      </c>
    </row>
    <row r="1171" spans="1:2">
      <c r="A1171" s="7" t="s">
        <v>1070</v>
      </c>
      <c r="B1171" s="7" t="s">
        <v>4288</v>
      </c>
    </row>
    <row r="1172" spans="1:2">
      <c r="A1172" s="7" t="s">
        <v>1075</v>
      </c>
      <c r="B1172" s="7" t="s">
        <v>4302</v>
      </c>
    </row>
    <row r="1173" spans="1:2">
      <c r="A1173" s="7" t="s">
        <v>1079</v>
      </c>
      <c r="B1173" s="7" t="s">
        <v>4314</v>
      </c>
    </row>
    <row r="1174" spans="1:2">
      <c r="A1174" s="7" t="s">
        <v>1080</v>
      </c>
      <c r="B1174" s="7" t="s">
        <v>4317</v>
      </c>
    </row>
    <row r="1175" spans="1:2">
      <c r="A1175" s="7" t="s">
        <v>1081</v>
      </c>
      <c r="B1175" s="7" t="s">
        <v>4320</v>
      </c>
    </row>
    <row r="1176" spans="1:2">
      <c r="A1176" s="7" t="s">
        <v>1083</v>
      </c>
      <c r="B1176" s="7" t="s">
        <v>4323</v>
      </c>
    </row>
    <row r="1177" spans="1:2">
      <c r="A1177" s="7" t="s">
        <v>1085</v>
      </c>
      <c r="B1177" s="7" t="s">
        <v>4328</v>
      </c>
    </row>
    <row r="1178" spans="1:2">
      <c r="A1178" s="7" t="s">
        <v>1086</v>
      </c>
      <c r="B1178" s="7" t="s">
        <v>4330</v>
      </c>
    </row>
    <row r="1179" spans="1:2">
      <c r="A1179" s="7" t="s">
        <v>1088</v>
      </c>
      <c r="B1179" s="7" t="s">
        <v>4332</v>
      </c>
    </row>
    <row r="1180" spans="1:2">
      <c r="A1180" s="7" t="s">
        <v>1093</v>
      </c>
      <c r="B1180" s="7" t="s">
        <v>4345</v>
      </c>
    </row>
    <row r="1181" spans="1:2">
      <c r="A1181" s="7" t="s">
        <v>1094</v>
      </c>
      <c r="B1181" s="7" t="s">
        <v>4349</v>
      </c>
    </row>
    <row r="1182" spans="1:2">
      <c r="A1182" s="7" t="s">
        <v>1095</v>
      </c>
      <c r="B1182" s="7" t="s">
        <v>4353</v>
      </c>
    </row>
    <row r="1183" spans="1:2">
      <c r="A1183" s="7" t="s">
        <v>1096</v>
      </c>
      <c r="B1183" s="7" t="s">
        <v>4356</v>
      </c>
    </row>
    <row r="1184" spans="1:2">
      <c r="A1184" s="7" t="s">
        <v>1100</v>
      </c>
      <c r="B1184" s="7" t="s">
        <v>4365</v>
      </c>
    </row>
    <row r="1185" spans="1:2">
      <c r="A1185" s="7" t="s">
        <v>1101</v>
      </c>
      <c r="B1185" s="7" t="s">
        <v>4367</v>
      </c>
    </row>
    <row r="1186" spans="1:2">
      <c r="A1186" s="7" t="s">
        <v>1107</v>
      </c>
      <c r="B1186" s="7" t="s">
        <v>4376</v>
      </c>
    </row>
    <row r="1187" spans="1:2">
      <c r="A1187" s="7" t="s">
        <v>1109</v>
      </c>
      <c r="B1187" s="7" t="s">
        <v>4378</v>
      </c>
    </row>
    <row r="1188" spans="1:2">
      <c r="A1188" s="7" t="s">
        <v>1110</v>
      </c>
      <c r="B1188" s="7" t="s">
        <v>4380</v>
      </c>
    </row>
    <row r="1189" spans="1:2">
      <c r="A1189" s="7" t="s">
        <v>1111</v>
      </c>
      <c r="B1189" s="7" t="s">
        <v>4382</v>
      </c>
    </row>
    <row r="1190" spans="1:2">
      <c r="A1190" s="7" t="s">
        <v>1112</v>
      </c>
      <c r="B1190" s="7" t="s">
        <v>4384</v>
      </c>
    </row>
    <row r="1191" spans="1:2">
      <c r="A1191" s="7" t="s">
        <v>1114</v>
      </c>
      <c r="B1191" s="7" t="s">
        <v>4386</v>
      </c>
    </row>
    <row r="1192" spans="1:2">
      <c r="A1192" s="7" t="s">
        <v>1124</v>
      </c>
      <c r="B1192" s="7" t="s">
        <v>4404</v>
      </c>
    </row>
    <row r="1193" spans="1:2">
      <c r="A1193" s="7" t="s">
        <v>1126</v>
      </c>
      <c r="B1193" s="7" t="s">
        <v>4406</v>
      </c>
    </row>
    <row r="1194" spans="1:2">
      <c r="A1194" s="7" t="s">
        <v>1128</v>
      </c>
      <c r="B1194" s="7" t="s">
        <v>4408</v>
      </c>
    </row>
    <row r="1195" spans="1:2">
      <c r="A1195" s="7" t="s">
        <v>1129</v>
      </c>
      <c r="B1195" s="7" t="s">
        <v>4411</v>
      </c>
    </row>
    <row r="1196" spans="1:2">
      <c r="A1196" s="7" t="s">
        <v>1131</v>
      </c>
      <c r="B1196" s="7" t="s">
        <v>4415</v>
      </c>
    </row>
    <row r="1197" spans="1:2">
      <c r="A1197" s="7" t="s">
        <v>1132</v>
      </c>
      <c r="B1197" s="7" t="s">
        <v>4419</v>
      </c>
    </row>
    <row r="1198" spans="1:2">
      <c r="A1198" s="7" t="s">
        <v>1133</v>
      </c>
      <c r="B1198" s="7" t="s">
        <v>4422</v>
      </c>
    </row>
    <row r="1199" spans="1:2">
      <c r="A1199" s="7" t="s">
        <v>1137</v>
      </c>
      <c r="B1199" s="7" t="s">
        <v>4432</v>
      </c>
    </row>
    <row r="1200" spans="1:2">
      <c r="A1200" s="7" t="s">
        <v>1138</v>
      </c>
      <c r="B1200" s="7" t="s">
        <v>4435</v>
      </c>
    </row>
    <row r="1201" spans="1:2">
      <c r="A1201" s="7" t="s">
        <v>1139</v>
      </c>
      <c r="B1201" s="7" t="s">
        <v>4437</v>
      </c>
    </row>
    <row r="1202" spans="1:2">
      <c r="A1202" s="7" t="s">
        <v>1140</v>
      </c>
      <c r="B1202" s="7" t="s">
        <v>4439</v>
      </c>
    </row>
    <row r="1203" spans="1:2">
      <c r="A1203" s="7" t="s">
        <v>1142</v>
      </c>
      <c r="B1203" s="7" t="s">
        <v>4445</v>
      </c>
    </row>
    <row r="1204" spans="1:2">
      <c r="A1204" s="7" t="s">
        <v>1144</v>
      </c>
      <c r="B1204" s="7" t="s">
        <v>4449</v>
      </c>
    </row>
    <row r="1205" spans="1:2">
      <c r="A1205" s="7" t="s">
        <v>1150</v>
      </c>
      <c r="B1205" s="7" t="s">
        <v>4461</v>
      </c>
    </row>
    <row r="1206" spans="1:2">
      <c r="A1206" s="7" t="s">
        <v>1152</v>
      </c>
      <c r="B1206" s="7" t="s">
        <v>4463</v>
      </c>
    </row>
    <row r="1207" spans="1:2">
      <c r="A1207" s="7" t="s">
        <v>1154</v>
      </c>
      <c r="B1207" s="7" t="s">
        <v>4465</v>
      </c>
    </row>
    <row r="1208" spans="1:2">
      <c r="A1208" s="7" t="s">
        <v>1155</v>
      </c>
      <c r="B1208" s="7" t="s">
        <v>4467</v>
      </c>
    </row>
    <row r="1209" spans="1:2">
      <c r="A1209" s="7" t="s">
        <v>1158</v>
      </c>
      <c r="B1209" s="7" t="s">
        <v>4469</v>
      </c>
    </row>
    <row r="1210" spans="1:2">
      <c r="A1210" s="7" t="s">
        <v>1159</v>
      </c>
      <c r="B1210" s="7" t="s">
        <v>4471</v>
      </c>
    </row>
    <row r="1211" spans="1:2">
      <c r="A1211" s="7" t="s">
        <v>1162</v>
      </c>
      <c r="B1211" s="7" t="s">
        <v>4477</v>
      </c>
    </row>
    <row r="1212" spans="1:2">
      <c r="A1212" s="7" t="s">
        <v>1165</v>
      </c>
      <c r="B1212" s="7" t="s">
        <v>4484</v>
      </c>
    </row>
    <row r="1213" spans="1:2">
      <c r="A1213" s="7" t="s">
        <v>1166</v>
      </c>
      <c r="B1213" s="7" t="s">
        <v>4486</v>
      </c>
    </row>
    <row r="1214" spans="1:2">
      <c r="A1214" s="7" t="s">
        <v>1167</v>
      </c>
      <c r="B1214" s="7" t="s">
        <v>4488</v>
      </c>
    </row>
    <row r="1215" spans="1:2">
      <c r="A1215" s="7" t="s">
        <v>1168</v>
      </c>
      <c r="B1215" s="7" t="s">
        <v>4491</v>
      </c>
    </row>
    <row r="1216" spans="1:2">
      <c r="A1216" s="7" t="s">
        <v>1169</v>
      </c>
      <c r="B1216" s="7" t="s">
        <v>4493</v>
      </c>
    </row>
    <row r="1217" spans="1:2">
      <c r="A1217" s="7" t="s">
        <v>1170</v>
      </c>
      <c r="B1217" s="7" t="s">
        <v>4495</v>
      </c>
    </row>
    <row r="1218" spans="1:2">
      <c r="A1218" s="7" t="s">
        <v>1171</v>
      </c>
      <c r="B1218" s="7" t="s">
        <v>4497</v>
      </c>
    </row>
    <row r="1219" spans="1:2">
      <c r="A1219" s="7" t="s">
        <v>1172</v>
      </c>
      <c r="B1219" s="7" t="s">
        <v>4501</v>
      </c>
    </row>
    <row r="1220" spans="1:2">
      <c r="A1220" s="7" t="s">
        <v>1173</v>
      </c>
      <c r="B1220" s="7" t="s">
        <v>4503</v>
      </c>
    </row>
    <row r="1221" spans="1:2">
      <c r="A1221" s="7" t="s">
        <v>1174</v>
      </c>
      <c r="B1221" s="7" t="s">
        <v>4505</v>
      </c>
    </row>
    <row r="1222" spans="1:2">
      <c r="A1222" s="7" t="s">
        <v>1175</v>
      </c>
      <c r="B1222" s="7" t="s">
        <v>4507</v>
      </c>
    </row>
    <row r="1223" spans="1:2">
      <c r="A1223" s="7" t="s">
        <v>1176</v>
      </c>
      <c r="B1223" s="7" t="s">
        <v>4509</v>
      </c>
    </row>
    <row r="1224" spans="1:2">
      <c r="A1224" s="7" t="s">
        <v>1177</v>
      </c>
      <c r="B1224" s="7" t="s">
        <v>4511</v>
      </c>
    </row>
    <row r="1225" spans="1:2">
      <c r="A1225" s="7" t="s">
        <v>1178</v>
      </c>
      <c r="B1225" s="7" t="s">
        <v>4513</v>
      </c>
    </row>
    <row r="1226" spans="1:2">
      <c r="A1226" s="7" t="s">
        <v>1179</v>
      </c>
      <c r="B1226" s="7" t="s">
        <v>4515</v>
      </c>
    </row>
    <row r="1227" spans="1:2">
      <c r="A1227" s="7" t="s">
        <v>1180</v>
      </c>
      <c r="B1227" s="7" t="s">
        <v>4517</v>
      </c>
    </row>
    <row r="1228" spans="1:2">
      <c r="A1228" s="7" t="s">
        <v>1183</v>
      </c>
      <c r="B1228" s="7" t="s">
        <v>4520</v>
      </c>
    </row>
    <row r="1229" spans="1:2">
      <c r="A1229" s="7" t="s">
        <v>1188</v>
      </c>
      <c r="B1229" s="7" t="s">
        <v>4527</v>
      </c>
    </row>
    <row r="1230" spans="1:2">
      <c r="A1230" s="7" t="s">
        <v>1189</v>
      </c>
      <c r="B1230" s="7" t="s">
        <v>4530</v>
      </c>
    </row>
    <row r="1231" spans="1:2">
      <c r="A1231" s="7" t="s">
        <v>1191</v>
      </c>
      <c r="B1231" s="7" t="s">
        <v>4532</v>
      </c>
    </row>
    <row r="1232" spans="1:2">
      <c r="A1232" s="7" t="s">
        <v>1193</v>
      </c>
      <c r="B1232" s="7" t="s">
        <v>4535</v>
      </c>
    </row>
    <row r="1233" spans="1:2">
      <c r="A1233" s="7" t="s">
        <v>1194</v>
      </c>
      <c r="B1233" s="7" t="s">
        <v>4537</v>
      </c>
    </row>
    <row r="1234" spans="1:2">
      <c r="A1234" s="7" t="s">
        <v>1197</v>
      </c>
      <c r="B1234" s="7" t="s">
        <v>4540</v>
      </c>
    </row>
    <row r="1235" spans="1:2">
      <c r="A1235" s="7" t="s">
        <v>1199</v>
      </c>
      <c r="B1235" s="7" t="s">
        <v>4542</v>
      </c>
    </row>
    <row r="1236" spans="1:2">
      <c r="A1236" s="7" t="s">
        <v>1200</v>
      </c>
      <c r="B1236" s="7" t="s">
        <v>4544</v>
      </c>
    </row>
    <row r="1237" spans="1:2">
      <c r="A1237" s="7" t="s">
        <v>1201</v>
      </c>
      <c r="B1237" s="7" t="s">
        <v>4546</v>
      </c>
    </row>
    <row r="1238" spans="1:2">
      <c r="A1238" s="7" t="s">
        <v>1205</v>
      </c>
      <c r="B1238" s="7" t="s">
        <v>4558</v>
      </c>
    </row>
    <row r="1239" spans="1:2">
      <c r="A1239" s="7" t="s">
        <v>1206</v>
      </c>
      <c r="B1239" s="7" t="s">
        <v>4562</v>
      </c>
    </row>
    <row r="1240" spans="1:2">
      <c r="A1240" s="7" t="s">
        <v>1208</v>
      </c>
      <c r="B1240" s="7" t="s">
        <v>4565</v>
      </c>
    </row>
    <row r="1241" spans="1:2">
      <c r="A1241" s="7" t="s">
        <v>1209</v>
      </c>
      <c r="B1241" s="7" t="s">
        <v>4567</v>
      </c>
    </row>
    <row r="1242" spans="1:2">
      <c r="A1242" s="7" t="s">
        <v>1210</v>
      </c>
      <c r="B1242" s="7" t="s">
        <v>4570</v>
      </c>
    </row>
    <row r="1243" spans="1:2">
      <c r="A1243" s="7" t="s">
        <v>1211</v>
      </c>
      <c r="B1243" s="7" t="s">
        <v>4573</v>
      </c>
    </row>
    <row r="1244" spans="1:2">
      <c r="A1244" s="7" t="s">
        <v>1212</v>
      </c>
      <c r="B1244" s="7" t="s">
        <v>4577</v>
      </c>
    </row>
    <row r="1245" spans="1:2">
      <c r="A1245" s="7" t="s">
        <v>1215</v>
      </c>
      <c r="B1245" s="7" t="s">
        <v>4582</v>
      </c>
    </row>
    <row r="1246" spans="1:2">
      <c r="A1246" s="7" t="s">
        <v>1217</v>
      </c>
      <c r="B1246" s="7" t="s">
        <v>4585</v>
      </c>
    </row>
    <row r="1247" spans="1:2">
      <c r="A1247" s="7" t="s">
        <v>1218</v>
      </c>
      <c r="B1247" s="7" t="s">
        <v>4587</v>
      </c>
    </row>
    <row r="1248" spans="1:2">
      <c r="A1248" s="7" t="s">
        <v>1221</v>
      </c>
      <c r="B1248" s="7" t="s">
        <v>4593</v>
      </c>
    </row>
    <row r="1249" spans="1:2">
      <c r="A1249" s="7" t="s">
        <v>1222</v>
      </c>
      <c r="B1249" s="7" t="s">
        <v>4597</v>
      </c>
    </row>
    <row r="1250" spans="1:2">
      <c r="A1250" s="7" t="s">
        <v>1223</v>
      </c>
      <c r="B1250" s="7" t="s">
        <v>4599</v>
      </c>
    </row>
    <row r="1251" spans="1:2">
      <c r="A1251" s="7" t="s">
        <v>1230</v>
      </c>
      <c r="B1251" s="7" t="s">
        <v>4606</v>
      </c>
    </row>
    <row r="1252" spans="1:2">
      <c r="A1252" s="7" t="s">
        <v>1231</v>
      </c>
      <c r="B1252" s="7" t="s">
        <v>4608</v>
      </c>
    </row>
    <row r="1253" spans="1:2">
      <c r="A1253" s="7" t="s">
        <v>1234</v>
      </c>
      <c r="B1253" s="7" t="s">
        <v>4617</v>
      </c>
    </row>
    <row r="1254" spans="1:2">
      <c r="A1254" s="7" t="s">
        <v>1237</v>
      </c>
      <c r="B1254" s="7" t="s">
        <v>4622</v>
      </c>
    </row>
    <row r="1255" spans="1:2">
      <c r="A1255" s="7" t="s">
        <v>1239</v>
      </c>
      <c r="B1255" s="7" t="s">
        <v>4628</v>
      </c>
    </row>
    <row r="1256" spans="1:2">
      <c r="A1256" s="7" t="s">
        <v>1240</v>
      </c>
      <c r="B1256" s="7" t="s">
        <v>4630</v>
      </c>
    </row>
    <row r="1257" spans="1:2">
      <c r="A1257" s="7" t="s">
        <v>1242</v>
      </c>
      <c r="B1257" s="7" t="s">
        <v>4632</v>
      </c>
    </row>
    <row r="1258" spans="1:2">
      <c r="A1258" s="7" t="s">
        <v>1243</v>
      </c>
      <c r="B1258" s="7" t="s">
        <v>4634</v>
      </c>
    </row>
    <row r="1259" spans="1:2">
      <c r="A1259" s="7" t="s">
        <v>1244</v>
      </c>
      <c r="B1259" s="7" t="s">
        <v>4637</v>
      </c>
    </row>
    <row r="1260" spans="1:2">
      <c r="A1260" s="7" t="s">
        <v>1245</v>
      </c>
      <c r="B1260" s="7" t="s">
        <v>4639</v>
      </c>
    </row>
    <row r="1261" spans="1:2">
      <c r="A1261" s="7" t="s">
        <v>1246</v>
      </c>
      <c r="B1261" s="7" t="s">
        <v>4642</v>
      </c>
    </row>
    <row r="1262" spans="1:2">
      <c r="A1262" s="7" t="s">
        <v>1247</v>
      </c>
      <c r="B1262" s="7" t="s">
        <v>4644</v>
      </c>
    </row>
    <row r="1263" spans="1:2">
      <c r="A1263" s="7" t="s">
        <v>1248</v>
      </c>
      <c r="B1263" s="7" t="s">
        <v>4646</v>
      </c>
    </row>
    <row r="1264" spans="1:2">
      <c r="A1264" s="7" t="s">
        <v>1251</v>
      </c>
      <c r="B1264" s="7" t="s">
        <v>4649</v>
      </c>
    </row>
    <row r="1265" spans="1:2">
      <c r="A1265" s="7" t="s">
        <v>1254</v>
      </c>
      <c r="B1265" s="7" t="s">
        <v>4654</v>
      </c>
    </row>
    <row r="1266" spans="1:2">
      <c r="A1266" s="7" t="s">
        <v>1259</v>
      </c>
      <c r="B1266" s="7" t="s">
        <v>4663</v>
      </c>
    </row>
    <row r="1267" spans="1:2">
      <c r="A1267" s="7" t="s">
        <v>1260</v>
      </c>
      <c r="B1267" s="7" t="s">
        <v>4665</v>
      </c>
    </row>
    <row r="1268" spans="1:2">
      <c r="A1268" s="7" t="s">
        <v>1261</v>
      </c>
      <c r="B1268" s="7" t="s">
        <v>4667</v>
      </c>
    </row>
    <row r="1269" spans="1:2">
      <c r="A1269" s="7" t="s">
        <v>1264</v>
      </c>
      <c r="B1269" s="7" t="s">
        <v>4669</v>
      </c>
    </row>
    <row r="1270" spans="1:2">
      <c r="A1270" s="7" t="s">
        <v>1265</v>
      </c>
      <c r="B1270" s="7" t="s">
        <v>4671</v>
      </c>
    </row>
    <row r="1271" spans="1:2">
      <c r="A1271" s="7" t="s">
        <v>1267</v>
      </c>
      <c r="B1271" s="7" t="s">
        <v>4673</v>
      </c>
    </row>
    <row r="1272" spans="1:2">
      <c r="A1272" s="7" t="s">
        <v>1269</v>
      </c>
      <c r="B1272" s="7" t="s">
        <v>4678</v>
      </c>
    </row>
    <row r="1273" spans="1:2">
      <c r="A1273" s="7" t="s">
        <v>1271</v>
      </c>
      <c r="B1273" s="7" t="s">
        <v>4681</v>
      </c>
    </row>
    <row r="1274" spans="1:2">
      <c r="A1274" s="7" t="s">
        <v>1272</v>
      </c>
      <c r="B1274" s="7" t="s">
        <v>4684</v>
      </c>
    </row>
    <row r="1275" spans="1:2">
      <c r="A1275" s="7" t="s">
        <v>1277</v>
      </c>
      <c r="B1275" s="7" t="s">
        <v>4694</v>
      </c>
    </row>
    <row r="1276" spans="1:2">
      <c r="A1276" s="7" t="s">
        <v>1279</v>
      </c>
      <c r="B1276" s="7" t="s">
        <v>4696</v>
      </c>
    </row>
    <row r="1277" spans="1:2">
      <c r="A1277" s="7" t="s">
        <v>1281</v>
      </c>
      <c r="B1277" s="7" t="s">
        <v>4698</v>
      </c>
    </row>
    <row r="1278" spans="1:2">
      <c r="A1278" s="7" t="s">
        <v>1282</v>
      </c>
      <c r="B1278" s="7" t="s">
        <v>4700</v>
      </c>
    </row>
    <row r="1279" spans="1:2">
      <c r="A1279" s="7" t="s">
        <v>1283</v>
      </c>
      <c r="B1279" s="7" t="s">
        <v>4703</v>
      </c>
    </row>
    <row r="1280" spans="1:2">
      <c r="A1280" s="7" t="s">
        <v>1285</v>
      </c>
      <c r="B1280" s="7" t="s">
        <v>4705</v>
      </c>
    </row>
    <row r="1281" spans="1:2">
      <c r="A1281" s="7" t="s">
        <v>1286</v>
      </c>
      <c r="B1281" s="7" t="s">
        <v>4707</v>
      </c>
    </row>
    <row r="1282" spans="1:2">
      <c r="A1282" s="7" t="s">
        <v>1287</v>
      </c>
      <c r="B1282" s="7" t="s">
        <v>4709</v>
      </c>
    </row>
    <row r="1283" spans="1:2">
      <c r="A1283" s="7" t="s">
        <v>1290</v>
      </c>
      <c r="B1283" s="7" t="s">
        <v>4717</v>
      </c>
    </row>
    <row r="1284" spans="1:2">
      <c r="A1284" s="7" t="s">
        <v>1291</v>
      </c>
      <c r="B1284" s="7" t="s">
        <v>4719</v>
      </c>
    </row>
    <row r="1285" spans="1:2">
      <c r="A1285" s="7" t="s">
        <v>1292</v>
      </c>
      <c r="B1285" s="7" t="s">
        <v>4721</v>
      </c>
    </row>
    <row r="1286" spans="1:2">
      <c r="A1286" s="7" t="s">
        <v>1293</v>
      </c>
      <c r="B1286" s="7" t="s">
        <v>4723</v>
      </c>
    </row>
    <row r="1287" spans="1:2">
      <c r="A1287" s="7" t="s">
        <v>1294</v>
      </c>
      <c r="B1287" s="7" t="s">
        <v>4726</v>
      </c>
    </row>
    <row r="1288" spans="1:2">
      <c r="A1288" s="7" t="s">
        <v>1296</v>
      </c>
      <c r="B1288" s="7" t="s">
        <v>4728</v>
      </c>
    </row>
    <row r="1289" spans="1:2">
      <c r="A1289" s="7" t="s">
        <v>1297</v>
      </c>
      <c r="B1289" s="7" t="s">
        <v>4730</v>
      </c>
    </row>
    <row r="1290" spans="1:2">
      <c r="A1290" s="7" t="s">
        <v>1299</v>
      </c>
      <c r="B1290" s="7" t="s">
        <v>4732</v>
      </c>
    </row>
    <row r="1291" spans="1:2">
      <c r="A1291" s="7" t="s">
        <v>1301</v>
      </c>
      <c r="B1291" s="7" t="s">
        <v>4735</v>
      </c>
    </row>
    <row r="1292" spans="1:2">
      <c r="A1292" s="7" t="s">
        <v>1304</v>
      </c>
      <c r="B1292" s="7" t="s">
        <v>4737</v>
      </c>
    </row>
    <row r="1293" spans="1:2">
      <c r="A1293" s="7" t="s">
        <v>1307</v>
      </c>
      <c r="B1293" s="7" t="s">
        <v>4740</v>
      </c>
    </row>
    <row r="1294" spans="1:2">
      <c r="A1294" s="7" t="s">
        <v>1311</v>
      </c>
      <c r="B1294" s="7" t="s">
        <v>4751</v>
      </c>
    </row>
    <row r="1295" spans="1:2">
      <c r="A1295" s="7" t="s">
        <v>1312</v>
      </c>
      <c r="B1295" s="7" t="s">
        <v>4753</v>
      </c>
    </row>
    <row r="1296" spans="1:2">
      <c r="A1296" s="7" t="s">
        <v>1313</v>
      </c>
      <c r="B1296" s="7" t="s">
        <v>4756</v>
      </c>
    </row>
    <row r="1297" spans="1:2">
      <c r="A1297" s="7" t="s">
        <v>1314</v>
      </c>
      <c r="B1297" s="7" t="s">
        <v>4758</v>
      </c>
    </row>
    <row r="1298" spans="1:2">
      <c r="A1298" s="7" t="s">
        <v>1318</v>
      </c>
      <c r="B1298" s="7" t="s">
        <v>4768</v>
      </c>
    </row>
    <row r="1299" spans="1:2">
      <c r="A1299" s="7" t="s">
        <v>1320</v>
      </c>
      <c r="B1299" s="7" t="s">
        <v>4774</v>
      </c>
    </row>
    <row r="1300" spans="1:2">
      <c r="A1300" s="7" t="s">
        <v>1321</v>
      </c>
      <c r="B1300" s="7" t="s">
        <v>4777</v>
      </c>
    </row>
    <row r="1301" spans="1:2">
      <c r="A1301" s="7" t="s">
        <v>1322</v>
      </c>
      <c r="B1301" s="7" t="s">
        <v>4779</v>
      </c>
    </row>
    <row r="1302" spans="1:2">
      <c r="A1302" s="7" t="s">
        <v>1323</v>
      </c>
      <c r="B1302" s="7" t="s">
        <v>4781</v>
      </c>
    </row>
    <row r="1303" spans="1:2">
      <c r="A1303" s="7" t="s">
        <v>1327</v>
      </c>
      <c r="B1303" s="7" t="s">
        <v>4788</v>
      </c>
    </row>
    <row r="1304" spans="1:2">
      <c r="A1304" s="7" t="s">
        <v>1329</v>
      </c>
      <c r="B1304" s="7" t="s">
        <v>4792</v>
      </c>
    </row>
    <row r="1305" spans="1:2">
      <c r="A1305" s="7" t="s">
        <v>1330</v>
      </c>
      <c r="B1305" s="7" t="s">
        <v>4794</v>
      </c>
    </row>
    <row r="1306" spans="1:2">
      <c r="A1306" s="7" t="s">
        <v>1332</v>
      </c>
      <c r="B1306" s="7" t="s">
        <v>4800</v>
      </c>
    </row>
    <row r="1307" spans="1:2">
      <c r="A1307" s="7" t="s">
        <v>1333</v>
      </c>
      <c r="B1307" s="7" t="s">
        <v>4803</v>
      </c>
    </row>
    <row r="1308" spans="1:2">
      <c r="A1308" s="7" t="s">
        <v>1334</v>
      </c>
      <c r="B1308" s="7" t="s">
        <v>4806</v>
      </c>
    </row>
    <row r="1309" spans="1:2">
      <c r="A1309" s="7" t="s">
        <v>1336</v>
      </c>
      <c r="B1309" s="7" t="s">
        <v>4810</v>
      </c>
    </row>
    <row r="1310" spans="1:2">
      <c r="A1310" s="7" t="s">
        <v>1337</v>
      </c>
      <c r="B1310" s="7" t="s">
        <v>4813</v>
      </c>
    </row>
    <row r="1311" spans="1:2">
      <c r="A1311" s="7" t="s">
        <v>1338</v>
      </c>
      <c r="B1311" s="7" t="s">
        <v>4816</v>
      </c>
    </row>
    <row r="1312" spans="1:2">
      <c r="A1312" s="7" t="s">
        <v>1340</v>
      </c>
      <c r="B1312" s="7" t="s">
        <v>4822</v>
      </c>
    </row>
    <row r="1313" spans="1:3">
      <c r="A1313" s="7" t="s">
        <v>1343</v>
      </c>
      <c r="B1313" s="7" t="s">
        <v>4831</v>
      </c>
      <c r="C1313" s="7"/>
    </row>
    <row r="1314" spans="1:3">
      <c r="A1314" s="7" t="s">
        <v>1344</v>
      </c>
      <c r="B1314" s="7" t="s">
        <v>4833</v>
      </c>
    </row>
    <row r="1315" spans="1:3">
      <c r="A1315" s="7" t="s">
        <v>1346</v>
      </c>
      <c r="B1315" s="7" t="s">
        <v>4838</v>
      </c>
    </row>
    <row r="1316" spans="1:3">
      <c r="A1316" s="7" t="s">
        <v>1347</v>
      </c>
      <c r="B1316" s="7" t="s">
        <v>4840</v>
      </c>
    </row>
    <row r="1317" spans="1:3">
      <c r="A1317" s="7" t="s">
        <v>1348</v>
      </c>
      <c r="B1317" s="7" t="s">
        <v>4842</v>
      </c>
    </row>
    <row r="1318" spans="1:3">
      <c r="A1318" s="7" t="s">
        <v>1349</v>
      </c>
      <c r="B1318" s="7" t="s">
        <v>4844</v>
      </c>
    </row>
    <row r="1319" spans="1:3">
      <c r="A1319" s="7" t="s">
        <v>1352</v>
      </c>
      <c r="B1319" s="7" t="s">
        <v>4853</v>
      </c>
    </row>
    <row r="1320" spans="1:3">
      <c r="A1320" s="7" t="s">
        <v>1353</v>
      </c>
      <c r="B1320" s="7" t="s">
        <v>4855</v>
      </c>
    </row>
    <row r="1321" spans="1:3">
      <c r="A1321" s="7" t="s">
        <v>1355</v>
      </c>
      <c r="B1321" s="7" t="s">
        <v>4861</v>
      </c>
    </row>
    <row r="1322" spans="1:3">
      <c r="A1322" s="7" t="s">
        <v>1356</v>
      </c>
      <c r="B1322" s="7" t="s">
        <v>4865</v>
      </c>
    </row>
    <row r="1323" spans="1:3">
      <c r="A1323" s="7" t="s">
        <v>1357</v>
      </c>
      <c r="B1323" s="7" t="s">
        <v>4868</v>
      </c>
    </row>
    <row r="1324" spans="1:3">
      <c r="A1324" s="7" t="s">
        <v>1358</v>
      </c>
      <c r="B1324" s="7" t="s">
        <v>4870</v>
      </c>
    </row>
    <row r="1325" spans="1:3">
      <c r="A1325" s="7" t="s">
        <v>1359</v>
      </c>
      <c r="B1325" s="7" t="s">
        <v>4874</v>
      </c>
    </row>
    <row r="1326" spans="1:3">
      <c r="A1326" s="7" t="s">
        <v>1360</v>
      </c>
      <c r="B1326" s="7" t="s">
        <v>4876</v>
      </c>
    </row>
    <row r="1327" spans="1:3">
      <c r="A1327" s="7" t="s">
        <v>1361</v>
      </c>
      <c r="B1327" s="7" t="s">
        <v>4879</v>
      </c>
    </row>
    <row r="1328" spans="1:3">
      <c r="A1328" s="7" t="s">
        <v>1363</v>
      </c>
      <c r="B1328" s="7" t="s">
        <v>4886</v>
      </c>
    </row>
    <row r="1329" spans="1:2">
      <c r="A1329" s="7" t="s">
        <v>1364</v>
      </c>
      <c r="B1329" s="7" t="s">
        <v>4888</v>
      </c>
    </row>
    <row r="1330" spans="1:2">
      <c r="A1330" s="7" t="s">
        <v>1366</v>
      </c>
      <c r="B1330" s="7" t="s">
        <v>4894</v>
      </c>
    </row>
    <row r="1331" spans="1:2">
      <c r="A1331" s="7" t="s">
        <v>1367</v>
      </c>
      <c r="B1331" s="7" t="s">
        <v>4896</v>
      </c>
    </row>
    <row r="1332" spans="1:2">
      <c r="A1332" s="7" t="s">
        <v>1370</v>
      </c>
      <c r="B1332" s="7" t="s">
        <v>4905</v>
      </c>
    </row>
    <row r="1333" spans="1:2">
      <c r="A1333" s="7" t="s">
        <v>1371</v>
      </c>
      <c r="B1333" s="7" t="s">
        <v>4908</v>
      </c>
    </row>
    <row r="1334" spans="1:2">
      <c r="A1334" s="7" t="s">
        <v>1372</v>
      </c>
      <c r="B1334" s="7" t="s">
        <v>4911</v>
      </c>
    </row>
    <row r="1335" spans="1:2">
      <c r="A1335" s="7" t="s">
        <v>1373</v>
      </c>
      <c r="B1335" s="7" t="s">
        <v>4913</v>
      </c>
    </row>
    <row r="1336" spans="1:2">
      <c r="A1336" s="7" t="s">
        <v>1374</v>
      </c>
      <c r="B1336" s="7" t="s">
        <v>4916</v>
      </c>
    </row>
    <row r="1337" spans="1:2">
      <c r="A1337" s="7" t="s">
        <v>1376</v>
      </c>
      <c r="B1337" s="7" t="s">
        <v>4918</v>
      </c>
    </row>
    <row r="1338" spans="1:2">
      <c r="A1338" s="7" t="s">
        <v>1377</v>
      </c>
      <c r="B1338" s="7" t="s">
        <v>4922</v>
      </c>
    </row>
    <row r="1339" spans="1:2">
      <c r="A1339" s="7" t="s">
        <v>1379</v>
      </c>
      <c r="B1339" s="7" t="s">
        <v>4926</v>
      </c>
    </row>
    <row r="1340" spans="1:2">
      <c r="A1340" s="7" t="s">
        <v>1381</v>
      </c>
      <c r="B1340" s="7" t="s">
        <v>4929</v>
      </c>
    </row>
    <row r="1341" spans="1:2">
      <c r="A1341" s="7" t="s">
        <v>1384</v>
      </c>
      <c r="B1341" s="7" t="s">
        <v>4935</v>
      </c>
    </row>
    <row r="1342" spans="1:2">
      <c r="A1342" s="7" t="s">
        <v>1386</v>
      </c>
      <c r="B1342" s="7" t="s">
        <v>4938</v>
      </c>
    </row>
    <row r="1343" spans="1:2">
      <c r="A1343" s="7" t="s">
        <v>1387</v>
      </c>
      <c r="B1343" s="7" t="s">
        <v>4942</v>
      </c>
    </row>
    <row r="1344" spans="1:2">
      <c r="A1344" s="7" t="s">
        <v>1389</v>
      </c>
      <c r="B1344" s="7" t="s">
        <v>4945</v>
      </c>
    </row>
    <row r="1345" spans="1:2">
      <c r="A1345" s="7" t="s">
        <v>1391</v>
      </c>
      <c r="B1345" s="7" t="s">
        <v>4948</v>
      </c>
    </row>
    <row r="1346" spans="1:2">
      <c r="A1346" s="7" t="s">
        <v>1392</v>
      </c>
      <c r="B1346" s="7" t="s">
        <v>4951</v>
      </c>
    </row>
    <row r="1347" spans="1:2">
      <c r="A1347" s="7" t="s">
        <v>1393</v>
      </c>
      <c r="B1347" s="7" t="s">
        <v>4953</v>
      </c>
    </row>
    <row r="1348" spans="1:2">
      <c r="A1348" s="7" t="s">
        <v>1394</v>
      </c>
      <c r="B1348" s="7" t="s">
        <v>4956</v>
      </c>
    </row>
    <row r="1349" spans="1:2">
      <c r="A1349" s="7" t="s">
        <v>1395</v>
      </c>
      <c r="B1349" s="7" t="s">
        <v>4958</v>
      </c>
    </row>
    <row r="1350" spans="1:2">
      <c r="A1350" s="7" t="s">
        <v>1396</v>
      </c>
      <c r="B1350" s="7" t="s">
        <v>4960</v>
      </c>
    </row>
    <row r="1351" spans="1:2">
      <c r="A1351" s="7" t="s">
        <v>1397</v>
      </c>
      <c r="B1351" s="7" t="s">
        <v>4962</v>
      </c>
    </row>
    <row r="1352" spans="1:2">
      <c r="A1352" s="7" t="s">
        <v>1399</v>
      </c>
      <c r="B1352" s="7" t="s">
        <v>4964</v>
      </c>
    </row>
    <row r="1353" spans="1:2">
      <c r="A1353" s="7" t="s">
        <v>1403</v>
      </c>
      <c r="B1353" s="7" t="s">
        <v>4968</v>
      </c>
    </row>
    <row r="1354" spans="1:2">
      <c r="A1354" s="7" t="s">
        <v>1409</v>
      </c>
      <c r="B1354" s="7" t="s">
        <v>4973</v>
      </c>
    </row>
    <row r="1355" spans="1:2">
      <c r="A1355" s="7" t="s">
        <v>1411</v>
      </c>
      <c r="B1355" s="7" t="s">
        <v>4975</v>
      </c>
    </row>
    <row r="1356" spans="1:2">
      <c r="A1356" s="7" t="s">
        <v>1412</v>
      </c>
      <c r="B1356" s="7" t="s">
        <v>4977</v>
      </c>
    </row>
    <row r="1357" spans="1:2">
      <c r="A1357" s="7" t="s">
        <v>1413</v>
      </c>
      <c r="B1357" s="7" t="s">
        <v>4979</v>
      </c>
    </row>
    <row r="1358" spans="1:2">
      <c r="A1358" s="7" t="s">
        <v>1414</v>
      </c>
      <c r="B1358" s="7" t="s">
        <v>4981</v>
      </c>
    </row>
    <row r="1359" spans="1:2">
      <c r="A1359" s="7" t="s">
        <v>1415</v>
      </c>
      <c r="B1359" s="7" t="s">
        <v>4983</v>
      </c>
    </row>
    <row r="1360" spans="1:2">
      <c r="A1360" s="7" t="s">
        <v>1416</v>
      </c>
      <c r="B1360" s="7" t="s">
        <v>4985</v>
      </c>
    </row>
    <row r="1361" spans="1:2">
      <c r="A1361" s="7" t="s">
        <v>184</v>
      </c>
      <c r="B1361" s="7" t="s">
        <v>5001</v>
      </c>
    </row>
    <row r="1362" spans="1:2">
      <c r="A1362" s="7" t="s">
        <v>1421</v>
      </c>
      <c r="B1362" s="7" t="s">
        <v>5003</v>
      </c>
    </row>
    <row r="1363" spans="1:2">
      <c r="A1363" s="7" t="s">
        <v>1422</v>
      </c>
      <c r="B1363" s="7" t="s">
        <v>5005</v>
      </c>
    </row>
    <row r="1364" spans="1:2">
      <c r="A1364" s="7" t="s">
        <v>1424</v>
      </c>
      <c r="B1364" s="7" t="s">
        <v>5007</v>
      </c>
    </row>
    <row r="1365" spans="1:2">
      <c r="A1365" s="7" t="s">
        <v>1425</v>
      </c>
      <c r="B1365" s="7" t="s">
        <v>5010</v>
      </c>
    </row>
    <row r="1366" spans="1:2">
      <c r="A1366" s="7" t="s">
        <v>1428</v>
      </c>
      <c r="B1366" s="7" t="s">
        <v>5020</v>
      </c>
    </row>
    <row r="1367" spans="1:2">
      <c r="A1367" s="7" t="s">
        <v>1429</v>
      </c>
      <c r="B1367" s="7" t="s">
        <v>5023</v>
      </c>
    </row>
    <row r="1368" spans="1:2">
      <c r="A1368" s="7" t="s">
        <v>1433</v>
      </c>
      <c r="B1368" s="7" t="s">
        <v>5033</v>
      </c>
    </row>
    <row r="1369" spans="1:2">
      <c r="A1369" s="7" t="s">
        <v>1435</v>
      </c>
      <c r="B1369" s="7" t="s">
        <v>5036</v>
      </c>
    </row>
    <row r="1370" spans="1:2">
      <c r="A1370" s="7" t="s">
        <v>1436</v>
      </c>
      <c r="B1370" s="7" t="s">
        <v>5038</v>
      </c>
    </row>
    <row r="1371" spans="1:2">
      <c r="A1371" s="7" t="s">
        <v>1437</v>
      </c>
      <c r="B1371" s="7" t="s">
        <v>5040</v>
      </c>
    </row>
    <row r="1372" spans="1:2">
      <c r="A1372" s="7" t="s">
        <v>1438</v>
      </c>
      <c r="B1372" s="7" t="s">
        <v>5042</v>
      </c>
    </row>
    <row r="1373" spans="1:2">
      <c r="A1373" s="7" t="s">
        <v>1439</v>
      </c>
      <c r="B1373" s="7" t="s">
        <v>5045</v>
      </c>
    </row>
    <row r="1374" spans="1:2">
      <c r="A1374" s="7" t="s">
        <v>1440</v>
      </c>
      <c r="B1374" s="7" t="s">
        <v>5047</v>
      </c>
    </row>
    <row r="1375" spans="1:2">
      <c r="A1375" s="7" t="s">
        <v>1441</v>
      </c>
      <c r="B1375" s="7" t="s">
        <v>5049</v>
      </c>
    </row>
    <row r="1376" spans="1:2">
      <c r="A1376" s="7" t="s">
        <v>1442</v>
      </c>
      <c r="B1376" s="7" t="s">
        <v>5051</v>
      </c>
    </row>
    <row r="1377" spans="1:2">
      <c r="A1377" s="7" t="s">
        <v>1443</v>
      </c>
      <c r="B1377" s="7" t="s">
        <v>5053</v>
      </c>
    </row>
    <row r="1378" spans="1:2">
      <c r="A1378" s="7" t="s">
        <v>1444</v>
      </c>
      <c r="B1378" s="7" t="s">
        <v>5055</v>
      </c>
    </row>
    <row r="1379" spans="1:2">
      <c r="A1379" s="7" t="s">
        <v>1445</v>
      </c>
      <c r="B1379" s="7" t="s">
        <v>5057</v>
      </c>
    </row>
    <row r="1380" spans="1:2">
      <c r="A1380" s="7" t="s">
        <v>1446</v>
      </c>
      <c r="B1380" s="7" t="s">
        <v>5059</v>
      </c>
    </row>
    <row r="1381" spans="1:2">
      <c r="A1381" s="7" t="s">
        <v>1447</v>
      </c>
      <c r="B1381" s="7" t="s">
        <v>5063</v>
      </c>
    </row>
    <row r="1382" spans="1:2">
      <c r="A1382" s="7" t="s">
        <v>1448</v>
      </c>
      <c r="B1382" s="7" t="s">
        <v>5066</v>
      </c>
    </row>
    <row r="1383" spans="1:2">
      <c r="A1383" s="7" t="s">
        <v>1450</v>
      </c>
      <c r="B1383" s="7" t="s">
        <v>5072</v>
      </c>
    </row>
    <row r="1384" spans="1:2">
      <c r="A1384" s="7" t="s">
        <v>1451</v>
      </c>
      <c r="B1384" s="7" t="s">
        <v>5074</v>
      </c>
    </row>
    <row r="1385" spans="1:2">
      <c r="A1385" s="7" t="s">
        <v>1456</v>
      </c>
      <c r="B1385" s="7" t="s">
        <v>5080</v>
      </c>
    </row>
    <row r="1386" spans="1:2">
      <c r="A1386" s="7" t="s">
        <v>1458</v>
      </c>
      <c r="B1386" s="7" t="s">
        <v>5087</v>
      </c>
    </row>
    <row r="1387" spans="1:2">
      <c r="A1387" s="7" t="s">
        <v>1459</v>
      </c>
      <c r="B1387" s="7" t="s">
        <v>5089</v>
      </c>
    </row>
    <row r="1388" spans="1:2">
      <c r="A1388" s="7" t="s">
        <v>1460</v>
      </c>
      <c r="B1388" s="7" t="s">
        <v>5091</v>
      </c>
    </row>
    <row r="1389" spans="1:2">
      <c r="A1389" s="7" t="s">
        <v>1463</v>
      </c>
      <c r="B1389" s="7" t="s">
        <v>5096</v>
      </c>
    </row>
    <row r="1390" spans="1:2">
      <c r="A1390" s="7" t="s">
        <v>1467</v>
      </c>
      <c r="B1390" s="7" t="s">
        <v>5105</v>
      </c>
    </row>
    <row r="1391" spans="1:2">
      <c r="A1391" s="7" t="s">
        <v>1468</v>
      </c>
      <c r="B1391" s="7" t="s">
        <v>5107</v>
      </c>
    </row>
    <row r="1392" spans="1:2">
      <c r="A1392" s="7" t="s">
        <v>1469</v>
      </c>
      <c r="B1392" s="7" t="s">
        <v>5109</v>
      </c>
    </row>
    <row r="1393" spans="1:2">
      <c r="A1393" s="7" t="s">
        <v>1470</v>
      </c>
      <c r="B1393" s="7" t="s">
        <v>5111</v>
      </c>
    </row>
    <row r="1394" spans="1:2">
      <c r="A1394" s="7" t="s">
        <v>1471</v>
      </c>
      <c r="B1394" s="7" t="s">
        <v>5113</v>
      </c>
    </row>
    <row r="1395" spans="1:2">
      <c r="A1395" s="7" t="s">
        <v>1472</v>
      </c>
      <c r="B1395" s="7" t="s">
        <v>5115</v>
      </c>
    </row>
    <row r="1396" spans="1:2">
      <c r="A1396" s="7" t="s">
        <v>1475</v>
      </c>
      <c r="B1396" s="7" t="s">
        <v>5123</v>
      </c>
    </row>
    <row r="1397" spans="1:2">
      <c r="A1397" s="7" t="s">
        <v>1476</v>
      </c>
      <c r="B1397" s="7" t="s">
        <v>5125</v>
      </c>
    </row>
    <row r="1398" spans="1:2">
      <c r="A1398" s="7" t="s">
        <v>1477</v>
      </c>
      <c r="B1398" s="7" t="s">
        <v>5128</v>
      </c>
    </row>
    <row r="1399" spans="1:2">
      <c r="A1399" s="7" t="s">
        <v>1478</v>
      </c>
      <c r="B1399" s="7" t="s">
        <v>5131</v>
      </c>
    </row>
    <row r="1400" spans="1:2">
      <c r="A1400" s="7" t="s">
        <v>1479</v>
      </c>
      <c r="B1400" s="7" t="s">
        <v>5134</v>
      </c>
    </row>
    <row r="1401" spans="1:2">
      <c r="A1401" s="7" t="s">
        <v>1481</v>
      </c>
      <c r="B1401" s="7" t="s">
        <v>5139</v>
      </c>
    </row>
    <row r="1402" spans="1:2">
      <c r="A1402" s="7" t="s">
        <v>1482</v>
      </c>
      <c r="B1402" s="7" t="s">
        <v>5142</v>
      </c>
    </row>
    <row r="1403" spans="1:2">
      <c r="A1403" s="7" t="s">
        <v>1488</v>
      </c>
      <c r="B1403" s="7" t="s">
        <v>5151</v>
      </c>
    </row>
    <row r="1404" spans="1:2">
      <c r="A1404" s="7" t="s">
        <v>1489</v>
      </c>
      <c r="B1404" s="7" t="s">
        <v>5154</v>
      </c>
    </row>
    <row r="1405" spans="1:2">
      <c r="A1405" s="7" t="s">
        <v>1491</v>
      </c>
      <c r="B1405" s="7" t="s">
        <v>5160</v>
      </c>
    </row>
    <row r="1406" spans="1:2">
      <c r="A1406" s="7" t="s">
        <v>1492</v>
      </c>
      <c r="B1406" s="7" t="s">
        <v>5163</v>
      </c>
    </row>
    <row r="1407" spans="1:2">
      <c r="A1407" s="7" t="s">
        <v>1493</v>
      </c>
      <c r="B1407" s="7" t="s">
        <v>5166</v>
      </c>
    </row>
    <row r="1408" spans="1:2">
      <c r="A1408" s="7" t="s">
        <v>1496</v>
      </c>
      <c r="B1408" s="7" t="s">
        <v>5172</v>
      </c>
    </row>
    <row r="1409" spans="1:2">
      <c r="A1409" s="7" t="s">
        <v>1500</v>
      </c>
      <c r="B1409" s="7" t="s">
        <v>5180</v>
      </c>
    </row>
    <row r="1410" spans="1:2">
      <c r="A1410" s="7" t="s">
        <v>1501</v>
      </c>
      <c r="B1410" s="7" t="s">
        <v>5182</v>
      </c>
    </row>
    <row r="1411" spans="1:2">
      <c r="A1411" s="7" t="s">
        <v>1502</v>
      </c>
      <c r="B1411" s="7" t="s">
        <v>5184</v>
      </c>
    </row>
    <row r="1412" spans="1:2">
      <c r="A1412" s="7" t="s">
        <v>1503</v>
      </c>
      <c r="B1412" s="7" t="s">
        <v>5186</v>
      </c>
    </row>
    <row r="1413" spans="1:2">
      <c r="A1413" s="7" t="s">
        <v>1505</v>
      </c>
      <c r="B1413" s="7" t="s">
        <v>5189</v>
      </c>
    </row>
    <row r="1414" spans="1:2">
      <c r="A1414" s="7" t="s">
        <v>1507</v>
      </c>
      <c r="B1414" s="7" t="s">
        <v>5192</v>
      </c>
    </row>
    <row r="1415" spans="1:2">
      <c r="A1415" s="7" t="s">
        <v>1510</v>
      </c>
      <c r="B1415" s="7" t="s">
        <v>5196</v>
      </c>
    </row>
    <row r="1416" spans="1:2">
      <c r="A1416" s="7" t="s">
        <v>1511</v>
      </c>
      <c r="B1416" s="7" t="s">
        <v>5199</v>
      </c>
    </row>
    <row r="1417" spans="1:2">
      <c r="A1417" s="7" t="s">
        <v>1514</v>
      </c>
      <c r="B1417" s="7" t="s">
        <v>5203</v>
      </c>
    </row>
    <row r="1418" spans="1:2">
      <c r="A1418" s="7" t="s">
        <v>1515</v>
      </c>
      <c r="B1418" s="7" t="s">
        <v>5205</v>
      </c>
    </row>
    <row r="1419" spans="1:2">
      <c r="A1419" s="7" t="s">
        <v>1517</v>
      </c>
      <c r="B1419" s="7" t="s">
        <v>5212</v>
      </c>
    </row>
    <row r="1420" spans="1:2">
      <c r="A1420" s="7" t="s">
        <v>1518</v>
      </c>
      <c r="B1420" s="7" t="s">
        <v>5215</v>
      </c>
    </row>
    <row r="1421" spans="1:2">
      <c r="A1421" s="7" t="s">
        <v>1520</v>
      </c>
      <c r="B1421" s="7" t="s">
        <v>5219</v>
      </c>
    </row>
    <row r="1422" spans="1:2">
      <c r="A1422" s="7" t="s">
        <v>1522</v>
      </c>
      <c r="B1422" s="7" t="s">
        <v>5223</v>
      </c>
    </row>
    <row r="1423" spans="1:2">
      <c r="A1423" s="7" t="s">
        <v>1523</v>
      </c>
      <c r="B1423" s="7" t="s">
        <v>5227</v>
      </c>
    </row>
    <row r="1424" spans="1:2">
      <c r="A1424" s="7" t="s">
        <v>1525</v>
      </c>
      <c r="B1424" s="7" t="s">
        <v>5232</v>
      </c>
    </row>
    <row r="1425" spans="1:2">
      <c r="A1425" s="7" t="s">
        <v>1529</v>
      </c>
      <c r="B1425" s="7" t="s">
        <v>5237</v>
      </c>
    </row>
    <row r="1426" spans="1:2">
      <c r="A1426" s="7" t="s">
        <v>1530</v>
      </c>
      <c r="B1426" s="7" t="s">
        <v>5239</v>
      </c>
    </row>
    <row r="1427" spans="1:2">
      <c r="A1427" s="7" t="s">
        <v>1532</v>
      </c>
      <c r="B1427" s="7" t="s">
        <v>5245</v>
      </c>
    </row>
    <row r="1428" spans="1:2">
      <c r="A1428" s="7" t="s">
        <v>1533</v>
      </c>
      <c r="B1428" s="7" t="s">
        <v>5247</v>
      </c>
    </row>
    <row r="1429" spans="1:2">
      <c r="A1429" s="7" t="s">
        <v>1535</v>
      </c>
      <c r="B1429" s="7" t="s">
        <v>5253</v>
      </c>
    </row>
    <row r="1430" spans="1:2">
      <c r="A1430" s="7" t="s">
        <v>1537</v>
      </c>
      <c r="B1430" s="7" t="s">
        <v>5258</v>
      </c>
    </row>
    <row r="1431" spans="1:2">
      <c r="A1431" s="7" t="s">
        <v>1539</v>
      </c>
      <c r="B1431" s="7" t="s">
        <v>5261</v>
      </c>
    </row>
    <row r="1432" spans="1:2">
      <c r="A1432" s="7" t="s">
        <v>1540</v>
      </c>
      <c r="B1432" s="7" t="s">
        <v>5264</v>
      </c>
    </row>
    <row r="1433" spans="1:2">
      <c r="A1433" s="7" t="s">
        <v>1543</v>
      </c>
      <c r="B1433" s="7" t="s">
        <v>5270</v>
      </c>
    </row>
    <row r="1434" spans="1:2">
      <c r="A1434" s="7" t="s">
        <v>1544</v>
      </c>
      <c r="B1434" s="7" t="s">
        <v>5274</v>
      </c>
    </row>
    <row r="1435" spans="1:2">
      <c r="A1435" s="7" t="s">
        <v>1545</v>
      </c>
      <c r="B1435" s="7" t="s">
        <v>5276</v>
      </c>
    </row>
    <row r="1436" spans="1:2">
      <c r="A1436" s="7" t="s">
        <v>1546</v>
      </c>
      <c r="B1436" s="7" t="s">
        <v>5279</v>
      </c>
    </row>
    <row r="1437" spans="1:2">
      <c r="A1437" s="7" t="s">
        <v>1547</v>
      </c>
      <c r="B1437" s="7" t="s">
        <v>5282</v>
      </c>
    </row>
    <row r="1438" spans="1:2">
      <c r="A1438" s="7" t="s">
        <v>1549</v>
      </c>
      <c r="B1438" s="7" t="s">
        <v>5288</v>
      </c>
    </row>
    <row r="1439" spans="1:2">
      <c r="A1439" s="7" t="s">
        <v>1550</v>
      </c>
      <c r="B1439" s="7" t="s">
        <v>5290</v>
      </c>
    </row>
    <row r="1440" spans="1:2">
      <c r="A1440" s="7" t="s">
        <v>1551</v>
      </c>
      <c r="B1440" s="7" t="s">
        <v>5292</v>
      </c>
    </row>
    <row r="1441" spans="1:2">
      <c r="A1441" s="7" t="s">
        <v>1552</v>
      </c>
      <c r="B1441" s="7" t="s">
        <v>5294</v>
      </c>
    </row>
    <row r="1442" spans="1:2">
      <c r="A1442" s="7" t="s">
        <v>1555</v>
      </c>
      <c r="B1442" s="7" t="s">
        <v>5296</v>
      </c>
    </row>
    <row r="1443" spans="1:2">
      <c r="A1443" s="7" t="s">
        <v>1556</v>
      </c>
      <c r="B1443" s="7" t="s">
        <v>5299</v>
      </c>
    </row>
    <row r="1444" spans="1:2">
      <c r="A1444" s="7" t="s">
        <v>1557</v>
      </c>
      <c r="B1444" s="7" t="s">
        <v>5301</v>
      </c>
    </row>
    <row r="1445" spans="1:2">
      <c r="A1445" s="7" t="s">
        <v>1558</v>
      </c>
      <c r="B1445" s="7" t="s">
        <v>5303</v>
      </c>
    </row>
    <row r="1446" spans="1:2">
      <c r="A1446" s="7" t="s">
        <v>1559</v>
      </c>
      <c r="B1446" s="7" t="s">
        <v>5306</v>
      </c>
    </row>
    <row r="1447" spans="1:2">
      <c r="A1447" s="7" t="s">
        <v>1560</v>
      </c>
      <c r="B1447" s="7" t="s">
        <v>5308</v>
      </c>
    </row>
    <row r="1448" spans="1:2">
      <c r="A1448" s="7" t="s">
        <v>1565</v>
      </c>
      <c r="B1448" s="7" t="s">
        <v>5317</v>
      </c>
    </row>
    <row r="1449" spans="1:2">
      <c r="A1449" s="7" t="s">
        <v>1570</v>
      </c>
      <c r="B1449" s="7" t="s">
        <v>5325</v>
      </c>
    </row>
    <row r="1450" spans="1:2">
      <c r="A1450" s="7" t="s">
        <v>1578</v>
      </c>
      <c r="B1450" s="7" t="s">
        <v>5339</v>
      </c>
    </row>
    <row r="1451" spans="1:2">
      <c r="A1451" s="7" t="s">
        <v>1579</v>
      </c>
      <c r="B1451" s="7" t="s">
        <v>5343</v>
      </c>
    </row>
    <row r="1452" spans="1:2">
      <c r="A1452" s="7" t="s">
        <v>1580</v>
      </c>
      <c r="B1452" s="7" t="s">
        <v>5346</v>
      </c>
    </row>
    <row r="1453" spans="1:2">
      <c r="A1453" s="7" t="s">
        <v>1581</v>
      </c>
      <c r="B1453" s="7" t="s">
        <v>5349</v>
      </c>
    </row>
    <row r="1454" spans="1:2">
      <c r="A1454" s="7" t="s">
        <v>1582</v>
      </c>
      <c r="B1454" s="7" t="s">
        <v>5351</v>
      </c>
    </row>
    <row r="1455" spans="1:2">
      <c r="A1455" s="7" t="s">
        <v>1583</v>
      </c>
      <c r="B1455" s="7" t="s">
        <v>5354</v>
      </c>
    </row>
    <row r="1456" spans="1:2">
      <c r="A1456" s="7" t="s">
        <v>1584</v>
      </c>
      <c r="B1456" s="7" t="s">
        <v>5356</v>
      </c>
    </row>
    <row r="1457" spans="1:2">
      <c r="A1457" s="7" t="s">
        <v>1592</v>
      </c>
      <c r="B1457" s="7" t="s">
        <v>5373</v>
      </c>
    </row>
    <row r="1458" spans="1:2">
      <c r="A1458" s="7" t="s">
        <v>1593</v>
      </c>
      <c r="B1458" s="7" t="s">
        <v>5375</v>
      </c>
    </row>
    <row r="1459" spans="1:2">
      <c r="A1459" s="7" t="s">
        <v>1595</v>
      </c>
      <c r="B1459" s="7" t="s">
        <v>5381</v>
      </c>
    </row>
    <row r="1460" spans="1:2">
      <c r="A1460" s="7" t="s">
        <v>1602</v>
      </c>
      <c r="B1460" s="7" t="s">
        <v>5402</v>
      </c>
    </row>
    <row r="1461" spans="1:2">
      <c r="A1461" s="7" t="s">
        <v>1604</v>
      </c>
      <c r="B1461" s="7" t="s">
        <v>5405</v>
      </c>
    </row>
    <row r="1462" spans="1:2">
      <c r="A1462" s="7" t="s">
        <v>1605</v>
      </c>
      <c r="B1462" s="7" t="s">
        <v>5408</v>
      </c>
    </row>
    <row r="1463" spans="1:2">
      <c r="A1463" s="7" t="s">
        <v>1607</v>
      </c>
      <c r="B1463" s="7" t="s">
        <v>5411</v>
      </c>
    </row>
    <row r="1464" spans="1:2">
      <c r="A1464" s="7" t="s">
        <v>1609</v>
      </c>
      <c r="B1464" s="7" t="s">
        <v>5418</v>
      </c>
    </row>
    <row r="1465" spans="1:2">
      <c r="A1465" s="7" t="s">
        <v>1611</v>
      </c>
      <c r="B1465" s="7" t="s">
        <v>5425</v>
      </c>
    </row>
    <row r="1466" spans="1:2">
      <c r="A1466" s="7" t="s">
        <v>1612</v>
      </c>
      <c r="B1466" s="7" t="s">
        <v>5428</v>
      </c>
    </row>
    <row r="1467" spans="1:2">
      <c r="A1467" s="7" t="s">
        <v>1614</v>
      </c>
      <c r="B1467" s="7" t="s">
        <v>5430</v>
      </c>
    </row>
    <row r="1468" spans="1:2">
      <c r="A1468" s="7" t="s">
        <v>1616</v>
      </c>
      <c r="B1468" s="7" t="s">
        <v>5432</v>
      </c>
    </row>
    <row r="1469" spans="1:2">
      <c r="A1469" s="7" t="s">
        <v>1618</v>
      </c>
      <c r="B1469" s="7" t="s">
        <v>5434</v>
      </c>
    </row>
    <row r="1470" spans="1:2">
      <c r="A1470" s="7" t="s">
        <v>1619</v>
      </c>
      <c r="B1470" s="7" t="s">
        <v>5436</v>
      </c>
    </row>
    <row r="1471" spans="1:2">
      <c r="A1471" s="7" t="s">
        <v>1624</v>
      </c>
      <c r="B1471" s="7" t="s">
        <v>5450</v>
      </c>
    </row>
    <row r="1472" spans="1:2">
      <c r="A1472" s="7" t="s">
        <v>1626</v>
      </c>
      <c r="B1472" s="7" t="s">
        <v>5452</v>
      </c>
    </row>
    <row r="1473" spans="1:2">
      <c r="A1473" s="7" t="s">
        <v>1627</v>
      </c>
      <c r="B1473" s="7" t="s">
        <v>5454</v>
      </c>
    </row>
    <row r="1474" spans="1:2">
      <c r="A1474" s="7" t="s">
        <v>1628</v>
      </c>
      <c r="B1474" s="7" t="s">
        <v>5457</v>
      </c>
    </row>
    <row r="1475" spans="1:2">
      <c r="A1475" s="7" t="s">
        <v>1629</v>
      </c>
      <c r="B1475" s="7" t="s">
        <v>5460</v>
      </c>
    </row>
    <row r="1476" spans="1:2">
      <c r="A1476" s="7" t="s">
        <v>1631</v>
      </c>
      <c r="B1476" s="7" t="s">
        <v>5467</v>
      </c>
    </row>
    <row r="1477" spans="1:2">
      <c r="A1477" s="7" t="s">
        <v>1633</v>
      </c>
      <c r="B1477" s="7" t="s">
        <v>5472</v>
      </c>
    </row>
    <row r="1478" spans="1:2">
      <c r="A1478" s="7" t="s">
        <v>1637</v>
      </c>
      <c r="B1478" s="7" t="s">
        <v>5484</v>
      </c>
    </row>
    <row r="1479" spans="1:2">
      <c r="A1479" s="7" t="s">
        <v>1638</v>
      </c>
      <c r="B1479" s="7" t="s">
        <v>5487</v>
      </c>
    </row>
    <row r="1480" spans="1:2">
      <c r="A1480" s="7" t="s">
        <v>1639</v>
      </c>
      <c r="B1480" s="7" t="s">
        <v>5491</v>
      </c>
    </row>
    <row r="1481" spans="1:2">
      <c r="A1481" s="7" t="s">
        <v>1646</v>
      </c>
      <c r="B1481" s="7" t="s">
        <v>5508</v>
      </c>
    </row>
    <row r="1482" spans="1:2">
      <c r="A1482" s="7" t="s">
        <v>1652</v>
      </c>
      <c r="B1482" s="7" t="s">
        <v>5522</v>
      </c>
    </row>
    <row r="1483" spans="1:2">
      <c r="A1483" s="7" t="s">
        <v>1655</v>
      </c>
      <c r="B1483" s="7" t="s">
        <v>5530</v>
      </c>
    </row>
    <row r="1484" spans="1:2">
      <c r="A1484" s="7" t="s">
        <v>1656</v>
      </c>
      <c r="B1484" s="7" t="s">
        <v>5532</v>
      </c>
    </row>
    <row r="1485" spans="1:2">
      <c r="A1485" s="7" t="s">
        <v>1657</v>
      </c>
      <c r="B1485" s="7" t="s">
        <v>5534</v>
      </c>
    </row>
    <row r="1486" spans="1:2">
      <c r="A1486" s="7" t="s">
        <v>1658</v>
      </c>
      <c r="B1486" s="7" t="s">
        <v>5536</v>
      </c>
    </row>
    <row r="1487" spans="1:2">
      <c r="A1487" s="7" t="s">
        <v>1659</v>
      </c>
      <c r="B1487" s="7" t="s">
        <v>5539</v>
      </c>
    </row>
    <row r="1488" spans="1:2">
      <c r="A1488" s="7" t="s">
        <v>1660</v>
      </c>
      <c r="B1488" s="7" t="s">
        <v>5541</v>
      </c>
    </row>
    <row r="1489" spans="1:2">
      <c r="A1489" s="7" t="s">
        <v>1661</v>
      </c>
      <c r="B1489" s="7" t="s">
        <v>5544</v>
      </c>
    </row>
    <row r="1490" spans="1:2">
      <c r="A1490" s="7" t="s">
        <v>1663</v>
      </c>
      <c r="B1490" s="7" t="s">
        <v>5546</v>
      </c>
    </row>
    <row r="1491" spans="1:2">
      <c r="A1491" s="7" t="s">
        <v>1669</v>
      </c>
      <c r="B1491" s="7" t="s">
        <v>5560</v>
      </c>
    </row>
    <row r="1492" spans="1:2">
      <c r="A1492" s="7" t="s">
        <v>876</v>
      </c>
      <c r="B1492" s="7" t="s">
        <v>5562</v>
      </c>
    </row>
    <row r="1493" spans="1:2">
      <c r="A1493" s="7" t="s">
        <v>1671</v>
      </c>
      <c r="B1493" s="7" t="s">
        <v>5568</v>
      </c>
    </row>
    <row r="1494" spans="1:2">
      <c r="A1494" s="7" t="s">
        <v>1672</v>
      </c>
      <c r="B1494" s="7" t="s">
        <v>5570</v>
      </c>
    </row>
    <row r="1495" spans="1:2">
      <c r="A1495" s="7" t="s">
        <v>1673</v>
      </c>
      <c r="B1495" s="7" t="s">
        <v>5573</v>
      </c>
    </row>
    <row r="1496" spans="1:2">
      <c r="A1496" s="7" t="s">
        <v>1675</v>
      </c>
      <c r="B1496" s="7" t="s">
        <v>5578</v>
      </c>
    </row>
    <row r="1497" spans="1:2">
      <c r="A1497" s="7" t="s">
        <v>1676</v>
      </c>
      <c r="B1497" s="7" t="s">
        <v>5580</v>
      </c>
    </row>
    <row r="1498" spans="1:2">
      <c r="A1498" s="7" t="s">
        <v>1678</v>
      </c>
      <c r="B1498" s="7" t="s">
        <v>5586</v>
      </c>
    </row>
    <row r="1499" spans="1:2">
      <c r="A1499" s="7" t="s">
        <v>1681</v>
      </c>
      <c r="B1499" s="7" t="s">
        <v>5592</v>
      </c>
    </row>
    <row r="1500" spans="1:2">
      <c r="A1500" s="7" t="s">
        <v>1685</v>
      </c>
      <c r="B1500" s="7" t="s">
        <v>5602</v>
      </c>
    </row>
    <row r="1501" spans="1:2">
      <c r="A1501" s="7" t="s">
        <v>1687</v>
      </c>
      <c r="B1501" s="7" t="s">
        <v>5605</v>
      </c>
    </row>
    <row r="1502" spans="1:2">
      <c r="A1502" s="7" t="s">
        <v>1688</v>
      </c>
      <c r="B1502" s="7" t="s">
        <v>5607</v>
      </c>
    </row>
    <row r="1503" spans="1:2">
      <c r="A1503" s="7" t="s">
        <v>1689</v>
      </c>
      <c r="B1503" s="7" t="s">
        <v>5609</v>
      </c>
    </row>
    <row r="1504" spans="1:2">
      <c r="A1504" s="7" t="s">
        <v>1691</v>
      </c>
      <c r="B1504" s="7" t="s">
        <v>5611</v>
      </c>
    </row>
    <row r="1505" spans="1:2">
      <c r="A1505" s="7" t="s">
        <v>1692</v>
      </c>
      <c r="B1505" s="7" t="s">
        <v>5613</v>
      </c>
    </row>
    <row r="1506" spans="1:2">
      <c r="A1506" s="7" t="s">
        <v>1695</v>
      </c>
      <c r="B1506" s="7" t="s">
        <v>5621</v>
      </c>
    </row>
    <row r="1507" spans="1:2">
      <c r="A1507" s="7" t="s">
        <v>1696</v>
      </c>
      <c r="B1507" s="7" t="s">
        <v>5624</v>
      </c>
    </row>
    <row r="1508" spans="1:2">
      <c r="A1508" s="7" t="s">
        <v>1698</v>
      </c>
      <c r="B1508" s="7" t="s">
        <v>5628</v>
      </c>
    </row>
    <row r="1509" spans="1:2">
      <c r="A1509" s="7" t="s">
        <v>1699</v>
      </c>
      <c r="B1509" s="7" t="s">
        <v>5631</v>
      </c>
    </row>
    <row r="1510" spans="1:2">
      <c r="A1510" s="7" t="s">
        <v>1701</v>
      </c>
      <c r="B1510" s="7" t="s">
        <v>5634</v>
      </c>
    </row>
    <row r="1511" spans="1:2">
      <c r="A1511" s="7" t="s">
        <v>1703</v>
      </c>
      <c r="B1511" s="7" t="s">
        <v>5638</v>
      </c>
    </row>
    <row r="1512" spans="1:2">
      <c r="A1512" s="7" t="s">
        <v>1704</v>
      </c>
      <c r="B1512" s="7" t="s">
        <v>5642</v>
      </c>
    </row>
    <row r="1513" spans="1:2">
      <c r="A1513" s="7" t="s">
        <v>1705</v>
      </c>
      <c r="B1513" s="7" t="s">
        <v>5644</v>
      </c>
    </row>
    <row r="1514" spans="1:2">
      <c r="A1514" s="7" t="s">
        <v>1711</v>
      </c>
      <c r="B1514" s="7" t="s">
        <v>5656</v>
      </c>
    </row>
    <row r="1515" spans="1:2">
      <c r="A1515" s="7" t="s">
        <v>1712</v>
      </c>
      <c r="B1515" s="7" t="s">
        <v>5659</v>
      </c>
    </row>
    <row r="1516" spans="1:2">
      <c r="A1516" s="7" t="s">
        <v>1714</v>
      </c>
      <c r="B1516" s="7" t="s">
        <v>5661</v>
      </c>
    </row>
    <row r="1517" spans="1:2">
      <c r="A1517" s="7" t="s">
        <v>1715</v>
      </c>
      <c r="B1517" s="7" t="s">
        <v>5664</v>
      </c>
    </row>
    <row r="1518" spans="1:2">
      <c r="A1518" s="7" t="s">
        <v>1716</v>
      </c>
      <c r="B1518" s="7" t="s">
        <v>5666</v>
      </c>
    </row>
    <row r="1519" spans="1:2">
      <c r="A1519" s="7" t="s">
        <v>1718</v>
      </c>
      <c r="B1519" s="7" t="s">
        <v>5668</v>
      </c>
    </row>
    <row r="1520" spans="1:2">
      <c r="A1520" s="7" t="s">
        <v>1719</v>
      </c>
      <c r="B1520" s="7" t="s">
        <v>5672</v>
      </c>
    </row>
    <row r="1521" spans="1:2">
      <c r="A1521" s="7" t="s">
        <v>1721</v>
      </c>
      <c r="B1521" s="7" t="s">
        <v>5675</v>
      </c>
    </row>
    <row r="1522" spans="1:2">
      <c r="A1522" s="7" t="s">
        <v>1722</v>
      </c>
      <c r="B1522" s="7" t="s">
        <v>5677</v>
      </c>
    </row>
    <row r="1523" spans="1:2">
      <c r="A1523" s="7" t="s">
        <v>1723</v>
      </c>
      <c r="B1523" s="7" t="s">
        <v>5679</v>
      </c>
    </row>
    <row r="1524" spans="1:2">
      <c r="A1524" s="7" t="s">
        <v>1724</v>
      </c>
      <c r="B1524" s="7" t="s">
        <v>5681</v>
      </c>
    </row>
    <row r="1525" spans="1:2">
      <c r="A1525" s="7" t="s">
        <v>1725</v>
      </c>
      <c r="B1525" s="7" t="s">
        <v>5683</v>
      </c>
    </row>
    <row r="1526" spans="1:2">
      <c r="A1526" s="7" t="s">
        <v>1727</v>
      </c>
      <c r="B1526" s="7" t="s">
        <v>5687</v>
      </c>
    </row>
    <row r="1527" spans="1:2">
      <c r="A1527" s="7" t="s">
        <v>1728</v>
      </c>
      <c r="B1527" s="7" t="s">
        <v>5690</v>
      </c>
    </row>
    <row r="1528" spans="1:2">
      <c r="A1528" s="7" t="s">
        <v>1731</v>
      </c>
      <c r="B1528" s="7" t="s">
        <v>5692</v>
      </c>
    </row>
    <row r="1529" spans="1:2">
      <c r="A1529" s="7" t="s">
        <v>1732</v>
      </c>
      <c r="B1529" s="7" t="s">
        <v>5695</v>
      </c>
    </row>
    <row r="1530" spans="1:2">
      <c r="A1530" s="7" t="s">
        <v>1733</v>
      </c>
      <c r="B1530" s="7" t="s">
        <v>5697</v>
      </c>
    </row>
    <row r="1531" spans="1:2">
      <c r="A1531" s="7" t="s">
        <v>1734</v>
      </c>
      <c r="B1531" s="7" t="s">
        <v>5701</v>
      </c>
    </row>
    <row r="1532" spans="1:2">
      <c r="A1532" s="7" t="s">
        <v>1735</v>
      </c>
      <c r="B1532" s="7" t="s">
        <v>5703</v>
      </c>
    </row>
    <row r="1533" spans="1:2">
      <c r="A1533" s="7" t="s">
        <v>1736</v>
      </c>
      <c r="B1533" s="7" t="s">
        <v>5707</v>
      </c>
    </row>
    <row r="1534" spans="1:2">
      <c r="A1534" s="7" t="s">
        <v>1737</v>
      </c>
      <c r="B1534" s="7" t="s">
        <v>5710</v>
      </c>
    </row>
    <row r="1535" spans="1:2">
      <c r="A1535" s="7" t="s">
        <v>1738</v>
      </c>
      <c r="B1535" s="7" t="s">
        <v>5712</v>
      </c>
    </row>
    <row r="1536" spans="1:2">
      <c r="A1536" s="7" t="s">
        <v>1739</v>
      </c>
      <c r="B1536" s="7" t="s">
        <v>5716</v>
      </c>
    </row>
    <row r="1537" spans="1:2">
      <c r="A1537" s="7" t="s">
        <v>1742</v>
      </c>
      <c r="B1537" s="7" t="s">
        <v>5722</v>
      </c>
    </row>
    <row r="1538" spans="1:2">
      <c r="A1538" s="7" t="s">
        <v>1743</v>
      </c>
      <c r="B1538" s="7" t="s">
        <v>5725</v>
      </c>
    </row>
    <row r="1539" spans="1:2">
      <c r="A1539" s="7" t="s">
        <v>1744</v>
      </c>
      <c r="B1539" s="7" t="s">
        <v>5728</v>
      </c>
    </row>
    <row r="1540" spans="1:2">
      <c r="A1540" s="7" t="s">
        <v>1749</v>
      </c>
      <c r="B1540" s="7" t="s">
        <v>5736</v>
      </c>
    </row>
    <row r="1541" spans="1:2">
      <c r="A1541" s="7" t="s">
        <v>1750</v>
      </c>
      <c r="B1541" s="7" t="s">
        <v>5740</v>
      </c>
    </row>
    <row r="1542" spans="1:2">
      <c r="A1542" s="7" t="s">
        <v>1751</v>
      </c>
      <c r="B1542" s="7" t="s">
        <v>5743</v>
      </c>
    </row>
    <row r="1543" spans="1:2">
      <c r="A1543" s="7" t="s">
        <v>1753</v>
      </c>
      <c r="B1543" s="7" t="s">
        <v>5745</v>
      </c>
    </row>
    <row r="1544" spans="1:2">
      <c r="A1544" s="7" t="s">
        <v>1754</v>
      </c>
      <c r="B1544" s="7" t="s">
        <v>5747</v>
      </c>
    </row>
    <row r="1545" spans="1:2">
      <c r="A1545" s="7" t="s">
        <v>1755</v>
      </c>
      <c r="B1545" s="7" t="s">
        <v>5751</v>
      </c>
    </row>
    <row r="1546" spans="1:2">
      <c r="A1546" s="7" t="s">
        <v>1756</v>
      </c>
      <c r="B1546" s="7" t="s">
        <v>5753</v>
      </c>
    </row>
    <row r="1547" spans="1:2">
      <c r="A1547" s="7" t="s">
        <v>1759</v>
      </c>
      <c r="B1547" s="7" t="s">
        <v>5756</v>
      </c>
    </row>
    <row r="1548" spans="1:2">
      <c r="A1548" s="7" t="s">
        <v>1761</v>
      </c>
      <c r="B1548" s="7" t="s">
        <v>5762</v>
      </c>
    </row>
    <row r="1549" spans="1:2">
      <c r="A1549" s="7" t="s">
        <v>1765</v>
      </c>
      <c r="B1549" s="7" t="s">
        <v>5768</v>
      </c>
    </row>
    <row r="1550" spans="1:2">
      <c r="A1550" s="7" t="s">
        <v>1768</v>
      </c>
      <c r="B1550" s="7" t="s">
        <v>5773</v>
      </c>
    </row>
    <row r="1551" spans="1:2">
      <c r="A1551" s="7" t="s">
        <v>1769</v>
      </c>
      <c r="B1551" s="7" t="s">
        <v>5775</v>
      </c>
    </row>
    <row r="1552" spans="1:2">
      <c r="A1552" s="7" t="s">
        <v>1770</v>
      </c>
      <c r="B1552" s="7" t="s">
        <v>5778</v>
      </c>
    </row>
    <row r="1553" spans="1:2">
      <c r="A1553" s="7" t="s">
        <v>1772</v>
      </c>
      <c r="B1553" s="7" t="s">
        <v>5782</v>
      </c>
    </row>
    <row r="1554" spans="1:2">
      <c r="A1554" s="7" t="s">
        <v>1773</v>
      </c>
      <c r="B1554" s="7" t="s">
        <v>5785</v>
      </c>
    </row>
    <row r="1555" spans="1:2">
      <c r="A1555" s="7" t="s">
        <v>1774</v>
      </c>
      <c r="B1555" s="7" t="s">
        <v>5787</v>
      </c>
    </row>
    <row r="1556" spans="1:2">
      <c r="A1556" s="7" t="s">
        <v>1775</v>
      </c>
      <c r="B1556" s="7" t="s">
        <v>5790</v>
      </c>
    </row>
    <row r="1557" spans="1:2">
      <c r="A1557" s="7" t="s">
        <v>1778</v>
      </c>
      <c r="B1557" s="7" t="s">
        <v>5792</v>
      </c>
    </row>
    <row r="1558" spans="1:2">
      <c r="A1558" s="7" t="s">
        <v>1780</v>
      </c>
      <c r="B1558" s="7" t="s">
        <v>5794</v>
      </c>
    </row>
    <row r="1559" spans="1:2">
      <c r="A1559" s="7" t="s">
        <v>1781</v>
      </c>
      <c r="B1559" s="7" t="s">
        <v>5797</v>
      </c>
    </row>
    <row r="1560" spans="1:2">
      <c r="A1560" s="7" t="s">
        <v>1782</v>
      </c>
      <c r="B1560" s="7" t="s">
        <v>5800</v>
      </c>
    </row>
    <row r="1561" spans="1:2">
      <c r="A1561" s="7" t="s">
        <v>893</v>
      </c>
      <c r="B1561" s="7" t="s">
        <v>5802</v>
      </c>
    </row>
    <row r="1562" spans="1:2">
      <c r="A1562" s="7" t="s">
        <v>1784</v>
      </c>
      <c r="B1562" s="7" t="s">
        <v>5804</v>
      </c>
    </row>
    <row r="1563" spans="1:2">
      <c r="A1563" s="7" t="s">
        <v>1785</v>
      </c>
      <c r="B1563" s="7" t="s">
        <v>5807</v>
      </c>
    </row>
    <row r="1564" spans="1:2">
      <c r="A1564" s="7" t="s">
        <v>1788</v>
      </c>
      <c r="B1564" s="7" t="s">
        <v>5809</v>
      </c>
    </row>
    <row r="1565" spans="1:2">
      <c r="A1565" s="7" t="s">
        <v>1790</v>
      </c>
      <c r="B1565" s="7" t="s">
        <v>5811</v>
      </c>
    </row>
    <row r="1566" spans="1:2">
      <c r="A1566" s="7" t="s">
        <v>1792</v>
      </c>
      <c r="B1566" s="7" t="s">
        <v>5813</v>
      </c>
    </row>
    <row r="1567" spans="1:2">
      <c r="A1567" s="7" t="s">
        <v>110</v>
      </c>
      <c r="B1567" s="7" t="s">
        <v>5816</v>
      </c>
    </row>
    <row r="1568" spans="1:2">
      <c r="A1568" s="7" t="s">
        <v>1794</v>
      </c>
      <c r="B1568" s="7" t="s">
        <v>5818</v>
      </c>
    </row>
    <row r="1569" spans="1:2">
      <c r="A1569" s="7" t="s">
        <v>1795</v>
      </c>
      <c r="B1569" s="7" t="s">
        <v>5820</v>
      </c>
    </row>
    <row r="1570" spans="1:2">
      <c r="A1570" s="7" t="s">
        <v>1797</v>
      </c>
      <c r="B1570" s="7" t="s">
        <v>5822</v>
      </c>
    </row>
    <row r="1571" spans="1:2">
      <c r="A1571" s="7" t="s">
        <v>1798</v>
      </c>
      <c r="B1571" s="7" t="s">
        <v>5825</v>
      </c>
    </row>
    <row r="1572" spans="1:2">
      <c r="A1572" s="7" t="s">
        <v>1800</v>
      </c>
      <c r="B1572" s="7" t="s">
        <v>5827</v>
      </c>
    </row>
    <row r="1573" spans="1:2">
      <c r="A1573" s="7" t="s">
        <v>1802</v>
      </c>
      <c r="B1573" s="7" t="s">
        <v>5829</v>
      </c>
    </row>
    <row r="1574" spans="1:2">
      <c r="A1574" s="7" t="s">
        <v>1804</v>
      </c>
      <c r="B1574" s="7" t="s">
        <v>5832</v>
      </c>
    </row>
    <row r="1575" spans="1:2">
      <c r="A1575" s="7" t="s">
        <v>1807</v>
      </c>
      <c r="B1575" s="7" t="s">
        <v>5835</v>
      </c>
    </row>
    <row r="1576" spans="1:2">
      <c r="A1576" s="7" t="s">
        <v>1808</v>
      </c>
      <c r="B1576" s="7" t="s">
        <v>5837</v>
      </c>
    </row>
    <row r="1577" spans="1:2">
      <c r="A1577" s="7" t="s">
        <v>1819</v>
      </c>
      <c r="B1577" s="7" t="s">
        <v>5859</v>
      </c>
    </row>
    <row r="1578" spans="1:2">
      <c r="A1578" s="7" t="s">
        <v>1821</v>
      </c>
      <c r="B1578" s="7" t="s">
        <v>5861</v>
      </c>
    </row>
    <row r="1579" spans="1:2">
      <c r="A1579" s="7" t="s">
        <v>1822</v>
      </c>
      <c r="B1579" s="7" t="s">
        <v>5863</v>
      </c>
    </row>
    <row r="1580" spans="1:2">
      <c r="A1580" s="7" t="s">
        <v>1823</v>
      </c>
      <c r="B1580" s="7" t="s">
        <v>5865</v>
      </c>
    </row>
    <row r="1581" spans="1:2">
      <c r="A1581" s="7" t="s">
        <v>1825</v>
      </c>
      <c r="B1581" s="7" t="s">
        <v>5867</v>
      </c>
    </row>
    <row r="1582" spans="1:2">
      <c r="A1582" s="7" t="s">
        <v>1832</v>
      </c>
      <c r="B1582" s="7" t="s">
        <v>5875</v>
      </c>
    </row>
    <row r="1583" spans="1:2">
      <c r="A1583" s="7" t="s">
        <v>1834</v>
      </c>
      <c r="B1583" s="7" t="s">
        <v>5877</v>
      </c>
    </row>
    <row r="1584" spans="1:2">
      <c r="A1584" s="7" t="s">
        <v>1836</v>
      </c>
      <c r="B1584" s="7" t="s">
        <v>5880</v>
      </c>
    </row>
    <row r="1585" spans="1:2">
      <c r="A1585" s="7" t="s">
        <v>1837</v>
      </c>
      <c r="B1585" s="7" t="s">
        <v>5883</v>
      </c>
    </row>
    <row r="1586" spans="1:2">
      <c r="A1586" s="7" t="s">
        <v>1838</v>
      </c>
      <c r="B1586" s="7" t="s">
        <v>5886</v>
      </c>
    </row>
    <row r="1587" spans="1:2">
      <c r="A1587" s="7" t="s">
        <v>1841</v>
      </c>
      <c r="B1587" s="7" t="s">
        <v>5891</v>
      </c>
    </row>
    <row r="1588" spans="1:2">
      <c r="A1588" s="7" t="s">
        <v>1842</v>
      </c>
      <c r="B1588" s="7" t="s">
        <v>5893</v>
      </c>
    </row>
    <row r="1589" spans="1:2">
      <c r="A1589" s="7" t="s">
        <v>1843</v>
      </c>
      <c r="B1589" s="7" t="s">
        <v>5896</v>
      </c>
    </row>
    <row r="1590" spans="1:2">
      <c r="A1590" s="7" t="s">
        <v>1846</v>
      </c>
      <c r="B1590" s="7" t="s">
        <v>5905</v>
      </c>
    </row>
    <row r="1591" spans="1:2">
      <c r="A1591" s="7" t="s">
        <v>1847</v>
      </c>
      <c r="B1591" s="7" t="s">
        <v>5909</v>
      </c>
    </row>
    <row r="1592" spans="1:2">
      <c r="A1592" s="7" t="s">
        <v>1849</v>
      </c>
      <c r="B1592" s="7" t="s">
        <v>5914</v>
      </c>
    </row>
    <row r="1593" spans="1:2">
      <c r="A1593" s="7" t="s">
        <v>1850</v>
      </c>
      <c r="B1593" s="7" t="s">
        <v>5916</v>
      </c>
    </row>
    <row r="1594" spans="1:2">
      <c r="A1594" s="7" t="s">
        <v>1851</v>
      </c>
      <c r="B1594" s="7" t="s">
        <v>5918</v>
      </c>
    </row>
    <row r="1595" spans="1:2">
      <c r="A1595" s="7" t="s">
        <v>1853</v>
      </c>
      <c r="B1595" s="7" t="s">
        <v>5920</v>
      </c>
    </row>
    <row r="1596" spans="1:2">
      <c r="A1596" s="7" t="s">
        <v>1859</v>
      </c>
      <c r="B1596" s="7" t="s">
        <v>5937</v>
      </c>
    </row>
    <row r="1597" spans="1:2">
      <c r="A1597" s="7" t="s">
        <v>1863</v>
      </c>
      <c r="B1597" s="7" t="s">
        <v>5944</v>
      </c>
    </row>
    <row r="1598" spans="1:2">
      <c r="A1598" s="7" t="s">
        <v>1864</v>
      </c>
      <c r="B1598" s="7" t="s">
        <v>5946</v>
      </c>
    </row>
    <row r="1599" spans="1:2">
      <c r="A1599" s="7" t="s">
        <v>1865</v>
      </c>
      <c r="B1599" s="7" t="s">
        <v>5948</v>
      </c>
    </row>
    <row r="1600" spans="1:2">
      <c r="A1600" s="7" t="s">
        <v>1866</v>
      </c>
      <c r="B1600" s="7" t="s">
        <v>5951</v>
      </c>
    </row>
    <row r="1601" spans="1:2">
      <c r="A1601" s="7" t="s">
        <v>1868</v>
      </c>
      <c r="B1601" s="7" t="s">
        <v>5954</v>
      </c>
    </row>
    <row r="1602" spans="1:2">
      <c r="A1602" s="7" t="s">
        <v>1869</v>
      </c>
      <c r="B1602" s="7" t="s">
        <v>5957</v>
      </c>
    </row>
    <row r="1603" spans="1:2">
      <c r="A1603" s="7" t="s">
        <v>1870</v>
      </c>
      <c r="B1603" s="7" t="s">
        <v>5959</v>
      </c>
    </row>
    <row r="1604" spans="1:2">
      <c r="A1604" s="7" t="s">
        <v>1871</v>
      </c>
      <c r="B1604" s="7" t="s">
        <v>5962</v>
      </c>
    </row>
    <row r="1605" spans="1:2">
      <c r="A1605" s="7" t="s">
        <v>1872</v>
      </c>
      <c r="B1605" s="7" t="s">
        <v>5966</v>
      </c>
    </row>
    <row r="1606" spans="1:2">
      <c r="A1606" s="7" t="s">
        <v>1873</v>
      </c>
      <c r="B1606" s="7" t="s">
        <v>5970</v>
      </c>
    </row>
    <row r="1607" spans="1:2">
      <c r="A1607" s="7" t="s">
        <v>1874</v>
      </c>
      <c r="B1607" s="7" t="s">
        <v>5972</v>
      </c>
    </row>
    <row r="1608" spans="1:2">
      <c r="A1608" s="7" t="s">
        <v>1875</v>
      </c>
      <c r="B1608" s="7" t="s">
        <v>5974</v>
      </c>
    </row>
    <row r="1609" spans="1:2">
      <c r="A1609" s="7" t="s">
        <v>1876</v>
      </c>
      <c r="B1609" s="7" t="s">
        <v>5976</v>
      </c>
    </row>
    <row r="1610" spans="1:2">
      <c r="A1610" s="7" t="s">
        <v>1877</v>
      </c>
      <c r="B1610" s="7" t="s">
        <v>5979</v>
      </c>
    </row>
    <row r="1611" spans="1:2">
      <c r="A1611" s="7" t="s">
        <v>1879</v>
      </c>
      <c r="B1611" s="7" t="s">
        <v>5981</v>
      </c>
    </row>
    <row r="1612" spans="1:2">
      <c r="A1612" s="7" t="s">
        <v>1881</v>
      </c>
      <c r="B1612" s="7" t="s">
        <v>5984</v>
      </c>
    </row>
    <row r="1613" spans="1:2">
      <c r="A1613" s="7" t="s">
        <v>1882</v>
      </c>
      <c r="B1613" s="7" t="s">
        <v>5986</v>
      </c>
    </row>
    <row r="1614" spans="1:2">
      <c r="A1614" s="7" t="s">
        <v>1883</v>
      </c>
      <c r="B1614" s="7" t="s">
        <v>5988</v>
      </c>
    </row>
    <row r="1615" spans="1:2">
      <c r="A1615" s="7" t="s">
        <v>1885</v>
      </c>
      <c r="B1615" s="7" t="s">
        <v>5990</v>
      </c>
    </row>
    <row r="1616" spans="1:2">
      <c r="A1616" s="7" t="s">
        <v>1886</v>
      </c>
      <c r="B1616" s="7" t="s">
        <v>5992</v>
      </c>
    </row>
    <row r="1617" spans="1:2">
      <c r="A1617" s="7" t="s">
        <v>1891</v>
      </c>
      <c r="B1617" s="7" t="s">
        <v>6009</v>
      </c>
    </row>
    <row r="1618" spans="1:2">
      <c r="A1618" s="7" t="s">
        <v>1894</v>
      </c>
      <c r="B1618" s="7" t="s">
        <v>6017</v>
      </c>
    </row>
    <row r="1619" spans="1:2">
      <c r="A1619" s="7" t="s">
        <v>1895</v>
      </c>
      <c r="B1619" s="7" t="s">
        <v>6021</v>
      </c>
    </row>
    <row r="1620" spans="1:2">
      <c r="A1620" s="7" t="s">
        <v>1896</v>
      </c>
      <c r="B1620" s="7" t="s">
        <v>6025</v>
      </c>
    </row>
    <row r="1621" spans="1:2">
      <c r="A1621" s="7" t="s">
        <v>1897</v>
      </c>
      <c r="B1621" s="7" t="s">
        <v>6027</v>
      </c>
    </row>
    <row r="1622" spans="1:2">
      <c r="A1622" s="7" t="s">
        <v>1899</v>
      </c>
      <c r="B1622" s="7" t="s">
        <v>6033</v>
      </c>
    </row>
    <row r="1623" spans="1:2">
      <c r="A1623" s="7" t="s">
        <v>1900</v>
      </c>
      <c r="B1623" s="7" t="s">
        <v>6036</v>
      </c>
    </row>
    <row r="1624" spans="1:2">
      <c r="A1624" s="7" t="s">
        <v>1902</v>
      </c>
      <c r="B1624" s="7" t="s">
        <v>6039</v>
      </c>
    </row>
    <row r="1625" spans="1:2">
      <c r="A1625" s="7" t="s">
        <v>1907</v>
      </c>
      <c r="B1625" s="7" t="s">
        <v>6049</v>
      </c>
    </row>
    <row r="1626" spans="1:2">
      <c r="A1626" s="7" t="s">
        <v>1909</v>
      </c>
      <c r="B1626" s="7" t="s">
        <v>6052</v>
      </c>
    </row>
    <row r="1627" spans="1:2">
      <c r="A1627" s="7" t="s">
        <v>1911</v>
      </c>
      <c r="B1627" s="7" t="s">
        <v>6055</v>
      </c>
    </row>
    <row r="1628" spans="1:2">
      <c r="A1628" s="7" t="s">
        <v>1913</v>
      </c>
      <c r="B1628" s="7" t="s">
        <v>6058</v>
      </c>
    </row>
    <row r="1629" spans="1:2">
      <c r="A1629" s="7" t="s">
        <v>1915</v>
      </c>
      <c r="B1629" s="7" t="s">
        <v>6062</v>
      </c>
    </row>
    <row r="1630" spans="1:2">
      <c r="A1630" s="7" t="s">
        <v>1917</v>
      </c>
      <c r="B1630" s="7" t="s">
        <v>6064</v>
      </c>
    </row>
    <row r="1631" spans="1:2">
      <c r="A1631" s="7" t="s">
        <v>1921</v>
      </c>
      <c r="B1631" s="7" t="s">
        <v>6070</v>
      </c>
    </row>
    <row r="1632" spans="1:2">
      <c r="A1632" s="7" t="s">
        <v>1923</v>
      </c>
      <c r="B1632" s="7" t="s">
        <v>6072</v>
      </c>
    </row>
    <row r="1633" spans="1:2">
      <c r="A1633" s="7" t="s">
        <v>1924</v>
      </c>
      <c r="B1633" s="7" t="s">
        <v>6076</v>
      </c>
    </row>
    <row r="1634" spans="1:2">
      <c r="A1634" s="7" t="s">
        <v>1926</v>
      </c>
      <c r="B1634" s="7" t="s">
        <v>6080</v>
      </c>
    </row>
    <row r="1635" spans="1:2">
      <c r="A1635" s="7" t="s">
        <v>1929</v>
      </c>
      <c r="B1635" s="7" t="s">
        <v>6085</v>
      </c>
    </row>
    <row r="1636" spans="1:2">
      <c r="A1636" s="7" t="s">
        <v>1931</v>
      </c>
      <c r="B1636" s="7" t="s">
        <v>6088</v>
      </c>
    </row>
    <row r="1637" spans="1:2">
      <c r="A1637" s="7" t="s">
        <v>1935</v>
      </c>
      <c r="B1637" s="7" t="s">
        <v>6092</v>
      </c>
    </row>
    <row r="1638" spans="1:2">
      <c r="A1638" s="7" t="s">
        <v>1937</v>
      </c>
      <c r="B1638" s="7" t="s">
        <v>6094</v>
      </c>
    </row>
    <row r="1639" spans="1:2">
      <c r="A1639" s="7" t="s">
        <v>1939</v>
      </c>
      <c r="B1639" s="7" t="s">
        <v>6096</v>
      </c>
    </row>
    <row r="1640" spans="1:2">
      <c r="A1640" s="7" t="s">
        <v>1941</v>
      </c>
      <c r="B1640" s="7" t="s">
        <v>6099</v>
      </c>
    </row>
    <row r="1641" spans="1:2">
      <c r="A1641" s="7" t="s">
        <v>1943</v>
      </c>
      <c r="B1641" s="7" t="s">
        <v>6101</v>
      </c>
    </row>
    <row r="1642" spans="1:2">
      <c r="A1642" s="7" t="s">
        <v>1944</v>
      </c>
      <c r="B1642" s="7" t="s">
        <v>6104</v>
      </c>
    </row>
    <row r="1643" spans="1:2">
      <c r="A1643" s="7" t="s">
        <v>1946</v>
      </c>
      <c r="B1643" s="7" t="s">
        <v>6106</v>
      </c>
    </row>
    <row r="1644" spans="1:2">
      <c r="A1644" s="7" t="s">
        <v>1948</v>
      </c>
      <c r="B1644" s="7" t="s">
        <v>6108</v>
      </c>
    </row>
    <row r="1645" spans="1:2">
      <c r="A1645" s="7" t="s">
        <v>1950</v>
      </c>
      <c r="B1645" s="7" t="s">
        <v>6111</v>
      </c>
    </row>
    <row r="1646" spans="1:2">
      <c r="A1646" s="7" t="s">
        <v>1952</v>
      </c>
      <c r="B1646" s="7" t="s">
        <v>6113</v>
      </c>
    </row>
    <row r="1647" spans="1:2">
      <c r="A1647" s="7" t="s">
        <v>1953</v>
      </c>
      <c r="B1647" s="7" t="s">
        <v>6115</v>
      </c>
    </row>
    <row r="1648" spans="1:2">
      <c r="A1648" s="7" t="s">
        <v>1954</v>
      </c>
      <c r="B1648" s="7" t="s">
        <v>6118</v>
      </c>
    </row>
    <row r="1649" spans="1:2">
      <c r="A1649" s="7" t="s">
        <v>1955</v>
      </c>
      <c r="B1649" s="7" t="s">
        <v>6121</v>
      </c>
    </row>
    <row r="1650" spans="1:2">
      <c r="A1650" s="7" t="s">
        <v>1956</v>
      </c>
      <c r="B1650" s="7" t="s">
        <v>6123</v>
      </c>
    </row>
    <row r="1651" spans="1:2">
      <c r="A1651" s="7" t="s">
        <v>1958</v>
      </c>
      <c r="B1651" s="7" t="s">
        <v>6127</v>
      </c>
    </row>
    <row r="1652" spans="1:2">
      <c r="A1652" s="7" t="s">
        <v>1959</v>
      </c>
      <c r="B1652" s="7" t="s">
        <v>6129</v>
      </c>
    </row>
    <row r="1653" spans="1:2">
      <c r="A1653" s="7" t="s">
        <v>1960</v>
      </c>
      <c r="B1653" s="7" t="s">
        <v>6131</v>
      </c>
    </row>
    <row r="1654" spans="1:2">
      <c r="A1654" s="7" t="s">
        <v>1961</v>
      </c>
      <c r="B1654" s="7" t="s">
        <v>6133</v>
      </c>
    </row>
    <row r="1655" spans="1:2">
      <c r="A1655" s="7" t="s">
        <v>1962</v>
      </c>
      <c r="B1655" s="7" t="s">
        <v>6135</v>
      </c>
    </row>
    <row r="1656" spans="1:2">
      <c r="A1656" s="7" t="s">
        <v>1963</v>
      </c>
      <c r="B1656" s="7" t="s">
        <v>6137</v>
      </c>
    </row>
    <row r="1657" spans="1:2">
      <c r="A1657" s="7" t="s">
        <v>1964</v>
      </c>
      <c r="B1657" s="7" t="s">
        <v>6140</v>
      </c>
    </row>
    <row r="1658" spans="1:2">
      <c r="A1658" s="7" t="s">
        <v>1965</v>
      </c>
      <c r="B1658" s="7" t="s">
        <v>6143</v>
      </c>
    </row>
    <row r="1659" spans="1:2">
      <c r="A1659" s="7" t="s">
        <v>1966</v>
      </c>
      <c r="B1659" s="7" t="s">
        <v>6145</v>
      </c>
    </row>
    <row r="1660" spans="1:2">
      <c r="A1660" s="7" t="s">
        <v>1967</v>
      </c>
      <c r="B1660" s="7" t="s">
        <v>6147</v>
      </c>
    </row>
    <row r="1661" spans="1:2">
      <c r="A1661" s="7" t="s">
        <v>1968</v>
      </c>
      <c r="B1661" s="7" t="s">
        <v>6150</v>
      </c>
    </row>
    <row r="1662" spans="1:2">
      <c r="A1662" s="7" t="s">
        <v>1969</v>
      </c>
      <c r="B1662" s="7" t="s">
        <v>6152</v>
      </c>
    </row>
    <row r="1663" spans="1:2">
      <c r="A1663" s="7" t="s">
        <v>1970</v>
      </c>
      <c r="B1663" s="7" t="s">
        <v>6154</v>
      </c>
    </row>
    <row r="1664" spans="1:2">
      <c r="A1664" s="7" t="s">
        <v>1972</v>
      </c>
      <c r="B1664" s="7" t="s">
        <v>6156</v>
      </c>
    </row>
    <row r="1665" spans="1:2">
      <c r="A1665" s="7" t="s">
        <v>1973</v>
      </c>
      <c r="B1665" s="7" t="s">
        <v>6158</v>
      </c>
    </row>
    <row r="1666" spans="1:2">
      <c r="A1666" s="7" t="s">
        <v>1975</v>
      </c>
      <c r="B1666" s="7" t="s">
        <v>6164</v>
      </c>
    </row>
    <row r="1667" spans="1:2">
      <c r="A1667" s="7" t="s">
        <v>1979</v>
      </c>
      <c r="B1667" s="7" t="s">
        <v>6170</v>
      </c>
    </row>
    <row r="1668" spans="1:2">
      <c r="A1668" s="7" t="s">
        <v>1980</v>
      </c>
      <c r="B1668" s="7" t="s">
        <v>6173</v>
      </c>
    </row>
    <row r="1669" spans="1:2">
      <c r="A1669" s="7" t="s">
        <v>1981</v>
      </c>
      <c r="B1669" s="7" t="s">
        <v>6175</v>
      </c>
    </row>
    <row r="1670" spans="1:2">
      <c r="A1670" s="7" t="s">
        <v>1982</v>
      </c>
      <c r="B1670" s="7" t="s">
        <v>6177</v>
      </c>
    </row>
    <row r="1671" spans="1:2">
      <c r="A1671" s="7" t="s">
        <v>1993</v>
      </c>
      <c r="B1671" s="7" t="s">
        <v>6197</v>
      </c>
    </row>
    <row r="1672" spans="1:2">
      <c r="A1672" s="7" t="s">
        <v>1995</v>
      </c>
      <c r="B1672" s="7" t="s">
        <v>6204</v>
      </c>
    </row>
    <row r="1673" spans="1:2">
      <c r="A1673" s="7" t="s">
        <v>1996</v>
      </c>
      <c r="B1673" s="7" t="s">
        <v>6208</v>
      </c>
    </row>
    <row r="1674" spans="1:2">
      <c r="A1674" s="7" t="s">
        <v>1997</v>
      </c>
      <c r="B1674" s="7" t="s">
        <v>6211</v>
      </c>
    </row>
    <row r="1675" spans="1:2">
      <c r="A1675" s="7" t="s">
        <v>1998</v>
      </c>
      <c r="B1675" s="7" t="s">
        <v>6214</v>
      </c>
    </row>
    <row r="1676" spans="1:2">
      <c r="A1676" s="7" t="s">
        <v>2005</v>
      </c>
      <c r="B1676" s="7" t="s">
        <v>6240</v>
      </c>
    </row>
    <row r="1677" spans="1:2">
      <c r="A1677" s="7" t="s">
        <v>2007</v>
      </c>
      <c r="B1677" s="7" t="s">
        <v>6245</v>
      </c>
    </row>
    <row r="1678" spans="1:2">
      <c r="A1678" s="7" t="s">
        <v>2009</v>
      </c>
      <c r="B1678" s="7" t="s">
        <v>6248</v>
      </c>
    </row>
    <row r="1679" spans="1:2">
      <c r="A1679" s="7" t="s">
        <v>2012</v>
      </c>
      <c r="B1679" s="7" t="s">
        <v>6253</v>
      </c>
    </row>
    <row r="1680" spans="1:2">
      <c r="A1680" s="7" t="s">
        <v>2014</v>
      </c>
      <c r="B1680" s="7" t="s">
        <v>6255</v>
      </c>
    </row>
    <row r="1681" spans="1:2">
      <c r="A1681" s="7" t="s">
        <v>2015</v>
      </c>
      <c r="B1681" s="7" t="s">
        <v>6257</v>
      </c>
    </row>
    <row r="1682" spans="1:2">
      <c r="A1682" s="7" t="s">
        <v>2018</v>
      </c>
      <c r="B1682" s="7" t="s">
        <v>6263</v>
      </c>
    </row>
    <row r="1683" spans="1:2">
      <c r="A1683" s="7" t="s">
        <v>2019</v>
      </c>
      <c r="B1683" s="7" t="s">
        <v>6265</v>
      </c>
    </row>
    <row r="1684" spans="1:2">
      <c r="A1684" s="7" t="s">
        <v>2022</v>
      </c>
      <c r="B1684" s="7" t="s">
        <v>6275</v>
      </c>
    </row>
    <row r="1685" spans="1:2">
      <c r="A1685" s="7" t="s">
        <v>2026</v>
      </c>
      <c r="B1685" s="7" t="s">
        <v>6285</v>
      </c>
    </row>
    <row r="1686" spans="1:2">
      <c r="A1686" s="7" t="s">
        <v>2027</v>
      </c>
      <c r="B1686" s="7" t="s">
        <v>6288</v>
      </c>
    </row>
    <row r="1687" spans="1:2">
      <c r="A1687" s="7" t="s">
        <v>2029</v>
      </c>
      <c r="B1687" s="7" t="s">
        <v>6294</v>
      </c>
    </row>
    <row r="1688" spans="1:2">
      <c r="A1688" s="7" t="s">
        <v>2030</v>
      </c>
      <c r="B1688" s="7" t="s">
        <v>6297</v>
      </c>
    </row>
    <row r="1689" spans="1:2">
      <c r="A1689" s="7" t="s">
        <v>2032</v>
      </c>
      <c r="B1689" s="7" t="s">
        <v>6300</v>
      </c>
    </row>
    <row r="1690" spans="1:2">
      <c r="A1690" s="7" t="s">
        <v>2034</v>
      </c>
      <c r="B1690" s="7" t="s">
        <v>6303</v>
      </c>
    </row>
    <row r="1691" spans="1:2">
      <c r="A1691" s="7" t="s">
        <v>2037</v>
      </c>
      <c r="B1691" s="7" t="s">
        <v>6312</v>
      </c>
    </row>
    <row r="1692" spans="1:2">
      <c r="A1692" s="7" t="s">
        <v>2039</v>
      </c>
      <c r="B1692" s="7" t="s">
        <v>6319</v>
      </c>
    </row>
    <row r="1693" spans="1:2">
      <c r="A1693" s="7" t="s">
        <v>2040</v>
      </c>
      <c r="B1693" s="7" t="s">
        <v>6322</v>
      </c>
    </row>
    <row r="1694" spans="1:2">
      <c r="A1694" s="7" t="s">
        <v>2042</v>
      </c>
      <c r="B1694" s="7" t="s">
        <v>6325</v>
      </c>
    </row>
    <row r="1695" spans="1:2">
      <c r="A1695" s="7" t="s">
        <v>2043</v>
      </c>
      <c r="B1695" s="7" t="s">
        <v>6327</v>
      </c>
    </row>
    <row r="1696" spans="1:2">
      <c r="A1696" s="7" t="s">
        <v>2044</v>
      </c>
      <c r="B1696" s="7" t="s">
        <v>6329</v>
      </c>
    </row>
    <row r="1697" spans="1:2">
      <c r="A1697" s="7" t="s">
        <v>2046</v>
      </c>
      <c r="B1697" s="7" t="s">
        <v>6333</v>
      </c>
    </row>
    <row r="1698" spans="1:2">
      <c r="A1698" s="7" t="s">
        <v>2047</v>
      </c>
      <c r="B1698" s="7" t="s">
        <v>6335</v>
      </c>
    </row>
    <row r="1699" spans="1:2">
      <c r="A1699" s="7" t="s">
        <v>2048</v>
      </c>
      <c r="B1699" s="7" t="s">
        <v>6337</v>
      </c>
    </row>
    <row r="1700" spans="1:2">
      <c r="B1700" s="7" t="s">
        <v>6341</v>
      </c>
    </row>
    <row r="1701" spans="1:2">
      <c r="B1701" s="7" t="s">
        <v>6343</v>
      </c>
    </row>
    <row r="1702" spans="1:2">
      <c r="B1702" s="7" t="s">
        <v>6346</v>
      </c>
    </row>
    <row r="1703" spans="1:2">
      <c r="B1703" s="7" t="s">
        <v>6350</v>
      </c>
    </row>
    <row r="1704" spans="1:2">
      <c r="B1704" s="7" t="s">
        <v>6353</v>
      </c>
    </row>
    <row r="1705" spans="1:2">
      <c r="B1705" s="7" t="s">
        <v>6355</v>
      </c>
    </row>
    <row r="1706" spans="1:2">
      <c r="B1706" s="7" t="s">
        <v>6361</v>
      </c>
    </row>
    <row r="1707" spans="1:2">
      <c r="B1707" s="7" t="s">
        <v>6368</v>
      </c>
    </row>
    <row r="1708" spans="1:2">
      <c r="B1708" s="7" t="s">
        <v>6397</v>
      </c>
    </row>
    <row r="1709" spans="1:2">
      <c r="B1709" s="7" t="s">
        <v>6403</v>
      </c>
    </row>
    <row r="1710" spans="1:2">
      <c r="B1710" s="7" t="s">
        <v>6405</v>
      </c>
    </row>
    <row r="1711" spans="1:2">
      <c r="B1711" s="7" t="s">
        <v>6407</v>
      </c>
    </row>
    <row r="1712" spans="1:2">
      <c r="B1712" s="7" t="s">
        <v>6410</v>
      </c>
    </row>
    <row r="1713" spans="2:2">
      <c r="B1713" s="7" t="s">
        <v>6412</v>
      </c>
    </row>
    <row r="1714" spans="2:2">
      <c r="B1714" s="7" t="s">
        <v>6414</v>
      </c>
    </row>
    <row r="1715" spans="2:2">
      <c r="B1715" s="7" t="s">
        <v>6417</v>
      </c>
    </row>
    <row r="1716" spans="2:2">
      <c r="B1716" s="7" t="s">
        <v>6422</v>
      </c>
    </row>
    <row r="1717" spans="2:2">
      <c r="B1717" s="7" t="s">
        <v>6425</v>
      </c>
    </row>
    <row r="1718" spans="2:2">
      <c r="B1718" s="7" t="s">
        <v>6438</v>
      </c>
    </row>
    <row r="1719" spans="2:2">
      <c r="B1719" s="7" t="s">
        <v>6441</v>
      </c>
    </row>
    <row r="1720" spans="2:2">
      <c r="B1720" s="7" t="s">
        <v>6445</v>
      </c>
    </row>
    <row r="1721" spans="2:2">
      <c r="B1721" s="7" t="s">
        <v>6451</v>
      </c>
    </row>
    <row r="1722" spans="2:2">
      <c r="B1722" s="7" t="s">
        <v>6453</v>
      </c>
    </row>
    <row r="1723" spans="2:2">
      <c r="B1723" s="7" t="s">
        <v>6455</v>
      </c>
    </row>
    <row r="1724" spans="2:2">
      <c r="B1724" s="7" t="s">
        <v>6457</v>
      </c>
    </row>
    <row r="1725" spans="2:2">
      <c r="B1725" s="7" t="s">
        <v>6467</v>
      </c>
    </row>
    <row r="1726" spans="2:2">
      <c r="B1726" s="7" t="s">
        <v>6470</v>
      </c>
    </row>
    <row r="1727" spans="2:2">
      <c r="B1727" s="7" t="s">
        <v>6473</v>
      </c>
    </row>
    <row r="1728" spans="2:2">
      <c r="B1728" s="7" t="s">
        <v>6477</v>
      </c>
    </row>
    <row r="1729" spans="2:2">
      <c r="B1729" s="7" t="s">
        <v>6481</v>
      </c>
    </row>
    <row r="1730" spans="2:2">
      <c r="B1730" s="7" t="s">
        <v>6484</v>
      </c>
    </row>
    <row r="1731" spans="2:2">
      <c r="B1731" s="7" t="s">
        <v>6487</v>
      </c>
    </row>
    <row r="1732" spans="2:2">
      <c r="B1732" s="7" t="s">
        <v>6489</v>
      </c>
    </row>
    <row r="1733" spans="2:2">
      <c r="B1733" s="7" t="s">
        <v>6500</v>
      </c>
    </row>
    <row r="1734" spans="2:2">
      <c r="B1734" s="7" t="s">
        <v>6502</v>
      </c>
    </row>
    <row r="1735" spans="2:2">
      <c r="B1735" s="7" t="s">
        <v>6507</v>
      </c>
    </row>
    <row r="1736" spans="2:2">
      <c r="B1736" s="7" t="s">
        <v>6514</v>
      </c>
    </row>
    <row r="1737" spans="2:2">
      <c r="B1737" s="7" t="s">
        <v>6518</v>
      </c>
    </row>
    <row r="1738" spans="2:2">
      <c r="B1738" s="7" t="s">
        <v>6521</v>
      </c>
    </row>
    <row r="1739" spans="2:2">
      <c r="B1739" s="7" t="s">
        <v>6523</v>
      </c>
    </row>
    <row r="1740" spans="2:2">
      <c r="B1740" s="7" t="s">
        <v>6525</v>
      </c>
    </row>
    <row r="1741" spans="2:2">
      <c r="B1741" s="7" t="s">
        <v>6528</v>
      </c>
    </row>
    <row r="1742" spans="2:2">
      <c r="B1742" s="7" t="s">
        <v>6530</v>
      </c>
    </row>
    <row r="1743" spans="2:2">
      <c r="B1743" s="7" t="s">
        <v>6536</v>
      </c>
    </row>
    <row r="1744" spans="2:2">
      <c r="B1744" s="7" t="s">
        <v>6540</v>
      </c>
    </row>
    <row r="1745" spans="2:2">
      <c r="B1745" s="7" t="s">
        <v>6544</v>
      </c>
    </row>
    <row r="1746" spans="2:2">
      <c r="B1746" s="7" t="s">
        <v>6546</v>
      </c>
    </row>
    <row r="1747" spans="2:2">
      <c r="B1747" s="7" t="s">
        <v>6549</v>
      </c>
    </row>
    <row r="1748" spans="2:2">
      <c r="B1748" s="7" t="s">
        <v>6551</v>
      </c>
    </row>
    <row r="1749" spans="2:2">
      <c r="B1749" s="7" t="s">
        <v>6558</v>
      </c>
    </row>
    <row r="1750" spans="2:2">
      <c r="B1750" s="7" t="s">
        <v>6573</v>
      </c>
    </row>
    <row r="1751" spans="2:2">
      <c r="B1751" s="7" t="s">
        <v>6577</v>
      </c>
    </row>
    <row r="1752" spans="2:2">
      <c r="B1752" s="7" t="s">
        <v>6580</v>
      </c>
    </row>
    <row r="1753" spans="2:2">
      <c r="B1753" s="7" t="s">
        <v>6582</v>
      </c>
    </row>
    <row r="1754" spans="2:2">
      <c r="B1754" s="7" t="s">
        <v>6584</v>
      </c>
    </row>
    <row r="1755" spans="2:2">
      <c r="B1755" s="7" t="s">
        <v>6586</v>
      </c>
    </row>
    <row r="1756" spans="2:2">
      <c r="B1756" s="7" t="s">
        <v>6601</v>
      </c>
    </row>
    <row r="1757" spans="2:2">
      <c r="B1757" s="7" t="s">
        <v>6603</v>
      </c>
    </row>
    <row r="1758" spans="2:2">
      <c r="B1758" s="7" t="s">
        <v>6606</v>
      </c>
    </row>
    <row r="1759" spans="2:2">
      <c r="B1759" s="7" t="s">
        <v>6608</v>
      </c>
    </row>
    <row r="1760" spans="2:2">
      <c r="B1760" s="7" t="s">
        <v>6611</v>
      </c>
    </row>
    <row r="1761" spans="2:2">
      <c r="B1761" s="7" t="s">
        <v>6613</v>
      </c>
    </row>
    <row r="1762" spans="2:2">
      <c r="B1762" s="7" t="s">
        <v>6617</v>
      </c>
    </row>
    <row r="1763" spans="2:2">
      <c r="B1763" s="7" t="s">
        <v>6621</v>
      </c>
    </row>
    <row r="1764" spans="2:2">
      <c r="B1764" s="7" t="s">
        <v>6623</v>
      </c>
    </row>
    <row r="1765" spans="2:2">
      <c r="B1765" s="7" t="s">
        <v>6626</v>
      </c>
    </row>
    <row r="1766" spans="2:2">
      <c r="B1766" s="7" t="s">
        <v>6629</v>
      </c>
    </row>
    <row r="1767" spans="2:2">
      <c r="B1767" s="7" t="s">
        <v>6632</v>
      </c>
    </row>
    <row r="1768" spans="2:2">
      <c r="B1768" s="7" t="s">
        <v>6638</v>
      </c>
    </row>
    <row r="1769" spans="2:2">
      <c r="B1769" s="7" t="s">
        <v>6640</v>
      </c>
    </row>
    <row r="1770" spans="2:2">
      <c r="B1770" s="7" t="s">
        <v>6642</v>
      </c>
    </row>
    <row r="1771" spans="2:2">
      <c r="B1771" s="7" t="s">
        <v>6645</v>
      </c>
    </row>
    <row r="1772" spans="2:2">
      <c r="B1772" s="7" t="s">
        <v>6649</v>
      </c>
    </row>
    <row r="1773" spans="2:2">
      <c r="B1773" s="7" t="s">
        <v>6651</v>
      </c>
    </row>
    <row r="1774" spans="2:2">
      <c r="B1774" s="7" t="s">
        <v>6653</v>
      </c>
    </row>
    <row r="1775" spans="2:2">
      <c r="B1775" s="7" t="s">
        <v>6655</v>
      </c>
    </row>
    <row r="1776" spans="2:2">
      <c r="B1776" s="7" t="s">
        <v>6657</v>
      </c>
    </row>
    <row r="1777" spans="2:2">
      <c r="B1777" s="7" t="s">
        <v>6659</v>
      </c>
    </row>
    <row r="1778" spans="2:2">
      <c r="B1778" s="7" t="s">
        <v>6661</v>
      </c>
    </row>
    <row r="1779" spans="2:2">
      <c r="B1779" s="7" t="s">
        <v>6664</v>
      </c>
    </row>
    <row r="1780" spans="2:2">
      <c r="B1780" s="7" t="s">
        <v>6667</v>
      </c>
    </row>
    <row r="1781" spans="2:2">
      <c r="B1781" s="7" t="s">
        <v>6670</v>
      </c>
    </row>
    <row r="1782" spans="2:2">
      <c r="B1782" s="7" t="s">
        <v>6673</v>
      </c>
    </row>
    <row r="1783" spans="2:2">
      <c r="B1783" s="7" t="s">
        <v>6675</v>
      </c>
    </row>
    <row r="1784" spans="2:2">
      <c r="B1784" s="7" t="s">
        <v>6677</v>
      </c>
    </row>
    <row r="1785" spans="2:2">
      <c r="B1785" s="7" t="s">
        <v>6680</v>
      </c>
    </row>
    <row r="1786" spans="2:2">
      <c r="B1786" s="7" t="s">
        <v>6686</v>
      </c>
    </row>
    <row r="1787" spans="2:2">
      <c r="B1787" s="7" t="s">
        <v>6688</v>
      </c>
    </row>
    <row r="1788" spans="2:2">
      <c r="B1788" s="7" t="s">
        <v>6691</v>
      </c>
    </row>
    <row r="1789" spans="2:2">
      <c r="B1789" s="7" t="s">
        <v>6695</v>
      </c>
    </row>
    <row r="1790" spans="2:2">
      <c r="B1790" s="7" t="s">
        <v>6697</v>
      </c>
    </row>
    <row r="1791" spans="2:2">
      <c r="B1791" s="7" t="s">
        <v>6699</v>
      </c>
    </row>
    <row r="1792" spans="2:2">
      <c r="B1792" s="7" t="s">
        <v>6702</v>
      </c>
    </row>
    <row r="1793" spans="2:2">
      <c r="B1793" s="7" t="s">
        <v>6707</v>
      </c>
    </row>
    <row r="1794" spans="2:2">
      <c r="B1794" s="7" t="s">
        <v>6711</v>
      </c>
    </row>
    <row r="1795" spans="2:2">
      <c r="B1795" s="7" t="s">
        <v>6722</v>
      </c>
    </row>
    <row r="1796" spans="2:2">
      <c r="B1796" s="7" t="s">
        <v>6725</v>
      </c>
    </row>
    <row r="1797" spans="2:2">
      <c r="B1797" s="7" t="s">
        <v>6730</v>
      </c>
    </row>
    <row r="1798" spans="2:2">
      <c r="B1798" s="7" t="s">
        <v>6732</v>
      </c>
    </row>
    <row r="1799" spans="2:2">
      <c r="B1799" s="7" t="s">
        <v>6734</v>
      </c>
    </row>
    <row r="1800" spans="2:2">
      <c r="B1800" s="7" t="s">
        <v>6737</v>
      </c>
    </row>
    <row r="1801" spans="2:2">
      <c r="B1801" s="7" t="s">
        <v>6739</v>
      </c>
    </row>
    <row r="1802" spans="2:2">
      <c r="B1802" s="7" t="s">
        <v>6748</v>
      </c>
    </row>
    <row r="1803" spans="2:2">
      <c r="B1803" s="7" t="s">
        <v>6750</v>
      </c>
    </row>
    <row r="1804" spans="2:2">
      <c r="B1804" s="7" t="s">
        <v>6752</v>
      </c>
    </row>
    <row r="1805" spans="2:2">
      <c r="B1805" s="7" t="s">
        <v>6754</v>
      </c>
    </row>
    <row r="1806" spans="2:2">
      <c r="B1806" s="7" t="s">
        <v>6756</v>
      </c>
    </row>
    <row r="1807" spans="2:2">
      <c r="B1807" s="7" t="s">
        <v>6764</v>
      </c>
    </row>
    <row r="1808" spans="2:2">
      <c r="B1808" s="7" t="s">
        <v>6766</v>
      </c>
    </row>
    <row r="1809" spans="2:2">
      <c r="B1809" s="7" t="s">
        <v>6768</v>
      </c>
    </row>
    <row r="1810" spans="2:2">
      <c r="B1810" s="7" t="s">
        <v>6770</v>
      </c>
    </row>
    <row r="1811" spans="2:2">
      <c r="B1811" s="7" t="s">
        <v>6774</v>
      </c>
    </row>
    <row r="1812" spans="2:2">
      <c r="B1812" s="7" t="s">
        <v>6776</v>
      </c>
    </row>
    <row r="1813" spans="2:2">
      <c r="B1813" s="7" t="s">
        <v>6778</v>
      </c>
    </row>
    <row r="1814" spans="2:2">
      <c r="B1814" s="7" t="s">
        <v>6780</v>
      </c>
    </row>
    <row r="1815" spans="2:2">
      <c r="B1815" s="7" t="s">
        <v>6801</v>
      </c>
    </row>
    <row r="1816" spans="2:2">
      <c r="B1816" s="7" t="s">
        <v>6803</v>
      </c>
    </row>
    <row r="1817" spans="2:2">
      <c r="B1817" s="7" t="s">
        <v>6822</v>
      </c>
    </row>
    <row r="1818" spans="2:2">
      <c r="B1818" s="7" t="s">
        <v>6825</v>
      </c>
    </row>
    <row r="1819" spans="2:2">
      <c r="B1819" s="7" t="s">
        <v>6828</v>
      </c>
    </row>
    <row r="1820" spans="2:2">
      <c r="B1820" s="7" t="s">
        <v>6830</v>
      </c>
    </row>
    <row r="1821" spans="2:2">
      <c r="B1821" s="7" t="s">
        <v>6839</v>
      </c>
    </row>
    <row r="1822" spans="2:2">
      <c r="B1822" s="7" t="s">
        <v>6841</v>
      </c>
    </row>
    <row r="1823" spans="2:2">
      <c r="B1823" s="7" t="s">
        <v>6843</v>
      </c>
    </row>
    <row r="1824" spans="2:2">
      <c r="B1824" s="7" t="s">
        <v>6845</v>
      </c>
    </row>
    <row r="1825" spans="2:2">
      <c r="B1825" s="7" t="s">
        <v>6847</v>
      </c>
    </row>
    <row r="1826" spans="2:2">
      <c r="B1826" s="7" t="s">
        <v>6849</v>
      </c>
    </row>
    <row r="1827" spans="2:2">
      <c r="B1827" s="7" t="s">
        <v>6851</v>
      </c>
    </row>
    <row r="1828" spans="2:2">
      <c r="B1828" s="7" t="s">
        <v>6854</v>
      </c>
    </row>
    <row r="1829" spans="2:2">
      <c r="B1829" s="7" t="s">
        <v>6857</v>
      </c>
    </row>
    <row r="1830" spans="2:2">
      <c r="B1830" s="7" t="s">
        <v>6859</v>
      </c>
    </row>
    <row r="1831" spans="2:2">
      <c r="B1831" s="7" t="s">
        <v>6861</v>
      </c>
    </row>
    <row r="1832" spans="2:2">
      <c r="B1832" s="7" t="s">
        <v>6864</v>
      </c>
    </row>
    <row r="1833" spans="2:2">
      <c r="B1833" s="7" t="s">
        <v>6868</v>
      </c>
    </row>
    <row r="1834" spans="2:2">
      <c r="B1834" s="7" t="s">
        <v>6871</v>
      </c>
    </row>
    <row r="1835" spans="2:2">
      <c r="B1835" s="7" t="s">
        <v>6873</v>
      </c>
    </row>
    <row r="1836" spans="2:2">
      <c r="B1836" s="7" t="s">
        <v>6875</v>
      </c>
    </row>
    <row r="1837" spans="2:2">
      <c r="B1837" s="7" t="s">
        <v>6877</v>
      </c>
    </row>
    <row r="1838" spans="2:2">
      <c r="B1838" s="7" t="s">
        <v>6882</v>
      </c>
    </row>
    <row r="1839" spans="2:2">
      <c r="B1839" s="7" t="s">
        <v>6884</v>
      </c>
    </row>
    <row r="1840" spans="2:2">
      <c r="B1840" s="7" t="s">
        <v>6886</v>
      </c>
    </row>
    <row r="1841" spans="2:2">
      <c r="B1841" s="7" t="s">
        <v>6888</v>
      </c>
    </row>
    <row r="1842" spans="2:2">
      <c r="B1842" s="7" t="s">
        <v>6890</v>
      </c>
    </row>
    <row r="1843" spans="2:2">
      <c r="B1843" s="7" t="s">
        <v>6892</v>
      </c>
    </row>
    <row r="1844" spans="2:2">
      <c r="B1844" s="7" t="s">
        <v>6900</v>
      </c>
    </row>
    <row r="1845" spans="2:2">
      <c r="B1845" s="7" t="s">
        <v>6902</v>
      </c>
    </row>
    <row r="1846" spans="2:2">
      <c r="B1846" s="7" t="s">
        <v>6912</v>
      </c>
    </row>
    <row r="1847" spans="2:2">
      <c r="B1847" s="7" t="s">
        <v>6915</v>
      </c>
    </row>
    <row r="1848" spans="2:2">
      <c r="B1848" s="7" t="s">
        <v>6918</v>
      </c>
    </row>
    <row r="1849" spans="2:2">
      <c r="B1849" s="7" t="s">
        <v>6924</v>
      </c>
    </row>
    <row r="1850" spans="2:2">
      <c r="B1850" s="7" t="s">
        <v>6926</v>
      </c>
    </row>
    <row r="1851" spans="2:2">
      <c r="B1851" s="7" t="s">
        <v>6928</v>
      </c>
    </row>
    <row r="1852" spans="2:2">
      <c r="B1852" s="7" t="s">
        <v>6931</v>
      </c>
    </row>
    <row r="1853" spans="2:2">
      <c r="B1853" s="7" t="s">
        <v>6938</v>
      </c>
    </row>
    <row r="1854" spans="2:2">
      <c r="B1854" s="7" t="s">
        <v>6940</v>
      </c>
    </row>
    <row r="1855" spans="2:2">
      <c r="B1855" s="7" t="s">
        <v>6942</v>
      </c>
    </row>
    <row r="1856" spans="2:2">
      <c r="B1856" s="7" t="s">
        <v>6944</v>
      </c>
    </row>
    <row r="1857" spans="2:2">
      <c r="B1857" s="7" t="s">
        <v>6946</v>
      </c>
    </row>
    <row r="1858" spans="2:2">
      <c r="B1858" s="7" t="s">
        <v>6948</v>
      </c>
    </row>
    <row r="1859" spans="2:2">
      <c r="B1859" s="7" t="s">
        <v>6953</v>
      </c>
    </row>
    <row r="1860" spans="2:2">
      <c r="B1860" s="7" t="s">
        <v>6955</v>
      </c>
    </row>
    <row r="1861" spans="2:2">
      <c r="B1861" s="7" t="s">
        <v>6961</v>
      </c>
    </row>
    <row r="1862" spans="2:2">
      <c r="B1862" s="7" t="s">
        <v>6964</v>
      </c>
    </row>
    <row r="1863" spans="2:2">
      <c r="B1863" s="7" t="s">
        <v>6967</v>
      </c>
    </row>
    <row r="1864" spans="2:2">
      <c r="B1864" s="7" t="s">
        <v>6969</v>
      </c>
    </row>
    <row r="1865" spans="2:2">
      <c r="B1865" s="7" t="s">
        <v>6972</v>
      </c>
    </row>
    <row r="1866" spans="2:2">
      <c r="B1866" s="7" t="s">
        <v>6979</v>
      </c>
    </row>
    <row r="1867" spans="2:2">
      <c r="B1867" s="7" t="s">
        <v>6988</v>
      </c>
    </row>
    <row r="1868" spans="2:2">
      <c r="B1868" s="7" t="s">
        <v>7000</v>
      </c>
    </row>
    <row r="1869" spans="2:2">
      <c r="B1869" s="7" t="s">
        <v>7002</v>
      </c>
    </row>
    <row r="1870" spans="2:2">
      <c r="B1870" s="7" t="s">
        <v>7007</v>
      </c>
    </row>
    <row r="1871" spans="2:2">
      <c r="B1871" s="7" t="s">
        <v>7010</v>
      </c>
    </row>
    <row r="1872" spans="2:2">
      <c r="B1872" s="7" t="s">
        <v>7012</v>
      </c>
    </row>
    <row r="1873" spans="2:2">
      <c r="B1873" s="7" t="s">
        <v>7017</v>
      </c>
    </row>
    <row r="1874" spans="2:2">
      <c r="B1874" s="7" t="s">
        <v>7020</v>
      </c>
    </row>
    <row r="1875" spans="2:2">
      <c r="B1875" s="7" t="s">
        <v>7023</v>
      </c>
    </row>
    <row r="1876" spans="2:2">
      <c r="B1876" s="7" t="s">
        <v>7026</v>
      </c>
    </row>
    <row r="1877" spans="2:2">
      <c r="B1877" s="7" t="s">
        <v>7040</v>
      </c>
    </row>
    <row r="1878" spans="2:2">
      <c r="B1878" s="7" t="s">
        <v>7042</v>
      </c>
    </row>
    <row r="1879" spans="2:2">
      <c r="B1879" s="7" t="s">
        <v>7045</v>
      </c>
    </row>
    <row r="1880" spans="2:2">
      <c r="B1880" s="7" t="s">
        <v>7048</v>
      </c>
    </row>
    <row r="1881" spans="2:2">
      <c r="B1881" s="7" t="s">
        <v>7050</v>
      </c>
    </row>
    <row r="1882" spans="2:2">
      <c r="B1882" s="7" t="s">
        <v>7055</v>
      </c>
    </row>
    <row r="1883" spans="2:2">
      <c r="B1883" s="7" t="s">
        <v>7057</v>
      </c>
    </row>
    <row r="1884" spans="2:2">
      <c r="B1884" s="7" t="s">
        <v>7059</v>
      </c>
    </row>
    <row r="1885" spans="2:2">
      <c r="B1885" s="7" t="s">
        <v>7061</v>
      </c>
    </row>
    <row r="1886" spans="2:2">
      <c r="B1886" s="7" t="s">
        <v>7071</v>
      </c>
    </row>
    <row r="1887" spans="2:2">
      <c r="B1887" s="7" t="s">
        <v>7073</v>
      </c>
    </row>
    <row r="1888" spans="2:2">
      <c r="B1888" s="7" t="s">
        <v>7075</v>
      </c>
    </row>
    <row r="1889" spans="2:2">
      <c r="B1889" s="7" t="s">
        <v>7077</v>
      </c>
    </row>
    <row r="1890" spans="2:2">
      <c r="B1890" s="7" t="s">
        <v>7080</v>
      </c>
    </row>
    <row r="1891" spans="2:2">
      <c r="B1891" s="7" t="s">
        <v>7083</v>
      </c>
    </row>
    <row r="1892" spans="2:2">
      <c r="B1892" s="7" t="s">
        <v>7085</v>
      </c>
    </row>
    <row r="1893" spans="2:2">
      <c r="B1893" s="7" t="s">
        <v>7095</v>
      </c>
    </row>
    <row r="1894" spans="2:2">
      <c r="B1894" s="7" t="s">
        <v>7097</v>
      </c>
    </row>
    <row r="1895" spans="2:2">
      <c r="B1895" s="7" t="s">
        <v>7100</v>
      </c>
    </row>
    <row r="1896" spans="2:2">
      <c r="B1896" s="7" t="s">
        <v>7112</v>
      </c>
    </row>
    <row r="1897" spans="2:2">
      <c r="B1897" s="7" t="s">
        <v>7115</v>
      </c>
    </row>
    <row r="1898" spans="2:2">
      <c r="B1898" s="7" t="s">
        <v>7118</v>
      </c>
    </row>
    <row r="1899" spans="2:2">
      <c r="B1899" s="7" t="s">
        <v>7120</v>
      </c>
    </row>
    <row r="1900" spans="2:2">
      <c r="B1900" s="7" t="s">
        <v>7122</v>
      </c>
    </row>
    <row r="1901" spans="2:2">
      <c r="B1901" s="7" t="s">
        <v>7127</v>
      </c>
    </row>
    <row r="1902" spans="2:2">
      <c r="B1902" s="7" t="s">
        <v>7131</v>
      </c>
    </row>
    <row r="1903" spans="2:2">
      <c r="B1903" s="7" t="s">
        <v>7135</v>
      </c>
    </row>
    <row r="1904" spans="2:2">
      <c r="B1904" s="7" t="s">
        <v>7138</v>
      </c>
    </row>
    <row r="1905" spans="2:2">
      <c r="B1905" s="7" t="s">
        <v>7141</v>
      </c>
    </row>
    <row r="1906" spans="2:2">
      <c r="B1906" s="7" t="s">
        <v>7145</v>
      </c>
    </row>
    <row r="1907" spans="2:2">
      <c r="B1907" s="7" t="s">
        <v>7147</v>
      </c>
    </row>
    <row r="1908" spans="2:2">
      <c r="B1908" s="7" t="s">
        <v>7157</v>
      </c>
    </row>
    <row r="1909" spans="2:2">
      <c r="B1909" s="7" t="s">
        <v>7159</v>
      </c>
    </row>
    <row r="1910" spans="2:2">
      <c r="B1910" s="7" t="s">
        <v>7161</v>
      </c>
    </row>
    <row r="1911" spans="2:2">
      <c r="B1911" s="7" t="s">
        <v>7163</v>
      </c>
    </row>
    <row r="1912" spans="2:2">
      <c r="B1912" s="7" t="s">
        <v>7165</v>
      </c>
    </row>
    <row r="1913" spans="2:2">
      <c r="B1913" s="7" t="s">
        <v>7168</v>
      </c>
    </row>
    <row r="1914" spans="2:2">
      <c r="B1914" s="7" t="s">
        <v>7176</v>
      </c>
    </row>
    <row r="1915" spans="2:2">
      <c r="B1915" s="7" t="s">
        <v>7179</v>
      </c>
    </row>
    <row r="1916" spans="2:2">
      <c r="B1916" s="7" t="s">
        <v>7182</v>
      </c>
    </row>
    <row r="1917" spans="2:2">
      <c r="B1917" s="7" t="s">
        <v>7185</v>
      </c>
    </row>
    <row r="1918" spans="2:2">
      <c r="B1918" s="7" t="s">
        <v>7188</v>
      </c>
    </row>
    <row r="1919" spans="2:2">
      <c r="B1919" s="7" t="s">
        <v>7191</v>
      </c>
    </row>
    <row r="1920" spans="2:2">
      <c r="B1920" s="7" t="s">
        <v>7194</v>
      </c>
    </row>
    <row r="1921" spans="2:2">
      <c r="B1921" s="7" t="s">
        <v>7196</v>
      </c>
    </row>
    <row r="1922" spans="2:2">
      <c r="B1922" s="7" t="s">
        <v>7222</v>
      </c>
    </row>
    <row r="1923" spans="2:2">
      <c r="B1923" s="7" t="s">
        <v>7230</v>
      </c>
    </row>
    <row r="1924" spans="2:2">
      <c r="B1924" s="7" t="s">
        <v>7233</v>
      </c>
    </row>
    <row r="1925" spans="2:2">
      <c r="B1925" s="7" t="s">
        <v>7238</v>
      </c>
    </row>
    <row r="1926" spans="2:2">
      <c r="B1926" s="7" t="s">
        <v>7240</v>
      </c>
    </row>
    <row r="1927" spans="2:2">
      <c r="B1927" s="7" t="s">
        <v>7249</v>
      </c>
    </row>
    <row r="1928" spans="2:2">
      <c r="B1928" s="7" t="s">
        <v>7258</v>
      </c>
    </row>
    <row r="1929" spans="2:2">
      <c r="B1929" s="7" t="s">
        <v>7260</v>
      </c>
    </row>
    <row r="1930" spans="2:2">
      <c r="B1930" s="7" t="s">
        <v>7263</v>
      </c>
    </row>
    <row r="1931" spans="2:2">
      <c r="B1931" s="7" t="s">
        <v>7265</v>
      </c>
    </row>
    <row r="1932" spans="2:2">
      <c r="B1932" s="7" t="s">
        <v>7267</v>
      </c>
    </row>
    <row r="1933" spans="2:2">
      <c r="B1933" s="7" t="s">
        <v>7269</v>
      </c>
    </row>
    <row r="1934" spans="2:2">
      <c r="B1934" s="7" t="s">
        <v>7271</v>
      </c>
    </row>
    <row r="1935" spans="2:2">
      <c r="B1935" s="7" t="s">
        <v>7278</v>
      </c>
    </row>
    <row r="1936" spans="2:2">
      <c r="B1936" s="7" t="s">
        <v>7280</v>
      </c>
    </row>
    <row r="1937" spans="2:2">
      <c r="B1937" s="7" t="s">
        <v>7283</v>
      </c>
    </row>
    <row r="1938" spans="2:2">
      <c r="B1938" s="7" t="s">
        <v>7285</v>
      </c>
    </row>
    <row r="1939" spans="2:2">
      <c r="B1939" s="7" t="s">
        <v>7287</v>
      </c>
    </row>
    <row r="1940" spans="2:2">
      <c r="B1940" s="7" t="s">
        <v>7289</v>
      </c>
    </row>
    <row r="1941" spans="2:2">
      <c r="B1941" s="7" t="s">
        <v>7292</v>
      </c>
    </row>
    <row r="1942" spans="2:2">
      <c r="B1942" s="7" t="s">
        <v>7299</v>
      </c>
    </row>
    <row r="1943" spans="2:2">
      <c r="B1943" s="7" t="s">
        <v>7302</v>
      </c>
    </row>
    <row r="1944" spans="2:2">
      <c r="B1944" s="7" t="s">
        <v>7305</v>
      </c>
    </row>
    <row r="1945" spans="2:2">
      <c r="B1945" s="7" t="s">
        <v>7311</v>
      </c>
    </row>
    <row r="1946" spans="2:2">
      <c r="B1946" s="7" t="s">
        <v>7314</v>
      </c>
    </row>
    <row r="1947" spans="2:2">
      <c r="B1947" s="7" t="s">
        <v>7317</v>
      </c>
    </row>
    <row r="1948" spans="2:2">
      <c r="B1948" s="7" t="s">
        <v>7320</v>
      </c>
    </row>
    <row r="1949" spans="2:2">
      <c r="B1949" s="7" t="s">
        <v>7323</v>
      </c>
    </row>
    <row r="1950" spans="2:2">
      <c r="B1950" s="7" t="s">
        <v>7326</v>
      </c>
    </row>
    <row r="1951" spans="2:2">
      <c r="B1951" s="7" t="s">
        <v>7329</v>
      </c>
    </row>
    <row r="1952" spans="2:2">
      <c r="B1952" s="7" t="s">
        <v>7333</v>
      </c>
    </row>
    <row r="1953" spans="2:2">
      <c r="B1953" s="7" t="s">
        <v>7336</v>
      </c>
    </row>
    <row r="1954" spans="2:2">
      <c r="B1954" s="7" t="s">
        <v>7339</v>
      </c>
    </row>
    <row r="1955" spans="2:2">
      <c r="B1955" s="7" t="s">
        <v>7343</v>
      </c>
    </row>
    <row r="1956" spans="2:2">
      <c r="B1956" s="7" t="s">
        <v>7346</v>
      </c>
    </row>
    <row r="1957" spans="2:2">
      <c r="B1957" s="7" t="s">
        <v>7349</v>
      </c>
    </row>
    <row r="1958" spans="2:2">
      <c r="B1958" s="7" t="s">
        <v>7352</v>
      </c>
    </row>
    <row r="1959" spans="2:2">
      <c r="B1959" s="7" t="s">
        <v>7355</v>
      </c>
    </row>
    <row r="1960" spans="2:2">
      <c r="B1960" s="7" t="s">
        <v>7358</v>
      </c>
    </row>
    <row r="1961" spans="2:2">
      <c r="B1961" s="7" t="s">
        <v>7361</v>
      </c>
    </row>
    <row r="1962" spans="2:2">
      <c r="B1962" s="7" t="s">
        <v>7364</v>
      </c>
    </row>
    <row r="1963" spans="2:2">
      <c r="B1963" s="7" t="s">
        <v>7368</v>
      </c>
    </row>
    <row r="1964" spans="2:2">
      <c r="B1964" s="7" t="s">
        <v>7371</v>
      </c>
    </row>
    <row r="1965" spans="2:2">
      <c r="B1965" s="7" t="s">
        <v>7374</v>
      </c>
    </row>
    <row r="1966" spans="2:2">
      <c r="B1966" s="7" t="s">
        <v>7377</v>
      </c>
    </row>
    <row r="1967" spans="2:2">
      <c r="B1967" s="7" t="s">
        <v>7383</v>
      </c>
    </row>
    <row r="1968" spans="2:2">
      <c r="B1968" s="7" t="s">
        <v>7386</v>
      </c>
    </row>
    <row r="1969" spans="2:2">
      <c r="B1969" s="7" t="s">
        <v>7397</v>
      </c>
    </row>
    <row r="1970" spans="2:2">
      <c r="B1970" s="7" t="s">
        <v>7399</v>
      </c>
    </row>
    <row r="1971" spans="2:2">
      <c r="B1971" s="7" t="s">
        <v>7401</v>
      </c>
    </row>
    <row r="1972" spans="2:2">
      <c r="B1972" s="7" t="s">
        <v>7403</v>
      </c>
    </row>
    <row r="1973" spans="2:2">
      <c r="B1973" s="7" t="s">
        <v>7406</v>
      </c>
    </row>
    <row r="1974" spans="2:2">
      <c r="B1974" s="7" t="s">
        <v>7408</v>
      </c>
    </row>
    <row r="1975" spans="2:2">
      <c r="B1975" s="7" t="s">
        <v>7410</v>
      </c>
    </row>
    <row r="1976" spans="2:2">
      <c r="B1976" s="7" t="s">
        <v>7413</v>
      </c>
    </row>
    <row r="1977" spans="2:2">
      <c r="B1977" s="7" t="s">
        <v>7415</v>
      </c>
    </row>
    <row r="1978" spans="2:2">
      <c r="B1978" s="7" t="s">
        <v>7418</v>
      </c>
    </row>
    <row r="1979" spans="2:2">
      <c r="B1979" s="7" t="s">
        <v>7421</v>
      </c>
    </row>
    <row r="1980" spans="2:2">
      <c r="B1980" s="7" t="s">
        <v>7423</v>
      </c>
    </row>
    <row r="1981" spans="2:2">
      <c r="B1981" s="7" t="s">
        <v>7426</v>
      </c>
    </row>
    <row r="1982" spans="2:2">
      <c r="B1982" s="7" t="s">
        <v>7428</v>
      </c>
    </row>
    <row r="1983" spans="2:2">
      <c r="B1983" s="7" t="s">
        <v>7430</v>
      </c>
    </row>
    <row r="1984" spans="2:2">
      <c r="B1984" s="7" t="s">
        <v>7434</v>
      </c>
    </row>
    <row r="1985" spans="2:2">
      <c r="B1985" s="7" t="s">
        <v>7437</v>
      </c>
    </row>
    <row r="1986" spans="2:2">
      <c r="B1986" s="7" t="s">
        <v>7439</v>
      </c>
    </row>
    <row r="1987" spans="2:2">
      <c r="B1987" s="7" t="s">
        <v>7443</v>
      </c>
    </row>
    <row r="1988" spans="2:2">
      <c r="B1988" s="7" t="s">
        <v>7446</v>
      </c>
    </row>
    <row r="1989" spans="2:2">
      <c r="B1989" s="7" t="s">
        <v>7449</v>
      </c>
    </row>
    <row r="1990" spans="2:2">
      <c r="B1990" s="7" t="s">
        <v>7453</v>
      </c>
    </row>
    <row r="1991" spans="2:2">
      <c r="B1991" s="7" t="s">
        <v>7460</v>
      </c>
    </row>
    <row r="1992" spans="2:2">
      <c r="B1992" s="7" t="s">
        <v>7462</v>
      </c>
    </row>
    <row r="1993" spans="2:2">
      <c r="B1993" s="7" t="s">
        <v>7467</v>
      </c>
    </row>
    <row r="1994" spans="2:2">
      <c r="B1994" s="7" t="s">
        <v>7473</v>
      </c>
    </row>
    <row r="1995" spans="2:2">
      <c r="B1995" s="7" t="s">
        <v>7477</v>
      </c>
    </row>
    <row r="1996" spans="2:2">
      <c r="B1996" s="7" t="s">
        <v>7481</v>
      </c>
    </row>
    <row r="1997" spans="2:2">
      <c r="B1997" s="7" t="s">
        <v>7483</v>
      </c>
    </row>
    <row r="1998" spans="2:2">
      <c r="B1998" s="7" t="s">
        <v>7485</v>
      </c>
    </row>
    <row r="1999" spans="2:2">
      <c r="B1999" s="7" t="s">
        <v>7487</v>
      </c>
    </row>
    <row r="2000" spans="2:2">
      <c r="B2000" s="7" t="s">
        <v>7489</v>
      </c>
    </row>
    <row r="2001" spans="2:2">
      <c r="B2001" s="7" t="s">
        <v>7492</v>
      </c>
    </row>
    <row r="2002" spans="2:2">
      <c r="B2002" s="7" t="s">
        <v>7494</v>
      </c>
    </row>
    <row r="2003" spans="2:2">
      <c r="B2003" s="7" t="s">
        <v>7496</v>
      </c>
    </row>
    <row r="2004" spans="2:2">
      <c r="B2004" s="7" t="s">
        <v>7498</v>
      </c>
    </row>
    <row r="2005" spans="2:2">
      <c r="B2005" s="7" t="s">
        <v>7500</v>
      </c>
    </row>
    <row r="2006" spans="2:2">
      <c r="B2006" s="7" t="s">
        <v>7502</v>
      </c>
    </row>
    <row r="2007" spans="2:2">
      <c r="B2007" s="7" t="s">
        <v>7504</v>
      </c>
    </row>
    <row r="2008" spans="2:2">
      <c r="B2008" s="7" t="s">
        <v>7507</v>
      </c>
    </row>
    <row r="2009" spans="2:2">
      <c r="B2009" s="7" t="s">
        <v>7509</v>
      </c>
    </row>
    <row r="2010" spans="2:2">
      <c r="B2010" s="7" t="s">
        <v>7512</v>
      </c>
    </row>
    <row r="2011" spans="2:2">
      <c r="B2011" s="7" t="s">
        <v>7514</v>
      </c>
    </row>
    <row r="2012" spans="2:2">
      <c r="B2012" s="7" t="s">
        <v>7517</v>
      </c>
    </row>
    <row r="2013" spans="2:2">
      <c r="B2013" s="7" t="s">
        <v>7519</v>
      </c>
    </row>
    <row r="2014" spans="2:2">
      <c r="B2014" s="7" t="s">
        <v>7521</v>
      </c>
    </row>
    <row r="2015" spans="2:2">
      <c r="B2015" s="7" t="s">
        <v>7523</v>
      </c>
    </row>
    <row r="2016" spans="2:2">
      <c r="B2016" s="7" t="s">
        <v>7526</v>
      </c>
    </row>
    <row r="2017" spans="2:2">
      <c r="B2017" s="7" t="s">
        <v>7529</v>
      </c>
    </row>
    <row r="2018" spans="2:2">
      <c r="B2018" s="7" t="s">
        <v>7531</v>
      </c>
    </row>
    <row r="2019" spans="2:2">
      <c r="B2019" s="7" t="s">
        <v>7533</v>
      </c>
    </row>
    <row r="2020" spans="2:2">
      <c r="B2020" s="7" t="s">
        <v>7536</v>
      </c>
    </row>
    <row r="2021" spans="2:2">
      <c r="B2021" s="7" t="s">
        <v>7539</v>
      </c>
    </row>
    <row r="2022" spans="2:2">
      <c r="B2022" s="7" t="s">
        <v>7545</v>
      </c>
    </row>
    <row r="2023" spans="2:2">
      <c r="B2023" s="7" t="s">
        <v>7548</v>
      </c>
    </row>
    <row r="2024" spans="2:2">
      <c r="B2024" s="7" t="s">
        <v>7552</v>
      </c>
    </row>
    <row r="2025" spans="2:2">
      <c r="B2025" s="7" t="s">
        <v>7557</v>
      </c>
    </row>
    <row r="2026" spans="2:2">
      <c r="B2026" s="7" t="s">
        <v>7560</v>
      </c>
    </row>
    <row r="2027" spans="2:2">
      <c r="B2027" s="7" t="s">
        <v>7563</v>
      </c>
    </row>
    <row r="2028" spans="2:2">
      <c r="B2028" s="7" t="s">
        <v>7567</v>
      </c>
    </row>
    <row r="2029" spans="2:2">
      <c r="B2029" s="7" t="s">
        <v>7571</v>
      </c>
    </row>
    <row r="2030" spans="2:2">
      <c r="B2030" s="7" t="s">
        <v>7574</v>
      </c>
    </row>
    <row r="2031" spans="2:2">
      <c r="B2031" s="7" t="s">
        <v>7579</v>
      </c>
    </row>
    <row r="2032" spans="2:2">
      <c r="B2032" s="7" t="s">
        <v>7582</v>
      </c>
    </row>
    <row r="2033" spans="2:2">
      <c r="B2033" s="7" t="s">
        <v>7585</v>
      </c>
    </row>
    <row r="2034" spans="2:2">
      <c r="B2034" s="7" t="s">
        <v>7587</v>
      </c>
    </row>
    <row r="2035" spans="2:2">
      <c r="B2035" s="7" t="s">
        <v>7590</v>
      </c>
    </row>
    <row r="2036" spans="2:2">
      <c r="B2036" s="7" t="s">
        <v>7595</v>
      </c>
    </row>
    <row r="2037" spans="2:2">
      <c r="B2037" s="7" t="s">
        <v>7600</v>
      </c>
    </row>
    <row r="2038" spans="2:2">
      <c r="B2038" s="7" t="s">
        <v>7603</v>
      </c>
    </row>
    <row r="2039" spans="2:2">
      <c r="B2039" s="7" t="s">
        <v>7605</v>
      </c>
    </row>
    <row r="2040" spans="2:2">
      <c r="B2040" s="7" t="s">
        <v>7608</v>
      </c>
    </row>
    <row r="2041" spans="2:2">
      <c r="B2041" s="7" t="s">
        <v>7619</v>
      </c>
    </row>
    <row r="2042" spans="2:2">
      <c r="B2042" s="7" t="s">
        <v>7624</v>
      </c>
    </row>
    <row r="2043" spans="2:2">
      <c r="B2043" s="7" t="s">
        <v>7626</v>
      </c>
    </row>
    <row r="2044" spans="2:2">
      <c r="B2044" s="7" t="s">
        <v>7628</v>
      </c>
    </row>
    <row r="2045" spans="2:2">
      <c r="B2045" s="7" t="s">
        <v>7630</v>
      </c>
    </row>
  </sheetData>
  <autoFilter ref="A1:G1" xr:uid="{9346077D-F915-C546-8355-D8068264E273}">
    <sortState xmlns:xlrd2="http://schemas.microsoft.com/office/spreadsheetml/2017/richdata2" ref="A2:G2010">
      <sortCondition ref="C1:C2010"/>
    </sortState>
  </autoFilter>
  <phoneticPr fontId="7" type="noConversion"/>
  <hyperlinks>
    <hyperlink ref="E24" r:id="rId1" xr:uid="{87750DBF-7B98-AA41-B77E-DD115264B79F}"/>
    <hyperlink ref="E23" r:id="rId2" xr:uid="{AB6D6B4F-CFCE-7845-AECA-B15B0783426E}"/>
    <hyperlink ref="E22" r:id="rId3" xr:uid="{7833EE47-C327-9F40-8572-067D7D93FF74}"/>
    <hyperlink ref="E21" r:id="rId4" xr:uid="{24F60D27-E4EF-8842-8333-0D08EE1F8134}"/>
    <hyperlink ref="E20" r:id="rId5" xr:uid="{FD3477BE-2BE1-AE4E-8FCD-083F7132603E}"/>
    <hyperlink ref="E19" r:id="rId6" xr:uid="{15B569DF-2B97-1445-AF66-5383B3339355}"/>
    <hyperlink ref="E18" r:id="rId7" xr:uid="{60110D98-E65E-A34B-8733-861D10D3D2D9}"/>
    <hyperlink ref="E17" r:id="rId8" xr:uid="{A96B9FC5-9AAC-A246-88C2-4402BDE44D59}"/>
    <hyperlink ref="E16" r:id="rId9" xr:uid="{8F5BB22D-0CE9-FE41-A481-764B7947EB5C}"/>
    <hyperlink ref="E15" r:id="rId10" xr:uid="{28F4F98C-AB5B-284B-B619-F8D4023DDA6F}"/>
    <hyperlink ref="E14" r:id="rId11" xr:uid="{CC490947-3DF9-F44F-97E2-0DC06C37B2BE}"/>
    <hyperlink ref="E13" r:id="rId12" xr:uid="{420385BF-FD5F-BF49-8903-E0C8F2BB412D}"/>
    <hyperlink ref="E12" r:id="rId13" xr:uid="{EE4CEB3A-DAE4-C245-84EE-C5D29CD9B3A1}"/>
    <hyperlink ref="E11" r:id="rId14" xr:uid="{5763BD95-BBEB-804E-B143-0E6140DB1F10}"/>
    <hyperlink ref="D11" r:id="rId15" xr:uid="{4D1BBF90-407E-084D-81CF-8A1D3CEAD6AD}"/>
    <hyperlink ref="D12" r:id="rId16" xr:uid="{F7F526A2-0CFE-2A49-A89E-64F6E6ED3079}"/>
    <hyperlink ref="D13" r:id="rId17" xr:uid="{DA1BF041-897D-7540-BB57-4940D21F87D8}"/>
    <hyperlink ref="D14" r:id="rId18" xr:uid="{7F58C1D7-A7E5-8F45-9C2E-E496EBB3CEBB}"/>
    <hyperlink ref="D16" r:id="rId19" xr:uid="{151ABDC8-1B35-634E-8388-A7DE2E6A8D7D}"/>
    <hyperlink ref="D15" r:id="rId20" xr:uid="{43B18026-EBF8-1345-8B1F-C3BBF43F11B9}"/>
    <hyperlink ref="D17" r:id="rId21" xr:uid="{35AF3B85-2C3E-D94C-86D5-E8BC6A54BEA7}"/>
    <hyperlink ref="D18" r:id="rId22" xr:uid="{29D22830-C368-8540-AB4D-C03FA87FEE99}"/>
    <hyperlink ref="D19" r:id="rId23" xr:uid="{06040E11-A44B-5049-89F8-FECA7ADF8407}"/>
    <hyperlink ref="D20" r:id="rId24" xr:uid="{EE75AA9E-55C6-8540-8DC2-123C150D7F0A}"/>
    <hyperlink ref="D22" r:id="rId25" xr:uid="{2E0657B5-B750-914A-9CA2-B55677735A2B}"/>
    <hyperlink ref="D23" r:id="rId26" xr:uid="{1E2F5F6C-9E19-CD4E-B46F-B4C003F8593B}"/>
    <hyperlink ref="D24" r:id="rId27" xr:uid="{0D3CB108-137E-DB4B-8764-D7F4CB3AF9E8}"/>
    <hyperlink ref="D21" r:id="rId28" xr:uid="{28B13AAD-3582-B248-B81B-005A48BD3ADE}"/>
    <hyperlink ref="D25" r:id="rId29" xr:uid="{BCCE15B8-C789-244E-A3CD-67A7D7991D77}"/>
    <hyperlink ref="E25" r:id="rId30" xr:uid="{CC324EA3-5C1D-FE46-96CC-B06287B3C742}"/>
    <hyperlink ref="D26" r:id="rId31" xr:uid="{7ACA8CBC-3BB9-794B-9E1E-F5EB4E86331E}"/>
    <hyperlink ref="E26" r:id="rId32" xr:uid="{5196363C-368F-754B-BA0A-29681B72E179}"/>
    <hyperlink ref="D27" r:id="rId33" xr:uid="{C4FAD14F-56C8-4646-85B6-9EC62936E446}"/>
    <hyperlink ref="E27" r:id="rId34" xr:uid="{35987D0C-FC9C-0443-8817-5935C42C4BD3}"/>
    <hyperlink ref="D28" r:id="rId35" display="https://www.kegg.jp/entry/1.1.1.94" xr:uid="{213702CF-D90D-7849-8A24-C38B37C7EA6A}"/>
    <hyperlink ref="E28" r:id="rId36" display="https://www.kegg.jp/entry/R00842/R00844" xr:uid="{499FF251-E160-1647-8CC9-E6BDFE44553C}"/>
    <hyperlink ref="D29" r:id="rId37" xr:uid="{DEC8DB4A-BB8B-5144-870F-FEF687BC033F}"/>
    <hyperlink ref="E29" r:id="rId38" xr:uid="{2AB27B66-EEC1-F74E-A431-2F808C2907FC}"/>
    <hyperlink ref="D31" r:id="rId39" xr:uid="{07BEC2A0-FA85-8042-9B30-1B9897788ECF}"/>
    <hyperlink ref="D32" r:id="rId40" xr:uid="{6A1047B8-C90E-FC48-880E-E34E07666A0B}"/>
    <hyperlink ref="E32" r:id="rId41" xr:uid="{971C75D1-F10A-FA47-85DB-CE78E067367F}"/>
    <hyperlink ref="D34" r:id="rId42" xr:uid="{D500C862-8926-9C4E-A258-C54D40E46783}"/>
    <hyperlink ref="E34" r:id="rId43" xr:uid="{E329DF13-30BF-9547-BA85-5B479AB5D2F9}"/>
    <hyperlink ref="D35" r:id="rId44" xr:uid="{167DFE56-37F2-F445-B0C2-A44B8A5A20ED}"/>
    <hyperlink ref="E35" r:id="rId45" xr:uid="{F2B44D74-084A-1D44-845A-1AAC11865BC7}"/>
    <hyperlink ref="D36" r:id="rId46" xr:uid="{911D66A4-2307-D548-8856-7AE8AB161B18}"/>
    <hyperlink ref="E36" r:id="rId47" xr:uid="{E4F95E4A-6B3E-6149-B397-35E97ECE5BB2}"/>
    <hyperlink ref="D37" r:id="rId48" xr:uid="{39A64FB8-31EF-1C4E-A57C-0FE4865C2B86}"/>
    <hyperlink ref="E37" r:id="rId49" xr:uid="{F64C4CE6-82AF-7A44-8075-43F6FF0ED9C2}"/>
    <hyperlink ref="D38" r:id="rId50" display="https://www.kegg.jp/entry/1.17.4.2" xr:uid="{51DA397C-BA3B-EC47-80C0-561F0E067136}"/>
    <hyperlink ref="E38" r:id="rId51" display="https://www.kegg.jp/entry/R04315/R02014/R02020/R02022/R02023" xr:uid="{1D281A8D-BFA3-F744-A752-2EAE9DBB437F}"/>
    <hyperlink ref="D39" r:id="rId52" xr:uid="{552F4E42-3217-6245-813F-DB5E940FEF19}"/>
    <hyperlink ref="E39" r:id="rId53" xr:uid="{B0B38323-4EDF-494B-8801-375BD02727F9}"/>
    <hyperlink ref="D40" r:id="rId54" xr:uid="{8A4585C2-8982-C34B-958F-D7ADD05F4648}"/>
    <hyperlink ref="E40" r:id="rId55" xr:uid="{1F6E8CEE-8536-8B47-BEC0-352CB808B4D8}"/>
    <hyperlink ref="D41" r:id="rId56" xr:uid="{C3B59A2D-418A-6840-81F6-DE1133A4AAF0}"/>
    <hyperlink ref="E41" r:id="rId57" xr:uid="{8551344F-78B9-414A-83AD-5928D6579E58}"/>
    <hyperlink ref="D42" r:id="rId58" xr:uid="{067B3585-A5E8-0A4E-977E-1D98DF17ADB0}"/>
    <hyperlink ref="E42" r:id="rId59" xr:uid="{D12B8BC6-CCA9-144C-B67F-85F601AD17CB}"/>
    <hyperlink ref="D43" r:id="rId60" xr:uid="{85A10AC3-9BA9-BE45-8FF7-F14653C5F1A0}"/>
    <hyperlink ref="E43" r:id="rId61" xr:uid="{1B39E1F5-8C00-264C-904B-363C867D8FA4}"/>
    <hyperlink ref="D44" r:id="rId62" xr:uid="{2C823993-9995-2541-B386-734A6BA370EB}"/>
    <hyperlink ref="E44" r:id="rId63" xr:uid="{AC03A83F-CBB0-3B4D-92BA-FCDD10EBFA18}"/>
    <hyperlink ref="D45" r:id="rId64" xr:uid="{94FFE272-FE62-B74E-B15B-48192FAB51E1}"/>
    <hyperlink ref="E45" r:id="rId65" xr:uid="{293FA59F-E9E1-454C-9A79-68E08BD4EB04}"/>
    <hyperlink ref="D47" r:id="rId66" xr:uid="{CB60019C-FF77-5046-BA97-C85EBAA77172}"/>
    <hyperlink ref="E47" r:id="rId67" xr:uid="{28642F57-2497-EC4A-B431-053FD60B908D}"/>
    <hyperlink ref="D48" r:id="rId68" xr:uid="{9C80F679-1CE3-534E-8EAD-FC848185B247}"/>
    <hyperlink ref="E48" r:id="rId69" xr:uid="{BB87509F-A910-8A4B-8B6B-B6E8BE580DD1}"/>
    <hyperlink ref="D49" r:id="rId70" xr:uid="{6B93B31B-7425-3B40-B658-E783EE70BC80}"/>
    <hyperlink ref="E49" r:id="rId71" xr:uid="{7342EBFF-FE7A-4641-965F-011F03F3BBFC}"/>
    <hyperlink ref="D50" r:id="rId72" xr:uid="{23B484FB-4628-3940-AADB-3290D5A58EAB}"/>
    <hyperlink ref="E50" r:id="rId73" xr:uid="{FACB1795-3743-2145-9AD3-D519E5524413}"/>
    <hyperlink ref="D51" r:id="rId74" xr:uid="{6599DF4D-1C11-E244-87E1-4ABDEFBF33DC}"/>
    <hyperlink ref="E51" r:id="rId75" xr:uid="{F12D4DBD-B06F-C74F-B88D-B77473CF963B}"/>
    <hyperlink ref="D52" r:id="rId76" xr:uid="{66231058-947E-7746-82A6-5ECFEF4A34FA}"/>
    <hyperlink ref="E52" r:id="rId77" xr:uid="{E51F8D50-1D69-F445-B8AF-AE23631F806C}"/>
    <hyperlink ref="D53" r:id="rId78" xr:uid="{CB18D8DE-A1BC-C848-A033-B56528F898FA}"/>
    <hyperlink ref="E53" r:id="rId79" xr:uid="{419B45C6-C987-574A-8AC6-FFE831E1D552}"/>
    <hyperlink ref="D54" r:id="rId80" xr:uid="{596D339A-C925-4949-B075-6D3A52CFDC6D}"/>
    <hyperlink ref="E54" r:id="rId81" xr:uid="{012F42D2-44C2-7648-899D-A630F6EEA28C}"/>
    <hyperlink ref="D55" r:id="rId82" xr:uid="{39B1957B-9C80-E34B-A2D8-44091DEC01A7}"/>
    <hyperlink ref="E55" r:id="rId83" xr:uid="{D2BE5512-6F7C-7B4E-AA28-887BB2F5528F}"/>
    <hyperlink ref="D56" r:id="rId84" xr:uid="{0A3D0096-55B1-7841-8D07-655E34AB7310}"/>
    <hyperlink ref="E56" r:id="rId85" xr:uid="{69DE2682-5D3D-6147-840B-EF7D42FEFDDB}"/>
    <hyperlink ref="D57" r:id="rId86" xr:uid="{8CE5F667-4336-6840-BA8C-660F3A382656}"/>
    <hyperlink ref="E57" r:id="rId87" xr:uid="{D8B3A94E-1335-F24B-9303-BDDA9E857A83}"/>
    <hyperlink ref="D58" r:id="rId88" xr:uid="{6BA35723-877E-6F4E-80D4-B3D8050F6106}"/>
    <hyperlink ref="E58" r:id="rId89" xr:uid="{9EFFFD26-EB17-E54F-911F-54D7EC434360}"/>
    <hyperlink ref="D59" r:id="rId90" xr:uid="{1B12A3E0-2BFA-C949-A448-57473FAF4DFC}"/>
    <hyperlink ref="E59" r:id="rId91" xr:uid="{DE3C5197-F627-AA41-A69A-C58574474CA2}"/>
    <hyperlink ref="D62" r:id="rId92" xr:uid="{6A9C183A-DDCA-DC4E-800F-2823BC85FF7A}"/>
    <hyperlink ref="E62" r:id="rId93" xr:uid="{325B2890-5ACE-A14F-8798-F12058382B36}"/>
    <hyperlink ref="E63" r:id="rId94" xr:uid="{F7AB2FA5-9895-3E42-9833-B15C8EF6998E}"/>
    <hyperlink ref="D63" r:id="rId95" xr:uid="{1269CFB2-3064-3A46-A155-21ECAC615A15}"/>
    <hyperlink ref="E83" r:id="rId96" xr:uid="{A25D894C-7910-5A44-A2A7-30B4B45E5CC9}"/>
    <hyperlink ref="D83" r:id="rId97" xr:uid="{D6C2981D-A676-664F-9847-E34B348B84BC}"/>
    <hyperlink ref="D84" r:id="rId98" xr:uid="{8C84005F-3FE1-3E40-827A-DB42E890C28C}"/>
    <hyperlink ref="E84" r:id="rId99" xr:uid="{703EE06A-7BF4-4042-8567-7C7A22BB032C}"/>
    <hyperlink ref="D102" r:id="rId100" xr:uid="{13A38B16-291C-194D-99E0-E8A341F1F593}"/>
    <hyperlink ref="D189" r:id="rId101" display="https://www.keg+E188:H189g.jp/entry/2.5.1.7" xr:uid="{B6AD88E1-279A-E44E-844E-A6E928D0A5E9}"/>
    <hyperlink ref="D190" r:id="rId102" display="https://www.keg+E188:H189g.jp/entry/2.5.1.7" xr:uid="{DECBD152-D570-3C41-AE5F-682206EF15F7}"/>
    <hyperlink ref="D191" r:id="rId103" display="https://www.keg+E188:H189g.jp/entry/2.5.1.7" xr:uid="{4B572716-7AC4-6440-B93B-3D8FBF79F052}"/>
    <hyperlink ref="E226" r:id="rId104" xr:uid="{EE7F157D-272D-5645-88DB-09B8AFE12A53}"/>
    <hyperlink ref="D271" r:id="rId105" xr:uid="{04EA8389-BC56-8748-AA67-CBFE0A6D20C3}"/>
    <hyperlink ref="D272" r:id="rId106" xr:uid="{D0529136-65F0-9A4D-9C2F-F652EB4F47AC}"/>
    <hyperlink ref="D273" r:id="rId107" xr:uid="{D70982C6-C8C2-6F4B-868D-A4A5A9FF9853}"/>
    <hyperlink ref="D274" r:id="rId108" xr:uid="{82453824-C3FE-FF40-B8C5-4E710E36FAE9}"/>
    <hyperlink ref="D416" r:id="rId109" xr:uid="{7E3EA744-810E-8D4B-BA74-F8DE42B9E99E}"/>
    <hyperlink ref="D434" r:id="rId110" xr:uid="{0859131E-9720-214F-A06E-93EC8BD19CF5}"/>
    <hyperlink ref="D549" r:id="rId111" xr:uid="{57BAE50E-11B4-D140-811A-5A6D0033A434}"/>
    <hyperlink ref="D550" r:id="rId112" xr:uid="{CD36FACB-C2D6-F54B-AD92-C45BF3BCA5B6}"/>
    <hyperlink ref="D615" r:id="rId113" xr:uid="{F22524B5-4E55-334B-9A4D-64ED073EC36E}"/>
    <hyperlink ref="D61" r:id="rId114" xr:uid="{C57239EA-23FF-1C44-B330-256B6E54F893}"/>
    <hyperlink ref="D85" r:id="rId115" xr:uid="{5EAD792C-B023-A84B-92C1-EB2B7E77C794}"/>
    <hyperlink ref="D331" r:id="rId116" xr:uid="{4FEC44E6-CE63-DE4C-8748-4C17E542FA0F}"/>
    <hyperlink ref="D389" r:id="rId117" xr:uid="{D2C36E01-FAA0-914B-AF86-2B9E90A6413A}"/>
    <hyperlink ref="D381" r:id="rId118" xr:uid="{47D2A283-98EA-0E4C-B749-733253948152}"/>
    <hyperlink ref="D380" r:id="rId119" xr:uid="{0A7C4798-BEEC-E542-9E27-8B0AB17E2BC9}"/>
    <hyperlink ref="D379" r:id="rId120" xr:uid="{F5ACE0D2-13EF-B442-BE6F-7B4A39077357}"/>
    <hyperlink ref="D333" r:id="rId121" xr:uid="{C25C2771-86EA-D14C-B931-FD17D525FDA1}"/>
    <hyperlink ref="D334" r:id="rId122" xr:uid="{DC5EB9AF-00F7-2C4B-A874-AB5063F2C4FE}"/>
    <hyperlink ref="D335" r:id="rId123" xr:uid="{776D69DE-671A-0448-96FB-13E11B2E53CE}"/>
    <hyperlink ref="D336" r:id="rId124" xr:uid="{878BEA33-D562-A84E-93BF-C3C19672BC2A}"/>
    <hyperlink ref="D321" r:id="rId125" xr:uid="{E0DD9F45-978D-984B-A4B4-8F290ACB23BA}"/>
    <hyperlink ref="D322" r:id="rId126" xr:uid="{E33FEC8B-2D73-0544-B9DB-7E611E849AD7}"/>
    <hyperlink ref="D88" r:id="rId127" xr:uid="{0B044D6B-320F-7C44-A68C-B13399638C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4B19-80BA-484A-A51E-1B8E32EB75E2}">
  <dimension ref="A1:D323"/>
  <sheetViews>
    <sheetView zoomScaleNormal="100" workbookViewId="0">
      <selection activeCell="B1" sqref="B1"/>
    </sheetView>
  </sheetViews>
  <sheetFormatPr defaultColWidth="10.6640625" defaultRowHeight="16"/>
  <cols>
    <col min="2" max="2" width="40.08203125" customWidth="1"/>
    <col min="3" max="3" width="25" style="18" customWidth="1"/>
    <col min="4" max="4" width="52.58203125" style="17" customWidth="1"/>
  </cols>
  <sheetData>
    <row r="1" spans="1:4" s="14" customFormat="1" ht="14.5">
      <c r="A1" s="14" t="s">
        <v>11387</v>
      </c>
      <c r="B1" s="14" t="s">
        <v>43</v>
      </c>
      <c r="C1" s="15" t="s">
        <v>11388</v>
      </c>
      <c r="D1" s="16" t="s">
        <v>11389</v>
      </c>
    </row>
    <row r="2" spans="1:4">
      <c r="A2" s="41" t="s">
        <v>11044</v>
      </c>
      <c r="B2" s="41" t="s">
        <v>11321</v>
      </c>
      <c r="C2" s="63" t="str">
        <f>CONCATENATE(A2,":","1000")</f>
        <v>C00001:1000</v>
      </c>
      <c r="D2" s="64" t="str">
        <f>CONCATENATE(A2," : ",B2)</f>
        <v>C00001 : Water</v>
      </c>
    </row>
    <row r="3" spans="1:4">
      <c r="A3" s="65" t="s">
        <v>11045</v>
      </c>
      <c r="B3" s="41" t="s">
        <v>11322</v>
      </c>
      <c r="C3" s="63" t="str">
        <f>CONCATENATE(A3,":","1000")</f>
        <v>C00002:1000</v>
      </c>
      <c r="D3" s="64" t="str">
        <f t="shared" ref="D3:D66" si="0">CONCATENATE(A3," : ",B3)</f>
        <v>C00002 : ATP</v>
      </c>
    </row>
    <row r="4" spans="1:4">
      <c r="A4" s="41" t="s">
        <v>11046</v>
      </c>
      <c r="B4" s="41" t="s">
        <v>11323</v>
      </c>
      <c r="C4" s="63" t="str">
        <f t="shared" ref="C4:C66" si="1">CONCATENATE(A4,":","1")</f>
        <v>C00003:1</v>
      </c>
      <c r="D4" s="64" t="str">
        <f t="shared" si="0"/>
        <v>C00003 : NAD+</v>
      </c>
    </row>
    <row r="5" spans="1:4">
      <c r="A5" s="41" t="s">
        <v>11047</v>
      </c>
      <c r="B5" s="41" t="s">
        <v>11325</v>
      </c>
      <c r="C5" s="63" t="str">
        <f t="shared" si="1"/>
        <v>C00004:1</v>
      </c>
      <c r="D5" s="64" t="str">
        <f t="shared" si="0"/>
        <v>C00004 : NADH</v>
      </c>
    </row>
    <row r="6" spans="1:4">
      <c r="A6" s="41" t="s">
        <v>11048</v>
      </c>
      <c r="B6" s="41" t="s">
        <v>11324</v>
      </c>
      <c r="C6" s="63" t="str">
        <f t="shared" si="1"/>
        <v>C00006:1</v>
      </c>
      <c r="D6" s="64" t="str">
        <f t="shared" si="0"/>
        <v>C00006 : NADP+</v>
      </c>
    </row>
    <row r="7" spans="1:4">
      <c r="A7" s="41" t="s">
        <v>11026</v>
      </c>
      <c r="B7" s="41" t="s">
        <v>11326</v>
      </c>
      <c r="C7" s="63" t="str">
        <f t="shared" si="1"/>
        <v>C00008:1</v>
      </c>
      <c r="D7" s="64" t="str">
        <f t="shared" si="0"/>
        <v>C00008 : ADP</v>
      </c>
    </row>
    <row r="8" spans="1:4">
      <c r="A8" s="41" t="s">
        <v>11049</v>
      </c>
      <c r="B8" s="41" t="s">
        <v>11327</v>
      </c>
      <c r="C8" s="63" t="str">
        <f t="shared" si="1"/>
        <v>C00009:1</v>
      </c>
      <c r="D8" s="64" t="str">
        <f t="shared" si="0"/>
        <v>C00009 : Phosphoric acid</v>
      </c>
    </row>
    <row r="9" spans="1:4">
      <c r="A9" s="41" t="s">
        <v>11050</v>
      </c>
      <c r="B9" s="41" t="s">
        <v>11328</v>
      </c>
      <c r="C9" s="63" t="str">
        <f t="shared" si="1"/>
        <v>C00010:1</v>
      </c>
      <c r="D9" s="64" t="str">
        <f t="shared" si="0"/>
        <v>C00010 : CoA</v>
      </c>
    </row>
    <row r="10" spans="1:4">
      <c r="A10" s="41" t="s">
        <v>11051</v>
      </c>
      <c r="B10" s="41" t="s">
        <v>11329</v>
      </c>
      <c r="C10" s="63" t="str">
        <f t="shared" si="1"/>
        <v>C00011:1</v>
      </c>
      <c r="D10" s="64" t="str">
        <f t="shared" si="0"/>
        <v xml:space="preserve">C00011 : Carbon dioxide </v>
      </c>
    </row>
    <row r="11" spans="1:4">
      <c r="A11" s="41" t="s">
        <v>11052</v>
      </c>
      <c r="B11" s="41" t="s">
        <v>11330</v>
      </c>
      <c r="C11" s="63" t="str">
        <f t="shared" si="1"/>
        <v>C00013:1</v>
      </c>
      <c r="D11" s="64" t="str">
        <f t="shared" si="0"/>
        <v xml:space="preserve">C00013 : Diphosphoric Acid </v>
      </c>
    </row>
    <row r="12" spans="1:4">
      <c r="A12" s="65" t="s">
        <v>11053</v>
      </c>
      <c r="B12" s="41" t="s">
        <v>11331</v>
      </c>
      <c r="C12" s="63" t="str">
        <f t="shared" si="1"/>
        <v>C00014:1</v>
      </c>
      <c r="D12" s="64" t="str">
        <f t="shared" si="0"/>
        <v>C00014 : Ammonia</v>
      </c>
    </row>
    <row r="13" spans="1:4">
      <c r="A13" s="41" t="s">
        <v>11054</v>
      </c>
      <c r="B13" s="41" t="s">
        <v>11332</v>
      </c>
      <c r="C13" s="63" t="str">
        <f t="shared" si="1"/>
        <v>C00016:1</v>
      </c>
      <c r="D13" s="64" t="str">
        <f t="shared" si="0"/>
        <v>C00016 : FAD</v>
      </c>
    </row>
    <row r="14" spans="1:4">
      <c r="A14" s="41" t="s">
        <v>11055</v>
      </c>
      <c r="B14" s="41" t="s">
        <v>11534</v>
      </c>
      <c r="C14" s="63" t="str">
        <f t="shared" si="1"/>
        <v>C00017:1</v>
      </c>
      <c r="D14" s="64" t="str">
        <f t="shared" si="0"/>
        <v>C00017 : Protein</v>
      </c>
    </row>
    <row r="15" spans="1:4">
      <c r="A15" s="41" t="s">
        <v>11056</v>
      </c>
      <c r="B15" s="41" t="s">
        <v>11333</v>
      </c>
      <c r="C15" s="63" t="str">
        <f t="shared" si="1"/>
        <v>C00019:1</v>
      </c>
      <c r="D15" s="64" t="str">
        <f t="shared" si="0"/>
        <v>C00019 : SAM</v>
      </c>
    </row>
    <row r="16" spans="1:4">
      <c r="A16" s="41" t="s">
        <v>11057</v>
      </c>
      <c r="B16" s="41" t="s">
        <v>11334</v>
      </c>
      <c r="C16" s="63" t="str">
        <f t="shared" si="1"/>
        <v>C00020:1</v>
      </c>
      <c r="D16" s="64" t="str">
        <f t="shared" si="0"/>
        <v>C00020 : AMP</v>
      </c>
    </row>
    <row r="17" spans="1:4">
      <c r="A17" s="41" t="s">
        <v>11058</v>
      </c>
      <c r="B17" s="66" t="s">
        <v>11335</v>
      </c>
      <c r="C17" s="63" t="str">
        <f t="shared" si="1"/>
        <v>C00021:1</v>
      </c>
      <c r="D17" s="64" t="str">
        <f t="shared" si="0"/>
        <v>C00021 : S-Adenosyl-L-Homocysteine(SAH)</v>
      </c>
    </row>
    <row r="18" spans="1:4">
      <c r="A18" s="41" t="s">
        <v>11025</v>
      </c>
      <c r="B18" s="41" t="s">
        <v>11336</v>
      </c>
      <c r="C18" s="63" t="str">
        <f t="shared" si="1"/>
        <v>C00022:1</v>
      </c>
      <c r="D18" s="64" t="str">
        <f t="shared" si="0"/>
        <v xml:space="preserve">C00022 : Pyruvate </v>
      </c>
    </row>
    <row r="19" spans="1:4">
      <c r="A19" s="41" t="s">
        <v>11059</v>
      </c>
      <c r="B19" s="41" t="s">
        <v>11337</v>
      </c>
      <c r="C19" s="63" t="str">
        <f t="shared" si="1"/>
        <v>C00024:1</v>
      </c>
      <c r="D19" s="64" t="str">
        <f t="shared" si="0"/>
        <v>C00024 : Acetyl-CoA</v>
      </c>
    </row>
    <row r="20" spans="1:4">
      <c r="A20" s="41" t="s">
        <v>11060</v>
      </c>
      <c r="B20" s="41" t="s">
        <v>11338</v>
      </c>
      <c r="C20" s="63" t="str">
        <f>CONCATENATE(A20,":","1000")</f>
        <v>C00025:1000</v>
      </c>
      <c r="D20" s="64" t="str">
        <f t="shared" si="0"/>
        <v>C00025 : L-Glutamate</v>
      </c>
    </row>
    <row r="21" spans="1:4">
      <c r="A21" s="41" t="s">
        <v>11061</v>
      </c>
      <c r="B21" s="41" t="s">
        <v>11339</v>
      </c>
      <c r="C21" s="63" t="str">
        <f t="shared" si="1"/>
        <v>C00026:1</v>
      </c>
      <c r="D21" s="64" t="str">
        <f t="shared" si="0"/>
        <v xml:space="preserve">C00026 : 2-Oxoglutarate </v>
      </c>
    </row>
    <row r="22" spans="1:4">
      <c r="A22" s="41" t="s">
        <v>11062</v>
      </c>
      <c r="B22" s="41" t="s">
        <v>11340</v>
      </c>
      <c r="C22" s="63" t="str">
        <f t="shared" si="1"/>
        <v>C00028:1</v>
      </c>
      <c r="D22" s="64" t="str">
        <f t="shared" si="0"/>
        <v>C00028 : Acceptor</v>
      </c>
    </row>
    <row r="23" spans="1:4">
      <c r="A23" s="41" t="s">
        <v>8672</v>
      </c>
      <c r="B23" s="41" t="s">
        <v>11341</v>
      </c>
      <c r="C23" s="63" t="str">
        <f t="shared" si="1"/>
        <v>C00029:1</v>
      </c>
      <c r="D23" s="64" t="str">
        <f t="shared" si="0"/>
        <v>C00029 : UDP-glucose</v>
      </c>
    </row>
    <row r="24" spans="1:4">
      <c r="A24" s="41" t="s">
        <v>11063</v>
      </c>
      <c r="B24" s="41" t="s">
        <v>11342</v>
      </c>
      <c r="C24" s="63" t="str">
        <f>CONCATENATE(A24,":","1000")</f>
        <v>C00031:1000</v>
      </c>
      <c r="D24" s="64" t="str">
        <f t="shared" si="0"/>
        <v>C00031 : D-Glucose</v>
      </c>
    </row>
    <row r="25" spans="1:4">
      <c r="A25" s="41" t="s">
        <v>11064</v>
      </c>
      <c r="B25" s="41" t="s">
        <v>11343</v>
      </c>
      <c r="C25" s="63" t="str">
        <f t="shared" si="1"/>
        <v>C00033:1</v>
      </c>
      <c r="D25" s="64" t="str">
        <f t="shared" si="0"/>
        <v>C00033 : Acetate</v>
      </c>
    </row>
    <row r="26" spans="1:4">
      <c r="A26" s="41" t="s">
        <v>11065</v>
      </c>
      <c r="B26" s="41" t="s">
        <v>11344</v>
      </c>
      <c r="C26" s="63" t="str">
        <f t="shared" si="1"/>
        <v>C00035:1</v>
      </c>
      <c r="D26" s="64" t="str">
        <f t="shared" si="0"/>
        <v>C00035 : GDP</v>
      </c>
    </row>
    <row r="27" spans="1:4">
      <c r="A27" s="41" t="s">
        <v>11066</v>
      </c>
      <c r="B27" s="41" t="s">
        <v>11345</v>
      </c>
      <c r="C27" s="63" t="str">
        <f t="shared" si="1"/>
        <v>C00036:1</v>
      </c>
      <c r="D27" s="64" t="str">
        <f t="shared" si="0"/>
        <v>C00036 : Oxaloacetate</v>
      </c>
    </row>
    <row r="28" spans="1:4">
      <c r="A28" s="65" t="s">
        <v>11067</v>
      </c>
      <c r="B28" s="41" t="s">
        <v>11346</v>
      </c>
      <c r="C28" s="63" t="str">
        <f>CONCATENATE(A28,":","1000")</f>
        <v>C00037:1000</v>
      </c>
      <c r="D28" s="64" t="str">
        <f t="shared" si="0"/>
        <v>C00037 : Glycine</v>
      </c>
    </row>
    <row r="29" spans="1:4">
      <c r="A29" s="41" t="s">
        <v>11068</v>
      </c>
      <c r="B29" s="41" t="s">
        <v>11347</v>
      </c>
      <c r="C29" s="63" t="str">
        <f t="shared" si="1"/>
        <v>C00039:1</v>
      </c>
      <c r="D29" s="64" t="str">
        <f t="shared" si="0"/>
        <v>C00039 : DNA</v>
      </c>
    </row>
    <row r="30" spans="1:4">
      <c r="A30" s="65" t="s">
        <v>11069</v>
      </c>
      <c r="B30" s="41" t="s">
        <v>11348</v>
      </c>
      <c r="C30" s="63" t="str">
        <f>CONCATENATE(A30,":","1000")</f>
        <v>C00041:1000</v>
      </c>
      <c r="D30" s="64" t="str">
        <f t="shared" si="0"/>
        <v>C00041 : L-Alanine</v>
      </c>
    </row>
    <row r="31" spans="1:4">
      <c r="A31" s="41" t="s">
        <v>8676</v>
      </c>
      <c r="B31" s="66" t="s">
        <v>11349</v>
      </c>
      <c r="C31" s="63" t="str">
        <f t="shared" si="1"/>
        <v>C00043:1</v>
      </c>
      <c r="D31" s="64" t="str">
        <f t="shared" si="0"/>
        <v>C00043 : UDP-N-Acetyl-Alpha-D-Glucosamine</v>
      </c>
    </row>
    <row r="32" spans="1:4">
      <c r="A32" s="41" t="s">
        <v>11070</v>
      </c>
      <c r="B32" s="41" t="s">
        <v>11350</v>
      </c>
      <c r="C32" s="63" t="str">
        <f t="shared" si="1"/>
        <v>C00044:1</v>
      </c>
      <c r="D32" s="64" t="str">
        <f t="shared" si="0"/>
        <v>C00044 : GTP</v>
      </c>
    </row>
    <row r="33" spans="1:4">
      <c r="A33" s="41" t="s">
        <v>11071</v>
      </c>
      <c r="B33" s="41" t="s">
        <v>11351</v>
      </c>
      <c r="C33" s="63" t="str">
        <f t="shared" si="1"/>
        <v>C00046:1</v>
      </c>
      <c r="D33" s="64" t="str">
        <f t="shared" si="0"/>
        <v>C00046 : RNA</v>
      </c>
    </row>
    <row r="34" spans="1:4">
      <c r="A34" s="41" t="s">
        <v>11072</v>
      </c>
      <c r="B34" s="41" t="s">
        <v>11352</v>
      </c>
      <c r="C34" s="63" t="str">
        <f>CONCATENATE(A34,":","1000")</f>
        <v>C00047:1000</v>
      </c>
      <c r="D34" s="64" t="str">
        <f t="shared" si="0"/>
        <v>C00047 : L-Lysine</v>
      </c>
    </row>
    <row r="35" spans="1:4">
      <c r="A35" s="41" t="s">
        <v>11073</v>
      </c>
      <c r="B35" s="41" t="s">
        <v>11644</v>
      </c>
      <c r="C35" s="63" t="str">
        <f>CONCATENATE(A35,":","1000")</f>
        <v>C00049:1000</v>
      </c>
      <c r="D35" s="64" t="str">
        <f t="shared" si="0"/>
        <v>C00049 : L-Asparate</v>
      </c>
    </row>
    <row r="36" spans="1:4">
      <c r="A36" s="41" t="s">
        <v>11074</v>
      </c>
      <c r="B36" s="41" t="s">
        <v>11353</v>
      </c>
      <c r="C36" s="63" t="str">
        <f>CONCATENATE(A36,":","1000")</f>
        <v>C00051:1000</v>
      </c>
      <c r="D36" s="64" t="str">
        <f t="shared" si="0"/>
        <v>C00051 : Glutathione</v>
      </c>
    </row>
    <row r="37" spans="1:4">
      <c r="A37" s="41" t="s">
        <v>8673</v>
      </c>
      <c r="B37" s="41" t="s">
        <v>11354</v>
      </c>
      <c r="C37" s="63" t="str">
        <f t="shared" si="1"/>
        <v>C00052:1</v>
      </c>
      <c r="D37" s="64" t="str">
        <f t="shared" si="0"/>
        <v>C00052 : UDP-D-Galactose</v>
      </c>
    </row>
    <row r="38" spans="1:4">
      <c r="A38" s="41" t="s">
        <v>11075</v>
      </c>
      <c r="B38" s="41" t="s">
        <v>11355</v>
      </c>
      <c r="C38" s="63" t="str">
        <f t="shared" si="1"/>
        <v>C00055:1</v>
      </c>
      <c r="D38" s="64" t="str">
        <f t="shared" si="0"/>
        <v>C00055 : Cytidine-5'-monophosphate/CMP</v>
      </c>
    </row>
    <row r="39" spans="1:4">
      <c r="A39" s="41" t="s">
        <v>11076</v>
      </c>
      <c r="B39" s="41" t="s">
        <v>11356</v>
      </c>
      <c r="C39" s="63" t="str">
        <f t="shared" si="1"/>
        <v>C00058:1</v>
      </c>
      <c r="D39" s="64" t="str">
        <f t="shared" si="0"/>
        <v>C00058 : Formate</v>
      </c>
    </row>
    <row r="40" spans="1:4">
      <c r="A40" s="41" t="s">
        <v>11077</v>
      </c>
      <c r="B40" s="41" t="s">
        <v>11357</v>
      </c>
      <c r="C40" s="63" t="str">
        <f t="shared" si="1"/>
        <v>C00061:1</v>
      </c>
      <c r="D40" s="64" t="str">
        <f t="shared" si="0"/>
        <v>C00061 : Flavin Mononucleotide/FMN</v>
      </c>
    </row>
    <row r="41" spans="1:4">
      <c r="A41" s="41" t="s">
        <v>11078</v>
      </c>
      <c r="B41" s="41" t="s">
        <v>11358</v>
      </c>
      <c r="C41" s="63" t="str">
        <f t="shared" si="1"/>
        <v>C00062:1</v>
      </c>
      <c r="D41" s="64" t="str">
        <f t="shared" si="0"/>
        <v>C00062 : L-Arginine</v>
      </c>
    </row>
    <row r="42" spans="1:4">
      <c r="A42" s="41" t="s">
        <v>11079</v>
      </c>
      <c r="B42" s="41" t="s">
        <v>11359</v>
      </c>
      <c r="C42" s="63" t="str">
        <f t="shared" si="1"/>
        <v>C00063:1</v>
      </c>
      <c r="D42" s="64" t="str">
        <f t="shared" si="0"/>
        <v>C00063 : CTP</v>
      </c>
    </row>
    <row r="43" spans="1:4">
      <c r="A43" s="41" t="s">
        <v>11080</v>
      </c>
      <c r="B43" s="41" t="s">
        <v>11360</v>
      </c>
      <c r="C43" s="63" t="str">
        <f>CONCATENATE(A43,":","1000")</f>
        <v>C00064:1000</v>
      </c>
      <c r="D43" s="64" t="str">
        <f t="shared" si="0"/>
        <v>C00064 : L-Glutamine</v>
      </c>
    </row>
    <row r="44" spans="1:4">
      <c r="A44" s="41" t="s">
        <v>8630</v>
      </c>
      <c r="B44" s="41" t="s">
        <v>11361</v>
      </c>
      <c r="C44" s="63" t="str">
        <f>CONCATENATE(A44,":","1000")</f>
        <v>C00065:1000</v>
      </c>
      <c r="D44" s="64" t="str">
        <f t="shared" si="0"/>
        <v>C00065 : L-Serine</v>
      </c>
    </row>
    <row r="45" spans="1:4">
      <c r="A45" s="41" t="s">
        <v>10998</v>
      </c>
      <c r="B45" s="41" t="s">
        <v>11362</v>
      </c>
      <c r="C45" s="63" t="str">
        <f>CONCATENATE(A45,":","1000")</f>
        <v>C00073:1000</v>
      </c>
      <c r="D45" s="64" t="str">
        <f t="shared" si="0"/>
        <v xml:space="preserve">C00073 : L-Methionine </v>
      </c>
    </row>
    <row r="46" spans="1:4">
      <c r="A46" s="41" t="s">
        <v>11081</v>
      </c>
      <c r="B46" s="41" t="s">
        <v>11363</v>
      </c>
      <c r="C46" s="63" t="str">
        <f t="shared" si="1"/>
        <v>C00074:1</v>
      </c>
      <c r="D46" s="64" t="str">
        <f t="shared" si="0"/>
        <v xml:space="preserve">C00074 : Phosphoenolpyruvate </v>
      </c>
    </row>
    <row r="47" spans="1:4">
      <c r="A47" s="41" t="s">
        <v>11082</v>
      </c>
      <c r="B47" s="41" t="s">
        <v>11364</v>
      </c>
      <c r="C47" s="63" t="str">
        <f t="shared" si="1"/>
        <v>C00075:1</v>
      </c>
      <c r="D47" s="64" t="str">
        <f t="shared" si="0"/>
        <v>C00075 : UTP</v>
      </c>
    </row>
    <row r="48" spans="1:4">
      <c r="A48" s="41" t="s">
        <v>11083</v>
      </c>
      <c r="B48" s="41" t="s">
        <v>11535</v>
      </c>
      <c r="C48" s="63" t="str">
        <f t="shared" si="1"/>
        <v>C00077:1</v>
      </c>
      <c r="D48" s="64" t="str">
        <f t="shared" si="0"/>
        <v>C00077 : L-Ornithine</v>
      </c>
    </row>
    <row r="49" spans="1:4">
      <c r="A49" s="41" t="s">
        <v>11084</v>
      </c>
      <c r="B49" s="67" t="s">
        <v>11365</v>
      </c>
      <c r="C49" s="63" t="str">
        <f t="shared" si="1"/>
        <v>C00078:1</v>
      </c>
      <c r="D49" s="64" t="str">
        <f t="shared" si="0"/>
        <v>C00078 : L-Tryptophan</v>
      </c>
    </row>
    <row r="50" spans="1:4">
      <c r="A50" s="41" t="s">
        <v>11085</v>
      </c>
      <c r="B50" s="67" t="s">
        <v>11366</v>
      </c>
      <c r="C50" s="63" t="str">
        <f t="shared" si="1"/>
        <v>C00079:1</v>
      </c>
      <c r="D50" s="64" t="str">
        <f t="shared" si="0"/>
        <v>C00079 : L-Phenylalanine</v>
      </c>
    </row>
    <row r="51" spans="1:4">
      <c r="A51" s="41" t="s">
        <v>11086</v>
      </c>
      <c r="B51" s="67" t="s">
        <v>11367</v>
      </c>
      <c r="C51" s="63" t="str">
        <f t="shared" si="1"/>
        <v>C00080:1</v>
      </c>
      <c r="D51" s="64" t="str">
        <f t="shared" si="0"/>
        <v>C00080 : H+</v>
      </c>
    </row>
    <row r="52" spans="1:4">
      <c r="A52" s="41" t="s">
        <v>11087</v>
      </c>
      <c r="B52" s="41" t="s">
        <v>11368</v>
      </c>
      <c r="C52" s="63" t="str">
        <f t="shared" si="1"/>
        <v>C00082:1</v>
      </c>
      <c r="D52" s="64" t="str">
        <f t="shared" si="0"/>
        <v>C00082 : L-Tyrosine</v>
      </c>
    </row>
    <row r="53" spans="1:4">
      <c r="A53" s="41" t="s">
        <v>11088</v>
      </c>
      <c r="B53" s="67" t="s">
        <v>11536</v>
      </c>
      <c r="C53" s="63" t="str">
        <f t="shared" si="1"/>
        <v>C00083:1</v>
      </c>
      <c r="D53" s="64" t="str">
        <f t="shared" si="0"/>
        <v>C00083 : Malonyl-CoA</v>
      </c>
    </row>
    <row r="54" spans="1:4">
      <c r="A54" s="41" t="s">
        <v>11089</v>
      </c>
      <c r="B54" s="41" t="s">
        <v>11369</v>
      </c>
      <c r="C54" s="63" t="str">
        <f t="shared" si="1"/>
        <v>C00084:1</v>
      </c>
      <c r="D54" s="64" t="str">
        <f t="shared" si="0"/>
        <v>C00084 : Acetaldehyde</v>
      </c>
    </row>
    <row r="55" spans="1:4">
      <c r="A55" s="41" t="s">
        <v>8698</v>
      </c>
      <c r="B55" s="41" t="s">
        <v>11370</v>
      </c>
      <c r="C55" s="63" t="str">
        <f t="shared" si="1"/>
        <v>C00085:1</v>
      </c>
      <c r="D55" s="64" t="str">
        <f t="shared" si="0"/>
        <v xml:space="preserve">C00085 : D-Fructose </v>
      </c>
    </row>
    <row r="56" spans="1:4">
      <c r="A56" s="41" t="s">
        <v>11090</v>
      </c>
      <c r="B56" s="41" t="s">
        <v>11371</v>
      </c>
      <c r="C56" s="63" t="str">
        <f t="shared" si="1"/>
        <v>C00093:1</v>
      </c>
      <c r="D56" s="64" t="str">
        <f t="shared" si="0"/>
        <v xml:space="preserve">C00093 : sn-Glycerol 3-Phosphate </v>
      </c>
    </row>
    <row r="57" spans="1:4">
      <c r="A57" s="41" t="s">
        <v>11091</v>
      </c>
      <c r="B57" s="41" t="s">
        <v>11370</v>
      </c>
      <c r="C57" s="63" t="str">
        <f t="shared" si="1"/>
        <v>C00095:1</v>
      </c>
      <c r="D57" s="64" t="str">
        <f t="shared" si="0"/>
        <v xml:space="preserve">C00095 : D-Fructose </v>
      </c>
    </row>
    <row r="58" spans="1:4">
      <c r="A58" s="41" t="s">
        <v>11092</v>
      </c>
      <c r="B58" s="41" t="s">
        <v>11372</v>
      </c>
      <c r="C58" s="63" t="str">
        <f>CONCATENATE(A58,":","1000")</f>
        <v>C00097:1000</v>
      </c>
      <c r="D58" s="64" t="str">
        <f t="shared" si="0"/>
        <v xml:space="preserve">C00097 : L-Cysteine </v>
      </c>
    </row>
    <row r="59" spans="1:4">
      <c r="A59" s="41" t="s">
        <v>11093</v>
      </c>
      <c r="B59" s="41" t="s">
        <v>11373</v>
      </c>
      <c r="C59" s="63" t="str">
        <f t="shared" si="1"/>
        <v>C00101:1</v>
      </c>
      <c r="D59" s="64" t="str">
        <f t="shared" si="0"/>
        <v xml:space="preserve">C00101 : Tetrahydrofolate </v>
      </c>
    </row>
    <row r="60" spans="1:4">
      <c r="A60" s="41" t="s">
        <v>8717</v>
      </c>
      <c r="B60" s="41" t="s">
        <v>11374</v>
      </c>
      <c r="C60" s="63" t="str">
        <f t="shared" si="1"/>
        <v>C00103:1</v>
      </c>
      <c r="D60" s="64" t="str">
        <f t="shared" si="0"/>
        <v xml:space="preserve">C00103 : Glucose 1-Phosphate </v>
      </c>
    </row>
    <row r="61" spans="1:4">
      <c r="A61" s="41" t="s">
        <v>11094</v>
      </c>
      <c r="B61" s="41" t="s">
        <v>11375</v>
      </c>
      <c r="C61" s="63" t="str">
        <f t="shared" si="1"/>
        <v>C00105:1</v>
      </c>
      <c r="D61" s="64" t="str">
        <f t="shared" si="0"/>
        <v>C00105 : UMP</v>
      </c>
    </row>
    <row r="62" spans="1:4">
      <c r="A62" s="41" t="s">
        <v>11095</v>
      </c>
      <c r="B62" s="41" t="s">
        <v>11376</v>
      </c>
      <c r="C62" s="63" t="str">
        <f t="shared" si="1"/>
        <v>C00106:1</v>
      </c>
      <c r="D62" s="64" t="str">
        <f t="shared" si="0"/>
        <v>C00106 : Uracil</v>
      </c>
    </row>
    <row r="63" spans="1:4">
      <c r="A63" s="41" t="s">
        <v>8693</v>
      </c>
      <c r="B63" s="41" t="s">
        <v>11377</v>
      </c>
      <c r="C63" s="63" t="str">
        <f t="shared" si="1"/>
        <v>C00117:1</v>
      </c>
      <c r="D63" s="64" t="str">
        <f t="shared" si="0"/>
        <v xml:space="preserve">C00117 : D-Ribose 5-Phosphate </v>
      </c>
    </row>
    <row r="64" spans="1:4">
      <c r="A64" s="41" t="s">
        <v>11096</v>
      </c>
      <c r="B64" s="41" t="s">
        <v>11378</v>
      </c>
      <c r="C64" s="63" t="str">
        <f t="shared" si="1"/>
        <v>C00118:1</v>
      </c>
      <c r="D64" s="64" t="str">
        <f t="shared" si="0"/>
        <v xml:space="preserve">C00118 : D-Glyceraldehyde 3-Phosphate </v>
      </c>
    </row>
    <row r="65" spans="1:4">
      <c r="A65" s="41" t="s">
        <v>11097</v>
      </c>
      <c r="B65" s="41" t="s">
        <v>11379</v>
      </c>
      <c r="C65" s="63" t="str">
        <f t="shared" si="1"/>
        <v>C00122:1</v>
      </c>
      <c r="D65" s="64" t="str">
        <f t="shared" si="0"/>
        <v>C00122 : Fumarate</v>
      </c>
    </row>
    <row r="66" spans="1:4">
      <c r="A66" s="41" t="s">
        <v>11098</v>
      </c>
      <c r="B66" s="41" t="s">
        <v>11380</v>
      </c>
      <c r="C66" s="63" t="str">
        <f t="shared" si="1"/>
        <v>C00123:1</v>
      </c>
      <c r="D66" s="64" t="str">
        <f t="shared" si="0"/>
        <v>C00123 : L-Leucine</v>
      </c>
    </row>
    <row r="67" spans="1:4">
      <c r="A67" s="41" t="s">
        <v>8709</v>
      </c>
      <c r="B67" s="41" t="s">
        <v>11381</v>
      </c>
      <c r="C67" s="63" t="str">
        <f t="shared" ref="C67:C130" si="2">CONCATENATE(A67,":","1")</f>
        <v>C00129:1</v>
      </c>
      <c r="D67" s="64" t="str">
        <f t="shared" ref="D67:D130" si="3">CONCATENATE(A67," : ",B67)</f>
        <v xml:space="preserve">C00129 : Isopentenyl Diphosphate </v>
      </c>
    </row>
    <row r="68" spans="1:4">
      <c r="A68" s="41" t="s">
        <v>11099</v>
      </c>
      <c r="B68" s="41" t="s">
        <v>11382</v>
      </c>
      <c r="C68" s="63" t="str">
        <f t="shared" si="2"/>
        <v>C00130:1</v>
      </c>
      <c r="D68" s="64" t="str">
        <f t="shared" si="3"/>
        <v>C00130 : IMP</v>
      </c>
    </row>
    <row r="69" spans="1:4">
      <c r="A69" s="41" t="s">
        <v>8661</v>
      </c>
      <c r="B69" s="41" t="s">
        <v>11383</v>
      </c>
      <c r="C69" s="63" t="str">
        <f>CONCATENATE(A69,":","1000")</f>
        <v>C00133:1000</v>
      </c>
      <c r="D69" s="64" t="str">
        <f t="shared" si="3"/>
        <v>C00133 : D-Alanine</v>
      </c>
    </row>
    <row r="70" spans="1:4">
      <c r="A70" s="41" t="s">
        <v>11100</v>
      </c>
      <c r="B70" s="41" t="s">
        <v>11537</v>
      </c>
      <c r="C70" s="63" t="str">
        <f t="shared" si="2"/>
        <v>C00135:1</v>
      </c>
      <c r="D70" s="64" t="str">
        <f t="shared" si="3"/>
        <v>C00135 : L-Histidine</v>
      </c>
    </row>
    <row r="71" spans="1:4">
      <c r="A71" s="41" t="s">
        <v>11101</v>
      </c>
      <c r="B71" s="41" t="s">
        <v>11538</v>
      </c>
      <c r="C71" s="63" t="str">
        <f t="shared" si="2"/>
        <v>C00138:1</v>
      </c>
      <c r="D71" s="64" t="str">
        <f t="shared" si="3"/>
        <v>C00138 : Reduced ferrodoxin</v>
      </c>
    </row>
    <row r="72" spans="1:4">
      <c r="A72" s="41" t="s">
        <v>11102</v>
      </c>
      <c r="B72" s="41" t="s">
        <v>11539</v>
      </c>
      <c r="C72" s="63" t="str">
        <f t="shared" si="2"/>
        <v>C00140:1</v>
      </c>
      <c r="D72" s="64" t="str">
        <f t="shared" si="3"/>
        <v xml:space="preserve">C00140 : N-Acetyl-D-glucosamine </v>
      </c>
    </row>
    <row r="73" spans="1:4">
      <c r="A73" s="41" t="s">
        <v>11103</v>
      </c>
      <c r="B73" s="41" t="s">
        <v>11384</v>
      </c>
      <c r="C73" s="63" t="str">
        <f t="shared" si="2"/>
        <v>C00143:1</v>
      </c>
      <c r="D73" s="64" t="str">
        <f t="shared" si="3"/>
        <v>C00143 : 5,10-Methylenetetrahydrofolate</v>
      </c>
    </row>
    <row r="74" spans="1:4">
      <c r="A74" s="41" t="s">
        <v>11104</v>
      </c>
      <c r="B74" s="41" t="s">
        <v>11385</v>
      </c>
      <c r="C74" s="63" t="str">
        <f t="shared" si="2"/>
        <v>C00144:1</v>
      </c>
      <c r="D74" s="64" t="str">
        <f t="shared" si="3"/>
        <v>C00144 : GMP</v>
      </c>
    </row>
    <row r="75" spans="1:4">
      <c r="A75" s="41" t="s">
        <v>11105</v>
      </c>
      <c r="B75" s="41" t="s">
        <v>11386</v>
      </c>
      <c r="C75" s="63" t="str">
        <f>CONCATENATE(A75,":","1000")</f>
        <v>C00148:1000</v>
      </c>
      <c r="D75" s="64" t="str">
        <f t="shared" si="3"/>
        <v xml:space="preserve">C00148 : L-Proline </v>
      </c>
    </row>
    <row r="76" spans="1:4">
      <c r="A76" s="41" t="s">
        <v>11106</v>
      </c>
      <c r="B76" s="67" t="s">
        <v>11390</v>
      </c>
      <c r="C76" s="63" t="str">
        <f t="shared" si="2"/>
        <v>C00152:1</v>
      </c>
      <c r="D76" s="64" t="str">
        <f t="shared" si="3"/>
        <v>C00152 : L-Asparagine</v>
      </c>
    </row>
    <row r="77" spans="1:4">
      <c r="A77" s="41" t="s">
        <v>11107</v>
      </c>
      <c r="B77" s="67" t="s">
        <v>11391</v>
      </c>
      <c r="C77" s="63" t="str">
        <f t="shared" si="2"/>
        <v>C00153:1</v>
      </c>
      <c r="D77" s="64" t="str">
        <f t="shared" si="3"/>
        <v>C00153 : Nicotinamide</v>
      </c>
    </row>
    <row r="78" spans="1:4">
      <c r="A78" s="41" t="s">
        <v>11108</v>
      </c>
      <c r="B78" s="67" t="s">
        <v>11392</v>
      </c>
      <c r="C78" s="63" t="str">
        <f t="shared" si="2"/>
        <v>C00155:1</v>
      </c>
      <c r="D78" s="64" t="str">
        <f t="shared" si="3"/>
        <v>C00155 : L-Homocysteine</v>
      </c>
    </row>
    <row r="79" spans="1:4">
      <c r="A79" s="41" t="s">
        <v>11109</v>
      </c>
      <c r="B79" s="41" t="s">
        <v>11393</v>
      </c>
      <c r="C79" s="63" t="str">
        <f t="shared" si="2"/>
        <v>C00158:1</v>
      </c>
      <c r="D79" s="64" t="str">
        <f t="shared" si="3"/>
        <v>C00158 : Citrate</v>
      </c>
    </row>
    <row r="80" spans="1:4">
      <c r="A80" s="41" t="s">
        <v>11110</v>
      </c>
      <c r="B80" s="67" t="s">
        <v>11394</v>
      </c>
      <c r="C80" s="63" t="str">
        <f t="shared" si="2"/>
        <v>C00169:1</v>
      </c>
      <c r="D80" s="64" t="str">
        <f t="shared" si="3"/>
        <v xml:space="preserve">C00169 : Carbamoyl Phosphate </v>
      </c>
    </row>
    <row r="81" spans="1:4">
      <c r="A81" s="41" t="s">
        <v>11111</v>
      </c>
      <c r="B81" s="41" t="s">
        <v>11395</v>
      </c>
      <c r="C81" s="63" t="str">
        <f t="shared" si="2"/>
        <v>C00173:1</v>
      </c>
      <c r="D81" s="64" t="str">
        <f t="shared" si="3"/>
        <v>C00173 : Acyl-[acyl-carrier protein]</v>
      </c>
    </row>
    <row r="82" spans="1:4">
      <c r="A82" s="41" t="s">
        <v>11112</v>
      </c>
      <c r="B82" s="67" t="s">
        <v>11540</v>
      </c>
      <c r="C82" s="63" t="str">
        <f t="shared" si="2"/>
        <v>C00179:1</v>
      </c>
      <c r="D82" s="64" t="str">
        <f t="shared" si="3"/>
        <v>C00179 : Agmatine</v>
      </c>
    </row>
    <row r="83" spans="1:4">
      <c r="A83" s="41" t="s">
        <v>11113</v>
      </c>
      <c r="B83" s="41" t="s">
        <v>11396</v>
      </c>
      <c r="C83" s="63" t="str">
        <f t="shared" si="2"/>
        <v>C00183:1</v>
      </c>
      <c r="D83" s="64" t="str">
        <f t="shared" si="3"/>
        <v>C00183 : L-Valine</v>
      </c>
    </row>
    <row r="84" spans="1:4">
      <c r="A84" s="41" t="s">
        <v>11114</v>
      </c>
      <c r="B84" s="41" t="s">
        <v>11397</v>
      </c>
      <c r="C84" s="63" t="str">
        <f t="shared" si="2"/>
        <v>C00186:1</v>
      </c>
      <c r="D84" s="64" t="str">
        <f t="shared" si="3"/>
        <v>C00186 : (S)-Lactate</v>
      </c>
    </row>
    <row r="85" spans="1:4">
      <c r="A85" s="41" t="s">
        <v>8636</v>
      </c>
      <c r="B85" s="41" t="s">
        <v>11398</v>
      </c>
      <c r="C85" s="63" t="str">
        <f t="shared" si="2"/>
        <v>C00188:1</v>
      </c>
      <c r="D85" s="64" t="str">
        <f t="shared" si="3"/>
        <v>C00188 : L-Threonine</v>
      </c>
    </row>
    <row r="86" spans="1:4">
      <c r="A86" s="41" t="s">
        <v>11115</v>
      </c>
      <c r="B86" s="41" t="s">
        <v>11399</v>
      </c>
      <c r="C86" s="63" t="str">
        <f t="shared" si="2"/>
        <v>C00197:1</v>
      </c>
      <c r="D86" s="64" t="str">
        <f t="shared" si="3"/>
        <v xml:space="preserve">C00197 : 3-Phospho-D-glycerate </v>
      </c>
    </row>
    <row r="87" spans="1:4">
      <c r="A87" s="41" t="s">
        <v>8694</v>
      </c>
      <c r="B87" s="41" t="s">
        <v>11400</v>
      </c>
      <c r="C87" s="63" t="str">
        <f t="shared" si="2"/>
        <v>C00199:1</v>
      </c>
      <c r="D87" s="64" t="str">
        <f t="shared" si="3"/>
        <v xml:space="preserve">C00199 : D-Ribulose 5-phosphate </v>
      </c>
    </row>
    <row r="88" spans="1:4">
      <c r="A88" s="41" t="s">
        <v>11116</v>
      </c>
      <c r="B88" s="41" t="s">
        <v>11401</v>
      </c>
      <c r="C88" s="63" t="str">
        <f t="shared" si="2"/>
        <v>C00201:1</v>
      </c>
      <c r="D88" s="64" t="str">
        <f t="shared" si="3"/>
        <v>C00201 : NTP</v>
      </c>
    </row>
    <row r="89" spans="1:4">
      <c r="A89" s="41" t="s">
        <v>11117</v>
      </c>
      <c r="B89" s="41" t="s">
        <v>11402</v>
      </c>
      <c r="C89" s="63" t="str">
        <f t="shared" si="2"/>
        <v>C00212:1</v>
      </c>
      <c r="D89" s="64" t="str">
        <f t="shared" si="3"/>
        <v xml:space="preserve">C00212 : Adenosine </v>
      </c>
    </row>
    <row r="90" spans="1:4">
      <c r="A90" s="41" t="s">
        <v>11118</v>
      </c>
      <c r="B90" s="41" t="s">
        <v>11403</v>
      </c>
      <c r="C90" s="63" t="str">
        <f t="shared" si="2"/>
        <v>C00214:1</v>
      </c>
      <c r="D90" s="64" t="str">
        <f t="shared" si="3"/>
        <v xml:space="preserve">C00214 : Thymidine </v>
      </c>
    </row>
    <row r="91" spans="1:4">
      <c r="A91" s="65" t="s">
        <v>8665</v>
      </c>
      <c r="B91" s="41" t="s">
        <v>11404</v>
      </c>
      <c r="C91" s="63" t="str">
        <f t="shared" si="2"/>
        <v>C00217:1</v>
      </c>
      <c r="D91" s="64" t="str">
        <f t="shared" si="3"/>
        <v xml:space="preserve">C00217 : D-Glutamate </v>
      </c>
    </row>
    <row r="92" spans="1:4">
      <c r="A92" s="41" t="s">
        <v>11119</v>
      </c>
      <c r="B92" s="41" t="s">
        <v>11405</v>
      </c>
      <c r="C92" s="63" t="str">
        <f t="shared" si="2"/>
        <v>C00226:1</v>
      </c>
      <c r="D92" s="64" t="str">
        <f t="shared" si="3"/>
        <v>C00226 : Primary Alcohol</v>
      </c>
    </row>
    <row r="93" spans="1:4">
      <c r="A93" s="41" t="s">
        <v>11120</v>
      </c>
      <c r="B93" s="41" t="s">
        <v>11406</v>
      </c>
      <c r="C93" s="63" t="str">
        <f t="shared" si="2"/>
        <v>C00229:1</v>
      </c>
      <c r="D93" s="64" t="str">
        <f t="shared" si="3"/>
        <v xml:space="preserve">C00229 : Acyl-carrier protein </v>
      </c>
    </row>
    <row r="94" spans="1:4">
      <c r="A94" s="41" t="s">
        <v>11121</v>
      </c>
      <c r="B94" s="41" t="s">
        <v>11407</v>
      </c>
      <c r="C94" s="63" t="str">
        <f t="shared" si="2"/>
        <v>C00233:1</v>
      </c>
      <c r="D94" s="64" t="str">
        <f t="shared" si="3"/>
        <v xml:space="preserve">C00233 : 4-Methyl-2-oxopentanoate </v>
      </c>
    </row>
    <row r="95" spans="1:4">
      <c r="A95" s="41" t="s">
        <v>11122</v>
      </c>
      <c r="B95" s="41" t="s">
        <v>11408</v>
      </c>
      <c r="C95" s="63" t="str">
        <f t="shared" si="2"/>
        <v>C00234:1</v>
      </c>
      <c r="D95" s="64" t="str">
        <f t="shared" si="3"/>
        <v>C00234 : 10-Formyltetrahydrofolate</v>
      </c>
    </row>
    <row r="96" spans="1:4">
      <c r="A96" s="41" t="s">
        <v>8710</v>
      </c>
      <c r="B96" s="66" t="s">
        <v>11409</v>
      </c>
      <c r="C96" s="63" t="str">
        <f t="shared" si="2"/>
        <v>C00235:1</v>
      </c>
      <c r="D96" s="64" t="str">
        <f t="shared" si="3"/>
        <v>C00235 : Dimethylallyl diphosphate</v>
      </c>
    </row>
    <row r="97" spans="1:4">
      <c r="A97" s="41" t="s">
        <v>11123</v>
      </c>
      <c r="B97" s="41" t="s">
        <v>11410</v>
      </c>
      <c r="C97" s="63" t="str">
        <f t="shared" si="2"/>
        <v>C00239:1</v>
      </c>
      <c r="D97" s="64" t="str">
        <f t="shared" si="3"/>
        <v>C00239 : dCMP</v>
      </c>
    </row>
    <row r="98" spans="1:4">
      <c r="A98" s="41" t="s">
        <v>11124</v>
      </c>
      <c r="B98" s="41" t="s">
        <v>11411</v>
      </c>
      <c r="C98" s="63" t="str">
        <f t="shared" si="2"/>
        <v>C00240:1</v>
      </c>
      <c r="D98" s="64" t="str">
        <f t="shared" si="3"/>
        <v>C00240 : rRNA</v>
      </c>
    </row>
    <row r="99" spans="1:4">
      <c r="A99" s="41" t="s">
        <v>11125</v>
      </c>
      <c r="B99" s="41" t="s">
        <v>11541</v>
      </c>
      <c r="C99" s="63" t="str">
        <f t="shared" si="2"/>
        <v>C00243:1</v>
      </c>
      <c r="D99" s="64" t="str">
        <f t="shared" si="3"/>
        <v>C00243 : Lactose</v>
      </c>
    </row>
    <row r="100" spans="1:4">
      <c r="A100" s="41" t="s">
        <v>11126</v>
      </c>
      <c r="B100" s="41" t="s">
        <v>11412</v>
      </c>
      <c r="C100" s="63" t="str">
        <f t="shared" si="2"/>
        <v>C00250:1</v>
      </c>
      <c r="D100" s="64" t="str">
        <f t="shared" si="3"/>
        <v>C00250 : Pyridoxal</v>
      </c>
    </row>
    <row r="101" spans="1:4">
      <c r="A101" s="41" t="s">
        <v>8626</v>
      </c>
      <c r="B101" s="41" t="s">
        <v>11542</v>
      </c>
      <c r="C101" s="63" t="str">
        <f t="shared" si="2"/>
        <v>C00251:1</v>
      </c>
      <c r="D101" s="64" t="str">
        <f t="shared" si="3"/>
        <v>C00251 : Chorismate</v>
      </c>
    </row>
    <row r="102" spans="1:4">
      <c r="A102" s="41" t="s">
        <v>8609</v>
      </c>
      <c r="B102" s="41" t="s">
        <v>11543</v>
      </c>
      <c r="C102" s="63" t="str">
        <f t="shared" si="2"/>
        <v>C00254:1</v>
      </c>
      <c r="D102" s="64" t="str">
        <f t="shared" si="3"/>
        <v>C00254 : Prephenate</v>
      </c>
    </row>
    <row r="103" spans="1:4">
      <c r="A103" s="41" t="s">
        <v>11127</v>
      </c>
      <c r="B103" s="41" t="s">
        <v>11413</v>
      </c>
      <c r="C103" s="63" t="str">
        <f t="shared" si="2"/>
        <v>C00255:1</v>
      </c>
      <c r="D103" s="64" t="str">
        <f t="shared" si="3"/>
        <v>C00255 : Riboflavin</v>
      </c>
    </row>
    <row r="104" spans="1:4">
      <c r="A104" s="41" t="s">
        <v>11128</v>
      </c>
      <c r="B104" s="41" t="s">
        <v>11414</v>
      </c>
      <c r="C104" s="63" t="str">
        <f t="shared" si="2"/>
        <v>C00258:1</v>
      </c>
      <c r="D104" s="64" t="str">
        <f t="shared" si="3"/>
        <v>C00258 : D-Glycerate</v>
      </c>
    </row>
    <row r="105" spans="1:4">
      <c r="A105" s="41" t="s">
        <v>11129</v>
      </c>
      <c r="B105" s="41" t="s">
        <v>11415</v>
      </c>
      <c r="C105" s="63" t="str">
        <f t="shared" si="2"/>
        <v>C00263:1</v>
      </c>
      <c r="D105" s="64" t="str">
        <f t="shared" si="3"/>
        <v>C00263 : L-Homoserine</v>
      </c>
    </row>
    <row r="106" spans="1:4">
      <c r="A106" s="41" t="s">
        <v>8680</v>
      </c>
      <c r="B106" s="41" t="s">
        <v>11416</v>
      </c>
      <c r="C106" s="63" t="str">
        <f t="shared" si="2"/>
        <v>C00267:1</v>
      </c>
      <c r="D106" s="64" t="str">
        <f t="shared" si="3"/>
        <v xml:space="preserve">C00267 : alpha-D-Glucose </v>
      </c>
    </row>
    <row r="107" spans="1:4">
      <c r="A107" s="41" t="s">
        <v>11130</v>
      </c>
      <c r="B107" s="41" t="s">
        <v>11417</v>
      </c>
      <c r="C107" s="63" t="str">
        <f t="shared" si="2"/>
        <v>C00269:1</v>
      </c>
      <c r="D107" s="64" t="str">
        <f t="shared" si="3"/>
        <v>C00269 : CDP-diacylglycerol</v>
      </c>
    </row>
    <row r="108" spans="1:4">
      <c r="A108" s="41" t="s">
        <v>8697</v>
      </c>
      <c r="B108" s="41" t="s">
        <v>11544</v>
      </c>
      <c r="C108" s="63" t="str">
        <f t="shared" si="2"/>
        <v>C00275:1</v>
      </c>
      <c r="D108" s="64" t="str">
        <f t="shared" si="3"/>
        <v>C00275 : D-Mannose-6-phosphate</v>
      </c>
    </row>
    <row r="109" spans="1:4">
      <c r="A109" s="41" t="s">
        <v>11131</v>
      </c>
      <c r="B109" s="41" t="s">
        <v>11418</v>
      </c>
      <c r="C109" s="63" t="str">
        <f t="shared" si="2"/>
        <v>C00283:1</v>
      </c>
      <c r="D109" s="64" t="str">
        <f t="shared" si="3"/>
        <v xml:space="preserve">C00283 : Hydrogen Sulfide </v>
      </c>
    </row>
    <row r="110" spans="1:4">
      <c r="A110" s="65" t="s">
        <v>11132</v>
      </c>
      <c r="B110" s="41" t="s">
        <v>11419</v>
      </c>
      <c r="C110" s="63" t="str">
        <f t="shared" si="2"/>
        <v>C00288:1</v>
      </c>
      <c r="D110" s="64" t="str">
        <f t="shared" si="3"/>
        <v>C00288 : HCO3-</v>
      </c>
    </row>
    <row r="111" spans="1:4">
      <c r="A111" s="41" t="s">
        <v>11420</v>
      </c>
      <c r="B111" s="41" t="s">
        <v>11545</v>
      </c>
      <c r="C111" s="63" t="str">
        <f t="shared" si="2"/>
        <v>C00290:1</v>
      </c>
      <c r="D111" s="64" t="str">
        <f t="shared" si="3"/>
        <v>C00290 : Fibrin</v>
      </c>
    </row>
    <row r="112" spans="1:4">
      <c r="A112" s="41" t="s">
        <v>11133</v>
      </c>
      <c r="B112" s="41" t="s">
        <v>11421</v>
      </c>
      <c r="C112" s="63" t="str">
        <f t="shared" si="2"/>
        <v>C00301:1</v>
      </c>
      <c r="D112" s="64" t="str">
        <f t="shared" si="3"/>
        <v>C00301 : ADP-ribose</v>
      </c>
    </row>
    <row r="113" spans="1:4">
      <c r="A113" s="41" t="s">
        <v>8594</v>
      </c>
      <c r="B113" s="41" t="s">
        <v>11546</v>
      </c>
      <c r="C113" s="63" t="str">
        <f t="shared" si="2"/>
        <v>C00311:1</v>
      </c>
      <c r="D113" s="64" t="str">
        <f t="shared" si="3"/>
        <v>C00311 : Isocitrate</v>
      </c>
    </row>
    <row r="114" spans="1:4">
      <c r="A114" s="41" t="s">
        <v>11134</v>
      </c>
      <c r="B114" s="41" t="s">
        <v>11547</v>
      </c>
      <c r="C114" s="63" t="str">
        <f t="shared" si="2"/>
        <v>C00327:1</v>
      </c>
      <c r="D114" s="64" t="str">
        <f t="shared" si="3"/>
        <v>C00327 : L-Citrulline</v>
      </c>
    </row>
    <row r="115" spans="1:4">
      <c r="A115" s="41" t="s">
        <v>11135</v>
      </c>
      <c r="B115" s="41" t="s">
        <v>11548</v>
      </c>
      <c r="C115" s="63" t="str">
        <f t="shared" si="2"/>
        <v>C00337:1</v>
      </c>
      <c r="D115" s="64" t="str">
        <f t="shared" si="3"/>
        <v>C00337 : (s)- Dihydroorotate</v>
      </c>
    </row>
    <row r="116" spans="1:4">
      <c r="A116" s="41" t="s">
        <v>11136</v>
      </c>
      <c r="B116" s="41" t="s">
        <v>11549</v>
      </c>
      <c r="C116" s="63" t="str">
        <f t="shared" si="2"/>
        <v>C00341:1</v>
      </c>
      <c r="D116" s="64" t="str">
        <f t="shared" si="3"/>
        <v>C00341 : Geranyl_diphosphate</v>
      </c>
    </row>
    <row r="117" spans="1:4">
      <c r="A117" s="41" t="s">
        <v>11137</v>
      </c>
      <c r="B117" s="41" t="s">
        <v>11423</v>
      </c>
      <c r="C117" s="63" t="str">
        <f t="shared" si="2"/>
        <v>C00342:1</v>
      </c>
      <c r="D117" s="64" t="str">
        <f t="shared" si="3"/>
        <v>C00342 : Thioredoxin</v>
      </c>
    </row>
    <row r="118" spans="1:4">
      <c r="A118" s="41" t="s">
        <v>11138</v>
      </c>
      <c r="B118" s="41" t="s">
        <v>11424</v>
      </c>
      <c r="C118" s="63" t="str">
        <f t="shared" si="2"/>
        <v>C00343:1</v>
      </c>
      <c r="D118" s="64" t="str">
        <f t="shared" si="3"/>
        <v xml:space="preserve">C00343 : Thioredoxin disulfide </v>
      </c>
    </row>
    <row r="119" spans="1:4">
      <c r="A119" s="41" t="s">
        <v>8714</v>
      </c>
      <c r="B119" s="66" t="s">
        <v>11425</v>
      </c>
      <c r="C119" s="63" t="str">
        <f t="shared" si="2"/>
        <v>C00352:1</v>
      </c>
      <c r="D119" s="64" t="str">
        <f t="shared" si="3"/>
        <v>C00352 : D-Glucosamine 6-phosphate</v>
      </c>
    </row>
    <row r="120" spans="1:4">
      <c r="A120" s="41" t="s">
        <v>11139</v>
      </c>
      <c r="B120" s="66" t="s">
        <v>11426</v>
      </c>
      <c r="C120" s="63" t="str">
        <f t="shared" si="2"/>
        <v>C00354:1</v>
      </c>
      <c r="D120" s="64" t="str">
        <f t="shared" si="3"/>
        <v>C00354 : D-Fructose 1,6-bisphosphate</v>
      </c>
    </row>
    <row r="121" spans="1:4">
      <c r="A121" s="41" t="s">
        <v>11140</v>
      </c>
      <c r="B121" s="41" t="s">
        <v>11427</v>
      </c>
      <c r="C121" s="63" t="str">
        <f t="shared" si="2"/>
        <v>C00356:1</v>
      </c>
      <c r="D121" s="64" t="str">
        <f t="shared" si="3"/>
        <v>C00356 : (S)-3-Hydroxy-3-methylglutaryl-CoA</v>
      </c>
    </row>
    <row r="122" spans="1:4">
      <c r="A122" s="41" t="s">
        <v>11141</v>
      </c>
      <c r="B122" s="66" t="s">
        <v>11428</v>
      </c>
      <c r="C122" s="63" t="str">
        <f t="shared" si="2"/>
        <v>C00357:1</v>
      </c>
      <c r="D122" s="64" t="str">
        <f t="shared" si="3"/>
        <v>C00357 : N-Acetyl-D-glucosamine 6-phosphate</v>
      </c>
    </row>
    <row r="123" spans="1:4">
      <c r="A123" s="41" t="s">
        <v>11142</v>
      </c>
      <c r="B123" s="66" t="s">
        <v>11429</v>
      </c>
      <c r="C123" s="63" t="str">
        <f t="shared" si="2"/>
        <v>C00364:1</v>
      </c>
      <c r="D123" s="64" t="str">
        <f t="shared" si="3"/>
        <v>C00364 : dTMP</v>
      </c>
    </row>
    <row r="124" spans="1:4">
      <c r="A124" s="41" t="s">
        <v>11143</v>
      </c>
      <c r="B124" s="66" t="s">
        <v>11430</v>
      </c>
      <c r="C124" s="63" t="str">
        <f t="shared" si="2"/>
        <v>C00365:1</v>
      </c>
      <c r="D124" s="64" t="str">
        <f t="shared" si="3"/>
        <v>C00365 : dUMP</v>
      </c>
    </row>
    <row r="125" spans="1:4">
      <c r="A125" s="41" t="s">
        <v>11144</v>
      </c>
      <c r="B125" s="66" t="s">
        <v>11431</v>
      </c>
      <c r="C125" s="63" t="str">
        <f t="shared" si="2"/>
        <v>C00369:1</v>
      </c>
      <c r="D125" s="64" t="str">
        <f t="shared" si="3"/>
        <v>C00369 : Starch</v>
      </c>
    </row>
    <row r="126" spans="1:4">
      <c r="A126" s="41" t="s">
        <v>11145</v>
      </c>
      <c r="B126" s="66" t="s">
        <v>11550</v>
      </c>
      <c r="C126" s="63" t="str">
        <f t="shared" si="2"/>
        <v>C00372:1</v>
      </c>
      <c r="D126" s="64" t="str">
        <f t="shared" si="3"/>
        <v>C00372 : Dextran</v>
      </c>
    </row>
    <row r="127" spans="1:4">
      <c r="A127" s="41" t="s">
        <v>11146</v>
      </c>
      <c r="B127" s="66" t="s">
        <v>11432</v>
      </c>
      <c r="C127" s="63" t="str">
        <f t="shared" si="2"/>
        <v>C00378:1</v>
      </c>
      <c r="D127" s="64" t="str">
        <f t="shared" si="3"/>
        <v>C00378 : Thiamine</v>
      </c>
    </row>
    <row r="128" spans="1:4">
      <c r="A128" s="41" t="s">
        <v>11147</v>
      </c>
      <c r="B128" s="66" t="s">
        <v>11433</v>
      </c>
      <c r="C128" s="63" t="str">
        <f t="shared" si="2"/>
        <v>C00407:1</v>
      </c>
      <c r="D128" s="64" t="str">
        <f t="shared" si="3"/>
        <v>C00407 : L-Isoleucine</v>
      </c>
    </row>
    <row r="129" spans="1:4">
      <c r="A129" s="41" t="s">
        <v>11148</v>
      </c>
      <c r="B129" s="66" t="s">
        <v>11551</v>
      </c>
      <c r="C129" s="63" t="str">
        <f t="shared" si="2"/>
        <v>C00409:1</v>
      </c>
      <c r="D129" s="64" t="str">
        <f t="shared" si="3"/>
        <v>C00409 : Methanethiol</v>
      </c>
    </row>
    <row r="130" spans="1:4">
      <c r="A130" s="41" t="s">
        <v>11149</v>
      </c>
      <c r="B130" s="66" t="s">
        <v>11434</v>
      </c>
      <c r="C130" s="63" t="str">
        <f t="shared" si="2"/>
        <v>C00416:1</v>
      </c>
      <c r="D130" s="64" t="str">
        <f t="shared" si="3"/>
        <v>C00416 : Phosphatidate</v>
      </c>
    </row>
    <row r="131" spans="1:4">
      <c r="A131" s="41" t="s">
        <v>11150</v>
      </c>
      <c r="B131" s="66" t="s">
        <v>11435</v>
      </c>
      <c r="C131" s="63" t="str">
        <f t="shared" ref="C131:C194" si="4">CONCATENATE(A131,":","1")</f>
        <v>C00418:1</v>
      </c>
      <c r="D131" s="64" t="str">
        <f t="shared" ref="D131:D194" si="5">CONCATENATE(A131," : ",B131)</f>
        <v>C00418 : ( R )-Mevalonate</v>
      </c>
    </row>
    <row r="132" spans="1:4">
      <c r="A132" s="41" t="s">
        <v>11151</v>
      </c>
      <c r="B132" s="66" t="s">
        <v>11552</v>
      </c>
      <c r="C132" s="63" t="str">
        <f t="shared" si="4"/>
        <v>C00437:1</v>
      </c>
      <c r="D132" s="64" t="str">
        <f t="shared" si="5"/>
        <v>C00437 : N-Acetylornithine</v>
      </c>
    </row>
    <row r="133" spans="1:4">
      <c r="A133" s="41" t="s">
        <v>11152</v>
      </c>
      <c r="B133" s="66" t="s">
        <v>11553</v>
      </c>
      <c r="C133" s="63" t="str">
        <f t="shared" si="4"/>
        <v>C00440:1</v>
      </c>
      <c r="D133" s="64" t="str">
        <f t="shared" si="5"/>
        <v>C00440 : 5-Methyltetrahydrofolate</v>
      </c>
    </row>
    <row r="134" spans="1:4">
      <c r="A134" s="41" t="s">
        <v>11153</v>
      </c>
      <c r="B134" s="66" t="s">
        <v>11436</v>
      </c>
      <c r="C134" s="63" t="str">
        <f t="shared" si="4"/>
        <v>C00441:1</v>
      </c>
      <c r="D134" s="64" t="str">
        <f t="shared" si="5"/>
        <v>C00441 : L-Aspartate 4-semialdehyde</v>
      </c>
    </row>
    <row r="135" spans="1:4">
      <c r="A135" s="41" t="s">
        <v>11154</v>
      </c>
      <c r="B135" s="66" t="s">
        <v>11437</v>
      </c>
      <c r="C135" s="63" t="str">
        <f t="shared" si="4"/>
        <v>C00445:1</v>
      </c>
      <c r="D135" s="64" t="str">
        <f t="shared" si="5"/>
        <v>C00445 : 5,10-Methenyltetrahydrofolate</v>
      </c>
    </row>
    <row r="136" spans="1:4">
      <c r="A136" s="41" t="s">
        <v>11155</v>
      </c>
      <c r="B136" s="66" t="s">
        <v>11438</v>
      </c>
      <c r="C136" s="63" t="str">
        <f t="shared" si="4"/>
        <v>C00446:1</v>
      </c>
      <c r="D136" s="64" t="str">
        <f t="shared" si="5"/>
        <v xml:space="preserve">C00446 : alpha-D-Galactose 1-phosphate </v>
      </c>
    </row>
    <row r="137" spans="1:4">
      <c r="A137" s="41" t="s">
        <v>11156</v>
      </c>
      <c r="B137" s="66" t="s">
        <v>11439</v>
      </c>
      <c r="C137" s="63" t="str">
        <f t="shared" si="4"/>
        <v>C00447:1</v>
      </c>
      <c r="D137" s="64" t="str">
        <f t="shared" si="5"/>
        <v>C00447 : Sedoheptulose 1,7-bisphosphate</v>
      </c>
    </row>
    <row r="138" spans="1:4">
      <c r="A138" s="41" t="s">
        <v>11157</v>
      </c>
      <c r="B138" s="66" t="s">
        <v>11440</v>
      </c>
      <c r="C138" s="63" t="str">
        <f t="shared" si="4"/>
        <v>C00454:1</v>
      </c>
      <c r="D138" s="64" t="str">
        <f t="shared" si="5"/>
        <v>C00454 : NDP</v>
      </c>
    </row>
    <row r="139" spans="1:4">
      <c r="A139" s="41" t="s">
        <v>11158</v>
      </c>
      <c r="B139" s="66" t="s">
        <v>11441</v>
      </c>
      <c r="C139" s="63" t="str">
        <f t="shared" si="4"/>
        <v>C00455:1</v>
      </c>
      <c r="D139" s="64" t="str">
        <f t="shared" si="5"/>
        <v>C00455 : Nicotinamide-D-ribonucleotide</v>
      </c>
    </row>
    <row r="140" spans="1:4">
      <c r="A140" s="41" t="s">
        <v>11159</v>
      </c>
      <c r="B140" s="66" t="s">
        <v>11442</v>
      </c>
      <c r="C140" s="63" t="str">
        <f t="shared" si="4"/>
        <v>C00459:1</v>
      </c>
      <c r="D140" s="64" t="str">
        <f t="shared" si="5"/>
        <v>C00459 : dTTP</v>
      </c>
    </row>
    <row r="141" spans="1:4">
      <c r="A141" s="41" t="s">
        <v>11160</v>
      </c>
      <c r="B141" s="66" t="s">
        <v>11443</v>
      </c>
      <c r="C141" s="63" t="str">
        <f t="shared" si="4"/>
        <v>C00460:1</v>
      </c>
      <c r="D141" s="64" t="str">
        <f t="shared" si="5"/>
        <v>C00460 : dUTP</v>
      </c>
    </row>
    <row r="142" spans="1:4">
      <c r="A142" s="41" t="s">
        <v>11161</v>
      </c>
      <c r="B142" s="66" t="s">
        <v>11554</v>
      </c>
      <c r="C142" s="63" t="str">
        <f t="shared" si="4"/>
        <v>C00466:1</v>
      </c>
      <c r="D142" s="64" t="str">
        <f t="shared" si="5"/>
        <v>C00466 : Acetoin</v>
      </c>
    </row>
    <row r="143" spans="1:4">
      <c r="A143" s="41" t="s">
        <v>11162</v>
      </c>
      <c r="B143" s="66" t="s">
        <v>11444</v>
      </c>
      <c r="C143" s="63" t="str">
        <f t="shared" si="4"/>
        <v>C00475:1</v>
      </c>
      <c r="D143" s="64" t="str">
        <f t="shared" si="5"/>
        <v>C00475 : Cytidine</v>
      </c>
    </row>
    <row r="144" spans="1:4">
      <c r="A144" s="41" t="s">
        <v>11163</v>
      </c>
      <c r="B144" s="66" t="s">
        <v>11555</v>
      </c>
      <c r="C144" s="63" t="str">
        <f t="shared" si="4"/>
        <v>C00493:1</v>
      </c>
      <c r="D144" s="64" t="str">
        <f t="shared" si="5"/>
        <v>C00493 : Shikimate</v>
      </c>
    </row>
    <row r="145" spans="1:4">
      <c r="A145" s="41" t="s">
        <v>11556</v>
      </c>
      <c r="B145" s="66" t="s">
        <v>11557</v>
      </c>
      <c r="C145" s="63" t="str">
        <f t="shared" si="4"/>
        <v>C00521:1</v>
      </c>
      <c r="D145" s="64" t="str">
        <f t="shared" si="5"/>
        <v>C00521 : (s)- Limonene</v>
      </c>
    </row>
    <row r="146" spans="1:4">
      <c r="A146" s="41" t="s">
        <v>11164</v>
      </c>
      <c r="B146" s="66" t="s">
        <v>11558</v>
      </c>
      <c r="C146" s="63" t="str">
        <f t="shared" si="4"/>
        <v>C00562:1</v>
      </c>
      <c r="D146" s="64" t="str">
        <f t="shared" si="5"/>
        <v>C00562 : Phosphoprotein</v>
      </c>
    </row>
    <row r="147" spans="1:4">
      <c r="A147" s="41" t="s">
        <v>11165</v>
      </c>
      <c r="B147" s="66" t="s">
        <v>11559</v>
      </c>
      <c r="C147" s="63" t="str">
        <f t="shared" si="4"/>
        <v>C00568:1</v>
      </c>
      <c r="D147" s="64" t="str">
        <f t="shared" si="5"/>
        <v>C00568 : 4-Aminobenzonate</v>
      </c>
    </row>
    <row r="148" spans="1:4">
      <c r="A148" s="41" t="s">
        <v>11166</v>
      </c>
      <c r="B148" s="66" t="s">
        <v>11445</v>
      </c>
      <c r="C148" s="63" t="str">
        <f t="shared" si="4"/>
        <v>C00615:1</v>
      </c>
      <c r="D148" s="64" t="str">
        <f t="shared" si="5"/>
        <v>C00615 : Protein histidine</v>
      </c>
    </row>
    <row r="149" spans="1:4">
      <c r="A149" s="41" t="s">
        <v>8721</v>
      </c>
      <c r="B149" s="66" t="s">
        <v>11560</v>
      </c>
      <c r="C149" s="63" t="str">
        <f t="shared" si="4"/>
        <v>C00620:1</v>
      </c>
      <c r="D149" s="64" t="str">
        <f t="shared" si="5"/>
        <v>C00620 : alpha-D-ribose 1-phosphate</v>
      </c>
    </row>
    <row r="150" spans="1:4">
      <c r="A150" s="41" t="s">
        <v>11167</v>
      </c>
      <c r="B150" s="66" t="s">
        <v>11561</v>
      </c>
      <c r="C150" s="63" t="str">
        <f t="shared" si="4"/>
        <v>C00624:1</v>
      </c>
      <c r="D150" s="64" t="str">
        <f t="shared" si="5"/>
        <v>C00624 : N-Acetyle-L-glutamate</v>
      </c>
    </row>
    <row r="151" spans="1:4">
      <c r="A151" s="41" t="s">
        <v>11168</v>
      </c>
      <c r="B151" s="66" t="s">
        <v>11446</v>
      </c>
      <c r="C151" s="63" t="str">
        <f t="shared" si="4"/>
        <v>C00631:1</v>
      </c>
      <c r="D151" s="64" t="str">
        <f t="shared" si="5"/>
        <v>C00631 : 2-Phospho-D-glycerate</v>
      </c>
    </row>
    <row r="152" spans="1:4">
      <c r="A152" s="41" t="s">
        <v>11169</v>
      </c>
      <c r="B152" s="66" t="s">
        <v>11562</v>
      </c>
      <c r="C152" s="63" t="str">
        <f t="shared" si="4"/>
        <v>C00636:1</v>
      </c>
      <c r="D152" s="64" t="str">
        <f t="shared" si="5"/>
        <v>C00636 : D-Mannose 1-phosphate</v>
      </c>
    </row>
    <row r="153" spans="1:4">
      <c r="A153" s="65" t="s">
        <v>11533</v>
      </c>
      <c r="B153" s="66" t="s">
        <v>11563</v>
      </c>
      <c r="C153" s="63" t="str">
        <f t="shared" si="4"/>
        <v>C00640:1</v>
      </c>
      <c r="D153" s="64" t="str">
        <f t="shared" si="5"/>
        <v>C00640 : (3s)-3Hydroxyacyl-CoA</v>
      </c>
    </row>
    <row r="154" spans="1:4">
      <c r="A154" s="41" t="s">
        <v>11170</v>
      </c>
      <c r="B154" s="66" t="s">
        <v>11564</v>
      </c>
      <c r="C154" s="63" t="str">
        <f t="shared" si="4"/>
        <v>C00641:1</v>
      </c>
      <c r="D154" s="64" t="str">
        <f t="shared" si="5"/>
        <v>C00641 : 1,2-Diacyl-sn-glycerol</v>
      </c>
    </row>
    <row r="155" spans="1:4">
      <c r="A155" s="41" t="s">
        <v>11171</v>
      </c>
      <c r="B155" s="66" t="s">
        <v>11447</v>
      </c>
      <c r="C155" s="63" t="str">
        <f t="shared" si="4"/>
        <v>C00668:1</v>
      </c>
      <c r="D155" s="64" t="str">
        <f t="shared" si="5"/>
        <v xml:space="preserve">C00668 : alpha-D-Glucose 6-phosphate </v>
      </c>
    </row>
    <row r="156" spans="1:4">
      <c r="A156" s="41" t="s">
        <v>11172</v>
      </c>
      <c r="B156" s="68" t="s">
        <v>11565</v>
      </c>
      <c r="C156" s="63" t="str">
        <f t="shared" si="4"/>
        <v>C00669:1</v>
      </c>
      <c r="D156" s="64" t="str">
        <f t="shared" si="5"/>
        <v>C00669 : gamma-L-Glutamyl-L-cysteine</v>
      </c>
    </row>
    <row r="157" spans="1:4">
      <c r="A157" s="41" t="s">
        <v>11173</v>
      </c>
      <c r="B157" s="66" t="s">
        <v>11448</v>
      </c>
      <c r="C157" s="63" t="str">
        <f t="shared" si="4"/>
        <v>C00677:1</v>
      </c>
      <c r="D157" s="64" t="str">
        <f t="shared" si="5"/>
        <v>C00677 : Deoxynucleoside triphosphate</v>
      </c>
    </row>
    <row r="158" spans="1:4">
      <c r="A158" s="41" t="s">
        <v>11174</v>
      </c>
      <c r="B158" s="66" t="s">
        <v>11449</v>
      </c>
      <c r="C158" s="63" t="str">
        <f t="shared" si="4"/>
        <v>C00680:1</v>
      </c>
      <c r="D158" s="64" t="str">
        <f t="shared" si="5"/>
        <v>C00680 : meso-2,6-Diaminoheptanedioate</v>
      </c>
    </row>
    <row r="159" spans="1:4">
      <c r="A159" s="41" t="s">
        <v>11175</v>
      </c>
      <c r="B159" s="66" t="s">
        <v>11450</v>
      </c>
      <c r="C159" s="63" t="str">
        <f t="shared" si="4"/>
        <v>C00692:1</v>
      </c>
      <c r="D159" s="64" t="str">
        <f t="shared" si="5"/>
        <v>C00692 : UDP-N-acetylmuramoyl-L-alanyl-D-glutamate</v>
      </c>
    </row>
    <row r="160" spans="1:4">
      <c r="A160" s="41" t="s">
        <v>11176</v>
      </c>
      <c r="B160" s="66" t="s">
        <v>11566</v>
      </c>
      <c r="C160" s="63" t="str">
        <f t="shared" si="4"/>
        <v>C00704:1</v>
      </c>
      <c r="D160" s="64" t="str">
        <f t="shared" si="5"/>
        <v>C00704 : Superoxide</v>
      </c>
    </row>
    <row r="161" spans="1:4">
      <c r="A161" s="41" t="s">
        <v>11177</v>
      </c>
      <c r="B161" s="66" t="s">
        <v>11451</v>
      </c>
      <c r="C161" s="63" t="str">
        <f t="shared" si="4"/>
        <v>C00718:1</v>
      </c>
      <c r="D161" s="64" t="str">
        <f t="shared" si="5"/>
        <v>C00718 : Amylose</v>
      </c>
    </row>
    <row r="162" spans="1:4">
      <c r="A162" s="41" t="s">
        <v>11178</v>
      </c>
      <c r="B162" s="66" t="s">
        <v>11567</v>
      </c>
      <c r="C162" s="63" t="str">
        <f t="shared" si="4"/>
        <v>C00740:1</v>
      </c>
      <c r="D162" s="64" t="str">
        <f t="shared" si="5"/>
        <v>C00740 : D-Serine</v>
      </c>
    </row>
    <row r="163" spans="1:4">
      <c r="A163" s="41" t="s">
        <v>11179</v>
      </c>
      <c r="B163" s="66" t="s">
        <v>11568</v>
      </c>
      <c r="C163" s="63" t="str">
        <f t="shared" si="4"/>
        <v>C00741:1</v>
      </c>
      <c r="D163" s="64" t="str">
        <f t="shared" si="5"/>
        <v>C00741 : Diacetyle</v>
      </c>
    </row>
    <row r="164" spans="1:4">
      <c r="A164" s="65" t="s">
        <v>11180</v>
      </c>
      <c r="B164" s="66" t="s">
        <v>11452</v>
      </c>
      <c r="C164" s="63" t="str">
        <f t="shared" si="4"/>
        <v>C00787:1</v>
      </c>
      <c r="D164" s="64" t="str">
        <f t="shared" si="5"/>
        <v>C00787 : tRNA(Tyr)</v>
      </c>
    </row>
    <row r="165" spans="1:4">
      <c r="A165" s="41" t="s">
        <v>11181</v>
      </c>
      <c r="B165" s="66" t="s">
        <v>11569</v>
      </c>
      <c r="C165" s="63" t="str">
        <f t="shared" si="4"/>
        <v>C00810:1</v>
      </c>
      <c r="D165" s="64" t="str">
        <f t="shared" si="5"/>
        <v>C00810 : R-acetoin</v>
      </c>
    </row>
    <row r="166" spans="1:4">
      <c r="A166" s="41" t="s">
        <v>11182</v>
      </c>
      <c r="B166" s="66" t="s">
        <v>11422</v>
      </c>
      <c r="C166" s="63" t="str">
        <f t="shared" si="4"/>
        <v>C00821:1</v>
      </c>
      <c r="D166" s="64" t="str">
        <f t="shared" si="5"/>
        <v>C00821 : Adenine</v>
      </c>
    </row>
    <row r="167" spans="1:4">
      <c r="A167" s="41" t="s">
        <v>11183</v>
      </c>
      <c r="B167" s="66" t="s">
        <v>11453</v>
      </c>
      <c r="C167" s="63" t="str">
        <f t="shared" si="4"/>
        <v>C00842:1</v>
      </c>
      <c r="D167" s="64" t="str">
        <f t="shared" si="5"/>
        <v>C00842 : dTDP-glucose</v>
      </c>
    </row>
    <row r="168" spans="1:4">
      <c r="A168" s="41" t="s">
        <v>11184</v>
      </c>
      <c r="B168" s="66" t="s">
        <v>11454</v>
      </c>
      <c r="C168" s="63" t="str">
        <f t="shared" si="4"/>
        <v>C00857:1</v>
      </c>
      <c r="D168" s="64" t="str">
        <f t="shared" si="5"/>
        <v>C00857 : Deamino-NAD+</v>
      </c>
    </row>
    <row r="169" spans="1:4">
      <c r="A169" s="41" t="s">
        <v>11185</v>
      </c>
      <c r="B169" s="66" t="s">
        <v>11455</v>
      </c>
      <c r="C169" s="63" t="str">
        <f t="shared" si="4"/>
        <v>C00864:1</v>
      </c>
      <c r="D169" s="64" t="str">
        <f t="shared" si="5"/>
        <v>C00864 : Pantothenate</v>
      </c>
    </row>
    <row r="170" spans="1:4">
      <c r="A170" s="41" t="s">
        <v>8724</v>
      </c>
      <c r="B170" s="66" t="s">
        <v>11456</v>
      </c>
      <c r="C170" s="63" t="str">
        <f t="shared" si="4"/>
        <v>C00868:1</v>
      </c>
      <c r="D170" s="64" t="str">
        <f t="shared" si="5"/>
        <v>C00868 : tRNA uridine</v>
      </c>
    </row>
    <row r="171" spans="1:4">
      <c r="A171" s="41" t="s">
        <v>11186</v>
      </c>
      <c r="B171" s="66" t="s">
        <v>11570</v>
      </c>
      <c r="C171" s="63" t="str">
        <f t="shared" si="4"/>
        <v>C00900:1</v>
      </c>
      <c r="D171" s="64" t="str">
        <f t="shared" si="5"/>
        <v>C00900 : 2-Acetolactate</v>
      </c>
    </row>
    <row r="172" spans="1:4">
      <c r="A172" s="41" t="s">
        <v>11187</v>
      </c>
      <c r="B172" s="66" t="s">
        <v>11571</v>
      </c>
      <c r="C172" s="63" t="str">
        <f t="shared" si="4"/>
        <v>C00921:1</v>
      </c>
      <c r="D172" s="64" t="str">
        <f t="shared" si="5"/>
        <v>C00921 : Dihydropteroate</v>
      </c>
    </row>
    <row r="173" spans="1:4">
      <c r="A173" s="41" t="s">
        <v>11188</v>
      </c>
      <c r="B173" s="66" t="s">
        <v>11572</v>
      </c>
      <c r="C173" s="63" t="str">
        <f t="shared" si="4"/>
        <v>C00944:1</v>
      </c>
      <c r="D173" s="64" t="str">
        <f t="shared" si="5"/>
        <v>C00944 : 3-Dihydroquinate</v>
      </c>
    </row>
    <row r="174" spans="1:4">
      <c r="A174" s="41" t="s">
        <v>11189</v>
      </c>
      <c r="B174" s="66" t="s">
        <v>11457</v>
      </c>
      <c r="C174" s="63" t="str">
        <f t="shared" si="4"/>
        <v>C00979:1</v>
      </c>
      <c r="D174" s="64" t="str">
        <f t="shared" si="5"/>
        <v>C00979 : O-Acetyl-L-serine</v>
      </c>
    </row>
    <row r="175" spans="1:4">
      <c r="A175" s="41" t="s">
        <v>11190</v>
      </c>
      <c r="B175" s="66" t="s">
        <v>11458</v>
      </c>
      <c r="C175" s="63" t="str">
        <f t="shared" si="4"/>
        <v>C00984:1</v>
      </c>
      <c r="D175" s="64" t="str">
        <f t="shared" si="5"/>
        <v>C00984 : alpha-D-Galactose</v>
      </c>
    </row>
    <row r="176" spans="1:4">
      <c r="A176" s="41" t="s">
        <v>11191</v>
      </c>
      <c r="B176" s="66" t="s">
        <v>11573</v>
      </c>
      <c r="C176" s="63" t="str">
        <f t="shared" si="4"/>
        <v>C00988:1</v>
      </c>
      <c r="D176" s="64" t="str">
        <f t="shared" si="5"/>
        <v>C00988 : 2-Phosphoglycolate</v>
      </c>
    </row>
    <row r="177" spans="1:4">
      <c r="A177" s="65" t="s">
        <v>11192</v>
      </c>
      <c r="B177" s="66" t="s">
        <v>11459</v>
      </c>
      <c r="C177" s="63" t="str">
        <f t="shared" si="4"/>
        <v>C00993:1</v>
      </c>
      <c r="D177" s="64" t="str">
        <f t="shared" si="5"/>
        <v>C00993 : D-Alanyl-D-alanine</v>
      </c>
    </row>
    <row r="178" spans="1:4">
      <c r="A178" s="41" t="s">
        <v>11193</v>
      </c>
      <c r="B178" s="66" t="s">
        <v>11460</v>
      </c>
      <c r="C178" s="63" t="str">
        <f t="shared" si="4"/>
        <v>C01005:1</v>
      </c>
      <c r="D178" s="64" t="str">
        <f t="shared" si="5"/>
        <v>C01005 : O-Phospho-L-serine</v>
      </c>
    </row>
    <row r="179" spans="1:4">
      <c r="A179" s="41" t="s">
        <v>11194</v>
      </c>
      <c r="B179" s="66" t="s">
        <v>11461</v>
      </c>
      <c r="C179" s="63" t="str">
        <f t="shared" si="4"/>
        <v>C01050:1</v>
      </c>
      <c r="D179" s="64" t="str">
        <f t="shared" si="5"/>
        <v>C01050 : UDP-N-acetylmuramate</v>
      </c>
    </row>
    <row r="180" spans="1:4">
      <c r="A180" s="41" t="s">
        <v>11195</v>
      </c>
      <c r="B180" s="66" t="s">
        <v>11574</v>
      </c>
      <c r="C180" s="63" t="str">
        <f t="shared" si="4"/>
        <v>C01077:1</v>
      </c>
      <c r="D180" s="64" t="str">
        <f t="shared" si="5"/>
        <v>C01077 : 0-Acetyl-L-homoserine</v>
      </c>
    </row>
    <row r="181" spans="1:4">
      <c r="A181" s="41" t="s">
        <v>11196</v>
      </c>
      <c r="B181" s="66" t="s">
        <v>11462</v>
      </c>
      <c r="C181" s="63" t="str">
        <f t="shared" si="4"/>
        <v>C01094:1</v>
      </c>
      <c r="D181" s="64" t="str">
        <f t="shared" si="5"/>
        <v>C01094 : D-Fructose 1-phosphate</v>
      </c>
    </row>
    <row r="182" spans="1:4">
      <c r="A182" s="41" t="s">
        <v>11197</v>
      </c>
      <c r="B182" s="66" t="s">
        <v>11575</v>
      </c>
      <c r="C182" s="63" t="str">
        <f t="shared" si="4"/>
        <v>C01100:1</v>
      </c>
      <c r="D182" s="64" t="str">
        <f t="shared" si="5"/>
        <v>C01100 : L-Histidinol phosphate</v>
      </c>
    </row>
    <row r="183" spans="1:4">
      <c r="A183" s="41" t="s">
        <v>11198</v>
      </c>
      <c r="B183" s="66" t="s">
        <v>11463</v>
      </c>
      <c r="C183" s="63" t="str">
        <f t="shared" si="4"/>
        <v>C01102:1</v>
      </c>
      <c r="D183" s="64" t="str">
        <f t="shared" si="5"/>
        <v>C01102 : O-Phospho-L-homoserine</v>
      </c>
    </row>
    <row r="184" spans="1:4">
      <c r="A184" s="41" t="s">
        <v>8555</v>
      </c>
      <c r="B184" s="66" t="s">
        <v>11464</v>
      </c>
      <c r="C184" s="63" t="str">
        <f t="shared" si="4"/>
        <v>C01103:1</v>
      </c>
      <c r="D184" s="64" t="str">
        <f t="shared" si="5"/>
        <v xml:space="preserve">C01103 : Orotidine 5'-phosphate </v>
      </c>
    </row>
    <row r="185" spans="1:4">
      <c r="A185" s="41" t="s">
        <v>11199</v>
      </c>
      <c r="B185" s="66" t="s">
        <v>11465</v>
      </c>
      <c r="C185" s="63" t="str">
        <f t="shared" si="4"/>
        <v>C01107:1</v>
      </c>
      <c r="D185" s="64" t="str">
        <f t="shared" si="5"/>
        <v>C01107 : (R)-5-Phosphomevalonate</v>
      </c>
    </row>
    <row r="186" spans="1:4">
      <c r="A186" s="41" t="s">
        <v>11200</v>
      </c>
      <c r="B186" s="66" t="s">
        <v>11576</v>
      </c>
      <c r="C186" s="63" t="str">
        <f t="shared" si="4"/>
        <v>C01118:1</v>
      </c>
      <c r="D186" s="64" t="str">
        <f t="shared" si="5"/>
        <v>C01118 : O-Succinyl-L-homoserine</v>
      </c>
    </row>
    <row r="187" spans="1:4">
      <c r="A187" s="41" t="s">
        <v>11201</v>
      </c>
      <c r="B187" s="66" t="s">
        <v>11466</v>
      </c>
      <c r="C187" s="63" t="str">
        <f t="shared" si="4"/>
        <v>C01134:1</v>
      </c>
      <c r="D187" s="64" t="str">
        <f t="shared" si="5"/>
        <v>C01134 : Pantetheine 4'-phosphate</v>
      </c>
    </row>
    <row r="188" spans="1:4">
      <c r="A188" s="41" t="s">
        <v>11202</v>
      </c>
      <c r="B188" s="66" t="s">
        <v>11467</v>
      </c>
      <c r="C188" s="63" t="str">
        <f t="shared" si="4"/>
        <v>C01143:1</v>
      </c>
      <c r="D188" s="64" t="str">
        <f t="shared" si="5"/>
        <v>C01143 : (R)-5-Diphosphomevalonate</v>
      </c>
    </row>
    <row r="189" spans="1:4">
      <c r="A189" s="41" t="s">
        <v>11203</v>
      </c>
      <c r="B189" s="66" t="s">
        <v>11577</v>
      </c>
      <c r="C189" s="63" t="str">
        <f t="shared" si="4"/>
        <v>C01165:1</v>
      </c>
      <c r="D189" s="64" t="str">
        <f t="shared" si="5"/>
        <v xml:space="preserve">C01165 : L-Glutamate 5-semialdheyde </v>
      </c>
    </row>
    <row r="190" spans="1:4">
      <c r="A190" s="41" t="s">
        <v>11204</v>
      </c>
      <c r="B190" s="66" t="s">
        <v>11468</v>
      </c>
      <c r="C190" s="63" t="str">
        <f t="shared" si="4"/>
        <v>C01167:1</v>
      </c>
      <c r="D190" s="64" t="str">
        <f t="shared" si="5"/>
        <v>C01167 : Protein tyrosine phosphate</v>
      </c>
    </row>
    <row r="191" spans="1:4">
      <c r="A191" s="41" t="s">
        <v>11205</v>
      </c>
      <c r="B191" s="66" t="s">
        <v>11469</v>
      </c>
      <c r="C191" s="63" t="str">
        <f t="shared" si="4"/>
        <v>C01185:1</v>
      </c>
      <c r="D191" s="64" t="str">
        <f t="shared" si="5"/>
        <v>C01185 : Nicotinate D-ribonucleotide</v>
      </c>
    </row>
    <row r="192" spans="1:4">
      <c r="A192" s="41" t="s">
        <v>11206</v>
      </c>
      <c r="B192" s="66" t="s">
        <v>11578</v>
      </c>
      <c r="C192" s="63" t="str">
        <f t="shared" si="4"/>
        <v>C01209:1</v>
      </c>
      <c r="D192" s="64" t="str">
        <f t="shared" si="5"/>
        <v>C01209 : Malonyl -[acyl - carrier protein]</v>
      </c>
    </row>
    <row r="193" spans="1:4">
      <c r="A193" s="41" t="s">
        <v>11207</v>
      </c>
      <c r="B193" s="66" t="s">
        <v>11470</v>
      </c>
      <c r="C193" s="63" t="str">
        <f t="shared" si="4"/>
        <v>C01212:1</v>
      </c>
      <c r="D193" s="64" t="str">
        <f t="shared" si="5"/>
        <v>C01212 : UDP-N-acetylmuramoyl-L-alanine</v>
      </c>
    </row>
    <row r="194" spans="1:4">
      <c r="A194" s="41" t="s">
        <v>11208</v>
      </c>
      <c r="B194" s="66" t="s">
        <v>11579</v>
      </c>
      <c r="C194" s="63" t="str">
        <f t="shared" si="4"/>
        <v>C01228:1</v>
      </c>
      <c r="D194" s="64" t="str">
        <f t="shared" si="5"/>
        <v>C01228 : Guanosine 3'-5'-bis(diphosphate)</v>
      </c>
    </row>
    <row r="195" spans="1:4">
      <c r="A195" s="41" t="s">
        <v>11209</v>
      </c>
      <c r="B195" s="66" t="s">
        <v>11580</v>
      </c>
      <c r="C195" s="63" t="str">
        <f t="shared" ref="C195:C258" si="6">CONCATENATE(A195,":","1")</f>
        <v>C01229:1</v>
      </c>
      <c r="D195" s="64" t="str">
        <f t="shared" ref="D195:D258" si="7">CONCATENATE(A195," : ",B195)</f>
        <v>C01229 : Phospholipid olefinic fatty acid</v>
      </c>
    </row>
    <row r="196" spans="1:4">
      <c r="A196" s="41" t="s">
        <v>11210</v>
      </c>
      <c r="B196" s="66" t="s">
        <v>11581</v>
      </c>
      <c r="C196" s="63" t="str">
        <f t="shared" si="6"/>
        <v>C01250:1</v>
      </c>
      <c r="D196" s="64" t="str">
        <f t="shared" si="7"/>
        <v xml:space="preserve">C01250 : N-Acetyl-L-glutamate 5-semialdehyde </v>
      </c>
    </row>
    <row r="197" spans="1:4">
      <c r="A197" s="41" t="s">
        <v>8625</v>
      </c>
      <c r="B197" s="66" t="s">
        <v>11582</v>
      </c>
      <c r="C197" s="63" t="str">
        <f t="shared" si="6"/>
        <v>C01269:1</v>
      </c>
      <c r="D197" s="64" t="str">
        <f t="shared" si="7"/>
        <v>C01269 : 5-O-(1-Carboxyvinyl)-3-phosphoshikimate</v>
      </c>
    </row>
    <row r="198" spans="1:4">
      <c r="A198" s="41" t="s">
        <v>8612</v>
      </c>
      <c r="B198" s="66" t="s">
        <v>11583</v>
      </c>
      <c r="C198" s="63" t="str">
        <f t="shared" si="6"/>
        <v>C01271:1</v>
      </c>
      <c r="D198" s="64" t="str">
        <f t="shared" si="7"/>
        <v>C01271 : (3R)-3-Hydroxyacyl-[acyl-carrier protein]</v>
      </c>
    </row>
    <row r="199" spans="1:4">
      <c r="A199" s="41" t="s">
        <v>11211</v>
      </c>
      <c r="B199" s="66" t="s">
        <v>11584</v>
      </c>
      <c r="C199" s="63" t="str">
        <f t="shared" si="6"/>
        <v>C01300:1</v>
      </c>
      <c r="D199" s="64" t="str">
        <f t="shared" si="7"/>
        <v>C01300 : 6-(Hydroxymethyl)-7,8-dihydropterin</v>
      </c>
    </row>
    <row r="200" spans="1:4">
      <c r="A200" s="41" t="s">
        <v>8690</v>
      </c>
      <c r="B200" s="66" t="s">
        <v>11585</v>
      </c>
      <c r="C200" s="63" t="str">
        <f t="shared" si="6"/>
        <v>C01302:1</v>
      </c>
      <c r="D200" s="64" t="str">
        <f t="shared" si="7"/>
        <v>C01302 : 1-(2-Carboxyphenylamino)-1-deoxy-D-ribulose 5-phosphate</v>
      </c>
    </row>
    <row r="201" spans="1:4">
      <c r="A201" s="41" t="s">
        <v>11212</v>
      </c>
      <c r="B201" s="66" t="s">
        <v>11586</v>
      </c>
      <c r="C201" s="63" t="str">
        <f t="shared" si="6"/>
        <v>C01322:1</v>
      </c>
      <c r="D201" s="64" t="str">
        <f t="shared" si="7"/>
        <v>C01322 : Organic halide</v>
      </c>
    </row>
    <row r="202" spans="1:4">
      <c r="A202" s="41" t="s">
        <v>11213</v>
      </c>
      <c r="B202" s="66" t="s">
        <v>11587</v>
      </c>
      <c r="C202" s="63" t="str">
        <f t="shared" si="6"/>
        <v>C01353:1</v>
      </c>
      <c r="D202" s="64" t="str">
        <f t="shared" si="7"/>
        <v>C01353 : Carbonic acid; Dihydrogen carbonate</v>
      </c>
    </row>
    <row r="203" spans="1:4">
      <c r="A203" s="41" t="s">
        <v>11214</v>
      </c>
      <c r="B203" s="66" t="s">
        <v>11588</v>
      </c>
      <c r="C203" s="63" t="str">
        <f t="shared" si="6"/>
        <v>C01419:1</v>
      </c>
      <c r="D203" s="64" t="str">
        <f t="shared" si="7"/>
        <v>C01419 : L-Cysteinylglycine</v>
      </c>
    </row>
    <row r="204" spans="1:4">
      <c r="A204" s="65" t="s">
        <v>11215</v>
      </c>
      <c r="B204" s="66" t="s">
        <v>11471</v>
      </c>
      <c r="C204" s="63" t="str">
        <f t="shared" si="6"/>
        <v>C01635:1</v>
      </c>
      <c r="D204" s="64" t="str">
        <f t="shared" si="7"/>
        <v>C01635 : tRNA(Ala)</v>
      </c>
    </row>
    <row r="205" spans="1:4">
      <c r="A205" s="65" t="s">
        <v>11216</v>
      </c>
      <c r="B205" s="66" t="s">
        <v>11472</v>
      </c>
      <c r="C205" s="63" t="str">
        <f t="shared" si="6"/>
        <v>C01636:1</v>
      </c>
      <c r="D205" s="64" t="str">
        <f t="shared" si="7"/>
        <v>C01636 : tRNA(Arg)</v>
      </c>
    </row>
    <row r="206" spans="1:4">
      <c r="A206" s="65" t="s">
        <v>11217</v>
      </c>
      <c r="B206" s="66" t="s">
        <v>11589</v>
      </c>
      <c r="C206" s="63" t="str">
        <f t="shared" si="6"/>
        <v>C01637:1</v>
      </c>
      <c r="D206" s="64" t="str">
        <f t="shared" si="7"/>
        <v>C01637 : tRNA(Asn)</v>
      </c>
    </row>
    <row r="207" spans="1:4">
      <c r="A207" s="41" t="s">
        <v>11218</v>
      </c>
      <c r="B207" s="66" t="s">
        <v>11473</v>
      </c>
      <c r="C207" s="63" t="str">
        <f t="shared" si="6"/>
        <v>C01638:1</v>
      </c>
      <c r="D207" s="64" t="str">
        <f t="shared" si="7"/>
        <v>C01638 : tRNA(Asp)</v>
      </c>
    </row>
    <row r="208" spans="1:4">
      <c r="A208" s="65" t="s">
        <v>11219</v>
      </c>
      <c r="B208" s="66" t="s">
        <v>11474</v>
      </c>
      <c r="C208" s="63" t="str">
        <f t="shared" si="6"/>
        <v>C01639:1</v>
      </c>
      <c r="D208" s="64" t="str">
        <f t="shared" si="7"/>
        <v>C01639 : tRNA(Cys)</v>
      </c>
    </row>
    <row r="209" spans="1:4">
      <c r="A209" s="65" t="s">
        <v>11220</v>
      </c>
      <c r="B209" s="66" t="s">
        <v>11590</v>
      </c>
      <c r="C209" s="63" t="str">
        <f t="shared" si="6"/>
        <v>C01640:1</v>
      </c>
      <c r="D209" s="64" t="str">
        <f t="shared" si="7"/>
        <v>C01640 : tRNA(Gln)</v>
      </c>
    </row>
    <row r="210" spans="1:4">
      <c r="A210" s="41" t="s">
        <v>11221</v>
      </c>
      <c r="B210" s="66" t="s">
        <v>11475</v>
      </c>
      <c r="C210" s="63" t="str">
        <f t="shared" si="6"/>
        <v>C01641:1</v>
      </c>
      <c r="D210" s="64" t="str">
        <f t="shared" si="7"/>
        <v>C01641 : tRNA(Glu)</v>
      </c>
    </row>
    <row r="211" spans="1:4">
      <c r="A211" s="65" t="s">
        <v>11222</v>
      </c>
      <c r="B211" s="66" t="s">
        <v>11476</v>
      </c>
      <c r="C211" s="63" t="str">
        <f t="shared" si="6"/>
        <v>C01642:1</v>
      </c>
      <c r="D211" s="64" t="str">
        <f t="shared" si="7"/>
        <v>C01642 : tRNA(Gly)</v>
      </c>
    </row>
    <row r="212" spans="1:4">
      <c r="A212" s="65" t="s">
        <v>11223</v>
      </c>
      <c r="B212" s="41" t="s">
        <v>11591</v>
      </c>
      <c r="C212" s="63" t="str">
        <f t="shared" si="6"/>
        <v>C01643:1</v>
      </c>
      <c r="D212" s="64" t="str">
        <f t="shared" si="7"/>
        <v>C01643 : tRNA(His)</v>
      </c>
    </row>
    <row r="213" spans="1:4">
      <c r="A213" s="65" t="s">
        <v>11224</v>
      </c>
      <c r="B213" s="66" t="s">
        <v>11477</v>
      </c>
      <c r="C213" s="63" t="str">
        <f t="shared" si="6"/>
        <v>C01644:1</v>
      </c>
      <c r="D213" s="64" t="str">
        <f t="shared" si="7"/>
        <v>C01644 : tRNA(Ile)</v>
      </c>
    </row>
    <row r="214" spans="1:4">
      <c r="A214" s="65" t="s">
        <v>11225</v>
      </c>
      <c r="B214" s="66" t="s">
        <v>11478</v>
      </c>
      <c r="C214" s="63" t="str">
        <f t="shared" si="6"/>
        <v>C01645:1</v>
      </c>
      <c r="D214" s="64" t="str">
        <f t="shared" si="7"/>
        <v>C01645 : tRNA(Leu)</v>
      </c>
    </row>
    <row r="215" spans="1:4">
      <c r="A215" s="65" t="s">
        <v>11226</v>
      </c>
      <c r="B215" s="66" t="s">
        <v>11479</v>
      </c>
      <c r="C215" s="63" t="str">
        <f t="shared" si="6"/>
        <v>C01646:1</v>
      </c>
      <c r="D215" s="64" t="str">
        <f t="shared" si="7"/>
        <v>C01646 : tRNA(Lys)</v>
      </c>
    </row>
    <row r="216" spans="1:4">
      <c r="A216" s="65" t="s">
        <v>11227</v>
      </c>
      <c r="B216" s="66" t="s">
        <v>11480</v>
      </c>
      <c r="C216" s="63" t="str">
        <f t="shared" si="6"/>
        <v>C01647:1</v>
      </c>
      <c r="D216" s="64" t="str">
        <f t="shared" si="7"/>
        <v>C01647 : tRNA(Met)</v>
      </c>
    </row>
    <row r="217" spans="1:4">
      <c r="A217" s="65" t="s">
        <v>11228</v>
      </c>
      <c r="B217" s="66" t="s">
        <v>11481</v>
      </c>
      <c r="C217" s="63" t="str">
        <f t="shared" si="6"/>
        <v>C01648:1</v>
      </c>
      <c r="D217" s="64" t="str">
        <f t="shared" si="7"/>
        <v>C01648 : tRNA(Phe)</v>
      </c>
    </row>
    <row r="218" spans="1:4">
      <c r="A218" s="65" t="s">
        <v>11229</v>
      </c>
      <c r="B218" s="66" t="s">
        <v>11482</v>
      </c>
      <c r="C218" s="63" t="str">
        <f t="shared" si="6"/>
        <v>C01649:1</v>
      </c>
      <c r="D218" s="64" t="str">
        <f t="shared" si="7"/>
        <v>C01649 : tRNA(Pro)</v>
      </c>
    </row>
    <row r="219" spans="1:4">
      <c r="A219" s="65" t="s">
        <v>11230</v>
      </c>
      <c r="B219" s="66" t="s">
        <v>11483</v>
      </c>
      <c r="C219" s="63" t="str">
        <f t="shared" si="6"/>
        <v>C01650:1</v>
      </c>
      <c r="D219" s="64" t="str">
        <f t="shared" si="7"/>
        <v>C01650 : tRNA(Ser)</v>
      </c>
    </row>
    <row r="220" spans="1:4">
      <c r="A220" s="65" t="s">
        <v>11231</v>
      </c>
      <c r="B220" s="66" t="s">
        <v>11484</v>
      </c>
      <c r="C220" s="63" t="str">
        <f t="shared" si="6"/>
        <v>C01651:1</v>
      </c>
      <c r="D220" s="64" t="str">
        <f t="shared" si="7"/>
        <v>C01651 : tRNA(Thr)</v>
      </c>
    </row>
    <row r="221" spans="1:4">
      <c r="A221" s="65" t="s">
        <v>11232</v>
      </c>
      <c r="B221" s="66" t="s">
        <v>11485</v>
      </c>
      <c r="C221" s="63" t="str">
        <f t="shared" si="6"/>
        <v>C01652:1</v>
      </c>
      <c r="D221" s="64" t="str">
        <f t="shared" si="7"/>
        <v>C01652 : tRNA(Trp)</v>
      </c>
    </row>
    <row r="222" spans="1:4">
      <c r="A222" s="65" t="s">
        <v>11233</v>
      </c>
      <c r="B222" s="66" t="s">
        <v>11486</v>
      </c>
      <c r="C222" s="63" t="str">
        <f t="shared" si="6"/>
        <v>C01653:1</v>
      </c>
      <c r="D222" s="64" t="str">
        <f t="shared" si="7"/>
        <v>C01653 : tRNA(Val)</v>
      </c>
    </row>
    <row r="223" spans="1:4">
      <c r="A223" s="41" t="s">
        <v>11234</v>
      </c>
      <c r="B223" s="66" t="s">
        <v>11592</v>
      </c>
      <c r="C223" s="63" t="str">
        <f t="shared" si="6"/>
        <v>C01764:1</v>
      </c>
      <c r="D223" s="64" t="str">
        <f t="shared" si="7"/>
        <v>C01764 : tRNA containing uridine at position</v>
      </c>
    </row>
    <row r="224" spans="1:4">
      <c r="A224" s="41" t="s">
        <v>11235</v>
      </c>
      <c r="B224" s="66" t="s">
        <v>11487</v>
      </c>
      <c r="C224" s="63" t="str">
        <f t="shared" si="6"/>
        <v>C01977:1</v>
      </c>
      <c r="D224" s="64" t="str">
        <f t="shared" si="7"/>
        <v>C01977 : tRNA guanine</v>
      </c>
    </row>
    <row r="225" spans="1:4">
      <c r="A225" s="41" t="s">
        <v>11236</v>
      </c>
      <c r="B225" s="66" t="s">
        <v>11593</v>
      </c>
      <c r="C225" s="63" t="str">
        <f t="shared" si="6"/>
        <v>C01978:1</v>
      </c>
      <c r="D225" s="64" t="str">
        <f t="shared" si="7"/>
        <v>C01978 : tRNA queuine</v>
      </c>
    </row>
    <row r="226" spans="1:4">
      <c r="A226" s="41" t="s">
        <v>11237</v>
      </c>
      <c r="B226" s="66" t="s">
        <v>11594</v>
      </c>
      <c r="C226" s="63" t="str">
        <f t="shared" si="6"/>
        <v>C02103:1</v>
      </c>
      <c r="D226" s="64" t="str">
        <f t="shared" si="7"/>
        <v>C02103 : (S)-2-Haloacid</v>
      </c>
    </row>
    <row r="227" spans="1:4">
      <c r="A227" s="65" t="s">
        <v>11238</v>
      </c>
      <c r="B227" s="66" t="s">
        <v>11488</v>
      </c>
      <c r="C227" s="63" t="str">
        <f t="shared" si="6"/>
        <v>C02128:1</v>
      </c>
      <c r="D227" s="64" t="str">
        <f t="shared" si="7"/>
        <v>C02128 : 5'-Phospho-DNA</v>
      </c>
    </row>
    <row r="228" spans="1:4">
      <c r="A228" s="41" t="s">
        <v>11239</v>
      </c>
      <c r="B228" s="41" t="s">
        <v>11489</v>
      </c>
      <c r="C228" s="63" t="str">
        <f t="shared" si="6"/>
        <v>C02133:1</v>
      </c>
      <c r="D228" s="64" t="str">
        <f t="shared" si="7"/>
        <v xml:space="preserve">C02133 : Acyl phosphate </v>
      </c>
    </row>
    <row r="229" spans="1:4">
      <c r="A229" s="41" t="s">
        <v>11240</v>
      </c>
      <c r="B229" s="66" t="s">
        <v>11490</v>
      </c>
      <c r="C229" s="63" t="str">
        <f t="shared" si="6"/>
        <v>C02211:1</v>
      </c>
      <c r="D229" s="64" t="str">
        <f t="shared" si="7"/>
        <v>C02211 : tRNA precursor</v>
      </c>
    </row>
    <row r="230" spans="1:4">
      <c r="A230" s="41" t="s">
        <v>11241</v>
      </c>
      <c r="B230" s="66" t="s">
        <v>11595</v>
      </c>
      <c r="C230" s="63" t="str">
        <f t="shared" si="6"/>
        <v>C02282:1</v>
      </c>
      <c r="D230" s="64" t="str">
        <f t="shared" si="7"/>
        <v>C02282 : Glutaminyl-tRNA</v>
      </c>
    </row>
    <row r="231" spans="1:4">
      <c r="A231" s="41" t="s">
        <v>11242</v>
      </c>
      <c r="B231" s="66" t="s">
        <v>11596</v>
      </c>
      <c r="C231" s="63" t="str">
        <f t="shared" si="6"/>
        <v>C02291:1</v>
      </c>
      <c r="D231" s="64" t="str">
        <f t="shared" si="7"/>
        <v>C02291 : L-Cystathionine</v>
      </c>
    </row>
    <row r="232" spans="1:4">
      <c r="A232" s="41" t="s">
        <v>11243</v>
      </c>
      <c r="B232" s="69" t="s">
        <v>11597</v>
      </c>
      <c r="C232" s="63" t="str">
        <f t="shared" si="6"/>
        <v>C02342:1</v>
      </c>
      <c r="D232" s="64" t="str">
        <f t="shared" si="7"/>
        <v>C02342 : Activated' tRNA</v>
      </c>
    </row>
    <row r="233" spans="1:4">
      <c r="A233" s="41" t="s">
        <v>11244</v>
      </c>
      <c r="B233" s="66" t="s">
        <v>11491</v>
      </c>
      <c r="C233" s="63" t="str">
        <f t="shared" si="6"/>
        <v>C02430:1</v>
      </c>
      <c r="D233" s="64" t="str">
        <f t="shared" si="7"/>
        <v>C02430 : L-Methionyl-tRNA</v>
      </c>
    </row>
    <row r="234" spans="1:4">
      <c r="A234" s="41" t="s">
        <v>11245</v>
      </c>
      <c r="B234" s="66" t="s">
        <v>11598</v>
      </c>
      <c r="C234" s="63" t="str">
        <f t="shared" si="6"/>
        <v>C02504:1</v>
      </c>
      <c r="D234" s="64" t="str">
        <f t="shared" si="7"/>
        <v>C02504 : alpha-Isopropylmalate</v>
      </c>
    </row>
    <row r="235" spans="1:4">
      <c r="A235" s="41" t="s">
        <v>11246</v>
      </c>
      <c r="B235" s="66" t="s">
        <v>11492</v>
      </c>
      <c r="C235" s="63" t="str">
        <f t="shared" si="6"/>
        <v>C02520:1</v>
      </c>
      <c r="D235" s="64" t="str">
        <f t="shared" si="7"/>
        <v>C02520 : 5'-Ribonucleotide</v>
      </c>
    </row>
    <row r="236" spans="1:4">
      <c r="A236" s="41" t="s">
        <v>11247</v>
      </c>
      <c r="B236" s="41" t="s">
        <v>11493</v>
      </c>
      <c r="C236" s="63" t="str">
        <f t="shared" si="6"/>
        <v>C02583:1</v>
      </c>
      <c r="D236" s="64" t="str">
        <f t="shared" si="7"/>
        <v>C02583 : Protein glutamine</v>
      </c>
    </row>
    <row r="237" spans="1:4">
      <c r="A237" s="41" t="s">
        <v>11248</v>
      </c>
      <c r="B237" s="66" t="s">
        <v>11599</v>
      </c>
      <c r="C237" s="63" t="str">
        <f t="shared" si="6"/>
        <v>C02614:1</v>
      </c>
      <c r="D237" s="64" t="str">
        <f t="shared" si="7"/>
        <v>C02614 : (S)-2-Methylmalate</v>
      </c>
    </row>
    <row r="238" spans="1:4">
      <c r="A238" s="41" t="s">
        <v>11249</v>
      </c>
      <c r="B238" s="66" t="s">
        <v>11600</v>
      </c>
      <c r="C238" s="63" t="str">
        <f t="shared" si="6"/>
        <v>C02735:1</v>
      </c>
      <c r="D238" s="64" t="str">
        <f t="shared" si="7"/>
        <v>C02735 : Phenylethanolamine</v>
      </c>
    </row>
    <row r="239" spans="1:4">
      <c r="A239" s="41" t="s">
        <v>11250</v>
      </c>
      <c r="B239" s="66" t="s">
        <v>11494</v>
      </c>
      <c r="C239" s="63" t="str">
        <f t="shared" si="6"/>
        <v>C02743:1</v>
      </c>
      <c r="D239" s="64" t="str">
        <f t="shared" si="7"/>
        <v>C02743 : [Protein]-L-cysteine </v>
      </c>
    </row>
    <row r="240" spans="1:4">
      <c r="A240" s="41" t="s">
        <v>11251</v>
      </c>
      <c r="B240" s="66" t="s">
        <v>11601</v>
      </c>
      <c r="C240" s="63" t="str">
        <f t="shared" si="6"/>
        <v>C02850:1</v>
      </c>
      <c r="D240" s="64" t="str">
        <f t="shared" si="7"/>
        <v>C02850 : N-Acyl-L-amino acid</v>
      </c>
    </row>
    <row r="241" spans="1:4">
      <c r="A241" s="41" t="s">
        <v>11252</v>
      </c>
      <c r="B241" s="66" t="s">
        <v>11602</v>
      </c>
      <c r="C241" s="63" t="str">
        <f t="shared" si="6"/>
        <v>C02995:1</v>
      </c>
      <c r="D241" s="64" t="str">
        <f t="shared" si="7"/>
        <v>C02995 : Maltose 6'-phosphate</v>
      </c>
    </row>
    <row r="242" spans="1:4">
      <c r="A242" s="41" t="s">
        <v>11253</v>
      </c>
      <c r="B242" s="41" t="s">
        <v>11495</v>
      </c>
      <c r="C242" s="63" t="str">
        <f t="shared" si="6"/>
        <v>C03023:1</v>
      </c>
      <c r="D242" s="64" t="str">
        <f t="shared" si="7"/>
        <v xml:space="preserve">C03023 : Peptide-L-methionine </v>
      </c>
    </row>
    <row r="243" spans="1:4">
      <c r="A243" s="41" t="s">
        <v>11254</v>
      </c>
      <c r="B243" s="66" t="s">
        <v>11496</v>
      </c>
      <c r="C243" s="63" t="str">
        <f t="shared" si="6"/>
        <v>C03090:1</v>
      </c>
      <c r="D243" s="64" t="str">
        <f t="shared" si="7"/>
        <v>C03090 : 5-Phosphoribosylamine</v>
      </c>
    </row>
    <row r="244" spans="1:4">
      <c r="A244" s="41" t="s">
        <v>11255</v>
      </c>
      <c r="B244" s="66" t="s">
        <v>11603</v>
      </c>
      <c r="C244" s="63" t="str">
        <f t="shared" si="6"/>
        <v>C03103:1</v>
      </c>
      <c r="D244" s="64" t="str">
        <f t="shared" si="7"/>
        <v>C03103 : Cyclobutadipyrimidine</v>
      </c>
    </row>
    <row r="245" spans="1:4">
      <c r="A245" s="41" t="s">
        <v>11256</v>
      </c>
      <c r="B245" s="66" t="s">
        <v>11497</v>
      </c>
      <c r="C245" s="63" t="str">
        <f t="shared" si="6"/>
        <v>C03172:1</v>
      </c>
      <c r="D245" s="64" t="str">
        <f t="shared" si="7"/>
        <v>C03172 : S-Methyl-L-methionine</v>
      </c>
    </row>
    <row r="246" spans="1:4">
      <c r="A246" s="41" t="s">
        <v>11257</v>
      </c>
      <c r="B246" s="66" t="s">
        <v>11604</v>
      </c>
      <c r="C246" s="63" t="str">
        <f t="shared" si="6"/>
        <v>C03175:1</v>
      </c>
      <c r="D246" s="64" t="str">
        <f t="shared" si="7"/>
        <v>C03175 : Shikimate 3-phosphate</v>
      </c>
    </row>
    <row r="247" spans="1:4">
      <c r="A247" s="41" t="s">
        <v>11258</v>
      </c>
      <c r="B247" s="66" t="s">
        <v>11498</v>
      </c>
      <c r="C247" s="63" t="str">
        <f t="shared" si="6"/>
        <v>C03373:1</v>
      </c>
      <c r="D247" s="64" t="str">
        <f t="shared" si="7"/>
        <v>C03373 : Aminoimidazole Ribotide</v>
      </c>
    </row>
    <row r="248" spans="1:4">
      <c r="A248" s="41" t="s">
        <v>11259</v>
      </c>
      <c r="B248" s="66" t="s">
        <v>11605</v>
      </c>
      <c r="C248" s="63" t="str">
        <f t="shared" si="6"/>
        <v>C03406:1</v>
      </c>
      <c r="D248" s="64" t="str">
        <f t="shared" si="7"/>
        <v>C03406 : N-(L-Arginino)succinate;</v>
      </c>
    </row>
    <row r="249" spans="1:4">
      <c r="A249" s="41" t="s">
        <v>8655</v>
      </c>
      <c r="B249" s="66" t="s">
        <v>11606</v>
      </c>
      <c r="C249" s="63" t="str">
        <f t="shared" si="6"/>
        <v>C03451:1</v>
      </c>
      <c r="D249" s="64" t="str">
        <f t="shared" si="7"/>
        <v>C03451 : (R)-S-Lactoylglutathione</v>
      </c>
    </row>
    <row r="250" spans="1:4">
      <c r="A250" s="41" t="s">
        <v>11260</v>
      </c>
      <c r="B250" s="66" t="s">
        <v>11499</v>
      </c>
      <c r="C250" s="63" t="str">
        <f t="shared" si="6"/>
        <v>C03492:1</v>
      </c>
      <c r="D250" s="64" t="str">
        <f t="shared" si="7"/>
        <v>C03492 : D-4'-Phosphopantothenate</v>
      </c>
    </row>
    <row r="251" spans="1:4">
      <c r="A251" s="41" t="s">
        <v>8652</v>
      </c>
      <c r="B251" s="66" t="s">
        <v>11500</v>
      </c>
      <c r="C251" s="63" t="str">
        <f t="shared" si="6"/>
        <v>C03539:1</v>
      </c>
      <c r="D251" s="64" t="str">
        <f t="shared" si="7"/>
        <v>C03539 : S-Ribosyl-L-homocysteine</v>
      </c>
    </row>
    <row r="252" spans="1:4">
      <c r="A252" s="41" t="s">
        <v>11261</v>
      </c>
      <c r="B252" s="66" t="s">
        <v>11607</v>
      </c>
      <c r="C252" s="63" t="str">
        <f t="shared" si="6"/>
        <v>C03541:1</v>
      </c>
      <c r="D252" s="64" t="str">
        <f t="shared" si="7"/>
        <v>C03541 : THF-polyglutamate</v>
      </c>
    </row>
    <row r="253" spans="1:4">
      <c r="A253" s="41" t="s">
        <v>11262</v>
      </c>
      <c r="B253" s="66" t="s">
        <v>11608</v>
      </c>
      <c r="C253" s="63" t="str">
        <f t="shared" si="6"/>
        <v>C03620:1</v>
      </c>
      <c r="D253" s="64" t="str">
        <f t="shared" si="7"/>
        <v>C03620 : Monocarboxylic acid amide</v>
      </c>
    </row>
    <row r="254" spans="1:4">
      <c r="A254" s="41" t="s">
        <v>11263</v>
      </c>
      <c r="B254" s="66" t="s">
        <v>11609</v>
      </c>
      <c r="C254" s="63" t="str">
        <f t="shared" si="6"/>
        <v>C03680:1</v>
      </c>
      <c r="D254" s="64" t="str">
        <f t="shared" si="7"/>
        <v>C03680 : 4-Imidazolone-5-propanoate</v>
      </c>
    </row>
    <row r="255" spans="1:4">
      <c r="A255" s="41" t="s">
        <v>11264</v>
      </c>
      <c r="B255" s="41" t="s">
        <v>11501</v>
      </c>
      <c r="C255" s="63" t="str">
        <f t="shared" si="6"/>
        <v>C03688:1</v>
      </c>
      <c r="D255" s="64" t="str">
        <f t="shared" si="7"/>
        <v>C03688 : Apo-[acyl-carrier protein]</v>
      </c>
    </row>
    <row r="256" spans="1:4">
      <c r="A256" s="41" t="s">
        <v>8642</v>
      </c>
      <c r="B256" s="66" t="s">
        <v>11502</v>
      </c>
      <c r="C256" s="63" t="str">
        <f t="shared" si="6"/>
        <v>C03794:1</v>
      </c>
      <c r="D256" s="64" t="str">
        <f t="shared" si="7"/>
        <v>C03794 : N6-(1,2-Dicarboxyethyl)-AMP</v>
      </c>
    </row>
    <row r="257" spans="1:4">
      <c r="A257" s="41" t="s">
        <v>8458</v>
      </c>
      <c r="B257" s="66" t="s">
        <v>11503</v>
      </c>
      <c r="C257" s="63" t="str">
        <f t="shared" si="6"/>
        <v>C03798:1</v>
      </c>
      <c r="D257" s="64" t="str">
        <f t="shared" si="7"/>
        <v>C03798 : Peptidylproline (omega=180)</v>
      </c>
    </row>
    <row r="258" spans="1:4">
      <c r="A258" s="41" t="s">
        <v>11265</v>
      </c>
      <c r="B258" s="66" t="s">
        <v>11504</v>
      </c>
      <c r="C258" s="63" t="str">
        <f t="shared" si="6"/>
        <v>C03803:1</v>
      </c>
      <c r="D258" s="64" t="str">
        <f t="shared" si="7"/>
        <v>C03803 : Ribosomal-protein L-alanine</v>
      </c>
    </row>
    <row r="259" spans="1:4">
      <c r="A259" s="41" t="s">
        <v>11266</v>
      </c>
      <c r="B259" s="66" t="s">
        <v>11505</v>
      </c>
      <c r="C259" s="63" t="str">
        <f t="shared" ref="C259:C322" si="8">CONCATENATE(A259,":","1")</f>
        <v>C03838:1</v>
      </c>
      <c r="D259" s="64" t="str">
        <f t="shared" ref="D259:D322" si="9">CONCATENATE(A259," : ",B259)</f>
        <v>C03838 : 5'-Phosphoribosylglycinamide</v>
      </c>
    </row>
    <row r="260" spans="1:4">
      <c r="A260" s="41" t="s">
        <v>11267</v>
      </c>
      <c r="B260" s="66" t="s">
        <v>11506</v>
      </c>
      <c r="C260" s="63" t="str">
        <f t="shared" si="8"/>
        <v>C03880:1</v>
      </c>
      <c r="D260" s="64" t="str">
        <f t="shared" si="9"/>
        <v>C03880 : N-Substituted aminoacyl-tRNA</v>
      </c>
    </row>
    <row r="261" spans="1:4">
      <c r="A261" s="41" t="s">
        <v>11268</v>
      </c>
      <c r="B261" s="66" t="s">
        <v>11507</v>
      </c>
      <c r="C261" s="63" t="str">
        <f t="shared" si="8"/>
        <v>C03892:1</v>
      </c>
      <c r="D261" s="64" t="str">
        <f t="shared" si="9"/>
        <v>C03892 : Phosphatidylglycerophosphate</v>
      </c>
    </row>
    <row r="262" spans="1:4">
      <c r="A262" s="41" t="s">
        <v>11269</v>
      </c>
      <c r="B262" s="66" t="s">
        <v>11610</v>
      </c>
      <c r="C262" s="63" t="str">
        <f t="shared" si="8"/>
        <v>C03899:1</v>
      </c>
      <c r="D262" s="64" t="str">
        <f t="shared" si="9"/>
        <v>C03899 : S-(2-Hydroxyacyl)glutathione</v>
      </c>
    </row>
    <row r="263" spans="1:4">
      <c r="A263" s="41" t="s">
        <v>11270</v>
      </c>
      <c r="B263" s="66" t="s">
        <v>11508</v>
      </c>
      <c r="C263" s="63" t="str">
        <f t="shared" si="8"/>
        <v>C03972:1</v>
      </c>
      <c r="D263" s="64" t="str">
        <f t="shared" si="9"/>
        <v>C03972 : 2,3,4,5-Tetrahydrodipicolinate</v>
      </c>
    </row>
    <row r="264" spans="1:4">
      <c r="A264" s="41" t="s">
        <v>11271</v>
      </c>
      <c r="B264" s="66" t="s">
        <v>11611</v>
      </c>
      <c r="C264" s="63" t="str">
        <f t="shared" si="8"/>
        <v>C04039:1</v>
      </c>
      <c r="D264" s="64" t="str">
        <f t="shared" si="9"/>
        <v>C04039 : 2,3-Dihydroxy-3-methylbutanoate</v>
      </c>
    </row>
    <row r="265" spans="1:4">
      <c r="A265" s="41" t="s">
        <v>11272</v>
      </c>
      <c r="B265" s="66" t="s">
        <v>11612</v>
      </c>
      <c r="C265" s="63" t="str">
        <f t="shared" si="8"/>
        <v>C04131:1</v>
      </c>
      <c r="D265" s="64" t="str">
        <f t="shared" si="9"/>
        <v>C04131 : Monoamide of dicarboxylate</v>
      </c>
    </row>
    <row r="266" spans="1:4">
      <c r="A266" s="41" t="s">
        <v>11273</v>
      </c>
      <c r="B266" s="41" t="s">
        <v>11509</v>
      </c>
      <c r="C266" s="63" t="str">
        <f t="shared" si="8"/>
        <v>C04232:1</v>
      </c>
      <c r="D266" s="64" t="str">
        <f t="shared" si="9"/>
        <v>C04232 : 2'-Deoxyribonucleoside diphosphate</v>
      </c>
    </row>
    <row r="267" spans="1:4">
      <c r="A267" s="41" t="s">
        <v>11274</v>
      </c>
      <c r="B267" s="66" t="s">
        <v>11510</v>
      </c>
      <c r="C267" s="63" t="str">
        <f t="shared" si="8"/>
        <v>C04250:1</v>
      </c>
      <c r="D267" s="64" t="str">
        <f t="shared" si="9"/>
        <v>C04250 : DNA containing 6-O-methylguanine</v>
      </c>
    </row>
    <row r="268" spans="1:4">
      <c r="A268" s="41" t="s">
        <v>11275</v>
      </c>
      <c r="B268" s="66" t="s">
        <v>11613</v>
      </c>
      <c r="C268" s="63" t="str">
        <f t="shared" si="8"/>
        <v>C04253:1</v>
      </c>
      <c r="D268" s="64" t="str">
        <f t="shared" si="9"/>
        <v>C04253 : Electron-transferring flavoprotein;</v>
      </c>
    </row>
    <row r="269" spans="1:4">
      <c r="A269" s="41" t="s">
        <v>11276</v>
      </c>
      <c r="B269" s="66" t="s">
        <v>11614</v>
      </c>
      <c r="C269" s="63" t="str">
        <f t="shared" si="8"/>
        <v>C04272:1</v>
      </c>
      <c r="D269" s="64" t="str">
        <f t="shared" si="9"/>
        <v>C04272 : (R)-2,3-Dihydroxy-3-methylbutanoate</v>
      </c>
    </row>
    <row r="270" spans="1:4">
      <c r="A270" s="41" t="s">
        <v>11277</v>
      </c>
      <c r="B270" s="66" t="s">
        <v>11615</v>
      </c>
      <c r="C270" s="63" t="str">
        <f t="shared" si="8"/>
        <v>C04302:1</v>
      </c>
      <c r="D270" s="64" t="str">
        <f t="shared" si="9"/>
        <v>C04302 : N-(5-Phospho-D-ribosyl)anthranilate;</v>
      </c>
    </row>
    <row r="271" spans="1:4">
      <c r="A271" s="41" t="s">
        <v>8562</v>
      </c>
      <c r="B271" s="66" t="s">
        <v>11511</v>
      </c>
      <c r="C271" s="63" t="str">
        <f t="shared" si="8"/>
        <v>C04352:1</v>
      </c>
      <c r="D271" s="64" t="str">
        <f t="shared" si="9"/>
        <v>C04352 : ( R )- 4' - Phosphopantothenoyl -L-cysteine</v>
      </c>
    </row>
    <row r="272" spans="1:4">
      <c r="A272" s="41" t="s">
        <v>11278</v>
      </c>
      <c r="B272" s="66" t="s">
        <v>11512</v>
      </c>
      <c r="C272" s="63" t="str">
        <f t="shared" si="8"/>
        <v>C04376:1</v>
      </c>
      <c r="D272" s="64" t="str">
        <f t="shared" si="9"/>
        <v>C04376 : 5'-Phosphoribosyl-N-formylglycinamide</v>
      </c>
    </row>
    <row r="273" spans="1:4">
      <c r="A273" s="41" t="s">
        <v>11279</v>
      </c>
      <c r="B273" s="66" t="s">
        <v>11616</v>
      </c>
      <c r="C273" s="63" t="str">
        <f t="shared" si="8"/>
        <v>C04390:1</v>
      </c>
      <c r="D273" s="64" t="str">
        <f t="shared" si="9"/>
        <v>C04390 : N6-Acetyl-LL-2,6-diaminoheptanedioate</v>
      </c>
    </row>
    <row r="274" spans="1:4">
      <c r="A274" s="41" t="s">
        <v>11280</v>
      </c>
      <c r="B274" s="66" t="s">
        <v>11617</v>
      </c>
      <c r="C274" s="63" t="str">
        <f t="shared" si="8"/>
        <v>C04419:1</v>
      </c>
      <c r="D274" s="64" t="str">
        <f t="shared" si="9"/>
        <v>C04419 : Carboxybiotin-carboxyl-carrier protein</v>
      </c>
    </row>
    <row r="275" spans="1:4">
      <c r="A275" s="41" t="s">
        <v>11281</v>
      </c>
      <c r="B275" s="66" t="s">
        <v>11513</v>
      </c>
      <c r="C275" s="63" t="str">
        <f t="shared" si="8"/>
        <v>C04489:1</v>
      </c>
      <c r="D275" s="64" t="str">
        <f t="shared" si="9"/>
        <v>C04489 : 5-Methyltetrahydropteroyltri-L-glutamate</v>
      </c>
    </row>
    <row r="276" spans="1:4">
      <c r="A276" s="41" t="s">
        <v>11282</v>
      </c>
      <c r="B276" s="41" t="s">
        <v>11514</v>
      </c>
      <c r="C276" s="63" t="str">
        <f t="shared" si="8"/>
        <v>C04501:1</v>
      </c>
      <c r="D276" s="64" t="str">
        <f t="shared" si="9"/>
        <v>C04501 : N-Acetyl-alpha-D-glucosamine 1-phosphate</v>
      </c>
    </row>
    <row r="277" spans="1:4">
      <c r="A277" s="41" t="s">
        <v>11283</v>
      </c>
      <c r="B277" s="66" t="s">
        <v>11515</v>
      </c>
      <c r="C277" s="63" t="str">
        <f t="shared" si="8"/>
        <v>C04556:1</v>
      </c>
      <c r="D277" s="64" t="str">
        <f t="shared" si="9"/>
        <v>C04556 : 4-Amino-2-methyl-5-(phosphooxymethyl)pyrimidine</v>
      </c>
    </row>
    <row r="278" spans="1:4">
      <c r="A278" s="41" t="s">
        <v>11284</v>
      </c>
      <c r="B278" s="66" t="s">
        <v>11516</v>
      </c>
      <c r="C278" s="63" t="str">
        <f t="shared" si="8"/>
        <v>C04574:1</v>
      </c>
      <c r="D278" s="64" t="str">
        <f t="shared" si="9"/>
        <v>C04574 : di-trans,poly-cis-Undecaprenyl diphosphate</v>
      </c>
    </row>
    <row r="279" spans="1:4">
      <c r="A279" s="41" t="s">
        <v>11285</v>
      </c>
      <c r="B279" s="66" t="s">
        <v>11517</v>
      </c>
      <c r="C279" s="63" t="str">
        <f t="shared" si="8"/>
        <v>C04640:1</v>
      </c>
      <c r="D279" s="64" t="str">
        <f t="shared" si="9"/>
        <v>C04640 : 2-(Formamido)-N1-(5'-phosphoribosyl)acetamidine</v>
      </c>
    </row>
    <row r="280" spans="1:4">
      <c r="A280" s="41" t="s">
        <v>11286</v>
      </c>
      <c r="B280" s="66" t="s">
        <v>11518</v>
      </c>
      <c r="C280" s="63" t="str">
        <f t="shared" si="8"/>
        <v>C04677:1</v>
      </c>
      <c r="D280" s="64" t="str">
        <f t="shared" si="9"/>
        <v>C04677 : 1-(5'-Phosphoribosyl)-5-amino-4-imidazolecarboxamide</v>
      </c>
    </row>
    <row r="281" spans="1:4">
      <c r="A281" s="41" t="s">
        <v>8622</v>
      </c>
      <c r="B281" s="66" t="s">
        <v>11618</v>
      </c>
      <c r="C281" s="63" t="str">
        <f t="shared" si="8"/>
        <v>C04691:1</v>
      </c>
      <c r="D281" s="64" t="str">
        <f t="shared" si="9"/>
        <v>C04691 : 2-Dehydro-3-deoxy-D-arabino-heptonate 7-phosphate</v>
      </c>
    </row>
    <row r="282" spans="1:4">
      <c r="A282" s="41" t="s">
        <v>11287</v>
      </c>
      <c r="B282" s="66" t="s">
        <v>11519</v>
      </c>
      <c r="C282" s="63" t="str">
        <f t="shared" si="8"/>
        <v>C04702:1</v>
      </c>
      <c r="D282" s="64" t="str">
        <f t="shared" si="9"/>
        <v>C04702 : UDPMurNAc(oyl-L-Ala-D-gamma-Glu-L-Lys-D-Ala-D-Ala)</v>
      </c>
    </row>
    <row r="283" spans="1:4" ht="29.5">
      <c r="A283" s="41" t="s">
        <v>8729</v>
      </c>
      <c r="B283" s="70" t="s">
        <v>11520</v>
      </c>
      <c r="C283" s="63" t="str">
        <f t="shared" si="8"/>
        <v>C04751:1</v>
      </c>
      <c r="D283" s="64" t="str">
        <f t="shared" si="9"/>
        <v>C04751 : 1-(5-Phospho-D-ribosyl)-5-amino-4-imidazolecarboxylate</v>
      </c>
    </row>
    <row r="284" spans="1:4">
      <c r="A284" s="41" t="s">
        <v>11288</v>
      </c>
      <c r="B284" s="66" t="s">
        <v>11619</v>
      </c>
      <c r="C284" s="63" t="str">
        <f t="shared" si="8"/>
        <v>C04807:1</v>
      </c>
      <c r="D284" s="64" t="str">
        <f t="shared" si="9"/>
        <v>C04807 : 6-Hydroxymethyl-7,8-dihydropterin diphosphate</v>
      </c>
    </row>
    <row r="285" spans="1:4">
      <c r="A285" s="41" t="s">
        <v>11289</v>
      </c>
      <c r="B285" s="66" t="s">
        <v>11521</v>
      </c>
      <c r="C285" s="63" t="str">
        <f t="shared" si="8"/>
        <v>C04851:1</v>
      </c>
      <c r="D285" s="64" t="str">
        <f t="shared" si="9"/>
        <v>C04851 : MurAc(oyl-L-Ala-D-gamma-Glu-L-Lys-D-Ala-D-Ala)-diphospho-undecaprenol</v>
      </c>
    </row>
    <row r="286" spans="1:4">
      <c r="A286" s="41" t="s">
        <v>11290</v>
      </c>
      <c r="B286" s="66" t="s">
        <v>11620</v>
      </c>
      <c r="C286" s="63" t="str">
        <f t="shared" si="8"/>
        <v>C04856:1</v>
      </c>
      <c r="D286" s="64" t="str">
        <f t="shared" si="9"/>
        <v>C04856 : (6S)-6beta-Hydroxy-1,4,5,6-tetrahydronicotinamide-adenine dinucleotide</v>
      </c>
    </row>
    <row r="287" spans="1:4">
      <c r="A287" s="41" t="s">
        <v>8574</v>
      </c>
      <c r="B287" s="66" t="s">
        <v>11621</v>
      </c>
      <c r="C287" s="63" t="str">
        <f t="shared" si="8"/>
        <v>C04874:1</v>
      </c>
      <c r="D287" s="64" t="str">
        <f t="shared" si="9"/>
        <v>C04874 : 7,8-Dihydroneopterin</v>
      </c>
    </row>
    <row r="288" spans="1:4">
      <c r="A288" s="41" t="s">
        <v>11291</v>
      </c>
      <c r="B288" s="66" t="s">
        <v>11622</v>
      </c>
      <c r="C288" s="63" t="str">
        <f t="shared" si="8"/>
        <v>C05196:1</v>
      </c>
      <c r="D288" s="64" t="str">
        <f t="shared" si="9"/>
        <v>C05196 : Dihydroflavodoxin</v>
      </c>
    </row>
    <row r="289" spans="1:4">
      <c r="A289" s="65" t="s">
        <v>11292</v>
      </c>
      <c r="B289" s="66" t="s">
        <v>11623</v>
      </c>
      <c r="C289" s="63" t="str">
        <f t="shared" si="8"/>
        <v>C05197:1</v>
      </c>
      <c r="D289" s="64" t="str">
        <f t="shared" si="9"/>
        <v>C05197 : Protein glycine; [Enzyme]-glycine</v>
      </c>
    </row>
    <row r="290" spans="1:4">
      <c r="A290" s="41" t="s">
        <v>8702</v>
      </c>
      <c r="B290" s="66" t="s">
        <v>11522</v>
      </c>
      <c r="C290" s="63" t="str">
        <f t="shared" si="8"/>
        <v>C05345:1</v>
      </c>
      <c r="D290" s="64" t="str">
        <f t="shared" si="9"/>
        <v>C05345 : beta-D-Fructose 6-phosphate</v>
      </c>
    </row>
    <row r="291" spans="1:4">
      <c r="A291" s="41" t="s">
        <v>11293</v>
      </c>
      <c r="B291" s="66" t="s">
        <v>11523</v>
      </c>
      <c r="C291" s="63" t="str">
        <f t="shared" si="8"/>
        <v>C05382:1</v>
      </c>
      <c r="D291" s="64" t="str">
        <f t="shared" si="9"/>
        <v>C05382 : Sedoheptulose 7-phosphate</v>
      </c>
    </row>
    <row r="292" spans="1:4">
      <c r="A292" s="41" t="s">
        <v>8705</v>
      </c>
      <c r="B292" s="66" t="s">
        <v>11624</v>
      </c>
      <c r="C292" s="63" t="str">
        <f t="shared" si="8"/>
        <v>C05754:1</v>
      </c>
      <c r="D292" s="64" t="str">
        <f t="shared" si="9"/>
        <v>C05754 : trans-Dec-2-enoyl-[acp]</v>
      </c>
    </row>
    <row r="293" spans="1:4">
      <c r="A293" s="41" t="s">
        <v>11294</v>
      </c>
      <c r="B293" s="66" t="s">
        <v>11524</v>
      </c>
      <c r="C293" s="63" t="str">
        <f t="shared" si="8"/>
        <v>C05892:1</v>
      </c>
      <c r="D293" s="64" t="str">
        <f t="shared" si="9"/>
        <v>C05892 : UDP-N-acetylmuramoyl-L-alanyl-gamma-D-glutamyl-L-lysine</v>
      </c>
    </row>
    <row r="294" spans="1:4">
      <c r="A294" s="41" t="s">
        <v>8568</v>
      </c>
      <c r="B294" s="66" t="s">
        <v>11625</v>
      </c>
      <c r="C294" s="63" t="str">
        <f t="shared" si="8"/>
        <v>C06010:1</v>
      </c>
      <c r="D294" s="64" t="str">
        <f t="shared" si="9"/>
        <v>C06010 : (S)-2-Acetolactate</v>
      </c>
    </row>
    <row r="295" spans="1:4">
      <c r="A295" s="41" t="s">
        <v>8713</v>
      </c>
      <c r="B295" s="66" t="s">
        <v>11525</v>
      </c>
      <c r="C295" s="63" t="str">
        <f t="shared" si="8"/>
        <v>C06156:1</v>
      </c>
      <c r="D295" s="64" t="str">
        <f t="shared" si="9"/>
        <v>C06156 : alpha-D-Glucosamine 1-phosphate</v>
      </c>
    </row>
    <row r="296" spans="1:4">
      <c r="A296" s="41" t="s">
        <v>11295</v>
      </c>
      <c r="B296" s="66" t="s">
        <v>11626</v>
      </c>
      <c r="C296" s="63" t="str">
        <f t="shared" si="8"/>
        <v>C06197:1</v>
      </c>
      <c r="D296" s="64" t="str">
        <f t="shared" si="9"/>
        <v>C06197 : P1,P3-Bis(5'-adenosyl) triphosphate</v>
      </c>
    </row>
    <row r="297" spans="1:4">
      <c r="A297" s="41" t="s">
        <v>11296</v>
      </c>
      <c r="B297" s="66" t="s">
        <v>11627</v>
      </c>
      <c r="C297" s="63" t="str">
        <f t="shared" si="8"/>
        <v>C06250:1</v>
      </c>
      <c r="D297" s="64" t="str">
        <f t="shared" si="9"/>
        <v>C06250 : Holo-[carboxylase]</v>
      </c>
    </row>
    <row r="298" spans="1:4">
      <c r="A298" s="41" t="s">
        <v>11297</v>
      </c>
      <c r="B298" s="41" t="s">
        <v>11628</v>
      </c>
      <c r="C298" s="63" t="str">
        <f t="shared" si="8"/>
        <v>C06364:1</v>
      </c>
      <c r="D298" s="64" t="str">
        <f t="shared" si="9"/>
        <v>C06364 : 1,2-Diacyl-3-alpha-D-glucosyl-sn-glycerol</v>
      </c>
    </row>
    <row r="299" spans="1:4">
      <c r="A299" s="41" t="s">
        <v>8320</v>
      </c>
      <c r="B299" s="66" t="s">
        <v>11629</v>
      </c>
      <c r="C299" s="63" t="str">
        <f t="shared" si="8"/>
        <v>C11355:1</v>
      </c>
      <c r="D299" s="64" t="str">
        <f t="shared" si="9"/>
        <v>C11355 : 4-Amino-4-deoxychorismate</v>
      </c>
    </row>
    <row r="300" spans="1:4">
      <c r="A300" s="41" t="s">
        <v>11298</v>
      </c>
      <c r="B300" s="41" t="s">
        <v>11526</v>
      </c>
      <c r="C300" s="63" t="str">
        <f t="shared" si="8"/>
        <v>C11439:1</v>
      </c>
      <c r="D300" s="64" t="str">
        <f t="shared" si="9"/>
        <v>C11439 : Formyl-L-methionyl peptide</v>
      </c>
    </row>
    <row r="301" spans="1:4">
      <c r="A301" s="41" t="s">
        <v>11299</v>
      </c>
      <c r="B301" s="66" t="s">
        <v>11645</v>
      </c>
      <c r="C301" s="63" t="str">
        <f t="shared" si="8"/>
        <v>C15585:1</v>
      </c>
      <c r="D301" s="64" t="str">
        <f t="shared" si="9"/>
        <v>C15585 : myo-Inositol phosphate</v>
      </c>
    </row>
    <row r="302" spans="1:4">
      <c r="A302" s="41" t="s">
        <v>11300</v>
      </c>
      <c r="B302" s="41" t="s">
        <v>11646</v>
      </c>
      <c r="C302" s="63" t="str">
        <f t="shared" si="8"/>
        <v>C15586:1</v>
      </c>
      <c r="D302" s="64" t="str">
        <f t="shared" si="9"/>
        <v>C15586 : Purine nucleoside</v>
      </c>
    </row>
    <row r="303" spans="1:4">
      <c r="A303" s="41" t="s">
        <v>8728</v>
      </c>
      <c r="B303" s="66" t="s">
        <v>11647</v>
      </c>
      <c r="C303" s="63" t="str">
        <f t="shared" si="8"/>
        <v>C15667:1</v>
      </c>
      <c r="D303" s="64" t="str">
        <f t="shared" si="9"/>
        <v>C15667 : 5-Carboxyamino-1-(5-phospho-D-ribosyl)imidazole</v>
      </c>
    </row>
    <row r="304" spans="1:4">
      <c r="A304" s="41" t="s">
        <v>11301</v>
      </c>
      <c r="B304" s="66" t="s">
        <v>11527</v>
      </c>
      <c r="C304" s="63" t="str">
        <f t="shared" si="8"/>
        <v>C15811:1</v>
      </c>
      <c r="D304" s="64" t="str">
        <f t="shared" si="9"/>
        <v>C15811 : [Enzyme]-cysteine</v>
      </c>
    </row>
    <row r="305" spans="1:4">
      <c r="A305" s="41" t="s">
        <v>11302</v>
      </c>
      <c r="B305" s="41" t="s">
        <v>11528</v>
      </c>
      <c r="C305" s="63" t="str">
        <f t="shared" si="8"/>
        <v>C15812:1</v>
      </c>
      <c r="D305" s="64" t="str">
        <f t="shared" si="9"/>
        <v>C15812 : [Enzyme]-S-sulfanylcysteine</v>
      </c>
    </row>
    <row r="306" spans="1:4">
      <c r="A306" s="65" t="s">
        <v>11303</v>
      </c>
      <c r="B306" s="41" t="s">
        <v>11630</v>
      </c>
      <c r="C306" s="63" t="str">
        <f t="shared" si="8"/>
        <v>C16240:1</v>
      </c>
      <c r="D306" s="64" t="str">
        <f t="shared" si="9"/>
        <v>C16240 : Apoprotein</v>
      </c>
    </row>
    <row r="307" spans="1:4">
      <c r="A307" s="41" t="s">
        <v>11304</v>
      </c>
      <c r="B307" s="41" t="s">
        <v>11631</v>
      </c>
      <c r="C307" s="63" t="str">
        <f t="shared" si="8"/>
        <v>C16241:1</v>
      </c>
      <c r="D307" s="64" t="str">
        <f t="shared" si="9"/>
        <v>C16241 : (R)-Lipoate</v>
      </c>
    </row>
    <row r="308" spans="1:4">
      <c r="A308" s="41" t="s">
        <v>11305</v>
      </c>
      <c r="B308" s="41" t="s">
        <v>11632</v>
      </c>
      <c r="C308" s="63" t="str">
        <f t="shared" si="8"/>
        <v>C16675:1</v>
      </c>
      <c r="D308" s="64" t="str">
        <f t="shared" si="9"/>
        <v>C16675 : 7-Aminomethyl-7-carbaguanine</v>
      </c>
    </row>
    <row r="309" spans="1:4">
      <c r="A309" s="41" t="s">
        <v>11306</v>
      </c>
      <c r="B309" s="41" t="s">
        <v>11633</v>
      </c>
      <c r="C309" s="63" t="str">
        <f t="shared" si="8"/>
        <v>C16832:1</v>
      </c>
      <c r="D309" s="64" t="str">
        <f t="shared" si="9"/>
        <v>C16832 : [Protein]-N6-[(R)-dihydrolipoyl]-L-lysine</v>
      </c>
    </row>
    <row r="310" spans="1:4">
      <c r="A310" s="41" t="s">
        <v>11307</v>
      </c>
      <c r="B310" s="41" t="s">
        <v>11529</v>
      </c>
      <c r="C310" s="63" t="str">
        <f t="shared" si="8"/>
        <v>C17324:1</v>
      </c>
      <c r="D310" s="64" t="str">
        <f t="shared" si="9"/>
        <v>C17324 : tRNA adenine</v>
      </c>
    </row>
    <row r="311" spans="1:4">
      <c r="A311" s="41" t="s">
        <v>11308</v>
      </c>
      <c r="B311" s="66" t="s">
        <v>11530</v>
      </c>
      <c r="C311" s="63" t="str">
        <f t="shared" si="8"/>
        <v>C17556:1</v>
      </c>
      <c r="D311" s="64" t="str">
        <f t="shared" si="9"/>
        <v>C17556 : di-trans,poly-cis-Undecaprenyl phosphate</v>
      </c>
    </row>
    <row r="312" spans="1:4">
      <c r="A312" s="41" t="s">
        <v>11309</v>
      </c>
      <c r="B312" s="41" t="s">
        <v>11634</v>
      </c>
      <c r="C312" s="63" t="str">
        <f t="shared" si="8"/>
        <v>C17558:1</v>
      </c>
      <c r="D312" s="64" t="str">
        <f t="shared" si="9"/>
        <v>C17558 : Undecaprenol</v>
      </c>
    </row>
    <row r="313" spans="1:4">
      <c r="A313" s="41" t="s">
        <v>11310</v>
      </c>
      <c r="B313" s="41" t="s">
        <v>11635</v>
      </c>
      <c r="C313" s="63" t="str">
        <f t="shared" si="8"/>
        <v>C17627:1</v>
      </c>
      <c r="D313" s="64" t="str">
        <f t="shared" si="9"/>
        <v>C17627 : Prenyl diphosphate</v>
      </c>
    </row>
    <row r="314" spans="1:4">
      <c r="A314" s="41" t="s">
        <v>11311</v>
      </c>
      <c r="B314" s="66" t="s">
        <v>11531</v>
      </c>
      <c r="C314" s="63" t="str">
        <f t="shared" si="8"/>
        <v>C19722:1</v>
      </c>
      <c r="D314" s="64" t="str">
        <f t="shared" si="9"/>
        <v>C19722 : [tRNA(Ile2)]-cytidine34</v>
      </c>
    </row>
    <row r="315" spans="1:4">
      <c r="A315" s="41" t="s">
        <v>11312</v>
      </c>
      <c r="B315" s="41" t="s">
        <v>11636</v>
      </c>
      <c r="C315" s="63" t="str">
        <f t="shared" si="8"/>
        <v>C19803:1</v>
      </c>
      <c r="D315" s="64" t="str">
        <f t="shared" si="9"/>
        <v>C19803 : [Protein]-L-threonine</v>
      </c>
    </row>
    <row r="316" spans="1:4">
      <c r="A316" s="41" t="s">
        <v>11313</v>
      </c>
      <c r="B316" s="41" t="s">
        <v>11637</v>
      </c>
      <c r="C316" s="63" t="str">
        <f t="shared" si="8"/>
        <v>C19967:1</v>
      </c>
      <c r="D316" s="64" t="str">
        <f t="shared" si="9"/>
        <v>C19967 : 8-Oxo-dGTP</v>
      </c>
    </row>
    <row r="317" spans="1:4">
      <c r="A317" s="41" t="s">
        <v>11314</v>
      </c>
      <c r="B317" s="41" t="s">
        <v>11638</v>
      </c>
      <c r="C317" s="63" t="str">
        <f t="shared" si="8"/>
        <v>C20239:1</v>
      </c>
      <c r="D317" s="64" t="str">
        <f t="shared" si="9"/>
        <v>C20239 : 6-Carboxytetrahydropterin</v>
      </c>
    </row>
    <row r="318" spans="1:4">
      <c r="A318" s="41" t="s">
        <v>11315</v>
      </c>
      <c r="B318" s="41" t="s">
        <v>11639</v>
      </c>
      <c r="C318" s="63" t="str">
        <f t="shared" si="8"/>
        <v>C20248:1</v>
      </c>
      <c r="D318" s="64" t="str">
        <f t="shared" si="9"/>
        <v>C20248 : 7-Carboxy-7-carbaguanine</v>
      </c>
    </row>
    <row r="319" spans="1:4">
      <c r="A319" s="41" t="s">
        <v>11316</v>
      </c>
      <c r="B319" s="41" t="s">
        <v>11640</v>
      </c>
      <c r="C319" s="63" t="str">
        <f t="shared" si="8"/>
        <v>C20446:1</v>
      </c>
      <c r="D319" s="64" t="str">
        <f t="shared" si="9"/>
        <v>C20446 : tRNA 7-aminomethyl-7-carbaguanine</v>
      </c>
    </row>
    <row r="320" spans="1:4">
      <c r="A320" s="41" t="s">
        <v>11317</v>
      </c>
      <c r="B320" s="41" t="s">
        <v>11532</v>
      </c>
      <c r="C320" s="63" t="str">
        <f t="shared" si="8"/>
        <v>C20648:1</v>
      </c>
      <c r="D320" s="64" t="str">
        <f t="shared" si="9"/>
        <v>C20648 : Adenine in rRNA</v>
      </c>
    </row>
    <row r="321" spans="1:4">
      <c r="A321" s="41" t="s">
        <v>11318</v>
      </c>
      <c r="B321" s="41" t="s">
        <v>11641</v>
      </c>
      <c r="C321" s="63" t="str">
        <f t="shared" si="8"/>
        <v>C20675:1</v>
      </c>
      <c r="D321" s="64" t="str">
        <f t="shared" si="9"/>
        <v>C20675 : Short-chain acyl-CoA</v>
      </c>
    </row>
    <row r="322" spans="1:4">
      <c r="A322" s="41" t="s">
        <v>11319</v>
      </c>
      <c r="B322" s="41" t="s">
        <v>11642</v>
      </c>
      <c r="C322" s="63" t="str">
        <f t="shared" si="8"/>
        <v>C20905:1</v>
      </c>
      <c r="D322" s="64" t="str">
        <f t="shared" si="9"/>
        <v>C20905 : 2-Iminobutanoate</v>
      </c>
    </row>
    <row r="323" spans="1:4">
      <c r="A323" s="41" t="s">
        <v>11320</v>
      </c>
      <c r="B323" s="41" t="s">
        <v>11643</v>
      </c>
      <c r="C323" s="63" t="str">
        <f t="shared" ref="C323" si="10">CONCATENATE(A323,":","1")</f>
        <v>C22409:1</v>
      </c>
      <c r="D323" s="64" t="str">
        <f t="shared" ref="D323" si="11">CONCATENATE(A323," : ",B323)</f>
        <v>C22409 : UDP-3-O-[(3R)-3-hydroxyacyl]-alpha-D-glucosamine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D94D-4062-A54C-A0AF-A73BF2762D52}">
  <dimension ref="A1:N401"/>
  <sheetViews>
    <sheetView zoomScaleNormal="100" workbookViewId="0"/>
  </sheetViews>
  <sheetFormatPr defaultColWidth="10.6640625" defaultRowHeight="13"/>
  <cols>
    <col min="1" max="1" width="6.83203125" style="19" customWidth="1"/>
    <col min="2" max="2" width="16" style="19" customWidth="1"/>
    <col min="3" max="3" width="22.33203125" style="19" customWidth="1"/>
    <col min="4" max="4" width="17.6640625" style="19" customWidth="1"/>
    <col min="5" max="5" width="25.6640625" style="20" customWidth="1"/>
    <col min="6" max="6" width="19.33203125" style="21" customWidth="1"/>
    <col min="7" max="7" width="38.5" style="22" customWidth="1"/>
    <col min="8" max="8" width="28" style="23" customWidth="1"/>
    <col min="9" max="9" width="28.6640625" style="24" customWidth="1"/>
    <col min="10" max="10" width="17.33203125" style="25" customWidth="1"/>
    <col min="11" max="11" width="46.5" style="26" customWidth="1"/>
    <col min="12" max="12" width="62.5" style="27" customWidth="1"/>
    <col min="13" max="13" width="81.5" style="28" customWidth="1"/>
    <col min="14" max="14" width="111.33203125" style="29" customWidth="1"/>
    <col min="15" max="16384" width="10.6640625" style="19"/>
  </cols>
  <sheetData>
    <row r="1" spans="1:14" ht="48">
      <c r="A1" s="30" t="s">
        <v>8890</v>
      </c>
      <c r="B1" s="30" t="s">
        <v>8891</v>
      </c>
      <c r="C1" s="30" t="s">
        <v>8892</v>
      </c>
      <c r="D1" s="30" t="s">
        <v>8893</v>
      </c>
      <c r="E1" s="31" t="s">
        <v>8894</v>
      </c>
      <c r="F1" s="32" t="s">
        <v>8895</v>
      </c>
      <c r="G1" s="33" t="s">
        <v>8896</v>
      </c>
      <c r="H1" s="34" t="s">
        <v>8897</v>
      </c>
      <c r="I1" s="35" t="s">
        <v>8898</v>
      </c>
      <c r="J1" s="36" t="s">
        <v>8899</v>
      </c>
      <c r="K1" s="37" t="s">
        <v>8900</v>
      </c>
      <c r="L1" s="38" t="s">
        <v>8901</v>
      </c>
      <c r="M1" s="39" t="s">
        <v>8902</v>
      </c>
      <c r="N1" s="40" t="s">
        <v>8903</v>
      </c>
    </row>
    <row r="2" spans="1:14" ht="16">
      <c r="A2" s="41">
        <v>1</v>
      </c>
      <c r="B2" s="42" t="s">
        <v>8904</v>
      </c>
      <c r="C2" s="41" t="str">
        <f>CONCATENATE(D2, "_mRNA")</f>
        <v>E1_1_1_1_mRNA</v>
      </c>
      <c r="D2" s="41" t="str">
        <f>CONCATENATE("E",B2)</f>
        <v>E1_1_1_1</v>
      </c>
      <c r="E2" s="43" t="str">
        <f>CONCATENATE("E",B2,"_kcat : 13.7")</f>
        <v>E1_1_1_1_kcat : 13.7</v>
      </c>
      <c r="F2" s="44" t="str">
        <f>CONCATENATE("E",B2, "_km : 1")</f>
        <v>E1_1_1_1_km : 1</v>
      </c>
      <c r="G2" s="45" t="str">
        <f>CONCATENATE(C2, " : ",C2)</f>
        <v>E1_1_1_1_mRNA : E1_1_1_1_mRNA</v>
      </c>
      <c r="H2" s="46" t="str">
        <f>CONCATENATE(D2, " : ",D2)</f>
        <v>E1_1_1_1 : E1_1_1_1</v>
      </c>
      <c r="I2" s="47" t="str">
        <f>CONCATENATE(C2, " : ","0")</f>
        <v>E1_1_1_1_mRNA : 0</v>
      </c>
      <c r="J2" s="48" t="str">
        <f>CONCATENATE(D2, " : ","0")</f>
        <v>E1_1_1_1 : 0</v>
      </c>
      <c r="K2" s="49" t="str">
        <f>CONCATENATE("0.00292 - (0.0093 * ",C2,")")</f>
        <v>0.00292 - (0.0093 * E1_1_1_1_mRNA)</v>
      </c>
      <c r="L2" s="50" t="str">
        <f>CONCATENATE("(0.278 * ",C2,")"," - (0.00000278 * ",D2,")")</f>
        <v>(0.278 * E1_1_1_1_mRNA) - (0.00000278 * E1_1_1_1)</v>
      </c>
      <c r="M2" s="51" t="str">
        <f>CONCATENATE("mRNA",A2,": -&gt; ",C2," | ","0.00292"," - ","(","0.0093"," * ",C2,")")</f>
        <v>mRNA1: -&gt; E1_1_1_1_mRNA | 0.00292 - (0.0093 * E1_1_1_1_mRNA)</v>
      </c>
      <c r="N2" s="52" t="str">
        <f>CONCATENATE("Peptide",A2,": ",C2," -&gt; ",D2," | ","(","0.278"," * ",C2,")"," - ","(","0.000000278"," * ",D2,")")</f>
        <v>Peptide1: E1_1_1_1_mRNA -&gt; E1_1_1_1 | (0.278 * E1_1_1_1_mRNA) - (0.000000278 * E1_1_1_1)</v>
      </c>
    </row>
    <row r="3" spans="1:14" ht="16">
      <c r="A3" s="41">
        <v>2</v>
      </c>
      <c r="B3" s="42" t="s">
        <v>8905</v>
      </c>
      <c r="C3" s="41" t="str">
        <f t="shared" ref="C3:C66" si="0">CONCATENATE(D3, "_mRNA")</f>
        <v>E1_2_1_10_mRNA</v>
      </c>
      <c r="D3" s="41" t="str">
        <f t="shared" ref="D3:D66" si="1">CONCATENATE("E",B3)</f>
        <v>E1_2_1_10</v>
      </c>
      <c r="E3" s="43" t="str">
        <f t="shared" ref="E3:E66" si="2">CONCATENATE("E",B3,"_kcat : 13.7")</f>
        <v>E1_2_1_10_kcat : 13.7</v>
      </c>
      <c r="F3" s="44" t="str">
        <f t="shared" ref="F3:F66" si="3">CONCATENATE("E",B3, "_km : 1")</f>
        <v>E1_2_1_10_km : 1</v>
      </c>
      <c r="G3" s="45" t="str">
        <f t="shared" ref="G3:G66" si="4">CONCATENATE(C3, " : ",C3)</f>
        <v>E1_2_1_10_mRNA : E1_2_1_10_mRNA</v>
      </c>
      <c r="H3" s="46" t="str">
        <f t="shared" ref="H3:H66" si="5">CONCATENATE(D3, " : ",D3)</f>
        <v>E1_2_1_10 : E1_2_1_10</v>
      </c>
      <c r="I3" s="47" t="str">
        <f t="shared" ref="I3:I66" si="6">CONCATENATE(C3, " : ","0")</f>
        <v>E1_2_1_10_mRNA : 0</v>
      </c>
      <c r="J3" s="48" t="str">
        <f t="shared" ref="J3:J66" si="7">CONCATENATE(D3, " : ","0")</f>
        <v>E1_2_1_10 : 0</v>
      </c>
      <c r="K3" s="49" t="str">
        <f t="shared" ref="K3:K66" si="8">CONCATENATE("0.00292 - (0.0093 * ",C3,")")</f>
        <v>0.00292 - (0.0093 * E1_2_1_10_mRNA)</v>
      </c>
      <c r="L3" s="50" t="str">
        <f t="shared" ref="L3:L66" si="9">CONCATENATE("(0.278 * ",C3,")"," - (0.00000278 * ",D3,")")</f>
        <v>(0.278 * E1_2_1_10_mRNA) - (0.00000278 * E1_2_1_10)</v>
      </c>
      <c r="M3" s="51" t="str">
        <f t="shared" ref="M3:M66" si="10">CONCATENATE("mRNA",A3,": -&gt; ",C3," | ","0.00292"," - ","(","0.0093"," * ",C3,")")</f>
        <v>mRNA2: -&gt; E1_2_1_10_mRNA | 0.00292 - (0.0093 * E1_2_1_10_mRNA)</v>
      </c>
      <c r="N3" s="52" t="str">
        <f t="shared" ref="N3:N66" si="11">CONCATENATE("Peptide",A3,": ",C3," -&gt; ",D3," | ","(","0.278"," * ",C3,")"," - ","(","0.000000278"," * ",D3,")")</f>
        <v>Peptide2: E1_2_1_10_mRNA -&gt; E1_2_1_10 | (0.278 * E1_2_1_10_mRNA) - (0.000000278 * E1_2_1_10)</v>
      </c>
    </row>
    <row r="4" spans="1:14" ht="16">
      <c r="A4" s="41">
        <v>3</v>
      </c>
      <c r="B4" s="42" t="s">
        <v>8906</v>
      </c>
      <c r="C4" s="41" t="str">
        <f t="shared" si="0"/>
        <v>E1_1_1_100_mRNA</v>
      </c>
      <c r="D4" s="41" t="str">
        <f t="shared" si="1"/>
        <v>E1_1_1_100</v>
      </c>
      <c r="E4" s="43" t="str">
        <f t="shared" si="2"/>
        <v>E1_1_1_100_kcat : 13.7</v>
      </c>
      <c r="F4" s="44" t="str">
        <f t="shared" si="3"/>
        <v>E1_1_1_100_km : 1</v>
      </c>
      <c r="G4" s="45" t="str">
        <f t="shared" si="4"/>
        <v>E1_1_1_100_mRNA : E1_1_1_100_mRNA</v>
      </c>
      <c r="H4" s="46" t="str">
        <f t="shared" si="5"/>
        <v>E1_1_1_100 : E1_1_1_100</v>
      </c>
      <c r="I4" s="47" t="str">
        <f t="shared" si="6"/>
        <v>E1_1_1_100_mRNA : 0</v>
      </c>
      <c r="J4" s="48" t="str">
        <f t="shared" si="7"/>
        <v>E1_1_1_100 : 0</v>
      </c>
      <c r="K4" s="49" t="str">
        <f t="shared" si="8"/>
        <v>0.00292 - (0.0093 * E1_1_1_100_mRNA)</v>
      </c>
      <c r="L4" s="50" t="str">
        <f t="shared" si="9"/>
        <v>(0.278 * E1_1_1_100_mRNA) - (0.00000278 * E1_1_1_100)</v>
      </c>
      <c r="M4" s="51" t="str">
        <f t="shared" si="10"/>
        <v>mRNA3: -&gt; E1_1_1_100_mRNA | 0.00292 - (0.0093 * E1_1_1_100_mRNA)</v>
      </c>
      <c r="N4" s="52" t="str">
        <f t="shared" si="11"/>
        <v>Peptide3: E1_1_1_100_mRNA -&gt; E1_1_1_100 | (0.278 * E1_1_1_100_mRNA) - (0.000000278 * E1_1_1_100)</v>
      </c>
    </row>
    <row r="5" spans="1:14" ht="16">
      <c r="A5" s="41">
        <v>4</v>
      </c>
      <c r="B5" s="42" t="s">
        <v>8907</v>
      </c>
      <c r="C5" s="41" t="str">
        <f t="shared" si="0"/>
        <v>E1_1_1_169_mRNA</v>
      </c>
      <c r="D5" s="41" t="str">
        <f t="shared" si="1"/>
        <v>E1_1_1_169</v>
      </c>
      <c r="E5" s="43" t="str">
        <f t="shared" si="2"/>
        <v>E1_1_1_169_kcat : 13.7</v>
      </c>
      <c r="F5" s="44" t="str">
        <f t="shared" si="3"/>
        <v>E1_1_1_169_km : 1</v>
      </c>
      <c r="G5" s="45" t="str">
        <f t="shared" si="4"/>
        <v>E1_1_1_169_mRNA : E1_1_1_169_mRNA</v>
      </c>
      <c r="H5" s="46" t="str">
        <f t="shared" si="5"/>
        <v>E1_1_1_169 : E1_1_1_169</v>
      </c>
      <c r="I5" s="47" t="str">
        <f t="shared" si="6"/>
        <v>E1_1_1_169_mRNA : 0</v>
      </c>
      <c r="J5" s="48" t="str">
        <f t="shared" si="7"/>
        <v>E1_1_1_169 : 0</v>
      </c>
      <c r="K5" s="49" t="str">
        <f t="shared" si="8"/>
        <v>0.00292 - (0.0093 * E1_1_1_169_mRNA)</v>
      </c>
      <c r="L5" s="50" t="str">
        <f t="shared" si="9"/>
        <v>(0.278 * E1_1_1_169_mRNA) - (0.00000278 * E1_1_1_169)</v>
      </c>
      <c r="M5" s="51" t="str">
        <f t="shared" si="10"/>
        <v>mRNA4: -&gt; E1_1_1_169_mRNA | 0.00292 - (0.0093 * E1_1_1_169_mRNA)</v>
      </c>
      <c r="N5" s="52" t="str">
        <f t="shared" si="11"/>
        <v>Peptide4: E1_1_1_169_mRNA -&gt; E1_1_1_169 | (0.278 * E1_1_1_169_mRNA) - (0.000000278 * E1_1_1_169)</v>
      </c>
    </row>
    <row r="6" spans="1:14" ht="16">
      <c r="A6" s="41">
        <v>5</v>
      </c>
      <c r="B6" s="42" t="s">
        <v>8908</v>
      </c>
      <c r="C6" s="41" t="str">
        <f t="shared" si="0"/>
        <v>E1_1_1_205_mRNA</v>
      </c>
      <c r="D6" s="41" t="str">
        <f t="shared" si="1"/>
        <v>E1_1_1_205</v>
      </c>
      <c r="E6" s="43" t="str">
        <f t="shared" si="2"/>
        <v>E1_1_1_205_kcat : 13.7</v>
      </c>
      <c r="F6" s="44" t="str">
        <f t="shared" si="3"/>
        <v>E1_1_1_205_km : 1</v>
      </c>
      <c r="G6" s="45" t="str">
        <f t="shared" si="4"/>
        <v>E1_1_1_205_mRNA : E1_1_1_205_mRNA</v>
      </c>
      <c r="H6" s="46" t="str">
        <f t="shared" si="5"/>
        <v>E1_1_1_205 : E1_1_1_205</v>
      </c>
      <c r="I6" s="47" t="str">
        <f t="shared" si="6"/>
        <v>E1_1_1_205_mRNA : 0</v>
      </c>
      <c r="J6" s="48" t="str">
        <f t="shared" si="7"/>
        <v>E1_1_1_205 : 0</v>
      </c>
      <c r="K6" s="49" t="str">
        <f t="shared" si="8"/>
        <v>0.00292 - (0.0093 * E1_1_1_205_mRNA)</v>
      </c>
      <c r="L6" s="50" t="str">
        <f t="shared" si="9"/>
        <v>(0.278 * E1_1_1_205_mRNA) - (0.00000278 * E1_1_1_205)</v>
      </c>
      <c r="M6" s="51" t="str">
        <f t="shared" si="10"/>
        <v>mRNA5: -&gt; E1_1_1_205_mRNA | 0.00292 - (0.0093 * E1_1_1_205_mRNA)</v>
      </c>
      <c r="N6" s="52" t="str">
        <f t="shared" si="11"/>
        <v>Peptide5: E1_1_1_205_mRNA -&gt; E1_1_1_205 | (0.278 * E1_1_1_205_mRNA) - (0.000000278 * E1_1_1_205)</v>
      </c>
    </row>
    <row r="7" spans="1:14" ht="16">
      <c r="A7" s="41">
        <v>6</v>
      </c>
      <c r="B7" s="42" t="s">
        <v>8909</v>
      </c>
      <c r="C7" s="41" t="str">
        <f t="shared" si="0"/>
        <v>E1_1_1_25_mRNA</v>
      </c>
      <c r="D7" s="41" t="str">
        <f t="shared" si="1"/>
        <v>E1_1_1_25</v>
      </c>
      <c r="E7" s="43" t="str">
        <f t="shared" si="2"/>
        <v>E1_1_1_25_kcat : 13.7</v>
      </c>
      <c r="F7" s="44" t="str">
        <f t="shared" si="3"/>
        <v>E1_1_1_25_km : 1</v>
      </c>
      <c r="G7" s="45" t="str">
        <f t="shared" si="4"/>
        <v>E1_1_1_25_mRNA : E1_1_1_25_mRNA</v>
      </c>
      <c r="H7" s="46" t="str">
        <f t="shared" si="5"/>
        <v>E1_1_1_25 : E1_1_1_25</v>
      </c>
      <c r="I7" s="47" t="str">
        <f t="shared" si="6"/>
        <v>E1_1_1_25_mRNA : 0</v>
      </c>
      <c r="J7" s="48" t="str">
        <f t="shared" si="7"/>
        <v>E1_1_1_25 : 0</v>
      </c>
      <c r="K7" s="49" t="str">
        <f t="shared" si="8"/>
        <v>0.00292 - (0.0093 * E1_1_1_25_mRNA)</v>
      </c>
      <c r="L7" s="50" t="str">
        <f t="shared" si="9"/>
        <v>(0.278 * E1_1_1_25_mRNA) - (0.00000278 * E1_1_1_25)</v>
      </c>
      <c r="M7" s="51" t="str">
        <f t="shared" si="10"/>
        <v>mRNA6: -&gt; E1_1_1_25_mRNA | 0.00292 - (0.0093 * E1_1_1_25_mRNA)</v>
      </c>
      <c r="N7" s="52" t="str">
        <f t="shared" si="11"/>
        <v>Peptide6: E1_1_1_25_mRNA -&gt; E1_1_1_25 | (0.278 * E1_1_1_25_mRNA) - (0.000000278 * E1_1_1_25)</v>
      </c>
    </row>
    <row r="8" spans="1:14" ht="16">
      <c r="A8" s="41">
        <v>7</v>
      </c>
      <c r="B8" s="42" t="s">
        <v>8910</v>
      </c>
      <c r="C8" s="41" t="str">
        <f t="shared" si="0"/>
        <v>E1_1_1_27_mRNA</v>
      </c>
      <c r="D8" s="41" t="str">
        <f t="shared" si="1"/>
        <v>E1_1_1_27</v>
      </c>
      <c r="E8" s="43" t="str">
        <f t="shared" si="2"/>
        <v>E1_1_1_27_kcat : 13.7</v>
      </c>
      <c r="F8" s="44" t="str">
        <f t="shared" si="3"/>
        <v>E1_1_1_27_km : 1</v>
      </c>
      <c r="G8" s="45" t="str">
        <f t="shared" si="4"/>
        <v>E1_1_1_27_mRNA : E1_1_1_27_mRNA</v>
      </c>
      <c r="H8" s="46" t="str">
        <f t="shared" si="5"/>
        <v>E1_1_1_27 : E1_1_1_27</v>
      </c>
      <c r="I8" s="47" t="str">
        <f t="shared" si="6"/>
        <v>E1_1_1_27_mRNA : 0</v>
      </c>
      <c r="J8" s="48" t="str">
        <f t="shared" si="7"/>
        <v>E1_1_1_27 : 0</v>
      </c>
      <c r="K8" s="49" t="str">
        <f t="shared" si="8"/>
        <v>0.00292 - (0.0093 * E1_1_1_27_mRNA)</v>
      </c>
      <c r="L8" s="50" t="str">
        <f t="shared" si="9"/>
        <v>(0.278 * E1_1_1_27_mRNA) - (0.00000278 * E1_1_1_27)</v>
      </c>
      <c r="M8" s="51" t="str">
        <f t="shared" si="10"/>
        <v>mRNA7: -&gt; E1_1_1_27_mRNA | 0.00292 - (0.0093 * E1_1_1_27_mRNA)</v>
      </c>
      <c r="N8" s="52" t="str">
        <f t="shared" si="11"/>
        <v>Peptide7: E1_1_1_27_mRNA -&gt; E1_1_1_27 | (0.278 * E1_1_1_27_mRNA) - (0.000000278 * E1_1_1_27)</v>
      </c>
    </row>
    <row r="9" spans="1:14" ht="16">
      <c r="A9" s="41">
        <v>8</v>
      </c>
      <c r="B9" s="42" t="s">
        <v>8911</v>
      </c>
      <c r="C9" s="41" t="str">
        <f t="shared" si="0"/>
        <v>E1_1_1_3_mRNA</v>
      </c>
      <c r="D9" s="41" t="str">
        <f t="shared" si="1"/>
        <v>E1_1_1_3</v>
      </c>
      <c r="E9" s="43" t="str">
        <f t="shared" si="2"/>
        <v>E1_1_1_3_kcat : 13.7</v>
      </c>
      <c r="F9" s="44" t="str">
        <f t="shared" si="3"/>
        <v>E1_1_1_3_km : 1</v>
      </c>
      <c r="G9" s="45" t="str">
        <f t="shared" si="4"/>
        <v>E1_1_1_3_mRNA : E1_1_1_3_mRNA</v>
      </c>
      <c r="H9" s="46" t="str">
        <f t="shared" si="5"/>
        <v>E1_1_1_3 : E1_1_1_3</v>
      </c>
      <c r="I9" s="47" t="str">
        <f t="shared" si="6"/>
        <v>E1_1_1_3_mRNA : 0</v>
      </c>
      <c r="J9" s="48" t="str">
        <f t="shared" si="7"/>
        <v>E1_1_1_3 : 0</v>
      </c>
      <c r="K9" s="49" t="str">
        <f t="shared" si="8"/>
        <v>0.00292 - (0.0093 * E1_1_1_3_mRNA)</v>
      </c>
      <c r="L9" s="50" t="str">
        <f t="shared" si="9"/>
        <v>(0.278 * E1_1_1_3_mRNA) - (0.00000278 * E1_1_1_3)</v>
      </c>
      <c r="M9" s="51" t="str">
        <f t="shared" si="10"/>
        <v>mRNA8: -&gt; E1_1_1_3_mRNA | 0.00292 - (0.0093 * E1_1_1_3_mRNA)</v>
      </c>
      <c r="N9" s="52" t="str">
        <f t="shared" si="11"/>
        <v>Peptide8: E1_1_1_3_mRNA -&gt; E1_1_1_3 | (0.278 * E1_1_1_3_mRNA) - (0.000000278 * E1_1_1_3)</v>
      </c>
    </row>
    <row r="10" spans="1:14" ht="16">
      <c r="A10" s="41">
        <v>9</v>
      </c>
      <c r="B10" s="42" t="s">
        <v>8912</v>
      </c>
      <c r="C10" s="41" t="str">
        <f t="shared" si="0"/>
        <v>E1_1_1_303_mRNA</v>
      </c>
      <c r="D10" s="41" t="str">
        <f t="shared" si="1"/>
        <v>E1_1_1_303</v>
      </c>
      <c r="E10" s="43" t="str">
        <f t="shared" si="2"/>
        <v>E1_1_1_303_kcat : 13.7</v>
      </c>
      <c r="F10" s="44" t="str">
        <f t="shared" si="3"/>
        <v>E1_1_1_303_km : 1</v>
      </c>
      <c r="G10" s="45" t="str">
        <f t="shared" si="4"/>
        <v>E1_1_1_303_mRNA : E1_1_1_303_mRNA</v>
      </c>
      <c r="H10" s="46" t="str">
        <f t="shared" si="5"/>
        <v>E1_1_1_303 : E1_1_1_303</v>
      </c>
      <c r="I10" s="47" t="str">
        <f t="shared" si="6"/>
        <v>E1_1_1_303_mRNA : 0</v>
      </c>
      <c r="J10" s="48" t="str">
        <f t="shared" si="7"/>
        <v>E1_1_1_303 : 0</v>
      </c>
      <c r="K10" s="49" t="str">
        <f t="shared" si="8"/>
        <v>0.00292 - (0.0093 * E1_1_1_303_mRNA)</v>
      </c>
      <c r="L10" s="50" t="str">
        <f t="shared" si="9"/>
        <v>(0.278 * E1_1_1_303_mRNA) - (0.00000278 * E1_1_1_303)</v>
      </c>
      <c r="M10" s="51" t="str">
        <f t="shared" si="10"/>
        <v>mRNA9: -&gt; E1_1_1_303_mRNA | 0.00292 - (0.0093 * E1_1_1_303_mRNA)</v>
      </c>
      <c r="N10" s="52" t="str">
        <f t="shared" si="11"/>
        <v>Peptide9: E1_1_1_303_mRNA -&gt; E1_1_1_303 | (0.278 * E1_1_1_303_mRNA) - (0.000000278 * E1_1_1_303)</v>
      </c>
    </row>
    <row r="11" spans="1:14" ht="16">
      <c r="A11" s="41">
        <v>10</v>
      </c>
      <c r="B11" s="42" t="s">
        <v>8913</v>
      </c>
      <c r="C11" s="41" t="str">
        <f t="shared" si="0"/>
        <v>E2_3_1_190_mRNA</v>
      </c>
      <c r="D11" s="41" t="str">
        <f t="shared" si="1"/>
        <v>E2_3_1_190</v>
      </c>
      <c r="E11" s="43" t="str">
        <f t="shared" si="2"/>
        <v>E2_3_1_190_kcat : 13.7</v>
      </c>
      <c r="F11" s="44" t="str">
        <f t="shared" si="3"/>
        <v>E2_3_1_190_km : 1</v>
      </c>
      <c r="G11" s="45" t="str">
        <f t="shared" si="4"/>
        <v>E2_3_1_190_mRNA : E2_3_1_190_mRNA</v>
      </c>
      <c r="H11" s="46" t="str">
        <f t="shared" si="5"/>
        <v>E2_3_1_190 : E2_3_1_190</v>
      </c>
      <c r="I11" s="47" t="str">
        <f t="shared" si="6"/>
        <v>E2_3_1_190_mRNA : 0</v>
      </c>
      <c r="J11" s="48" t="str">
        <f t="shared" si="7"/>
        <v>E2_3_1_190 : 0</v>
      </c>
      <c r="K11" s="49" t="str">
        <f t="shared" si="8"/>
        <v>0.00292 - (0.0093 * E2_3_1_190_mRNA)</v>
      </c>
      <c r="L11" s="50" t="str">
        <f t="shared" si="9"/>
        <v>(0.278 * E2_3_1_190_mRNA) - (0.00000278 * E2_3_1_190)</v>
      </c>
      <c r="M11" s="51" t="str">
        <f t="shared" si="10"/>
        <v>mRNA10: -&gt; E2_3_1_190_mRNA | 0.00292 - (0.0093 * E2_3_1_190_mRNA)</v>
      </c>
      <c r="N11" s="52" t="str">
        <f t="shared" si="11"/>
        <v>Peptide10: E2_3_1_190_mRNA -&gt; E2_3_1_190 | (0.278 * E2_3_1_190_mRNA) - (0.000000278 * E2_3_1_190)</v>
      </c>
    </row>
    <row r="12" spans="1:14" ht="16">
      <c r="A12" s="41">
        <v>11</v>
      </c>
      <c r="B12" s="53" t="s">
        <v>8914</v>
      </c>
      <c r="C12" s="41" t="str">
        <f t="shared" si="0"/>
        <v>E1_1_1_304_mRNA</v>
      </c>
      <c r="D12" s="41" t="str">
        <f t="shared" si="1"/>
        <v>E1_1_1_304</v>
      </c>
      <c r="E12" s="43" t="str">
        <f t="shared" si="2"/>
        <v>E1_1_1_304_kcat : 13.7</v>
      </c>
      <c r="F12" s="44" t="str">
        <f t="shared" si="3"/>
        <v>E1_1_1_304_km : 1</v>
      </c>
      <c r="G12" s="45" t="str">
        <f t="shared" si="4"/>
        <v>E1_1_1_304_mRNA : E1_1_1_304_mRNA</v>
      </c>
      <c r="H12" s="46" t="str">
        <f t="shared" si="5"/>
        <v>E1_1_1_304 : E1_1_1_304</v>
      </c>
      <c r="I12" s="47" t="str">
        <f t="shared" si="6"/>
        <v>E1_1_1_304_mRNA : 0</v>
      </c>
      <c r="J12" s="48" t="str">
        <f t="shared" si="7"/>
        <v>E1_1_1_304 : 0</v>
      </c>
      <c r="K12" s="49" t="str">
        <f t="shared" si="8"/>
        <v>0.00292 - (0.0093 * E1_1_1_304_mRNA)</v>
      </c>
      <c r="L12" s="50" t="str">
        <f t="shared" si="9"/>
        <v>(0.278 * E1_1_1_304_mRNA) - (0.00000278 * E1_1_1_304)</v>
      </c>
      <c r="M12" s="51" t="str">
        <f t="shared" si="10"/>
        <v>mRNA11: -&gt; E1_1_1_304_mRNA | 0.00292 - (0.0093 * E1_1_1_304_mRNA)</v>
      </c>
      <c r="N12" s="52" t="str">
        <f t="shared" si="11"/>
        <v>Peptide11: E1_1_1_304_mRNA -&gt; E1_1_1_304 | (0.278 * E1_1_1_304_mRNA) - (0.000000278 * E1_1_1_304)</v>
      </c>
    </row>
    <row r="13" spans="1:14" ht="16">
      <c r="A13" s="41">
        <v>12</v>
      </c>
      <c r="B13" s="42" t="s">
        <v>8915</v>
      </c>
      <c r="C13" s="41" t="str">
        <f t="shared" si="0"/>
        <v>E2_3_1_191_mRNA</v>
      </c>
      <c r="D13" s="41" t="str">
        <f t="shared" si="1"/>
        <v>E2_3_1_191</v>
      </c>
      <c r="E13" s="43" t="str">
        <f t="shared" si="2"/>
        <v>E2_3_1_191_kcat : 13.7</v>
      </c>
      <c r="F13" s="44" t="str">
        <f t="shared" si="3"/>
        <v>E2_3_1_191_km : 1</v>
      </c>
      <c r="G13" s="45" t="str">
        <f t="shared" si="4"/>
        <v>E2_3_1_191_mRNA : E2_3_1_191_mRNA</v>
      </c>
      <c r="H13" s="46" t="str">
        <f t="shared" si="5"/>
        <v>E2_3_1_191 : E2_3_1_191</v>
      </c>
      <c r="I13" s="47" t="str">
        <f t="shared" si="6"/>
        <v>E2_3_1_191_mRNA : 0</v>
      </c>
      <c r="J13" s="48" t="str">
        <f t="shared" si="7"/>
        <v>E2_3_1_191 : 0</v>
      </c>
      <c r="K13" s="49" t="str">
        <f t="shared" si="8"/>
        <v>0.00292 - (0.0093 * E2_3_1_191_mRNA)</v>
      </c>
      <c r="L13" s="50" t="str">
        <f t="shared" si="9"/>
        <v>(0.278 * E2_3_1_191_mRNA) - (0.00000278 * E2_3_1_191)</v>
      </c>
      <c r="M13" s="51" t="str">
        <f t="shared" si="10"/>
        <v>mRNA12: -&gt; E2_3_1_191_mRNA | 0.00292 - (0.0093 * E2_3_1_191_mRNA)</v>
      </c>
      <c r="N13" s="52" t="str">
        <f t="shared" si="11"/>
        <v>Peptide12: E2_3_1_191_mRNA -&gt; E2_3_1_191 | (0.278 * E2_3_1_191_mRNA) - (0.000000278 * E2_3_1_191)</v>
      </c>
    </row>
    <row r="14" spans="1:14" ht="16">
      <c r="A14" s="41">
        <v>13</v>
      </c>
      <c r="B14" s="42" t="s">
        <v>8916</v>
      </c>
      <c r="C14" s="41" t="str">
        <f t="shared" si="0"/>
        <v>E1_1_1_42_mRNA</v>
      </c>
      <c r="D14" s="41" t="str">
        <f t="shared" si="1"/>
        <v>E1_1_1_42</v>
      </c>
      <c r="E14" s="43" t="str">
        <f t="shared" si="2"/>
        <v>E1_1_1_42_kcat : 13.7</v>
      </c>
      <c r="F14" s="44" t="str">
        <f t="shared" si="3"/>
        <v>E1_1_1_42_km : 1</v>
      </c>
      <c r="G14" s="45" t="str">
        <f t="shared" si="4"/>
        <v>E1_1_1_42_mRNA : E1_1_1_42_mRNA</v>
      </c>
      <c r="H14" s="46" t="str">
        <f t="shared" si="5"/>
        <v>E1_1_1_42 : E1_1_1_42</v>
      </c>
      <c r="I14" s="47" t="str">
        <f t="shared" si="6"/>
        <v>E1_1_1_42_mRNA : 0</v>
      </c>
      <c r="J14" s="48" t="str">
        <f t="shared" si="7"/>
        <v>E1_1_1_42 : 0</v>
      </c>
      <c r="K14" s="49" t="str">
        <f t="shared" si="8"/>
        <v>0.00292 - (0.0093 * E1_1_1_42_mRNA)</v>
      </c>
      <c r="L14" s="50" t="str">
        <f t="shared" si="9"/>
        <v>(0.278 * E1_1_1_42_mRNA) - (0.00000278 * E1_1_1_42)</v>
      </c>
      <c r="M14" s="51" t="str">
        <f t="shared" si="10"/>
        <v>mRNA13: -&gt; E1_1_1_42_mRNA | 0.00292 - (0.0093 * E1_1_1_42_mRNA)</v>
      </c>
      <c r="N14" s="52" t="str">
        <f t="shared" si="11"/>
        <v>Peptide13: E1_1_1_42_mRNA -&gt; E1_1_1_42 | (0.278 * E1_1_1_42_mRNA) - (0.000000278 * E1_1_1_42)</v>
      </c>
    </row>
    <row r="15" spans="1:14" ht="16">
      <c r="A15" s="41">
        <v>14</v>
      </c>
      <c r="B15" s="42" t="s">
        <v>8917</v>
      </c>
      <c r="C15" s="41" t="str">
        <f t="shared" si="0"/>
        <v>E1_1_1_85_mRNA</v>
      </c>
      <c r="D15" s="41" t="str">
        <f t="shared" si="1"/>
        <v>E1_1_1_85</v>
      </c>
      <c r="E15" s="43" t="str">
        <f t="shared" si="2"/>
        <v>E1_1_1_85_kcat : 13.7</v>
      </c>
      <c r="F15" s="44" t="str">
        <f t="shared" si="3"/>
        <v>E1_1_1_85_km : 1</v>
      </c>
      <c r="G15" s="45" t="str">
        <f t="shared" si="4"/>
        <v>E1_1_1_85_mRNA : E1_1_1_85_mRNA</v>
      </c>
      <c r="H15" s="46" t="str">
        <f t="shared" si="5"/>
        <v>E1_1_1_85 : E1_1_1_85</v>
      </c>
      <c r="I15" s="47" t="str">
        <f t="shared" si="6"/>
        <v>E1_1_1_85_mRNA : 0</v>
      </c>
      <c r="J15" s="48" t="str">
        <f t="shared" si="7"/>
        <v>E1_1_1_85 : 0</v>
      </c>
      <c r="K15" s="49" t="str">
        <f t="shared" si="8"/>
        <v>0.00292 - (0.0093 * E1_1_1_85_mRNA)</v>
      </c>
      <c r="L15" s="50" t="str">
        <f t="shared" si="9"/>
        <v>(0.278 * E1_1_1_85_mRNA) - (0.00000278 * E1_1_1_85)</v>
      </c>
      <c r="M15" s="51" t="str">
        <f t="shared" si="10"/>
        <v>mRNA14: -&gt; E1_1_1_85_mRNA | 0.00292 - (0.0093 * E1_1_1_85_mRNA)</v>
      </c>
      <c r="N15" s="52" t="str">
        <f t="shared" si="11"/>
        <v>Peptide14: E1_1_1_85_mRNA -&gt; E1_1_1_85 | (0.278 * E1_1_1_85_mRNA) - (0.000000278 * E1_1_1_85)</v>
      </c>
    </row>
    <row r="16" spans="1:14" ht="16">
      <c r="A16" s="41">
        <v>15</v>
      </c>
      <c r="B16" s="42" t="s">
        <v>8918</v>
      </c>
      <c r="C16" s="41" t="str">
        <f t="shared" si="0"/>
        <v>E1_1_1_86_mRNA</v>
      </c>
      <c r="D16" s="41" t="str">
        <f t="shared" si="1"/>
        <v>E1_1_1_86</v>
      </c>
      <c r="E16" s="43" t="str">
        <f t="shared" si="2"/>
        <v>E1_1_1_86_kcat : 13.7</v>
      </c>
      <c r="F16" s="44" t="str">
        <f t="shared" si="3"/>
        <v>E1_1_1_86_km : 1</v>
      </c>
      <c r="G16" s="45" t="str">
        <f t="shared" si="4"/>
        <v>E1_1_1_86_mRNA : E1_1_1_86_mRNA</v>
      </c>
      <c r="H16" s="46" t="str">
        <f t="shared" si="5"/>
        <v>E1_1_1_86 : E1_1_1_86</v>
      </c>
      <c r="I16" s="47" t="str">
        <f t="shared" si="6"/>
        <v>E1_1_1_86_mRNA : 0</v>
      </c>
      <c r="J16" s="48" t="str">
        <f t="shared" si="7"/>
        <v>E1_1_1_86 : 0</v>
      </c>
      <c r="K16" s="49" t="str">
        <f t="shared" si="8"/>
        <v>0.00292 - (0.0093 * E1_1_1_86_mRNA)</v>
      </c>
      <c r="L16" s="50" t="str">
        <f t="shared" si="9"/>
        <v>(0.278 * E1_1_1_86_mRNA) - (0.00000278 * E1_1_1_86)</v>
      </c>
      <c r="M16" s="51" t="str">
        <f t="shared" si="10"/>
        <v>mRNA15: -&gt; E1_1_1_86_mRNA | 0.00292 - (0.0093 * E1_1_1_86_mRNA)</v>
      </c>
      <c r="N16" s="52" t="str">
        <f t="shared" si="11"/>
        <v>Peptide15: E1_1_1_86_mRNA -&gt; E1_1_1_86 | (0.278 * E1_1_1_86_mRNA) - (0.000000278 * E1_1_1_86)</v>
      </c>
    </row>
    <row r="17" spans="1:14" ht="16">
      <c r="A17" s="41">
        <v>16</v>
      </c>
      <c r="B17" s="42" t="s">
        <v>8919</v>
      </c>
      <c r="C17" s="41" t="str">
        <f t="shared" si="0"/>
        <v>E1_1_1_88_mRNA</v>
      </c>
      <c r="D17" s="41" t="str">
        <f t="shared" si="1"/>
        <v>E1_1_1_88</v>
      </c>
      <c r="E17" s="43" t="str">
        <f t="shared" si="2"/>
        <v>E1_1_1_88_kcat : 13.7</v>
      </c>
      <c r="F17" s="44" t="str">
        <f t="shared" si="3"/>
        <v>E1_1_1_88_km : 1</v>
      </c>
      <c r="G17" s="45" t="str">
        <f t="shared" si="4"/>
        <v>E1_1_1_88_mRNA : E1_1_1_88_mRNA</v>
      </c>
      <c r="H17" s="46" t="str">
        <f t="shared" si="5"/>
        <v>E1_1_1_88 : E1_1_1_88</v>
      </c>
      <c r="I17" s="47" t="str">
        <f t="shared" si="6"/>
        <v>E1_1_1_88_mRNA : 0</v>
      </c>
      <c r="J17" s="48" t="str">
        <f t="shared" si="7"/>
        <v>E1_1_1_88 : 0</v>
      </c>
      <c r="K17" s="49" t="str">
        <f t="shared" si="8"/>
        <v>0.00292 - (0.0093 * E1_1_1_88_mRNA)</v>
      </c>
      <c r="L17" s="50" t="str">
        <f t="shared" si="9"/>
        <v>(0.278 * E1_1_1_88_mRNA) - (0.00000278 * E1_1_1_88)</v>
      </c>
      <c r="M17" s="51" t="str">
        <f t="shared" si="10"/>
        <v>mRNA16: -&gt; E1_1_1_88_mRNA | 0.00292 - (0.0093 * E1_1_1_88_mRNA)</v>
      </c>
      <c r="N17" s="52" t="str">
        <f t="shared" si="11"/>
        <v>Peptide16: E1_1_1_88_mRNA -&gt; E1_1_1_88 | (0.278 * E1_1_1_88_mRNA) - (0.000000278 * E1_1_1_88)</v>
      </c>
    </row>
    <row r="18" spans="1:14" ht="16">
      <c r="A18" s="41">
        <v>17</v>
      </c>
      <c r="B18" s="42" t="s">
        <v>8920</v>
      </c>
      <c r="C18" s="41" t="str">
        <f t="shared" si="0"/>
        <v>E1_1_1_94_mRNA</v>
      </c>
      <c r="D18" s="41" t="str">
        <f t="shared" si="1"/>
        <v>E1_1_1_94</v>
      </c>
      <c r="E18" s="43" t="str">
        <f t="shared" si="2"/>
        <v>E1_1_1_94_kcat : 13.7</v>
      </c>
      <c r="F18" s="44" t="str">
        <f t="shared" si="3"/>
        <v>E1_1_1_94_km : 1</v>
      </c>
      <c r="G18" s="45" t="str">
        <f t="shared" si="4"/>
        <v>E1_1_1_94_mRNA : E1_1_1_94_mRNA</v>
      </c>
      <c r="H18" s="46" t="str">
        <f t="shared" si="5"/>
        <v>E1_1_1_94 : E1_1_1_94</v>
      </c>
      <c r="I18" s="47" t="str">
        <f t="shared" si="6"/>
        <v>E1_1_1_94_mRNA : 0</v>
      </c>
      <c r="J18" s="48" t="str">
        <f t="shared" si="7"/>
        <v>E1_1_1_94 : 0</v>
      </c>
      <c r="K18" s="49" t="str">
        <f t="shared" si="8"/>
        <v>0.00292 - (0.0093 * E1_1_1_94_mRNA)</v>
      </c>
      <c r="L18" s="50" t="str">
        <f t="shared" si="9"/>
        <v>(0.278 * E1_1_1_94_mRNA) - (0.00000278 * E1_1_1_94)</v>
      </c>
      <c r="M18" s="51" t="str">
        <f t="shared" si="10"/>
        <v>mRNA17: -&gt; E1_1_1_94_mRNA | 0.00292 - (0.0093 * E1_1_1_94_mRNA)</v>
      </c>
      <c r="N18" s="52" t="str">
        <f t="shared" si="11"/>
        <v>Peptide17: E1_1_1_94_mRNA -&gt; E1_1_1_94 | (0.278 * E1_1_1_94_mRNA) - (0.000000278 * E1_1_1_94)</v>
      </c>
    </row>
    <row r="19" spans="1:14" ht="16">
      <c r="A19" s="41">
        <v>18</v>
      </c>
      <c r="B19" s="42" t="s">
        <v>8921</v>
      </c>
      <c r="C19" s="41" t="str">
        <f t="shared" si="0"/>
        <v>E1_1_1_95_mRNA</v>
      </c>
      <c r="D19" s="41" t="str">
        <f t="shared" si="1"/>
        <v>E1_1_1_95</v>
      </c>
      <c r="E19" s="43" t="str">
        <f t="shared" si="2"/>
        <v>E1_1_1_95_kcat : 13.7</v>
      </c>
      <c r="F19" s="44" t="str">
        <f t="shared" si="3"/>
        <v>E1_1_1_95_km : 1</v>
      </c>
      <c r="G19" s="45" t="str">
        <f t="shared" si="4"/>
        <v>E1_1_1_95_mRNA : E1_1_1_95_mRNA</v>
      </c>
      <c r="H19" s="46" t="str">
        <f t="shared" si="5"/>
        <v>E1_1_1_95 : E1_1_1_95</v>
      </c>
      <c r="I19" s="47" t="str">
        <f t="shared" si="6"/>
        <v>E1_1_1_95_mRNA : 0</v>
      </c>
      <c r="J19" s="48" t="str">
        <f t="shared" si="7"/>
        <v>E1_1_1_95 : 0</v>
      </c>
      <c r="K19" s="49" t="str">
        <f t="shared" si="8"/>
        <v>0.00292 - (0.0093 * E1_1_1_95_mRNA)</v>
      </c>
      <c r="L19" s="50" t="str">
        <f t="shared" si="9"/>
        <v>(0.278 * E1_1_1_95_mRNA) - (0.00000278 * E1_1_1_95)</v>
      </c>
      <c r="M19" s="51" t="str">
        <f t="shared" si="10"/>
        <v>mRNA18: -&gt; E1_1_1_95_mRNA | 0.00292 - (0.0093 * E1_1_1_95_mRNA)</v>
      </c>
      <c r="N19" s="52" t="str">
        <f t="shared" si="11"/>
        <v>Peptide18: E1_1_1_95_mRNA -&gt; E1_1_1_95 | (0.278 * E1_1_1_95_mRNA) - (0.000000278 * E1_1_1_95)</v>
      </c>
    </row>
    <row r="20" spans="1:14" ht="16">
      <c r="A20" s="41">
        <v>19</v>
      </c>
      <c r="B20" s="42" t="s">
        <v>8921</v>
      </c>
      <c r="C20" s="41" t="str">
        <f t="shared" si="0"/>
        <v>E1_1_1_95_mRNA</v>
      </c>
      <c r="D20" s="41" t="str">
        <f t="shared" si="1"/>
        <v>E1_1_1_95</v>
      </c>
      <c r="E20" s="43" t="str">
        <f t="shared" si="2"/>
        <v>E1_1_1_95_kcat : 13.7</v>
      </c>
      <c r="F20" s="44" t="str">
        <f t="shared" si="3"/>
        <v>E1_1_1_95_km : 1</v>
      </c>
      <c r="G20" s="45" t="str">
        <f t="shared" si="4"/>
        <v>E1_1_1_95_mRNA : E1_1_1_95_mRNA</v>
      </c>
      <c r="H20" s="46" t="str">
        <f t="shared" si="5"/>
        <v>E1_1_1_95 : E1_1_1_95</v>
      </c>
      <c r="I20" s="47" t="str">
        <f t="shared" si="6"/>
        <v>E1_1_1_95_mRNA : 0</v>
      </c>
      <c r="J20" s="48" t="str">
        <f t="shared" si="7"/>
        <v>E1_1_1_95 : 0</v>
      </c>
      <c r="K20" s="49" t="str">
        <f t="shared" si="8"/>
        <v>0.00292 - (0.0093 * E1_1_1_95_mRNA)</v>
      </c>
      <c r="L20" s="50" t="str">
        <f t="shared" si="9"/>
        <v>(0.278 * E1_1_1_95_mRNA) - (0.00000278 * E1_1_1_95)</v>
      </c>
      <c r="M20" s="51" t="str">
        <f t="shared" si="10"/>
        <v>mRNA19: -&gt; E1_1_1_95_mRNA | 0.00292 - (0.0093 * E1_1_1_95_mRNA)</v>
      </c>
      <c r="N20" s="52" t="str">
        <f t="shared" si="11"/>
        <v>Peptide19: E1_1_1_95_mRNA -&gt; E1_1_1_95 | (0.278 * E1_1_1_95_mRNA) - (0.000000278 * E1_1_1_95)</v>
      </c>
    </row>
    <row r="21" spans="1:14" ht="16">
      <c r="A21" s="41">
        <v>20</v>
      </c>
      <c r="B21" s="42" t="s">
        <v>8922</v>
      </c>
      <c r="C21" s="41" t="str">
        <f t="shared" si="0"/>
        <v>E1_11_1_15_mRNA</v>
      </c>
      <c r="D21" s="41" t="str">
        <f t="shared" si="1"/>
        <v>E1_11_1_15</v>
      </c>
      <c r="E21" s="43" t="str">
        <f t="shared" si="2"/>
        <v>E1_11_1_15_kcat : 13.7</v>
      </c>
      <c r="F21" s="44" t="str">
        <f t="shared" si="3"/>
        <v>E1_11_1_15_km : 1</v>
      </c>
      <c r="G21" s="45" t="str">
        <f t="shared" si="4"/>
        <v>E1_11_1_15_mRNA : E1_11_1_15_mRNA</v>
      </c>
      <c r="H21" s="46" t="str">
        <f t="shared" si="5"/>
        <v>E1_11_1_15 : E1_11_1_15</v>
      </c>
      <c r="I21" s="47" t="str">
        <f t="shared" si="6"/>
        <v>E1_11_1_15_mRNA : 0</v>
      </c>
      <c r="J21" s="48" t="str">
        <f t="shared" si="7"/>
        <v>E1_11_1_15 : 0</v>
      </c>
      <c r="K21" s="49" t="str">
        <f t="shared" si="8"/>
        <v>0.00292 - (0.0093 * E1_11_1_15_mRNA)</v>
      </c>
      <c r="L21" s="50" t="str">
        <f t="shared" si="9"/>
        <v>(0.278 * E1_11_1_15_mRNA) - (0.00000278 * E1_11_1_15)</v>
      </c>
      <c r="M21" s="51" t="str">
        <f t="shared" si="10"/>
        <v>mRNA20: -&gt; E1_11_1_15_mRNA | 0.00292 - (0.0093 * E1_11_1_15_mRNA)</v>
      </c>
      <c r="N21" s="52" t="str">
        <f t="shared" si="11"/>
        <v>Peptide20: E1_11_1_15_mRNA -&gt; E1_11_1_15 | (0.278 * E1_11_1_15_mRNA) - (0.000000278 * E1_11_1_15)</v>
      </c>
    </row>
    <row r="22" spans="1:14" ht="16">
      <c r="A22" s="41">
        <v>21</v>
      </c>
      <c r="B22" s="42" t="s">
        <v>8923</v>
      </c>
      <c r="C22" s="41" t="str">
        <f t="shared" si="0"/>
        <v>E1_15_1_1_mRNA</v>
      </c>
      <c r="D22" s="41" t="str">
        <f t="shared" si="1"/>
        <v>E1_15_1_1</v>
      </c>
      <c r="E22" s="43" t="str">
        <f t="shared" si="2"/>
        <v>E1_15_1_1_kcat : 13.7</v>
      </c>
      <c r="F22" s="44" t="str">
        <f t="shared" si="3"/>
        <v>E1_15_1_1_km : 1</v>
      </c>
      <c r="G22" s="45" t="str">
        <f t="shared" si="4"/>
        <v>E1_15_1_1_mRNA : E1_15_1_1_mRNA</v>
      </c>
      <c r="H22" s="46" t="str">
        <f t="shared" si="5"/>
        <v>E1_15_1_1 : E1_15_1_1</v>
      </c>
      <c r="I22" s="47" t="str">
        <f t="shared" si="6"/>
        <v>E1_15_1_1_mRNA : 0</v>
      </c>
      <c r="J22" s="48" t="str">
        <f t="shared" si="7"/>
        <v>E1_15_1_1 : 0</v>
      </c>
      <c r="K22" s="49" t="str">
        <f t="shared" si="8"/>
        <v>0.00292 - (0.0093 * E1_15_1_1_mRNA)</v>
      </c>
      <c r="L22" s="50" t="str">
        <f t="shared" si="9"/>
        <v>(0.278 * E1_15_1_1_mRNA) - (0.00000278 * E1_15_1_1)</v>
      </c>
      <c r="M22" s="51" t="str">
        <f t="shared" si="10"/>
        <v>mRNA21: -&gt; E1_15_1_1_mRNA | 0.00292 - (0.0093 * E1_15_1_1_mRNA)</v>
      </c>
      <c r="N22" s="52" t="str">
        <f t="shared" si="11"/>
        <v>Peptide21: E1_15_1_1_mRNA -&gt; E1_15_1_1 | (0.278 * E1_15_1_1_mRNA) - (0.000000278 * E1_15_1_1)</v>
      </c>
    </row>
    <row r="23" spans="1:14" ht="16">
      <c r="A23" s="41">
        <v>22</v>
      </c>
      <c r="B23" s="42" t="s">
        <v>8924</v>
      </c>
      <c r="C23" s="41" t="str">
        <f t="shared" si="0"/>
        <v>E1_17_1_8_mRNA</v>
      </c>
      <c r="D23" s="41" t="str">
        <f t="shared" si="1"/>
        <v>E1_17_1_8</v>
      </c>
      <c r="E23" s="43" t="str">
        <f t="shared" si="2"/>
        <v>E1_17_1_8_kcat : 13.7</v>
      </c>
      <c r="F23" s="44" t="str">
        <f t="shared" si="3"/>
        <v>E1_17_1_8_km : 1</v>
      </c>
      <c r="G23" s="45" t="str">
        <f t="shared" si="4"/>
        <v>E1_17_1_8_mRNA : E1_17_1_8_mRNA</v>
      </c>
      <c r="H23" s="46" t="str">
        <f t="shared" si="5"/>
        <v>E1_17_1_8 : E1_17_1_8</v>
      </c>
      <c r="I23" s="47" t="str">
        <f t="shared" si="6"/>
        <v>E1_17_1_8_mRNA : 0</v>
      </c>
      <c r="J23" s="48" t="str">
        <f t="shared" si="7"/>
        <v>E1_17_1_8 : 0</v>
      </c>
      <c r="K23" s="49" t="str">
        <f t="shared" si="8"/>
        <v>0.00292 - (0.0093 * E1_17_1_8_mRNA)</v>
      </c>
      <c r="L23" s="50" t="str">
        <f t="shared" si="9"/>
        <v>(0.278 * E1_17_1_8_mRNA) - (0.00000278 * E1_17_1_8)</v>
      </c>
      <c r="M23" s="51" t="str">
        <f t="shared" si="10"/>
        <v>mRNA22: -&gt; E1_17_1_8_mRNA | 0.00292 - (0.0093 * E1_17_1_8_mRNA)</v>
      </c>
      <c r="N23" s="52" t="str">
        <f t="shared" si="11"/>
        <v>Peptide22: E1_17_1_8_mRNA -&gt; E1_17_1_8 | (0.278 * E1_17_1_8_mRNA) - (0.000000278 * E1_17_1_8)</v>
      </c>
    </row>
    <row r="24" spans="1:14" ht="16">
      <c r="A24" s="41">
        <v>23</v>
      </c>
      <c r="B24" s="42" t="s">
        <v>8925</v>
      </c>
      <c r="C24" s="41" t="str">
        <f t="shared" si="0"/>
        <v>E1_17_4_1_mRNA</v>
      </c>
      <c r="D24" s="41" t="str">
        <f t="shared" si="1"/>
        <v>E1_17_4_1</v>
      </c>
      <c r="E24" s="43" t="str">
        <f t="shared" si="2"/>
        <v>E1_17_4_1_kcat : 13.7</v>
      </c>
      <c r="F24" s="44" t="str">
        <f t="shared" si="3"/>
        <v>E1_17_4_1_km : 1</v>
      </c>
      <c r="G24" s="45" t="str">
        <f t="shared" si="4"/>
        <v>E1_17_4_1_mRNA : E1_17_4_1_mRNA</v>
      </c>
      <c r="H24" s="46" t="str">
        <f t="shared" si="5"/>
        <v>E1_17_4_1 : E1_17_4_1</v>
      </c>
      <c r="I24" s="47" t="str">
        <f t="shared" si="6"/>
        <v>E1_17_4_1_mRNA : 0</v>
      </c>
      <c r="J24" s="48" t="str">
        <f t="shared" si="7"/>
        <v>E1_17_4_1 : 0</v>
      </c>
      <c r="K24" s="49" t="str">
        <f t="shared" si="8"/>
        <v>0.00292 - (0.0093 * E1_17_4_1_mRNA)</v>
      </c>
      <c r="L24" s="50" t="str">
        <f t="shared" si="9"/>
        <v>(0.278 * E1_17_4_1_mRNA) - (0.00000278 * E1_17_4_1)</v>
      </c>
      <c r="M24" s="51" t="str">
        <f t="shared" si="10"/>
        <v>mRNA23: -&gt; E1_17_4_1_mRNA | 0.00292 - (0.0093 * E1_17_4_1_mRNA)</v>
      </c>
      <c r="N24" s="52" t="str">
        <f t="shared" si="11"/>
        <v>Peptide23: E1_17_4_1_mRNA -&gt; E1_17_4_1 | (0.278 * E1_17_4_1_mRNA) - (0.000000278 * E1_17_4_1)</v>
      </c>
    </row>
    <row r="25" spans="1:14" ht="16">
      <c r="A25" s="41">
        <v>24</v>
      </c>
      <c r="B25" s="42" t="s">
        <v>8926</v>
      </c>
      <c r="C25" s="41" t="str">
        <f t="shared" si="0"/>
        <v>E1_17_4_2_mRNA</v>
      </c>
      <c r="D25" s="41" t="str">
        <f t="shared" si="1"/>
        <v>E1_17_4_2</v>
      </c>
      <c r="E25" s="43" t="str">
        <f t="shared" si="2"/>
        <v>E1_17_4_2_kcat : 13.7</v>
      </c>
      <c r="F25" s="44" t="str">
        <f t="shared" si="3"/>
        <v>E1_17_4_2_km : 1</v>
      </c>
      <c r="G25" s="45" t="str">
        <f t="shared" si="4"/>
        <v>E1_17_4_2_mRNA : E1_17_4_2_mRNA</v>
      </c>
      <c r="H25" s="46" t="str">
        <f t="shared" si="5"/>
        <v>E1_17_4_2 : E1_17_4_2</v>
      </c>
      <c r="I25" s="47" t="str">
        <f t="shared" si="6"/>
        <v>E1_17_4_2_mRNA : 0</v>
      </c>
      <c r="J25" s="48" t="str">
        <f t="shared" si="7"/>
        <v>E1_17_4_2 : 0</v>
      </c>
      <c r="K25" s="49" t="str">
        <f t="shared" si="8"/>
        <v>0.00292 - (0.0093 * E1_17_4_2_mRNA)</v>
      </c>
      <c r="L25" s="50" t="str">
        <f t="shared" si="9"/>
        <v>(0.278 * E1_17_4_2_mRNA) - (0.00000278 * E1_17_4_2)</v>
      </c>
      <c r="M25" s="51" t="str">
        <f t="shared" si="10"/>
        <v>mRNA24: -&gt; E1_17_4_2_mRNA | 0.00292 - (0.0093 * E1_17_4_2_mRNA)</v>
      </c>
      <c r="N25" s="52" t="str">
        <f t="shared" si="11"/>
        <v>Peptide24: E1_17_4_2_mRNA -&gt; E1_17_4_2 | (0.278 * E1_17_4_2_mRNA) - (0.000000278 * E1_17_4_2)</v>
      </c>
    </row>
    <row r="26" spans="1:14" ht="16">
      <c r="A26" s="41">
        <v>25</v>
      </c>
      <c r="B26" s="42" t="s">
        <v>8927</v>
      </c>
      <c r="C26" s="41" t="str">
        <f t="shared" si="0"/>
        <v>E1_17_99_6_mRNA</v>
      </c>
      <c r="D26" s="41" t="str">
        <f t="shared" si="1"/>
        <v>E1_17_99_6</v>
      </c>
      <c r="E26" s="43" t="str">
        <f t="shared" si="2"/>
        <v>E1_17_99_6_kcat : 13.7</v>
      </c>
      <c r="F26" s="44" t="str">
        <f t="shared" si="3"/>
        <v>E1_17_99_6_km : 1</v>
      </c>
      <c r="G26" s="45" t="str">
        <f t="shared" si="4"/>
        <v>E1_17_99_6_mRNA : E1_17_99_6_mRNA</v>
      </c>
      <c r="H26" s="46" t="str">
        <f t="shared" si="5"/>
        <v>E1_17_99_6 : E1_17_99_6</v>
      </c>
      <c r="I26" s="47" t="str">
        <f t="shared" si="6"/>
        <v>E1_17_99_6_mRNA : 0</v>
      </c>
      <c r="J26" s="48" t="str">
        <f t="shared" si="7"/>
        <v>E1_17_99_6 : 0</v>
      </c>
      <c r="K26" s="49" t="str">
        <f t="shared" si="8"/>
        <v>0.00292 - (0.0093 * E1_17_99_6_mRNA)</v>
      </c>
      <c r="L26" s="50" t="str">
        <f t="shared" si="9"/>
        <v>(0.278 * E1_17_99_6_mRNA) - (0.00000278 * E1_17_99_6)</v>
      </c>
      <c r="M26" s="51" t="str">
        <f t="shared" si="10"/>
        <v>mRNA25: -&gt; E1_17_99_6_mRNA | 0.00292 - (0.0093 * E1_17_99_6_mRNA)</v>
      </c>
      <c r="N26" s="52" t="str">
        <f t="shared" si="11"/>
        <v>Peptide25: E1_17_99_6_mRNA -&gt; E1_17_99_6 | (0.278 * E1_17_99_6_mRNA) - (0.000000278 * E1_17_99_6)</v>
      </c>
    </row>
    <row r="27" spans="1:14" ht="16">
      <c r="A27" s="41">
        <v>26</v>
      </c>
      <c r="B27" s="42" t="s">
        <v>8928</v>
      </c>
      <c r="C27" s="41" t="str">
        <f t="shared" si="0"/>
        <v>E1_18_1_2_mRNA</v>
      </c>
      <c r="D27" s="41" t="str">
        <f t="shared" si="1"/>
        <v>E1_18_1_2</v>
      </c>
      <c r="E27" s="43" t="str">
        <f t="shared" si="2"/>
        <v>E1_18_1_2_kcat : 13.7</v>
      </c>
      <c r="F27" s="44" t="str">
        <f t="shared" si="3"/>
        <v>E1_18_1_2_km : 1</v>
      </c>
      <c r="G27" s="45" t="str">
        <f t="shared" si="4"/>
        <v>E1_18_1_2_mRNA : E1_18_1_2_mRNA</v>
      </c>
      <c r="H27" s="46" t="str">
        <f t="shared" si="5"/>
        <v>E1_18_1_2 : E1_18_1_2</v>
      </c>
      <c r="I27" s="47" t="str">
        <f t="shared" si="6"/>
        <v>E1_18_1_2_mRNA : 0</v>
      </c>
      <c r="J27" s="48" t="str">
        <f t="shared" si="7"/>
        <v>E1_18_1_2 : 0</v>
      </c>
      <c r="K27" s="49" t="str">
        <f t="shared" si="8"/>
        <v>0.00292 - (0.0093 * E1_18_1_2_mRNA)</v>
      </c>
      <c r="L27" s="50" t="str">
        <f t="shared" si="9"/>
        <v>(0.278 * E1_18_1_2_mRNA) - (0.00000278 * E1_18_1_2)</v>
      </c>
      <c r="M27" s="51" t="str">
        <f t="shared" si="10"/>
        <v>mRNA26: -&gt; E1_18_1_2_mRNA | 0.00292 - (0.0093 * E1_18_1_2_mRNA)</v>
      </c>
      <c r="N27" s="52" t="str">
        <f t="shared" si="11"/>
        <v>Peptide26: E1_18_1_2_mRNA -&gt; E1_18_1_2 | (0.278 * E1_18_1_2_mRNA) - (0.000000278 * E1_18_1_2)</v>
      </c>
    </row>
    <row r="28" spans="1:14" ht="16">
      <c r="A28" s="41">
        <v>27</v>
      </c>
      <c r="B28" s="42" t="s">
        <v>8929</v>
      </c>
      <c r="C28" s="41" t="str">
        <f t="shared" si="0"/>
        <v>E1_2_1_11_mRNA</v>
      </c>
      <c r="D28" s="41" t="str">
        <f t="shared" si="1"/>
        <v>E1_2_1_11</v>
      </c>
      <c r="E28" s="43" t="str">
        <f t="shared" si="2"/>
        <v>E1_2_1_11_kcat : 13.7</v>
      </c>
      <c r="F28" s="44" t="str">
        <f t="shared" si="3"/>
        <v>E1_2_1_11_km : 1</v>
      </c>
      <c r="G28" s="45" t="str">
        <f t="shared" si="4"/>
        <v>E1_2_1_11_mRNA : E1_2_1_11_mRNA</v>
      </c>
      <c r="H28" s="46" t="str">
        <f t="shared" si="5"/>
        <v>E1_2_1_11 : E1_2_1_11</v>
      </c>
      <c r="I28" s="47" t="str">
        <f t="shared" si="6"/>
        <v>E1_2_1_11_mRNA : 0</v>
      </c>
      <c r="J28" s="48" t="str">
        <f t="shared" si="7"/>
        <v>E1_2_1_11 : 0</v>
      </c>
      <c r="K28" s="49" t="str">
        <f t="shared" si="8"/>
        <v>0.00292 - (0.0093 * E1_2_1_11_mRNA)</v>
      </c>
      <c r="L28" s="50" t="str">
        <f t="shared" si="9"/>
        <v>(0.278 * E1_2_1_11_mRNA) - (0.00000278 * E1_2_1_11)</v>
      </c>
      <c r="M28" s="51" t="str">
        <f t="shared" si="10"/>
        <v>mRNA27: -&gt; E1_2_1_11_mRNA | 0.00292 - (0.0093 * E1_2_1_11_mRNA)</v>
      </c>
      <c r="N28" s="52" t="str">
        <f t="shared" si="11"/>
        <v>Peptide27: E1_2_1_11_mRNA -&gt; E1_2_1_11 | (0.278 * E1_2_1_11_mRNA) - (0.000000278 * E1_2_1_11)</v>
      </c>
    </row>
    <row r="29" spans="1:14" ht="16">
      <c r="A29" s="41">
        <v>28</v>
      </c>
      <c r="B29" s="42" t="s">
        <v>8930</v>
      </c>
      <c r="C29" s="41" t="str">
        <f t="shared" si="0"/>
        <v>E1_2_1_12_mRNA</v>
      </c>
      <c r="D29" s="41" t="str">
        <f t="shared" si="1"/>
        <v>E1_2_1_12</v>
      </c>
      <c r="E29" s="43" t="str">
        <f t="shared" si="2"/>
        <v>E1_2_1_12_kcat : 13.7</v>
      </c>
      <c r="F29" s="44" t="str">
        <f t="shared" si="3"/>
        <v>E1_2_1_12_km : 1</v>
      </c>
      <c r="G29" s="45" t="str">
        <f t="shared" si="4"/>
        <v>E1_2_1_12_mRNA : E1_2_1_12_mRNA</v>
      </c>
      <c r="H29" s="46" t="str">
        <f t="shared" si="5"/>
        <v>E1_2_1_12 : E1_2_1_12</v>
      </c>
      <c r="I29" s="47" t="str">
        <f t="shared" si="6"/>
        <v>E1_2_1_12_mRNA : 0</v>
      </c>
      <c r="J29" s="48" t="str">
        <f t="shared" si="7"/>
        <v>E1_2_1_12 : 0</v>
      </c>
      <c r="K29" s="49" t="str">
        <f t="shared" si="8"/>
        <v>0.00292 - (0.0093 * E1_2_1_12_mRNA)</v>
      </c>
      <c r="L29" s="50" t="str">
        <f t="shared" si="9"/>
        <v>(0.278 * E1_2_1_12_mRNA) - (0.00000278 * E1_2_1_12)</v>
      </c>
      <c r="M29" s="51" t="str">
        <f t="shared" si="10"/>
        <v>mRNA28: -&gt; E1_2_1_12_mRNA | 0.00292 - (0.0093 * E1_2_1_12_mRNA)</v>
      </c>
      <c r="N29" s="52" t="str">
        <f t="shared" si="11"/>
        <v>Peptide28: E1_2_1_12_mRNA -&gt; E1_2_1_12 | (0.278 * E1_2_1_12_mRNA) - (0.000000278 * E1_2_1_12)</v>
      </c>
    </row>
    <row r="30" spans="1:14" ht="16">
      <c r="A30" s="41">
        <v>29</v>
      </c>
      <c r="B30" s="42" t="s">
        <v>8931</v>
      </c>
      <c r="C30" s="41" t="str">
        <f t="shared" si="0"/>
        <v>E1_2_1_38_mRNA</v>
      </c>
      <c r="D30" s="41" t="str">
        <f t="shared" si="1"/>
        <v>E1_2_1_38</v>
      </c>
      <c r="E30" s="43" t="str">
        <f t="shared" si="2"/>
        <v>E1_2_1_38_kcat : 13.7</v>
      </c>
      <c r="F30" s="44" t="str">
        <f t="shared" si="3"/>
        <v>E1_2_1_38_km : 1</v>
      </c>
      <c r="G30" s="45" t="str">
        <f t="shared" si="4"/>
        <v>E1_2_1_38_mRNA : E1_2_1_38_mRNA</v>
      </c>
      <c r="H30" s="46" t="str">
        <f t="shared" si="5"/>
        <v>E1_2_1_38 : E1_2_1_38</v>
      </c>
      <c r="I30" s="47" t="str">
        <f t="shared" si="6"/>
        <v>E1_2_1_38_mRNA : 0</v>
      </c>
      <c r="J30" s="48" t="str">
        <f t="shared" si="7"/>
        <v>E1_2_1_38 : 0</v>
      </c>
      <c r="K30" s="49" t="str">
        <f t="shared" si="8"/>
        <v>0.00292 - (0.0093 * E1_2_1_38_mRNA)</v>
      </c>
      <c r="L30" s="50" t="str">
        <f t="shared" si="9"/>
        <v>(0.278 * E1_2_1_38_mRNA) - (0.00000278 * E1_2_1_38)</v>
      </c>
      <c r="M30" s="51" t="str">
        <f t="shared" si="10"/>
        <v>mRNA29: -&gt; E1_2_1_38_mRNA | 0.00292 - (0.0093 * E1_2_1_38_mRNA)</v>
      </c>
      <c r="N30" s="52" t="str">
        <f t="shared" si="11"/>
        <v>Peptide29: E1_2_1_38_mRNA -&gt; E1_2_1_38 | (0.278 * E1_2_1_38_mRNA) - (0.000000278 * E1_2_1_38)</v>
      </c>
    </row>
    <row r="31" spans="1:14" ht="16">
      <c r="A31" s="41">
        <v>30</v>
      </c>
      <c r="B31" s="42" t="s">
        <v>8932</v>
      </c>
      <c r="C31" s="41" t="str">
        <f t="shared" si="0"/>
        <v>E1_2_1_41_mRNA</v>
      </c>
      <c r="D31" s="41" t="str">
        <f t="shared" si="1"/>
        <v>E1_2_1_41</v>
      </c>
      <c r="E31" s="43" t="str">
        <f t="shared" si="2"/>
        <v>E1_2_1_41_kcat : 13.7</v>
      </c>
      <c r="F31" s="44" t="str">
        <f t="shared" si="3"/>
        <v>E1_2_1_41_km : 1</v>
      </c>
      <c r="G31" s="45" t="str">
        <f t="shared" si="4"/>
        <v>E1_2_1_41_mRNA : E1_2_1_41_mRNA</v>
      </c>
      <c r="H31" s="46" t="str">
        <f t="shared" si="5"/>
        <v>E1_2_1_41 : E1_2_1_41</v>
      </c>
      <c r="I31" s="47" t="str">
        <f t="shared" si="6"/>
        <v>E1_2_1_41_mRNA : 0</v>
      </c>
      <c r="J31" s="48" t="str">
        <f t="shared" si="7"/>
        <v>E1_2_1_41 : 0</v>
      </c>
      <c r="K31" s="49" t="str">
        <f t="shared" si="8"/>
        <v>0.00292 - (0.0093 * E1_2_1_41_mRNA)</v>
      </c>
      <c r="L31" s="50" t="str">
        <f t="shared" si="9"/>
        <v>(0.278 * E1_2_1_41_mRNA) - (0.00000278 * E1_2_1_41)</v>
      </c>
      <c r="M31" s="51" t="str">
        <f t="shared" si="10"/>
        <v>mRNA30: -&gt; E1_2_1_41_mRNA | 0.00292 - (0.0093 * E1_2_1_41_mRNA)</v>
      </c>
      <c r="N31" s="52" t="str">
        <f t="shared" si="11"/>
        <v>Peptide30: E1_2_1_41_mRNA -&gt; E1_2_1_41 | (0.278 * E1_2_1_41_mRNA) - (0.000000278 * E1_2_1_41)</v>
      </c>
    </row>
    <row r="32" spans="1:14" ht="16">
      <c r="A32" s="41">
        <v>31</v>
      </c>
      <c r="B32" s="42" t="s">
        <v>8933</v>
      </c>
      <c r="C32" s="41" t="str">
        <f t="shared" si="0"/>
        <v>E1_2_1_9_mRNA</v>
      </c>
      <c r="D32" s="41" t="str">
        <f t="shared" si="1"/>
        <v>E1_2_1_9</v>
      </c>
      <c r="E32" s="43" t="str">
        <f t="shared" si="2"/>
        <v>E1_2_1_9_kcat : 13.7</v>
      </c>
      <c r="F32" s="44" t="str">
        <f t="shared" si="3"/>
        <v>E1_2_1_9_km : 1</v>
      </c>
      <c r="G32" s="45" t="str">
        <f t="shared" si="4"/>
        <v>E1_2_1_9_mRNA : E1_2_1_9_mRNA</v>
      </c>
      <c r="H32" s="46" t="str">
        <f t="shared" si="5"/>
        <v>E1_2_1_9 : E1_2_1_9</v>
      </c>
      <c r="I32" s="47" t="str">
        <f t="shared" si="6"/>
        <v>E1_2_1_9_mRNA : 0</v>
      </c>
      <c r="J32" s="48" t="str">
        <f t="shared" si="7"/>
        <v>E1_2_1_9 : 0</v>
      </c>
      <c r="K32" s="49" t="str">
        <f t="shared" si="8"/>
        <v>0.00292 - (0.0093 * E1_2_1_9_mRNA)</v>
      </c>
      <c r="L32" s="50" t="str">
        <f t="shared" si="9"/>
        <v>(0.278 * E1_2_1_9_mRNA) - (0.00000278 * E1_2_1_9)</v>
      </c>
      <c r="M32" s="51" t="str">
        <f t="shared" si="10"/>
        <v>mRNA31: -&gt; E1_2_1_9_mRNA | 0.00292 - (0.0093 * E1_2_1_9_mRNA)</v>
      </c>
      <c r="N32" s="52" t="str">
        <f t="shared" si="11"/>
        <v>Peptide31: E1_2_1_9_mRNA -&gt; E1_2_1_9 | (0.278 * E1_2_1_9_mRNA) - (0.000000278 * E1_2_1_9)</v>
      </c>
    </row>
    <row r="33" spans="1:14" ht="16">
      <c r="A33" s="41">
        <v>32</v>
      </c>
      <c r="B33" s="42" t="s">
        <v>8934</v>
      </c>
      <c r="C33" s="41" t="str">
        <f t="shared" si="0"/>
        <v>E1_3_1_12_mRNA</v>
      </c>
      <c r="D33" s="41" t="str">
        <f t="shared" si="1"/>
        <v>E1_3_1_12</v>
      </c>
      <c r="E33" s="43" t="str">
        <f t="shared" si="2"/>
        <v>E1_3_1_12_kcat : 13.7</v>
      </c>
      <c r="F33" s="44" t="str">
        <f t="shared" si="3"/>
        <v>E1_3_1_12_km : 1</v>
      </c>
      <c r="G33" s="45" t="str">
        <f t="shared" si="4"/>
        <v>E1_3_1_12_mRNA : E1_3_1_12_mRNA</v>
      </c>
      <c r="H33" s="46" t="str">
        <f t="shared" si="5"/>
        <v>E1_3_1_12 : E1_3_1_12</v>
      </c>
      <c r="I33" s="47" t="str">
        <f t="shared" si="6"/>
        <v>E1_3_1_12_mRNA : 0</v>
      </c>
      <c r="J33" s="48" t="str">
        <f t="shared" si="7"/>
        <v>E1_3_1_12 : 0</v>
      </c>
      <c r="K33" s="49" t="str">
        <f t="shared" si="8"/>
        <v>0.00292 - (0.0093 * E1_3_1_12_mRNA)</v>
      </c>
      <c r="L33" s="50" t="str">
        <f t="shared" si="9"/>
        <v>(0.278 * E1_3_1_12_mRNA) - (0.00000278 * E1_3_1_12)</v>
      </c>
      <c r="M33" s="51" t="str">
        <f t="shared" si="10"/>
        <v>mRNA32: -&gt; E1_3_1_12_mRNA | 0.00292 - (0.0093 * E1_3_1_12_mRNA)</v>
      </c>
      <c r="N33" s="52" t="str">
        <f t="shared" si="11"/>
        <v>Peptide32: E1_3_1_12_mRNA -&gt; E1_3_1_12 | (0.278 * E1_3_1_12_mRNA) - (0.000000278 * E1_3_1_12)</v>
      </c>
    </row>
    <row r="34" spans="1:14" ht="16">
      <c r="A34" s="41">
        <v>33</v>
      </c>
      <c r="B34" s="42" t="s">
        <v>8935</v>
      </c>
      <c r="C34" s="41" t="str">
        <f t="shared" si="0"/>
        <v>E1_3_1_15_mRNA</v>
      </c>
      <c r="D34" s="41" t="str">
        <f t="shared" si="1"/>
        <v>E1_3_1_15</v>
      </c>
      <c r="E34" s="43" t="str">
        <f t="shared" si="2"/>
        <v>E1_3_1_15_kcat : 13.7</v>
      </c>
      <c r="F34" s="44" t="str">
        <f t="shared" si="3"/>
        <v>E1_3_1_15_km : 1</v>
      </c>
      <c r="G34" s="45" t="str">
        <f t="shared" si="4"/>
        <v>E1_3_1_15_mRNA : E1_3_1_15_mRNA</v>
      </c>
      <c r="H34" s="46" t="str">
        <f t="shared" si="5"/>
        <v>E1_3_1_15 : E1_3_1_15</v>
      </c>
      <c r="I34" s="47" t="str">
        <f t="shared" si="6"/>
        <v>E1_3_1_15_mRNA : 0</v>
      </c>
      <c r="J34" s="48" t="str">
        <f t="shared" si="7"/>
        <v>E1_3_1_15 : 0</v>
      </c>
      <c r="K34" s="49" t="str">
        <f t="shared" si="8"/>
        <v>0.00292 - (0.0093 * E1_3_1_15_mRNA)</v>
      </c>
      <c r="L34" s="50" t="str">
        <f t="shared" si="9"/>
        <v>(0.278 * E1_3_1_15_mRNA) - (0.00000278 * E1_3_1_15)</v>
      </c>
      <c r="M34" s="51" t="str">
        <f t="shared" si="10"/>
        <v>mRNA33: -&gt; E1_3_1_15_mRNA | 0.00292 - (0.0093 * E1_3_1_15_mRNA)</v>
      </c>
      <c r="N34" s="52" t="str">
        <f t="shared" si="11"/>
        <v>Peptide33: E1_3_1_15_mRNA -&gt; E1_3_1_15 | (0.278 * E1_3_1_15_mRNA) - (0.000000278 * E1_3_1_15)</v>
      </c>
    </row>
    <row r="35" spans="1:14" ht="16">
      <c r="A35" s="41">
        <v>34</v>
      </c>
      <c r="B35" s="42" t="s">
        <v>8936</v>
      </c>
      <c r="C35" s="41" t="str">
        <f t="shared" si="0"/>
        <v>E1_3_1_9_mRNA</v>
      </c>
      <c r="D35" s="41" t="str">
        <f t="shared" si="1"/>
        <v>E1_3_1_9</v>
      </c>
      <c r="E35" s="43" t="str">
        <f t="shared" si="2"/>
        <v>E1_3_1_9_kcat : 13.7</v>
      </c>
      <c r="F35" s="44" t="str">
        <f t="shared" si="3"/>
        <v>E1_3_1_9_km : 1</v>
      </c>
      <c r="G35" s="45" t="str">
        <f t="shared" si="4"/>
        <v>E1_3_1_9_mRNA : E1_3_1_9_mRNA</v>
      </c>
      <c r="H35" s="46" t="str">
        <f t="shared" si="5"/>
        <v>E1_3_1_9 : E1_3_1_9</v>
      </c>
      <c r="I35" s="47" t="str">
        <f t="shared" si="6"/>
        <v>E1_3_1_9_mRNA : 0</v>
      </c>
      <c r="J35" s="48" t="str">
        <f t="shared" si="7"/>
        <v>E1_3_1_9 : 0</v>
      </c>
      <c r="K35" s="49" t="str">
        <f t="shared" si="8"/>
        <v>0.00292 - (0.0093 * E1_3_1_9_mRNA)</v>
      </c>
      <c r="L35" s="50" t="str">
        <f t="shared" si="9"/>
        <v>(0.278 * E1_3_1_9_mRNA) - (0.00000278 * E1_3_1_9)</v>
      </c>
      <c r="M35" s="51" t="str">
        <f t="shared" si="10"/>
        <v>mRNA34: -&gt; E1_3_1_9_mRNA | 0.00292 - (0.0093 * E1_3_1_9_mRNA)</v>
      </c>
      <c r="N35" s="52" t="str">
        <f t="shared" si="11"/>
        <v>Peptide34: E1_3_1_9_mRNA -&gt; E1_3_1_9 | (0.278 * E1_3_1_9_mRNA) - (0.000000278 * E1_3_1_9)</v>
      </c>
    </row>
    <row r="36" spans="1:14" ht="16">
      <c r="A36" s="41">
        <v>35</v>
      </c>
      <c r="B36" s="42" t="s">
        <v>8937</v>
      </c>
      <c r="C36" s="41" t="str">
        <f t="shared" si="0"/>
        <v>E1_3_1_98_mRNA</v>
      </c>
      <c r="D36" s="41" t="str">
        <f t="shared" si="1"/>
        <v>E1_3_1_98</v>
      </c>
      <c r="E36" s="43" t="str">
        <f t="shared" si="2"/>
        <v>E1_3_1_98_kcat : 13.7</v>
      </c>
      <c r="F36" s="44" t="str">
        <f t="shared" si="3"/>
        <v>E1_3_1_98_km : 1</v>
      </c>
      <c r="G36" s="45" t="str">
        <f t="shared" si="4"/>
        <v>E1_3_1_98_mRNA : E1_3_1_98_mRNA</v>
      </c>
      <c r="H36" s="46" t="str">
        <f t="shared" si="5"/>
        <v>E1_3_1_98 : E1_3_1_98</v>
      </c>
      <c r="I36" s="47" t="str">
        <f t="shared" si="6"/>
        <v>E1_3_1_98_mRNA : 0</v>
      </c>
      <c r="J36" s="48" t="str">
        <f t="shared" si="7"/>
        <v>E1_3_1_98 : 0</v>
      </c>
      <c r="K36" s="49" t="str">
        <f t="shared" si="8"/>
        <v>0.00292 - (0.0093 * E1_3_1_98_mRNA)</v>
      </c>
      <c r="L36" s="50" t="str">
        <f t="shared" si="9"/>
        <v>(0.278 * E1_3_1_98_mRNA) - (0.00000278 * E1_3_1_98)</v>
      </c>
      <c r="M36" s="51" t="str">
        <f t="shared" si="10"/>
        <v>mRNA35: -&gt; E1_3_1_98_mRNA | 0.00292 - (0.0093 * E1_3_1_98_mRNA)</v>
      </c>
      <c r="N36" s="52" t="str">
        <f t="shared" si="11"/>
        <v>Peptide35: E1_3_1_98_mRNA -&gt; E1_3_1_98 | (0.278 * E1_3_1_98_mRNA) - (0.000000278 * E1_3_1_98)</v>
      </c>
    </row>
    <row r="37" spans="1:14" ht="16">
      <c r="A37" s="41">
        <v>36</v>
      </c>
      <c r="B37" s="42" t="s">
        <v>8938</v>
      </c>
      <c r="C37" s="41" t="str">
        <f t="shared" si="0"/>
        <v>E1_3_8_1_mRNA</v>
      </c>
      <c r="D37" s="41" t="str">
        <f t="shared" si="1"/>
        <v>E1_3_8_1</v>
      </c>
      <c r="E37" s="43" t="str">
        <f t="shared" si="2"/>
        <v>E1_3_8_1_kcat : 13.7</v>
      </c>
      <c r="F37" s="44" t="str">
        <f t="shared" si="3"/>
        <v>E1_3_8_1_km : 1</v>
      </c>
      <c r="G37" s="45" t="str">
        <f t="shared" si="4"/>
        <v>E1_3_8_1_mRNA : E1_3_8_1_mRNA</v>
      </c>
      <c r="H37" s="46" t="str">
        <f t="shared" si="5"/>
        <v>E1_3_8_1 : E1_3_8_1</v>
      </c>
      <c r="I37" s="47" t="str">
        <f t="shared" si="6"/>
        <v>E1_3_8_1_mRNA : 0</v>
      </c>
      <c r="J37" s="48" t="str">
        <f t="shared" si="7"/>
        <v>E1_3_8_1 : 0</v>
      </c>
      <c r="K37" s="49" t="str">
        <f t="shared" si="8"/>
        <v>0.00292 - (0.0093 * E1_3_8_1_mRNA)</v>
      </c>
      <c r="L37" s="50" t="str">
        <f t="shared" si="9"/>
        <v>(0.278 * E1_3_8_1_mRNA) - (0.00000278 * E1_3_8_1)</v>
      </c>
      <c r="M37" s="51" t="str">
        <f t="shared" si="10"/>
        <v>mRNA36: -&gt; E1_3_8_1_mRNA | 0.00292 - (0.0093 * E1_3_8_1_mRNA)</v>
      </c>
      <c r="N37" s="52" t="str">
        <f t="shared" si="11"/>
        <v>Peptide36: E1_3_8_1_mRNA -&gt; E1_3_8_1 | (0.278 * E1_3_8_1_mRNA) - (0.000000278 * E1_3_8_1)</v>
      </c>
    </row>
    <row r="38" spans="1:14" ht="16">
      <c r="A38" s="41">
        <v>37</v>
      </c>
      <c r="B38" s="42" t="s">
        <v>8939</v>
      </c>
      <c r="C38" s="41" t="str">
        <f t="shared" si="0"/>
        <v>E1_3_98_1_mRNA</v>
      </c>
      <c r="D38" s="41" t="str">
        <f t="shared" si="1"/>
        <v>E1_3_98_1</v>
      </c>
      <c r="E38" s="43" t="str">
        <f t="shared" si="2"/>
        <v>E1_3_98_1_kcat : 13.7</v>
      </c>
      <c r="F38" s="44" t="str">
        <f t="shared" si="3"/>
        <v>E1_3_98_1_km : 1</v>
      </c>
      <c r="G38" s="45" t="str">
        <f t="shared" si="4"/>
        <v>E1_3_98_1_mRNA : E1_3_98_1_mRNA</v>
      </c>
      <c r="H38" s="46" t="str">
        <f t="shared" si="5"/>
        <v>E1_3_98_1 : E1_3_98_1</v>
      </c>
      <c r="I38" s="47" t="str">
        <f t="shared" si="6"/>
        <v>E1_3_98_1_mRNA : 0</v>
      </c>
      <c r="J38" s="48" t="str">
        <f t="shared" si="7"/>
        <v>E1_3_98_1 : 0</v>
      </c>
      <c r="K38" s="49" t="str">
        <f t="shared" si="8"/>
        <v>0.00292 - (0.0093 * E1_3_98_1_mRNA)</v>
      </c>
      <c r="L38" s="50" t="str">
        <f t="shared" si="9"/>
        <v>(0.278 * E1_3_98_1_mRNA) - (0.00000278 * E1_3_98_1)</v>
      </c>
      <c r="M38" s="51" t="str">
        <f t="shared" si="10"/>
        <v>mRNA37: -&gt; E1_3_98_1_mRNA | 0.00292 - (0.0093 * E1_3_98_1_mRNA)</v>
      </c>
      <c r="N38" s="52" t="str">
        <f t="shared" si="11"/>
        <v>Peptide37: E1_3_98_1_mRNA -&gt; E1_3_98_1 | (0.278 * E1_3_98_1_mRNA) - (0.000000278 * E1_3_98_1)</v>
      </c>
    </row>
    <row r="39" spans="1:14" ht="16">
      <c r="A39" s="41">
        <v>38</v>
      </c>
      <c r="B39" s="42" t="s">
        <v>8940</v>
      </c>
      <c r="C39" s="41" t="str">
        <f t="shared" si="0"/>
        <v>E1_4_1_4_mRNA</v>
      </c>
      <c r="D39" s="41" t="str">
        <f t="shared" si="1"/>
        <v>E1_4_1_4</v>
      </c>
      <c r="E39" s="43" t="str">
        <f t="shared" si="2"/>
        <v>E1_4_1_4_kcat : 13.7</v>
      </c>
      <c r="F39" s="44" t="str">
        <f t="shared" si="3"/>
        <v>E1_4_1_4_km : 1</v>
      </c>
      <c r="G39" s="45" t="str">
        <f t="shared" si="4"/>
        <v>E1_4_1_4_mRNA : E1_4_1_4_mRNA</v>
      </c>
      <c r="H39" s="46" t="str">
        <f t="shared" si="5"/>
        <v>E1_4_1_4 : E1_4_1_4</v>
      </c>
      <c r="I39" s="47" t="str">
        <f t="shared" si="6"/>
        <v>E1_4_1_4_mRNA : 0</v>
      </c>
      <c r="J39" s="48" t="str">
        <f t="shared" si="7"/>
        <v>E1_4_1_4 : 0</v>
      </c>
      <c r="K39" s="49" t="str">
        <f t="shared" si="8"/>
        <v>0.00292 - (0.0093 * E1_4_1_4_mRNA)</v>
      </c>
      <c r="L39" s="50" t="str">
        <f t="shared" si="9"/>
        <v>(0.278 * E1_4_1_4_mRNA) - (0.00000278 * E1_4_1_4)</v>
      </c>
      <c r="M39" s="51" t="str">
        <f t="shared" si="10"/>
        <v>mRNA38: -&gt; E1_4_1_4_mRNA | 0.00292 - (0.0093 * E1_4_1_4_mRNA)</v>
      </c>
      <c r="N39" s="52" t="str">
        <f t="shared" si="11"/>
        <v>Peptide38: E1_4_1_4_mRNA -&gt; E1_4_1_4 | (0.278 * E1_4_1_4_mRNA) - (0.000000278 * E1_4_1_4)</v>
      </c>
    </row>
    <row r="40" spans="1:14" ht="16">
      <c r="A40" s="41">
        <v>39</v>
      </c>
      <c r="B40" s="42" t="s">
        <v>8941</v>
      </c>
      <c r="C40" s="41" t="str">
        <f t="shared" si="0"/>
        <v>E1_5_1_2_mRNA</v>
      </c>
      <c r="D40" s="41" t="str">
        <f t="shared" si="1"/>
        <v>E1_5_1_2</v>
      </c>
      <c r="E40" s="43" t="str">
        <f t="shared" si="2"/>
        <v>E1_5_1_2_kcat : 13.7</v>
      </c>
      <c r="F40" s="44" t="str">
        <f t="shared" si="3"/>
        <v>E1_5_1_2_km : 1</v>
      </c>
      <c r="G40" s="45" t="str">
        <f t="shared" si="4"/>
        <v>E1_5_1_2_mRNA : E1_5_1_2_mRNA</v>
      </c>
      <c r="H40" s="46" t="str">
        <f t="shared" si="5"/>
        <v>E1_5_1_2 : E1_5_1_2</v>
      </c>
      <c r="I40" s="47" t="str">
        <f t="shared" si="6"/>
        <v>E1_5_1_2_mRNA : 0</v>
      </c>
      <c r="J40" s="48" t="str">
        <f t="shared" si="7"/>
        <v>E1_5_1_2 : 0</v>
      </c>
      <c r="K40" s="49" t="str">
        <f t="shared" si="8"/>
        <v>0.00292 - (0.0093 * E1_5_1_2_mRNA)</v>
      </c>
      <c r="L40" s="50" t="str">
        <f t="shared" si="9"/>
        <v>(0.278 * E1_5_1_2_mRNA) - (0.00000278 * E1_5_1_2)</v>
      </c>
      <c r="M40" s="51" t="str">
        <f t="shared" si="10"/>
        <v>mRNA39: -&gt; E1_5_1_2_mRNA | 0.00292 - (0.0093 * E1_5_1_2_mRNA)</v>
      </c>
      <c r="N40" s="52" t="str">
        <f t="shared" si="11"/>
        <v>Peptide39: E1_5_1_2_mRNA -&gt; E1_5_1_2 | (0.278 * E1_5_1_2_mRNA) - (0.000000278 * E1_5_1_2)</v>
      </c>
    </row>
    <row r="41" spans="1:14" ht="16">
      <c r="A41" s="41">
        <v>40</v>
      </c>
      <c r="B41" s="42" t="s">
        <v>8942</v>
      </c>
      <c r="C41" s="41" t="str">
        <f t="shared" si="0"/>
        <v>E1_5_1_20_mRNA</v>
      </c>
      <c r="D41" s="41" t="str">
        <f t="shared" si="1"/>
        <v>E1_5_1_20</v>
      </c>
      <c r="E41" s="43" t="str">
        <f t="shared" si="2"/>
        <v>E1_5_1_20_kcat : 13.7</v>
      </c>
      <c r="F41" s="44" t="str">
        <f t="shared" si="3"/>
        <v>E1_5_1_20_km : 1</v>
      </c>
      <c r="G41" s="45" t="str">
        <f t="shared" si="4"/>
        <v>E1_5_1_20_mRNA : E1_5_1_20_mRNA</v>
      </c>
      <c r="H41" s="46" t="str">
        <f t="shared" si="5"/>
        <v>E1_5_1_20 : E1_5_1_20</v>
      </c>
      <c r="I41" s="47" t="str">
        <f t="shared" si="6"/>
        <v>E1_5_1_20_mRNA : 0</v>
      </c>
      <c r="J41" s="48" t="str">
        <f t="shared" si="7"/>
        <v>E1_5_1_20 : 0</v>
      </c>
      <c r="K41" s="49" t="str">
        <f t="shared" si="8"/>
        <v>0.00292 - (0.0093 * E1_5_1_20_mRNA)</v>
      </c>
      <c r="L41" s="50" t="str">
        <f t="shared" si="9"/>
        <v>(0.278 * E1_5_1_20_mRNA) - (0.00000278 * E1_5_1_20)</v>
      </c>
      <c r="M41" s="51" t="str">
        <f t="shared" si="10"/>
        <v>mRNA40: -&gt; E1_5_1_20_mRNA | 0.00292 - (0.0093 * E1_5_1_20_mRNA)</v>
      </c>
      <c r="N41" s="52" t="str">
        <f t="shared" si="11"/>
        <v>Peptide40: E1_5_1_20_mRNA -&gt; E1_5_1_20 | (0.278 * E1_5_1_20_mRNA) - (0.000000278 * E1_5_1_20)</v>
      </c>
    </row>
    <row r="42" spans="1:14" ht="16">
      <c r="A42" s="41">
        <v>41</v>
      </c>
      <c r="B42" s="42" t="s">
        <v>8943</v>
      </c>
      <c r="C42" s="41" t="str">
        <f t="shared" si="0"/>
        <v>E1_5_1_3_mRNA</v>
      </c>
      <c r="D42" s="41" t="str">
        <f t="shared" si="1"/>
        <v>E1_5_1_3</v>
      </c>
      <c r="E42" s="43" t="str">
        <f t="shared" si="2"/>
        <v>E1_5_1_3_kcat : 13.7</v>
      </c>
      <c r="F42" s="44" t="str">
        <f t="shared" si="3"/>
        <v>E1_5_1_3_km : 1</v>
      </c>
      <c r="G42" s="45" t="str">
        <f t="shared" si="4"/>
        <v>E1_5_1_3_mRNA : E1_5_1_3_mRNA</v>
      </c>
      <c r="H42" s="46" t="str">
        <f t="shared" si="5"/>
        <v>E1_5_1_3 : E1_5_1_3</v>
      </c>
      <c r="I42" s="47" t="str">
        <f t="shared" si="6"/>
        <v>E1_5_1_3_mRNA : 0</v>
      </c>
      <c r="J42" s="48" t="str">
        <f t="shared" si="7"/>
        <v>E1_5_1_3 : 0</v>
      </c>
      <c r="K42" s="49" t="str">
        <f t="shared" si="8"/>
        <v>0.00292 - (0.0093 * E1_5_1_3_mRNA)</v>
      </c>
      <c r="L42" s="50" t="str">
        <f t="shared" si="9"/>
        <v>(0.278 * E1_5_1_3_mRNA) - (0.00000278 * E1_5_1_3)</v>
      </c>
      <c r="M42" s="51" t="str">
        <f t="shared" si="10"/>
        <v>mRNA41: -&gt; E1_5_1_3_mRNA | 0.00292 - (0.0093 * E1_5_1_3_mRNA)</v>
      </c>
      <c r="N42" s="52" t="str">
        <f t="shared" si="11"/>
        <v>Peptide41: E1_5_1_3_mRNA -&gt; E1_5_1_3 | (0.278 * E1_5_1_3_mRNA) - (0.000000278 * E1_5_1_3)</v>
      </c>
    </row>
    <row r="43" spans="1:14" ht="16">
      <c r="A43" s="41">
        <v>42</v>
      </c>
      <c r="B43" s="42" t="s">
        <v>8944</v>
      </c>
      <c r="C43" s="41" t="str">
        <f t="shared" si="0"/>
        <v>E1_5_1_5_mRNA</v>
      </c>
      <c r="D43" s="41" t="str">
        <f t="shared" si="1"/>
        <v>E1_5_1_5</v>
      </c>
      <c r="E43" s="43" t="str">
        <f t="shared" si="2"/>
        <v>E1_5_1_5_kcat : 13.7</v>
      </c>
      <c r="F43" s="44" t="str">
        <f t="shared" si="3"/>
        <v>E1_5_1_5_km : 1</v>
      </c>
      <c r="G43" s="45" t="str">
        <f t="shared" si="4"/>
        <v>E1_5_1_5_mRNA : E1_5_1_5_mRNA</v>
      </c>
      <c r="H43" s="46" t="str">
        <f t="shared" si="5"/>
        <v>E1_5_1_5 : E1_5_1_5</v>
      </c>
      <c r="I43" s="47" t="str">
        <f t="shared" si="6"/>
        <v>E1_5_1_5_mRNA : 0</v>
      </c>
      <c r="J43" s="48" t="str">
        <f t="shared" si="7"/>
        <v>E1_5_1_5 : 0</v>
      </c>
      <c r="K43" s="49" t="str">
        <f t="shared" si="8"/>
        <v>0.00292 - (0.0093 * E1_5_1_5_mRNA)</v>
      </c>
      <c r="L43" s="50" t="str">
        <f t="shared" si="9"/>
        <v>(0.278 * E1_5_1_5_mRNA) - (0.00000278 * E1_5_1_5)</v>
      </c>
      <c r="M43" s="51" t="str">
        <f t="shared" si="10"/>
        <v>mRNA42: -&gt; E1_5_1_5_mRNA | 0.00292 - (0.0093 * E1_5_1_5_mRNA)</v>
      </c>
      <c r="N43" s="52" t="str">
        <f t="shared" si="11"/>
        <v>Peptide42: E1_5_1_5_mRNA -&gt; E1_5_1_5 | (0.278 * E1_5_1_5_mRNA) - (0.000000278 * E1_5_1_5)</v>
      </c>
    </row>
    <row r="44" spans="1:14" ht="16">
      <c r="A44" s="41">
        <v>43</v>
      </c>
      <c r="B44" s="42" t="s">
        <v>8945</v>
      </c>
      <c r="C44" s="41" t="str">
        <f t="shared" si="0"/>
        <v>E3_5_4_9_mRNA</v>
      </c>
      <c r="D44" s="41" t="str">
        <f t="shared" si="1"/>
        <v>E3_5_4_9</v>
      </c>
      <c r="E44" s="43" t="str">
        <f t="shared" si="2"/>
        <v>E3_5_4_9_kcat : 13.7</v>
      </c>
      <c r="F44" s="44" t="str">
        <f t="shared" si="3"/>
        <v>E3_5_4_9_km : 1</v>
      </c>
      <c r="G44" s="45" t="str">
        <f t="shared" si="4"/>
        <v>E3_5_4_9_mRNA : E3_5_4_9_mRNA</v>
      </c>
      <c r="H44" s="46" t="str">
        <f t="shared" si="5"/>
        <v>E3_5_4_9 : E3_5_4_9</v>
      </c>
      <c r="I44" s="47" t="str">
        <f t="shared" si="6"/>
        <v>E3_5_4_9_mRNA : 0</v>
      </c>
      <c r="J44" s="48" t="str">
        <f t="shared" si="7"/>
        <v>E3_5_4_9 : 0</v>
      </c>
      <c r="K44" s="49" t="str">
        <f t="shared" si="8"/>
        <v>0.00292 - (0.0093 * E3_5_4_9_mRNA)</v>
      </c>
      <c r="L44" s="50" t="str">
        <f t="shared" si="9"/>
        <v>(0.278 * E3_5_4_9_mRNA) - (0.00000278 * E3_5_4_9)</v>
      </c>
      <c r="M44" s="51" t="str">
        <f t="shared" si="10"/>
        <v>mRNA43: -&gt; E3_5_4_9_mRNA | 0.00292 - (0.0093 * E3_5_4_9_mRNA)</v>
      </c>
      <c r="N44" s="52" t="str">
        <f t="shared" si="11"/>
        <v>Peptide43: E3_5_4_9_mRNA -&gt; E3_5_4_9 | (0.278 * E3_5_4_9_mRNA) - (0.000000278 * E3_5_4_9)</v>
      </c>
    </row>
    <row r="45" spans="1:14" ht="16">
      <c r="A45" s="41">
        <v>44</v>
      </c>
      <c r="B45" s="42" t="s">
        <v>8946</v>
      </c>
      <c r="C45" s="41" t="str">
        <f t="shared" si="0"/>
        <v>E1_6_99_3_mRNA</v>
      </c>
      <c r="D45" s="41" t="str">
        <f t="shared" si="1"/>
        <v>E1_6_99_3</v>
      </c>
      <c r="E45" s="43" t="str">
        <f t="shared" si="2"/>
        <v>E1_6_99_3_kcat : 13.7</v>
      </c>
      <c r="F45" s="44" t="str">
        <f t="shared" si="3"/>
        <v>E1_6_99_3_km : 1</v>
      </c>
      <c r="G45" s="45" t="str">
        <f t="shared" si="4"/>
        <v>E1_6_99_3_mRNA : E1_6_99_3_mRNA</v>
      </c>
      <c r="H45" s="46" t="str">
        <f t="shared" si="5"/>
        <v>E1_6_99_3 : E1_6_99_3</v>
      </c>
      <c r="I45" s="47" t="str">
        <f t="shared" si="6"/>
        <v>E1_6_99_3_mRNA : 0</v>
      </c>
      <c r="J45" s="48" t="str">
        <f t="shared" si="7"/>
        <v>E1_6_99_3 : 0</v>
      </c>
      <c r="K45" s="49" t="str">
        <f t="shared" si="8"/>
        <v>0.00292 - (0.0093 * E1_6_99_3_mRNA)</v>
      </c>
      <c r="L45" s="50" t="str">
        <f t="shared" si="9"/>
        <v>(0.278 * E1_6_99_3_mRNA) - (0.00000278 * E1_6_99_3)</v>
      </c>
      <c r="M45" s="51" t="str">
        <f t="shared" si="10"/>
        <v>mRNA44: -&gt; E1_6_99_3_mRNA | 0.00292 - (0.0093 * E1_6_99_3_mRNA)</v>
      </c>
      <c r="N45" s="52" t="str">
        <f t="shared" si="11"/>
        <v>Peptide44: E1_6_99_3_mRNA -&gt; E1_6_99_3 | (0.278 * E1_6_99_3_mRNA) - (0.000000278 * E1_6_99_3)</v>
      </c>
    </row>
    <row r="46" spans="1:14" ht="16">
      <c r="A46" s="41">
        <v>45</v>
      </c>
      <c r="B46" s="42" t="s">
        <v>8947</v>
      </c>
      <c r="C46" s="41" t="str">
        <f t="shared" si="0"/>
        <v>E1_7_1_13_mRNA</v>
      </c>
      <c r="D46" s="41" t="str">
        <f t="shared" si="1"/>
        <v>E1_7_1_13</v>
      </c>
      <c r="E46" s="43" t="str">
        <f t="shared" si="2"/>
        <v>E1_7_1_13_kcat : 13.7</v>
      </c>
      <c r="F46" s="44" t="str">
        <f t="shared" si="3"/>
        <v>E1_7_1_13_km : 1</v>
      </c>
      <c r="G46" s="45" t="str">
        <f t="shared" si="4"/>
        <v>E1_7_1_13_mRNA : E1_7_1_13_mRNA</v>
      </c>
      <c r="H46" s="46" t="str">
        <f t="shared" si="5"/>
        <v>E1_7_1_13 : E1_7_1_13</v>
      </c>
      <c r="I46" s="47" t="str">
        <f t="shared" si="6"/>
        <v>E1_7_1_13_mRNA : 0</v>
      </c>
      <c r="J46" s="48" t="str">
        <f t="shared" si="7"/>
        <v>E1_7_1_13 : 0</v>
      </c>
      <c r="K46" s="49" t="str">
        <f t="shared" si="8"/>
        <v>0.00292 - (0.0093 * E1_7_1_13_mRNA)</v>
      </c>
      <c r="L46" s="50" t="str">
        <f t="shared" si="9"/>
        <v>(0.278 * E1_7_1_13_mRNA) - (0.00000278 * E1_7_1_13)</v>
      </c>
      <c r="M46" s="51" t="str">
        <f t="shared" si="10"/>
        <v>mRNA45: -&gt; E1_7_1_13_mRNA | 0.00292 - (0.0093 * E1_7_1_13_mRNA)</v>
      </c>
      <c r="N46" s="52" t="str">
        <f t="shared" si="11"/>
        <v>Peptide45: E1_7_1_13_mRNA -&gt; E1_7_1_13 | (0.278 * E1_7_1_13_mRNA) - (0.000000278 * E1_7_1_13)</v>
      </c>
    </row>
    <row r="47" spans="1:14" ht="16">
      <c r="A47" s="41">
        <v>46</v>
      </c>
      <c r="B47" s="42" t="s">
        <v>8948</v>
      </c>
      <c r="C47" s="41" t="str">
        <f t="shared" si="0"/>
        <v>E1_8_1_4_mRNA</v>
      </c>
      <c r="D47" s="41" t="str">
        <f t="shared" si="1"/>
        <v>E1_8_1_4</v>
      </c>
      <c r="E47" s="43" t="str">
        <f t="shared" si="2"/>
        <v>E1_8_1_4_kcat : 13.7</v>
      </c>
      <c r="F47" s="44" t="str">
        <f t="shared" si="3"/>
        <v>E1_8_1_4_km : 1</v>
      </c>
      <c r="G47" s="45" t="str">
        <f t="shared" si="4"/>
        <v>E1_8_1_4_mRNA : E1_8_1_4_mRNA</v>
      </c>
      <c r="H47" s="46" t="str">
        <f t="shared" si="5"/>
        <v>E1_8_1_4 : E1_8_1_4</v>
      </c>
      <c r="I47" s="47" t="str">
        <f t="shared" si="6"/>
        <v>E1_8_1_4_mRNA : 0</v>
      </c>
      <c r="J47" s="48" t="str">
        <f t="shared" si="7"/>
        <v>E1_8_1_4 : 0</v>
      </c>
      <c r="K47" s="49" t="str">
        <f t="shared" si="8"/>
        <v>0.00292 - (0.0093 * E1_8_1_4_mRNA)</v>
      </c>
      <c r="L47" s="50" t="str">
        <f t="shared" si="9"/>
        <v>(0.278 * E1_8_1_4_mRNA) - (0.00000278 * E1_8_1_4)</v>
      </c>
      <c r="M47" s="51" t="str">
        <f t="shared" si="10"/>
        <v>mRNA46: -&gt; E1_8_1_4_mRNA | 0.00292 - (0.0093 * E1_8_1_4_mRNA)</v>
      </c>
      <c r="N47" s="52" t="str">
        <f t="shared" si="11"/>
        <v>Peptide46: E1_8_1_4_mRNA -&gt; E1_8_1_4 | (0.278 * E1_8_1_4_mRNA) - (0.000000278 * E1_8_1_4)</v>
      </c>
    </row>
    <row r="48" spans="1:14" ht="16">
      <c r="A48" s="41">
        <v>47</v>
      </c>
      <c r="B48" s="42" t="s">
        <v>8949</v>
      </c>
      <c r="C48" s="41" t="str">
        <f t="shared" si="0"/>
        <v>E1_8_1_7_mRNA</v>
      </c>
      <c r="D48" s="41" t="str">
        <f t="shared" si="1"/>
        <v>E1_8_1_7</v>
      </c>
      <c r="E48" s="43" t="str">
        <f t="shared" si="2"/>
        <v>E1_8_1_7_kcat : 13.7</v>
      </c>
      <c r="F48" s="44" t="str">
        <f t="shared" si="3"/>
        <v>E1_8_1_7_km : 1</v>
      </c>
      <c r="G48" s="45" t="str">
        <f t="shared" si="4"/>
        <v>E1_8_1_7_mRNA : E1_8_1_7_mRNA</v>
      </c>
      <c r="H48" s="46" t="str">
        <f t="shared" si="5"/>
        <v>E1_8_1_7 : E1_8_1_7</v>
      </c>
      <c r="I48" s="47" t="str">
        <f t="shared" si="6"/>
        <v>E1_8_1_7_mRNA : 0</v>
      </c>
      <c r="J48" s="48" t="str">
        <f t="shared" si="7"/>
        <v>E1_8_1_7 : 0</v>
      </c>
      <c r="K48" s="49" t="str">
        <f t="shared" si="8"/>
        <v>0.00292 - (0.0093 * E1_8_1_7_mRNA)</v>
      </c>
      <c r="L48" s="50" t="str">
        <f t="shared" si="9"/>
        <v>(0.278 * E1_8_1_7_mRNA) - (0.00000278 * E1_8_1_7)</v>
      </c>
      <c r="M48" s="51" t="str">
        <f t="shared" si="10"/>
        <v>mRNA47: -&gt; E1_8_1_7_mRNA | 0.00292 - (0.0093 * E1_8_1_7_mRNA)</v>
      </c>
      <c r="N48" s="52" t="str">
        <f t="shared" si="11"/>
        <v>Peptide47: E1_8_1_7_mRNA -&gt; E1_8_1_7 | (0.278 * E1_8_1_7_mRNA) - (0.000000278 * E1_8_1_7)</v>
      </c>
    </row>
    <row r="49" spans="1:14" ht="16">
      <c r="A49" s="41">
        <v>48</v>
      </c>
      <c r="B49" s="42" t="s">
        <v>8950</v>
      </c>
      <c r="C49" s="41" t="str">
        <f t="shared" si="0"/>
        <v>E1_8_1_9_mRNA</v>
      </c>
      <c r="D49" s="41" t="str">
        <f t="shared" si="1"/>
        <v>E1_8_1_9</v>
      </c>
      <c r="E49" s="43" t="str">
        <f t="shared" si="2"/>
        <v>E1_8_1_9_kcat : 13.7</v>
      </c>
      <c r="F49" s="44" t="str">
        <f t="shared" si="3"/>
        <v>E1_8_1_9_km : 1</v>
      </c>
      <c r="G49" s="45" t="str">
        <f t="shared" si="4"/>
        <v>E1_8_1_9_mRNA : E1_8_1_9_mRNA</v>
      </c>
      <c r="H49" s="46" t="str">
        <f t="shared" si="5"/>
        <v>E1_8_1_9 : E1_8_1_9</v>
      </c>
      <c r="I49" s="47" t="str">
        <f t="shared" si="6"/>
        <v>E1_8_1_9_mRNA : 0</v>
      </c>
      <c r="J49" s="48" t="str">
        <f t="shared" si="7"/>
        <v>E1_8_1_9 : 0</v>
      </c>
      <c r="K49" s="49" t="str">
        <f t="shared" si="8"/>
        <v>0.00292 - (0.0093 * E1_8_1_9_mRNA)</v>
      </c>
      <c r="L49" s="50" t="str">
        <f t="shared" si="9"/>
        <v>(0.278 * E1_8_1_9_mRNA) - (0.00000278 * E1_8_1_9)</v>
      </c>
      <c r="M49" s="51" t="str">
        <f t="shared" si="10"/>
        <v>mRNA48: -&gt; E1_8_1_9_mRNA | 0.00292 - (0.0093 * E1_8_1_9_mRNA)</v>
      </c>
      <c r="N49" s="52" t="str">
        <f t="shared" si="11"/>
        <v>Peptide48: E1_8_1_9_mRNA -&gt; E1_8_1_9 | (0.278 * E1_8_1_9_mRNA) - (0.000000278 * E1_8_1_9)</v>
      </c>
    </row>
    <row r="50" spans="1:14" ht="16">
      <c r="A50" s="41">
        <v>49</v>
      </c>
      <c r="B50" s="42" t="s">
        <v>8951</v>
      </c>
      <c r="C50" s="41" t="str">
        <f t="shared" si="0"/>
        <v>E1_8_4_11_mRNA</v>
      </c>
      <c r="D50" s="41" t="str">
        <f t="shared" si="1"/>
        <v>E1_8_4_11</v>
      </c>
      <c r="E50" s="43" t="str">
        <f t="shared" si="2"/>
        <v>E1_8_4_11_kcat : 13.7</v>
      </c>
      <c r="F50" s="44" t="str">
        <f t="shared" si="3"/>
        <v>E1_8_4_11_km : 1</v>
      </c>
      <c r="G50" s="45" t="str">
        <f t="shared" si="4"/>
        <v>E1_8_4_11_mRNA : E1_8_4_11_mRNA</v>
      </c>
      <c r="H50" s="46" t="str">
        <f t="shared" si="5"/>
        <v>E1_8_4_11 : E1_8_4_11</v>
      </c>
      <c r="I50" s="47" t="str">
        <f t="shared" si="6"/>
        <v>E1_8_4_11_mRNA : 0</v>
      </c>
      <c r="J50" s="48" t="str">
        <f t="shared" si="7"/>
        <v>E1_8_4_11 : 0</v>
      </c>
      <c r="K50" s="49" t="str">
        <f t="shared" si="8"/>
        <v>0.00292 - (0.0093 * E1_8_4_11_mRNA)</v>
      </c>
      <c r="L50" s="50" t="str">
        <f t="shared" si="9"/>
        <v>(0.278 * E1_8_4_11_mRNA) - (0.00000278 * E1_8_4_11)</v>
      </c>
      <c r="M50" s="51" t="str">
        <f t="shared" si="10"/>
        <v>mRNA49: -&gt; E1_8_4_11_mRNA | 0.00292 - (0.0093 * E1_8_4_11_mRNA)</v>
      </c>
      <c r="N50" s="52" t="str">
        <f t="shared" si="11"/>
        <v>Peptide49: E1_8_4_11_mRNA -&gt; E1_8_4_11 | (0.278 * E1_8_4_11_mRNA) - (0.000000278 * E1_8_4_11)</v>
      </c>
    </row>
    <row r="51" spans="1:14" ht="16">
      <c r="A51" s="41">
        <v>50</v>
      </c>
      <c r="B51" s="42" t="s">
        <v>8952</v>
      </c>
      <c r="C51" s="41" t="str">
        <f t="shared" si="0"/>
        <v>E1_8_4_12_mRNA</v>
      </c>
      <c r="D51" s="41" t="str">
        <f t="shared" si="1"/>
        <v>E1_8_4_12</v>
      </c>
      <c r="E51" s="43" t="str">
        <f t="shared" si="2"/>
        <v>E1_8_4_12_kcat : 13.7</v>
      </c>
      <c r="F51" s="44" t="str">
        <f t="shared" si="3"/>
        <v>E1_8_4_12_km : 1</v>
      </c>
      <c r="G51" s="45" t="str">
        <f t="shared" si="4"/>
        <v>E1_8_4_12_mRNA : E1_8_4_12_mRNA</v>
      </c>
      <c r="H51" s="46" t="str">
        <f t="shared" si="5"/>
        <v>E1_8_4_12 : E1_8_4_12</v>
      </c>
      <c r="I51" s="47" t="str">
        <f t="shared" si="6"/>
        <v>E1_8_4_12_mRNA : 0</v>
      </c>
      <c r="J51" s="48" t="str">
        <f t="shared" si="7"/>
        <v>E1_8_4_12 : 0</v>
      </c>
      <c r="K51" s="49" t="str">
        <f t="shared" si="8"/>
        <v>0.00292 - (0.0093 * E1_8_4_12_mRNA)</v>
      </c>
      <c r="L51" s="50" t="str">
        <f t="shared" si="9"/>
        <v>(0.278 * E1_8_4_12_mRNA) - (0.00000278 * E1_8_4_12)</v>
      </c>
      <c r="M51" s="51" t="str">
        <f t="shared" si="10"/>
        <v>mRNA50: -&gt; E1_8_4_12_mRNA | 0.00292 - (0.0093 * E1_8_4_12_mRNA)</v>
      </c>
      <c r="N51" s="52" t="str">
        <f t="shared" si="11"/>
        <v>Peptide50: E1_8_4_12_mRNA -&gt; E1_8_4_12 | (0.278 * E1_8_4_12_mRNA) - (0.000000278 * E1_8_4_12)</v>
      </c>
    </row>
    <row r="52" spans="1:14" ht="16">
      <c r="A52" s="41">
        <v>51</v>
      </c>
      <c r="B52" s="42" t="s">
        <v>8953</v>
      </c>
      <c r="C52" s="41" t="str">
        <f t="shared" si="0"/>
        <v>E1_97_1_4_mRNA</v>
      </c>
      <c r="D52" s="41" t="str">
        <f t="shared" si="1"/>
        <v>E1_97_1_4</v>
      </c>
      <c r="E52" s="43" t="str">
        <f t="shared" si="2"/>
        <v>E1_97_1_4_kcat : 13.7</v>
      </c>
      <c r="F52" s="44" t="str">
        <f t="shared" si="3"/>
        <v>E1_97_1_4_km : 1</v>
      </c>
      <c r="G52" s="45" t="str">
        <f t="shared" si="4"/>
        <v>E1_97_1_4_mRNA : E1_97_1_4_mRNA</v>
      </c>
      <c r="H52" s="46" t="str">
        <f t="shared" si="5"/>
        <v>E1_97_1_4 : E1_97_1_4</v>
      </c>
      <c r="I52" s="47" t="str">
        <f t="shared" si="6"/>
        <v>E1_97_1_4_mRNA : 0</v>
      </c>
      <c r="J52" s="48" t="str">
        <f t="shared" si="7"/>
        <v>E1_97_1_4 : 0</v>
      </c>
      <c r="K52" s="49" t="str">
        <f t="shared" si="8"/>
        <v>0.00292 - (0.0093 * E1_97_1_4_mRNA)</v>
      </c>
      <c r="L52" s="50" t="str">
        <f t="shared" si="9"/>
        <v>(0.278 * E1_97_1_4_mRNA) - (0.00000278 * E1_97_1_4)</v>
      </c>
      <c r="M52" s="51" t="str">
        <f t="shared" si="10"/>
        <v>mRNA51: -&gt; E1_97_1_4_mRNA | 0.00292 - (0.0093 * E1_97_1_4_mRNA)</v>
      </c>
      <c r="N52" s="52" t="str">
        <f t="shared" si="11"/>
        <v>Peptide51: E1_97_1_4_mRNA -&gt; E1_97_1_4 | (0.278 * E1_97_1_4_mRNA) - (0.000000278 * E1_97_1_4)</v>
      </c>
    </row>
    <row r="53" spans="1:14" ht="16">
      <c r="A53" s="41">
        <v>52</v>
      </c>
      <c r="B53" s="42" t="s">
        <v>8954</v>
      </c>
      <c r="C53" s="41" t="str">
        <f t="shared" si="0"/>
        <v>E2_1_1_10_mRNA</v>
      </c>
      <c r="D53" s="41" t="str">
        <f t="shared" si="1"/>
        <v>E2_1_1_10</v>
      </c>
      <c r="E53" s="43" t="str">
        <f t="shared" si="2"/>
        <v>E2_1_1_10_kcat : 13.7</v>
      </c>
      <c r="F53" s="44" t="str">
        <f t="shared" si="3"/>
        <v>E2_1_1_10_km : 1</v>
      </c>
      <c r="G53" s="45" t="str">
        <f t="shared" si="4"/>
        <v>E2_1_1_10_mRNA : E2_1_1_10_mRNA</v>
      </c>
      <c r="H53" s="46" t="str">
        <f t="shared" si="5"/>
        <v>E2_1_1_10 : E2_1_1_10</v>
      </c>
      <c r="I53" s="47" t="str">
        <f t="shared" si="6"/>
        <v>E2_1_1_10_mRNA : 0</v>
      </c>
      <c r="J53" s="48" t="str">
        <f t="shared" si="7"/>
        <v>E2_1_1_10 : 0</v>
      </c>
      <c r="K53" s="49" t="str">
        <f t="shared" si="8"/>
        <v>0.00292 - (0.0093 * E2_1_1_10_mRNA)</v>
      </c>
      <c r="L53" s="50" t="str">
        <f t="shared" si="9"/>
        <v>(0.278 * E2_1_1_10_mRNA) - (0.00000278 * E2_1_1_10)</v>
      </c>
      <c r="M53" s="51" t="str">
        <f t="shared" si="10"/>
        <v>mRNA52: -&gt; E2_1_1_10_mRNA | 0.00292 - (0.0093 * E2_1_1_10_mRNA)</v>
      </c>
      <c r="N53" s="52" t="str">
        <f t="shared" si="11"/>
        <v>Peptide52: E2_1_1_10_mRNA -&gt; E2_1_1_10 | (0.278 * E2_1_1_10_mRNA) - (0.000000278 * E2_1_1_10)</v>
      </c>
    </row>
    <row r="54" spans="1:14" ht="16">
      <c r="A54" s="41">
        <v>53</v>
      </c>
      <c r="B54" s="42" t="s">
        <v>8955</v>
      </c>
      <c r="C54" s="41" t="str">
        <f t="shared" si="0"/>
        <v>E2_1_1_14_mRNA</v>
      </c>
      <c r="D54" s="41" t="str">
        <f t="shared" si="1"/>
        <v>E2_1_1_14</v>
      </c>
      <c r="E54" s="43" t="str">
        <f t="shared" si="2"/>
        <v>E2_1_1_14_kcat : 13.7</v>
      </c>
      <c r="F54" s="44" t="str">
        <f t="shared" si="3"/>
        <v>E2_1_1_14_km : 1</v>
      </c>
      <c r="G54" s="45" t="str">
        <f t="shared" si="4"/>
        <v>E2_1_1_14_mRNA : E2_1_1_14_mRNA</v>
      </c>
      <c r="H54" s="46" t="str">
        <f t="shared" si="5"/>
        <v>E2_1_1_14 : E2_1_1_14</v>
      </c>
      <c r="I54" s="47" t="str">
        <f t="shared" si="6"/>
        <v>E2_1_1_14_mRNA : 0</v>
      </c>
      <c r="J54" s="48" t="str">
        <f t="shared" si="7"/>
        <v>E2_1_1_14 : 0</v>
      </c>
      <c r="K54" s="49" t="str">
        <f t="shared" si="8"/>
        <v>0.00292 - (0.0093 * E2_1_1_14_mRNA)</v>
      </c>
      <c r="L54" s="50" t="str">
        <f t="shared" si="9"/>
        <v>(0.278 * E2_1_1_14_mRNA) - (0.00000278 * E2_1_1_14)</v>
      </c>
      <c r="M54" s="51" t="str">
        <f t="shared" si="10"/>
        <v>mRNA53: -&gt; E2_1_1_14_mRNA | 0.00292 - (0.0093 * E2_1_1_14_mRNA)</v>
      </c>
      <c r="N54" s="52" t="str">
        <f t="shared" si="11"/>
        <v>Peptide53: E2_1_1_14_mRNA -&gt; E2_1_1_14 | (0.278 * E2_1_1_14_mRNA) - (0.000000278 * E2_1_1_14)</v>
      </c>
    </row>
    <row r="55" spans="1:14" ht="16">
      <c r="A55" s="41">
        <v>54</v>
      </c>
      <c r="B55" s="42" t="s">
        <v>8956</v>
      </c>
      <c r="C55" s="41" t="str">
        <f t="shared" si="0"/>
        <v>E2_1_1_170_mRNA</v>
      </c>
      <c r="D55" s="41" t="str">
        <f t="shared" si="1"/>
        <v>E2_1_1_170</v>
      </c>
      <c r="E55" s="43" t="str">
        <f t="shared" si="2"/>
        <v>E2_1_1_170_kcat : 13.7</v>
      </c>
      <c r="F55" s="44" t="str">
        <f t="shared" si="3"/>
        <v>E2_1_1_170_km : 1</v>
      </c>
      <c r="G55" s="45" t="str">
        <f t="shared" si="4"/>
        <v>E2_1_1_170_mRNA : E2_1_1_170_mRNA</v>
      </c>
      <c r="H55" s="46" t="str">
        <f t="shared" si="5"/>
        <v>E2_1_1_170 : E2_1_1_170</v>
      </c>
      <c r="I55" s="47" t="str">
        <f t="shared" si="6"/>
        <v>E2_1_1_170_mRNA : 0</v>
      </c>
      <c r="J55" s="48" t="str">
        <f t="shared" si="7"/>
        <v>E2_1_1_170 : 0</v>
      </c>
      <c r="K55" s="49" t="str">
        <f t="shared" si="8"/>
        <v>0.00292 - (0.0093 * E2_1_1_170_mRNA)</v>
      </c>
      <c r="L55" s="50" t="str">
        <f t="shared" si="9"/>
        <v>(0.278 * E2_1_1_170_mRNA) - (0.00000278 * E2_1_1_170)</v>
      </c>
      <c r="M55" s="51" t="str">
        <f t="shared" si="10"/>
        <v>mRNA54: -&gt; E2_1_1_170_mRNA | 0.00292 - (0.0093 * E2_1_1_170_mRNA)</v>
      </c>
      <c r="N55" s="52" t="str">
        <f t="shared" si="11"/>
        <v>Peptide54: E2_1_1_170_mRNA -&gt; E2_1_1_170 | (0.278 * E2_1_1_170_mRNA) - (0.000000278 * E2_1_1_170)</v>
      </c>
    </row>
    <row r="56" spans="1:14" ht="16">
      <c r="A56" s="41">
        <v>55</v>
      </c>
      <c r="B56" s="42" t="s">
        <v>8957</v>
      </c>
      <c r="C56" s="41" t="str">
        <f t="shared" si="0"/>
        <v>E2_1_1_171_mRNA</v>
      </c>
      <c r="D56" s="41" t="str">
        <f t="shared" si="1"/>
        <v>E2_1_1_171</v>
      </c>
      <c r="E56" s="43" t="str">
        <f t="shared" si="2"/>
        <v>E2_1_1_171_kcat : 13.7</v>
      </c>
      <c r="F56" s="44" t="str">
        <f t="shared" si="3"/>
        <v>E2_1_1_171_km : 1</v>
      </c>
      <c r="G56" s="45" t="str">
        <f t="shared" si="4"/>
        <v>E2_1_1_171_mRNA : E2_1_1_171_mRNA</v>
      </c>
      <c r="H56" s="46" t="str">
        <f t="shared" si="5"/>
        <v>E2_1_1_171 : E2_1_1_171</v>
      </c>
      <c r="I56" s="47" t="str">
        <f t="shared" si="6"/>
        <v>E2_1_1_171_mRNA : 0</v>
      </c>
      <c r="J56" s="48" t="str">
        <f t="shared" si="7"/>
        <v>E2_1_1_171 : 0</v>
      </c>
      <c r="K56" s="49" t="str">
        <f t="shared" si="8"/>
        <v>0.00292 - (0.0093 * E2_1_1_171_mRNA)</v>
      </c>
      <c r="L56" s="50" t="str">
        <f t="shared" si="9"/>
        <v>(0.278 * E2_1_1_171_mRNA) - (0.00000278 * E2_1_1_171)</v>
      </c>
      <c r="M56" s="51" t="str">
        <f t="shared" si="10"/>
        <v>mRNA55: -&gt; E2_1_1_171_mRNA | 0.00292 - (0.0093 * E2_1_1_171_mRNA)</v>
      </c>
      <c r="N56" s="52" t="str">
        <f t="shared" si="11"/>
        <v>Peptide55: E2_1_1_171_mRNA -&gt; E2_1_1_171 | (0.278 * E2_1_1_171_mRNA) - (0.000000278 * E2_1_1_171)</v>
      </c>
    </row>
    <row r="57" spans="1:14" ht="16">
      <c r="A57" s="41">
        <v>56</v>
      </c>
      <c r="B57" s="42" t="s">
        <v>8958</v>
      </c>
      <c r="C57" s="41" t="str">
        <f t="shared" si="0"/>
        <v>E2_1_1_176_mRNA</v>
      </c>
      <c r="D57" s="41" t="str">
        <f t="shared" si="1"/>
        <v>E2_1_1_176</v>
      </c>
      <c r="E57" s="43" t="str">
        <f t="shared" si="2"/>
        <v>E2_1_1_176_kcat : 13.7</v>
      </c>
      <c r="F57" s="44" t="str">
        <f t="shared" si="3"/>
        <v>E2_1_1_176_km : 1</v>
      </c>
      <c r="G57" s="45" t="str">
        <f t="shared" si="4"/>
        <v>E2_1_1_176_mRNA : E2_1_1_176_mRNA</v>
      </c>
      <c r="H57" s="46" t="str">
        <f t="shared" si="5"/>
        <v>E2_1_1_176 : E2_1_1_176</v>
      </c>
      <c r="I57" s="47" t="str">
        <f t="shared" si="6"/>
        <v>E2_1_1_176_mRNA : 0</v>
      </c>
      <c r="J57" s="48" t="str">
        <f t="shared" si="7"/>
        <v>E2_1_1_176 : 0</v>
      </c>
      <c r="K57" s="49" t="str">
        <f t="shared" si="8"/>
        <v>0.00292 - (0.0093 * E2_1_1_176_mRNA)</v>
      </c>
      <c r="L57" s="50" t="str">
        <f t="shared" si="9"/>
        <v>(0.278 * E2_1_1_176_mRNA) - (0.00000278 * E2_1_1_176)</v>
      </c>
      <c r="M57" s="51" t="str">
        <f t="shared" si="10"/>
        <v>mRNA56: -&gt; E2_1_1_176_mRNA | 0.00292 - (0.0093 * E2_1_1_176_mRNA)</v>
      </c>
      <c r="N57" s="52" t="str">
        <f t="shared" si="11"/>
        <v>Peptide56: E2_1_1_176_mRNA -&gt; E2_1_1_176 | (0.278 * E2_1_1_176_mRNA) - (0.000000278 * E2_1_1_176)</v>
      </c>
    </row>
    <row r="58" spans="1:14" ht="16">
      <c r="A58" s="41">
        <v>57</v>
      </c>
      <c r="B58" s="42" t="s">
        <v>8959</v>
      </c>
      <c r="C58" s="41" t="str">
        <f t="shared" si="0"/>
        <v>E2_1_1_177_mRNA</v>
      </c>
      <c r="D58" s="41" t="str">
        <f t="shared" si="1"/>
        <v>E2_1_1_177</v>
      </c>
      <c r="E58" s="43" t="str">
        <f t="shared" si="2"/>
        <v>E2_1_1_177_kcat : 13.7</v>
      </c>
      <c r="F58" s="44" t="str">
        <f t="shared" si="3"/>
        <v>E2_1_1_177_km : 1</v>
      </c>
      <c r="G58" s="45" t="str">
        <f t="shared" si="4"/>
        <v>E2_1_1_177_mRNA : E2_1_1_177_mRNA</v>
      </c>
      <c r="H58" s="46" t="str">
        <f t="shared" si="5"/>
        <v>E2_1_1_177 : E2_1_1_177</v>
      </c>
      <c r="I58" s="47" t="str">
        <f t="shared" si="6"/>
        <v>E2_1_1_177_mRNA : 0</v>
      </c>
      <c r="J58" s="48" t="str">
        <f t="shared" si="7"/>
        <v>E2_1_1_177 : 0</v>
      </c>
      <c r="K58" s="49" t="str">
        <f t="shared" si="8"/>
        <v>0.00292 - (0.0093 * E2_1_1_177_mRNA)</v>
      </c>
      <c r="L58" s="50" t="str">
        <f t="shared" si="9"/>
        <v>(0.278 * E2_1_1_177_mRNA) - (0.00000278 * E2_1_1_177)</v>
      </c>
      <c r="M58" s="51" t="str">
        <f t="shared" si="10"/>
        <v>mRNA57: -&gt; E2_1_1_177_mRNA | 0.00292 - (0.0093 * E2_1_1_177_mRNA)</v>
      </c>
      <c r="N58" s="52" t="str">
        <f t="shared" si="11"/>
        <v>Peptide57: E2_1_1_177_mRNA -&gt; E2_1_1_177 | (0.278 * E2_1_1_177_mRNA) - (0.000000278 * E2_1_1_177)</v>
      </c>
    </row>
    <row r="59" spans="1:14" ht="16">
      <c r="A59" s="41">
        <v>58</v>
      </c>
      <c r="B59" s="42" t="s">
        <v>8960</v>
      </c>
      <c r="C59" s="41" t="str">
        <f t="shared" si="0"/>
        <v>E2_1_1_182_mRNA</v>
      </c>
      <c r="D59" s="41" t="str">
        <f t="shared" si="1"/>
        <v>E2_1_1_182</v>
      </c>
      <c r="E59" s="43" t="str">
        <f t="shared" si="2"/>
        <v>E2_1_1_182_kcat : 13.7</v>
      </c>
      <c r="F59" s="44" t="str">
        <f t="shared" si="3"/>
        <v>E2_1_1_182_km : 1</v>
      </c>
      <c r="G59" s="45" t="str">
        <f t="shared" si="4"/>
        <v>E2_1_1_182_mRNA : E2_1_1_182_mRNA</v>
      </c>
      <c r="H59" s="46" t="str">
        <f t="shared" si="5"/>
        <v>E2_1_1_182 : E2_1_1_182</v>
      </c>
      <c r="I59" s="47" t="str">
        <f t="shared" si="6"/>
        <v>E2_1_1_182_mRNA : 0</v>
      </c>
      <c r="J59" s="48" t="str">
        <f t="shared" si="7"/>
        <v>E2_1_1_182 : 0</v>
      </c>
      <c r="K59" s="49" t="str">
        <f t="shared" si="8"/>
        <v>0.00292 - (0.0093 * E2_1_1_182_mRNA)</v>
      </c>
      <c r="L59" s="50" t="str">
        <f t="shared" si="9"/>
        <v>(0.278 * E2_1_1_182_mRNA) - (0.00000278 * E2_1_1_182)</v>
      </c>
      <c r="M59" s="51" t="str">
        <f t="shared" si="10"/>
        <v>mRNA58: -&gt; E2_1_1_182_mRNA | 0.00292 - (0.0093 * E2_1_1_182_mRNA)</v>
      </c>
      <c r="N59" s="52" t="str">
        <f t="shared" si="11"/>
        <v>Peptide58: E2_1_1_182_mRNA -&gt; E2_1_1_182 | (0.278 * E2_1_1_182_mRNA) - (0.000000278 * E2_1_1_182)</v>
      </c>
    </row>
    <row r="60" spans="1:14" ht="16">
      <c r="A60" s="41">
        <v>59</v>
      </c>
      <c r="B60" s="42" t="s">
        <v>8961</v>
      </c>
      <c r="C60" s="41" t="str">
        <f t="shared" si="0"/>
        <v>E2_1_1_192_mRNA</v>
      </c>
      <c r="D60" s="41" t="str">
        <f t="shared" si="1"/>
        <v>E2_1_1_192</v>
      </c>
      <c r="E60" s="43" t="str">
        <f t="shared" si="2"/>
        <v>E2_1_1_192_kcat : 13.7</v>
      </c>
      <c r="F60" s="44" t="str">
        <f t="shared" si="3"/>
        <v>E2_1_1_192_km : 1</v>
      </c>
      <c r="G60" s="45" t="str">
        <f t="shared" si="4"/>
        <v>E2_1_1_192_mRNA : E2_1_1_192_mRNA</v>
      </c>
      <c r="H60" s="46" t="str">
        <f t="shared" si="5"/>
        <v>E2_1_1_192 : E2_1_1_192</v>
      </c>
      <c r="I60" s="47" t="str">
        <f t="shared" si="6"/>
        <v>E2_1_1_192_mRNA : 0</v>
      </c>
      <c r="J60" s="48" t="str">
        <f t="shared" si="7"/>
        <v>E2_1_1_192 : 0</v>
      </c>
      <c r="K60" s="49" t="str">
        <f t="shared" si="8"/>
        <v>0.00292 - (0.0093 * E2_1_1_192_mRNA)</v>
      </c>
      <c r="L60" s="50" t="str">
        <f t="shared" si="9"/>
        <v>(0.278 * E2_1_1_192_mRNA) - (0.00000278 * E2_1_1_192)</v>
      </c>
      <c r="M60" s="51" t="str">
        <f t="shared" si="10"/>
        <v>mRNA59: -&gt; E2_1_1_192_mRNA | 0.00292 - (0.0093 * E2_1_1_192_mRNA)</v>
      </c>
      <c r="N60" s="52" t="str">
        <f t="shared" si="11"/>
        <v>Peptide59: E2_1_1_192_mRNA -&gt; E2_1_1_192 | (0.278 * E2_1_1_192_mRNA) - (0.000000278 * E2_1_1_192)</v>
      </c>
    </row>
    <row r="61" spans="1:14" ht="16">
      <c r="A61" s="41">
        <v>60</v>
      </c>
      <c r="B61" s="42" t="s">
        <v>8962</v>
      </c>
      <c r="C61" s="41" t="str">
        <f t="shared" si="0"/>
        <v>E2_1_1_193_mRNA</v>
      </c>
      <c r="D61" s="41" t="str">
        <f t="shared" si="1"/>
        <v>E2_1_1_193</v>
      </c>
      <c r="E61" s="43" t="str">
        <f t="shared" si="2"/>
        <v>E2_1_1_193_kcat : 13.7</v>
      </c>
      <c r="F61" s="44" t="str">
        <f t="shared" si="3"/>
        <v>E2_1_1_193_km : 1</v>
      </c>
      <c r="G61" s="45" t="str">
        <f t="shared" si="4"/>
        <v>E2_1_1_193_mRNA : E2_1_1_193_mRNA</v>
      </c>
      <c r="H61" s="46" t="str">
        <f t="shared" si="5"/>
        <v>E2_1_1_193 : E2_1_1_193</v>
      </c>
      <c r="I61" s="47" t="str">
        <f t="shared" si="6"/>
        <v>E2_1_1_193_mRNA : 0</v>
      </c>
      <c r="J61" s="48" t="str">
        <f t="shared" si="7"/>
        <v>E2_1_1_193 : 0</v>
      </c>
      <c r="K61" s="49" t="str">
        <f t="shared" si="8"/>
        <v>0.00292 - (0.0093 * E2_1_1_193_mRNA)</v>
      </c>
      <c r="L61" s="50" t="str">
        <f t="shared" si="9"/>
        <v>(0.278 * E2_1_1_193_mRNA) - (0.00000278 * E2_1_1_193)</v>
      </c>
      <c r="M61" s="51" t="str">
        <f t="shared" si="10"/>
        <v>mRNA60: -&gt; E2_1_1_193_mRNA | 0.00292 - (0.0093 * E2_1_1_193_mRNA)</v>
      </c>
      <c r="N61" s="52" t="str">
        <f t="shared" si="11"/>
        <v>Peptide60: E2_1_1_193_mRNA -&gt; E2_1_1_193 | (0.278 * E2_1_1_193_mRNA) - (0.000000278 * E2_1_1_193)</v>
      </c>
    </row>
    <row r="62" spans="1:14" ht="16">
      <c r="A62" s="41">
        <v>61</v>
      </c>
      <c r="B62" s="42" t="s">
        <v>8963</v>
      </c>
      <c r="C62" s="41" t="str">
        <f t="shared" si="0"/>
        <v>E2_1_1_198_mRNA</v>
      </c>
      <c r="D62" s="41" t="str">
        <f t="shared" si="1"/>
        <v>E2_1_1_198</v>
      </c>
      <c r="E62" s="43" t="str">
        <f t="shared" si="2"/>
        <v>E2_1_1_198_kcat : 13.7</v>
      </c>
      <c r="F62" s="44" t="str">
        <f t="shared" si="3"/>
        <v>E2_1_1_198_km : 1</v>
      </c>
      <c r="G62" s="45" t="str">
        <f t="shared" si="4"/>
        <v>E2_1_1_198_mRNA : E2_1_1_198_mRNA</v>
      </c>
      <c r="H62" s="46" t="str">
        <f t="shared" si="5"/>
        <v>E2_1_1_198 : E2_1_1_198</v>
      </c>
      <c r="I62" s="47" t="str">
        <f t="shared" si="6"/>
        <v>E2_1_1_198_mRNA : 0</v>
      </c>
      <c r="J62" s="48" t="str">
        <f t="shared" si="7"/>
        <v>E2_1_1_198 : 0</v>
      </c>
      <c r="K62" s="49" t="str">
        <f t="shared" si="8"/>
        <v>0.00292 - (0.0093 * E2_1_1_198_mRNA)</v>
      </c>
      <c r="L62" s="50" t="str">
        <f t="shared" si="9"/>
        <v>(0.278 * E2_1_1_198_mRNA) - (0.00000278 * E2_1_1_198)</v>
      </c>
      <c r="M62" s="51" t="str">
        <f t="shared" si="10"/>
        <v>mRNA61: -&gt; E2_1_1_198_mRNA | 0.00292 - (0.0093 * E2_1_1_198_mRNA)</v>
      </c>
      <c r="N62" s="52" t="str">
        <f t="shared" si="11"/>
        <v>Peptide61: E2_1_1_198_mRNA -&gt; E2_1_1_198 | (0.278 * E2_1_1_198_mRNA) - (0.000000278 * E2_1_1_198)</v>
      </c>
    </row>
    <row r="63" spans="1:14" ht="16">
      <c r="A63" s="41">
        <v>62</v>
      </c>
      <c r="B63" s="42" t="s">
        <v>8964</v>
      </c>
      <c r="C63" s="41" t="str">
        <f t="shared" si="0"/>
        <v>E2_1_1_199_mRNA</v>
      </c>
      <c r="D63" s="41" t="str">
        <f t="shared" si="1"/>
        <v>E2_1_1_199</v>
      </c>
      <c r="E63" s="43" t="str">
        <f t="shared" si="2"/>
        <v>E2_1_1_199_kcat : 13.7</v>
      </c>
      <c r="F63" s="44" t="str">
        <f t="shared" si="3"/>
        <v>E2_1_1_199_km : 1</v>
      </c>
      <c r="G63" s="45" t="str">
        <f t="shared" si="4"/>
        <v>E2_1_1_199_mRNA : E2_1_1_199_mRNA</v>
      </c>
      <c r="H63" s="46" t="str">
        <f t="shared" si="5"/>
        <v>E2_1_1_199 : E2_1_1_199</v>
      </c>
      <c r="I63" s="47" t="str">
        <f t="shared" si="6"/>
        <v>E2_1_1_199_mRNA : 0</v>
      </c>
      <c r="J63" s="48" t="str">
        <f t="shared" si="7"/>
        <v>E2_1_1_199 : 0</v>
      </c>
      <c r="K63" s="49" t="str">
        <f t="shared" si="8"/>
        <v>0.00292 - (0.0093 * E2_1_1_199_mRNA)</v>
      </c>
      <c r="L63" s="50" t="str">
        <f t="shared" si="9"/>
        <v>(0.278 * E2_1_1_199_mRNA) - (0.00000278 * E2_1_1_199)</v>
      </c>
      <c r="M63" s="51" t="str">
        <f t="shared" si="10"/>
        <v>mRNA62: -&gt; E2_1_1_199_mRNA | 0.00292 - (0.0093 * E2_1_1_199_mRNA)</v>
      </c>
      <c r="N63" s="52" t="str">
        <f t="shared" si="11"/>
        <v>Peptide62: E2_1_1_199_mRNA -&gt; E2_1_1_199 | (0.278 * E2_1_1_199_mRNA) - (0.000000278 * E2_1_1_199)</v>
      </c>
    </row>
    <row r="64" spans="1:14" ht="16">
      <c r="A64" s="41">
        <v>63</v>
      </c>
      <c r="B64" s="42" t="s">
        <v>8965</v>
      </c>
      <c r="C64" s="41" t="str">
        <f t="shared" si="0"/>
        <v>E2_1_1_207_mRNA</v>
      </c>
      <c r="D64" s="41" t="str">
        <f t="shared" si="1"/>
        <v>E2_1_1_207</v>
      </c>
      <c r="E64" s="43" t="str">
        <f t="shared" si="2"/>
        <v>E2_1_1_207_kcat : 13.7</v>
      </c>
      <c r="F64" s="44" t="str">
        <f t="shared" si="3"/>
        <v>E2_1_1_207_km : 1</v>
      </c>
      <c r="G64" s="45" t="str">
        <f t="shared" si="4"/>
        <v>E2_1_1_207_mRNA : E2_1_1_207_mRNA</v>
      </c>
      <c r="H64" s="46" t="str">
        <f t="shared" si="5"/>
        <v>E2_1_1_207 : E2_1_1_207</v>
      </c>
      <c r="I64" s="47" t="str">
        <f t="shared" si="6"/>
        <v>E2_1_1_207_mRNA : 0</v>
      </c>
      <c r="J64" s="48" t="str">
        <f t="shared" si="7"/>
        <v>E2_1_1_207 : 0</v>
      </c>
      <c r="K64" s="49" t="str">
        <f t="shared" si="8"/>
        <v>0.00292 - (0.0093 * E2_1_1_207_mRNA)</v>
      </c>
      <c r="L64" s="50" t="str">
        <f t="shared" si="9"/>
        <v>(0.278 * E2_1_1_207_mRNA) - (0.00000278 * E2_1_1_207)</v>
      </c>
      <c r="M64" s="51" t="str">
        <f t="shared" si="10"/>
        <v>mRNA63: -&gt; E2_1_1_207_mRNA | 0.00292 - (0.0093 * E2_1_1_207_mRNA)</v>
      </c>
      <c r="N64" s="52" t="str">
        <f t="shared" si="11"/>
        <v>Peptide63: E2_1_1_207_mRNA -&gt; E2_1_1_207 | (0.278 * E2_1_1_207_mRNA) - (0.000000278 * E2_1_1_207)</v>
      </c>
    </row>
    <row r="65" spans="1:14" ht="16">
      <c r="A65" s="41">
        <v>64</v>
      </c>
      <c r="B65" s="42" t="s">
        <v>8966</v>
      </c>
      <c r="C65" s="41" t="str">
        <f t="shared" si="0"/>
        <v>E2_1_1_217_mRNA</v>
      </c>
      <c r="D65" s="41" t="str">
        <f t="shared" si="1"/>
        <v>E2_1_1_217</v>
      </c>
      <c r="E65" s="43" t="str">
        <f t="shared" si="2"/>
        <v>E2_1_1_217_kcat : 13.7</v>
      </c>
      <c r="F65" s="44" t="str">
        <f t="shared" si="3"/>
        <v>E2_1_1_217_km : 1</v>
      </c>
      <c r="G65" s="45" t="str">
        <f t="shared" si="4"/>
        <v>E2_1_1_217_mRNA : E2_1_1_217_mRNA</v>
      </c>
      <c r="H65" s="46" t="str">
        <f t="shared" si="5"/>
        <v>E2_1_1_217 : E2_1_1_217</v>
      </c>
      <c r="I65" s="47" t="str">
        <f t="shared" si="6"/>
        <v>E2_1_1_217_mRNA : 0</v>
      </c>
      <c r="J65" s="48" t="str">
        <f t="shared" si="7"/>
        <v>E2_1_1_217 : 0</v>
      </c>
      <c r="K65" s="49" t="str">
        <f t="shared" si="8"/>
        <v>0.00292 - (0.0093 * E2_1_1_217_mRNA)</v>
      </c>
      <c r="L65" s="50" t="str">
        <f t="shared" si="9"/>
        <v>(0.278 * E2_1_1_217_mRNA) - (0.00000278 * E2_1_1_217)</v>
      </c>
      <c r="M65" s="51" t="str">
        <f t="shared" si="10"/>
        <v>mRNA64: -&gt; E2_1_1_217_mRNA | 0.00292 - (0.0093 * E2_1_1_217_mRNA)</v>
      </c>
      <c r="N65" s="52" t="str">
        <f t="shared" si="11"/>
        <v>Peptide64: E2_1_1_217_mRNA -&gt; E2_1_1_217 | (0.278 * E2_1_1_217_mRNA) - (0.000000278 * E2_1_1_217)</v>
      </c>
    </row>
    <row r="66" spans="1:14" ht="16">
      <c r="A66" s="41">
        <v>65</v>
      </c>
      <c r="B66" s="42" t="s">
        <v>8967</v>
      </c>
      <c r="C66" s="41" t="str">
        <f t="shared" si="0"/>
        <v>E2_1_1_223_mRNA</v>
      </c>
      <c r="D66" s="41" t="str">
        <f t="shared" si="1"/>
        <v>E2_1_1_223</v>
      </c>
      <c r="E66" s="43" t="str">
        <f t="shared" si="2"/>
        <v>E2_1_1_223_kcat : 13.7</v>
      </c>
      <c r="F66" s="44" t="str">
        <f t="shared" si="3"/>
        <v>E2_1_1_223_km : 1</v>
      </c>
      <c r="G66" s="45" t="str">
        <f t="shared" si="4"/>
        <v>E2_1_1_223_mRNA : E2_1_1_223_mRNA</v>
      </c>
      <c r="H66" s="46" t="str">
        <f t="shared" si="5"/>
        <v>E2_1_1_223 : E2_1_1_223</v>
      </c>
      <c r="I66" s="47" t="str">
        <f t="shared" si="6"/>
        <v>E2_1_1_223_mRNA : 0</v>
      </c>
      <c r="J66" s="48" t="str">
        <f t="shared" si="7"/>
        <v>E2_1_1_223 : 0</v>
      </c>
      <c r="K66" s="49" t="str">
        <f t="shared" si="8"/>
        <v>0.00292 - (0.0093 * E2_1_1_223_mRNA)</v>
      </c>
      <c r="L66" s="50" t="str">
        <f t="shared" si="9"/>
        <v>(0.278 * E2_1_1_223_mRNA) - (0.00000278 * E2_1_1_223)</v>
      </c>
      <c r="M66" s="51" t="str">
        <f t="shared" si="10"/>
        <v>mRNA65: -&gt; E2_1_1_223_mRNA | 0.00292 - (0.0093 * E2_1_1_223_mRNA)</v>
      </c>
      <c r="N66" s="52" t="str">
        <f t="shared" si="11"/>
        <v>Peptide65: E2_1_1_223_mRNA -&gt; E2_1_1_223 | (0.278 * E2_1_1_223_mRNA) - (0.000000278 * E2_1_1_223)</v>
      </c>
    </row>
    <row r="67" spans="1:14" ht="16">
      <c r="A67" s="41">
        <v>66</v>
      </c>
      <c r="B67" s="42" t="s">
        <v>8968</v>
      </c>
      <c r="C67" s="41" t="str">
        <f t="shared" ref="C67:C130" si="12">CONCATENATE(D67, "_mRNA")</f>
        <v>E2_1_1_264_mRNA</v>
      </c>
      <c r="D67" s="41" t="str">
        <f t="shared" ref="D67:D130" si="13">CONCATENATE("E",B67)</f>
        <v>E2_1_1_264</v>
      </c>
      <c r="E67" s="43" t="str">
        <f t="shared" ref="E67:E130" si="14">CONCATENATE("E",B67,"_kcat : 13.7")</f>
        <v>E2_1_1_264_kcat : 13.7</v>
      </c>
      <c r="F67" s="44" t="str">
        <f t="shared" ref="F67:F130" si="15">CONCATENATE("E",B67, "_km : 1")</f>
        <v>E2_1_1_264_km : 1</v>
      </c>
      <c r="G67" s="45" t="str">
        <f t="shared" ref="G67:G130" si="16">CONCATENATE(C67, " : ",C67)</f>
        <v>E2_1_1_264_mRNA : E2_1_1_264_mRNA</v>
      </c>
      <c r="H67" s="46" t="str">
        <f t="shared" ref="H67:H130" si="17">CONCATENATE(D67, " : ",D67)</f>
        <v>E2_1_1_264 : E2_1_1_264</v>
      </c>
      <c r="I67" s="47" t="str">
        <f t="shared" ref="I67:I130" si="18">CONCATENATE(C67, " : ","0")</f>
        <v>E2_1_1_264_mRNA : 0</v>
      </c>
      <c r="J67" s="48" t="str">
        <f t="shared" ref="J67:J130" si="19">CONCATENATE(D67, " : ","0")</f>
        <v>E2_1_1_264 : 0</v>
      </c>
      <c r="K67" s="49" t="str">
        <f t="shared" ref="K67:K130" si="20">CONCATENATE("0.00292 - (0.0093 * ",C67,")")</f>
        <v>0.00292 - (0.0093 * E2_1_1_264_mRNA)</v>
      </c>
      <c r="L67" s="50" t="str">
        <f t="shared" ref="L67:L130" si="21">CONCATENATE("(0.278 * ",C67,")"," - (0.00000278 * ",D67,")")</f>
        <v>(0.278 * E2_1_1_264_mRNA) - (0.00000278 * E2_1_1_264)</v>
      </c>
      <c r="M67" s="51" t="str">
        <f t="shared" ref="M67:M130" si="22">CONCATENATE("mRNA",A67,": -&gt; ",C67," | ","0.00292"," - ","(","0.0093"," * ",C67,")")</f>
        <v>mRNA66: -&gt; E2_1_1_264_mRNA | 0.00292 - (0.0093 * E2_1_1_264_mRNA)</v>
      </c>
      <c r="N67" s="52" t="str">
        <f t="shared" ref="N67:N130" si="23">CONCATENATE("Peptide",A67,": ",C67," -&gt; ",D67," | ","(","0.278"," * ",C67,")"," - ","(","0.000000278"," * ",D67,")")</f>
        <v>Peptide66: E2_1_1_264_mRNA -&gt; E2_1_1_264 | (0.278 * E2_1_1_264_mRNA) - (0.000000278 * E2_1_1_264)</v>
      </c>
    </row>
    <row r="68" spans="1:14" ht="16">
      <c r="A68" s="41">
        <v>67</v>
      </c>
      <c r="B68" s="42" t="s">
        <v>8969</v>
      </c>
      <c r="C68" s="41" t="str">
        <f t="shared" si="12"/>
        <v>E2_1_1_28_mRNA</v>
      </c>
      <c r="D68" s="41" t="str">
        <f t="shared" si="13"/>
        <v>E2_1_1_28</v>
      </c>
      <c r="E68" s="43" t="str">
        <f t="shared" si="14"/>
        <v>E2_1_1_28_kcat : 13.7</v>
      </c>
      <c r="F68" s="44" t="str">
        <f t="shared" si="15"/>
        <v>E2_1_1_28_km : 1</v>
      </c>
      <c r="G68" s="45" t="str">
        <f t="shared" si="16"/>
        <v>E2_1_1_28_mRNA : E2_1_1_28_mRNA</v>
      </c>
      <c r="H68" s="46" t="str">
        <f t="shared" si="17"/>
        <v>E2_1_1_28 : E2_1_1_28</v>
      </c>
      <c r="I68" s="47" t="str">
        <f t="shared" si="18"/>
        <v>E2_1_1_28_mRNA : 0</v>
      </c>
      <c r="J68" s="48" t="str">
        <f t="shared" si="19"/>
        <v>E2_1_1_28 : 0</v>
      </c>
      <c r="K68" s="49" t="str">
        <f t="shared" si="20"/>
        <v>0.00292 - (0.0093 * E2_1_1_28_mRNA)</v>
      </c>
      <c r="L68" s="50" t="str">
        <f t="shared" si="21"/>
        <v>(0.278 * E2_1_1_28_mRNA) - (0.00000278 * E2_1_1_28)</v>
      </c>
      <c r="M68" s="51" t="str">
        <f t="shared" si="22"/>
        <v>mRNA67: -&gt; E2_1_1_28_mRNA | 0.00292 - (0.0093 * E2_1_1_28_mRNA)</v>
      </c>
      <c r="N68" s="52" t="str">
        <f t="shared" si="23"/>
        <v>Peptide67: E2_1_1_28_mRNA -&gt; E2_1_1_28 | (0.278 * E2_1_1_28_mRNA) - (0.000000278 * E2_1_1_28)</v>
      </c>
    </row>
    <row r="69" spans="1:14" ht="16">
      <c r="A69" s="41">
        <v>68</v>
      </c>
      <c r="B69" s="42" t="s">
        <v>8970</v>
      </c>
      <c r="C69" s="41" t="str">
        <f t="shared" si="12"/>
        <v>E2_1_1_297_mRNA</v>
      </c>
      <c r="D69" s="41" t="str">
        <f t="shared" si="13"/>
        <v>E2_1_1_297</v>
      </c>
      <c r="E69" s="43" t="str">
        <f t="shared" si="14"/>
        <v>E2_1_1_297_kcat : 13.7</v>
      </c>
      <c r="F69" s="44" t="str">
        <f t="shared" si="15"/>
        <v>E2_1_1_297_km : 1</v>
      </c>
      <c r="G69" s="45" t="str">
        <f t="shared" si="16"/>
        <v>E2_1_1_297_mRNA : E2_1_1_297_mRNA</v>
      </c>
      <c r="H69" s="46" t="str">
        <f t="shared" si="17"/>
        <v>E2_1_1_297 : E2_1_1_297</v>
      </c>
      <c r="I69" s="47" t="str">
        <f t="shared" si="18"/>
        <v>E2_1_1_297_mRNA : 0</v>
      </c>
      <c r="J69" s="48" t="str">
        <f t="shared" si="19"/>
        <v>E2_1_1_297 : 0</v>
      </c>
      <c r="K69" s="49" t="str">
        <f t="shared" si="20"/>
        <v>0.00292 - (0.0093 * E2_1_1_297_mRNA)</v>
      </c>
      <c r="L69" s="50" t="str">
        <f t="shared" si="21"/>
        <v>(0.278 * E2_1_1_297_mRNA) - (0.00000278 * E2_1_1_297)</v>
      </c>
      <c r="M69" s="51" t="str">
        <f t="shared" si="22"/>
        <v>mRNA68: -&gt; E2_1_1_297_mRNA | 0.00292 - (0.0093 * E2_1_1_297_mRNA)</v>
      </c>
      <c r="N69" s="52" t="str">
        <f t="shared" si="23"/>
        <v>Peptide68: E2_1_1_297_mRNA -&gt; E2_1_1_297 | (0.278 * E2_1_1_297_mRNA) - (0.000000278 * E2_1_1_297)</v>
      </c>
    </row>
    <row r="70" spans="1:14" ht="16">
      <c r="A70" s="41">
        <v>69</v>
      </c>
      <c r="B70" s="42" t="s">
        <v>8971</v>
      </c>
      <c r="C70" s="41" t="str">
        <f t="shared" si="12"/>
        <v>E2_1_1_33_mRNA</v>
      </c>
      <c r="D70" s="41" t="str">
        <f t="shared" si="13"/>
        <v>E2_1_1_33</v>
      </c>
      <c r="E70" s="43" t="str">
        <f t="shared" si="14"/>
        <v>E2_1_1_33_kcat : 13.7</v>
      </c>
      <c r="F70" s="44" t="str">
        <f t="shared" si="15"/>
        <v>E2_1_1_33_km : 1</v>
      </c>
      <c r="G70" s="45" t="str">
        <f t="shared" si="16"/>
        <v>E2_1_1_33_mRNA : E2_1_1_33_mRNA</v>
      </c>
      <c r="H70" s="46" t="str">
        <f t="shared" si="17"/>
        <v>E2_1_1_33 : E2_1_1_33</v>
      </c>
      <c r="I70" s="47" t="str">
        <f t="shared" si="18"/>
        <v>E2_1_1_33_mRNA : 0</v>
      </c>
      <c r="J70" s="48" t="str">
        <f t="shared" si="19"/>
        <v>E2_1_1_33 : 0</v>
      </c>
      <c r="K70" s="49" t="str">
        <f t="shared" si="20"/>
        <v>0.00292 - (0.0093 * E2_1_1_33_mRNA)</v>
      </c>
      <c r="L70" s="50" t="str">
        <f t="shared" si="21"/>
        <v>(0.278 * E2_1_1_33_mRNA) - (0.00000278 * E2_1_1_33)</v>
      </c>
      <c r="M70" s="51" t="str">
        <f t="shared" si="22"/>
        <v>mRNA69: -&gt; E2_1_1_33_mRNA | 0.00292 - (0.0093 * E2_1_1_33_mRNA)</v>
      </c>
      <c r="N70" s="52" t="str">
        <f t="shared" si="23"/>
        <v>Peptide69: E2_1_1_33_mRNA -&gt; E2_1_1_33 | (0.278 * E2_1_1_33_mRNA) - (0.000000278 * E2_1_1_33)</v>
      </c>
    </row>
    <row r="71" spans="1:14" ht="16">
      <c r="A71" s="41">
        <v>70</v>
      </c>
      <c r="B71" s="42" t="s">
        <v>8972</v>
      </c>
      <c r="C71" s="41" t="str">
        <f t="shared" si="12"/>
        <v>E2_1_1_45_mRNA</v>
      </c>
      <c r="D71" s="41" t="str">
        <f t="shared" si="13"/>
        <v>E2_1_1_45</v>
      </c>
      <c r="E71" s="43" t="str">
        <f t="shared" si="14"/>
        <v>E2_1_1_45_kcat : 13.7</v>
      </c>
      <c r="F71" s="44" t="str">
        <f t="shared" si="15"/>
        <v>E2_1_1_45_km : 1</v>
      </c>
      <c r="G71" s="45" t="str">
        <f t="shared" si="16"/>
        <v>E2_1_1_45_mRNA : E2_1_1_45_mRNA</v>
      </c>
      <c r="H71" s="46" t="str">
        <f t="shared" si="17"/>
        <v>E2_1_1_45 : E2_1_1_45</v>
      </c>
      <c r="I71" s="47" t="str">
        <f t="shared" si="18"/>
        <v>E2_1_1_45_mRNA : 0</v>
      </c>
      <c r="J71" s="48" t="str">
        <f t="shared" si="19"/>
        <v>E2_1_1_45 : 0</v>
      </c>
      <c r="K71" s="49" t="str">
        <f t="shared" si="20"/>
        <v>0.00292 - (0.0093 * E2_1_1_45_mRNA)</v>
      </c>
      <c r="L71" s="50" t="str">
        <f t="shared" si="21"/>
        <v>(0.278 * E2_1_1_45_mRNA) - (0.00000278 * E2_1_1_45)</v>
      </c>
      <c r="M71" s="51" t="str">
        <f t="shared" si="22"/>
        <v>mRNA70: -&gt; E2_1_1_45_mRNA | 0.00292 - (0.0093 * E2_1_1_45_mRNA)</v>
      </c>
      <c r="N71" s="52" t="str">
        <f t="shared" si="23"/>
        <v>Peptide70: E2_1_1_45_mRNA -&gt; E2_1_1_45 | (0.278 * E2_1_1_45_mRNA) - (0.000000278 * E2_1_1_45)</v>
      </c>
    </row>
    <row r="72" spans="1:14" ht="16">
      <c r="A72" s="41">
        <v>71</v>
      </c>
      <c r="B72" s="42" t="s">
        <v>8973</v>
      </c>
      <c r="C72" s="41" t="str">
        <f t="shared" si="12"/>
        <v>E2_1_1_63_mRNA</v>
      </c>
      <c r="D72" s="41" t="str">
        <f t="shared" si="13"/>
        <v>E2_1_1_63</v>
      </c>
      <c r="E72" s="43" t="str">
        <f t="shared" si="14"/>
        <v>E2_1_1_63_kcat : 13.7</v>
      </c>
      <c r="F72" s="44" t="str">
        <f t="shared" si="15"/>
        <v>E2_1_1_63_km : 1</v>
      </c>
      <c r="G72" s="45" t="str">
        <f t="shared" si="16"/>
        <v>E2_1_1_63_mRNA : E2_1_1_63_mRNA</v>
      </c>
      <c r="H72" s="46" t="str">
        <f t="shared" si="17"/>
        <v>E2_1_1_63 : E2_1_1_63</v>
      </c>
      <c r="I72" s="47" t="str">
        <f t="shared" si="18"/>
        <v>E2_1_1_63_mRNA : 0</v>
      </c>
      <c r="J72" s="48" t="str">
        <f t="shared" si="19"/>
        <v>E2_1_1_63 : 0</v>
      </c>
      <c r="K72" s="49" t="str">
        <f t="shared" si="20"/>
        <v>0.00292 - (0.0093 * E2_1_1_63_mRNA)</v>
      </c>
      <c r="L72" s="50" t="str">
        <f t="shared" si="21"/>
        <v>(0.278 * E2_1_1_63_mRNA) - (0.00000278 * E2_1_1_63)</v>
      </c>
      <c r="M72" s="51" t="str">
        <f t="shared" si="22"/>
        <v>mRNA71: -&gt; E2_1_1_63_mRNA | 0.00292 - (0.0093 * E2_1_1_63_mRNA)</v>
      </c>
      <c r="N72" s="52" t="str">
        <f t="shared" si="23"/>
        <v>Peptide71: E2_1_1_63_mRNA -&gt; E2_1_1_63 | (0.278 * E2_1_1_63_mRNA) - (0.000000278 * E2_1_1_63)</v>
      </c>
    </row>
    <row r="73" spans="1:14" ht="16">
      <c r="A73" s="41">
        <v>72</v>
      </c>
      <c r="B73" s="42" t="s">
        <v>8974</v>
      </c>
      <c r="C73" s="41" t="str">
        <f t="shared" si="12"/>
        <v>E2_1_1_72_mRNA</v>
      </c>
      <c r="D73" s="41" t="str">
        <f t="shared" si="13"/>
        <v>E2_1_1_72</v>
      </c>
      <c r="E73" s="43" t="str">
        <f t="shared" si="14"/>
        <v>E2_1_1_72_kcat : 13.7</v>
      </c>
      <c r="F73" s="44" t="str">
        <f t="shared" si="15"/>
        <v>E2_1_1_72_km : 1</v>
      </c>
      <c r="G73" s="45" t="str">
        <f t="shared" si="16"/>
        <v>E2_1_1_72_mRNA : E2_1_1_72_mRNA</v>
      </c>
      <c r="H73" s="46" t="str">
        <f t="shared" si="17"/>
        <v>E2_1_1_72 : E2_1_1_72</v>
      </c>
      <c r="I73" s="47" t="str">
        <f t="shared" si="18"/>
        <v>E2_1_1_72_mRNA : 0</v>
      </c>
      <c r="J73" s="48" t="str">
        <f t="shared" si="19"/>
        <v>E2_1_1_72 : 0</v>
      </c>
      <c r="K73" s="49" t="str">
        <f t="shared" si="20"/>
        <v>0.00292 - (0.0093 * E2_1_1_72_mRNA)</v>
      </c>
      <c r="L73" s="50" t="str">
        <f t="shared" si="21"/>
        <v>(0.278 * E2_1_1_72_mRNA) - (0.00000278 * E2_1_1_72)</v>
      </c>
      <c r="M73" s="51" t="str">
        <f t="shared" si="22"/>
        <v>mRNA72: -&gt; E2_1_1_72_mRNA | 0.00292 - (0.0093 * E2_1_1_72_mRNA)</v>
      </c>
      <c r="N73" s="52" t="str">
        <f t="shared" si="23"/>
        <v>Peptide72: E2_1_1_72_mRNA -&gt; E2_1_1_72 | (0.278 * E2_1_1_72_mRNA) - (0.000000278 * E2_1_1_72)</v>
      </c>
    </row>
    <row r="74" spans="1:14" ht="16">
      <c r="A74" s="41">
        <v>73</v>
      </c>
      <c r="B74" s="42" t="s">
        <v>8975</v>
      </c>
      <c r="C74" s="41" t="str">
        <f t="shared" si="12"/>
        <v>E2_1_1_74_mRNA</v>
      </c>
      <c r="D74" s="41" t="str">
        <f t="shared" si="13"/>
        <v>E2_1_1_74</v>
      </c>
      <c r="E74" s="43" t="str">
        <f t="shared" si="14"/>
        <v>E2_1_1_74_kcat : 13.7</v>
      </c>
      <c r="F74" s="44" t="str">
        <f t="shared" si="15"/>
        <v>E2_1_1_74_km : 1</v>
      </c>
      <c r="G74" s="45" t="str">
        <f t="shared" si="16"/>
        <v>E2_1_1_74_mRNA : E2_1_1_74_mRNA</v>
      </c>
      <c r="H74" s="46" t="str">
        <f t="shared" si="17"/>
        <v>E2_1_1_74 : E2_1_1_74</v>
      </c>
      <c r="I74" s="47" t="str">
        <f t="shared" si="18"/>
        <v>E2_1_1_74_mRNA : 0</v>
      </c>
      <c r="J74" s="48" t="str">
        <f t="shared" si="19"/>
        <v>E2_1_1_74 : 0</v>
      </c>
      <c r="K74" s="49" t="str">
        <f t="shared" si="20"/>
        <v>0.00292 - (0.0093 * E2_1_1_74_mRNA)</v>
      </c>
      <c r="L74" s="50" t="str">
        <f t="shared" si="21"/>
        <v>(0.278 * E2_1_1_74_mRNA) - (0.00000278 * E2_1_1_74)</v>
      </c>
      <c r="M74" s="51" t="str">
        <f t="shared" si="22"/>
        <v>mRNA73: -&gt; E2_1_1_74_mRNA | 0.00292 - (0.0093 * E2_1_1_74_mRNA)</v>
      </c>
      <c r="N74" s="52" t="str">
        <f t="shared" si="23"/>
        <v>Peptide73: E2_1_1_74_mRNA -&gt; E2_1_1_74 | (0.278 * E2_1_1_74_mRNA) - (0.000000278 * E2_1_1_74)</v>
      </c>
    </row>
    <row r="75" spans="1:14" ht="16">
      <c r="A75" s="41">
        <v>74</v>
      </c>
      <c r="B75" s="42" t="s">
        <v>8976</v>
      </c>
      <c r="C75" s="41" t="str">
        <f t="shared" si="12"/>
        <v>E2_1_1_79_mRNA</v>
      </c>
      <c r="D75" s="41" t="str">
        <f t="shared" si="13"/>
        <v>E2_1_1_79</v>
      </c>
      <c r="E75" s="43" t="str">
        <f t="shared" si="14"/>
        <v>E2_1_1_79_kcat : 13.7</v>
      </c>
      <c r="F75" s="44" t="str">
        <f t="shared" si="15"/>
        <v>E2_1_1_79_km : 1</v>
      </c>
      <c r="G75" s="45" t="str">
        <f t="shared" si="16"/>
        <v>E2_1_1_79_mRNA : E2_1_1_79_mRNA</v>
      </c>
      <c r="H75" s="46" t="str">
        <f t="shared" si="17"/>
        <v>E2_1_1_79 : E2_1_1_79</v>
      </c>
      <c r="I75" s="47" t="str">
        <f t="shared" si="18"/>
        <v>E2_1_1_79_mRNA : 0</v>
      </c>
      <c r="J75" s="48" t="str">
        <f t="shared" si="19"/>
        <v>E2_1_1_79 : 0</v>
      </c>
      <c r="K75" s="49" t="str">
        <f t="shared" si="20"/>
        <v>0.00292 - (0.0093 * E2_1_1_79_mRNA)</v>
      </c>
      <c r="L75" s="50" t="str">
        <f t="shared" si="21"/>
        <v>(0.278 * E2_1_1_79_mRNA) - (0.00000278 * E2_1_1_79)</v>
      </c>
      <c r="M75" s="51" t="str">
        <f t="shared" si="22"/>
        <v>mRNA74: -&gt; E2_1_1_79_mRNA | 0.00292 - (0.0093 * E2_1_1_79_mRNA)</v>
      </c>
      <c r="N75" s="52" t="str">
        <f t="shared" si="23"/>
        <v>Peptide74: E2_1_1_79_mRNA -&gt; E2_1_1_79 | (0.278 * E2_1_1_79_mRNA) - (0.000000278 * E2_1_1_79)</v>
      </c>
    </row>
    <row r="76" spans="1:14" ht="16">
      <c r="A76" s="41">
        <v>75</v>
      </c>
      <c r="B76" s="42" t="s">
        <v>8977</v>
      </c>
      <c r="C76" s="41" t="str">
        <f t="shared" si="12"/>
        <v>E2_1_2_1_mRNA</v>
      </c>
      <c r="D76" s="41" t="str">
        <f t="shared" si="13"/>
        <v>E2_1_2_1</v>
      </c>
      <c r="E76" s="43" t="str">
        <f t="shared" si="14"/>
        <v>E2_1_2_1_kcat : 13.7</v>
      </c>
      <c r="F76" s="44" t="str">
        <f t="shared" si="15"/>
        <v>E2_1_2_1_km : 1</v>
      </c>
      <c r="G76" s="45" t="str">
        <f t="shared" si="16"/>
        <v>E2_1_2_1_mRNA : E2_1_2_1_mRNA</v>
      </c>
      <c r="H76" s="46" t="str">
        <f t="shared" si="17"/>
        <v>E2_1_2_1 : E2_1_2_1</v>
      </c>
      <c r="I76" s="47" t="str">
        <f t="shared" si="18"/>
        <v>E2_1_2_1_mRNA : 0</v>
      </c>
      <c r="J76" s="48" t="str">
        <f t="shared" si="19"/>
        <v>E2_1_2_1 : 0</v>
      </c>
      <c r="K76" s="49" t="str">
        <f t="shared" si="20"/>
        <v>0.00292 - (0.0093 * E2_1_2_1_mRNA)</v>
      </c>
      <c r="L76" s="50" t="str">
        <f t="shared" si="21"/>
        <v>(0.278 * E2_1_2_1_mRNA) - (0.00000278 * E2_1_2_1)</v>
      </c>
      <c r="M76" s="51" t="str">
        <f t="shared" si="22"/>
        <v>mRNA75: -&gt; E2_1_2_1_mRNA | 0.00292 - (0.0093 * E2_1_2_1_mRNA)</v>
      </c>
      <c r="N76" s="52" t="str">
        <f t="shared" si="23"/>
        <v>Peptide75: E2_1_2_1_mRNA -&gt; E2_1_2_1 | (0.278 * E2_1_2_1_mRNA) - (0.000000278 * E2_1_2_1)</v>
      </c>
    </row>
    <row r="77" spans="1:14" ht="16">
      <c r="A77" s="41">
        <v>76</v>
      </c>
      <c r="B77" s="42" t="s">
        <v>8978</v>
      </c>
      <c r="C77" s="41" t="str">
        <f t="shared" si="12"/>
        <v>E2_1_2_2_mRNA</v>
      </c>
      <c r="D77" s="41" t="str">
        <f t="shared" si="13"/>
        <v>E2_1_2_2</v>
      </c>
      <c r="E77" s="43" t="str">
        <f t="shared" si="14"/>
        <v>E2_1_2_2_kcat : 13.7</v>
      </c>
      <c r="F77" s="44" t="str">
        <f t="shared" si="15"/>
        <v>E2_1_2_2_km : 1</v>
      </c>
      <c r="G77" s="45" t="str">
        <f t="shared" si="16"/>
        <v>E2_1_2_2_mRNA : E2_1_2_2_mRNA</v>
      </c>
      <c r="H77" s="46" t="str">
        <f t="shared" si="17"/>
        <v>E2_1_2_2 : E2_1_2_2</v>
      </c>
      <c r="I77" s="47" t="str">
        <f t="shared" si="18"/>
        <v>E2_1_2_2_mRNA : 0</v>
      </c>
      <c r="J77" s="48" t="str">
        <f t="shared" si="19"/>
        <v>E2_1_2_2 : 0</v>
      </c>
      <c r="K77" s="49" t="str">
        <f t="shared" si="20"/>
        <v>0.00292 - (0.0093 * E2_1_2_2_mRNA)</v>
      </c>
      <c r="L77" s="50" t="str">
        <f t="shared" si="21"/>
        <v>(0.278 * E2_1_2_2_mRNA) - (0.00000278 * E2_1_2_2)</v>
      </c>
      <c r="M77" s="51" t="str">
        <f t="shared" si="22"/>
        <v>mRNA76: -&gt; E2_1_2_2_mRNA | 0.00292 - (0.0093 * E2_1_2_2_mRNA)</v>
      </c>
      <c r="N77" s="52" t="str">
        <f t="shared" si="23"/>
        <v>Peptide76: E2_1_2_2_mRNA -&gt; E2_1_2_2 | (0.278 * E2_1_2_2_mRNA) - (0.000000278 * E2_1_2_2)</v>
      </c>
    </row>
    <row r="78" spans="1:14" ht="16">
      <c r="A78" s="41">
        <v>77</v>
      </c>
      <c r="B78" s="42" t="s">
        <v>8979</v>
      </c>
      <c r="C78" s="41" t="str">
        <f t="shared" si="12"/>
        <v>E2_1_2_3_mRNA</v>
      </c>
      <c r="D78" s="41" t="str">
        <f t="shared" si="13"/>
        <v>E2_1_2_3</v>
      </c>
      <c r="E78" s="43" t="str">
        <f t="shared" si="14"/>
        <v>E2_1_2_3_kcat : 13.7</v>
      </c>
      <c r="F78" s="44" t="str">
        <f t="shared" si="15"/>
        <v>E2_1_2_3_km : 1</v>
      </c>
      <c r="G78" s="45" t="str">
        <f t="shared" si="16"/>
        <v>E2_1_2_3_mRNA : E2_1_2_3_mRNA</v>
      </c>
      <c r="H78" s="46" t="str">
        <f t="shared" si="17"/>
        <v>E2_1_2_3 : E2_1_2_3</v>
      </c>
      <c r="I78" s="47" t="str">
        <f t="shared" si="18"/>
        <v>E2_1_2_3_mRNA : 0</v>
      </c>
      <c r="J78" s="48" t="str">
        <f t="shared" si="19"/>
        <v>E2_1_2_3 : 0</v>
      </c>
      <c r="K78" s="49" t="str">
        <f t="shared" si="20"/>
        <v>0.00292 - (0.0093 * E2_1_2_3_mRNA)</v>
      </c>
      <c r="L78" s="50" t="str">
        <f t="shared" si="21"/>
        <v>(0.278 * E2_1_2_3_mRNA) - (0.00000278 * E2_1_2_3)</v>
      </c>
      <c r="M78" s="51" t="str">
        <f t="shared" si="22"/>
        <v>mRNA77: -&gt; E2_1_2_3_mRNA | 0.00292 - (0.0093 * E2_1_2_3_mRNA)</v>
      </c>
      <c r="N78" s="52" t="str">
        <f t="shared" si="23"/>
        <v>Peptide77: E2_1_2_3_mRNA -&gt; E2_1_2_3 | (0.278 * E2_1_2_3_mRNA) - (0.000000278 * E2_1_2_3)</v>
      </c>
    </row>
    <row r="79" spans="1:14" ht="16">
      <c r="A79" s="41">
        <v>78</v>
      </c>
      <c r="B79" s="42" t="s">
        <v>8980</v>
      </c>
      <c r="C79" s="41" t="str">
        <f t="shared" si="12"/>
        <v>E3_5_4_10_mRNA</v>
      </c>
      <c r="D79" s="41" t="str">
        <f t="shared" si="13"/>
        <v>E3_5_4_10</v>
      </c>
      <c r="E79" s="43" t="str">
        <f t="shared" si="14"/>
        <v>E3_5_4_10_kcat : 13.7</v>
      </c>
      <c r="F79" s="44" t="str">
        <f t="shared" si="15"/>
        <v>E3_5_4_10_km : 1</v>
      </c>
      <c r="G79" s="45" t="str">
        <f t="shared" si="16"/>
        <v>E3_5_4_10_mRNA : E3_5_4_10_mRNA</v>
      </c>
      <c r="H79" s="46" t="str">
        <f t="shared" si="17"/>
        <v>E3_5_4_10 : E3_5_4_10</v>
      </c>
      <c r="I79" s="47" t="str">
        <f t="shared" si="18"/>
        <v>E3_5_4_10_mRNA : 0</v>
      </c>
      <c r="J79" s="48" t="str">
        <f t="shared" si="19"/>
        <v>E3_5_4_10 : 0</v>
      </c>
      <c r="K79" s="49" t="str">
        <f t="shared" si="20"/>
        <v>0.00292 - (0.0093 * E3_5_4_10_mRNA)</v>
      </c>
      <c r="L79" s="50" t="str">
        <f t="shared" si="21"/>
        <v>(0.278 * E3_5_4_10_mRNA) - (0.00000278 * E3_5_4_10)</v>
      </c>
      <c r="M79" s="51" t="str">
        <f t="shared" si="22"/>
        <v>mRNA78: -&gt; E3_5_4_10_mRNA | 0.00292 - (0.0093 * E3_5_4_10_mRNA)</v>
      </c>
      <c r="N79" s="52" t="str">
        <f t="shared" si="23"/>
        <v>Peptide78: E3_5_4_10_mRNA -&gt; E3_5_4_10 | (0.278 * E3_5_4_10_mRNA) - (0.000000278 * E3_5_4_10)</v>
      </c>
    </row>
    <row r="80" spans="1:14" ht="16">
      <c r="A80" s="41">
        <v>79</v>
      </c>
      <c r="B80" s="42" t="s">
        <v>8981</v>
      </c>
      <c r="C80" s="41" t="str">
        <f t="shared" si="12"/>
        <v>E2_1_2_9_mRNA</v>
      </c>
      <c r="D80" s="41" t="str">
        <f t="shared" si="13"/>
        <v>E2_1_2_9</v>
      </c>
      <c r="E80" s="43" t="str">
        <f t="shared" si="14"/>
        <v>E2_1_2_9_kcat : 13.7</v>
      </c>
      <c r="F80" s="44" t="str">
        <f t="shared" si="15"/>
        <v>E2_1_2_9_km : 1</v>
      </c>
      <c r="G80" s="45" t="str">
        <f t="shared" si="16"/>
        <v>E2_1_2_9_mRNA : E2_1_2_9_mRNA</v>
      </c>
      <c r="H80" s="46" t="str">
        <f t="shared" si="17"/>
        <v>E2_1_2_9 : E2_1_2_9</v>
      </c>
      <c r="I80" s="47" t="str">
        <f t="shared" si="18"/>
        <v>E2_1_2_9_mRNA : 0</v>
      </c>
      <c r="J80" s="48" t="str">
        <f t="shared" si="19"/>
        <v>E2_1_2_9 : 0</v>
      </c>
      <c r="K80" s="49" t="str">
        <f t="shared" si="20"/>
        <v>0.00292 - (0.0093 * E2_1_2_9_mRNA)</v>
      </c>
      <c r="L80" s="50" t="str">
        <f t="shared" si="21"/>
        <v>(0.278 * E2_1_2_9_mRNA) - (0.00000278 * E2_1_2_9)</v>
      </c>
      <c r="M80" s="51" t="str">
        <f t="shared" si="22"/>
        <v>mRNA79: -&gt; E2_1_2_9_mRNA | 0.00292 - (0.0093 * E2_1_2_9_mRNA)</v>
      </c>
      <c r="N80" s="52" t="str">
        <f t="shared" si="23"/>
        <v>Peptide79: E2_1_2_9_mRNA -&gt; E2_1_2_9 | (0.278 * E2_1_2_9_mRNA) - (0.000000278 * E2_1_2_9)</v>
      </c>
    </row>
    <row r="81" spans="1:14" ht="16">
      <c r="A81" s="41">
        <v>80</v>
      </c>
      <c r="B81" s="42" t="s">
        <v>8982</v>
      </c>
      <c r="C81" s="41" t="str">
        <f t="shared" si="12"/>
        <v>E2_1_3_15_mRNA</v>
      </c>
      <c r="D81" s="41" t="str">
        <f t="shared" si="13"/>
        <v>E2_1_3_15</v>
      </c>
      <c r="E81" s="43" t="str">
        <f t="shared" si="14"/>
        <v>E2_1_3_15_kcat : 13.7</v>
      </c>
      <c r="F81" s="44" t="str">
        <f t="shared" si="15"/>
        <v>E2_1_3_15_km : 1</v>
      </c>
      <c r="G81" s="45" t="str">
        <f t="shared" si="16"/>
        <v>E2_1_3_15_mRNA : E2_1_3_15_mRNA</v>
      </c>
      <c r="H81" s="46" t="str">
        <f t="shared" si="17"/>
        <v>E2_1_3_15 : E2_1_3_15</v>
      </c>
      <c r="I81" s="47" t="str">
        <f t="shared" si="18"/>
        <v>E2_1_3_15_mRNA : 0</v>
      </c>
      <c r="J81" s="48" t="str">
        <f t="shared" si="19"/>
        <v>E2_1_3_15 : 0</v>
      </c>
      <c r="K81" s="49" t="str">
        <f t="shared" si="20"/>
        <v>0.00292 - (0.0093 * E2_1_3_15_mRNA)</v>
      </c>
      <c r="L81" s="50" t="str">
        <f t="shared" si="21"/>
        <v>(0.278 * E2_1_3_15_mRNA) - (0.00000278 * E2_1_3_15)</v>
      </c>
      <c r="M81" s="51" t="str">
        <f t="shared" si="22"/>
        <v>mRNA80: -&gt; E2_1_3_15_mRNA | 0.00292 - (0.0093 * E2_1_3_15_mRNA)</v>
      </c>
      <c r="N81" s="52" t="str">
        <f t="shared" si="23"/>
        <v>Peptide80: E2_1_3_15_mRNA -&gt; E2_1_3_15 | (0.278 * E2_1_3_15_mRNA) - (0.000000278 * E2_1_3_15)</v>
      </c>
    </row>
    <row r="82" spans="1:14" ht="16">
      <c r="A82" s="41">
        <v>81</v>
      </c>
      <c r="B82" s="42" t="s">
        <v>8983</v>
      </c>
      <c r="C82" s="41" t="str">
        <f t="shared" si="12"/>
        <v>E2_1_3_2_mRNA</v>
      </c>
      <c r="D82" s="41" t="str">
        <f t="shared" si="13"/>
        <v>E2_1_3_2</v>
      </c>
      <c r="E82" s="43" t="str">
        <f t="shared" si="14"/>
        <v>E2_1_3_2_kcat : 13.7</v>
      </c>
      <c r="F82" s="44" t="str">
        <f t="shared" si="15"/>
        <v>E2_1_3_2_km : 1</v>
      </c>
      <c r="G82" s="45" t="str">
        <f t="shared" si="16"/>
        <v>E2_1_3_2_mRNA : E2_1_3_2_mRNA</v>
      </c>
      <c r="H82" s="46" t="str">
        <f t="shared" si="17"/>
        <v>E2_1_3_2 : E2_1_3_2</v>
      </c>
      <c r="I82" s="47" t="str">
        <f t="shared" si="18"/>
        <v>E2_1_3_2_mRNA : 0</v>
      </c>
      <c r="J82" s="48" t="str">
        <f t="shared" si="19"/>
        <v>E2_1_3_2 : 0</v>
      </c>
      <c r="K82" s="49" t="str">
        <f t="shared" si="20"/>
        <v>0.00292 - (0.0093 * E2_1_3_2_mRNA)</v>
      </c>
      <c r="L82" s="50" t="str">
        <f t="shared" si="21"/>
        <v>(0.278 * E2_1_3_2_mRNA) - (0.00000278 * E2_1_3_2)</v>
      </c>
      <c r="M82" s="51" t="str">
        <f t="shared" si="22"/>
        <v>mRNA81: -&gt; E2_1_3_2_mRNA | 0.00292 - (0.0093 * E2_1_3_2_mRNA)</v>
      </c>
      <c r="N82" s="52" t="str">
        <f t="shared" si="23"/>
        <v>Peptide81: E2_1_3_2_mRNA -&gt; E2_1_3_2 | (0.278 * E2_1_3_2_mRNA) - (0.000000278 * E2_1_3_2)</v>
      </c>
    </row>
    <row r="83" spans="1:14" ht="16">
      <c r="A83" s="41">
        <v>82</v>
      </c>
      <c r="B83" s="42" t="s">
        <v>8984</v>
      </c>
      <c r="C83" s="41" t="str">
        <f t="shared" si="12"/>
        <v>E2_1_3_3_mRNA</v>
      </c>
      <c r="D83" s="41" t="str">
        <f t="shared" si="13"/>
        <v>E2_1_3_3</v>
      </c>
      <c r="E83" s="43" t="str">
        <f t="shared" si="14"/>
        <v>E2_1_3_3_kcat : 13.7</v>
      </c>
      <c r="F83" s="44" t="str">
        <f t="shared" si="15"/>
        <v>E2_1_3_3_km : 1</v>
      </c>
      <c r="G83" s="45" t="str">
        <f t="shared" si="16"/>
        <v>E2_1_3_3_mRNA : E2_1_3_3_mRNA</v>
      </c>
      <c r="H83" s="46" t="str">
        <f t="shared" si="17"/>
        <v>E2_1_3_3 : E2_1_3_3</v>
      </c>
      <c r="I83" s="47" t="str">
        <f t="shared" si="18"/>
        <v>E2_1_3_3_mRNA : 0</v>
      </c>
      <c r="J83" s="48" t="str">
        <f t="shared" si="19"/>
        <v>E2_1_3_3 : 0</v>
      </c>
      <c r="K83" s="49" t="str">
        <f t="shared" si="20"/>
        <v>0.00292 - (0.0093 * E2_1_3_3_mRNA)</v>
      </c>
      <c r="L83" s="50" t="str">
        <f t="shared" si="21"/>
        <v>(0.278 * E2_1_3_3_mRNA) - (0.00000278 * E2_1_3_3)</v>
      </c>
      <c r="M83" s="51" t="str">
        <f t="shared" si="22"/>
        <v>mRNA82: -&gt; E2_1_3_3_mRNA | 0.00292 - (0.0093 * E2_1_3_3_mRNA)</v>
      </c>
      <c r="N83" s="52" t="str">
        <f t="shared" si="23"/>
        <v>Peptide82: E2_1_3_3_mRNA -&gt; E2_1_3_3 | (0.278 * E2_1_3_3_mRNA) - (0.000000278 * E2_1_3_3)</v>
      </c>
    </row>
    <row r="84" spans="1:14" ht="16">
      <c r="A84" s="41">
        <v>83</v>
      </c>
      <c r="B84" s="42" t="s">
        <v>8985</v>
      </c>
      <c r="C84" s="41" t="str">
        <f t="shared" si="12"/>
        <v>E2_1_5_4_mRNA</v>
      </c>
      <c r="D84" s="41" t="str">
        <f t="shared" si="13"/>
        <v>E2_1_5_4</v>
      </c>
      <c r="E84" s="43" t="str">
        <f t="shared" si="14"/>
        <v>E2_1_5_4_kcat : 13.7</v>
      </c>
      <c r="F84" s="44" t="str">
        <f t="shared" si="15"/>
        <v>E2_1_5_4_km : 1</v>
      </c>
      <c r="G84" s="45" t="str">
        <f t="shared" si="16"/>
        <v>E2_1_5_4_mRNA : E2_1_5_4_mRNA</v>
      </c>
      <c r="H84" s="46" t="str">
        <f t="shared" si="17"/>
        <v>E2_1_5_4 : E2_1_5_4</v>
      </c>
      <c r="I84" s="47" t="str">
        <f t="shared" si="18"/>
        <v>E2_1_5_4_mRNA : 0</v>
      </c>
      <c r="J84" s="48" t="str">
        <f t="shared" si="19"/>
        <v>E2_1_5_4 : 0</v>
      </c>
      <c r="K84" s="49" t="str">
        <f t="shared" si="20"/>
        <v>0.00292 - (0.0093 * E2_1_5_4_mRNA)</v>
      </c>
      <c r="L84" s="50" t="str">
        <f t="shared" si="21"/>
        <v>(0.278 * E2_1_5_4_mRNA) - (0.00000278 * E2_1_5_4)</v>
      </c>
      <c r="M84" s="51" t="str">
        <f t="shared" si="22"/>
        <v>mRNA83: -&gt; E2_1_5_4_mRNA | 0.00292 - (0.0093 * E2_1_5_4_mRNA)</v>
      </c>
      <c r="N84" s="52" t="str">
        <f t="shared" si="23"/>
        <v>Peptide83: E2_1_5_4_mRNA -&gt; E2_1_5_4 | (0.278 * E2_1_5_4_mRNA) - (0.000000278 * E2_1_5_4)</v>
      </c>
    </row>
    <row r="85" spans="1:14" ht="16">
      <c r="A85" s="41">
        <v>84</v>
      </c>
      <c r="B85" s="42" t="s">
        <v>8986</v>
      </c>
      <c r="C85" s="41" t="str">
        <f t="shared" si="12"/>
        <v>E2_2_1_1_mRNA</v>
      </c>
      <c r="D85" s="41" t="str">
        <f t="shared" si="13"/>
        <v>E2_2_1_1</v>
      </c>
      <c r="E85" s="43" t="str">
        <f t="shared" si="14"/>
        <v>E2_2_1_1_kcat : 13.7</v>
      </c>
      <c r="F85" s="44" t="str">
        <f t="shared" si="15"/>
        <v>E2_2_1_1_km : 1</v>
      </c>
      <c r="G85" s="45" t="str">
        <f t="shared" si="16"/>
        <v>E2_2_1_1_mRNA : E2_2_1_1_mRNA</v>
      </c>
      <c r="H85" s="46" t="str">
        <f t="shared" si="17"/>
        <v>E2_2_1_1 : E2_2_1_1</v>
      </c>
      <c r="I85" s="47" t="str">
        <f t="shared" si="18"/>
        <v>E2_2_1_1_mRNA : 0</v>
      </c>
      <c r="J85" s="48" t="str">
        <f t="shared" si="19"/>
        <v>E2_2_1_1 : 0</v>
      </c>
      <c r="K85" s="49" t="str">
        <f t="shared" si="20"/>
        <v>0.00292 - (0.0093 * E2_2_1_1_mRNA)</v>
      </c>
      <c r="L85" s="50" t="str">
        <f t="shared" si="21"/>
        <v>(0.278 * E2_2_1_1_mRNA) - (0.00000278 * E2_2_1_1)</v>
      </c>
      <c r="M85" s="51" t="str">
        <f t="shared" si="22"/>
        <v>mRNA84: -&gt; E2_2_1_1_mRNA | 0.00292 - (0.0093 * E2_2_1_1_mRNA)</v>
      </c>
      <c r="N85" s="52" t="str">
        <f t="shared" si="23"/>
        <v>Peptide84: E2_2_1_1_mRNA -&gt; E2_2_1_1 | (0.278 * E2_2_1_1_mRNA) - (0.000000278 * E2_2_1_1)</v>
      </c>
    </row>
    <row r="86" spans="1:14" ht="16">
      <c r="A86" s="41">
        <v>85</v>
      </c>
      <c r="B86" s="42" t="s">
        <v>8987</v>
      </c>
      <c r="C86" s="41" t="str">
        <f t="shared" si="12"/>
        <v>E2_2_1_6_mRNA</v>
      </c>
      <c r="D86" s="41" t="str">
        <f t="shared" si="13"/>
        <v>E2_2_1_6</v>
      </c>
      <c r="E86" s="43" t="str">
        <f t="shared" si="14"/>
        <v>E2_2_1_6_kcat : 13.7</v>
      </c>
      <c r="F86" s="44" t="str">
        <f t="shared" si="15"/>
        <v>E2_2_1_6_km : 1</v>
      </c>
      <c r="G86" s="45" t="str">
        <f t="shared" si="16"/>
        <v>E2_2_1_6_mRNA : E2_2_1_6_mRNA</v>
      </c>
      <c r="H86" s="46" t="str">
        <f t="shared" si="17"/>
        <v>E2_2_1_6 : E2_2_1_6</v>
      </c>
      <c r="I86" s="47" t="str">
        <f t="shared" si="18"/>
        <v>E2_2_1_6_mRNA : 0</v>
      </c>
      <c r="J86" s="48" t="str">
        <f t="shared" si="19"/>
        <v>E2_2_1_6 : 0</v>
      </c>
      <c r="K86" s="49" t="str">
        <f t="shared" si="20"/>
        <v>0.00292 - (0.0093 * E2_2_1_6_mRNA)</v>
      </c>
      <c r="L86" s="50" t="str">
        <f t="shared" si="21"/>
        <v>(0.278 * E2_2_1_6_mRNA) - (0.00000278 * E2_2_1_6)</v>
      </c>
      <c r="M86" s="51" t="str">
        <f t="shared" si="22"/>
        <v>mRNA85: -&gt; E2_2_1_6_mRNA | 0.00292 - (0.0093 * E2_2_1_6_mRNA)</v>
      </c>
      <c r="N86" s="52" t="str">
        <f t="shared" si="23"/>
        <v>Peptide85: E2_2_1_6_mRNA -&gt; E2_2_1_6 | (0.278 * E2_2_1_6_mRNA) - (0.000000278 * E2_2_1_6)</v>
      </c>
    </row>
    <row r="87" spans="1:14" ht="16">
      <c r="A87" s="41">
        <v>86</v>
      </c>
      <c r="B87" s="42" t="s">
        <v>8988</v>
      </c>
      <c r="C87" s="41" t="str">
        <f t="shared" si="12"/>
        <v>E2_3_3_13_mRNA</v>
      </c>
      <c r="D87" s="41" t="str">
        <f t="shared" si="13"/>
        <v>E2_3_3_13</v>
      </c>
      <c r="E87" s="43" t="str">
        <f t="shared" si="14"/>
        <v>E2_3_3_13_kcat : 13.7</v>
      </c>
      <c r="F87" s="44" t="str">
        <f t="shared" si="15"/>
        <v>E2_3_3_13_km : 1</v>
      </c>
      <c r="G87" s="45" t="str">
        <f t="shared" si="16"/>
        <v>E2_3_3_13_mRNA : E2_3_3_13_mRNA</v>
      </c>
      <c r="H87" s="46" t="str">
        <f t="shared" si="17"/>
        <v>E2_3_3_13 : E2_3_3_13</v>
      </c>
      <c r="I87" s="47" t="str">
        <f t="shared" si="18"/>
        <v>E2_3_3_13_mRNA : 0</v>
      </c>
      <c r="J87" s="48" t="str">
        <f t="shared" si="19"/>
        <v>E2_3_3_13 : 0</v>
      </c>
      <c r="K87" s="49" t="str">
        <f t="shared" si="20"/>
        <v>0.00292 - (0.0093 * E2_3_3_13_mRNA)</v>
      </c>
      <c r="L87" s="50" t="str">
        <f t="shared" si="21"/>
        <v>(0.278 * E2_3_3_13_mRNA) - (0.00000278 * E2_3_3_13)</v>
      </c>
      <c r="M87" s="51" t="str">
        <f t="shared" si="22"/>
        <v>mRNA86: -&gt; E2_3_3_13_mRNA | 0.00292 - (0.0093 * E2_3_3_13_mRNA)</v>
      </c>
      <c r="N87" s="52" t="str">
        <f t="shared" si="23"/>
        <v>Peptide86: E2_3_3_13_mRNA -&gt; E2_3_3_13 | (0.278 * E2_3_3_13_mRNA) - (0.000000278 * E2_3_3_13)</v>
      </c>
    </row>
    <row r="88" spans="1:14" ht="16">
      <c r="A88" s="41">
        <v>87</v>
      </c>
      <c r="B88" s="42" t="s">
        <v>8989</v>
      </c>
      <c r="C88" s="41" t="str">
        <f t="shared" si="12"/>
        <v>E2_3_1_180_mRNA</v>
      </c>
      <c r="D88" s="41" t="str">
        <f t="shared" si="13"/>
        <v>E2_3_1_180</v>
      </c>
      <c r="E88" s="43" t="str">
        <f t="shared" si="14"/>
        <v>E2_3_1_180_kcat : 13.7</v>
      </c>
      <c r="F88" s="44" t="str">
        <f t="shared" si="15"/>
        <v>E2_3_1_180_km : 1</v>
      </c>
      <c r="G88" s="45" t="str">
        <f t="shared" si="16"/>
        <v>E2_3_1_180_mRNA : E2_3_1_180_mRNA</v>
      </c>
      <c r="H88" s="46" t="str">
        <f t="shared" si="17"/>
        <v>E2_3_1_180 : E2_3_1_180</v>
      </c>
      <c r="I88" s="47" t="str">
        <f t="shared" si="18"/>
        <v>E2_3_1_180_mRNA : 0</v>
      </c>
      <c r="J88" s="48" t="str">
        <f t="shared" si="19"/>
        <v>E2_3_1_180 : 0</v>
      </c>
      <c r="K88" s="49" t="str">
        <f t="shared" si="20"/>
        <v>0.00292 - (0.0093 * E2_3_1_180_mRNA)</v>
      </c>
      <c r="L88" s="50" t="str">
        <f t="shared" si="21"/>
        <v>(0.278 * E2_3_1_180_mRNA) - (0.00000278 * E2_3_1_180)</v>
      </c>
      <c r="M88" s="51" t="str">
        <f t="shared" si="22"/>
        <v>mRNA87: -&gt; E2_3_1_180_mRNA | 0.00292 - (0.0093 * E2_3_1_180_mRNA)</v>
      </c>
      <c r="N88" s="52" t="str">
        <f t="shared" si="23"/>
        <v>Peptide87: E2_3_1_180_mRNA -&gt; E2_3_1_180 | (0.278 * E2_3_1_180_mRNA) - (0.000000278 * E2_3_1_180)</v>
      </c>
    </row>
    <row r="89" spans="1:14" ht="16">
      <c r="A89" s="41">
        <v>88</v>
      </c>
      <c r="B89" s="42" t="s">
        <v>8990</v>
      </c>
      <c r="C89" s="41" t="str">
        <f t="shared" si="12"/>
        <v>E2_3_1_266_mRNA</v>
      </c>
      <c r="D89" s="41" t="str">
        <f t="shared" si="13"/>
        <v>E2_3_1_266</v>
      </c>
      <c r="E89" s="43" t="str">
        <f t="shared" si="14"/>
        <v>E2_3_1_266_kcat : 13.7</v>
      </c>
      <c r="F89" s="44" t="str">
        <f t="shared" si="15"/>
        <v>E2_3_1_266_km : 1</v>
      </c>
      <c r="G89" s="45" t="str">
        <f t="shared" si="16"/>
        <v>E2_3_1_266_mRNA : E2_3_1_266_mRNA</v>
      </c>
      <c r="H89" s="46" t="str">
        <f t="shared" si="17"/>
        <v>E2_3_1_266 : E2_3_1_266</v>
      </c>
      <c r="I89" s="47" t="str">
        <f t="shared" si="18"/>
        <v>E2_3_1_266_mRNA : 0</v>
      </c>
      <c r="J89" s="48" t="str">
        <f t="shared" si="19"/>
        <v>E2_3_1_266 : 0</v>
      </c>
      <c r="K89" s="49" t="str">
        <f t="shared" si="20"/>
        <v>0.00292 - (0.0093 * E2_3_1_266_mRNA)</v>
      </c>
      <c r="L89" s="50" t="str">
        <f t="shared" si="21"/>
        <v>(0.278 * E2_3_1_266_mRNA) - (0.00000278 * E2_3_1_266)</v>
      </c>
      <c r="M89" s="51" t="str">
        <f t="shared" si="22"/>
        <v>mRNA88: -&gt; E2_3_1_266_mRNA | 0.00292 - (0.0093 * E2_3_1_266_mRNA)</v>
      </c>
      <c r="N89" s="52" t="str">
        <f t="shared" si="23"/>
        <v>Peptide88: E2_3_1_266_mRNA -&gt; E2_3_1_266 | (0.278 * E2_3_1_266_mRNA) - (0.000000278 * E2_3_1_266)</v>
      </c>
    </row>
    <row r="90" spans="1:14" ht="16">
      <c r="A90" s="41">
        <v>89</v>
      </c>
      <c r="B90" s="42" t="s">
        <v>8991</v>
      </c>
      <c r="C90" s="41" t="str">
        <f t="shared" si="12"/>
        <v>E2_3_1_30_mRNA</v>
      </c>
      <c r="D90" s="41" t="str">
        <f t="shared" si="13"/>
        <v>E2_3_1_30</v>
      </c>
      <c r="E90" s="43" t="str">
        <f t="shared" si="14"/>
        <v>E2_3_1_30_kcat : 13.7</v>
      </c>
      <c r="F90" s="44" t="str">
        <f t="shared" si="15"/>
        <v>E2_3_1_30_km : 1</v>
      </c>
      <c r="G90" s="45" t="str">
        <f t="shared" si="16"/>
        <v>E2_3_1_30_mRNA : E2_3_1_30_mRNA</v>
      </c>
      <c r="H90" s="46" t="str">
        <f t="shared" si="17"/>
        <v>E2_3_1_30 : E2_3_1_30</v>
      </c>
      <c r="I90" s="47" t="str">
        <f t="shared" si="18"/>
        <v>E2_3_1_30_mRNA : 0</v>
      </c>
      <c r="J90" s="48" t="str">
        <f t="shared" si="19"/>
        <v>E2_3_1_30 : 0</v>
      </c>
      <c r="K90" s="49" t="str">
        <f t="shared" si="20"/>
        <v>0.00292 - (0.0093 * E2_3_1_30_mRNA)</v>
      </c>
      <c r="L90" s="50" t="str">
        <f t="shared" si="21"/>
        <v>(0.278 * E2_3_1_30_mRNA) - (0.00000278 * E2_3_1_30)</v>
      </c>
      <c r="M90" s="51" t="str">
        <f t="shared" si="22"/>
        <v>mRNA89: -&gt; E2_3_1_30_mRNA | 0.00292 - (0.0093 * E2_3_1_30_mRNA)</v>
      </c>
      <c r="N90" s="52" t="str">
        <f t="shared" si="23"/>
        <v>Peptide89: E2_3_1_30_mRNA -&gt; E2_3_1_30 | (0.278 * E2_3_1_30_mRNA) - (0.000000278 * E2_3_1_30)</v>
      </c>
    </row>
    <row r="91" spans="1:14" ht="16">
      <c r="A91" s="41">
        <v>90</v>
      </c>
      <c r="B91" s="42" t="s">
        <v>8992</v>
      </c>
      <c r="C91" s="41" t="str">
        <f t="shared" si="12"/>
        <v>E2_3_1_31_mRNA</v>
      </c>
      <c r="D91" s="41" t="str">
        <f t="shared" si="13"/>
        <v>E2_3_1_31</v>
      </c>
      <c r="E91" s="43" t="str">
        <f t="shared" si="14"/>
        <v>E2_3_1_31_kcat : 13.7</v>
      </c>
      <c r="F91" s="44" t="str">
        <f t="shared" si="15"/>
        <v>E2_3_1_31_km : 1</v>
      </c>
      <c r="G91" s="45" t="str">
        <f t="shared" si="16"/>
        <v>E2_3_1_31_mRNA : E2_3_1_31_mRNA</v>
      </c>
      <c r="H91" s="46" t="str">
        <f t="shared" si="17"/>
        <v>E2_3_1_31 : E2_3_1_31</v>
      </c>
      <c r="I91" s="47" t="str">
        <f t="shared" si="18"/>
        <v>E2_3_1_31_mRNA : 0</v>
      </c>
      <c r="J91" s="48" t="str">
        <f t="shared" si="19"/>
        <v>E2_3_1_31 : 0</v>
      </c>
      <c r="K91" s="49" t="str">
        <f t="shared" si="20"/>
        <v>0.00292 - (0.0093 * E2_3_1_31_mRNA)</v>
      </c>
      <c r="L91" s="50" t="str">
        <f t="shared" si="21"/>
        <v>(0.278 * E2_3_1_31_mRNA) - (0.00000278 * E2_3_1_31)</v>
      </c>
      <c r="M91" s="51" t="str">
        <f t="shared" si="22"/>
        <v>mRNA90: -&gt; E2_3_1_31_mRNA | 0.00292 - (0.0093 * E2_3_1_31_mRNA)</v>
      </c>
      <c r="N91" s="52" t="str">
        <f t="shared" si="23"/>
        <v>Peptide90: E2_3_1_31_mRNA -&gt; E2_3_1_31 | (0.278 * E2_3_1_31_mRNA) - (0.000000278 * E2_3_1_31)</v>
      </c>
    </row>
    <row r="92" spans="1:14" ht="16">
      <c r="A92" s="41">
        <v>91</v>
      </c>
      <c r="B92" s="42" t="s">
        <v>8993</v>
      </c>
      <c r="C92" s="41" t="str">
        <f t="shared" si="12"/>
        <v>E2_3_1_35_mRNA</v>
      </c>
      <c r="D92" s="41" t="str">
        <f t="shared" si="13"/>
        <v>E2_3_1_35</v>
      </c>
      <c r="E92" s="43" t="str">
        <f t="shared" si="14"/>
        <v>E2_3_1_35_kcat : 13.7</v>
      </c>
      <c r="F92" s="44" t="str">
        <f t="shared" si="15"/>
        <v>E2_3_1_35_km : 1</v>
      </c>
      <c r="G92" s="45" t="str">
        <f t="shared" si="16"/>
        <v>E2_3_1_35_mRNA : E2_3_1_35_mRNA</v>
      </c>
      <c r="H92" s="46" t="str">
        <f t="shared" si="17"/>
        <v>E2_3_1_35 : E2_3_1_35</v>
      </c>
      <c r="I92" s="47" t="str">
        <f t="shared" si="18"/>
        <v>E2_3_1_35_mRNA : 0</v>
      </c>
      <c r="J92" s="48" t="str">
        <f t="shared" si="19"/>
        <v>E2_3_1_35 : 0</v>
      </c>
      <c r="K92" s="49" t="str">
        <f t="shared" si="20"/>
        <v>0.00292 - (0.0093 * E2_3_1_35_mRNA)</v>
      </c>
      <c r="L92" s="50" t="str">
        <f t="shared" si="21"/>
        <v>(0.278 * E2_3_1_35_mRNA) - (0.00000278 * E2_3_1_35)</v>
      </c>
      <c r="M92" s="51" t="str">
        <f t="shared" si="22"/>
        <v>mRNA91: -&gt; E2_3_1_35_mRNA | 0.00292 - (0.0093 * E2_3_1_35_mRNA)</v>
      </c>
      <c r="N92" s="52" t="str">
        <f t="shared" si="23"/>
        <v>Peptide91: E2_3_1_35_mRNA -&gt; E2_3_1_35 | (0.278 * E2_3_1_35_mRNA) - (0.000000278 * E2_3_1_35)</v>
      </c>
    </row>
    <row r="93" spans="1:14" ht="16">
      <c r="A93" s="41">
        <v>92</v>
      </c>
      <c r="B93" s="42" t="s">
        <v>8994</v>
      </c>
      <c r="C93" s="41" t="str">
        <f t="shared" si="12"/>
        <v>E2_3_1_1_mRNA</v>
      </c>
      <c r="D93" s="41" t="str">
        <f t="shared" si="13"/>
        <v>E2_3_1_1</v>
      </c>
      <c r="E93" s="43" t="str">
        <f t="shared" si="14"/>
        <v>E2_3_1_1_kcat : 13.7</v>
      </c>
      <c r="F93" s="44" t="str">
        <f t="shared" si="15"/>
        <v>E2_3_1_1_km : 1</v>
      </c>
      <c r="G93" s="45" t="str">
        <f t="shared" si="16"/>
        <v>E2_3_1_1_mRNA : E2_3_1_1_mRNA</v>
      </c>
      <c r="H93" s="46" t="str">
        <f t="shared" si="17"/>
        <v>E2_3_1_1 : E2_3_1_1</v>
      </c>
      <c r="I93" s="47" t="str">
        <f t="shared" si="18"/>
        <v>E2_3_1_1_mRNA : 0</v>
      </c>
      <c r="J93" s="48" t="str">
        <f t="shared" si="19"/>
        <v>E2_3_1_1 : 0</v>
      </c>
      <c r="K93" s="49" t="str">
        <f t="shared" si="20"/>
        <v>0.00292 - (0.0093 * E2_3_1_1_mRNA)</v>
      </c>
      <c r="L93" s="50" t="str">
        <f t="shared" si="21"/>
        <v>(0.278 * E2_3_1_1_mRNA) - (0.00000278 * E2_3_1_1)</v>
      </c>
      <c r="M93" s="51" t="str">
        <f t="shared" si="22"/>
        <v>mRNA92: -&gt; E2_3_1_1_mRNA | 0.00292 - (0.0093 * E2_3_1_1_mRNA)</v>
      </c>
      <c r="N93" s="52" t="str">
        <f t="shared" si="23"/>
        <v>Peptide92: E2_3_1_1_mRNA -&gt; E2_3_1_1 | (0.278 * E2_3_1_1_mRNA) - (0.000000278 * E2_3_1_1)</v>
      </c>
    </row>
    <row r="94" spans="1:14" ht="16">
      <c r="A94" s="41">
        <v>93</v>
      </c>
      <c r="B94" s="42" t="s">
        <v>8995</v>
      </c>
      <c r="C94" s="41" t="str">
        <f t="shared" si="12"/>
        <v>E2_3_1_39_mRNA</v>
      </c>
      <c r="D94" s="41" t="str">
        <f t="shared" si="13"/>
        <v>E2_3_1_39</v>
      </c>
      <c r="E94" s="43" t="str">
        <f t="shared" si="14"/>
        <v>E2_3_1_39_kcat : 13.7</v>
      </c>
      <c r="F94" s="44" t="str">
        <f t="shared" si="15"/>
        <v>E2_3_1_39_km : 1</v>
      </c>
      <c r="G94" s="45" t="str">
        <f t="shared" si="16"/>
        <v>E2_3_1_39_mRNA : E2_3_1_39_mRNA</v>
      </c>
      <c r="H94" s="46" t="str">
        <f t="shared" si="17"/>
        <v>E2_3_1_39 : E2_3_1_39</v>
      </c>
      <c r="I94" s="47" t="str">
        <f t="shared" si="18"/>
        <v>E2_3_1_39_mRNA : 0</v>
      </c>
      <c r="J94" s="48" t="str">
        <f t="shared" si="19"/>
        <v>E2_3_1_39 : 0</v>
      </c>
      <c r="K94" s="49" t="str">
        <f t="shared" si="20"/>
        <v>0.00292 - (0.0093 * E2_3_1_39_mRNA)</v>
      </c>
      <c r="L94" s="50" t="str">
        <f t="shared" si="21"/>
        <v>(0.278 * E2_3_1_39_mRNA) - (0.00000278 * E2_3_1_39)</v>
      </c>
      <c r="M94" s="51" t="str">
        <f t="shared" si="22"/>
        <v>mRNA93: -&gt; E2_3_1_39_mRNA | 0.00292 - (0.0093 * E2_3_1_39_mRNA)</v>
      </c>
      <c r="N94" s="52" t="str">
        <f t="shared" si="23"/>
        <v>Peptide93: E2_3_1_39_mRNA -&gt; E2_3_1_39 | (0.278 * E2_3_1_39_mRNA) - (0.000000278 * E2_3_1_39)</v>
      </c>
    </row>
    <row r="95" spans="1:14" ht="16">
      <c r="A95" s="41">
        <v>94</v>
      </c>
      <c r="B95" s="42" t="s">
        <v>8996</v>
      </c>
      <c r="C95" s="41" t="str">
        <f t="shared" si="12"/>
        <v>E2_3_1_41_mRNA</v>
      </c>
      <c r="D95" s="41" t="str">
        <f t="shared" si="13"/>
        <v>E2_3_1_41</v>
      </c>
      <c r="E95" s="43" t="str">
        <f t="shared" si="14"/>
        <v>E2_3_1_41_kcat : 13.7</v>
      </c>
      <c r="F95" s="44" t="str">
        <f t="shared" si="15"/>
        <v>E2_3_1_41_km : 1</v>
      </c>
      <c r="G95" s="45" t="str">
        <f t="shared" si="16"/>
        <v>E2_3_1_41_mRNA : E2_3_1_41_mRNA</v>
      </c>
      <c r="H95" s="46" t="str">
        <f t="shared" si="17"/>
        <v>E2_3_1_41 : E2_3_1_41</v>
      </c>
      <c r="I95" s="47" t="str">
        <f t="shared" si="18"/>
        <v>E2_3_1_41_mRNA : 0</v>
      </c>
      <c r="J95" s="48" t="str">
        <f t="shared" si="19"/>
        <v>E2_3_1_41 : 0</v>
      </c>
      <c r="K95" s="49" t="str">
        <f t="shared" si="20"/>
        <v>0.00292 - (0.0093 * E2_3_1_41_mRNA)</v>
      </c>
      <c r="L95" s="50" t="str">
        <f t="shared" si="21"/>
        <v>(0.278 * E2_3_1_41_mRNA) - (0.00000278 * E2_3_1_41)</v>
      </c>
      <c r="M95" s="51" t="str">
        <f t="shared" si="22"/>
        <v>mRNA94: -&gt; E2_3_1_41_mRNA | 0.00292 - (0.0093 * E2_3_1_41_mRNA)</v>
      </c>
      <c r="N95" s="52" t="str">
        <f t="shared" si="23"/>
        <v>Peptide94: E2_3_1_41_mRNA -&gt; E2_3_1_41 | (0.278 * E2_3_1_41_mRNA) - (0.000000278 * E2_3_1_41)</v>
      </c>
    </row>
    <row r="96" spans="1:14" ht="16">
      <c r="A96" s="41">
        <v>95</v>
      </c>
      <c r="B96" s="42" t="s">
        <v>8997</v>
      </c>
      <c r="C96" s="41" t="str">
        <f t="shared" si="12"/>
        <v>E2_3_1_54_mRNA</v>
      </c>
      <c r="D96" s="41" t="str">
        <f t="shared" si="13"/>
        <v>E2_3_1_54</v>
      </c>
      <c r="E96" s="43" t="str">
        <f t="shared" si="14"/>
        <v>E2_3_1_54_kcat : 13.7</v>
      </c>
      <c r="F96" s="44" t="str">
        <f t="shared" si="15"/>
        <v>E2_3_1_54_km : 1</v>
      </c>
      <c r="G96" s="45" t="str">
        <f t="shared" si="16"/>
        <v>E2_3_1_54_mRNA : E2_3_1_54_mRNA</v>
      </c>
      <c r="H96" s="46" t="str">
        <f t="shared" si="17"/>
        <v>E2_3_1_54 : E2_3_1_54</v>
      </c>
      <c r="I96" s="47" t="str">
        <f t="shared" si="18"/>
        <v>E2_3_1_54_mRNA : 0</v>
      </c>
      <c r="J96" s="48" t="str">
        <f t="shared" si="19"/>
        <v>E2_3_1_54 : 0</v>
      </c>
      <c r="K96" s="49" t="str">
        <f t="shared" si="20"/>
        <v>0.00292 - (0.0093 * E2_3_1_54_mRNA)</v>
      </c>
      <c r="L96" s="50" t="str">
        <f t="shared" si="21"/>
        <v>(0.278 * E2_3_1_54_mRNA) - (0.00000278 * E2_3_1_54)</v>
      </c>
      <c r="M96" s="51" t="str">
        <f t="shared" si="22"/>
        <v>mRNA95: -&gt; E2_3_1_54_mRNA | 0.00292 - (0.0093 * E2_3_1_54_mRNA)</v>
      </c>
      <c r="N96" s="52" t="str">
        <f t="shared" si="23"/>
        <v>Peptide95: E2_3_1_54_mRNA -&gt; E2_3_1_54 | (0.278 * E2_3_1_54_mRNA) - (0.000000278 * E2_3_1_54)</v>
      </c>
    </row>
    <row r="97" spans="1:14" ht="16">
      <c r="A97" s="41">
        <v>96</v>
      </c>
      <c r="B97" s="42" t="s">
        <v>8998</v>
      </c>
      <c r="C97" s="41" t="str">
        <f t="shared" si="12"/>
        <v>E2_3_1_8_mRNA</v>
      </c>
      <c r="D97" s="41" t="str">
        <f t="shared" si="13"/>
        <v>E2_3_1_8</v>
      </c>
      <c r="E97" s="43" t="str">
        <f t="shared" si="14"/>
        <v>E2_3_1_8_kcat : 13.7</v>
      </c>
      <c r="F97" s="44" t="str">
        <f t="shared" si="15"/>
        <v>E2_3_1_8_km : 1</v>
      </c>
      <c r="G97" s="45" t="str">
        <f t="shared" si="16"/>
        <v>E2_3_1_8_mRNA : E2_3_1_8_mRNA</v>
      </c>
      <c r="H97" s="46" t="str">
        <f t="shared" si="17"/>
        <v>E2_3_1_8 : E2_3_1_8</v>
      </c>
      <c r="I97" s="47" t="str">
        <f t="shared" si="18"/>
        <v>E2_3_1_8_mRNA : 0</v>
      </c>
      <c r="J97" s="48" t="str">
        <f t="shared" si="19"/>
        <v>E2_3_1_8 : 0</v>
      </c>
      <c r="K97" s="49" t="str">
        <f t="shared" si="20"/>
        <v>0.00292 - (0.0093 * E2_3_1_8_mRNA)</v>
      </c>
      <c r="L97" s="50" t="str">
        <f t="shared" si="21"/>
        <v>(0.278 * E2_3_1_8_mRNA) - (0.00000278 * E2_3_1_8)</v>
      </c>
      <c r="M97" s="51" t="str">
        <f t="shared" si="22"/>
        <v>mRNA96: -&gt; E2_3_1_8_mRNA | 0.00292 - (0.0093 * E2_3_1_8_mRNA)</v>
      </c>
      <c r="N97" s="52" t="str">
        <f t="shared" si="23"/>
        <v>Peptide96: E2_3_1_8_mRNA -&gt; E2_3_1_8 | (0.278 * E2_3_1_8_mRNA) - (0.000000278 * E2_3_1_8)</v>
      </c>
    </row>
    <row r="98" spans="1:14" ht="16">
      <c r="A98" s="41">
        <v>97</v>
      </c>
      <c r="B98" s="42" t="s">
        <v>8999</v>
      </c>
      <c r="C98" s="41" t="str">
        <f t="shared" si="12"/>
        <v>E2_3_1_89_mRNA</v>
      </c>
      <c r="D98" s="41" t="str">
        <f t="shared" si="13"/>
        <v>E2_3_1_89</v>
      </c>
      <c r="E98" s="43" t="str">
        <f t="shared" si="14"/>
        <v>E2_3_1_89_kcat : 13.7</v>
      </c>
      <c r="F98" s="44" t="str">
        <f t="shared" si="15"/>
        <v>E2_3_1_89_km : 1</v>
      </c>
      <c r="G98" s="45" t="str">
        <f t="shared" si="16"/>
        <v>E2_3_1_89_mRNA : E2_3_1_89_mRNA</v>
      </c>
      <c r="H98" s="46" t="str">
        <f t="shared" si="17"/>
        <v>E2_3_1_89 : E2_3_1_89</v>
      </c>
      <c r="I98" s="47" t="str">
        <f t="shared" si="18"/>
        <v>E2_3_1_89_mRNA : 0</v>
      </c>
      <c r="J98" s="48" t="str">
        <f t="shared" si="19"/>
        <v>E2_3_1_89 : 0</v>
      </c>
      <c r="K98" s="49" t="str">
        <f t="shared" si="20"/>
        <v>0.00292 - (0.0093 * E2_3_1_89_mRNA)</v>
      </c>
      <c r="L98" s="50" t="str">
        <f t="shared" si="21"/>
        <v>(0.278 * E2_3_1_89_mRNA) - (0.00000278 * E2_3_1_89)</v>
      </c>
      <c r="M98" s="51" t="str">
        <f t="shared" si="22"/>
        <v>mRNA97: -&gt; E2_3_1_89_mRNA | 0.00292 - (0.0093 * E2_3_1_89_mRNA)</v>
      </c>
      <c r="N98" s="52" t="str">
        <f t="shared" si="23"/>
        <v>Peptide97: E2_3_1_89_mRNA -&gt; E2_3_1_89 | (0.278 * E2_3_1_89_mRNA) - (0.000000278 * E2_3_1_89)</v>
      </c>
    </row>
    <row r="99" spans="1:14" ht="16">
      <c r="A99" s="41">
        <v>98</v>
      </c>
      <c r="B99" s="42" t="s">
        <v>9000</v>
      </c>
      <c r="C99" s="41" t="str">
        <f t="shared" si="12"/>
        <v>E2_3_3_10_mRNA</v>
      </c>
      <c r="D99" s="41" t="str">
        <f t="shared" si="13"/>
        <v>E2_3_3_10</v>
      </c>
      <c r="E99" s="43" t="str">
        <f t="shared" si="14"/>
        <v>E2_3_3_10_kcat : 13.7</v>
      </c>
      <c r="F99" s="44" t="str">
        <f t="shared" si="15"/>
        <v>E2_3_3_10_km : 1</v>
      </c>
      <c r="G99" s="45" t="str">
        <f t="shared" si="16"/>
        <v>E2_3_3_10_mRNA : E2_3_3_10_mRNA</v>
      </c>
      <c r="H99" s="46" t="str">
        <f t="shared" si="17"/>
        <v>E2_3_3_10 : E2_3_3_10</v>
      </c>
      <c r="I99" s="47" t="str">
        <f t="shared" si="18"/>
        <v>E2_3_3_10_mRNA : 0</v>
      </c>
      <c r="J99" s="48" t="str">
        <f t="shared" si="19"/>
        <v>E2_3_3_10 : 0</v>
      </c>
      <c r="K99" s="49" t="str">
        <f t="shared" si="20"/>
        <v>0.00292 - (0.0093 * E2_3_3_10_mRNA)</v>
      </c>
      <c r="L99" s="50" t="str">
        <f t="shared" si="21"/>
        <v>(0.278 * E2_3_3_10_mRNA) - (0.00000278 * E2_3_3_10)</v>
      </c>
      <c r="M99" s="51" t="str">
        <f t="shared" si="22"/>
        <v>mRNA98: -&gt; E2_3_3_10_mRNA | 0.00292 - (0.0093 * E2_3_3_10_mRNA)</v>
      </c>
      <c r="N99" s="52" t="str">
        <f t="shared" si="23"/>
        <v>Peptide98: E2_3_3_10_mRNA -&gt; E2_3_3_10 | (0.278 * E2_3_3_10_mRNA) - (0.000000278 * E2_3_3_10)</v>
      </c>
    </row>
    <row r="100" spans="1:14" ht="16">
      <c r="A100" s="41">
        <v>99</v>
      </c>
      <c r="B100" s="42" t="s">
        <v>9001</v>
      </c>
      <c r="C100" s="41" t="str">
        <f t="shared" si="12"/>
        <v>E2_3_3_16_mRNA</v>
      </c>
      <c r="D100" s="41" t="str">
        <f t="shared" si="13"/>
        <v>E2_3_3_16</v>
      </c>
      <c r="E100" s="43" t="str">
        <f t="shared" si="14"/>
        <v>E2_3_3_16_kcat : 13.7</v>
      </c>
      <c r="F100" s="44" t="str">
        <f t="shared" si="15"/>
        <v>E2_3_3_16_km : 1</v>
      </c>
      <c r="G100" s="45" t="str">
        <f t="shared" si="16"/>
        <v>E2_3_3_16_mRNA : E2_3_3_16_mRNA</v>
      </c>
      <c r="H100" s="46" t="str">
        <f t="shared" si="17"/>
        <v>E2_3_3_16 : E2_3_3_16</v>
      </c>
      <c r="I100" s="47" t="str">
        <f t="shared" si="18"/>
        <v>E2_3_3_16_mRNA : 0</v>
      </c>
      <c r="J100" s="48" t="str">
        <f t="shared" si="19"/>
        <v>E2_3_3_16 : 0</v>
      </c>
      <c r="K100" s="49" t="str">
        <f t="shared" si="20"/>
        <v>0.00292 - (0.0093 * E2_3_3_16_mRNA)</v>
      </c>
      <c r="L100" s="50" t="str">
        <f t="shared" si="21"/>
        <v>(0.278 * E2_3_3_16_mRNA) - (0.00000278 * E2_3_3_16)</v>
      </c>
      <c r="M100" s="51" t="str">
        <f t="shared" si="22"/>
        <v>mRNA99: -&gt; E2_3_3_16_mRNA | 0.00292 - (0.0093 * E2_3_3_16_mRNA)</v>
      </c>
      <c r="N100" s="52" t="str">
        <f t="shared" si="23"/>
        <v>Peptide99: E2_3_3_16_mRNA -&gt; E2_3_3_16 | (0.278 * E2_3_3_16_mRNA) - (0.000000278 * E2_3_3_16)</v>
      </c>
    </row>
    <row r="101" spans="1:14" ht="16">
      <c r="A101" s="41">
        <v>100</v>
      </c>
      <c r="B101" s="42" t="s">
        <v>9002</v>
      </c>
      <c r="C101" s="41" t="str">
        <f t="shared" si="12"/>
        <v>E2_4_1_1_mRNA</v>
      </c>
      <c r="D101" s="41" t="str">
        <f t="shared" si="13"/>
        <v>E2_4_1_1</v>
      </c>
      <c r="E101" s="43" t="str">
        <f t="shared" si="14"/>
        <v>E2_4_1_1_kcat : 13.7</v>
      </c>
      <c r="F101" s="44" t="str">
        <f t="shared" si="15"/>
        <v>E2_4_1_1_km : 1</v>
      </c>
      <c r="G101" s="45" t="str">
        <f t="shared" si="16"/>
        <v>E2_4_1_1_mRNA : E2_4_1_1_mRNA</v>
      </c>
      <c r="H101" s="46" t="str">
        <f t="shared" si="17"/>
        <v>E2_4_1_1 : E2_4_1_1</v>
      </c>
      <c r="I101" s="47" t="str">
        <f t="shared" si="18"/>
        <v>E2_4_1_1_mRNA : 0</v>
      </c>
      <c r="J101" s="48" t="str">
        <f t="shared" si="19"/>
        <v>E2_4_1_1 : 0</v>
      </c>
      <c r="K101" s="49" t="str">
        <f t="shared" si="20"/>
        <v>0.00292 - (0.0093 * E2_4_1_1_mRNA)</v>
      </c>
      <c r="L101" s="50" t="str">
        <f t="shared" si="21"/>
        <v>(0.278 * E2_4_1_1_mRNA) - (0.00000278 * E2_4_1_1)</v>
      </c>
      <c r="M101" s="51" t="str">
        <f t="shared" si="22"/>
        <v>mRNA100: -&gt; E2_4_1_1_mRNA | 0.00292 - (0.0093 * E2_4_1_1_mRNA)</v>
      </c>
      <c r="N101" s="52" t="str">
        <f t="shared" si="23"/>
        <v>Peptide100: E2_4_1_1_mRNA -&gt; E2_4_1_1 | (0.278 * E2_4_1_1_mRNA) - (0.000000278 * E2_4_1_1)</v>
      </c>
    </row>
    <row r="102" spans="1:14" ht="16">
      <c r="A102" s="41">
        <v>101</v>
      </c>
      <c r="B102" s="42" t="s">
        <v>9003</v>
      </c>
      <c r="C102" s="41" t="str">
        <f t="shared" si="12"/>
        <v>E2_4_1_129_mRNA</v>
      </c>
      <c r="D102" s="41" t="str">
        <f t="shared" si="13"/>
        <v>E2_4_1_129</v>
      </c>
      <c r="E102" s="43" t="str">
        <f t="shared" si="14"/>
        <v>E2_4_1_129_kcat : 13.7</v>
      </c>
      <c r="F102" s="44" t="str">
        <f t="shared" si="15"/>
        <v>E2_4_1_129_km : 1</v>
      </c>
      <c r="G102" s="45" t="str">
        <f t="shared" si="16"/>
        <v>E2_4_1_129_mRNA : E2_4_1_129_mRNA</v>
      </c>
      <c r="H102" s="46" t="str">
        <f t="shared" si="17"/>
        <v>E2_4_1_129 : E2_4_1_129</v>
      </c>
      <c r="I102" s="47" t="str">
        <f t="shared" si="18"/>
        <v>E2_4_1_129_mRNA : 0</v>
      </c>
      <c r="J102" s="48" t="str">
        <f t="shared" si="19"/>
        <v>E2_4_1_129 : 0</v>
      </c>
      <c r="K102" s="49" t="str">
        <f t="shared" si="20"/>
        <v>0.00292 - (0.0093 * E2_4_1_129_mRNA)</v>
      </c>
      <c r="L102" s="50" t="str">
        <f t="shared" si="21"/>
        <v>(0.278 * E2_4_1_129_mRNA) - (0.00000278 * E2_4_1_129)</v>
      </c>
      <c r="M102" s="51" t="str">
        <f t="shared" si="22"/>
        <v>mRNA101: -&gt; E2_4_1_129_mRNA | 0.00292 - (0.0093 * E2_4_1_129_mRNA)</v>
      </c>
      <c r="N102" s="52" t="str">
        <f t="shared" si="23"/>
        <v>Peptide101: E2_4_1_129_mRNA -&gt; E2_4_1_129 | (0.278 * E2_4_1_129_mRNA) - (0.000000278 * E2_4_1_129)</v>
      </c>
    </row>
    <row r="103" spans="1:14" ht="16">
      <c r="A103" s="41">
        <v>102</v>
      </c>
      <c r="B103" s="42" t="s">
        <v>9004</v>
      </c>
      <c r="C103" s="41" t="str">
        <f t="shared" si="12"/>
        <v>E3_4_16_4_mRNA</v>
      </c>
      <c r="D103" s="41" t="str">
        <f t="shared" si="13"/>
        <v>E3_4_16_4</v>
      </c>
      <c r="E103" s="43" t="str">
        <f t="shared" si="14"/>
        <v>E3_4_16_4_kcat : 13.7</v>
      </c>
      <c r="F103" s="44" t="str">
        <f t="shared" si="15"/>
        <v>E3_4_16_4_km : 1</v>
      </c>
      <c r="G103" s="45" t="str">
        <f t="shared" si="16"/>
        <v>E3_4_16_4_mRNA : E3_4_16_4_mRNA</v>
      </c>
      <c r="H103" s="46" t="str">
        <f t="shared" si="17"/>
        <v>E3_4_16_4 : E3_4_16_4</v>
      </c>
      <c r="I103" s="47" t="str">
        <f t="shared" si="18"/>
        <v>E3_4_16_4_mRNA : 0</v>
      </c>
      <c r="J103" s="48" t="str">
        <f t="shared" si="19"/>
        <v>E3_4_16_4 : 0</v>
      </c>
      <c r="K103" s="49" t="str">
        <f t="shared" si="20"/>
        <v>0.00292 - (0.0093 * E3_4_16_4_mRNA)</v>
      </c>
      <c r="L103" s="50" t="str">
        <f t="shared" si="21"/>
        <v>(0.278 * E3_4_16_4_mRNA) - (0.00000278 * E3_4_16_4)</v>
      </c>
      <c r="M103" s="51" t="str">
        <f t="shared" si="22"/>
        <v>mRNA102: -&gt; E3_4_16_4_mRNA | 0.00292 - (0.0093 * E3_4_16_4_mRNA)</v>
      </c>
      <c r="N103" s="52" t="str">
        <f t="shared" si="23"/>
        <v>Peptide102: E3_4_16_4_mRNA -&gt; E3_4_16_4 | (0.278 * E3_4_16_4_mRNA) - (0.000000278 * E3_4_16_4)</v>
      </c>
    </row>
    <row r="104" spans="1:14" ht="16">
      <c r="A104" s="41">
        <v>103</v>
      </c>
      <c r="B104" s="42" t="s">
        <v>9005</v>
      </c>
      <c r="C104" s="41" t="str">
        <f t="shared" si="12"/>
        <v>E2_4_1_208_mRNA</v>
      </c>
      <c r="D104" s="41" t="str">
        <f t="shared" si="13"/>
        <v>E2_4_1_208</v>
      </c>
      <c r="E104" s="43" t="str">
        <f t="shared" si="14"/>
        <v>E2_4_1_208_kcat : 13.7</v>
      </c>
      <c r="F104" s="44" t="str">
        <f t="shared" si="15"/>
        <v>E2_4_1_208_km : 1</v>
      </c>
      <c r="G104" s="45" t="str">
        <f t="shared" si="16"/>
        <v>E2_4_1_208_mRNA : E2_4_1_208_mRNA</v>
      </c>
      <c r="H104" s="46" t="str">
        <f t="shared" si="17"/>
        <v>E2_4_1_208 : E2_4_1_208</v>
      </c>
      <c r="I104" s="47" t="str">
        <f t="shared" si="18"/>
        <v>E2_4_1_208_mRNA : 0</v>
      </c>
      <c r="J104" s="48" t="str">
        <f t="shared" si="19"/>
        <v>E2_4_1_208 : 0</v>
      </c>
      <c r="K104" s="49" t="str">
        <f t="shared" si="20"/>
        <v>0.00292 - (0.0093 * E2_4_1_208_mRNA)</v>
      </c>
      <c r="L104" s="50" t="str">
        <f t="shared" si="21"/>
        <v>(0.278 * E2_4_1_208_mRNA) - (0.00000278 * E2_4_1_208)</v>
      </c>
      <c r="M104" s="51" t="str">
        <f t="shared" si="22"/>
        <v>mRNA103: -&gt; E2_4_1_208_mRNA | 0.00292 - (0.0093 * E2_4_1_208_mRNA)</v>
      </c>
      <c r="N104" s="52" t="str">
        <f t="shared" si="23"/>
        <v>Peptide103: E2_4_1_208_mRNA -&gt; E2_4_1_208 | (0.278 * E2_4_1_208_mRNA) - (0.000000278 * E2_4_1_208)</v>
      </c>
    </row>
    <row r="105" spans="1:14" ht="16">
      <c r="A105" s="41">
        <v>104</v>
      </c>
      <c r="B105" s="42" t="s">
        <v>9006</v>
      </c>
      <c r="C105" s="41" t="str">
        <f t="shared" si="12"/>
        <v>E2_4_1_337_mRNA</v>
      </c>
      <c r="D105" s="41" t="str">
        <f t="shared" si="13"/>
        <v>E2_4_1_337</v>
      </c>
      <c r="E105" s="43" t="str">
        <f t="shared" si="14"/>
        <v>E2_4_1_337_kcat : 13.7</v>
      </c>
      <c r="F105" s="44" t="str">
        <f t="shared" si="15"/>
        <v>E2_4_1_337_km : 1</v>
      </c>
      <c r="G105" s="45" t="str">
        <f t="shared" si="16"/>
        <v>E2_4_1_337_mRNA : E2_4_1_337_mRNA</v>
      </c>
      <c r="H105" s="46" t="str">
        <f t="shared" si="17"/>
        <v>E2_4_1_337 : E2_4_1_337</v>
      </c>
      <c r="I105" s="47" t="str">
        <f t="shared" si="18"/>
        <v>E2_4_1_337_mRNA : 0</v>
      </c>
      <c r="J105" s="48" t="str">
        <f t="shared" si="19"/>
        <v>E2_4_1_337 : 0</v>
      </c>
      <c r="K105" s="49" t="str">
        <f t="shared" si="20"/>
        <v>0.00292 - (0.0093 * E2_4_1_337_mRNA)</v>
      </c>
      <c r="L105" s="50" t="str">
        <f t="shared" si="21"/>
        <v>(0.278 * E2_4_1_337_mRNA) - (0.00000278 * E2_4_1_337)</v>
      </c>
      <c r="M105" s="51" t="str">
        <f t="shared" si="22"/>
        <v>mRNA104: -&gt; E2_4_1_337_mRNA | 0.00292 - (0.0093 * E2_4_1_337_mRNA)</v>
      </c>
      <c r="N105" s="52" t="str">
        <f t="shared" si="23"/>
        <v>Peptide104: E2_4_1_337_mRNA -&gt; E2_4_1_337 | (0.278 * E2_4_1_337_mRNA) - (0.000000278 * E2_4_1_337)</v>
      </c>
    </row>
    <row r="106" spans="1:14" ht="16">
      <c r="A106" s="41">
        <v>105</v>
      </c>
      <c r="B106" s="42" t="s">
        <v>9007</v>
      </c>
      <c r="C106" s="41" t="str">
        <f t="shared" si="12"/>
        <v>E2_4_1_227_mRNA</v>
      </c>
      <c r="D106" s="41" t="str">
        <f t="shared" si="13"/>
        <v>E2_4_1_227</v>
      </c>
      <c r="E106" s="43" t="str">
        <f t="shared" si="14"/>
        <v>E2_4_1_227_kcat : 13.7</v>
      </c>
      <c r="F106" s="44" t="str">
        <f t="shared" si="15"/>
        <v>E2_4_1_227_km : 1</v>
      </c>
      <c r="G106" s="45" t="str">
        <f t="shared" si="16"/>
        <v>E2_4_1_227_mRNA : E2_4_1_227_mRNA</v>
      </c>
      <c r="H106" s="46" t="str">
        <f t="shared" si="17"/>
        <v>E2_4_1_227 : E2_4_1_227</v>
      </c>
      <c r="I106" s="47" t="str">
        <f t="shared" si="18"/>
        <v>E2_4_1_227_mRNA : 0</v>
      </c>
      <c r="J106" s="48" t="str">
        <f t="shared" si="19"/>
        <v>E2_4_1_227 : 0</v>
      </c>
      <c r="K106" s="49" t="str">
        <f t="shared" si="20"/>
        <v>0.00292 - (0.0093 * E2_4_1_227_mRNA)</v>
      </c>
      <c r="L106" s="50" t="str">
        <f t="shared" si="21"/>
        <v>(0.278 * E2_4_1_227_mRNA) - (0.00000278 * E2_4_1_227)</v>
      </c>
      <c r="M106" s="51" t="str">
        <f t="shared" si="22"/>
        <v>mRNA105: -&gt; E2_4_1_227_mRNA | 0.00292 - (0.0093 * E2_4_1_227_mRNA)</v>
      </c>
      <c r="N106" s="52" t="str">
        <f t="shared" si="23"/>
        <v>Peptide105: E2_4_1_227_mRNA -&gt; E2_4_1_227 | (0.278 * E2_4_1_227_mRNA) - (0.000000278 * E2_4_1_227)</v>
      </c>
    </row>
    <row r="107" spans="1:14" ht="16">
      <c r="A107" s="41">
        <v>106</v>
      </c>
      <c r="B107" s="42" t="s">
        <v>9008</v>
      </c>
      <c r="C107" s="41" t="str">
        <f t="shared" si="12"/>
        <v>E2_4_1_25_mRNA</v>
      </c>
      <c r="D107" s="41" t="str">
        <f t="shared" si="13"/>
        <v>E2_4_1_25</v>
      </c>
      <c r="E107" s="43" t="str">
        <f t="shared" si="14"/>
        <v>E2_4_1_25_kcat : 13.7</v>
      </c>
      <c r="F107" s="44" t="str">
        <f t="shared" si="15"/>
        <v>E2_4_1_25_km : 1</v>
      </c>
      <c r="G107" s="45" t="str">
        <f t="shared" si="16"/>
        <v>E2_4_1_25_mRNA : E2_4_1_25_mRNA</v>
      </c>
      <c r="H107" s="46" t="str">
        <f t="shared" si="17"/>
        <v>E2_4_1_25 : E2_4_1_25</v>
      </c>
      <c r="I107" s="47" t="str">
        <f t="shared" si="18"/>
        <v>E2_4_1_25_mRNA : 0</v>
      </c>
      <c r="J107" s="48" t="str">
        <f t="shared" si="19"/>
        <v>E2_4_1_25 : 0</v>
      </c>
      <c r="K107" s="49" t="str">
        <f t="shared" si="20"/>
        <v>0.00292 - (0.0093 * E2_4_1_25_mRNA)</v>
      </c>
      <c r="L107" s="50" t="str">
        <f t="shared" si="21"/>
        <v>(0.278 * E2_4_1_25_mRNA) - (0.00000278 * E2_4_1_25)</v>
      </c>
      <c r="M107" s="51" t="str">
        <f t="shared" si="22"/>
        <v>mRNA106: -&gt; E2_4_1_25_mRNA | 0.00292 - (0.0093 * E2_4_1_25_mRNA)</v>
      </c>
      <c r="N107" s="52" t="str">
        <f t="shared" si="23"/>
        <v>Peptide106: E2_4_1_25_mRNA -&gt; E2_4_1_25 | (0.278 * E2_4_1_25_mRNA) - (0.000000278 * E2_4_1_25)</v>
      </c>
    </row>
    <row r="108" spans="1:14" ht="16">
      <c r="A108" s="41">
        <v>107</v>
      </c>
      <c r="B108" s="42" t="s">
        <v>9009</v>
      </c>
      <c r="C108" s="41" t="str">
        <f t="shared" si="12"/>
        <v>E2_4_2_1_mRNA</v>
      </c>
      <c r="D108" s="41" t="str">
        <f t="shared" si="13"/>
        <v>E2_4_2_1</v>
      </c>
      <c r="E108" s="43" t="str">
        <f t="shared" si="14"/>
        <v>E2_4_2_1_kcat : 13.7</v>
      </c>
      <c r="F108" s="44" t="str">
        <f t="shared" si="15"/>
        <v>E2_4_2_1_km : 1</v>
      </c>
      <c r="G108" s="45" t="str">
        <f t="shared" si="16"/>
        <v>E2_4_2_1_mRNA : E2_4_2_1_mRNA</v>
      </c>
      <c r="H108" s="46" t="str">
        <f t="shared" si="17"/>
        <v>E2_4_2_1 : E2_4_2_1</v>
      </c>
      <c r="I108" s="47" t="str">
        <f t="shared" si="18"/>
        <v>E2_4_2_1_mRNA : 0</v>
      </c>
      <c r="J108" s="48" t="str">
        <f t="shared" si="19"/>
        <v>E2_4_2_1 : 0</v>
      </c>
      <c r="K108" s="49" t="str">
        <f t="shared" si="20"/>
        <v>0.00292 - (0.0093 * E2_4_2_1_mRNA)</v>
      </c>
      <c r="L108" s="50" t="str">
        <f t="shared" si="21"/>
        <v>(0.278 * E2_4_2_1_mRNA) - (0.00000278 * E2_4_2_1)</v>
      </c>
      <c r="M108" s="51" t="str">
        <f t="shared" si="22"/>
        <v>mRNA107: -&gt; E2_4_2_1_mRNA | 0.00292 - (0.0093 * E2_4_2_1_mRNA)</v>
      </c>
      <c r="N108" s="52" t="str">
        <f t="shared" si="23"/>
        <v>Peptide107: E2_4_2_1_mRNA -&gt; E2_4_2_1 | (0.278 * E2_4_2_1_mRNA) - (0.000000278 * E2_4_2_1)</v>
      </c>
    </row>
    <row r="109" spans="1:14" ht="16">
      <c r="A109" s="41">
        <v>108</v>
      </c>
      <c r="B109" s="42" t="s">
        <v>9010</v>
      </c>
      <c r="C109" s="41" t="str">
        <f t="shared" si="12"/>
        <v>E2_4_2_10_mRNA</v>
      </c>
      <c r="D109" s="41" t="str">
        <f t="shared" si="13"/>
        <v>E2_4_2_10</v>
      </c>
      <c r="E109" s="43" t="str">
        <f t="shared" si="14"/>
        <v>E2_4_2_10_kcat : 13.7</v>
      </c>
      <c r="F109" s="44" t="str">
        <f t="shared" si="15"/>
        <v>E2_4_2_10_km : 1</v>
      </c>
      <c r="G109" s="45" t="str">
        <f t="shared" si="16"/>
        <v>E2_4_2_10_mRNA : E2_4_2_10_mRNA</v>
      </c>
      <c r="H109" s="46" t="str">
        <f t="shared" si="17"/>
        <v>E2_4_2_10 : E2_4_2_10</v>
      </c>
      <c r="I109" s="47" t="str">
        <f t="shared" si="18"/>
        <v>E2_4_2_10_mRNA : 0</v>
      </c>
      <c r="J109" s="48" t="str">
        <f t="shared" si="19"/>
        <v>E2_4_2_10 : 0</v>
      </c>
      <c r="K109" s="49" t="str">
        <f t="shared" si="20"/>
        <v>0.00292 - (0.0093 * E2_4_2_10_mRNA)</v>
      </c>
      <c r="L109" s="50" t="str">
        <f t="shared" si="21"/>
        <v>(0.278 * E2_4_2_10_mRNA) - (0.00000278 * E2_4_2_10)</v>
      </c>
      <c r="M109" s="51" t="str">
        <f t="shared" si="22"/>
        <v>mRNA108: -&gt; E2_4_2_10_mRNA | 0.00292 - (0.0093 * E2_4_2_10_mRNA)</v>
      </c>
      <c r="N109" s="52" t="str">
        <f t="shared" si="23"/>
        <v>Peptide108: E2_4_2_10_mRNA -&gt; E2_4_2_10 | (0.278 * E2_4_2_10_mRNA) - (0.000000278 * E2_4_2_10)</v>
      </c>
    </row>
    <row r="110" spans="1:14" ht="16">
      <c r="A110" s="41">
        <v>109</v>
      </c>
      <c r="B110" s="42" t="s">
        <v>9011</v>
      </c>
      <c r="C110" s="41" t="str">
        <f t="shared" si="12"/>
        <v>E2_4_2_14_mRNA</v>
      </c>
      <c r="D110" s="41" t="str">
        <f t="shared" si="13"/>
        <v>E2_4_2_14</v>
      </c>
      <c r="E110" s="43" t="str">
        <f t="shared" si="14"/>
        <v>E2_4_2_14_kcat : 13.7</v>
      </c>
      <c r="F110" s="44" t="str">
        <f t="shared" si="15"/>
        <v>E2_4_2_14_km : 1</v>
      </c>
      <c r="G110" s="45" t="str">
        <f t="shared" si="16"/>
        <v>E2_4_2_14_mRNA : E2_4_2_14_mRNA</v>
      </c>
      <c r="H110" s="46" t="str">
        <f t="shared" si="17"/>
        <v>E2_4_2_14 : E2_4_2_14</v>
      </c>
      <c r="I110" s="47" t="str">
        <f t="shared" si="18"/>
        <v>E2_4_2_14_mRNA : 0</v>
      </c>
      <c r="J110" s="48" t="str">
        <f t="shared" si="19"/>
        <v>E2_4_2_14 : 0</v>
      </c>
      <c r="K110" s="49" t="str">
        <f t="shared" si="20"/>
        <v>0.00292 - (0.0093 * E2_4_2_14_mRNA)</v>
      </c>
      <c r="L110" s="50" t="str">
        <f t="shared" si="21"/>
        <v>(0.278 * E2_4_2_14_mRNA) - (0.00000278 * E2_4_2_14)</v>
      </c>
      <c r="M110" s="51" t="str">
        <f t="shared" si="22"/>
        <v>mRNA109: -&gt; E2_4_2_14_mRNA | 0.00292 - (0.0093 * E2_4_2_14_mRNA)</v>
      </c>
      <c r="N110" s="52" t="str">
        <f t="shared" si="23"/>
        <v>Peptide109: E2_4_2_14_mRNA -&gt; E2_4_2_14 | (0.278 * E2_4_2_14_mRNA) - (0.000000278 * E2_4_2_14)</v>
      </c>
    </row>
    <row r="111" spans="1:14" ht="16">
      <c r="A111" s="41">
        <v>110</v>
      </c>
      <c r="B111" s="42" t="s">
        <v>9012</v>
      </c>
      <c r="C111" s="41" t="str">
        <f t="shared" si="12"/>
        <v>E2_4_2_18_mRNA</v>
      </c>
      <c r="D111" s="41" t="str">
        <f t="shared" si="13"/>
        <v>E2_4_2_18</v>
      </c>
      <c r="E111" s="43" t="str">
        <f t="shared" si="14"/>
        <v>E2_4_2_18_kcat : 13.7</v>
      </c>
      <c r="F111" s="44" t="str">
        <f t="shared" si="15"/>
        <v>E2_4_2_18_km : 1</v>
      </c>
      <c r="G111" s="45" t="str">
        <f t="shared" si="16"/>
        <v>E2_4_2_18_mRNA : E2_4_2_18_mRNA</v>
      </c>
      <c r="H111" s="46" t="str">
        <f t="shared" si="17"/>
        <v>E2_4_2_18 : E2_4_2_18</v>
      </c>
      <c r="I111" s="47" t="str">
        <f t="shared" si="18"/>
        <v>E2_4_2_18_mRNA : 0</v>
      </c>
      <c r="J111" s="48" t="str">
        <f t="shared" si="19"/>
        <v>E2_4_2_18 : 0</v>
      </c>
      <c r="K111" s="49" t="str">
        <f t="shared" si="20"/>
        <v>0.00292 - (0.0093 * E2_4_2_18_mRNA)</v>
      </c>
      <c r="L111" s="50" t="str">
        <f t="shared" si="21"/>
        <v>(0.278 * E2_4_2_18_mRNA) - (0.00000278 * E2_4_2_18)</v>
      </c>
      <c r="M111" s="51" t="str">
        <f t="shared" si="22"/>
        <v>mRNA110: -&gt; E2_4_2_18_mRNA | 0.00292 - (0.0093 * E2_4_2_18_mRNA)</v>
      </c>
      <c r="N111" s="52" t="str">
        <f t="shared" si="23"/>
        <v>Peptide110: E2_4_2_18_mRNA -&gt; E2_4_2_18 | (0.278 * E2_4_2_18_mRNA) - (0.000000278 * E2_4_2_18)</v>
      </c>
    </row>
    <row r="112" spans="1:14" ht="16">
      <c r="A112" s="41">
        <v>111</v>
      </c>
      <c r="B112" s="42" t="s">
        <v>9013</v>
      </c>
      <c r="C112" s="41" t="str">
        <f t="shared" si="12"/>
        <v>E2_4_2_29_mRNA</v>
      </c>
      <c r="D112" s="41" t="str">
        <f t="shared" si="13"/>
        <v>E2_4_2_29</v>
      </c>
      <c r="E112" s="43" t="str">
        <f t="shared" si="14"/>
        <v>E2_4_2_29_kcat : 13.7</v>
      </c>
      <c r="F112" s="44" t="str">
        <f t="shared" si="15"/>
        <v>E2_4_2_29_km : 1</v>
      </c>
      <c r="G112" s="45" t="str">
        <f t="shared" si="16"/>
        <v>E2_4_2_29_mRNA : E2_4_2_29_mRNA</v>
      </c>
      <c r="H112" s="46" t="str">
        <f t="shared" si="17"/>
        <v>E2_4_2_29 : E2_4_2_29</v>
      </c>
      <c r="I112" s="47" t="str">
        <f t="shared" si="18"/>
        <v>E2_4_2_29_mRNA : 0</v>
      </c>
      <c r="J112" s="48" t="str">
        <f t="shared" si="19"/>
        <v>E2_4_2_29 : 0</v>
      </c>
      <c r="K112" s="49" t="str">
        <f t="shared" si="20"/>
        <v>0.00292 - (0.0093 * E2_4_2_29_mRNA)</v>
      </c>
      <c r="L112" s="50" t="str">
        <f t="shared" si="21"/>
        <v>(0.278 * E2_4_2_29_mRNA) - (0.00000278 * E2_4_2_29)</v>
      </c>
      <c r="M112" s="51" t="str">
        <f t="shared" si="22"/>
        <v>mRNA111: -&gt; E2_4_2_29_mRNA | 0.00292 - (0.0093 * E2_4_2_29_mRNA)</v>
      </c>
      <c r="N112" s="52" t="str">
        <f t="shared" si="23"/>
        <v>Peptide111: E2_4_2_29_mRNA -&gt; E2_4_2_29 | (0.278 * E2_4_2_29_mRNA) - (0.000000278 * E2_4_2_29)</v>
      </c>
    </row>
    <row r="113" spans="1:14" ht="16">
      <c r="A113" s="41">
        <v>112</v>
      </c>
      <c r="B113" s="42" t="s">
        <v>9014</v>
      </c>
      <c r="C113" s="41" t="str">
        <f t="shared" si="12"/>
        <v>E2_4_2_3_mRNA</v>
      </c>
      <c r="D113" s="41" t="str">
        <f t="shared" si="13"/>
        <v>E2_4_2_3</v>
      </c>
      <c r="E113" s="43" t="str">
        <f t="shared" si="14"/>
        <v>E2_4_2_3_kcat : 13.7</v>
      </c>
      <c r="F113" s="44" t="str">
        <f t="shared" si="15"/>
        <v>E2_4_2_3_km : 1</v>
      </c>
      <c r="G113" s="45" t="str">
        <f t="shared" si="16"/>
        <v>E2_4_2_3_mRNA : E2_4_2_3_mRNA</v>
      </c>
      <c r="H113" s="46" t="str">
        <f t="shared" si="17"/>
        <v>E2_4_2_3 : E2_4_2_3</v>
      </c>
      <c r="I113" s="47" t="str">
        <f t="shared" si="18"/>
        <v>E2_4_2_3_mRNA : 0</v>
      </c>
      <c r="J113" s="48" t="str">
        <f t="shared" si="19"/>
        <v>E2_4_2_3 : 0</v>
      </c>
      <c r="K113" s="49" t="str">
        <f t="shared" si="20"/>
        <v>0.00292 - (0.0093 * E2_4_2_3_mRNA)</v>
      </c>
      <c r="L113" s="50" t="str">
        <f t="shared" si="21"/>
        <v>(0.278 * E2_4_2_3_mRNA) - (0.00000278 * E2_4_2_3)</v>
      </c>
      <c r="M113" s="51" t="str">
        <f t="shared" si="22"/>
        <v>mRNA112: -&gt; E2_4_2_3_mRNA | 0.00292 - (0.0093 * E2_4_2_3_mRNA)</v>
      </c>
      <c r="N113" s="52" t="str">
        <f t="shared" si="23"/>
        <v>Peptide112: E2_4_2_3_mRNA -&gt; E2_4_2_3 | (0.278 * E2_4_2_3_mRNA) - (0.000000278 * E2_4_2_3)</v>
      </c>
    </row>
    <row r="114" spans="1:14" ht="16">
      <c r="A114" s="41">
        <v>113</v>
      </c>
      <c r="B114" s="42" t="s">
        <v>9015</v>
      </c>
      <c r="C114" s="41" t="str">
        <f t="shared" si="12"/>
        <v>E2_4_2_7_mRNA</v>
      </c>
      <c r="D114" s="41" t="str">
        <f t="shared" si="13"/>
        <v>E2_4_2_7</v>
      </c>
      <c r="E114" s="43" t="str">
        <f t="shared" si="14"/>
        <v>E2_4_2_7_kcat : 13.7</v>
      </c>
      <c r="F114" s="44" t="str">
        <f t="shared" si="15"/>
        <v>E2_4_2_7_km : 1</v>
      </c>
      <c r="G114" s="45" t="str">
        <f t="shared" si="16"/>
        <v>E2_4_2_7_mRNA : E2_4_2_7_mRNA</v>
      </c>
      <c r="H114" s="46" t="str">
        <f t="shared" si="17"/>
        <v>E2_4_2_7 : E2_4_2_7</v>
      </c>
      <c r="I114" s="47" t="str">
        <f t="shared" si="18"/>
        <v>E2_4_2_7_mRNA : 0</v>
      </c>
      <c r="J114" s="48" t="str">
        <f t="shared" si="19"/>
        <v>E2_4_2_7 : 0</v>
      </c>
      <c r="K114" s="49" t="str">
        <f t="shared" si="20"/>
        <v>0.00292 - (0.0093 * E2_4_2_7_mRNA)</v>
      </c>
      <c r="L114" s="50" t="str">
        <f t="shared" si="21"/>
        <v>(0.278 * E2_4_2_7_mRNA) - (0.00000278 * E2_4_2_7)</v>
      </c>
      <c r="M114" s="51" t="str">
        <f t="shared" si="22"/>
        <v>mRNA113: -&gt; E2_4_2_7_mRNA | 0.00292 - (0.0093 * E2_4_2_7_mRNA)</v>
      </c>
      <c r="N114" s="52" t="str">
        <f t="shared" si="23"/>
        <v>Peptide113: E2_4_2_7_mRNA -&gt; E2_4_2_7 | (0.278 * E2_4_2_7_mRNA) - (0.000000278 * E2_4_2_7)</v>
      </c>
    </row>
    <row r="115" spans="1:14" ht="16">
      <c r="A115" s="41">
        <v>114</v>
      </c>
      <c r="B115" s="42" t="s">
        <v>9016</v>
      </c>
      <c r="C115" s="41" t="str">
        <f t="shared" si="12"/>
        <v>E2_4_2_8_mRNA</v>
      </c>
      <c r="D115" s="41" t="str">
        <f t="shared" si="13"/>
        <v>E2_4_2_8</v>
      </c>
      <c r="E115" s="43" t="str">
        <f t="shared" si="14"/>
        <v>E2_4_2_8_kcat : 13.7</v>
      </c>
      <c r="F115" s="44" t="str">
        <f t="shared" si="15"/>
        <v>E2_4_2_8_km : 1</v>
      </c>
      <c r="G115" s="45" t="str">
        <f t="shared" si="16"/>
        <v>E2_4_2_8_mRNA : E2_4_2_8_mRNA</v>
      </c>
      <c r="H115" s="46" t="str">
        <f t="shared" si="17"/>
        <v>E2_4_2_8 : E2_4_2_8</v>
      </c>
      <c r="I115" s="47" t="str">
        <f t="shared" si="18"/>
        <v>E2_4_2_8_mRNA : 0</v>
      </c>
      <c r="J115" s="48" t="str">
        <f t="shared" si="19"/>
        <v>E2_4_2_8 : 0</v>
      </c>
      <c r="K115" s="49" t="str">
        <f t="shared" si="20"/>
        <v>0.00292 - (0.0093 * E2_4_2_8_mRNA)</v>
      </c>
      <c r="L115" s="50" t="str">
        <f t="shared" si="21"/>
        <v>(0.278 * E2_4_2_8_mRNA) - (0.00000278 * E2_4_2_8)</v>
      </c>
      <c r="M115" s="51" t="str">
        <f t="shared" si="22"/>
        <v>mRNA114: -&gt; E2_4_2_8_mRNA | 0.00292 - (0.0093 * E2_4_2_8_mRNA)</v>
      </c>
      <c r="N115" s="52" t="str">
        <f t="shared" si="23"/>
        <v>Peptide114: E2_4_2_8_mRNA -&gt; E2_4_2_8 | (0.278 * E2_4_2_8_mRNA) - (0.000000278 * E2_4_2_8)</v>
      </c>
    </row>
    <row r="116" spans="1:14" ht="16">
      <c r="A116" s="41">
        <v>115</v>
      </c>
      <c r="B116" s="42" t="s">
        <v>9017</v>
      </c>
      <c r="C116" s="41" t="str">
        <f t="shared" si="12"/>
        <v>E2_4_2_9_mRNA</v>
      </c>
      <c r="D116" s="41" t="str">
        <f t="shared" si="13"/>
        <v>E2_4_2_9</v>
      </c>
      <c r="E116" s="43" t="str">
        <f t="shared" si="14"/>
        <v>E2_4_2_9_kcat : 13.7</v>
      </c>
      <c r="F116" s="44" t="str">
        <f t="shared" si="15"/>
        <v>E2_4_2_9_km : 1</v>
      </c>
      <c r="G116" s="45" t="str">
        <f t="shared" si="16"/>
        <v>E2_4_2_9_mRNA : E2_4_2_9_mRNA</v>
      </c>
      <c r="H116" s="46" t="str">
        <f t="shared" si="17"/>
        <v>E2_4_2_9 : E2_4_2_9</v>
      </c>
      <c r="I116" s="47" t="str">
        <f t="shared" si="18"/>
        <v>E2_4_2_9_mRNA : 0</v>
      </c>
      <c r="J116" s="48" t="str">
        <f t="shared" si="19"/>
        <v>E2_4_2_9 : 0</v>
      </c>
      <c r="K116" s="49" t="str">
        <f t="shared" si="20"/>
        <v>0.00292 - (0.0093 * E2_4_2_9_mRNA)</v>
      </c>
      <c r="L116" s="50" t="str">
        <f t="shared" si="21"/>
        <v>(0.278 * E2_4_2_9_mRNA) - (0.00000278 * E2_4_2_9)</v>
      </c>
      <c r="M116" s="51" t="str">
        <f t="shared" si="22"/>
        <v>mRNA115: -&gt; E2_4_2_9_mRNA | 0.00292 - (0.0093 * E2_4_2_9_mRNA)</v>
      </c>
      <c r="N116" s="52" t="str">
        <f t="shared" si="23"/>
        <v>Peptide115: E2_4_2_9_mRNA -&gt; E2_4_2_9 | (0.278 * E2_4_2_9_mRNA) - (0.000000278 * E2_4_2_9)</v>
      </c>
    </row>
    <row r="117" spans="1:14" ht="16">
      <c r="A117" s="41">
        <v>116</v>
      </c>
      <c r="B117" s="42" t="s">
        <v>9018</v>
      </c>
      <c r="C117" s="41" t="str">
        <f t="shared" si="12"/>
        <v>E2_4_99_17_mRNA</v>
      </c>
      <c r="D117" s="41" t="str">
        <f t="shared" si="13"/>
        <v>E2_4_99_17</v>
      </c>
      <c r="E117" s="43" t="str">
        <f t="shared" si="14"/>
        <v>E2_4_99_17_kcat : 13.7</v>
      </c>
      <c r="F117" s="44" t="str">
        <f t="shared" si="15"/>
        <v>E2_4_99_17_km : 1</v>
      </c>
      <c r="G117" s="45" t="str">
        <f t="shared" si="16"/>
        <v>E2_4_99_17_mRNA : E2_4_99_17_mRNA</v>
      </c>
      <c r="H117" s="46" t="str">
        <f t="shared" si="17"/>
        <v>E2_4_99_17 : E2_4_99_17</v>
      </c>
      <c r="I117" s="47" t="str">
        <f t="shared" si="18"/>
        <v>E2_4_99_17_mRNA : 0</v>
      </c>
      <c r="J117" s="48" t="str">
        <f t="shared" si="19"/>
        <v>E2_4_99_17 : 0</v>
      </c>
      <c r="K117" s="49" t="str">
        <f t="shared" si="20"/>
        <v>0.00292 - (0.0093 * E2_4_99_17_mRNA)</v>
      </c>
      <c r="L117" s="50" t="str">
        <f t="shared" si="21"/>
        <v>(0.278 * E2_4_99_17_mRNA) - (0.00000278 * E2_4_99_17)</v>
      </c>
      <c r="M117" s="51" t="str">
        <f t="shared" si="22"/>
        <v>mRNA116: -&gt; E2_4_99_17_mRNA | 0.00292 - (0.0093 * E2_4_99_17_mRNA)</v>
      </c>
      <c r="N117" s="52" t="str">
        <f t="shared" si="23"/>
        <v>Peptide116: E2_4_99_17_mRNA -&gt; E2_4_99_17 | (0.278 * E2_4_99_17_mRNA) - (0.000000278 * E2_4_99_17)</v>
      </c>
    </row>
    <row r="118" spans="1:14" ht="16">
      <c r="A118" s="41">
        <v>117</v>
      </c>
      <c r="B118" s="42" t="s">
        <v>9019</v>
      </c>
      <c r="C118" s="41" t="str">
        <f t="shared" si="12"/>
        <v>E2_5_1_10_mRNA</v>
      </c>
      <c r="D118" s="41" t="str">
        <f t="shared" si="13"/>
        <v>E2_5_1_10</v>
      </c>
      <c r="E118" s="43" t="str">
        <f t="shared" si="14"/>
        <v>E2_5_1_10_kcat : 13.7</v>
      </c>
      <c r="F118" s="44" t="str">
        <f t="shared" si="15"/>
        <v>E2_5_1_10_km : 1</v>
      </c>
      <c r="G118" s="45" t="str">
        <f t="shared" si="16"/>
        <v>E2_5_1_10_mRNA : E2_5_1_10_mRNA</v>
      </c>
      <c r="H118" s="46" t="str">
        <f t="shared" si="17"/>
        <v>E2_5_1_10 : E2_5_1_10</v>
      </c>
      <c r="I118" s="47" t="str">
        <f t="shared" si="18"/>
        <v>E2_5_1_10_mRNA : 0</v>
      </c>
      <c r="J118" s="48" t="str">
        <f t="shared" si="19"/>
        <v>E2_5_1_10 : 0</v>
      </c>
      <c r="K118" s="49" t="str">
        <f t="shared" si="20"/>
        <v>0.00292 - (0.0093 * E2_5_1_10_mRNA)</v>
      </c>
      <c r="L118" s="50" t="str">
        <f t="shared" si="21"/>
        <v>(0.278 * E2_5_1_10_mRNA) - (0.00000278 * E2_5_1_10)</v>
      </c>
      <c r="M118" s="51" t="str">
        <f t="shared" si="22"/>
        <v>mRNA117: -&gt; E2_5_1_10_mRNA | 0.00292 - (0.0093 * E2_5_1_10_mRNA)</v>
      </c>
      <c r="N118" s="52" t="str">
        <f t="shared" si="23"/>
        <v>Peptide117: E2_5_1_10_mRNA -&gt; E2_5_1_10 | (0.278 * E2_5_1_10_mRNA) - (0.000000278 * E2_5_1_10)</v>
      </c>
    </row>
    <row r="119" spans="1:14" ht="16">
      <c r="A119" s="41">
        <v>118</v>
      </c>
      <c r="B119" s="42" t="s">
        <v>9020</v>
      </c>
      <c r="C119" s="41" t="str">
        <f t="shared" si="12"/>
        <v>E2_5_1_15_mRNA</v>
      </c>
      <c r="D119" s="41" t="str">
        <f t="shared" si="13"/>
        <v>E2_5_1_15</v>
      </c>
      <c r="E119" s="43" t="str">
        <f t="shared" si="14"/>
        <v>E2_5_1_15_kcat : 13.7</v>
      </c>
      <c r="F119" s="44" t="str">
        <f t="shared" si="15"/>
        <v>E2_5_1_15_km : 1</v>
      </c>
      <c r="G119" s="45" t="str">
        <f t="shared" si="16"/>
        <v>E2_5_1_15_mRNA : E2_5_1_15_mRNA</v>
      </c>
      <c r="H119" s="46" t="str">
        <f t="shared" si="17"/>
        <v>E2_5_1_15 : E2_5_1_15</v>
      </c>
      <c r="I119" s="47" t="str">
        <f t="shared" si="18"/>
        <v>E2_5_1_15_mRNA : 0</v>
      </c>
      <c r="J119" s="48" t="str">
        <f t="shared" si="19"/>
        <v>E2_5_1_15 : 0</v>
      </c>
      <c r="K119" s="49" t="str">
        <f t="shared" si="20"/>
        <v>0.00292 - (0.0093 * E2_5_1_15_mRNA)</v>
      </c>
      <c r="L119" s="50" t="str">
        <f t="shared" si="21"/>
        <v>(0.278 * E2_5_1_15_mRNA) - (0.00000278 * E2_5_1_15)</v>
      </c>
      <c r="M119" s="51" t="str">
        <f t="shared" si="22"/>
        <v>mRNA118: -&gt; E2_5_1_15_mRNA | 0.00292 - (0.0093 * E2_5_1_15_mRNA)</v>
      </c>
      <c r="N119" s="52" t="str">
        <f t="shared" si="23"/>
        <v>Peptide118: E2_5_1_15_mRNA -&gt; E2_5_1_15 | (0.278 * E2_5_1_15_mRNA) - (0.000000278 * E2_5_1_15)</v>
      </c>
    </row>
    <row r="120" spans="1:14" ht="16">
      <c r="A120" s="41">
        <v>119</v>
      </c>
      <c r="B120" s="42" t="s">
        <v>9021</v>
      </c>
      <c r="C120" s="41" t="str">
        <f t="shared" si="12"/>
        <v>E2_5_1_18_mRNA</v>
      </c>
      <c r="D120" s="41" t="str">
        <f t="shared" si="13"/>
        <v>E2_5_1_18</v>
      </c>
      <c r="E120" s="43" t="str">
        <f t="shared" si="14"/>
        <v>E2_5_1_18_kcat : 13.7</v>
      </c>
      <c r="F120" s="44" t="str">
        <f t="shared" si="15"/>
        <v>E2_5_1_18_km : 1</v>
      </c>
      <c r="G120" s="45" t="str">
        <f t="shared" si="16"/>
        <v>E2_5_1_18_mRNA : E2_5_1_18_mRNA</v>
      </c>
      <c r="H120" s="46" t="str">
        <f t="shared" si="17"/>
        <v>E2_5_1_18 : E2_5_1_18</v>
      </c>
      <c r="I120" s="47" t="str">
        <f t="shared" si="18"/>
        <v>E2_5_1_18_mRNA : 0</v>
      </c>
      <c r="J120" s="48" t="str">
        <f t="shared" si="19"/>
        <v>E2_5_1_18 : 0</v>
      </c>
      <c r="K120" s="49" t="str">
        <f t="shared" si="20"/>
        <v>0.00292 - (0.0093 * E2_5_1_18_mRNA)</v>
      </c>
      <c r="L120" s="50" t="str">
        <f t="shared" si="21"/>
        <v>(0.278 * E2_5_1_18_mRNA) - (0.00000278 * E2_5_1_18)</v>
      </c>
      <c r="M120" s="51" t="str">
        <f t="shared" si="22"/>
        <v>mRNA119: -&gt; E2_5_1_18_mRNA | 0.00292 - (0.0093 * E2_5_1_18_mRNA)</v>
      </c>
      <c r="N120" s="52" t="str">
        <f t="shared" si="23"/>
        <v>Peptide119: E2_5_1_18_mRNA -&gt; E2_5_1_18 | (0.278 * E2_5_1_18_mRNA) - (0.000000278 * E2_5_1_18)</v>
      </c>
    </row>
    <row r="121" spans="1:14" ht="16">
      <c r="A121" s="41">
        <v>120</v>
      </c>
      <c r="B121" s="42" t="s">
        <v>9022</v>
      </c>
      <c r="C121" s="41" t="str">
        <f t="shared" si="12"/>
        <v>E2_5_1_19_mRNA</v>
      </c>
      <c r="D121" s="41" t="str">
        <f t="shared" si="13"/>
        <v>E2_5_1_19</v>
      </c>
      <c r="E121" s="43" t="str">
        <f t="shared" si="14"/>
        <v>E2_5_1_19_kcat : 13.7</v>
      </c>
      <c r="F121" s="44" t="str">
        <f t="shared" si="15"/>
        <v>E2_5_1_19_km : 1</v>
      </c>
      <c r="G121" s="45" t="str">
        <f t="shared" si="16"/>
        <v>E2_5_1_19_mRNA : E2_5_1_19_mRNA</v>
      </c>
      <c r="H121" s="46" t="str">
        <f t="shared" si="17"/>
        <v>E2_5_1_19 : E2_5_1_19</v>
      </c>
      <c r="I121" s="47" t="str">
        <f t="shared" si="18"/>
        <v>E2_5_1_19_mRNA : 0</v>
      </c>
      <c r="J121" s="48" t="str">
        <f t="shared" si="19"/>
        <v>E2_5_1_19 : 0</v>
      </c>
      <c r="K121" s="49" t="str">
        <f t="shared" si="20"/>
        <v>0.00292 - (0.0093 * E2_5_1_19_mRNA)</v>
      </c>
      <c r="L121" s="50" t="str">
        <f t="shared" si="21"/>
        <v>(0.278 * E2_5_1_19_mRNA) - (0.00000278 * E2_5_1_19)</v>
      </c>
      <c r="M121" s="51" t="str">
        <f t="shared" si="22"/>
        <v>mRNA120: -&gt; E2_5_1_19_mRNA | 0.00292 - (0.0093 * E2_5_1_19_mRNA)</v>
      </c>
      <c r="N121" s="52" t="str">
        <f t="shared" si="23"/>
        <v>Peptide120: E2_5_1_19_mRNA -&gt; E2_5_1_19 | (0.278 * E2_5_1_19_mRNA) - (0.000000278 * E2_5_1_19)</v>
      </c>
    </row>
    <row r="122" spans="1:14" ht="16">
      <c r="A122" s="41">
        <v>121</v>
      </c>
      <c r="B122" s="42" t="s">
        <v>9023</v>
      </c>
      <c r="C122" s="41" t="str">
        <f t="shared" si="12"/>
        <v>E2_5_1_31_mRNA</v>
      </c>
      <c r="D122" s="41" t="str">
        <f t="shared" si="13"/>
        <v>E2_5_1_31</v>
      </c>
      <c r="E122" s="43" t="str">
        <f t="shared" si="14"/>
        <v>E2_5_1_31_kcat : 13.7</v>
      </c>
      <c r="F122" s="44" t="str">
        <f t="shared" si="15"/>
        <v>E2_5_1_31_km : 1</v>
      </c>
      <c r="G122" s="45" t="str">
        <f t="shared" si="16"/>
        <v>E2_5_1_31_mRNA : E2_5_1_31_mRNA</v>
      </c>
      <c r="H122" s="46" t="str">
        <f t="shared" si="17"/>
        <v>E2_5_1_31 : E2_5_1_31</v>
      </c>
      <c r="I122" s="47" t="str">
        <f t="shared" si="18"/>
        <v>E2_5_1_31_mRNA : 0</v>
      </c>
      <c r="J122" s="48" t="str">
        <f t="shared" si="19"/>
        <v>E2_5_1_31 : 0</v>
      </c>
      <c r="K122" s="49" t="str">
        <f t="shared" si="20"/>
        <v>0.00292 - (0.0093 * E2_5_1_31_mRNA)</v>
      </c>
      <c r="L122" s="50" t="str">
        <f t="shared" si="21"/>
        <v>(0.278 * E2_5_1_31_mRNA) - (0.00000278 * E2_5_1_31)</v>
      </c>
      <c r="M122" s="51" t="str">
        <f t="shared" si="22"/>
        <v>mRNA121: -&gt; E2_5_1_31_mRNA | 0.00292 - (0.0093 * E2_5_1_31_mRNA)</v>
      </c>
      <c r="N122" s="52" t="str">
        <f t="shared" si="23"/>
        <v>Peptide121: E2_5_1_31_mRNA -&gt; E2_5_1_31 | (0.278 * E2_5_1_31_mRNA) - (0.000000278 * E2_5_1_31)</v>
      </c>
    </row>
    <row r="123" spans="1:14" ht="16">
      <c r="A123" s="41">
        <v>122</v>
      </c>
      <c r="B123" s="42" t="s">
        <v>9024</v>
      </c>
      <c r="C123" s="41" t="str">
        <f t="shared" si="12"/>
        <v>E2_5_1_47_mRNA</v>
      </c>
      <c r="D123" s="41" t="str">
        <f t="shared" si="13"/>
        <v>E2_5_1_47</v>
      </c>
      <c r="E123" s="43" t="str">
        <f t="shared" si="14"/>
        <v>E2_5_1_47_kcat : 13.7</v>
      </c>
      <c r="F123" s="44" t="str">
        <f t="shared" si="15"/>
        <v>E2_5_1_47_km : 1</v>
      </c>
      <c r="G123" s="45" t="str">
        <f t="shared" si="16"/>
        <v>E2_5_1_47_mRNA : E2_5_1_47_mRNA</v>
      </c>
      <c r="H123" s="46" t="str">
        <f t="shared" si="17"/>
        <v>E2_5_1_47 : E2_5_1_47</v>
      </c>
      <c r="I123" s="47" t="str">
        <f t="shared" si="18"/>
        <v>E2_5_1_47_mRNA : 0</v>
      </c>
      <c r="J123" s="48" t="str">
        <f t="shared" si="19"/>
        <v>E2_5_1_47 : 0</v>
      </c>
      <c r="K123" s="49" t="str">
        <f t="shared" si="20"/>
        <v>0.00292 - (0.0093 * E2_5_1_47_mRNA)</v>
      </c>
      <c r="L123" s="50" t="str">
        <f t="shared" si="21"/>
        <v>(0.278 * E2_5_1_47_mRNA) - (0.00000278 * E2_5_1_47)</v>
      </c>
      <c r="M123" s="51" t="str">
        <f t="shared" si="22"/>
        <v>mRNA122: -&gt; E2_5_1_47_mRNA | 0.00292 - (0.0093 * E2_5_1_47_mRNA)</v>
      </c>
      <c r="N123" s="52" t="str">
        <f t="shared" si="23"/>
        <v>Peptide122: E2_5_1_47_mRNA -&gt; E2_5_1_47 | (0.278 * E2_5_1_47_mRNA) - (0.000000278 * E2_5_1_47)</v>
      </c>
    </row>
    <row r="124" spans="1:14" ht="16">
      <c r="A124" s="41">
        <v>123</v>
      </c>
      <c r="B124" s="42" t="s">
        <v>9025</v>
      </c>
      <c r="C124" s="41" t="str">
        <f t="shared" si="12"/>
        <v>E4_4_1_1_mRNA</v>
      </c>
      <c r="D124" s="41" t="str">
        <f t="shared" si="13"/>
        <v>E4_4_1_1</v>
      </c>
      <c r="E124" s="43" t="str">
        <f t="shared" si="14"/>
        <v>E4_4_1_1_kcat : 13.7</v>
      </c>
      <c r="F124" s="44" t="str">
        <f t="shared" si="15"/>
        <v>E4_4_1_1_km : 1</v>
      </c>
      <c r="G124" s="45" t="str">
        <f t="shared" si="16"/>
        <v>E4_4_1_1_mRNA : E4_4_1_1_mRNA</v>
      </c>
      <c r="H124" s="46" t="str">
        <f t="shared" si="17"/>
        <v>E4_4_1_1 : E4_4_1_1</v>
      </c>
      <c r="I124" s="47" t="str">
        <f t="shared" si="18"/>
        <v>E4_4_1_1_mRNA : 0</v>
      </c>
      <c r="J124" s="48" t="str">
        <f t="shared" si="19"/>
        <v>E4_4_1_1 : 0</v>
      </c>
      <c r="K124" s="49" t="str">
        <f t="shared" si="20"/>
        <v>0.00292 - (0.0093 * E4_4_1_1_mRNA)</v>
      </c>
      <c r="L124" s="50" t="str">
        <f t="shared" si="21"/>
        <v>(0.278 * E4_4_1_1_mRNA) - (0.00000278 * E4_4_1_1)</v>
      </c>
      <c r="M124" s="51" t="str">
        <f t="shared" si="22"/>
        <v>mRNA123: -&gt; E4_4_1_1_mRNA | 0.00292 - (0.0093 * E4_4_1_1_mRNA)</v>
      </c>
      <c r="N124" s="52" t="str">
        <f t="shared" si="23"/>
        <v>Peptide123: E4_4_1_1_mRNA -&gt; E4_4_1_1 | (0.278 * E4_4_1_1_mRNA) - (0.000000278 * E4_4_1_1)</v>
      </c>
    </row>
    <row r="125" spans="1:14" ht="16">
      <c r="A125" s="41">
        <v>124</v>
      </c>
      <c r="B125" s="42" t="s">
        <v>9026</v>
      </c>
      <c r="C125" s="41" t="str">
        <f t="shared" si="12"/>
        <v>E2_5_1_48_mRNA</v>
      </c>
      <c r="D125" s="41" t="str">
        <f t="shared" si="13"/>
        <v>E2_5_1_48</v>
      </c>
      <c r="E125" s="43" t="str">
        <f t="shared" si="14"/>
        <v>E2_5_1_48_kcat : 13.7</v>
      </c>
      <c r="F125" s="44" t="str">
        <f t="shared" si="15"/>
        <v>E2_5_1_48_km : 1</v>
      </c>
      <c r="G125" s="45" t="str">
        <f t="shared" si="16"/>
        <v>E2_5_1_48_mRNA : E2_5_1_48_mRNA</v>
      </c>
      <c r="H125" s="46" t="str">
        <f t="shared" si="17"/>
        <v>E2_5_1_48 : E2_5_1_48</v>
      </c>
      <c r="I125" s="47" t="str">
        <f t="shared" si="18"/>
        <v>E2_5_1_48_mRNA : 0</v>
      </c>
      <c r="J125" s="48" t="str">
        <f t="shared" si="19"/>
        <v>E2_5_1_48 : 0</v>
      </c>
      <c r="K125" s="49" t="str">
        <f t="shared" si="20"/>
        <v>0.00292 - (0.0093 * E2_5_1_48_mRNA)</v>
      </c>
      <c r="L125" s="50" t="str">
        <f t="shared" si="21"/>
        <v>(0.278 * E2_5_1_48_mRNA) - (0.00000278 * E2_5_1_48)</v>
      </c>
      <c r="M125" s="51" t="str">
        <f t="shared" si="22"/>
        <v>mRNA124: -&gt; E2_5_1_48_mRNA | 0.00292 - (0.0093 * E2_5_1_48_mRNA)</v>
      </c>
      <c r="N125" s="52" t="str">
        <f t="shared" si="23"/>
        <v>Peptide124: E2_5_1_48_mRNA -&gt; E2_5_1_48 | (0.278 * E2_5_1_48_mRNA) - (0.000000278 * E2_5_1_48)</v>
      </c>
    </row>
    <row r="126" spans="1:14" ht="16">
      <c r="A126" s="41">
        <v>125</v>
      </c>
      <c r="B126" s="42" t="s">
        <v>9027</v>
      </c>
      <c r="C126" s="41" t="str">
        <f t="shared" si="12"/>
        <v>E2_5_1_49_mRNA</v>
      </c>
      <c r="D126" s="41" t="str">
        <f t="shared" si="13"/>
        <v>E2_5_1_49</v>
      </c>
      <c r="E126" s="43" t="str">
        <f t="shared" si="14"/>
        <v>E2_5_1_49_kcat : 13.7</v>
      </c>
      <c r="F126" s="44" t="str">
        <f t="shared" si="15"/>
        <v>E2_5_1_49_km : 1</v>
      </c>
      <c r="G126" s="45" t="str">
        <f t="shared" si="16"/>
        <v>E2_5_1_49_mRNA : E2_5_1_49_mRNA</v>
      </c>
      <c r="H126" s="46" t="str">
        <f t="shared" si="17"/>
        <v>E2_5_1_49 : E2_5_1_49</v>
      </c>
      <c r="I126" s="47" t="str">
        <f t="shared" si="18"/>
        <v>E2_5_1_49_mRNA : 0</v>
      </c>
      <c r="J126" s="48" t="str">
        <f t="shared" si="19"/>
        <v>E2_5_1_49 : 0</v>
      </c>
      <c r="K126" s="49" t="str">
        <f t="shared" si="20"/>
        <v>0.00292 - (0.0093 * E2_5_1_49_mRNA)</v>
      </c>
      <c r="L126" s="50" t="str">
        <f t="shared" si="21"/>
        <v>(0.278 * E2_5_1_49_mRNA) - (0.00000278 * E2_5_1_49)</v>
      </c>
      <c r="M126" s="51" t="str">
        <f t="shared" si="22"/>
        <v>mRNA125: -&gt; E2_5_1_49_mRNA | 0.00292 - (0.0093 * E2_5_1_49_mRNA)</v>
      </c>
      <c r="N126" s="52" t="str">
        <f t="shared" si="23"/>
        <v>Peptide125: E2_5_1_49_mRNA -&gt; E2_5_1_49 | (0.278 * E2_5_1_49_mRNA) - (0.000000278 * E2_5_1_49)</v>
      </c>
    </row>
    <row r="127" spans="1:14" ht="16">
      <c r="A127" s="41">
        <v>126</v>
      </c>
      <c r="B127" s="42" t="s">
        <v>9028</v>
      </c>
      <c r="C127" s="41" t="str">
        <f t="shared" si="12"/>
        <v>E2_5_1_6_mRNA</v>
      </c>
      <c r="D127" s="41" t="str">
        <f t="shared" si="13"/>
        <v>E2_5_1_6</v>
      </c>
      <c r="E127" s="43" t="str">
        <f t="shared" si="14"/>
        <v>E2_5_1_6_kcat : 13.7</v>
      </c>
      <c r="F127" s="44" t="str">
        <f t="shared" si="15"/>
        <v>E2_5_1_6_km : 1</v>
      </c>
      <c r="G127" s="45" t="str">
        <f t="shared" si="16"/>
        <v>E2_5_1_6_mRNA : E2_5_1_6_mRNA</v>
      </c>
      <c r="H127" s="46" t="str">
        <f t="shared" si="17"/>
        <v>E2_5_1_6 : E2_5_1_6</v>
      </c>
      <c r="I127" s="47" t="str">
        <f t="shared" si="18"/>
        <v>E2_5_1_6_mRNA : 0</v>
      </c>
      <c r="J127" s="48" t="str">
        <f t="shared" si="19"/>
        <v>E2_5_1_6 : 0</v>
      </c>
      <c r="K127" s="49" t="str">
        <f t="shared" si="20"/>
        <v>0.00292 - (0.0093 * E2_5_1_6_mRNA)</v>
      </c>
      <c r="L127" s="50" t="str">
        <f t="shared" si="21"/>
        <v>(0.278 * E2_5_1_6_mRNA) - (0.00000278 * E2_5_1_6)</v>
      </c>
      <c r="M127" s="51" t="str">
        <f t="shared" si="22"/>
        <v>mRNA126: -&gt; E2_5_1_6_mRNA | 0.00292 - (0.0093 * E2_5_1_6_mRNA)</v>
      </c>
      <c r="N127" s="52" t="str">
        <f t="shared" si="23"/>
        <v>Peptide126: E2_5_1_6_mRNA -&gt; E2_5_1_6 | (0.278 * E2_5_1_6_mRNA) - (0.000000278 * E2_5_1_6)</v>
      </c>
    </row>
    <row r="128" spans="1:14" ht="16">
      <c r="A128" s="41">
        <v>127</v>
      </c>
      <c r="B128" s="42" t="s">
        <v>9029</v>
      </c>
      <c r="C128" s="41" t="str">
        <f t="shared" si="12"/>
        <v>E2_5_1_7_mRNA</v>
      </c>
      <c r="D128" s="41" t="str">
        <f t="shared" si="13"/>
        <v>E2_5_1_7</v>
      </c>
      <c r="E128" s="43" t="str">
        <f t="shared" si="14"/>
        <v>E2_5_1_7_kcat : 13.7</v>
      </c>
      <c r="F128" s="44" t="str">
        <f t="shared" si="15"/>
        <v>E2_5_1_7_km : 1</v>
      </c>
      <c r="G128" s="45" t="str">
        <f t="shared" si="16"/>
        <v>E2_5_1_7_mRNA : E2_5_1_7_mRNA</v>
      </c>
      <c r="H128" s="46" t="str">
        <f t="shared" si="17"/>
        <v>E2_5_1_7 : E2_5_1_7</v>
      </c>
      <c r="I128" s="47" t="str">
        <f t="shared" si="18"/>
        <v>E2_5_1_7_mRNA : 0</v>
      </c>
      <c r="J128" s="48" t="str">
        <f t="shared" si="19"/>
        <v>E2_5_1_7 : 0</v>
      </c>
      <c r="K128" s="49" t="str">
        <f t="shared" si="20"/>
        <v>0.00292 - (0.0093 * E2_5_1_7_mRNA)</v>
      </c>
      <c r="L128" s="50" t="str">
        <f t="shared" si="21"/>
        <v>(0.278 * E2_5_1_7_mRNA) - (0.00000278 * E2_5_1_7)</v>
      </c>
      <c r="M128" s="51" t="str">
        <f t="shared" si="22"/>
        <v>mRNA127: -&gt; E2_5_1_7_mRNA | 0.00292 - (0.0093 * E2_5_1_7_mRNA)</v>
      </c>
      <c r="N128" s="52" t="str">
        <f t="shared" si="23"/>
        <v>Peptide127: E2_5_1_7_mRNA -&gt; E2_5_1_7 | (0.278 * E2_5_1_7_mRNA) - (0.000000278 * E2_5_1_7)</v>
      </c>
    </row>
    <row r="129" spans="1:14" ht="16">
      <c r="A129" s="41">
        <v>128</v>
      </c>
      <c r="B129" s="42" t="s">
        <v>9030</v>
      </c>
      <c r="C129" s="41" t="str">
        <f t="shared" si="12"/>
        <v>E2_5_1_75_mRNA</v>
      </c>
      <c r="D129" s="41" t="str">
        <f t="shared" si="13"/>
        <v>E2_5_1_75</v>
      </c>
      <c r="E129" s="43" t="str">
        <f t="shared" si="14"/>
        <v>E2_5_1_75_kcat : 13.7</v>
      </c>
      <c r="F129" s="44" t="str">
        <f t="shared" si="15"/>
        <v>E2_5_1_75_km : 1</v>
      </c>
      <c r="G129" s="45" t="str">
        <f t="shared" si="16"/>
        <v>E2_5_1_75_mRNA : E2_5_1_75_mRNA</v>
      </c>
      <c r="H129" s="46" t="str">
        <f t="shared" si="17"/>
        <v>E2_5_1_75 : E2_5_1_75</v>
      </c>
      <c r="I129" s="47" t="str">
        <f t="shared" si="18"/>
        <v>E2_5_1_75_mRNA : 0</v>
      </c>
      <c r="J129" s="48" t="str">
        <f t="shared" si="19"/>
        <v>E2_5_1_75 : 0</v>
      </c>
      <c r="K129" s="49" t="str">
        <f t="shared" si="20"/>
        <v>0.00292 - (0.0093 * E2_5_1_75_mRNA)</v>
      </c>
      <c r="L129" s="50" t="str">
        <f t="shared" si="21"/>
        <v>(0.278 * E2_5_1_75_mRNA) - (0.00000278 * E2_5_1_75)</v>
      </c>
      <c r="M129" s="51" t="str">
        <f t="shared" si="22"/>
        <v>mRNA128: -&gt; E2_5_1_75_mRNA | 0.00292 - (0.0093 * E2_5_1_75_mRNA)</v>
      </c>
      <c r="N129" s="52" t="str">
        <f t="shared" si="23"/>
        <v>Peptide128: E2_5_1_75_mRNA -&gt; E2_5_1_75 | (0.278 * E2_5_1_75_mRNA) - (0.000000278 * E2_5_1_75)</v>
      </c>
    </row>
    <row r="130" spans="1:14" ht="16">
      <c r="A130" s="41">
        <v>129</v>
      </c>
      <c r="B130" s="42" t="s">
        <v>9031</v>
      </c>
      <c r="C130" s="41" t="str">
        <f t="shared" si="12"/>
        <v>E2_6_1_1_mRNA</v>
      </c>
      <c r="D130" s="41" t="str">
        <f t="shared" si="13"/>
        <v>E2_6_1_1</v>
      </c>
      <c r="E130" s="43" t="str">
        <f t="shared" si="14"/>
        <v>E2_6_1_1_kcat : 13.7</v>
      </c>
      <c r="F130" s="44" t="str">
        <f t="shared" si="15"/>
        <v>E2_6_1_1_km : 1</v>
      </c>
      <c r="G130" s="45" t="str">
        <f t="shared" si="16"/>
        <v>E2_6_1_1_mRNA : E2_6_1_1_mRNA</v>
      </c>
      <c r="H130" s="46" t="str">
        <f t="shared" si="17"/>
        <v>E2_6_1_1 : E2_6_1_1</v>
      </c>
      <c r="I130" s="47" t="str">
        <f t="shared" si="18"/>
        <v>E2_6_1_1_mRNA : 0</v>
      </c>
      <c r="J130" s="48" t="str">
        <f t="shared" si="19"/>
        <v>E2_6_1_1 : 0</v>
      </c>
      <c r="K130" s="49" t="str">
        <f t="shared" si="20"/>
        <v>0.00292 - (0.0093 * E2_6_1_1_mRNA)</v>
      </c>
      <c r="L130" s="50" t="str">
        <f t="shared" si="21"/>
        <v>(0.278 * E2_6_1_1_mRNA) - (0.00000278 * E2_6_1_1)</v>
      </c>
      <c r="M130" s="51" t="str">
        <f t="shared" si="22"/>
        <v>mRNA129: -&gt; E2_6_1_1_mRNA | 0.00292 - (0.0093 * E2_6_1_1_mRNA)</v>
      </c>
      <c r="N130" s="52" t="str">
        <f t="shared" si="23"/>
        <v>Peptide129: E2_6_1_1_mRNA -&gt; E2_6_1_1 | (0.278 * E2_6_1_1_mRNA) - (0.000000278 * E2_6_1_1)</v>
      </c>
    </row>
    <row r="131" spans="1:14" ht="16">
      <c r="A131" s="41">
        <v>130</v>
      </c>
      <c r="B131" s="42" t="s">
        <v>9032</v>
      </c>
      <c r="C131" s="41" t="str">
        <f t="shared" ref="C131:C194" si="24">CONCATENATE(D131, "_mRNA")</f>
        <v>E2_6_1_11_mRNA</v>
      </c>
      <c r="D131" s="41" t="str">
        <f t="shared" ref="D131:D194" si="25">CONCATENATE("E",B131)</f>
        <v>E2_6_1_11</v>
      </c>
      <c r="E131" s="43" t="str">
        <f t="shared" ref="E131:E194" si="26">CONCATENATE("E",B131,"_kcat : 13.7")</f>
        <v>E2_6_1_11_kcat : 13.7</v>
      </c>
      <c r="F131" s="44" t="str">
        <f t="shared" ref="F131:F194" si="27">CONCATENATE("E",B131, "_km : 1")</f>
        <v>E2_6_1_11_km : 1</v>
      </c>
      <c r="G131" s="45" t="str">
        <f t="shared" ref="G131:G194" si="28">CONCATENATE(C131, " : ",C131)</f>
        <v>E2_6_1_11_mRNA : E2_6_1_11_mRNA</v>
      </c>
      <c r="H131" s="46" t="str">
        <f t="shared" ref="H131:H194" si="29">CONCATENATE(D131, " : ",D131)</f>
        <v>E2_6_1_11 : E2_6_1_11</v>
      </c>
      <c r="I131" s="47" t="str">
        <f t="shared" ref="I131:I194" si="30">CONCATENATE(C131, " : ","0")</f>
        <v>E2_6_1_11_mRNA : 0</v>
      </c>
      <c r="J131" s="48" t="str">
        <f t="shared" ref="J131:J194" si="31">CONCATENATE(D131, " : ","0")</f>
        <v>E2_6_1_11 : 0</v>
      </c>
      <c r="K131" s="49" t="str">
        <f t="shared" ref="K131:K194" si="32">CONCATENATE("0.00292 - (0.0093 * ",C131,")")</f>
        <v>0.00292 - (0.0093 * E2_6_1_11_mRNA)</v>
      </c>
      <c r="L131" s="50" t="str">
        <f t="shared" ref="L131:L194" si="33">CONCATENATE("(0.278 * ",C131,")"," - (0.00000278 * ",D131,")")</f>
        <v>(0.278 * E2_6_1_11_mRNA) - (0.00000278 * E2_6_1_11)</v>
      </c>
      <c r="M131" s="51" t="str">
        <f t="shared" ref="M131:M194" si="34">CONCATENATE("mRNA",A131,": -&gt; ",C131," | ","0.00292"," - ","(","0.0093"," * ",C131,")")</f>
        <v>mRNA130: -&gt; E2_6_1_11_mRNA | 0.00292 - (0.0093 * E2_6_1_11_mRNA)</v>
      </c>
      <c r="N131" s="52" t="str">
        <f t="shared" ref="N131:N194" si="35">CONCATENATE("Peptide",A131,": ",C131," -&gt; ",D131," | ","(","0.278"," * ",C131,")"," - ","(","0.000000278"," * ",D131,")")</f>
        <v>Peptide130: E2_6_1_11_mRNA -&gt; E2_6_1_11 | (0.278 * E2_6_1_11_mRNA) - (0.000000278 * E2_6_1_11)</v>
      </c>
    </row>
    <row r="132" spans="1:14" ht="16">
      <c r="A132" s="41">
        <v>131</v>
      </c>
      <c r="B132" s="42" t="s">
        <v>9033</v>
      </c>
      <c r="C132" s="41" t="str">
        <f t="shared" si="24"/>
        <v>E2_6_1_16_mRNA</v>
      </c>
      <c r="D132" s="41" t="str">
        <f t="shared" si="25"/>
        <v>E2_6_1_16</v>
      </c>
      <c r="E132" s="43" t="str">
        <f t="shared" si="26"/>
        <v>E2_6_1_16_kcat : 13.7</v>
      </c>
      <c r="F132" s="44" t="str">
        <f t="shared" si="27"/>
        <v>E2_6_1_16_km : 1</v>
      </c>
      <c r="G132" s="45" t="str">
        <f t="shared" si="28"/>
        <v>E2_6_1_16_mRNA : E2_6_1_16_mRNA</v>
      </c>
      <c r="H132" s="46" t="str">
        <f t="shared" si="29"/>
        <v>E2_6_1_16 : E2_6_1_16</v>
      </c>
      <c r="I132" s="47" t="str">
        <f t="shared" si="30"/>
        <v>E2_6_1_16_mRNA : 0</v>
      </c>
      <c r="J132" s="48" t="str">
        <f t="shared" si="31"/>
        <v>E2_6_1_16 : 0</v>
      </c>
      <c r="K132" s="49" t="str">
        <f t="shared" si="32"/>
        <v>0.00292 - (0.0093 * E2_6_1_16_mRNA)</v>
      </c>
      <c r="L132" s="50" t="str">
        <f t="shared" si="33"/>
        <v>(0.278 * E2_6_1_16_mRNA) - (0.00000278 * E2_6_1_16)</v>
      </c>
      <c r="M132" s="51" t="str">
        <f t="shared" si="34"/>
        <v>mRNA131: -&gt; E2_6_1_16_mRNA | 0.00292 - (0.0093 * E2_6_1_16_mRNA)</v>
      </c>
      <c r="N132" s="52" t="str">
        <f t="shared" si="35"/>
        <v>Peptide131: E2_6_1_16_mRNA -&gt; E2_6_1_16 | (0.278 * E2_6_1_16_mRNA) - (0.000000278 * E2_6_1_16)</v>
      </c>
    </row>
    <row r="133" spans="1:14" ht="16">
      <c r="A133" s="41">
        <v>132</v>
      </c>
      <c r="B133" s="42" t="s">
        <v>9034</v>
      </c>
      <c r="C133" s="41" t="str">
        <f t="shared" si="24"/>
        <v>E2_6_1_42_mRNA</v>
      </c>
      <c r="D133" s="41" t="str">
        <f t="shared" si="25"/>
        <v>E2_6_1_42</v>
      </c>
      <c r="E133" s="43" t="str">
        <f t="shared" si="26"/>
        <v>E2_6_1_42_kcat : 13.7</v>
      </c>
      <c r="F133" s="44" t="str">
        <f t="shared" si="27"/>
        <v>E2_6_1_42_km : 1</v>
      </c>
      <c r="G133" s="45" t="str">
        <f t="shared" si="28"/>
        <v>E2_6_1_42_mRNA : E2_6_1_42_mRNA</v>
      </c>
      <c r="H133" s="46" t="str">
        <f t="shared" si="29"/>
        <v>E2_6_1_42 : E2_6_1_42</v>
      </c>
      <c r="I133" s="47" t="str">
        <f t="shared" si="30"/>
        <v>E2_6_1_42_mRNA : 0</v>
      </c>
      <c r="J133" s="48" t="str">
        <f t="shared" si="31"/>
        <v>E2_6_1_42 : 0</v>
      </c>
      <c r="K133" s="49" t="str">
        <f t="shared" si="32"/>
        <v>0.00292 - (0.0093 * E2_6_1_42_mRNA)</v>
      </c>
      <c r="L133" s="50" t="str">
        <f t="shared" si="33"/>
        <v>(0.278 * E2_6_1_42_mRNA) - (0.00000278 * E2_6_1_42)</v>
      </c>
      <c r="M133" s="51" t="str">
        <f t="shared" si="34"/>
        <v>mRNA132: -&gt; E2_6_1_42_mRNA | 0.00292 - (0.0093 * E2_6_1_42_mRNA)</v>
      </c>
      <c r="N133" s="52" t="str">
        <f t="shared" si="35"/>
        <v>Peptide132: E2_6_1_42_mRNA -&gt; E2_6_1_42 | (0.278 * E2_6_1_42_mRNA) - (0.000000278 * E2_6_1_42)</v>
      </c>
    </row>
    <row r="134" spans="1:14" ht="16">
      <c r="A134" s="41">
        <v>133</v>
      </c>
      <c r="B134" s="42" t="s">
        <v>9035</v>
      </c>
      <c r="C134" s="41" t="str">
        <f t="shared" si="24"/>
        <v>E2_6_1_52_mRNA</v>
      </c>
      <c r="D134" s="41" t="str">
        <f t="shared" si="25"/>
        <v>E2_6_1_52</v>
      </c>
      <c r="E134" s="43" t="str">
        <f t="shared" si="26"/>
        <v>E2_6_1_52_kcat : 13.7</v>
      </c>
      <c r="F134" s="44" t="str">
        <f t="shared" si="27"/>
        <v>E2_6_1_52_km : 1</v>
      </c>
      <c r="G134" s="45" t="str">
        <f t="shared" si="28"/>
        <v>E2_6_1_52_mRNA : E2_6_1_52_mRNA</v>
      </c>
      <c r="H134" s="46" t="str">
        <f t="shared" si="29"/>
        <v>E2_6_1_52 : E2_6_1_52</v>
      </c>
      <c r="I134" s="47" t="str">
        <f t="shared" si="30"/>
        <v>E2_6_1_52_mRNA : 0</v>
      </c>
      <c r="J134" s="48" t="str">
        <f t="shared" si="31"/>
        <v>E2_6_1_52 : 0</v>
      </c>
      <c r="K134" s="49" t="str">
        <f t="shared" si="32"/>
        <v>0.00292 - (0.0093 * E2_6_1_52_mRNA)</v>
      </c>
      <c r="L134" s="50" t="str">
        <f t="shared" si="33"/>
        <v>(0.278 * E2_6_1_52_mRNA) - (0.00000278 * E2_6_1_52)</v>
      </c>
      <c r="M134" s="51" t="str">
        <f t="shared" si="34"/>
        <v>mRNA133: -&gt; E2_6_1_52_mRNA | 0.00292 - (0.0093 * E2_6_1_52_mRNA)</v>
      </c>
      <c r="N134" s="52" t="str">
        <f t="shared" si="35"/>
        <v>Peptide133: E2_6_1_52_mRNA -&gt; E2_6_1_52 | (0.278 * E2_6_1_52_mRNA) - (0.000000278 * E2_6_1_52)</v>
      </c>
    </row>
    <row r="135" spans="1:14" ht="16">
      <c r="A135" s="41">
        <v>134</v>
      </c>
      <c r="B135" s="42" t="s">
        <v>9036</v>
      </c>
      <c r="C135" s="41" t="str">
        <f t="shared" si="24"/>
        <v>E2_6_1_85_mRNA</v>
      </c>
      <c r="D135" s="41" t="str">
        <f t="shared" si="25"/>
        <v>E2_6_1_85</v>
      </c>
      <c r="E135" s="43" t="str">
        <f t="shared" si="26"/>
        <v>E2_6_1_85_kcat : 13.7</v>
      </c>
      <c r="F135" s="44" t="str">
        <f t="shared" si="27"/>
        <v>E2_6_1_85_km : 1</v>
      </c>
      <c r="G135" s="45" t="str">
        <f t="shared" si="28"/>
        <v>E2_6_1_85_mRNA : E2_6_1_85_mRNA</v>
      </c>
      <c r="H135" s="46" t="str">
        <f t="shared" si="29"/>
        <v>E2_6_1_85 : E2_6_1_85</v>
      </c>
      <c r="I135" s="47" t="str">
        <f t="shared" si="30"/>
        <v>E2_6_1_85_mRNA : 0</v>
      </c>
      <c r="J135" s="48" t="str">
        <f t="shared" si="31"/>
        <v>E2_6_1_85 : 0</v>
      </c>
      <c r="K135" s="49" t="str">
        <f t="shared" si="32"/>
        <v>0.00292 - (0.0093 * E2_6_1_85_mRNA)</v>
      </c>
      <c r="L135" s="50" t="str">
        <f t="shared" si="33"/>
        <v>(0.278 * E2_6_1_85_mRNA) - (0.00000278 * E2_6_1_85)</v>
      </c>
      <c r="M135" s="51" t="str">
        <f t="shared" si="34"/>
        <v>mRNA134: -&gt; E2_6_1_85_mRNA | 0.00292 - (0.0093 * E2_6_1_85_mRNA)</v>
      </c>
      <c r="N135" s="52" t="str">
        <f t="shared" si="35"/>
        <v>Peptide134: E2_6_1_85_mRNA -&gt; E2_6_1_85 | (0.278 * E2_6_1_85_mRNA) - (0.000000278 * E2_6_1_85)</v>
      </c>
    </row>
    <row r="136" spans="1:14" ht="16">
      <c r="A136" s="41">
        <v>135</v>
      </c>
      <c r="B136" s="42" t="s">
        <v>9037</v>
      </c>
      <c r="C136" s="41" t="str">
        <f t="shared" si="24"/>
        <v>E4_1_3_38_mRNA</v>
      </c>
      <c r="D136" s="41" t="str">
        <f t="shared" si="25"/>
        <v>E4_1_3_38</v>
      </c>
      <c r="E136" s="43" t="str">
        <f t="shared" si="26"/>
        <v>E4_1_3_38_kcat : 13.7</v>
      </c>
      <c r="F136" s="44" t="str">
        <f t="shared" si="27"/>
        <v>E4_1_3_38_km : 1</v>
      </c>
      <c r="G136" s="45" t="str">
        <f t="shared" si="28"/>
        <v>E4_1_3_38_mRNA : E4_1_3_38_mRNA</v>
      </c>
      <c r="H136" s="46" t="str">
        <f t="shared" si="29"/>
        <v>E4_1_3_38 : E4_1_3_38</v>
      </c>
      <c r="I136" s="47" t="str">
        <f t="shared" si="30"/>
        <v>E4_1_3_38_mRNA : 0</v>
      </c>
      <c r="J136" s="48" t="str">
        <f t="shared" si="31"/>
        <v>E4_1_3_38 : 0</v>
      </c>
      <c r="K136" s="49" t="str">
        <f t="shared" si="32"/>
        <v>0.00292 - (0.0093 * E4_1_3_38_mRNA)</v>
      </c>
      <c r="L136" s="50" t="str">
        <f t="shared" si="33"/>
        <v>(0.278 * E4_1_3_38_mRNA) - (0.00000278 * E4_1_3_38)</v>
      </c>
      <c r="M136" s="51" t="str">
        <f t="shared" si="34"/>
        <v>mRNA135: -&gt; E4_1_3_38_mRNA | 0.00292 - (0.0093 * E4_1_3_38_mRNA)</v>
      </c>
      <c r="N136" s="52" t="str">
        <f t="shared" si="35"/>
        <v>Peptide135: E4_1_3_38_mRNA -&gt; E4_1_3_38 | (0.278 * E4_1_3_38_mRNA) - (0.000000278 * E4_1_3_38)</v>
      </c>
    </row>
    <row r="137" spans="1:14" ht="16">
      <c r="A137" s="41">
        <v>136</v>
      </c>
      <c r="B137" s="42" t="s">
        <v>9038</v>
      </c>
      <c r="C137" s="41" t="str">
        <f t="shared" si="24"/>
        <v>E4_1_3_27_mRNA</v>
      </c>
      <c r="D137" s="41" t="str">
        <f t="shared" si="25"/>
        <v>E4_1_3_27</v>
      </c>
      <c r="E137" s="43" t="str">
        <f t="shared" si="26"/>
        <v>E4_1_3_27_kcat : 13.7</v>
      </c>
      <c r="F137" s="44" t="str">
        <f t="shared" si="27"/>
        <v>E4_1_3_27_km : 1</v>
      </c>
      <c r="G137" s="45" t="str">
        <f t="shared" si="28"/>
        <v>E4_1_3_27_mRNA : E4_1_3_27_mRNA</v>
      </c>
      <c r="H137" s="46" t="str">
        <f t="shared" si="29"/>
        <v>E4_1_3_27 : E4_1_3_27</v>
      </c>
      <c r="I137" s="47" t="str">
        <f t="shared" si="30"/>
        <v>E4_1_3_27_mRNA : 0</v>
      </c>
      <c r="J137" s="48" t="str">
        <f t="shared" si="31"/>
        <v>E4_1_3_27 : 0</v>
      </c>
      <c r="K137" s="49" t="str">
        <f t="shared" si="32"/>
        <v>0.00292 - (0.0093 * E4_1_3_27_mRNA)</v>
      </c>
      <c r="L137" s="50" t="str">
        <f t="shared" si="33"/>
        <v>(0.278 * E4_1_3_27_mRNA) - (0.00000278 * E4_1_3_27)</v>
      </c>
      <c r="M137" s="51" t="str">
        <f t="shared" si="34"/>
        <v>mRNA136: -&gt; E4_1_3_27_mRNA | 0.00292 - (0.0093 * E4_1_3_27_mRNA)</v>
      </c>
      <c r="N137" s="52" t="str">
        <f t="shared" si="35"/>
        <v>Peptide136: E4_1_3_27_mRNA -&gt; E4_1_3_27 | (0.278 * E4_1_3_27_mRNA) - (0.000000278 * E4_1_3_27)</v>
      </c>
    </row>
    <row r="138" spans="1:14" ht="16">
      <c r="A138" s="41">
        <v>137</v>
      </c>
      <c r="B138" s="42" t="s">
        <v>9039</v>
      </c>
      <c r="C138" s="41" t="str">
        <f t="shared" si="24"/>
        <v>E2_7_1_107_mRNA</v>
      </c>
      <c r="D138" s="41" t="str">
        <f t="shared" si="25"/>
        <v>E2_7_1_107</v>
      </c>
      <c r="E138" s="43" t="str">
        <f t="shared" si="26"/>
        <v>E2_7_1_107_kcat : 13.7</v>
      </c>
      <c r="F138" s="44" t="str">
        <f t="shared" si="27"/>
        <v>E2_7_1_107_km : 1</v>
      </c>
      <c r="G138" s="45" t="str">
        <f t="shared" si="28"/>
        <v>E2_7_1_107_mRNA : E2_7_1_107_mRNA</v>
      </c>
      <c r="H138" s="46" t="str">
        <f t="shared" si="29"/>
        <v>E2_7_1_107 : E2_7_1_107</v>
      </c>
      <c r="I138" s="47" t="str">
        <f t="shared" si="30"/>
        <v>E2_7_1_107_mRNA : 0</v>
      </c>
      <c r="J138" s="48" t="str">
        <f t="shared" si="31"/>
        <v>E2_7_1_107 : 0</v>
      </c>
      <c r="K138" s="49" t="str">
        <f t="shared" si="32"/>
        <v>0.00292 - (0.0093 * E2_7_1_107_mRNA)</v>
      </c>
      <c r="L138" s="50" t="str">
        <f t="shared" si="33"/>
        <v>(0.278 * E2_7_1_107_mRNA) - (0.00000278 * E2_7_1_107)</v>
      </c>
      <c r="M138" s="51" t="str">
        <f t="shared" si="34"/>
        <v>mRNA137: -&gt; E2_7_1_107_mRNA | 0.00292 - (0.0093 * E2_7_1_107_mRNA)</v>
      </c>
      <c r="N138" s="52" t="str">
        <f t="shared" si="35"/>
        <v>Peptide137: E2_7_1_107_mRNA -&gt; E2_7_1_107 | (0.278 * E2_7_1_107_mRNA) - (0.000000278 * E2_7_1_107)</v>
      </c>
    </row>
    <row r="139" spans="1:14" ht="16">
      <c r="A139" s="41">
        <v>138</v>
      </c>
      <c r="B139" s="42" t="s">
        <v>9040</v>
      </c>
      <c r="C139" s="41" t="str">
        <f t="shared" si="24"/>
        <v>E2_7_1_11_mRNA</v>
      </c>
      <c r="D139" s="41" t="str">
        <f t="shared" si="25"/>
        <v>E2_7_1_11</v>
      </c>
      <c r="E139" s="43" t="str">
        <f t="shared" si="26"/>
        <v>E2_7_1_11_kcat : 13.7</v>
      </c>
      <c r="F139" s="44" t="str">
        <f t="shared" si="27"/>
        <v>E2_7_1_11_km : 1</v>
      </c>
      <c r="G139" s="45" t="str">
        <f t="shared" si="28"/>
        <v>E2_7_1_11_mRNA : E2_7_1_11_mRNA</v>
      </c>
      <c r="H139" s="46" t="str">
        <f t="shared" si="29"/>
        <v>E2_7_1_11 : E2_7_1_11</v>
      </c>
      <c r="I139" s="47" t="str">
        <f t="shared" si="30"/>
        <v>E2_7_1_11_mRNA : 0</v>
      </c>
      <c r="J139" s="48" t="str">
        <f t="shared" si="31"/>
        <v>E2_7_1_11 : 0</v>
      </c>
      <c r="K139" s="49" t="str">
        <f t="shared" si="32"/>
        <v>0.00292 - (0.0093 * E2_7_1_11_mRNA)</v>
      </c>
      <c r="L139" s="50" t="str">
        <f t="shared" si="33"/>
        <v>(0.278 * E2_7_1_11_mRNA) - (0.00000278 * E2_7_1_11)</v>
      </c>
      <c r="M139" s="51" t="str">
        <f t="shared" si="34"/>
        <v>mRNA138: -&gt; E2_7_1_11_mRNA | 0.00292 - (0.0093 * E2_7_1_11_mRNA)</v>
      </c>
      <c r="N139" s="52" t="str">
        <f t="shared" si="35"/>
        <v>Peptide138: E2_7_1_11_mRNA -&gt; E2_7_1_11 | (0.278 * E2_7_1_11_mRNA) - (0.000000278 * E2_7_1_11)</v>
      </c>
    </row>
    <row r="140" spans="1:14" ht="16">
      <c r="A140" s="41">
        <v>139</v>
      </c>
      <c r="B140" s="42" t="s">
        <v>9041</v>
      </c>
      <c r="C140" s="41" t="str">
        <f t="shared" si="24"/>
        <v>E2_7_1_180_mRNA</v>
      </c>
      <c r="D140" s="41" t="str">
        <f t="shared" si="25"/>
        <v>E2_7_1_180</v>
      </c>
      <c r="E140" s="43" t="str">
        <f t="shared" si="26"/>
        <v>E2_7_1_180_kcat : 13.7</v>
      </c>
      <c r="F140" s="44" t="str">
        <f t="shared" si="27"/>
        <v>E2_7_1_180_km : 1</v>
      </c>
      <c r="G140" s="45" t="str">
        <f t="shared" si="28"/>
        <v>E2_7_1_180_mRNA : E2_7_1_180_mRNA</v>
      </c>
      <c r="H140" s="46" t="str">
        <f t="shared" si="29"/>
        <v>E2_7_1_180 : E2_7_1_180</v>
      </c>
      <c r="I140" s="47" t="str">
        <f t="shared" si="30"/>
        <v>E2_7_1_180_mRNA : 0</v>
      </c>
      <c r="J140" s="48" t="str">
        <f t="shared" si="31"/>
        <v>E2_7_1_180 : 0</v>
      </c>
      <c r="K140" s="49" t="str">
        <f t="shared" si="32"/>
        <v>0.00292 - (0.0093 * E2_7_1_180_mRNA)</v>
      </c>
      <c r="L140" s="50" t="str">
        <f t="shared" si="33"/>
        <v>(0.278 * E2_7_1_180_mRNA) - (0.00000278 * E2_7_1_180)</v>
      </c>
      <c r="M140" s="51" t="str">
        <f t="shared" si="34"/>
        <v>mRNA139: -&gt; E2_7_1_180_mRNA | 0.00292 - (0.0093 * E2_7_1_180_mRNA)</v>
      </c>
      <c r="N140" s="52" t="str">
        <f t="shared" si="35"/>
        <v>Peptide139: E2_7_1_180_mRNA -&gt; E2_7_1_180 | (0.278 * E2_7_1_180_mRNA) - (0.000000278 * E2_7_1_180)</v>
      </c>
    </row>
    <row r="141" spans="1:14" ht="16">
      <c r="A141" s="41">
        <v>140</v>
      </c>
      <c r="B141" s="42" t="s">
        <v>9042</v>
      </c>
      <c r="C141" s="41" t="str">
        <f t="shared" si="24"/>
        <v>E2_7_1_2_mRNA</v>
      </c>
      <c r="D141" s="41" t="str">
        <f t="shared" si="25"/>
        <v>E2_7_1_2</v>
      </c>
      <c r="E141" s="43" t="str">
        <f t="shared" si="26"/>
        <v>E2_7_1_2_kcat : 13.7</v>
      </c>
      <c r="F141" s="44" t="str">
        <f t="shared" si="27"/>
        <v>E2_7_1_2_km : 1</v>
      </c>
      <c r="G141" s="45" t="str">
        <f t="shared" si="28"/>
        <v>E2_7_1_2_mRNA : E2_7_1_2_mRNA</v>
      </c>
      <c r="H141" s="46" t="str">
        <f t="shared" si="29"/>
        <v>E2_7_1_2 : E2_7_1_2</v>
      </c>
      <c r="I141" s="47" t="str">
        <f t="shared" si="30"/>
        <v>E2_7_1_2_mRNA : 0</v>
      </c>
      <c r="J141" s="48" t="str">
        <f t="shared" si="31"/>
        <v>E2_7_1_2 : 0</v>
      </c>
      <c r="K141" s="49" t="str">
        <f t="shared" si="32"/>
        <v>0.00292 - (0.0093 * E2_7_1_2_mRNA)</v>
      </c>
      <c r="L141" s="50" t="str">
        <f t="shared" si="33"/>
        <v>(0.278 * E2_7_1_2_mRNA) - (0.00000278 * E2_7_1_2)</v>
      </c>
      <c r="M141" s="51" t="str">
        <f t="shared" si="34"/>
        <v>mRNA140: -&gt; E2_7_1_2_mRNA | 0.00292 - (0.0093 * E2_7_1_2_mRNA)</v>
      </c>
      <c r="N141" s="52" t="str">
        <f t="shared" si="35"/>
        <v>Peptide140: E2_7_1_2_mRNA -&gt; E2_7_1_2 | (0.278 * E2_7_1_2_mRNA) - (0.000000278 * E2_7_1_2)</v>
      </c>
    </row>
    <row r="142" spans="1:14" ht="16">
      <c r="A142" s="41">
        <v>141</v>
      </c>
      <c r="B142" s="42" t="s">
        <v>9043</v>
      </c>
      <c r="C142" s="41" t="str">
        <f t="shared" si="24"/>
        <v>E2_7_1_59_mRNA</v>
      </c>
      <c r="D142" s="41" t="str">
        <f t="shared" si="25"/>
        <v>E2_7_1_59</v>
      </c>
      <c r="E142" s="43" t="str">
        <f t="shared" si="26"/>
        <v>E2_7_1_59_kcat : 13.7</v>
      </c>
      <c r="F142" s="44" t="str">
        <f t="shared" si="27"/>
        <v>E2_7_1_59_km : 1</v>
      </c>
      <c r="G142" s="45" t="str">
        <f t="shared" si="28"/>
        <v>E2_7_1_59_mRNA : E2_7_1_59_mRNA</v>
      </c>
      <c r="H142" s="46" t="str">
        <f t="shared" si="29"/>
        <v>E2_7_1_59 : E2_7_1_59</v>
      </c>
      <c r="I142" s="47" t="str">
        <f t="shared" si="30"/>
        <v>E2_7_1_59_mRNA : 0</v>
      </c>
      <c r="J142" s="48" t="str">
        <f t="shared" si="31"/>
        <v>E2_7_1_59 : 0</v>
      </c>
      <c r="K142" s="49" t="str">
        <f t="shared" si="32"/>
        <v>0.00292 - (0.0093 * E2_7_1_59_mRNA)</v>
      </c>
      <c r="L142" s="50" t="str">
        <f t="shared" si="33"/>
        <v>(0.278 * E2_7_1_59_mRNA) - (0.00000278 * E2_7_1_59)</v>
      </c>
      <c r="M142" s="51" t="str">
        <f t="shared" si="34"/>
        <v>mRNA141: -&gt; E2_7_1_59_mRNA | 0.00292 - (0.0093 * E2_7_1_59_mRNA)</v>
      </c>
      <c r="N142" s="52" t="str">
        <f t="shared" si="35"/>
        <v>Peptide141: E2_7_1_59_mRNA -&gt; E2_7_1_59 | (0.278 * E2_7_1_59_mRNA) - (0.000000278 * E2_7_1_59)</v>
      </c>
    </row>
    <row r="143" spans="1:14" ht="16">
      <c r="A143" s="41">
        <v>142</v>
      </c>
      <c r="B143" s="42" t="s">
        <v>9044</v>
      </c>
      <c r="C143" s="41" t="str">
        <f t="shared" si="24"/>
        <v>E2_7_1_21_mRNA</v>
      </c>
      <c r="D143" s="41" t="str">
        <f t="shared" si="25"/>
        <v>E2_7_1_21</v>
      </c>
      <c r="E143" s="43" t="str">
        <f t="shared" si="26"/>
        <v>E2_7_1_21_kcat : 13.7</v>
      </c>
      <c r="F143" s="44" t="str">
        <f t="shared" si="27"/>
        <v>E2_7_1_21_km : 1</v>
      </c>
      <c r="G143" s="45" t="str">
        <f t="shared" si="28"/>
        <v>E2_7_1_21_mRNA : E2_7_1_21_mRNA</v>
      </c>
      <c r="H143" s="46" t="str">
        <f t="shared" si="29"/>
        <v>E2_7_1_21 : E2_7_1_21</v>
      </c>
      <c r="I143" s="47" t="str">
        <f t="shared" si="30"/>
        <v>E2_7_1_21_mRNA : 0</v>
      </c>
      <c r="J143" s="48" t="str">
        <f t="shared" si="31"/>
        <v>E2_7_1_21 : 0</v>
      </c>
      <c r="K143" s="49" t="str">
        <f t="shared" si="32"/>
        <v>0.00292 - (0.0093 * E2_7_1_21_mRNA)</v>
      </c>
      <c r="L143" s="50" t="str">
        <f t="shared" si="33"/>
        <v>(0.278 * E2_7_1_21_mRNA) - (0.00000278 * E2_7_1_21)</v>
      </c>
      <c r="M143" s="51" t="str">
        <f t="shared" si="34"/>
        <v>mRNA142: -&gt; E2_7_1_21_mRNA | 0.00292 - (0.0093 * E2_7_1_21_mRNA)</v>
      </c>
      <c r="N143" s="52" t="str">
        <f t="shared" si="35"/>
        <v>Peptide142: E2_7_1_21_mRNA -&gt; E2_7_1_21 | (0.278 * E2_7_1_21_mRNA) - (0.000000278 * E2_7_1_21)</v>
      </c>
    </row>
    <row r="144" spans="1:14" ht="16">
      <c r="A144" s="41">
        <v>143</v>
      </c>
      <c r="B144" s="42" t="s">
        <v>9045</v>
      </c>
      <c r="C144" s="41" t="str">
        <f t="shared" si="24"/>
        <v>E2_7_1_23_mRNA</v>
      </c>
      <c r="D144" s="41" t="str">
        <f t="shared" si="25"/>
        <v>E2_7_1_23</v>
      </c>
      <c r="E144" s="43" t="str">
        <f t="shared" si="26"/>
        <v>E2_7_1_23_kcat : 13.7</v>
      </c>
      <c r="F144" s="44" t="str">
        <f t="shared" si="27"/>
        <v>E2_7_1_23_km : 1</v>
      </c>
      <c r="G144" s="45" t="str">
        <f t="shared" si="28"/>
        <v>E2_7_1_23_mRNA : E2_7_1_23_mRNA</v>
      </c>
      <c r="H144" s="46" t="str">
        <f t="shared" si="29"/>
        <v>E2_7_1_23 : E2_7_1_23</v>
      </c>
      <c r="I144" s="47" t="str">
        <f t="shared" si="30"/>
        <v>E2_7_1_23_mRNA : 0</v>
      </c>
      <c r="J144" s="48" t="str">
        <f t="shared" si="31"/>
        <v>E2_7_1_23 : 0</v>
      </c>
      <c r="K144" s="49" t="str">
        <f t="shared" si="32"/>
        <v>0.00292 - (0.0093 * E2_7_1_23_mRNA)</v>
      </c>
      <c r="L144" s="50" t="str">
        <f t="shared" si="33"/>
        <v>(0.278 * E2_7_1_23_mRNA) - (0.00000278 * E2_7_1_23)</v>
      </c>
      <c r="M144" s="51" t="str">
        <f t="shared" si="34"/>
        <v>mRNA143: -&gt; E2_7_1_23_mRNA | 0.00292 - (0.0093 * E2_7_1_23_mRNA)</v>
      </c>
      <c r="N144" s="52" t="str">
        <f t="shared" si="35"/>
        <v>Peptide143: E2_7_1_23_mRNA -&gt; E2_7_1_23 | (0.278 * E2_7_1_23_mRNA) - (0.000000278 * E2_7_1_23)</v>
      </c>
    </row>
    <row r="145" spans="1:14" ht="16">
      <c r="A145" s="41">
        <v>144</v>
      </c>
      <c r="B145" s="42" t="s">
        <v>9046</v>
      </c>
      <c r="C145" s="41" t="str">
        <f t="shared" si="24"/>
        <v>E2_7_1_24_mRNA</v>
      </c>
      <c r="D145" s="41" t="str">
        <f t="shared" si="25"/>
        <v>E2_7_1_24</v>
      </c>
      <c r="E145" s="43" t="str">
        <f t="shared" si="26"/>
        <v>E2_7_1_24_kcat : 13.7</v>
      </c>
      <c r="F145" s="44" t="str">
        <f t="shared" si="27"/>
        <v>E2_7_1_24_km : 1</v>
      </c>
      <c r="G145" s="45" t="str">
        <f t="shared" si="28"/>
        <v>E2_7_1_24_mRNA : E2_7_1_24_mRNA</v>
      </c>
      <c r="H145" s="46" t="str">
        <f t="shared" si="29"/>
        <v>E2_7_1_24 : E2_7_1_24</v>
      </c>
      <c r="I145" s="47" t="str">
        <f t="shared" si="30"/>
        <v>E2_7_1_24_mRNA : 0</v>
      </c>
      <c r="J145" s="48" t="str">
        <f t="shared" si="31"/>
        <v>E2_7_1_24 : 0</v>
      </c>
      <c r="K145" s="49" t="str">
        <f t="shared" si="32"/>
        <v>0.00292 - (0.0093 * E2_7_1_24_mRNA)</v>
      </c>
      <c r="L145" s="50" t="str">
        <f t="shared" si="33"/>
        <v>(0.278 * E2_7_1_24_mRNA) - (0.00000278 * E2_7_1_24)</v>
      </c>
      <c r="M145" s="51" t="str">
        <f t="shared" si="34"/>
        <v>mRNA144: -&gt; E2_7_1_24_mRNA | 0.00292 - (0.0093 * E2_7_1_24_mRNA)</v>
      </c>
      <c r="N145" s="52" t="str">
        <f t="shared" si="35"/>
        <v>Peptide144: E2_7_1_24_mRNA -&gt; E2_7_1_24 | (0.278 * E2_7_1_24_mRNA) - (0.000000278 * E2_7_1_24)</v>
      </c>
    </row>
    <row r="146" spans="1:14" ht="16">
      <c r="A146" s="41">
        <v>145</v>
      </c>
      <c r="B146" s="42" t="s">
        <v>9047</v>
      </c>
      <c r="C146" s="41" t="str">
        <f t="shared" si="24"/>
        <v>E2_7_1_26_mRNA</v>
      </c>
      <c r="D146" s="41" t="str">
        <f t="shared" si="25"/>
        <v>E2_7_1_26</v>
      </c>
      <c r="E146" s="43" t="str">
        <f t="shared" si="26"/>
        <v>E2_7_1_26_kcat : 13.7</v>
      </c>
      <c r="F146" s="44" t="str">
        <f t="shared" si="27"/>
        <v>E2_7_1_26_km : 1</v>
      </c>
      <c r="G146" s="45" t="str">
        <f t="shared" si="28"/>
        <v>E2_7_1_26_mRNA : E2_7_1_26_mRNA</v>
      </c>
      <c r="H146" s="46" t="str">
        <f t="shared" si="29"/>
        <v>E2_7_1_26 : E2_7_1_26</v>
      </c>
      <c r="I146" s="47" t="str">
        <f t="shared" si="30"/>
        <v>E2_7_1_26_mRNA : 0</v>
      </c>
      <c r="J146" s="48" t="str">
        <f t="shared" si="31"/>
        <v>E2_7_1_26 : 0</v>
      </c>
      <c r="K146" s="49" t="str">
        <f t="shared" si="32"/>
        <v>0.00292 - (0.0093 * E2_7_1_26_mRNA)</v>
      </c>
      <c r="L146" s="50" t="str">
        <f t="shared" si="33"/>
        <v>(0.278 * E2_7_1_26_mRNA) - (0.00000278 * E2_7_1_26)</v>
      </c>
      <c r="M146" s="51" t="str">
        <f t="shared" si="34"/>
        <v>mRNA145: -&gt; E2_7_1_26_mRNA | 0.00292 - (0.0093 * E2_7_1_26_mRNA)</v>
      </c>
      <c r="N146" s="52" t="str">
        <f t="shared" si="35"/>
        <v>Peptide145: E2_7_1_26_mRNA -&gt; E2_7_1_26 | (0.278 * E2_7_1_26_mRNA) - (0.000000278 * E2_7_1_26)</v>
      </c>
    </row>
    <row r="147" spans="1:14" ht="16">
      <c r="A147" s="41">
        <v>146</v>
      </c>
      <c r="B147" s="42" t="s">
        <v>9048</v>
      </c>
      <c r="C147" s="41" t="str">
        <f t="shared" si="24"/>
        <v>E2_7_7_2_mRNA</v>
      </c>
      <c r="D147" s="41" t="str">
        <f t="shared" si="25"/>
        <v>E2_7_7_2</v>
      </c>
      <c r="E147" s="43" t="str">
        <f t="shared" si="26"/>
        <v>E2_7_7_2_kcat : 13.7</v>
      </c>
      <c r="F147" s="44" t="str">
        <f t="shared" si="27"/>
        <v>E2_7_7_2_km : 1</v>
      </c>
      <c r="G147" s="45" t="str">
        <f t="shared" si="28"/>
        <v>E2_7_7_2_mRNA : E2_7_7_2_mRNA</v>
      </c>
      <c r="H147" s="46" t="str">
        <f t="shared" si="29"/>
        <v>E2_7_7_2 : E2_7_7_2</v>
      </c>
      <c r="I147" s="47" t="str">
        <f t="shared" si="30"/>
        <v>E2_7_7_2_mRNA : 0</v>
      </c>
      <c r="J147" s="48" t="str">
        <f t="shared" si="31"/>
        <v>E2_7_7_2 : 0</v>
      </c>
      <c r="K147" s="49" t="str">
        <f t="shared" si="32"/>
        <v>0.00292 - (0.0093 * E2_7_7_2_mRNA)</v>
      </c>
      <c r="L147" s="50" t="str">
        <f t="shared" si="33"/>
        <v>(0.278 * E2_7_7_2_mRNA) - (0.00000278 * E2_7_7_2)</v>
      </c>
      <c r="M147" s="51" t="str">
        <f t="shared" si="34"/>
        <v>mRNA146: -&gt; E2_7_7_2_mRNA | 0.00292 - (0.0093 * E2_7_7_2_mRNA)</v>
      </c>
      <c r="N147" s="52" t="str">
        <f t="shared" si="35"/>
        <v>Peptide146: E2_7_7_2_mRNA -&gt; E2_7_7_2 | (0.278 * E2_7_7_2_mRNA) - (0.000000278 * E2_7_7_2)</v>
      </c>
    </row>
    <row r="148" spans="1:14" ht="16">
      <c r="A148" s="41">
        <v>147</v>
      </c>
      <c r="B148" s="42" t="s">
        <v>9049</v>
      </c>
      <c r="C148" s="41" t="str">
        <f t="shared" si="24"/>
        <v>E2_7_1_31_mRNA</v>
      </c>
      <c r="D148" s="41" t="str">
        <f t="shared" si="25"/>
        <v>E2_7_1_31</v>
      </c>
      <c r="E148" s="43" t="str">
        <f t="shared" si="26"/>
        <v>E2_7_1_31_kcat : 13.7</v>
      </c>
      <c r="F148" s="44" t="str">
        <f t="shared" si="27"/>
        <v>E2_7_1_31_km : 1</v>
      </c>
      <c r="G148" s="45" t="str">
        <f t="shared" si="28"/>
        <v>E2_7_1_31_mRNA : E2_7_1_31_mRNA</v>
      </c>
      <c r="H148" s="46" t="str">
        <f t="shared" si="29"/>
        <v>E2_7_1_31 : E2_7_1_31</v>
      </c>
      <c r="I148" s="47" t="str">
        <f t="shared" si="30"/>
        <v>E2_7_1_31_mRNA : 0</v>
      </c>
      <c r="J148" s="48" t="str">
        <f t="shared" si="31"/>
        <v>E2_7_1_31 : 0</v>
      </c>
      <c r="K148" s="49" t="str">
        <f t="shared" si="32"/>
        <v>0.00292 - (0.0093 * E2_7_1_31_mRNA)</v>
      </c>
      <c r="L148" s="50" t="str">
        <f t="shared" si="33"/>
        <v>(0.278 * E2_7_1_31_mRNA) - (0.00000278 * E2_7_1_31)</v>
      </c>
      <c r="M148" s="51" t="str">
        <f t="shared" si="34"/>
        <v>mRNA147: -&gt; E2_7_1_31_mRNA | 0.00292 - (0.0093 * E2_7_1_31_mRNA)</v>
      </c>
      <c r="N148" s="52" t="str">
        <f t="shared" si="35"/>
        <v>Peptide147: E2_7_1_31_mRNA -&gt; E2_7_1_31 | (0.278 * E2_7_1_31_mRNA) - (0.000000278 * E2_7_1_31)</v>
      </c>
    </row>
    <row r="149" spans="1:14" ht="16">
      <c r="A149" s="41">
        <v>148</v>
      </c>
      <c r="B149" s="42" t="s">
        <v>9050</v>
      </c>
      <c r="C149" s="41" t="str">
        <f t="shared" si="24"/>
        <v>E2_7_1_33_mRNA</v>
      </c>
      <c r="D149" s="41" t="str">
        <f t="shared" si="25"/>
        <v>E2_7_1_33</v>
      </c>
      <c r="E149" s="43" t="str">
        <f t="shared" si="26"/>
        <v>E2_7_1_33_kcat : 13.7</v>
      </c>
      <c r="F149" s="44" t="str">
        <f t="shared" si="27"/>
        <v>E2_7_1_33_km : 1</v>
      </c>
      <c r="G149" s="45" t="str">
        <f t="shared" si="28"/>
        <v>E2_7_1_33_mRNA : E2_7_1_33_mRNA</v>
      </c>
      <c r="H149" s="46" t="str">
        <f t="shared" si="29"/>
        <v>E2_7_1_33 : E2_7_1_33</v>
      </c>
      <c r="I149" s="47" t="str">
        <f t="shared" si="30"/>
        <v>E2_7_1_33_mRNA : 0</v>
      </c>
      <c r="J149" s="48" t="str">
        <f t="shared" si="31"/>
        <v>E2_7_1_33 : 0</v>
      </c>
      <c r="K149" s="49" t="str">
        <f t="shared" si="32"/>
        <v>0.00292 - (0.0093 * E2_7_1_33_mRNA)</v>
      </c>
      <c r="L149" s="50" t="str">
        <f t="shared" si="33"/>
        <v>(0.278 * E2_7_1_33_mRNA) - (0.00000278 * E2_7_1_33)</v>
      </c>
      <c r="M149" s="51" t="str">
        <f t="shared" si="34"/>
        <v>mRNA148: -&gt; E2_7_1_33_mRNA | 0.00292 - (0.0093 * E2_7_1_33_mRNA)</v>
      </c>
      <c r="N149" s="52" t="str">
        <f t="shared" si="35"/>
        <v>Peptide148: E2_7_1_33_mRNA -&gt; E2_7_1_33 | (0.278 * E2_7_1_33_mRNA) - (0.000000278 * E2_7_1_33)</v>
      </c>
    </row>
    <row r="150" spans="1:14" ht="16">
      <c r="A150" s="41">
        <v>149</v>
      </c>
      <c r="B150" s="42" t="s">
        <v>9051</v>
      </c>
      <c r="C150" s="41" t="str">
        <f t="shared" si="24"/>
        <v>E2_7_1_35_mRNA</v>
      </c>
      <c r="D150" s="41" t="str">
        <f t="shared" si="25"/>
        <v>E2_7_1_35</v>
      </c>
      <c r="E150" s="43" t="str">
        <f t="shared" si="26"/>
        <v>E2_7_1_35_kcat : 13.7</v>
      </c>
      <c r="F150" s="44" t="str">
        <f t="shared" si="27"/>
        <v>E2_7_1_35_km : 1</v>
      </c>
      <c r="G150" s="45" t="str">
        <f t="shared" si="28"/>
        <v>E2_7_1_35_mRNA : E2_7_1_35_mRNA</v>
      </c>
      <c r="H150" s="46" t="str">
        <f t="shared" si="29"/>
        <v>E2_7_1_35 : E2_7_1_35</v>
      </c>
      <c r="I150" s="47" t="str">
        <f t="shared" si="30"/>
        <v>E2_7_1_35_mRNA : 0</v>
      </c>
      <c r="J150" s="48" t="str">
        <f t="shared" si="31"/>
        <v>E2_7_1_35 : 0</v>
      </c>
      <c r="K150" s="49" t="str">
        <f t="shared" si="32"/>
        <v>0.00292 - (0.0093 * E2_7_1_35_mRNA)</v>
      </c>
      <c r="L150" s="50" t="str">
        <f t="shared" si="33"/>
        <v>(0.278 * E2_7_1_35_mRNA) - (0.00000278 * E2_7_1_35)</v>
      </c>
      <c r="M150" s="51" t="str">
        <f t="shared" si="34"/>
        <v>mRNA149: -&gt; E2_7_1_35_mRNA | 0.00292 - (0.0093 * E2_7_1_35_mRNA)</v>
      </c>
      <c r="N150" s="52" t="str">
        <f t="shared" si="35"/>
        <v>Peptide149: E2_7_1_35_mRNA -&gt; E2_7_1_35 | (0.278 * E2_7_1_35_mRNA) - (0.000000278 * E2_7_1_35)</v>
      </c>
    </row>
    <row r="151" spans="1:14" ht="16">
      <c r="A151" s="41">
        <v>150</v>
      </c>
      <c r="B151" s="42" t="s">
        <v>9052</v>
      </c>
      <c r="C151" s="41" t="str">
        <f t="shared" si="24"/>
        <v>E2_7_1_36_mRNA</v>
      </c>
      <c r="D151" s="41" t="str">
        <f t="shared" si="25"/>
        <v>E2_7_1_36</v>
      </c>
      <c r="E151" s="43" t="str">
        <f t="shared" si="26"/>
        <v>E2_7_1_36_kcat : 13.7</v>
      </c>
      <c r="F151" s="44" t="str">
        <f t="shared" si="27"/>
        <v>E2_7_1_36_km : 1</v>
      </c>
      <c r="G151" s="45" t="str">
        <f t="shared" si="28"/>
        <v>E2_7_1_36_mRNA : E2_7_1_36_mRNA</v>
      </c>
      <c r="H151" s="46" t="str">
        <f t="shared" si="29"/>
        <v>E2_7_1_36 : E2_7_1_36</v>
      </c>
      <c r="I151" s="47" t="str">
        <f t="shared" si="30"/>
        <v>E2_7_1_36_mRNA : 0</v>
      </c>
      <c r="J151" s="48" t="str">
        <f t="shared" si="31"/>
        <v>E2_7_1_36 : 0</v>
      </c>
      <c r="K151" s="49" t="str">
        <f t="shared" si="32"/>
        <v>0.00292 - (0.0093 * E2_7_1_36_mRNA)</v>
      </c>
      <c r="L151" s="50" t="str">
        <f t="shared" si="33"/>
        <v>(0.278 * E2_7_1_36_mRNA) - (0.00000278 * E2_7_1_36)</v>
      </c>
      <c r="M151" s="51" t="str">
        <f t="shared" si="34"/>
        <v>mRNA150: -&gt; E2_7_1_36_mRNA | 0.00292 - (0.0093 * E2_7_1_36_mRNA)</v>
      </c>
      <c r="N151" s="52" t="str">
        <f t="shared" si="35"/>
        <v>Peptide150: E2_7_1_36_mRNA -&gt; E2_7_1_36 | (0.278 * E2_7_1_36_mRNA) - (0.000000278 * E2_7_1_36)</v>
      </c>
    </row>
    <row r="152" spans="1:14" ht="16">
      <c r="A152" s="41">
        <v>151</v>
      </c>
      <c r="B152" s="42" t="s">
        <v>9053</v>
      </c>
      <c r="C152" s="41" t="str">
        <f t="shared" si="24"/>
        <v>E2_7_1_39_mRNA</v>
      </c>
      <c r="D152" s="41" t="str">
        <f t="shared" si="25"/>
        <v>E2_7_1_39</v>
      </c>
      <c r="E152" s="43" t="str">
        <f t="shared" si="26"/>
        <v>E2_7_1_39_kcat : 13.7</v>
      </c>
      <c r="F152" s="44" t="str">
        <f t="shared" si="27"/>
        <v>E2_7_1_39_km : 1</v>
      </c>
      <c r="G152" s="45" t="str">
        <f t="shared" si="28"/>
        <v>E2_7_1_39_mRNA : E2_7_1_39_mRNA</v>
      </c>
      <c r="H152" s="46" t="str">
        <f t="shared" si="29"/>
        <v>E2_7_1_39 : E2_7_1_39</v>
      </c>
      <c r="I152" s="47" t="str">
        <f t="shared" si="30"/>
        <v>E2_7_1_39_mRNA : 0</v>
      </c>
      <c r="J152" s="48" t="str">
        <f t="shared" si="31"/>
        <v>E2_7_1_39 : 0</v>
      </c>
      <c r="K152" s="49" t="str">
        <f t="shared" si="32"/>
        <v>0.00292 - (0.0093 * E2_7_1_39_mRNA)</v>
      </c>
      <c r="L152" s="50" t="str">
        <f t="shared" si="33"/>
        <v>(0.278 * E2_7_1_39_mRNA) - (0.00000278 * E2_7_1_39)</v>
      </c>
      <c r="M152" s="51" t="str">
        <f t="shared" si="34"/>
        <v>mRNA151: -&gt; E2_7_1_39_mRNA | 0.00292 - (0.0093 * E2_7_1_39_mRNA)</v>
      </c>
      <c r="N152" s="52" t="str">
        <f t="shared" si="35"/>
        <v>Peptide151: E2_7_1_39_mRNA -&gt; E2_7_1_39 | (0.278 * E2_7_1_39_mRNA) - (0.000000278 * E2_7_1_39)</v>
      </c>
    </row>
    <row r="153" spans="1:14" ht="16">
      <c r="A153" s="41">
        <v>152</v>
      </c>
      <c r="B153" s="42" t="s">
        <v>9054</v>
      </c>
      <c r="C153" s="41" t="str">
        <f t="shared" si="24"/>
        <v>E2_7_1_4_mRNA</v>
      </c>
      <c r="D153" s="41" t="str">
        <f t="shared" si="25"/>
        <v>E2_7_1_4</v>
      </c>
      <c r="E153" s="43" t="str">
        <f t="shared" si="26"/>
        <v>E2_7_1_4_kcat : 13.7</v>
      </c>
      <c r="F153" s="44" t="str">
        <f t="shared" si="27"/>
        <v>E2_7_1_4_km : 1</v>
      </c>
      <c r="G153" s="45" t="str">
        <f t="shared" si="28"/>
        <v>E2_7_1_4_mRNA : E2_7_1_4_mRNA</v>
      </c>
      <c r="H153" s="46" t="str">
        <f t="shared" si="29"/>
        <v>E2_7_1_4 : E2_7_1_4</v>
      </c>
      <c r="I153" s="47" t="str">
        <f t="shared" si="30"/>
        <v>E2_7_1_4_mRNA : 0</v>
      </c>
      <c r="J153" s="48" t="str">
        <f t="shared" si="31"/>
        <v>E2_7_1_4 : 0</v>
      </c>
      <c r="K153" s="49" t="str">
        <f t="shared" si="32"/>
        <v>0.00292 - (0.0093 * E2_7_1_4_mRNA)</v>
      </c>
      <c r="L153" s="50" t="str">
        <f t="shared" si="33"/>
        <v>(0.278 * E2_7_1_4_mRNA) - (0.00000278 * E2_7_1_4)</v>
      </c>
      <c r="M153" s="51" t="str">
        <f t="shared" si="34"/>
        <v>mRNA152: -&gt; E2_7_1_4_mRNA | 0.00292 - (0.0093 * E2_7_1_4_mRNA)</v>
      </c>
      <c r="N153" s="52" t="str">
        <f t="shared" si="35"/>
        <v>Peptide152: E2_7_1_4_mRNA -&gt; E2_7_1_4 | (0.278 * E2_7_1_4_mRNA) - (0.000000278 * E2_7_1_4)</v>
      </c>
    </row>
    <row r="154" spans="1:14" ht="16">
      <c r="A154" s="41">
        <v>153</v>
      </c>
      <c r="B154" s="42" t="s">
        <v>9055</v>
      </c>
      <c r="C154" s="41" t="str">
        <f t="shared" si="24"/>
        <v>E2_7_1_40_mRNA</v>
      </c>
      <c r="D154" s="41" t="str">
        <f t="shared" si="25"/>
        <v>E2_7_1_40</v>
      </c>
      <c r="E154" s="43" t="str">
        <f t="shared" si="26"/>
        <v>E2_7_1_40_kcat : 13.7</v>
      </c>
      <c r="F154" s="44" t="str">
        <f t="shared" si="27"/>
        <v>E2_7_1_40_km : 1</v>
      </c>
      <c r="G154" s="45" t="str">
        <f t="shared" si="28"/>
        <v>E2_7_1_40_mRNA : E2_7_1_40_mRNA</v>
      </c>
      <c r="H154" s="46" t="str">
        <f t="shared" si="29"/>
        <v>E2_7_1_40 : E2_7_1_40</v>
      </c>
      <c r="I154" s="47" t="str">
        <f t="shared" si="30"/>
        <v>E2_7_1_40_mRNA : 0</v>
      </c>
      <c r="J154" s="48" t="str">
        <f t="shared" si="31"/>
        <v>E2_7_1_40 : 0</v>
      </c>
      <c r="K154" s="49" t="str">
        <f t="shared" si="32"/>
        <v>0.00292 - (0.0093 * E2_7_1_40_mRNA)</v>
      </c>
      <c r="L154" s="50" t="str">
        <f t="shared" si="33"/>
        <v>(0.278 * E2_7_1_40_mRNA) - (0.00000278 * E2_7_1_40)</v>
      </c>
      <c r="M154" s="51" t="str">
        <f t="shared" si="34"/>
        <v>mRNA153: -&gt; E2_7_1_40_mRNA | 0.00292 - (0.0093 * E2_7_1_40_mRNA)</v>
      </c>
      <c r="N154" s="52" t="str">
        <f t="shared" si="35"/>
        <v>Peptide153: E2_7_1_40_mRNA -&gt; E2_7_1_40 | (0.278 * E2_7_1_40_mRNA) - (0.000000278 * E2_7_1_40)</v>
      </c>
    </row>
    <row r="155" spans="1:14" ht="16">
      <c r="A155" s="41">
        <v>154</v>
      </c>
      <c r="B155" s="42" t="s">
        <v>9056</v>
      </c>
      <c r="C155" s="41" t="str">
        <f t="shared" si="24"/>
        <v>E2_7_1_48_mRNA</v>
      </c>
      <c r="D155" s="41" t="str">
        <f t="shared" si="25"/>
        <v>E2_7_1_48</v>
      </c>
      <c r="E155" s="43" t="str">
        <f t="shared" si="26"/>
        <v>E2_7_1_48_kcat : 13.7</v>
      </c>
      <c r="F155" s="44" t="str">
        <f t="shared" si="27"/>
        <v>E2_7_1_48_km : 1</v>
      </c>
      <c r="G155" s="45" t="str">
        <f t="shared" si="28"/>
        <v>E2_7_1_48_mRNA : E2_7_1_48_mRNA</v>
      </c>
      <c r="H155" s="46" t="str">
        <f t="shared" si="29"/>
        <v>E2_7_1_48 : E2_7_1_48</v>
      </c>
      <c r="I155" s="47" t="str">
        <f t="shared" si="30"/>
        <v>E2_7_1_48_mRNA : 0</v>
      </c>
      <c r="J155" s="48" t="str">
        <f t="shared" si="31"/>
        <v>E2_7_1_48 : 0</v>
      </c>
      <c r="K155" s="49" t="str">
        <f t="shared" si="32"/>
        <v>0.00292 - (0.0093 * E2_7_1_48_mRNA)</v>
      </c>
      <c r="L155" s="50" t="str">
        <f t="shared" si="33"/>
        <v>(0.278 * E2_7_1_48_mRNA) - (0.00000278 * E2_7_1_48)</v>
      </c>
      <c r="M155" s="51" t="str">
        <f t="shared" si="34"/>
        <v>mRNA154: -&gt; E2_7_1_48_mRNA | 0.00292 - (0.0093 * E2_7_1_48_mRNA)</v>
      </c>
      <c r="N155" s="52" t="str">
        <f t="shared" si="35"/>
        <v>Peptide154: E2_7_1_48_mRNA -&gt; E2_7_1_48 | (0.278 * E2_7_1_48_mRNA) - (0.000000278 * E2_7_1_48)</v>
      </c>
    </row>
    <row r="156" spans="1:14" ht="16">
      <c r="A156" s="41">
        <v>155</v>
      </c>
      <c r="B156" s="42" t="s">
        <v>9057</v>
      </c>
      <c r="C156" s="41" t="str">
        <f t="shared" si="24"/>
        <v>E2_7_1_56_mRNA</v>
      </c>
      <c r="D156" s="41" t="str">
        <f t="shared" si="25"/>
        <v>E2_7_1_56</v>
      </c>
      <c r="E156" s="43" t="str">
        <f t="shared" si="26"/>
        <v>E2_7_1_56_kcat : 13.7</v>
      </c>
      <c r="F156" s="44" t="str">
        <f t="shared" si="27"/>
        <v>E2_7_1_56_km : 1</v>
      </c>
      <c r="G156" s="45" t="str">
        <f t="shared" si="28"/>
        <v>E2_7_1_56_mRNA : E2_7_1_56_mRNA</v>
      </c>
      <c r="H156" s="46" t="str">
        <f t="shared" si="29"/>
        <v>E2_7_1_56 : E2_7_1_56</v>
      </c>
      <c r="I156" s="47" t="str">
        <f t="shared" si="30"/>
        <v>E2_7_1_56_mRNA : 0</v>
      </c>
      <c r="J156" s="48" t="str">
        <f t="shared" si="31"/>
        <v>E2_7_1_56 : 0</v>
      </c>
      <c r="K156" s="49" t="str">
        <f t="shared" si="32"/>
        <v>0.00292 - (0.0093 * E2_7_1_56_mRNA)</v>
      </c>
      <c r="L156" s="50" t="str">
        <f t="shared" si="33"/>
        <v>(0.278 * E2_7_1_56_mRNA) - (0.00000278 * E2_7_1_56)</v>
      </c>
      <c r="M156" s="51" t="str">
        <f t="shared" si="34"/>
        <v>mRNA155: -&gt; E2_7_1_56_mRNA | 0.00292 - (0.0093 * E2_7_1_56_mRNA)</v>
      </c>
      <c r="N156" s="52" t="str">
        <f t="shared" si="35"/>
        <v>Peptide155: E2_7_1_56_mRNA -&gt; E2_7_1_56 | (0.278 * E2_7_1_56_mRNA) - (0.000000278 * E2_7_1_56)</v>
      </c>
    </row>
    <row r="157" spans="1:14" ht="16">
      <c r="A157" s="41">
        <v>156</v>
      </c>
      <c r="B157" s="42" t="s">
        <v>9058</v>
      </c>
      <c r="C157" s="41" t="str">
        <f t="shared" si="24"/>
        <v>E2_7_1_6_mRNA</v>
      </c>
      <c r="D157" s="41" t="str">
        <f t="shared" si="25"/>
        <v>E2_7_1_6</v>
      </c>
      <c r="E157" s="43" t="str">
        <f t="shared" si="26"/>
        <v>E2_7_1_6_kcat : 13.7</v>
      </c>
      <c r="F157" s="44" t="str">
        <f t="shared" si="27"/>
        <v>E2_7_1_6_km : 1</v>
      </c>
      <c r="G157" s="45" t="str">
        <f t="shared" si="28"/>
        <v>E2_7_1_6_mRNA : E2_7_1_6_mRNA</v>
      </c>
      <c r="H157" s="46" t="str">
        <f t="shared" si="29"/>
        <v>E2_7_1_6 : E2_7_1_6</v>
      </c>
      <c r="I157" s="47" t="str">
        <f t="shared" si="30"/>
        <v>E2_7_1_6_mRNA : 0</v>
      </c>
      <c r="J157" s="48" t="str">
        <f t="shared" si="31"/>
        <v>E2_7_1_6 : 0</v>
      </c>
      <c r="K157" s="49" t="str">
        <f t="shared" si="32"/>
        <v>0.00292 - (0.0093 * E2_7_1_6_mRNA)</v>
      </c>
      <c r="L157" s="50" t="str">
        <f t="shared" si="33"/>
        <v>(0.278 * E2_7_1_6_mRNA) - (0.00000278 * E2_7_1_6)</v>
      </c>
      <c r="M157" s="51" t="str">
        <f t="shared" si="34"/>
        <v>mRNA156: -&gt; E2_7_1_6_mRNA | 0.00292 - (0.0093 * E2_7_1_6_mRNA)</v>
      </c>
      <c r="N157" s="52" t="str">
        <f t="shared" si="35"/>
        <v>Peptide156: E2_7_1_6_mRNA -&gt; E2_7_1_6 | (0.278 * E2_7_1_6_mRNA) - (0.000000278 * E2_7_1_6)</v>
      </c>
    </row>
    <row r="158" spans="1:14" ht="16">
      <c r="A158" s="41">
        <v>157</v>
      </c>
      <c r="B158" s="42" t="s">
        <v>9059</v>
      </c>
      <c r="C158" s="41" t="str">
        <f t="shared" si="24"/>
        <v>E2_7_1_66_mRNA</v>
      </c>
      <c r="D158" s="41" t="str">
        <f t="shared" si="25"/>
        <v>E2_7_1_66</v>
      </c>
      <c r="E158" s="43" t="str">
        <f t="shared" si="26"/>
        <v>E2_7_1_66_kcat : 13.7</v>
      </c>
      <c r="F158" s="44" t="str">
        <f t="shared" si="27"/>
        <v>E2_7_1_66_km : 1</v>
      </c>
      <c r="G158" s="45" t="str">
        <f t="shared" si="28"/>
        <v>E2_7_1_66_mRNA : E2_7_1_66_mRNA</v>
      </c>
      <c r="H158" s="46" t="str">
        <f t="shared" si="29"/>
        <v>E2_7_1_66 : E2_7_1_66</v>
      </c>
      <c r="I158" s="47" t="str">
        <f t="shared" si="30"/>
        <v>E2_7_1_66_mRNA : 0</v>
      </c>
      <c r="J158" s="48" t="str">
        <f t="shared" si="31"/>
        <v>E2_7_1_66 : 0</v>
      </c>
      <c r="K158" s="49" t="str">
        <f t="shared" si="32"/>
        <v>0.00292 - (0.0093 * E2_7_1_66_mRNA)</v>
      </c>
      <c r="L158" s="50" t="str">
        <f t="shared" si="33"/>
        <v>(0.278 * E2_7_1_66_mRNA) - (0.00000278 * E2_7_1_66)</v>
      </c>
      <c r="M158" s="51" t="str">
        <f t="shared" si="34"/>
        <v>mRNA157: -&gt; E2_7_1_66_mRNA | 0.00292 - (0.0093 * E2_7_1_66_mRNA)</v>
      </c>
      <c r="N158" s="52" t="str">
        <f t="shared" si="35"/>
        <v>Peptide157: E2_7_1_66_mRNA -&gt; E2_7_1_66 | (0.278 * E2_7_1_66_mRNA) - (0.000000278 * E2_7_1_66)</v>
      </c>
    </row>
    <row r="159" spans="1:14" ht="16">
      <c r="A159" s="41">
        <v>158</v>
      </c>
      <c r="B159" s="42" t="s">
        <v>9060</v>
      </c>
      <c r="C159" s="41" t="str">
        <f t="shared" si="24"/>
        <v>E2_7_1_71_mRNA</v>
      </c>
      <c r="D159" s="41" t="str">
        <f t="shared" si="25"/>
        <v>E2_7_1_71</v>
      </c>
      <c r="E159" s="43" t="str">
        <f t="shared" si="26"/>
        <v>E2_7_1_71_kcat : 13.7</v>
      </c>
      <c r="F159" s="44" t="str">
        <f t="shared" si="27"/>
        <v>E2_7_1_71_km : 1</v>
      </c>
      <c r="G159" s="45" t="str">
        <f t="shared" si="28"/>
        <v>E2_7_1_71_mRNA : E2_7_1_71_mRNA</v>
      </c>
      <c r="H159" s="46" t="str">
        <f t="shared" si="29"/>
        <v>E2_7_1_71 : E2_7_1_71</v>
      </c>
      <c r="I159" s="47" t="str">
        <f t="shared" si="30"/>
        <v>E2_7_1_71_mRNA : 0</v>
      </c>
      <c r="J159" s="48" t="str">
        <f t="shared" si="31"/>
        <v>E2_7_1_71 : 0</v>
      </c>
      <c r="K159" s="49" t="str">
        <f t="shared" si="32"/>
        <v>0.00292 - (0.0093 * E2_7_1_71_mRNA)</v>
      </c>
      <c r="L159" s="50" t="str">
        <f t="shared" si="33"/>
        <v>(0.278 * E2_7_1_71_mRNA) - (0.00000278 * E2_7_1_71)</v>
      </c>
      <c r="M159" s="51" t="str">
        <f t="shared" si="34"/>
        <v>mRNA158: -&gt; E2_7_1_71_mRNA | 0.00292 - (0.0093 * E2_7_1_71_mRNA)</v>
      </c>
      <c r="N159" s="52" t="str">
        <f t="shared" si="35"/>
        <v>Peptide158: E2_7_1_71_mRNA -&gt; E2_7_1_71 | (0.278 * E2_7_1_71_mRNA) - (0.000000278 * E2_7_1_71)</v>
      </c>
    </row>
    <row r="160" spans="1:14" ht="16">
      <c r="A160" s="41">
        <v>159</v>
      </c>
      <c r="B160" s="42" t="s">
        <v>9061</v>
      </c>
      <c r="C160" s="41" t="str">
        <f t="shared" si="24"/>
        <v>E2_7_11_1_mRNA</v>
      </c>
      <c r="D160" s="41" t="str">
        <f t="shared" si="25"/>
        <v>E2_7_11_1</v>
      </c>
      <c r="E160" s="43" t="str">
        <f t="shared" si="26"/>
        <v>E2_7_11_1_kcat : 13.7</v>
      </c>
      <c r="F160" s="44" t="str">
        <f t="shared" si="27"/>
        <v>E2_7_11_1_km : 1</v>
      </c>
      <c r="G160" s="45" t="str">
        <f t="shared" si="28"/>
        <v>E2_7_11_1_mRNA : E2_7_11_1_mRNA</v>
      </c>
      <c r="H160" s="46" t="str">
        <f t="shared" si="29"/>
        <v>E2_7_11_1 : E2_7_11_1</v>
      </c>
      <c r="I160" s="47" t="str">
        <f t="shared" si="30"/>
        <v>E2_7_11_1_mRNA : 0</v>
      </c>
      <c r="J160" s="48" t="str">
        <f t="shared" si="31"/>
        <v>E2_7_11_1 : 0</v>
      </c>
      <c r="K160" s="49" t="str">
        <f t="shared" si="32"/>
        <v>0.00292 - (0.0093 * E2_7_11_1_mRNA)</v>
      </c>
      <c r="L160" s="50" t="str">
        <f t="shared" si="33"/>
        <v>(0.278 * E2_7_11_1_mRNA) - (0.00000278 * E2_7_11_1)</v>
      </c>
      <c r="M160" s="51" t="str">
        <f t="shared" si="34"/>
        <v>mRNA159: -&gt; E2_7_11_1_mRNA | 0.00292 - (0.0093 * E2_7_11_1_mRNA)</v>
      </c>
      <c r="N160" s="52" t="str">
        <f t="shared" si="35"/>
        <v>Peptide159: E2_7_11_1_mRNA -&gt; E2_7_11_1 | (0.278 * E2_7_11_1_mRNA) - (0.000000278 * E2_7_11_1)</v>
      </c>
    </row>
    <row r="161" spans="1:14" ht="16">
      <c r="A161" s="41">
        <v>160</v>
      </c>
      <c r="B161" s="42" t="s">
        <v>9062</v>
      </c>
      <c r="C161" s="41" t="str">
        <f t="shared" si="24"/>
        <v>E2_7_13_3_mRNA</v>
      </c>
      <c r="D161" s="41" t="str">
        <f t="shared" si="25"/>
        <v>E2_7_13_3</v>
      </c>
      <c r="E161" s="43" t="str">
        <f t="shared" si="26"/>
        <v>E2_7_13_3_kcat : 13.7</v>
      </c>
      <c r="F161" s="44" t="str">
        <f t="shared" si="27"/>
        <v>E2_7_13_3_km : 1</v>
      </c>
      <c r="G161" s="45" t="str">
        <f t="shared" si="28"/>
        <v>E2_7_13_3_mRNA : E2_7_13_3_mRNA</v>
      </c>
      <c r="H161" s="46" t="str">
        <f t="shared" si="29"/>
        <v>E2_7_13_3 : E2_7_13_3</v>
      </c>
      <c r="I161" s="47" t="str">
        <f t="shared" si="30"/>
        <v>E2_7_13_3_mRNA : 0</v>
      </c>
      <c r="J161" s="48" t="str">
        <f t="shared" si="31"/>
        <v>E2_7_13_3 : 0</v>
      </c>
      <c r="K161" s="49" t="str">
        <f t="shared" si="32"/>
        <v>0.00292 - (0.0093 * E2_7_13_3_mRNA)</v>
      </c>
      <c r="L161" s="50" t="str">
        <f t="shared" si="33"/>
        <v>(0.278 * E2_7_13_3_mRNA) - (0.00000278 * E2_7_13_3)</v>
      </c>
      <c r="M161" s="51" t="str">
        <f t="shared" si="34"/>
        <v>mRNA160: -&gt; E2_7_13_3_mRNA | 0.00292 - (0.0093 * E2_7_13_3_mRNA)</v>
      </c>
      <c r="N161" s="52" t="str">
        <f t="shared" si="35"/>
        <v>Peptide160: E2_7_13_3_mRNA -&gt; E2_7_13_3 | (0.278 * E2_7_13_3_mRNA) - (0.000000278 * E2_7_13_3)</v>
      </c>
    </row>
    <row r="162" spans="1:14" ht="16">
      <c r="A162" s="41">
        <v>161</v>
      </c>
      <c r="B162" s="42" t="s">
        <v>9063</v>
      </c>
      <c r="C162" s="41" t="str">
        <f t="shared" si="24"/>
        <v>E2_7_2_1_mRNA</v>
      </c>
      <c r="D162" s="41" t="str">
        <f t="shared" si="25"/>
        <v>E2_7_2_1</v>
      </c>
      <c r="E162" s="43" t="str">
        <f t="shared" si="26"/>
        <v>E2_7_2_1_kcat : 13.7</v>
      </c>
      <c r="F162" s="44" t="str">
        <f t="shared" si="27"/>
        <v>E2_7_2_1_km : 1</v>
      </c>
      <c r="G162" s="45" t="str">
        <f t="shared" si="28"/>
        <v>E2_7_2_1_mRNA : E2_7_2_1_mRNA</v>
      </c>
      <c r="H162" s="46" t="str">
        <f t="shared" si="29"/>
        <v>E2_7_2_1 : E2_7_2_1</v>
      </c>
      <c r="I162" s="47" t="str">
        <f t="shared" si="30"/>
        <v>E2_7_2_1_mRNA : 0</v>
      </c>
      <c r="J162" s="48" t="str">
        <f t="shared" si="31"/>
        <v>E2_7_2_1 : 0</v>
      </c>
      <c r="K162" s="49" t="str">
        <f t="shared" si="32"/>
        <v>0.00292 - (0.0093 * E2_7_2_1_mRNA)</v>
      </c>
      <c r="L162" s="50" t="str">
        <f t="shared" si="33"/>
        <v>(0.278 * E2_7_2_1_mRNA) - (0.00000278 * E2_7_2_1)</v>
      </c>
      <c r="M162" s="51" t="str">
        <f t="shared" si="34"/>
        <v>mRNA161: -&gt; E2_7_2_1_mRNA | 0.00292 - (0.0093 * E2_7_2_1_mRNA)</v>
      </c>
      <c r="N162" s="52" t="str">
        <f t="shared" si="35"/>
        <v>Peptide161: E2_7_2_1_mRNA -&gt; E2_7_2_1 | (0.278 * E2_7_2_1_mRNA) - (0.000000278 * E2_7_2_1)</v>
      </c>
    </row>
    <row r="163" spans="1:14" ht="16">
      <c r="A163" s="41">
        <v>162</v>
      </c>
      <c r="B163" s="42" t="s">
        <v>9064</v>
      </c>
      <c r="C163" s="41" t="str">
        <f t="shared" si="24"/>
        <v>E2_7_2_11_mRNA</v>
      </c>
      <c r="D163" s="41" t="str">
        <f t="shared" si="25"/>
        <v>E2_7_2_11</v>
      </c>
      <c r="E163" s="43" t="str">
        <f t="shared" si="26"/>
        <v>E2_7_2_11_kcat : 13.7</v>
      </c>
      <c r="F163" s="44" t="str">
        <f t="shared" si="27"/>
        <v>E2_7_2_11_km : 1</v>
      </c>
      <c r="G163" s="45" t="str">
        <f t="shared" si="28"/>
        <v>E2_7_2_11_mRNA : E2_7_2_11_mRNA</v>
      </c>
      <c r="H163" s="46" t="str">
        <f t="shared" si="29"/>
        <v>E2_7_2_11 : E2_7_2_11</v>
      </c>
      <c r="I163" s="47" t="str">
        <f t="shared" si="30"/>
        <v>E2_7_2_11_mRNA : 0</v>
      </c>
      <c r="J163" s="48" t="str">
        <f t="shared" si="31"/>
        <v>E2_7_2_11 : 0</v>
      </c>
      <c r="K163" s="49" t="str">
        <f t="shared" si="32"/>
        <v>0.00292 - (0.0093 * E2_7_2_11_mRNA)</v>
      </c>
      <c r="L163" s="50" t="str">
        <f t="shared" si="33"/>
        <v>(0.278 * E2_7_2_11_mRNA) - (0.00000278 * E2_7_2_11)</v>
      </c>
      <c r="M163" s="51" t="str">
        <f t="shared" si="34"/>
        <v>mRNA162: -&gt; E2_7_2_11_mRNA | 0.00292 - (0.0093 * E2_7_2_11_mRNA)</v>
      </c>
      <c r="N163" s="52" t="str">
        <f t="shared" si="35"/>
        <v>Peptide162: E2_7_2_11_mRNA -&gt; E2_7_2_11 | (0.278 * E2_7_2_11_mRNA) - (0.000000278 * E2_7_2_11)</v>
      </c>
    </row>
    <row r="164" spans="1:14" ht="16">
      <c r="A164" s="41">
        <v>163</v>
      </c>
      <c r="B164" s="42" t="s">
        <v>9065</v>
      </c>
      <c r="C164" s="41" t="str">
        <f t="shared" si="24"/>
        <v>E2_7_2_3_mRNA</v>
      </c>
      <c r="D164" s="41" t="str">
        <f t="shared" si="25"/>
        <v>E2_7_2_3</v>
      </c>
      <c r="E164" s="43" t="str">
        <f t="shared" si="26"/>
        <v>E2_7_2_3_kcat : 13.7</v>
      </c>
      <c r="F164" s="44" t="str">
        <f t="shared" si="27"/>
        <v>E2_7_2_3_km : 1</v>
      </c>
      <c r="G164" s="45" t="str">
        <f t="shared" si="28"/>
        <v>E2_7_2_3_mRNA : E2_7_2_3_mRNA</v>
      </c>
      <c r="H164" s="46" t="str">
        <f t="shared" si="29"/>
        <v>E2_7_2_3 : E2_7_2_3</v>
      </c>
      <c r="I164" s="47" t="str">
        <f t="shared" si="30"/>
        <v>E2_7_2_3_mRNA : 0</v>
      </c>
      <c r="J164" s="48" t="str">
        <f t="shared" si="31"/>
        <v>E2_7_2_3 : 0</v>
      </c>
      <c r="K164" s="49" t="str">
        <f t="shared" si="32"/>
        <v>0.00292 - (0.0093 * E2_7_2_3_mRNA)</v>
      </c>
      <c r="L164" s="50" t="str">
        <f t="shared" si="33"/>
        <v>(0.278 * E2_7_2_3_mRNA) - (0.00000278 * E2_7_2_3)</v>
      </c>
      <c r="M164" s="51" t="str">
        <f t="shared" si="34"/>
        <v>mRNA163: -&gt; E2_7_2_3_mRNA | 0.00292 - (0.0093 * E2_7_2_3_mRNA)</v>
      </c>
      <c r="N164" s="52" t="str">
        <f t="shared" si="35"/>
        <v>Peptide163: E2_7_2_3_mRNA -&gt; E2_7_2_3 | (0.278 * E2_7_2_3_mRNA) - (0.000000278 * E2_7_2_3)</v>
      </c>
    </row>
    <row r="165" spans="1:14" ht="16">
      <c r="A165" s="41">
        <v>164</v>
      </c>
      <c r="B165" s="42" t="s">
        <v>9066</v>
      </c>
      <c r="C165" s="41" t="str">
        <f t="shared" si="24"/>
        <v>E2_7_2_4_mRNA</v>
      </c>
      <c r="D165" s="41" t="str">
        <f t="shared" si="25"/>
        <v>E2_7_2_4</v>
      </c>
      <c r="E165" s="43" t="str">
        <f t="shared" si="26"/>
        <v>E2_7_2_4_kcat : 13.7</v>
      </c>
      <c r="F165" s="44" t="str">
        <f t="shared" si="27"/>
        <v>E2_7_2_4_km : 1</v>
      </c>
      <c r="G165" s="45" t="str">
        <f t="shared" si="28"/>
        <v>E2_7_2_4_mRNA : E2_7_2_4_mRNA</v>
      </c>
      <c r="H165" s="46" t="str">
        <f t="shared" si="29"/>
        <v>E2_7_2_4 : E2_7_2_4</v>
      </c>
      <c r="I165" s="47" t="str">
        <f t="shared" si="30"/>
        <v>E2_7_2_4_mRNA : 0</v>
      </c>
      <c r="J165" s="48" t="str">
        <f t="shared" si="31"/>
        <v>E2_7_2_4 : 0</v>
      </c>
      <c r="K165" s="49" t="str">
        <f t="shared" si="32"/>
        <v>0.00292 - (0.0093 * E2_7_2_4_mRNA)</v>
      </c>
      <c r="L165" s="50" t="str">
        <f t="shared" si="33"/>
        <v>(0.278 * E2_7_2_4_mRNA) - (0.00000278 * E2_7_2_4)</v>
      </c>
      <c r="M165" s="51" t="str">
        <f t="shared" si="34"/>
        <v>mRNA164: -&gt; E2_7_2_4_mRNA | 0.00292 - (0.0093 * E2_7_2_4_mRNA)</v>
      </c>
      <c r="N165" s="52" t="str">
        <f t="shared" si="35"/>
        <v>Peptide164: E2_7_2_4_mRNA -&gt; E2_7_2_4 | (0.278 * E2_7_2_4_mRNA) - (0.000000278 * E2_7_2_4)</v>
      </c>
    </row>
    <row r="166" spans="1:14" ht="16">
      <c r="A166" s="41">
        <v>165</v>
      </c>
      <c r="B166" s="42" t="s">
        <v>9067</v>
      </c>
      <c r="C166" s="41" t="str">
        <f t="shared" si="24"/>
        <v>E2_7_2_8_mRNA</v>
      </c>
      <c r="D166" s="41" t="str">
        <f t="shared" si="25"/>
        <v>E2_7_2_8</v>
      </c>
      <c r="E166" s="43" t="str">
        <f t="shared" si="26"/>
        <v>E2_7_2_8_kcat : 13.7</v>
      </c>
      <c r="F166" s="44" t="str">
        <f t="shared" si="27"/>
        <v>E2_7_2_8_km : 1</v>
      </c>
      <c r="G166" s="45" t="str">
        <f t="shared" si="28"/>
        <v>E2_7_2_8_mRNA : E2_7_2_8_mRNA</v>
      </c>
      <c r="H166" s="46" t="str">
        <f t="shared" si="29"/>
        <v>E2_7_2_8 : E2_7_2_8</v>
      </c>
      <c r="I166" s="47" t="str">
        <f t="shared" si="30"/>
        <v>E2_7_2_8_mRNA : 0</v>
      </c>
      <c r="J166" s="48" t="str">
        <f t="shared" si="31"/>
        <v>E2_7_2_8 : 0</v>
      </c>
      <c r="K166" s="49" t="str">
        <f t="shared" si="32"/>
        <v>0.00292 - (0.0093 * E2_7_2_8_mRNA)</v>
      </c>
      <c r="L166" s="50" t="str">
        <f t="shared" si="33"/>
        <v>(0.278 * E2_7_2_8_mRNA) - (0.00000278 * E2_7_2_8)</v>
      </c>
      <c r="M166" s="51" t="str">
        <f t="shared" si="34"/>
        <v>mRNA165: -&gt; E2_7_2_8_mRNA | 0.00292 - (0.0093 * E2_7_2_8_mRNA)</v>
      </c>
      <c r="N166" s="52" t="str">
        <f t="shared" si="35"/>
        <v>Peptide165: E2_7_2_8_mRNA -&gt; E2_7_2_8 | (0.278 * E2_7_2_8_mRNA) - (0.000000278 * E2_7_2_8)</v>
      </c>
    </row>
    <row r="167" spans="1:14" ht="16">
      <c r="A167" s="41">
        <v>166</v>
      </c>
      <c r="B167" s="42" t="s">
        <v>9068</v>
      </c>
      <c r="C167" s="41" t="str">
        <f t="shared" si="24"/>
        <v>E2_7_3_9_mRNA</v>
      </c>
      <c r="D167" s="41" t="str">
        <f t="shared" si="25"/>
        <v>E2_7_3_9</v>
      </c>
      <c r="E167" s="43" t="str">
        <f t="shared" si="26"/>
        <v>E2_7_3_9_kcat : 13.7</v>
      </c>
      <c r="F167" s="44" t="str">
        <f t="shared" si="27"/>
        <v>E2_7_3_9_km : 1</v>
      </c>
      <c r="G167" s="45" t="str">
        <f t="shared" si="28"/>
        <v>E2_7_3_9_mRNA : E2_7_3_9_mRNA</v>
      </c>
      <c r="H167" s="46" t="str">
        <f t="shared" si="29"/>
        <v>E2_7_3_9 : E2_7_3_9</v>
      </c>
      <c r="I167" s="47" t="str">
        <f t="shared" si="30"/>
        <v>E2_7_3_9_mRNA : 0</v>
      </c>
      <c r="J167" s="48" t="str">
        <f t="shared" si="31"/>
        <v>E2_7_3_9 : 0</v>
      </c>
      <c r="K167" s="49" t="str">
        <f t="shared" si="32"/>
        <v>0.00292 - (0.0093 * E2_7_3_9_mRNA)</v>
      </c>
      <c r="L167" s="50" t="str">
        <f t="shared" si="33"/>
        <v>(0.278 * E2_7_3_9_mRNA) - (0.00000278 * E2_7_3_9)</v>
      </c>
      <c r="M167" s="51" t="str">
        <f t="shared" si="34"/>
        <v>mRNA166: -&gt; E2_7_3_9_mRNA | 0.00292 - (0.0093 * E2_7_3_9_mRNA)</v>
      </c>
      <c r="N167" s="52" t="str">
        <f t="shared" si="35"/>
        <v>Peptide166: E2_7_3_9_mRNA -&gt; E2_7_3_9 | (0.278 * E2_7_3_9_mRNA) - (0.000000278 * E2_7_3_9)</v>
      </c>
    </row>
    <row r="168" spans="1:14" ht="16">
      <c r="A168" s="41">
        <v>167</v>
      </c>
      <c r="B168" s="42" t="s">
        <v>9069</v>
      </c>
      <c r="C168" s="41" t="str">
        <f t="shared" si="24"/>
        <v>E2_7_4_2_mRNA</v>
      </c>
      <c r="D168" s="41" t="str">
        <f t="shared" si="25"/>
        <v>E2_7_4_2</v>
      </c>
      <c r="E168" s="43" t="str">
        <f t="shared" si="26"/>
        <v>E2_7_4_2_kcat : 13.7</v>
      </c>
      <c r="F168" s="44" t="str">
        <f t="shared" si="27"/>
        <v>E2_7_4_2_km : 1</v>
      </c>
      <c r="G168" s="45" t="str">
        <f t="shared" si="28"/>
        <v>E2_7_4_2_mRNA : E2_7_4_2_mRNA</v>
      </c>
      <c r="H168" s="46" t="str">
        <f t="shared" si="29"/>
        <v>E2_7_4_2 : E2_7_4_2</v>
      </c>
      <c r="I168" s="47" t="str">
        <f t="shared" si="30"/>
        <v>E2_7_4_2_mRNA : 0</v>
      </c>
      <c r="J168" s="48" t="str">
        <f t="shared" si="31"/>
        <v>E2_7_4_2 : 0</v>
      </c>
      <c r="K168" s="49" t="str">
        <f t="shared" si="32"/>
        <v>0.00292 - (0.0093 * E2_7_4_2_mRNA)</v>
      </c>
      <c r="L168" s="50" t="str">
        <f t="shared" si="33"/>
        <v>(0.278 * E2_7_4_2_mRNA) - (0.00000278 * E2_7_4_2)</v>
      </c>
      <c r="M168" s="51" t="str">
        <f t="shared" si="34"/>
        <v>mRNA167: -&gt; E2_7_4_2_mRNA | 0.00292 - (0.0093 * E2_7_4_2_mRNA)</v>
      </c>
      <c r="N168" s="52" t="str">
        <f t="shared" si="35"/>
        <v>Peptide167: E2_7_4_2_mRNA -&gt; E2_7_4_2 | (0.278 * E2_7_4_2_mRNA) - (0.000000278 * E2_7_4_2)</v>
      </c>
    </row>
    <row r="169" spans="1:14" ht="16">
      <c r="A169" s="41">
        <v>168</v>
      </c>
      <c r="B169" s="42" t="s">
        <v>9070</v>
      </c>
      <c r="C169" s="41" t="str">
        <f t="shared" si="24"/>
        <v>E2_7_4_22_mRNA</v>
      </c>
      <c r="D169" s="41" t="str">
        <f t="shared" si="25"/>
        <v>E2_7_4_22</v>
      </c>
      <c r="E169" s="43" t="str">
        <f t="shared" si="26"/>
        <v>E2_7_4_22_kcat : 13.7</v>
      </c>
      <c r="F169" s="44" t="str">
        <f t="shared" si="27"/>
        <v>E2_7_4_22_km : 1</v>
      </c>
      <c r="G169" s="45" t="str">
        <f t="shared" si="28"/>
        <v>E2_7_4_22_mRNA : E2_7_4_22_mRNA</v>
      </c>
      <c r="H169" s="46" t="str">
        <f t="shared" si="29"/>
        <v>E2_7_4_22 : E2_7_4_22</v>
      </c>
      <c r="I169" s="47" t="str">
        <f t="shared" si="30"/>
        <v>E2_7_4_22_mRNA : 0</v>
      </c>
      <c r="J169" s="48" t="str">
        <f t="shared" si="31"/>
        <v>E2_7_4_22 : 0</v>
      </c>
      <c r="K169" s="49" t="str">
        <f t="shared" si="32"/>
        <v>0.00292 - (0.0093 * E2_7_4_22_mRNA)</v>
      </c>
      <c r="L169" s="50" t="str">
        <f t="shared" si="33"/>
        <v>(0.278 * E2_7_4_22_mRNA) - (0.00000278 * E2_7_4_22)</v>
      </c>
      <c r="M169" s="51" t="str">
        <f t="shared" si="34"/>
        <v>mRNA168: -&gt; E2_7_4_22_mRNA | 0.00292 - (0.0093 * E2_7_4_22_mRNA)</v>
      </c>
      <c r="N169" s="52" t="str">
        <f t="shared" si="35"/>
        <v>Peptide168: E2_7_4_22_mRNA -&gt; E2_7_4_22 | (0.278 * E2_7_4_22_mRNA) - (0.000000278 * E2_7_4_22)</v>
      </c>
    </row>
    <row r="170" spans="1:14" ht="16">
      <c r="A170" s="41">
        <v>169</v>
      </c>
      <c r="B170" s="42" t="s">
        <v>9071</v>
      </c>
      <c r="C170" s="41" t="str">
        <f t="shared" si="24"/>
        <v>E2_7_4_25_mRNA</v>
      </c>
      <c r="D170" s="41" t="str">
        <f t="shared" si="25"/>
        <v>E2_7_4_25</v>
      </c>
      <c r="E170" s="43" t="str">
        <f t="shared" si="26"/>
        <v>E2_7_4_25_kcat : 13.7</v>
      </c>
      <c r="F170" s="44" t="str">
        <f t="shared" si="27"/>
        <v>E2_7_4_25_km : 1</v>
      </c>
      <c r="G170" s="45" t="str">
        <f t="shared" si="28"/>
        <v>E2_7_4_25_mRNA : E2_7_4_25_mRNA</v>
      </c>
      <c r="H170" s="46" t="str">
        <f t="shared" si="29"/>
        <v>E2_7_4_25 : E2_7_4_25</v>
      </c>
      <c r="I170" s="47" t="str">
        <f t="shared" si="30"/>
        <v>E2_7_4_25_mRNA : 0</v>
      </c>
      <c r="J170" s="48" t="str">
        <f t="shared" si="31"/>
        <v>E2_7_4_25 : 0</v>
      </c>
      <c r="K170" s="49" t="str">
        <f t="shared" si="32"/>
        <v>0.00292 - (0.0093 * E2_7_4_25_mRNA)</v>
      </c>
      <c r="L170" s="50" t="str">
        <f t="shared" si="33"/>
        <v>(0.278 * E2_7_4_25_mRNA) - (0.00000278 * E2_7_4_25)</v>
      </c>
      <c r="M170" s="51" t="str">
        <f t="shared" si="34"/>
        <v>mRNA169: -&gt; E2_7_4_25_mRNA | 0.00292 - (0.0093 * E2_7_4_25_mRNA)</v>
      </c>
      <c r="N170" s="52" t="str">
        <f t="shared" si="35"/>
        <v>Peptide169: E2_7_4_25_mRNA -&gt; E2_7_4_25 | (0.278 * E2_7_4_25_mRNA) - (0.000000278 * E2_7_4_25)</v>
      </c>
    </row>
    <row r="171" spans="1:14" ht="16">
      <c r="A171" s="41">
        <v>170</v>
      </c>
      <c r="B171" s="42" t="s">
        <v>9072</v>
      </c>
      <c r="C171" s="41" t="str">
        <f t="shared" si="24"/>
        <v>E2_7_4_3_mRNA</v>
      </c>
      <c r="D171" s="41" t="str">
        <f t="shared" si="25"/>
        <v>E2_7_4_3</v>
      </c>
      <c r="E171" s="43" t="str">
        <f t="shared" si="26"/>
        <v>E2_7_4_3_kcat : 13.7</v>
      </c>
      <c r="F171" s="44" t="str">
        <f t="shared" si="27"/>
        <v>E2_7_4_3_km : 1</v>
      </c>
      <c r="G171" s="45" t="str">
        <f t="shared" si="28"/>
        <v>E2_7_4_3_mRNA : E2_7_4_3_mRNA</v>
      </c>
      <c r="H171" s="46" t="str">
        <f t="shared" si="29"/>
        <v>E2_7_4_3 : E2_7_4_3</v>
      </c>
      <c r="I171" s="47" t="str">
        <f t="shared" si="30"/>
        <v>E2_7_4_3_mRNA : 0</v>
      </c>
      <c r="J171" s="48" t="str">
        <f t="shared" si="31"/>
        <v>E2_7_4_3 : 0</v>
      </c>
      <c r="K171" s="49" t="str">
        <f t="shared" si="32"/>
        <v>0.00292 - (0.0093 * E2_7_4_3_mRNA)</v>
      </c>
      <c r="L171" s="50" t="str">
        <f t="shared" si="33"/>
        <v>(0.278 * E2_7_4_3_mRNA) - (0.00000278 * E2_7_4_3)</v>
      </c>
      <c r="M171" s="51" t="str">
        <f t="shared" si="34"/>
        <v>mRNA170: -&gt; E2_7_4_3_mRNA | 0.00292 - (0.0093 * E2_7_4_3_mRNA)</v>
      </c>
      <c r="N171" s="52" t="str">
        <f t="shared" si="35"/>
        <v>Peptide170: E2_7_4_3_mRNA -&gt; E2_7_4_3 | (0.278 * E2_7_4_3_mRNA) - (0.000000278 * E2_7_4_3)</v>
      </c>
    </row>
    <row r="172" spans="1:14" ht="16">
      <c r="A172" s="41">
        <v>171</v>
      </c>
      <c r="B172" s="42" t="s">
        <v>9073</v>
      </c>
      <c r="C172" s="41" t="str">
        <f t="shared" si="24"/>
        <v>E2_7_4_6_mRNA</v>
      </c>
      <c r="D172" s="41" t="str">
        <f t="shared" si="25"/>
        <v>E2_7_4_6</v>
      </c>
      <c r="E172" s="43" t="str">
        <f t="shared" si="26"/>
        <v>E2_7_4_6_kcat : 13.7</v>
      </c>
      <c r="F172" s="44" t="str">
        <f t="shared" si="27"/>
        <v>E2_7_4_6_km : 1</v>
      </c>
      <c r="G172" s="45" t="str">
        <f t="shared" si="28"/>
        <v>E2_7_4_6_mRNA : E2_7_4_6_mRNA</v>
      </c>
      <c r="H172" s="46" t="str">
        <f t="shared" si="29"/>
        <v>E2_7_4_6 : E2_7_4_6</v>
      </c>
      <c r="I172" s="47" t="str">
        <f t="shared" si="30"/>
        <v>E2_7_4_6_mRNA : 0</v>
      </c>
      <c r="J172" s="48" t="str">
        <f t="shared" si="31"/>
        <v>E2_7_4_6 : 0</v>
      </c>
      <c r="K172" s="49" t="str">
        <f t="shared" si="32"/>
        <v>0.00292 - (0.0093 * E2_7_4_6_mRNA)</v>
      </c>
      <c r="L172" s="50" t="str">
        <f t="shared" si="33"/>
        <v>(0.278 * E2_7_4_6_mRNA) - (0.00000278 * E2_7_4_6)</v>
      </c>
      <c r="M172" s="51" t="str">
        <f t="shared" si="34"/>
        <v>mRNA171: -&gt; E2_7_4_6_mRNA | 0.00292 - (0.0093 * E2_7_4_6_mRNA)</v>
      </c>
      <c r="N172" s="52" t="str">
        <f t="shared" si="35"/>
        <v>Peptide171: E2_7_4_6_mRNA -&gt; E2_7_4_6 | (0.278 * E2_7_4_6_mRNA) - (0.000000278 * E2_7_4_6)</v>
      </c>
    </row>
    <row r="173" spans="1:14" ht="16">
      <c r="A173" s="41">
        <v>172</v>
      </c>
      <c r="B173" s="42" t="s">
        <v>9074</v>
      </c>
      <c r="C173" s="41" t="str">
        <f t="shared" si="24"/>
        <v>E2_7_4_7_mRNA</v>
      </c>
      <c r="D173" s="41" t="str">
        <f t="shared" si="25"/>
        <v>E2_7_4_7</v>
      </c>
      <c r="E173" s="43" t="str">
        <f t="shared" si="26"/>
        <v>E2_7_4_7_kcat : 13.7</v>
      </c>
      <c r="F173" s="44" t="str">
        <f t="shared" si="27"/>
        <v>E2_7_4_7_km : 1</v>
      </c>
      <c r="G173" s="45" t="str">
        <f t="shared" si="28"/>
        <v>E2_7_4_7_mRNA : E2_7_4_7_mRNA</v>
      </c>
      <c r="H173" s="46" t="str">
        <f t="shared" si="29"/>
        <v>E2_7_4_7 : E2_7_4_7</v>
      </c>
      <c r="I173" s="47" t="str">
        <f t="shared" si="30"/>
        <v>E2_7_4_7_mRNA : 0</v>
      </c>
      <c r="J173" s="48" t="str">
        <f t="shared" si="31"/>
        <v>E2_7_4_7 : 0</v>
      </c>
      <c r="K173" s="49" t="str">
        <f t="shared" si="32"/>
        <v>0.00292 - (0.0093 * E2_7_4_7_mRNA)</v>
      </c>
      <c r="L173" s="50" t="str">
        <f t="shared" si="33"/>
        <v>(0.278 * E2_7_4_7_mRNA) - (0.00000278 * E2_7_4_7)</v>
      </c>
      <c r="M173" s="51" t="str">
        <f t="shared" si="34"/>
        <v>mRNA172: -&gt; E2_7_4_7_mRNA | 0.00292 - (0.0093 * E2_7_4_7_mRNA)</v>
      </c>
      <c r="N173" s="52" t="str">
        <f t="shared" si="35"/>
        <v>Peptide172: E2_7_4_7_mRNA -&gt; E2_7_4_7 | (0.278 * E2_7_4_7_mRNA) - (0.000000278 * E2_7_4_7)</v>
      </c>
    </row>
    <row r="174" spans="1:14" ht="16">
      <c r="A174" s="41">
        <v>173</v>
      </c>
      <c r="B174" s="42" t="s">
        <v>9075</v>
      </c>
      <c r="C174" s="41" t="str">
        <f t="shared" si="24"/>
        <v>E2_7_4_8_mRNA</v>
      </c>
      <c r="D174" s="41" t="str">
        <f t="shared" si="25"/>
        <v>E2_7_4_8</v>
      </c>
      <c r="E174" s="43" t="str">
        <f t="shared" si="26"/>
        <v>E2_7_4_8_kcat : 13.7</v>
      </c>
      <c r="F174" s="44" t="str">
        <f t="shared" si="27"/>
        <v>E2_7_4_8_km : 1</v>
      </c>
      <c r="G174" s="45" t="str">
        <f t="shared" si="28"/>
        <v>E2_7_4_8_mRNA : E2_7_4_8_mRNA</v>
      </c>
      <c r="H174" s="46" t="str">
        <f t="shared" si="29"/>
        <v>E2_7_4_8 : E2_7_4_8</v>
      </c>
      <c r="I174" s="47" t="str">
        <f t="shared" si="30"/>
        <v>E2_7_4_8_mRNA : 0</v>
      </c>
      <c r="J174" s="48" t="str">
        <f t="shared" si="31"/>
        <v>E2_7_4_8 : 0</v>
      </c>
      <c r="K174" s="49" t="str">
        <f t="shared" si="32"/>
        <v>0.00292 - (0.0093 * E2_7_4_8_mRNA)</v>
      </c>
      <c r="L174" s="50" t="str">
        <f t="shared" si="33"/>
        <v>(0.278 * E2_7_4_8_mRNA) - (0.00000278 * E2_7_4_8)</v>
      </c>
      <c r="M174" s="51" t="str">
        <f t="shared" si="34"/>
        <v>mRNA173: -&gt; E2_7_4_8_mRNA | 0.00292 - (0.0093 * E2_7_4_8_mRNA)</v>
      </c>
      <c r="N174" s="52" t="str">
        <f t="shared" si="35"/>
        <v>Peptide173: E2_7_4_8_mRNA -&gt; E2_7_4_8 | (0.278 * E2_7_4_8_mRNA) - (0.000000278 * E2_7_4_8)</v>
      </c>
    </row>
    <row r="175" spans="1:14" ht="16">
      <c r="A175" s="41">
        <v>174</v>
      </c>
      <c r="B175" s="42" t="s">
        <v>9076</v>
      </c>
      <c r="C175" s="41" t="str">
        <f t="shared" si="24"/>
        <v>E2_7_4_9_mRNA</v>
      </c>
      <c r="D175" s="41" t="str">
        <f t="shared" si="25"/>
        <v>E2_7_4_9</v>
      </c>
      <c r="E175" s="43" t="str">
        <f t="shared" si="26"/>
        <v>E2_7_4_9_kcat : 13.7</v>
      </c>
      <c r="F175" s="44" t="str">
        <f t="shared" si="27"/>
        <v>E2_7_4_9_km : 1</v>
      </c>
      <c r="G175" s="45" t="str">
        <f t="shared" si="28"/>
        <v>E2_7_4_9_mRNA : E2_7_4_9_mRNA</v>
      </c>
      <c r="H175" s="46" t="str">
        <f t="shared" si="29"/>
        <v>E2_7_4_9 : E2_7_4_9</v>
      </c>
      <c r="I175" s="47" t="str">
        <f t="shared" si="30"/>
        <v>E2_7_4_9_mRNA : 0</v>
      </c>
      <c r="J175" s="48" t="str">
        <f t="shared" si="31"/>
        <v>E2_7_4_9 : 0</v>
      </c>
      <c r="K175" s="49" t="str">
        <f t="shared" si="32"/>
        <v>0.00292 - (0.0093 * E2_7_4_9_mRNA)</v>
      </c>
      <c r="L175" s="50" t="str">
        <f t="shared" si="33"/>
        <v>(0.278 * E2_7_4_9_mRNA) - (0.00000278 * E2_7_4_9)</v>
      </c>
      <c r="M175" s="51" t="str">
        <f t="shared" si="34"/>
        <v>mRNA174: -&gt; E2_7_4_9_mRNA | 0.00292 - (0.0093 * E2_7_4_9_mRNA)</v>
      </c>
      <c r="N175" s="52" t="str">
        <f t="shared" si="35"/>
        <v>Peptide174: E2_7_4_9_mRNA -&gt; E2_7_4_9 | (0.278 * E2_7_4_9_mRNA) - (0.000000278 * E2_7_4_9)</v>
      </c>
    </row>
    <row r="176" spans="1:14" ht="16">
      <c r="A176" s="41">
        <v>175</v>
      </c>
      <c r="B176" s="42" t="s">
        <v>9077</v>
      </c>
      <c r="C176" s="41" t="str">
        <f t="shared" si="24"/>
        <v>E2_7_6_1_mRNA</v>
      </c>
      <c r="D176" s="41" t="str">
        <f t="shared" si="25"/>
        <v>E2_7_6_1</v>
      </c>
      <c r="E176" s="43" t="str">
        <f t="shared" si="26"/>
        <v>E2_7_6_1_kcat : 13.7</v>
      </c>
      <c r="F176" s="44" t="str">
        <f t="shared" si="27"/>
        <v>E2_7_6_1_km : 1</v>
      </c>
      <c r="G176" s="45" t="str">
        <f t="shared" si="28"/>
        <v>E2_7_6_1_mRNA : E2_7_6_1_mRNA</v>
      </c>
      <c r="H176" s="46" t="str">
        <f t="shared" si="29"/>
        <v>E2_7_6_1 : E2_7_6_1</v>
      </c>
      <c r="I176" s="47" t="str">
        <f t="shared" si="30"/>
        <v>E2_7_6_1_mRNA : 0</v>
      </c>
      <c r="J176" s="48" t="str">
        <f t="shared" si="31"/>
        <v>E2_7_6_1 : 0</v>
      </c>
      <c r="K176" s="49" t="str">
        <f t="shared" si="32"/>
        <v>0.00292 - (0.0093 * E2_7_6_1_mRNA)</v>
      </c>
      <c r="L176" s="50" t="str">
        <f t="shared" si="33"/>
        <v>(0.278 * E2_7_6_1_mRNA) - (0.00000278 * E2_7_6_1)</v>
      </c>
      <c r="M176" s="51" t="str">
        <f t="shared" si="34"/>
        <v>mRNA175: -&gt; E2_7_6_1_mRNA | 0.00292 - (0.0093 * E2_7_6_1_mRNA)</v>
      </c>
      <c r="N176" s="52" t="str">
        <f t="shared" si="35"/>
        <v>Peptide175: E2_7_6_1_mRNA -&gt; E2_7_6_1 | (0.278 * E2_7_6_1_mRNA) - (0.000000278 * E2_7_6_1)</v>
      </c>
    </row>
    <row r="177" spans="1:14" ht="16">
      <c r="A177" s="41">
        <v>176</v>
      </c>
      <c r="B177" s="42" t="s">
        <v>9078</v>
      </c>
      <c r="C177" s="41" t="str">
        <f t="shared" si="24"/>
        <v>E2_7_6_2_mRNA</v>
      </c>
      <c r="D177" s="41" t="str">
        <f t="shared" si="25"/>
        <v>E2_7_6_2</v>
      </c>
      <c r="E177" s="43" t="str">
        <f t="shared" si="26"/>
        <v>E2_7_6_2_kcat : 13.7</v>
      </c>
      <c r="F177" s="44" t="str">
        <f t="shared" si="27"/>
        <v>E2_7_6_2_km : 1</v>
      </c>
      <c r="G177" s="45" t="str">
        <f t="shared" si="28"/>
        <v>E2_7_6_2_mRNA : E2_7_6_2_mRNA</v>
      </c>
      <c r="H177" s="46" t="str">
        <f t="shared" si="29"/>
        <v>E2_7_6_2 : E2_7_6_2</v>
      </c>
      <c r="I177" s="47" t="str">
        <f t="shared" si="30"/>
        <v>E2_7_6_2_mRNA : 0</v>
      </c>
      <c r="J177" s="48" t="str">
        <f t="shared" si="31"/>
        <v>E2_7_6_2 : 0</v>
      </c>
      <c r="K177" s="49" t="str">
        <f t="shared" si="32"/>
        <v>0.00292 - (0.0093 * E2_7_6_2_mRNA)</v>
      </c>
      <c r="L177" s="50" t="str">
        <f t="shared" si="33"/>
        <v>(0.278 * E2_7_6_2_mRNA) - (0.00000278 * E2_7_6_2)</v>
      </c>
      <c r="M177" s="51" t="str">
        <f t="shared" si="34"/>
        <v>mRNA176: -&gt; E2_7_6_2_mRNA | 0.00292 - (0.0093 * E2_7_6_2_mRNA)</v>
      </c>
      <c r="N177" s="52" t="str">
        <f t="shared" si="35"/>
        <v>Peptide176: E2_7_6_2_mRNA -&gt; E2_7_6_2 | (0.278 * E2_7_6_2_mRNA) - (0.000000278 * E2_7_6_2)</v>
      </c>
    </row>
    <row r="178" spans="1:14" ht="16">
      <c r="A178" s="41">
        <v>177</v>
      </c>
      <c r="B178" s="42" t="s">
        <v>9079</v>
      </c>
      <c r="C178" s="41" t="str">
        <f t="shared" si="24"/>
        <v>E2_7_6_3_mRNA</v>
      </c>
      <c r="D178" s="41" t="str">
        <f t="shared" si="25"/>
        <v>E2_7_6_3</v>
      </c>
      <c r="E178" s="43" t="str">
        <f t="shared" si="26"/>
        <v>E2_7_6_3_kcat : 13.7</v>
      </c>
      <c r="F178" s="44" t="str">
        <f t="shared" si="27"/>
        <v>E2_7_6_3_km : 1</v>
      </c>
      <c r="G178" s="45" t="str">
        <f t="shared" si="28"/>
        <v>E2_7_6_3_mRNA : E2_7_6_3_mRNA</v>
      </c>
      <c r="H178" s="46" t="str">
        <f t="shared" si="29"/>
        <v>E2_7_6_3 : E2_7_6_3</v>
      </c>
      <c r="I178" s="47" t="str">
        <f t="shared" si="30"/>
        <v>E2_7_6_3_mRNA : 0</v>
      </c>
      <c r="J178" s="48" t="str">
        <f t="shared" si="31"/>
        <v>E2_7_6_3 : 0</v>
      </c>
      <c r="K178" s="49" t="str">
        <f t="shared" si="32"/>
        <v>0.00292 - (0.0093 * E2_7_6_3_mRNA)</v>
      </c>
      <c r="L178" s="50" t="str">
        <f t="shared" si="33"/>
        <v>(0.278 * E2_7_6_3_mRNA) - (0.00000278 * E2_7_6_3)</v>
      </c>
      <c r="M178" s="51" t="str">
        <f t="shared" si="34"/>
        <v>mRNA177: -&gt; E2_7_6_3_mRNA | 0.00292 - (0.0093 * E2_7_6_3_mRNA)</v>
      </c>
      <c r="N178" s="52" t="str">
        <f t="shared" si="35"/>
        <v>Peptide177: E2_7_6_3_mRNA -&gt; E2_7_6_3 | (0.278 * E2_7_6_3_mRNA) - (0.000000278 * E2_7_6_3)</v>
      </c>
    </row>
    <row r="179" spans="1:14" ht="16">
      <c r="A179" s="41">
        <v>178</v>
      </c>
      <c r="B179" s="42" t="s">
        <v>9080</v>
      </c>
      <c r="C179" s="41" t="str">
        <f t="shared" si="24"/>
        <v>E2_7_6_5_mRNA</v>
      </c>
      <c r="D179" s="41" t="str">
        <f t="shared" si="25"/>
        <v>E2_7_6_5</v>
      </c>
      <c r="E179" s="43" t="str">
        <f t="shared" si="26"/>
        <v>E2_7_6_5_kcat : 13.7</v>
      </c>
      <c r="F179" s="44" t="str">
        <f t="shared" si="27"/>
        <v>E2_7_6_5_km : 1</v>
      </c>
      <c r="G179" s="45" t="str">
        <f t="shared" si="28"/>
        <v>E2_7_6_5_mRNA : E2_7_6_5_mRNA</v>
      </c>
      <c r="H179" s="46" t="str">
        <f t="shared" si="29"/>
        <v>E2_7_6_5 : E2_7_6_5</v>
      </c>
      <c r="I179" s="47" t="str">
        <f t="shared" si="30"/>
        <v>E2_7_6_5_mRNA : 0</v>
      </c>
      <c r="J179" s="48" t="str">
        <f t="shared" si="31"/>
        <v>E2_7_6_5 : 0</v>
      </c>
      <c r="K179" s="49" t="str">
        <f t="shared" si="32"/>
        <v>0.00292 - (0.0093 * E2_7_6_5_mRNA)</v>
      </c>
      <c r="L179" s="50" t="str">
        <f t="shared" si="33"/>
        <v>(0.278 * E2_7_6_5_mRNA) - (0.00000278 * E2_7_6_5)</v>
      </c>
      <c r="M179" s="51" t="str">
        <f t="shared" si="34"/>
        <v>mRNA178: -&gt; E2_7_6_5_mRNA | 0.00292 - (0.0093 * E2_7_6_5_mRNA)</v>
      </c>
      <c r="N179" s="52" t="str">
        <f t="shared" si="35"/>
        <v>Peptide178: E2_7_6_5_mRNA -&gt; E2_7_6_5 | (0.278 * E2_7_6_5_mRNA) - (0.000000278 * E2_7_6_5)</v>
      </c>
    </row>
    <row r="180" spans="1:14" ht="16">
      <c r="A180" s="41">
        <v>179</v>
      </c>
      <c r="B180" s="42" t="s">
        <v>9081</v>
      </c>
      <c r="C180" s="41" t="str">
        <f t="shared" si="24"/>
        <v>E3_1_7_2_mRNA</v>
      </c>
      <c r="D180" s="41" t="str">
        <f t="shared" si="25"/>
        <v>E3_1_7_2</v>
      </c>
      <c r="E180" s="43" t="str">
        <f t="shared" si="26"/>
        <v>E3_1_7_2_kcat : 13.7</v>
      </c>
      <c r="F180" s="44" t="str">
        <f t="shared" si="27"/>
        <v>E3_1_7_2_km : 1</v>
      </c>
      <c r="G180" s="45" t="str">
        <f t="shared" si="28"/>
        <v>E3_1_7_2_mRNA : E3_1_7_2_mRNA</v>
      </c>
      <c r="H180" s="46" t="str">
        <f t="shared" si="29"/>
        <v>E3_1_7_2 : E3_1_7_2</v>
      </c>
      <c r="I180" s="47" t="str">
        <f t="shared" si="30"/>
        <v>E3_1_7_2_mRNA : 0</v>
      </c>
      <c r="J180" s="48" t="str">
        <f t="shared" si="31"/>
        <v>E3_1_7_2 : 0</v>
      </c>
      <c r="K180" s="49" t="str">
        <f t="shared" si="32"/>
        <v>0.00292 - (0.0093 * E3_1_7_2_mRNA)</v>
      </c>
      <c r="L180" s="50" t="str">
        <f t="shared" si="33"/>
        <v>(0.278 * E3_1_7_2_mRNA) - (0.00000278 * E3_1_7_2)</v>
      </c>
      <c r="M180" s="51" t="str">
        <f t="shared" si="34"/>
        <v>mRNA179: -&gt; E3_1_7_2_mRNA | 0.00292 - (0.0093 * E3_1_7_2_mRNA)</v>
      </c>
      <c r="N180" s="52" t="str">
        <f t="shared" si="35"/>
        <v>Peptide179: E3_1_7_2_mRNA -&gt; E3_1_7_2 | (0.278 * E3_1_7_2_mRNA) - (0.000000278 * E3_1_7_2)</v>
      </c>
    </row>
    <row r="181" spans="1:14" ht="16">
      <c r="A181" s="41">
        <v>180</v>
      </c>
      <c r="B181" s="42" t="s">
        <v>9082</v>
      </c>
      <c r="C181" s="41" t="str">
        <f t="shared" si="24"/>
        <v>E2_7_7_1_mRNA</v>
      </c>
      <c r="D181" s="41" t="str">
        <f t="shared" si="25"/>
        <v>E2_7_7_1</v>
      </c>
      <c r="E181" s="43" t="str">
        <f t="shared" si="26"/>
        <v>E2_7_7_1_kcat : 13.7</v>
      </c>
      <c r="F181" s="44" t="str">
        <f t="shared" si="27"/>
        <v>E2_7_7_1_km : 1</v>
      </c>
      <c r="G181" s="45" t="str">
        <f t="shared" si="28"/>
        <v>E2_7_7_1_mRNA : E2_7_7_1_mRNA</v>
      </c>
      <c r="H181" s="46" t="str">
        <f t="shared" si="29"/>
        <v>E2_7_7_1 : E2_7_7_1</v>
      </c>
      <c r="I181" s="47" t="str">
        <f t="shared" si="30"/>
        <v>E2_7_7_1_mRNA : 0</v>
      </c>
      <c r="J181" s="48" t="str">
        <f t="shared" si="31"/>
        <v>E2_7_7_1 : 0</v>
      </c>
      <c r="K181" s="49" t="str">
        <f t="shared" si="32"/>
        <v>0.00292 - (0.0093 * E2_7_7_1_mRNA)</v>
      </c>
      <c r="L181" s="50" t="str">
        <f t="shared" si="33"/>
        <v>(0.278 * E2_7_7_1_mRNA) - (0.00000278 * E2_7_7_1)</v>
      </c>
      <c r="M181" s="51" t="str">
        <f t="shared" si="34"/>
        <v>mRNA180: -&gt; E2_7_7_1_mRNA | 0.00292 - (0.0093 * E2_7_7_1_mRNA)</v>
      </c>
      <c r="N181" s="52" t="str">
        <f t="shared" si="35"/>
        <v>Peptide180: E2_7_7_1_mRNA -&gt; E2_7_7_1 | (0.278 * E2_7_7_1_mRNA) - (0.000000278 * E2_7_7_1)</v>
      </c>
    </row>
    <row r="182" spans="1:14" ht="16">
      <c r="A182" s="41">
        <v>181</v>
      </c>
      <c r="B182" s="42" t="s">
        <v>9083</v>
      </c>
      <c r="C182" s="41" t="str">
        <f t="shared" si="24"/>
        <v>E2_7_7_22_mRNA</v>
      </c>
      <c r="D182" s="41" t="str">
        <f t="shared" si="25"/>
        <v>E2_7_7_22</v>
      </c>
      <c r="E182" s="43" t="str">
        <f t="shared" si="26"/>
        <v>E2_7_7_22_kcat : 13.7</v>
      </c>
      <c r="F182" s="44" t="str">
        <f t="shared" si="27"/>
        <v>E2_7_7_22_km : 1</v>
      </c>
      <c r="G182" s="45" t="str">
        <f t="shared" si="28"/>
        <v>E2_7_7_22_mRNA : E2_7_7_22_mRNA</v>
      </c>
      <c r="H182" s="46" t="str">
        <f t="shared" si="29"/>
        <v>E2_7_7_22 : E2_7_7_22</v>
      </c>
      <c r="I182" s="47" t="str">
        <f t="shared" si="30"/>
        <v>E2_7_7_22_mRNA : 0</v>
      </c>
      <c r="J182" s="48" t="str">
        <f t="shared" si="31"/>
        <v>E2_7_7_22 : 0</v>
      </c>
      <c r="K182" s="49" t="str">
        <f t="shared" si="32"/>
        <v>0.00292 - (0.0093 * E2_7_7_22_mRNA)</v>
      </c>
      <c r="L182" s="50" t="str">
        <f t="shared" si="33"/>
        <v>(0.278 * E2_7_7_22_mRNA) - (0.00000278 * E2_7_7_22)</v>
      </c>
      <c r="M182" s="51" t="str">
        <f t="shared" si="34"/>
        <v>mRNA181: -&gt; E2_7_7_22_mRNA | 0.00292 - (0.0093 * E2_7_7_22_mRNA)</v>
      </c>
      <c r="N182" s="52" t="str">
        <f t="shared" si="35"/>
        <v>Peptide181: E2_7_7_22_mRNA -&gt; E2_7_7_22 | (0.278 * E2_7_7_22_mRNA) - (0.000000278 * E2_7_7_22)</v>
      </c>
    </row>
    <row r="183" spans="1:14" ht="16">
      <c r="A183" s="41">
        <v>182</v>
      </c>
      <c r="B183" s="42" t="s">
        <v>9084</v>
      </c>
      <c r="C183" s="41" t="str">
        <f t="shared" si="24"/>
        <v>E2_7_7_12_mRNA</v>
      </c>
      <c r="D183" s="41" t="str">
        <f t="shared" si="25"/>
        <v>E2_7_7_12</v>
      </c>
      <c r="E183" s="43" t="str">
        <f t="shared" si="26"/>
        <v>E2_7_7_12_kcat : 13.7</v>
      </c>
      <c r="F183" s="44" t="str">
        <f t="shared" si="27"/>
        <v>E2_7_7_12_km : 1</v>
      </c>
      <c r="G183" s="45" t="str">
        <f t="shared" si="28"/>
        <v>E2_7_7_12_mRNA : E2_7_7_12_mRNA</v>
      </c>
      <c r="H183" s="46" t="str">
        <f t="shared" si="29"/>
        <v>E2_7_7_12 : E2_7_7_12</v>
      </c>
      <c r="I183" s="47" t="str">
        <f t="shared" si="30"/>
        <v>E2_7_7_12_mRNA : 0</v>
      </c>
      <c r="J183" s="48" t="str">
        <f t="shared" si="31"/>
        <v>E2_7_7_12 : 0</v>
      </c>
      <c r="K183" s="49" t="str">
        <f t="shared" si="32"/>
        <v>0.00292 - (0.0093 * E2_7_7_12_mRNA)</v>
      </c>
      <c r="L183" s="50" t="str">
        <f t="shared" si="33"/>
        <v>(0.278 * E2_7_7_12_mRNA) - (0.00000278 * E2_7_7_12)</v>
      </c>
      <c r="M183" s="51" t="str">
        <f t="shared" si="34"/>
        <v>mRNA182: -&gt; E2_7_7_12_mRNA | 0.00292 - (0.0093 * E2_7_7_12_mRNA)</v>
      </c>
      <c r="N183" s="52" t="str">
        <f t="shared" si="35"/>
        <v>Peptide182: E2_7_7_12_mRNA -&gt; E2_7_7_12 | (0.278 * E2_7_7_12_mRNA) - (0.000000278 * E2_7_7_12)</v>
      </c>
    </row>
    <row r="184" spans="1:14" ht="16">
      <c r="A184" s="41">
        <v>183</v>
      </c>
      <c r="B184" s="42" t="s">
        <v>9085</v>
      </c>
      <c r="C184" s="41" t="str">
        <f t="shared" si="24"/>
        <v>E2_7_7_23_mRNA</v>
      </c>
      <c r="D184" s="41" t="str">
        <f t="shared" si="25"/>
        <v>E2_7_7_23</v>
      </c>
      <c r="E184" s="43" t="str">
        <f t="shared" si="26"/>
        <v>E2_7_7_23_kcat : 13.7</v>
      </c>
      <c r="F184" s="44" t="str">
        <f t="shared" si="27"/>
        <v>E2_7_7_23_km : 1</v>
      </c>
      <c r="G184" s="45" t="str">
        <f t="shared" si="28"/>
        <v>E2_7_7_23_mRNA : E2_7_7_23_mRNA</v>
      </c>
      <c r="H184" s="46" t="str">
        <f t="shared" si="29"/>
        <v>E2_7_7_23 : E2_7_7_23</v>
      </c>
      <c r="I184" s="47" t="str">
        <f t="shared" si="30"/>
        <v>E2_7_7_23_mRNA : 0</v>
      </c>
      <c r="J184" s="48" t="str">
        <f t="shared" si="31"/>
        <v>E2_7_7_23 : 0</v>
      </c>
      <c r="K184" s="49" t="str">
        <f t="shared" si="32"/>
        <v>0.00292 - (0.0093 * E2_7_7_23_mRNA)</v>
      </c>
      <c r="L184" s="50" t="str">
        <f t="shared" si="33"/>
        <v>(0.278 * E2_7_7_23_mRNA) - (0.00000278 * E2_7_7_23)</v>
      </c>
      <c r="M184" s="51" t="str">
        <f t="shared" si="34"/>
        <v>mRNA183: -&gt; E2_7_7_23_mRNA | 0.00292 - (0.0093 * E2_7_7_23_mRNA)</v>
      </c>
      <c r="N184" s="52" t="str">
        <f t="shared" si="35"/>
        <v>Peptide183: E2_7_7_23_mRNA -&gt; E2_7_7_23 | (0.278 * E2_7_7_23_mRNA) - (0.000000278 * E2_7_7_23)</v>
      </c>
    </row>
    <row r="185" spans="1:14" ht="16">
      <c r="A185" s="41">
        <v>184</v>
      </c>
      <c r="B185" s="42" t="s">
        <v>9086</v>
      </c>
      <c r="C185" s="41" t="str">
        <f t="shared" si="24"/>
        <v>E2_3_1_157_mRNA</v>
      </c>
      <c r="D185" s="41" t="str">
        <f t="shared" si="25"/>
        <v>E2_3_1_157</v>
      </c>
      <c r="E185" s="43" t="str">
        <f t="shared" si="26"/>
        <v>E2_3_1_157_kcat : 13.7</v>
      </c>
      <c r="F185" s="44" t="str">
        <f t="shared" si="27"/>
        <v>E2_3_1_157_km : 1</v>
      </c>
      <c r="G185" s="45" t="str">
        <f t="shared" si="28"/>
        <v>E2_3_1_157_mRNA : E2_3_1_157_mRNA</v>
      </c>
      <c r="H185" s="46" t="str">
        <f t="shared" si="29"/>
        <v>E2_3_1_157 : E2_3_1_157</v>
      </c>
      <c r="I185" s="47" t="str">
        <f t="shared" si="30"/>
        <v>E2_3_1_157_mRNA : 0</v>
      </c>
      <c r="J185" s="48" t="str">
        <f t="shared" si="31"/>
        <v>E2_3_1_157 : 0</v>
      </c>
      <c r="K185" s="49" t="str">
        <f t="shared" si="32"/>
        <v>0.00292 - (0.0093 * E2_3_1_157_mRNA)</v>
      </c>
      <c r="L185" s="50" t="str">
        <f t="shared" si="33"/>
        <v>(0.278 * E2_3_1_157_mRNA) - (0.00000278 * E2_3_1_157)</v>
      </c>
      <c r="M185" s="51" t="str">
        <f t="shared" si="34"/>
        <v>mRNA184: -&gt; E2_3_1_157_mRNA | 0.00292 - (0.0093 * E2_3_1_157_mRNA)</v>
      </c>
      <c r="N185" s="52" t="str">
        <f t="shared" si="35"/>
        <v>Peptide184: E2_3_1_157_mRNA -&gt; E2_3_1_157 | (0.278 * E2_3_1_157_mRNA) - (0.000000278 * E2_3_1_157)</v>
      </c>
    </row>
    <row r="186" spans="1:14" ht="16">
      <c r="A186" s="41">
        <v>185</v>
      </c>
      <c r="B186" s="42" t="s">
        <v>9087</v>
      </c>
      <c r="C186" s="41" t="str">
        <f t="shared" si="24"/>
        <v>E2_7_7_24_mRNA</v>
      </c>
      <c r="D186" s="41" t="str">
        <f t="shared" si="25"/>
        <v>E2_7_7_24</v>
      </c>
      <c r="E186" s="43" t="str">
        <f t="shared" si="26"/>
        <v>E2_7_7_24_kcat : 13.7</v>
      </c>
      <c r="F186" s="44" t="str">
        <f t="shared" si="27"/>
        <v>E2_7_7_24_km : 1</v>
      </c>
      <c r="G186" s="45" t="str">
        <f t="shared" si="28"/>
        <v>E2_7_7_24_mRNA : E2_7_7_24_mRNA</v>
      </c>
      <c r="H186" s="46" t="str">
        <f t="shared" si="29"/>
        <v>E2_7_7_24 : E2_7_7_24</v>
      </c>
      <c r="I186" s="47" t="str">
        <f t="shared" si="30"/>
        <v>E2_7_7_24_mRNA : 0</v>
      </c>
      <c r="J186" s="48" t="str">
        <f t="shared" si="31"/>
        <v>E2_7_7_24 : 0</v>
      </c>
      <c r="K186" s="49" t="str">
        <f t="shared" si="32"/>
        <v>0.00292 - (0.0093 * E2_7_7_24_mRNA)</v>
      </c>
      <c r="L186" s="50" t="str">
        <f t="shared" si="33"/>
        <v>(0.278 * E2_7_7_24_mRNA) - (0.00000278 * E2_7_7_24)</v>
      </c>
      <c r="M186" s="51" t="str">
        <f t="shared" si="34"/>
        <v>mRNA185: -&gt; E2_7_7_24_mRNA | 0.00292 - (0.0093 * E2_7_7_24_mRNA)</v>
      </c>
      <c r="N186" s="52" t="str">
        <f t="shared" si="35"/>
        <v>Peptide185: E2_7_7_24_mRNA -&gt; E2_7_7_24 | (0.278 * E2_7_7_24_mRNA) - (0.000000278 * E2_7_7_24)</v>
      </c>
    </row>
    <row r="187" spans="1:14" ht="16">
      <c r="A187" s="41">
        <v>186</v>
      </c>
      <c r="B187" s="42" t="s">
        <v>9088</v>
      </c>
      <c r="C187" s="41" t="str">
        <f t="shared" si="24"/>
        <v>E2_7_7_3_mRNA</v>
      </c>
      <c r="D187" s="41" t="str">
        <f t="shared" si="25"/>
        <v>E2_7_7_3</v>
      </c>
      <c r="E187" s="43" t="str">
        <f t="shared" si="26"/>
        <v>E2_7_7_3_kcat : 13.7</v>
      </c>
      <c r="F187" s="44" t="str">
        <f t="shared" si="27"/>
        <v>E2_7_7_3_km : 1</v>
      </c>
      <c r="G187" s="45" t="str">
        <f t="shared" si="28"/>
        <v>E2_7_7_3_mRNA : E2_7_7_3_mRNA</v>
      </c>
      <c r="H187" s="46" t="str">
        <f t="shared" si="29"/>
        <v>E2_7_7_3 : E2_7_7_3</v>
      </c>
      <c r="I187" s="47" t="str">
        <f t="shared" si="30"/>
        <v>E2_7_7_3_mRNA : 0</v>
      </c>
      <c r="J187" s="48" t="str">
        <f t="shared" si="31"/>
        <v>E2_7_7_3 : 0</v>
      </c>
      <c r="K187" s="49" t="str">
        <f t="shared" si="32"/>
        <v>0.00292 - (0.0093 * E2_7_7_3_mRNA)</v>
      </c>
      <c r="L187" s="50" t="str">
        <f t="shared" si="33"/>
        <v>(0.278 * E2_7_7_3_mRNA) - (0.00000278 * E2_7_7_3)</v>
      </c>
      <c r="M187" s="51" t="str">
        <f t="shared" si="34"/>
        <v>mRNA186: -&gt; E2_7_7_3_mRNA | 0.00292 - (0.0093 * E2_7_7_3_mRNA)</v>
      </c>
      <c r="N187" s="52" t="str">
        <f t="shared" si="35"/>
        <v>Peptide186: E2_7_7_3_mRNA -&gt; E2_7_7_3 | (0.278 * E2_7_7_3_mRNA) - (0.000000278 * E2_7_7_3)</v>
      </c>
    </row>
    <row r="188" spans="1:14" ht="16">
      <c r="A188" s="41">
        <v>187</v>
      </c>
      <c r="B188" s="42" t="s">
        <v>9089</v>
      </c>
      <c r="C188" s="41" t="str">
        <f t="shared" si="24"/>
        <v>E2_7_7_41_mRNA</v>
      </c>
      <c r="D188" s="41" t="str">
        <f t="shared" si="25"/>
        <v>E2_7_7_41</v>
      </c>
      <c r="E188" s="43" t="str">
        <f t="shared" si="26"/>
        <v>E2_7_7_41_kcat : 13.7</v>
      </c>
      <c r="F188" s="44" t="str">
        <f t="shared" si="27"/>
        <v>E2_7_7_41_km : 1</v>
      </c>
      <c r="G188" s="45" t="str">
        <f t="shared" si="28"/>
        <v>E2_7_7_41_mRNA : E2_7_7_41_mRNA</v>
      </c>
      <c r="H188" s="46" t="str">
        <f t="shared" si="29"/>
        <v>E2_7_7_41 : E2_7_7_41</v>
      </c>
      <c r="I188" s="47" t="str">
        <f t="shared" si="30"/>
        <v>E2_7_7_41_mRNA : 0</v>
      </c>
      <c r="J188" s="48" t="str">
        <f t="shared" si="31"/>
        <v>E2_7_7_41 : 0</v>
      </c>
      <c r="K188" s="49" t="str">
        <f t="shared" si="32"/>
        <v>0.00292 - (0.0093 * E2_7_7_41_mRNA)</v>
      </c>
      <c r="L188" s="50" t="str">
        <f t="shared" si="33"/>
        <v>(0.278 * E2_7_7_41_mRNA) - (0.00000278 * E2_7_7_41)</v>
      </c>
      <c r="M188" s="51" t="str">
        <f t="shared" si="34"/>
        <v>mRNA187: -&gt; E2_7_7_41_mRNA | 0.00292 - (0.0093 * E2_7_7_41_mRNA)</v>
      </c>
      <c r="N188" s="52" t="str">
        <f t="shared" si="35"/>
        <v>Peptide187: E2_7_7_41_mRNA -&gt; E2_7_7_41 | (0.278 * E2_7_7_41_mRNA) - (0.000000278 * E2_7_7_41)</v>
      </c>
    </row>
    <row r="189" spans="1:14" ht="16">
      <c r="A189" s="41">
        <v>188</v>
      </c>
      <c r="B189" s="42" t="s">
        <v>9090</v>
      </c>
      <c r="C189" s="41" t="str">
        <f t="shared" si="24"/>
        <v>E2_7_7_6_mRNA</v>
      </c>
      <c r="D189" s="41" t="str">
        <f t="shared" si="25"/>
        <v>E2_7_7_6</v>
      </c>
      <c r="E189" s="43" t="str">
        <f t="shared" si="26"/>
        <v>E2_7_7_6_kcat : 13.7</v>
      </c>
      <c r="F189" s="44" t="str">
        <f t="shared" si="27"/>
        <v>E2_7_7_6_km : 1</v>
      </c>
      <c r="G189" s="45" t="str">
        <f t="shared" si="28"/>
        <v>E2_7_7_6_mRNA : E2_7_7_6_mRNA</v>
      </c>
      <c r="H189" s="46" t="str">
        <f t="shared" si="29"/>
        <v>E2_7_7_6 : E2_7_7_6</v>
      </c>
      <c r="I189" s="47" t="str">
        <f t="shared" si="30"/>
        <v>E2_7_7_6_mRNA : 0</v>
      </c>
      <c r="J189" s="48" t="str">
        <f t="shared" si="31"/>
        <v>E2_7_7_6 : 0</v>
      </c>
      <c r="K189" s="49" t="str">
        <f t="shared" si="32"/>
        <v>0.00292 - (0.0093 * E2_7_7_6_mRNA)</v>
      </c>
      <c r="L189" s="50" t="str">
        <f t="shared" si="33"/>
        <v>(0.278 * E2_7_7_6_mRNA) - (0.00000278 * E2_7_7_6)</v>
      </c>
      <c r="M189" s="51" t="str">
        <f t="shared" si="34"/>
        <v>mRNA188: -&gt; E2_7_7_6_mRNA | 0.00292 - (0.0093 * E2_7_7_6_mRNA)</v>
      </c>
      <c r="N189" s="52" t="str">
        <f t="shared" si="35"/>
        <v>Peptide188: E2_7_7_6_mRNA -&gt; E2_7_7_6 | (0.278 * E2_7_7_6_mRNA) - (0.000000278 * E2_7_7_6)</v>
      </c>
    </row>
    <row r="190" spans="1:14" ht="16">
      <c r="A190" s="41">
        <v>189</v>
      </c>
      <c r="B190" s="42" t="s">
        <v>9091</v>
      </c>
      <c r="C190" s="41" t="str">
        <f t="shared" si="24"/>
        <v>E2_7_7_7_mRNA</v>
      </c>
      <c r="D190" s="41" t="str">
        <f t="shared" si="25"/>
        <v>E2_7_7_7</v>
      </c>
      <c r="E190" s="43" t="str">
        <f t="shared" si="26"/>
        <v>E2_7_7_7_kcat : 13.7</v>
      </c>
      <c r="F190" s="44" t="str">
        <f t="shared" si="27"/>
        <v>E2_7_7_7_km : 1</v>
      </c>
      <c r="G190" s="45" t="str">
        <f t="shared" si="28"/>
        <v>E2_7_7_7_mRNA : E2_7_7_7_mRNA</v>
      </c>
      <c r="H190" s="46" t="str">
        <f t="shared" si="29"/>
        <v>E2_7_7_7 : E2_7_7_7</v>
      </c>
      <c r="I190" s="47" t="str">
        <f t="shared" si="30"/>
        <v>E2_7_7_7_mRNA : 0</v>
      </c>
      <c r="J190" s="48" t="str">
        <f t="shared" si="31"/>
        <v>E2_7_7_7 : 0</v>
      </c>
      <c r="K190" s="49" t="str">
        <f t="shared" si="32"/>
        <v>0.00292 - (0.0093 * E2_7_7_7_mRNA)</v>
      </c>
      <c r="L190" s="50" t="str">
        <f t="shared" si="33"/>
        <v>(0.278 * E2_7_7_7_mRNA) - (0.00000278 * E2_7_7_7)</v>
      </c>
      <c r="M190" s="51" t="str">
        <f t="shared" si="34"/>
        <v>mRNA189: -&gt; E2_7_7_7_mRNA | 0.00292 - (0.0093 * E2_7_7_7_mRNA)</v>
      </c>
      <c r="N190" s="52" t="str">
        <f t="shared" si="35"/>
        <v>Peptide189: E2_7_7_7_mRNA -&gt; E2_7_7_7 | (0.278 * E2_7_7_7_mRNA) - (0.000000278 * E2_7_7_7)</v>
      </c>
    </row>
    <row r="191" spans="1:14" ht="16">
      <c r="A191" s="41">
        <v>190</v>
      </c>
      <c r="B191" s="42" t="s">
        <v>9092</v>
      </c>
      <c r="C191" s="41" t="str">
        <f t="shared" si="24"/>
        <v>E2_7_7_72_mRNA</v>
      </c>
      <c r="D191" s="41" t="str">
        <f t="shared" si="25"/>
        <v>E2_7_7_72</v>
      </c>
      <c r="E191" s="43" t="str">
        <f t="shared" si="26"/>
        <v>E2_7_7_72_kcat : 13.7</v>
      </c>
      <c r="F191" s="44" t="str">
        <f t="shared" si="27"/>
        <v>E2_7_7_72_km : 1</v>
      </c>
      <c r="G191" s="45" t="str">
        <f t="shared" si="28"/>
        <v>E2_7_7_72_mRNA : E2_7_7_72_mRNA</v>
      </c>
      <c r="H191" s="46" t="str">
        <f t="shared" si="29"/>
        <v>E2_7_7_72 : E2_7_7_72</v>
      </c>
      <c r="I191" s="47" t="str">
        <f t="shared" si="30"/>
        <v>E2_7_7_72_mRNA : 0</v>
      </c>
      <c r="J191" s="48" t="str">
        <f t="shared" si="31"/>
        <v>E2_7_7_72 : 0</v>
      </c>
      <c r="K191" s="49" t="str">
        <f t="shared" si="32"/>
        <v>0.00292 - (0.0093 * E2_7_7_72_mRNA)</v>
      </c>
      <c r="L191" s="50" t="str">
        <f t="shared" si="33"/>
        <v>(0.278 * E2_7_7_72_mRNA) - (0.00000278 * E2_7_7_72)</v>
      </c>
      <c r="M191" s="51" t="str">
        <f t="shared" si="34"/>
        <v>mRNA190: -&gt; E2_7_7_72_mRNA | 0.00292 - (0.0093 * E2_7_7_72_mRNA)</v>
      </c>
      <c r="N191" s="52" t="str">
        <f t="shared" si="35"/>
        <v>Peptide190: E2_7_7_72_mRNA -&gt; E2_7_7_72 | (0.278 * E2_7_7_72_mRNA) - (0.000000278 * E2_7_7_72)</v>
      </c>
    </row>
    <row r="192" spans="1:14" ht="16">
      <c r="A192" s="41">
        <v>191</v>
      </c>
      <c r="B192" s="42" t="s">
        <v>9093</v>
      </c>
      <c r="C192" s="41" t="str">
        <f t="shared" si="24"/>
        <v>E2_7_7_8_mRNA</v>
      </c>
      <c r="D192" s="41" t="str">
        <f t="shared" si="25"/>
        <v>E2_7_7_8</v>
      </c>
      <c r="E192" s="43" t="str">
        <f t="shared" si="26"/>
        <v>E2_7_7_8_kcat : 13.7</v>
      </c>
      <c r="F192" s="44" t="str">
        <f t="shared" si="27"/>
        <v>E2_7_7_8_km : 1</v>
      </c>
      <c r="G192" s="45" t="str">
        <f t="shared" si="28"/>
        <v>E2_7_7_8_mRNA : E2_7_7_8_mRNA</v>
      </c>
      <c r="H192" s="46" t="str">
        <f t="shared" si="29"/>
        <v>E2_7_7_8 : E2_7_7_8</v>
      </c>
      <c r="I192" s="47" t="str">
        <f t="shared" si="30"/>
        <v>E2_7_7_8_mRNA : 0</v>
      </c>
      <c r="J192" s="48" t="str">
        <f t="shared" si="31"/>
        <v>E2_7_7_8 : 0</v>
      </c>
      <c r="K192" s="49" t="str">
        <f t="shared" si="32"/>
        <v>0.00292 - (0.0093 * E2_7_7_8_mRNA)</v>
      </c>
      <c r="L192" s="50" t="str">
        <f t="shared" si="33"/>
        <v>(0.278 * E2_7_7_8_mRNA) - (0.00000278 * E2_7_7_8)</v>
      </c>
      <c r="M192" s="51" t="str">
        <f t="shared" si="34"/>
        <v>mRNA191: -&gt; E2_7_7_8_mRNA | 0.00292 - (0.0093 * E2_7_7_8_mRNA)</v>
      </c>
      <c r="N192" s="52" t="str">
        <f t="shared" si="35"/>
        <v>Peptide191: E2_7_7_8_mRNA -&gt; E2_7_7_8 | (0.278 * E2_7_7_8_mRNA) - (0.000000278 * E2_7_7_8)</v>
      </c>
    </row>
    <row r="193" spans="1:14" ht="16">
      <c r="A193" s="41">
        <v>192</v>
      </c>
      <c r="B193" s="42" t="s">
        <v>9094</v>
      </c>
      <c r="C193" s="41" t="str">
        <f t="shared" si="24"/>
        <v>E3_1_13_1_mRNA</v>
      </c>
      <c r="D193" s="41" t="str">
        <f t="shared" si="25"/>
        <v>E3_1_13_1</v>
      </c>
      <c r="E193" s="43" t="str">
        <f t="shared" si="26"/>
        <v>E3_1_13_1_kcat : 13.7</v>
      </c>
      <c r="F193" s="44" t="str">
        <f t="shared" si="27"/>
        <v>E3_1_13_1_km : 1</v>
      </c>
      <c r="G193" s="45" t="str">
        <f t="shared" si="28"/>
        <v>E3_1_13_1_mRNA : E3_1_13_1_mRNA</v>
      </c>
      <c r="H193" s="46" t="str">
        <f t="shared" si="29"/>
        <v>E3_1_13_1 : E3_1_13_1</v>
      </c>
      <c r="I193" s="47" t="str">
        <f t="shared" si="30"/>
        <v>E3_1_13_1_mRNA : 0</v>
      </c>
      <c r="J193" s="48" t="str">
        <f t="shared" si="31"/>
        <v>E3_1_13_1 : 0</v>
      </c>
      <c r="K193" s="49" t="str">
        <f t="shared" si="32"/>
        <v>0.00292 - (0.0093 * E3_1_13_1_mRNA)</v>
      </c>
      <c r="L193" s="50" t="str">
        <f t="shared" si="33"/>
        <v>(0.278 * E3_1_13_1_mRNA) - (0.00000278 * E3_1_13_1)</v>
      </c>
      <c r="M193" s="51" t="str">
        <f t="shared" si="34"/>
        <v>mRNA192: -&gt; E3_1_13_1_mRNA | 0.00292 - (0.0093 * E3_1_13_1_mRNA)</v>
      </c>
      <c r="N193" s="52" t="str">
        <f t="shared" si="35"/>
        <v>Peptide192: E3_1_13_1_mRNA -&gt; E3_1_13_1 | (0.278 * E3_1_13_1_mRNA) - (0.000000278 * E3_1_13_1)</v>
      </c>
    </row>
    <row r="194" spans="1:14" ht="16">
      <c r="A194" s="41">
        <v>193</v>
      </c>
      <c r="B194" s="42" t="s">
        <v>9095</v>
      </c>
      <c r="C194" s="41" t="str">
        <f t="shared" si="24"/>
        <v>E2_7_7_85_mRNA</v>
      </c>
      <c r="D194" s="41" t="str">
        <f t="shared" si="25"/>
        <v>E2_7_7_85</v>
      </c>
      <c r="E194" s="43" t="str">
        <f t="shared" si="26"/>
        <v>E2_7_7_85_kcat : 13.7</v>
      </c>
      <c r="F194" s="44" t="str">
        <f t="shared" si="27"/>
        <v>E2_7_7_85_km : 1</v>
      </c>
      <c r="G194" s="45" t="str">
        <f t="shared" si="28"/>
        <v>E2_7_7_85_mRNA : E2_7_7_85_mRNA</v>
      </c>
      <c r="H194" s="46" t="str">
        <f t="shared" si="29"/>
        <v>E2_7_7_85 : E2_7_7_85</v>
      </c>
      <c r="I194" s="47" t="str">
        <f t="shared" si="30"/>
        <v>E2_7_7_85_mRNA : 0</v>
      </c>
      <c r="J194" s="48" t="str">
        <f t="shared" si="31"/>
        <v>E2_7_7_85 : 0</v>
      </c>
      <c r="K194" s="49" t="str">
        <f t="shared" si="32"/>
        <v>0.00292 - (0.0093 * E2_7_7_85_mRNA)</v>
      </c>
      <c r="L194" s="50" t="str">
        <f t="shared" si="33"/>
        <v>(0.278 * E2_7_7_85_mRNA) - (0.00000278 * E2_7_7_85)</v>
      </c>
      <c r="M194" s="51" t="str">
        <f t="shared" si="34"/>
        <v>mRNA193: -&gt; E2_7_7_85_mRNA | 0.00292 - (0.0093 * E2_7_7_85_mRNA)</v>
      </c>
      <c r="N194" s="52" t="str">
        <f t="shared" si="35"/>
        <v>Peptide193: E2_7_7_85_mRNA -&gt; E2_7_7_85 | (0.278 * E2_7_7_85_mRNA) - (0.000000278 * E2_7_7_85)</v>
      </c>
    </row>
    <row r="195" spans="1:14" ht="16">
      <c r="A195" s="41">
        <v>194</v>
      </c>
      <c r="B195" s="42" t="s">
        <v>9096</v>
      </c>
      <c r="C195" s="41" t="str">
        <f t="shared" ref="C195:C258" si="36">CONCATENATE(D195, "_mRNA")</f>
        <v>E2_7_7_9_mRNA</v>
      </c>
      <c r="D195" s="41" t="str">
        <f t="shared" ref="D195:D258" si="37">CONCATENATE("E",B195)</f>
        <v>E2_7_7_9</v>
      </c>
      <c r="E195" s="43" t="str">
        <f t="shared" ref="E195:E258" si="38">CONCATENATE("E",B195,"_kcat : 13.7")</f>
        <v>E2_7_7_9_kcat : 13.7</v>
      </c>
      <c r="F195" s="44" t="str">
        <f t="shared" ref="F195:F258" si="39">CONCATENATE("E",B195, "_km : 1")</f>
        <v>E2_7_7_9_km : 1</v>
      </c>
      <c r="G195" s="45" t="str">
        <f t="shared" ref="G195:G258" si="40">CONCATENATE(C195, " : ",C195)</f>
        <v>E2_7_7_9_mRNA : E2_7_7_9_mRNA</v>
      </c>
      <c r="H195" s="46" t="str">
        <f t="shared" ref="H195:H258" si="41">CONCATENATE(D195, " : ",D195)</f>
        <v>E2_7_7_9 : E2_7_7_9</v>
      </c>
      <c r="I195" s="47" t="str">
        <f t="shared" ref="I195:I258" si="42">CONCATENATE(C195, " : ","0")</f>
        <v>E2_7_7_9_mRNA : 0</v>
      </c>
      <c r="J195" s="48" t="str">
        <f t="shared" ref="J195:J258" si="43">CONCATENATE(D195, " : ","0")</f>
        <v>E2_7_7_9 : 0</v>
      </c>
      <c r="K195" s="49" t="str">
        <f t="shared" ref="K195:K258" si="44">CONCATENATE("0.00292 - (0.0093 * ",C195,")")</f>
        <v>0.00292 - (0.0093 * E2_7_7_9_mRNA)</v>
      </c>
      <c r="L195" s="50" t="str">
        <f t="shared" ref="L195:L258" si="45">CONCATENATE("(0.278 * ",C195,")"," - (0.00000278 * ",D195,")")</f>
        <v>(0.278 * E2_7_7_9_mRNA) - (0.00000278 * E2_7_7_9)</v>
      </c>
      <c r="M195" s="51" t="str">
        <f t="shared" ref="M195:M258" si="46">CONCATENATE("mRNA",A195,": -&gt; ",C195," | ","0.00292"," - ","(","0.0093"," * ",C195,")")</f>
        <v>mRNA194: -&gt; E2_7_7_9_mRNA | 0.00292 - (0.0093 * E2_7_7_9_mRNA)</v>
      </c>
      <c r="N195" s="52" t="str">
        <f t="shared" ref="N195:N258" si="47">CONCATENATE("Peptide",A195,": ",C195," -&gt; ",D195," | ","(","0.278"," * ",C195,")"," - ","(","0.000000278"," * ",D195,")")</f>
        <v>Peptide194: E2_7_7_9_mRNA -&gt; E2_7_7_9 | (0.278 * E2_7_7_9_mRNA) - (0.000000278 * E2_7_7_9)</v>
      </c>
    </row>
    <row r="196" spans="1:14" ht="16">
      <c r="A196" s="41">
        <v>195</v>
      </c>
      <c r="B196" s="42" t="s">
        <v>9097</v>
      </c>
      <c r="C196" s="41" t="str">
        <f t="shared" si="36"/>
        <v>E2_7_8_13_mRNA</v>
      </c>
      <c r="D196" s="41" t="str">
        <f t="shared" si="37"/>
        <v>E2_7_8_13</v>
      </c>
      <c r="E196" s="43" t="str">
        <f t="shared" si="38"/>
        <v>E2_7_8_13_kcat : 13.7</v>
      </c>
      <c r="F196" s="44" t="str">
        <f t="shared" si="39"/>
        <v>E2_7_8_13_km : 1</v>
      </c>
      <c r="G196" s="45" t="str">
        <f t="shared" si="40"/>
        <v>E2_7_8_13_mRNA : E2_7_8_13_mRNA</v>
      </c>
      <c r="H196" s="46" t="str">
        <f t="shared" si="41"/>
        <v>E2_7_8_13 : E2_7_8_13</v>
      </c>
      <c r="I196" s="47" t="str">
        <f t="shared" si="42"/>
        <v>E2_7_8_13_mRNA : 0</v>
      </c>
      <c r="J196" s="48" t="str">
        <f t="shared" si="43"/>
        <v>E2_7_8_13 : 0</v>
      </c>
      <c r="K196" s="49" t="str">
        <f t="shared" si="44"/>
        <v>0.00292 - (0.0093 * E2_7_8_13_mRNA)</v>
      </c>
      <c r="L196" s="50" t="str">
        <f t="shared" si="45"/>
        <v>(0.278 * E2_7_8_13_mRNA) - (0.00000278 * E2_7_8_13)</v>
      </c>
      <c r="M196" s="51" t="str">
        <f t="shared" si="46"/>
        <v>mRNA195: -&gt; E2_7_8_13_mRNA | 0.00292 - (0.0093 * E2_7_8_13_mRNA)</v>
      </c>
      <c r="N196" s="52" t="str">
        <f t="shared" si="47"/>
        <v>Peptide195: E2_7_8_13_mRNA -&gt; E2_7_8_13 | (0.278 * E2_7_8_13_mRNA) - (0.000000278 * E2_7_8_13)</v>
      </c>
    </row>
    <row r="197" spans="1:14" ht="16">
      <c r="A197" s="41">
        <v>196</v>
      </c>
      <c r="B197" s="42" t="s">
        <v>9098</v>
      </c>
      <c r="C197" s="41" t="str">
        <f t="shared" si="36"/>
        <v>E2_7_8_5_mRNA</v>
      </c>
      <c r="D197" s="41" t="str">
        <f t="shared" si="37"/>
        <v>E2_7_8_5</v>
      </c>
      <c r="E197" s="43" t="str">
        <f t="shared" si="38"/>
        <v>E2_7_8_5_kcat : 13.7</v>
      </c>
      <c r="F197" s="44" t="str">
        <f t="shared" si="39"/>
        <v>E2_7_8_5_km : 1</v>
      </c>
      <c r="G197" s="45" t="str">
        <f t="shared" si="40"/>
        <v>E2_7_8_5_mRNA : E2_7_8_5_mRNA</v>
      </c>
      <c r="H197" s="46" t="str">
        <f t="shared" si="41"/>
        <v>E2_7_8_5 : E2_7_8_5</v>
      </c>
      <c r="I197" s="47" t="str">
        <f t="shared" si="42"/>
        <v>E2_7_8_5_mRNA : 0</v>
      </c>
      <c r="J197" s="48" t="str">
        <f t="shared" si="43"/>
        <v>E2_7_8_5 : 0</v>
      </c>
      <c r="K197" s="49" t="str">
        <f t="shared" si="44"/>
        <v>0.00292 - (0.0093 * E2_7_8_5_mRNA)</v>
      </c>
      <c r="L197" s="50" t="str">
        <f t="shared" si="45"/>
        <v>(0.278 * E2_7_8_5_mRNA) - (0.00000278 * E2_7_8_5)</v>
      </c>
      <c r="M197" s="51" t="str">
        <f t="shared" si="46"/>
        <v>mRNA196: -&gt; E2_7_8_5_mRNA | 0.00292 - (0.0093 * E2_7_8_5_mRNA)</v>
      </c>
      <c r="N197" s="52" t="str">
        <f t="shared" si="47"/>
        <v>Peptide196: E2_7_8_5_mRNA -&gt; E2_7_8_5 | (0.278 * E2_7_8_5_mRNA) - (0.000000278 * E2_7_8_5)</v>
      </c>
    </row>
    <row r="198" spans="1:14" ht="16">
      <c r="A198" s="41">
        <v>197</v>
      </c>
      <c r="B198" s="42" t="s">
        <v>9099</v>
      </c>
      <c r="C198" s="41" t="str">
        <f t="shared" si="36"/>
        <v>E2_7_8_7_mRNA</v>
      </c>
      <c r="D198" s="41" t="str">
        <f t="shared" si="37"/>
        <v>E2_7_8_7</v>
      </c>
      <c r="E198" s="43" t="str">
        <f t="shared" si="38"/>
        <v>E2_7_8_7_kcat : 13.7</v>
      </c>
      <c r="F198" s="44" t="str">
        <f t="shared" si="39"/>
        <v>E2_7_8_7_km : 1</v>
      </c>
      <c r="G198" s="45" t="str">
        <f t="shared" si="40"/>
        <v>E2_7_8_7_mRNA : E2_7_8_7_mRNA</v>
      </c>
      <c r="H198" s="46" t="str">
        <f t="shared" si="41"/>
        <v>E2_7_8_7 : E2_7_8_7</v>
      </c>
      <c r="I198" s="47" t="str">
        <f t="shared" si="42"/>
        <v>E2_7_8_7_mRNA : 0</v>
      </c>
      <c r="J198" s="48" t="str">
        <f t="shared" si="43"/>
        <v>E2_7_8_7 : 0</v>
      </c>
      <c r="K198" s="49" t="str">
        <f t="shared" si="44"/>
        <v>0.00292 - (0.0093 * E2_7_8_7_mRNA)</v>
      </c>
      <c r="L198" s="50" t="str">
        <f t="shared" si="45"/>
        <v>(0.278 * E2_7_8_7_mRNA) - (0.00000278 * E2_7_8_7)</v>
      </c>
      <c r="M198" s="51" t="str">
        <f t="shared" si="46"/>
        <v>mRNA197: -&gt; E2_7_8_7_mRNA | 0.00292 - (0.0093 * E2_7_8_7_mRNA)</v>
      </c>
      <c r="N198" s="52" t="str">
        <f t="shared" si="47"/>
        <v>Peptide197: E2_7_8_7_mRNA -&gt; E2_7_8_7 | (0.278 * E2_7_8_7_mRNA) - (0.000000278 * E2_7_8_7)</v>
      </c>
    </row>
    <row r="199" spans="1:14" ht="16">
      <c r="A199" s="41">
        <v>198</v>
      </c>
      <c r="B199" s="42" t="s">
        <v>9100</v>
      </c>
      <c r="C199" s="41" t="str">
        <f t="shared" si="36"/>
        <v>E2_8_1_13_mRNA</v>
      </c>
      <c r="D199" s="41" t="str">
        <f t="shared" si="37"/>
        <v>E2_8_1_13</v>
      </c>
      <c r="E199" s="43" t="str">
        <f t="shared" si="38"/>
        <v>E2_8_1_13_kcat : 13.7</v>
      </c>
      <c r="F199" s="44" t="str">
        <f t="shared" si="39"/>
        <v>E2_8_1_13_km : 1</v>
      </c>
      <c r="G199" s="45" t="str">
        <f t="shared" si="40"/>
        <v>E2_8_1_13_mRNA : E2_8_1_13_mRNA</v>
      </c>
      <c r="H199" s="46" t="str">
        <f t="shared" si="41"/>
        <v>E2_8_1_13 : E2_8_1_13</v>
      </c>
      <c r="I199" s="47" t="str">
        <f t="shared" si="42"/>
        <v>E2_8_1_13_mRNA : 0</v>
      </c>
      <c r="J199" s="48" t="str">
        <f t="shared" si="43"/>
        <v>E2_8_1_13 : 0</v>
      </c>
      <c r="K199" s="49" t="str">
        <f t="shared" si="44"/>
        <v>0.00292 - (0.0093 * E2_8_1_13_mRNA)</v>
      </c>
      <c r="L199" s="50" t="str">
        <f t="shared" si="45"/>
        <v>(0.278 * E2_8_1_13_mRNA) - (0.00000278 * E2_8_1_13)</v>
      </c>
      <c r="M199" s="51" t="str">
        <f t="shared" si="46"/>
        <v>mRNA198: -&gt; E2_8_1_13_mRNA | 0.00292 - (0.0093 * E2_8_1_13_mRNA)</v>
      </c>
      <c r="N199" s="52" t="str">
        <f t="shared" si="47"/>
        <v>Peptide198: E2_8_1_13_mRNA -&gt; E2_8_1_13 | (0.278 * E2_8_1_13_mRNA) - (0.000000278 * E2_8_1_13)</v>
      </c>
    </row>
    <row r="200" spans="1:14" ht="16">
      <c r="A200" s="41">
        <v>199</v>
      </c>
      <c r="B200" s="42" t="s">
        <v>9101</v>
      </c>
      <c r="C200" s="41" t="str">
        <f t="shared" si="36"/>
        <v>E2_8_1_4_mRNA</v>
      </c>
      <c r="D200" s="41" t="str">
        <f t="shared" si="37"/>
        <v>E2_8_1_4</v>
      </c>
      <c r="E200" s="43" t="str">
        <f t="shared" si="38"/>
        <v>E2_8_1_4_kcat : 13.7</v>
      </c>
      <c r="F200" s="44" t="str">
        <f t="shared" si="39"/>
        <v>E2_8_1_4_km : 1</v>
      </c>
      <c r="G200" s="45" t="str">
        <f t="shared" si="40"/>
        <v>E2_8_1_4_mRNA : E2_8_1_4_mRNA</v>
      </c>
      <c r="H200" s="46" t="str">
        <f t="shared" si="41"/>
        <v>E2_8_1_4 : E2_8_1_4</v>
      </c>
      <c r="I200" s="47" t="str">
        <f t="shared" si="42"/>
        <v>E2_8_1_4_mRNA : 0</v>
      </c>
      <c r="J200" s="48" t="str">
        <f t="shared" si="43"/>
        <v>E2_8_1_4 : 0</v>
      </c>
      <c r="K200" s="49" t="str">
        <f t="shared" si="44"/>
        <v>0.00292 - (0.0093 * E2_8_1_4_mRNA)</v>
      </c>
      <c r="L200" s="50" t="str">
        <f t="shared" si="45"/>
        <v>(0.278 * E2_8_1_4_mRNA) - (0.00000278 * E2_8_1_4)</v>
      </c>
      <c r="M200" s="51" t="str">
        <f t="shared" si="46"/>
        <v>mRNA199: -&gt; E2_8_1_4_mRNA | 0.00292 - (0.0093 * E2_8_1_4_mRNA)</v>
      </c>
      <c r="N200" s="52" t="str">
        <f t="shared" si="47"/>
        <v>Peptide199: E2_8_1_4_mRNA -&gt; E2_8_1_4 | (0.278 * E2_8_1_4_mRNA) - (0.000000278 * E2_8_1_4)</v>
      </c>
    </row>
    <row r="201" spans="1:14" ht="16">
      <c r="A201" s="41">
        <v>200</v>
      </c>
      <c r="B201" s="42" t="s">
        <v>9102</v>
      </c>
      <c r="C201" s="41" t="str">
        <f t="shared" si="36"/>
        <v>E2_8_1_7_mRNA</v>
      </c>
      <c r="D201" s="41" t="str">
        <f t="shared" si="37"/>
        <v>E2_8_1_7</v>
      </c>
      <c r="E201" s="43" t="str">
        <f t="shared" si="38"/>
        <v>E2_8_1_7_kcat : 13.7</v>
      </c>
      <c r="F201" s="44" t="str">
        <f t="shared" si="39"/>
        <v>E2_8_1_7_km : 1</v>
      </c>
      <c r="G201" s="45" t="str">
        <f t="shared" si="40"/>
        <v>E2_8_1_7_mRNA : E2_8_1_7_mRNA</v>
      </c>
      <c r="H201" s="46" t="str">
        <f t="shared" si="41"/>
        <v>E2_8_1_7 : E2_8_1_7</v>
      </c>
      <c r="I201" s="47" t="str">
        <f t="shared" si="42"/>
        <v>E2_8_1_7_mRNA : 0</v>
      </c>
      <c r="J201" s="48" t="str">
        <f t="shared" si="43"/>
        <v>E2_8_1_7 : 0</v>
      </c>
      <c r="K201" s="49" t="str">
        <f t="shared" si="44"/>
        <v>0.00292 - (0.0093 * E2_8_1_7_mRNA)</v>
      </c>
      <c r="L201" s="50" t="str">
        <f t="shared" si="45"/>
        <v>(0.278 * E2_8_1_7_mRNA) - (0.00000278 * E2_8_1_7)</v>
      </c>
      <c r="M201" s="51" t="str">
        <f t="shared" si="46"/>
        <v>mRNA200: -&gt; E2_8_1_7_mRNA | 0.00292 - (0.0093 * E2_8_1_7_mRNA)</v>
      </c>
      <c r="N201" s="52" t="str">
        <f t="shared" si="47"/>
        <v>Peptide200: E2_8_1_7_mRNA -&gt; E2_8_1_7 | (0.278 * E2_8_1_7_mRNA) - (0.000000278 * E2_8_1_7)</v>
      </c>
    </row>
    <row r="202" spans="1:14" ht="16">
      <c r="A202" s="41">
        <v>201</v>
      </c>
      <c r="B202" s="42" t="s">
        <v>9103</v>
      </c>
      <c r="C202" s="41" t="str">
        <f t="shared" si="36"/>
        <v>E3_6_4_12_mRNA</v>
      </c>
      <c r="D202" s="41" t="str">
        <f t="shared" si="37"/>
        <v>E3_6_4_12</v>
      </c>
      <c r="E202" s="43" t="str">
        <f t="shared" si="38"/>
        <v>E3_6_4_12_kcat : 13.7</v>
      </c>
      <c r="F202" s="44" t="str">
        <f t="shared" si="39"/>
        <v>E3_6_4_12_km : 1</v>
      </c>
      <c r="G202" s="45" t="str">
        <f t="shared" si="40"/>
        <v>E3_6_4_12_mRNA : E3_6_4_12_mRNA</v>
      </c>
      <c r="H202" s="46" t="str">
        <f t="shared" si="41"/>
        <v>E3_6_4_12 : E3_6_4_12</v>
      </c>
      <c r="I202" s="47" t="str">
        <f t="shared" si="42"/>
        <v>E3_6_4_12_mRNA : 0</v>
      </c>
      <c r="J202" s="48" t="str">
        <f t="shared" si="43"/>
        <v>E3_6_4_12 : 0</v>
      </c>
      <c r="K202" s="49" t="str">
        <f t="shared" si="44"/>
        <v>0.00292 - (0.0093 * E3_6_4_12_mRNA)</v>
      </c>
      <c r="L202" s="50" t="str">
        <f t="shared" si="45"/>
        <v>(0.278 * E3_6_4_12_mRNA) - (0.00000278 * E3_6_4_12)</v>
      </c>
      <c r="M202" s="51" t="str">
        <f t="shared" si="46"/>
        <v>mRNA201: -&gt; E3_6_4_12_mRNA | 0.00292 - (0.0093 * E3_6_4_12_mRNA)</v>
      </c>
      <c r="N202" s="52" t="str">
        <f t="shared" si="47"/>
        <v>Peptide201: E3_6_4_12_mRNA -&gt; E3_6_4_12 | (0.278 * E3_6_4_12_mRNA) - (0.000000278 * E3_6_4_12)</v>
      </c>
    </row>
    <row r="203" spans="1:14" ht="16">
      <c r="A203" s="41">
        <v>202</v>
      </c>
      <c r="B203" s="42" t="s">
        <v>9104</v>
      </c>
      <c r="C203" s="41" t="str">
        <f t="shared" si="36"/>
        <v>E3_1_1_29_mRNA</v>
      </c>
      <c r="D203" s="41" t="str">
        <f t="shared" si="37"/>
        <v>E3_1_1_29</v>
      </c>
      <c r="E203" s="43" t="str">
        <f t="shared" si="38"/>
        <v>E3_1_1_29_kcat : 13.7</v>
      </c>
      <c r="F203" s="44" t="str">
        <f t="shared" si="39"/>
        <v>E3_1_1_29_km : 1</v>
      </c>
      <c r="G203" s="45" t="str">
        <f t="shared" si="40"/>
        <v>E3_1_1_29_mRNA : E3_1_1_29_mRNA</v>
      </c>
      <c r="H203" s="46" t="str">
        <f t="shared" si="41"/>
        <v>E3_1_1_29 : E3_1_1_29</v>
      </c>
      <c r="I203" s="47" t="str">
        <f t="shared" si="42"/>
        <v>E3_1_1_29_mRNA : 0</v>
      </c>
      <c r="J203" s="48" t="str">
        <f t="shared" si="43"/>
        <v>E3_1_1_29 : 0</v>
      </c>
      <c r="K203" s="49" t="str">
        <f t="shared" si="44"/>
        <v>0.00292 - (0.0093 * E3_1_1_29_mRNA)</v>
      </c>
      <c r="L203" s="50" t="str">
        <f t="shared" si="45"/>
        <v>(0.278 * E3_1_1_29_mRNA) - (0.00000278 * E3_1_1_29)</v>
      </c>
      <c r="M203" s="51" t="str">
        <f t="shared" si="46"/>
        <v>mRNA202: -&gt; E3_1_1_29_mRNA | 0.00292 - (0.0093 * E3_1_1_29_mRNA)</v>
      </c>
      <c r="N203" s="52" t="str">
        <f t="shared" si="47"/>
        <v>Peptide202: E3_1_1_29_mRNA -&gt; E3_1_1_29 | (0.278 * E3_1_1_29_mRNA) - (0.000000278 * E3_1_1_29)</v>
      </c>
    </row>
    <row r="204" spans="1:14" ht="16">
      <c r="A204" s="41">
        <v>203</v>
      </c>
      <c r="B204" s="42" t="s">
        <v>9105</v>
      </c>
      <c r="C204" s="41" t="str">
        <f t="shared" si="36"/>
        <v>E3_1_11_2_mRNA</v>
      </c>
      <c r="D204" s="41" t="str">
        <f t="shared" si="37"/>
        <v>E3_1_11_2</v>
      </c>
      <c r="E204" s="43" t="str">
        <f t="shared" si="38"/>
        <v>E3_1_11_2_kcat : 13.7</v>
      </c>
      <c r="F204" s="44" t="str">
        <f t="shared" si="39"/>
        <v>E3_1_11_2_km : 1</v>
      </c>
      <c r="G204" s="45" t="str">
        <f t="shared" si="40"/>
        <v>E3_1_11_2_mRNA : E3_1_11_2_mRNA</v>
      </c>
      <c r="H204" s="46" t="str">
        <f t="shared" si="41"/>
        <v>E3_1_11_2 : E3_1_11_2</v>
      </c>
      <c r="I204" s="47" t="str">
        <f t="shared" si="42"/>
        <v>E3_1_11_2_mRNA : 0</v>
      </c>
      <c r="J204" s="48" t="str">
        <f t="shared" si="43"/>
        <v>E3_1_11_2 : 0</v>
      </c>
      <c r="K204" s="49" t="str">
        <f t="shared" si="44"/>
        <v>0.00292 - (0.0093 * E3_1_11_2_mRNA)</v>
      </c>
      <c r="L204" s="50" t="str">
        <f t="shared" si="45"/>
        <v>(0.278 * E3_1_11_2_mRNA) - (0.00000278 * E3_1_11_2)</v>
      </c>
      <c r="M204" s="51" t="str">
        <f t="shared" si="46"/>
        <v>mRNA203: -&gt; E3_1_11_2_mRNA | 0.00292 - (0.0093 * E3_1_11_2_mRNA)</v>
      </c>
      <c r="N204" s="52" t="str">
        <f t="shared" si="47"/>
        <v>Peptide203: E3_1_11_2_mRNA -&gt; E3_1_11_2 | (0.278 * E3_1_11_2_mRNA) - (0.000000278 * E3_1_11_2)</v>
      </c>
    </row>
    <row r="205" spans="1:14" ht="16">
      <c r="A205" s="41">
        <v>204</v>
      </c>
      <c r="B205" s="42" t="s">
        <v>9106</v>
      </c>
      <c r="C205" s="41" t="str">
        <f t="shared" si="36"/>
        <v>E3_1_11_6_mRNA</v>
      </c>
      <c r="D205" s="41" t="str">
        <f t="shared" si="37"/>
        <v>E3_1_11_6</v>
      </c>
      <c r="E205" s="43" t="str">
        <f t="shared" si="38"/>
        <v>E3_1_11_6_kcat : 13.7</v>
      </c>
      <c r="F205" s="44" t="str">
        <f t="shared" si="39"/>
        <v>E3_1_11_6_km : 1</v>
      </c>
      <c r="G205" s="45" t="str">
        <f t="shared" si="40"/>
        <v>E3_1_11_6_mRNA : E3_1_11_6_mRNA</v>
      </c>
      <c r="H205" s="46" t="str">
        <f t="shared" si="41"/>
        <v>E3_1_11_6 : E3_1_11_6</v>
      </c>
      <c r="I205" s="47" t="str">
        <f t="shared" si="42"/>
        <v>E3_1_11_6_mRNA : 0</v>
      </c>
      <c r="J205" s="48" t="str">
        <f t="shared" si="43"/>
        <v>E3_1_11_6 : 0</v>
      </c>
      <c r="K205" s="49" t="str">
        <f t="shared" si="44"/>
        <v>0.00292 - (0.0093 * E3_1_11_6_mRNA)</v>
      </c>
      <c r="L205" s="50" t="str">
        <f t="shared" si="45"/>
        <v>(0.278 * E3_1_11_6_mRNA) - (0.00000278 * E3_1_11_6)</v>
      </c>
      <c r="M205" s="51" t="str">
        <f t="shared" si="46"/>
        <v>mRNA204: -&gt; E3_1_11_6_mRNA | 0.00292 - (0.0093 * E3_1_11_6_mRNA)</v>
      </c>
      <c r="N205" s="52" t="str">
        <f t="shared" si="47"/>
        <v>Peptide204: E3_1_11_6_mRNA -&gt; E3_1_11_6 | (0.278 * E3_1_11_6_mRNA) - (0.000000278 * E3_1_11_6)</v>
      </c>
    </row>
    <row r="206" spans="1:14" ht="16">
      <c r="A206" s="41">
        <v>205</v>
      </c>
      <c r="B206" s="42" t="s">
        <v>9107</v>
      </c>
      <c r="C206" s="41" t="str">
        <f t="shared" si="36"/>
        <v>E3_1_11_7_mRNA</v>
      </c>
      <c r="D206" s="41" t="str">
        <f t="shared" si="37"/>
        <v>E3_1_11_7</v>
      </c>
      <c r="E206" s="43" t="str">
        <f t="shared" si="38"/>
        <v>E3_1_11_7_kcat : 13.7</v>
      </c>
      <c r="F206" s="44" t="str">
        <f t="shared" si="39"/>
        <v>E3_1_11_7_km : 1</v>
      </c>
      <c r="G206" s="45" t="str">
        <f t="shared" si="40"/>
        <v>E3_1_11_7_mRNA : E3_1_11_7_mRNA</v>
      </c>
      <c r="H206" s="46" t="str">
        <f t="shared" si="41"/>
        <v>E3_1_11_7 : E3_1_11_7</v>
      </c>
      <c r="I206" s="47" t="str">
        <f t="shared" si="42"/>
        <v>E3_1_11_7_mRNA : 0</v>
      </c>
      <c r="J206" s="48" t="str">
        <f t="shared" si="43"/>
        <v>E3_1_11_7 : 0</v>
      </c>
      <c r="K206" s="49" t="str">
        <f t="shared" si="44"/>
        <v>0.00292 - (0.0093 * E3_1_11_7_mRNA)</v>
      </c>
      <c r="L206" s="50" t="str">
        <f t="shared" si="45"/>
        <v>(0.278 * E3_1_11_7_mRNA) - (0.00000278 * E3_1_11_7)</v>
      </c>
      <c r="M206" s="51" t="str">
        <f t="shared" si="46"/>
        <v>mRNA205: -&gt; E3_1_11_7_mRNA | 0.00292 - (0.0093 * E3_1_11_7_mRNA)</v>
      </c>
      <c r="N206" s="52" t="str">
        <f t="shared" si="47"/>
        <v>Peptide205: E3_1_11_7_mRNA -&gt; E3_1_11_7 | (0.278 * E3_1_11_7_mRNA) - (0.000000278 * E3_1_11_7)</v>
      </c>
    </row>
    <row r="207" spans="1:14" ht="16">
      <c r="A207" s="41">
        <v>206</v>
      </c>
      <c r="B207" s="42" t="s">
        <v>9108</v>
      </c>
      <c r="C207" s="41" t="str">
        <f t="shared" si="36"/>
        <v>E3_1_2_6_mRNA</v>
      </c>
      <c r="D207" s="41" t="str">
        <f t="shared" si="37"/>
        <v>E3_1_2_6</v>
      </c>
      <c r="E207" s="43" t="str">
        <f t="shared" si="38"/>
        <v>E3_1_2_6_kcat : 13.7</v>
      </c>
      <c r="F207" s="44" t="str">
        <f t="shared" si="39"/>
        <v>E3_1_2_6_km : 1</v>
      </c>
      <c r="G207" s="45" t="str">
        <f t="shared" si="40"/>
        <v>E3_1_2_6_mRNA : E3_1_2_6_mRNA</v>
      </c>
      <c r="H207" s="46" t="str">
        <f t="shared" si="41"/>
        <v>E3_1_2_6 : E3_1_2_6</v>
      </c>
      <c r="I207" s="47" t="str">
        <f t="shared" si="42"/>
        <v>E3_1_2_6_mRNA : 0</v>
      </c>
      <c r="J207" s="48" t="str">
        <f t="shared" si="43"/>
        <v>E3_1_2_6 : 0</v>
      </c>
      <c r="K207" s="49" t="str">
        <f t="shared" si="44"/>
        <v>0.00292 - (0.0093 * E3_1_2_6_mRNA)</v>
      </c>
      <c r="L207" s="50" t="str">
        <f t="shared" si="45"/>
        <v>(0.278 * E3_1_2_6_mRNA) - (0.00000278 * E3_1_2_6)</v>
      </c>
      <c r="M207" s="51" t="str">
        <f t="shared" si="46"/>
        <v>mRNA206: -&gt; E3_1_2_6_mRNA | 0.00292 - (0.0093 * E3_1_2_6_mRNA)</v>
      </c>
      <c r="N207" s="52" t="str">
        <f t="shared" si="47"/>
        <v>Peptide206: E3_1_2_6_mRNA -&gt; E3_1_2_6 | (0.278 * E3_1_2_6_mRNA) - (0.000000278 * E3_1_2_6)</v>
      </c>
    </row>
    <row r="208" spans="1:14" ht="16">
      <c r="A208" s="41">
        <v>207</v>
      </c>
      <c r="B208" s="42" t="s">
        <v>9109</v>
      </c>
      <c r="C208" s="41" t="str">
        <f t="shared" si="36"/>
        <v>E3_1_21_3_mRNA</v>
      </c>
      <c r="D208" s="41" t="str">
        <f t="shared" si="37"/>
        <v>E3_1_21_3</v>
      </c>
      <c r="E208" s="43" t="str">
        <f t="shared" si="38"/>
        <v>E3_1_21_3_kcat : 13.7</v>
      </c>
      <c r="F208" s="44" t="str">
        <f t="shared" si="39"/>
        <v>E3_1_21_3_km : 1</v>
      </c>
      <c r="G208" s="45" t="str">
        <f t="shared" si="40"/>
        <v>E3_1_21_3_mRNA : E3_1_21_3_mRNA</v>
      </c>
      <c r="H208" s="46" t="str">
        <f t="shared" si="41"/>
        <v>E3_1_21_3 : E3_1_21_3</v>
      </c>
      <c r="I208" s="47" t="str">
        <f t="shared" si="42"/>
        <v>E3_1_21_3_mRNA : 0</v>
      </c>
      <c r="J208" s="48" t="str">
        <f t="shared" si="43"/>
        <v>E3_1_21_3 : 0</v>
      </c>
      <c r="K208" s="49" t="str">
        <f t="shared" si="44"/>
        <v>0.00292 - (0.0093 * E3_1_21_3_mRNA)</v>
      </c>
      <c r="L208" s="50" t="str">
        <f t="shared" si="45"/>
        <v>(0.278 * E3_1_21_3_mRNA) - (0.00000278 * E3_1_21_3)</v>
      </c>
      <c r="M208" s="51" t="str">
        <f t="shared" si="46"/>
        <v>mRNA207: -&gt; E3_1_21_3_mRNA | 0.00292 - (0.0093 * E3_1_21_3_mRNA)</v>
      </c>
      <c r="N208" s="52" t="str">
        <f t="shared" si="47"/>
        <v>Peptide207: E3_1_21_3_mRNA -&gt; E3_1_21_3 | (0.278 * E3_1_21_3_mRNA) - (0.000000278 * E3_1_21_3)</v>
      </c>
    </row>
    <row r="209" spans="1:14" ht="16">
      <c r="A209" s="41">
        <v>208</v>
      </c>
      <c r="B209" s="42" t="s">
        <v>9110</v>
      </c>
      <c r="C209" s="41" t="str">
        <f t="shared" si="36"/>
        <v>E3_1_21_5_mRNA</v>
      </c>
      <c r="D209" s="41" t="str">
        <f t="shared" si="37"/>
        <v>E3_1_21_5</v>
      </c>
      <c r="E209" s="43" t="str">
        <f t="shared" si="38"/>
        <v>E3_1_21_5_kcat : 13.7</v>
      </c>
      <c r="F209" s="44" t="str">
        <f t="shared" si="39"/>
        <v>E3_1_21_5_km : 1</v>
      </c>
      <c r="G209" s="45" t="str">
        <f t="shared" si="40"/>
        <v>E3_1_21_5_mRNA : E3_1_21_5_mRNA</v>
      </c>
      <c r="H209" s="46" t="str">
        <f t="shared" si="41"/>
        <v>E3_1_21_5 : E3_1_21_5</v>
      </c>
      <c r="I209" s="47" t="str">
        <f t="shared" si="42"/>
        <v>E3_1_21_5_mRNA : 0</v>
      </c>
      <c r="J209" s="48" t="str">
        <f t="shared" si="43"/>
        <v>E3_1_21_5 : 0</v>
      </c>
      <c r="K209" s="49" t="str">
        <f t="shared" si="44"/>
        <v>0.00292 - (0.0093 * E3_1_21_5_mRNA)</v>
      </c>
      <c r="L209" s="50" t="str">
        <f t="shared" si="45"/>
        <v>(0.278 * E3_1_21_5_mRNA) - (0.00000278 * E3_1_21_5)</v>
      </c>
      <c r="M209" s="51" t="str">
        <f t="shared" si="46"/>
        <v>mRNA208: -&gt; E3_1_21_5_mRNA | 0.00292 - (0.0093 * E3_1_21_5_mRNA)</v>
      </c>
      <c r="N209" s="52" t="str">
        <f t="shared" si="47"/>
        <v>Peptide208: E3_1_21_5_mRNA -&gt; E3_1_21_5 | (0.278 * E3_1_21_5_mRNA) - (0.000000278 * E3_1_21_5)</v>
      </c>
    </row>
    <row r="210" spans="1:14" ht="16">
      <c r="A210" s="41">
        <v>209</v>
      </c>
      <c r="B210" s="42" t="s">
        <v>9111</v>
      </c>
      <c r="C210" s="41" t="str">
        <f t="shared" si="36"/>
        <v>E3_1_22_4_mRNA</v>
      </c>
      <c r="D210" s="41" t="str">
        <f t="shared" si="37"/>
        <v>E3_1_22_4</v>
      </c>
      <c r="E210" s="43" t="str">
        <f t="shared" si="38"/>
        <v>E3_1_22_4_kcat : 13.7</v>
      </c>
      <c r="F210" s="44" t="str">
        <f t="shared" si="39"/>
        <v>E3_1_22_4_km : 1</v>
      </c>
      <c r="G210" s="45" t="str">
        <f t="shared" si="40"/>
        <v>E3_1_22_4_mRNA : E3_1_22_4_mRNA</v>
      </c>
      <c r="H210" s="46" t="str">
        <f t="shared" si="41"/>
        <v>E3_1_22_4 : E3_1_22_4</v>
      </c>
      <c r="I210" s="47" t="str">
        <f t="shared" si="42"/>
        <v>E3_1_22_4_mRNA : 0</v>
      </c>
      <c r="J210" s="48" t="str">
        <f t="shared" si="43"/>
        <v>E3_1_22_4 : 0</v>
      </c>
      <c r="K210" s="49" t="str">
        <f t="shared" si="44"/>
        <v>0.00292 - (0.0093 * E3_1_22_4_mRNA)</v>
      </c>
      <c r="L210" s="50" t="str">
        <f t="shared" si="45"/>
        <v>(0.278 * E3_1_22_4_mRNA) - (0.00000278 * E3_1_22_4)</v>
      </c>
      <c r="M210" s="51" t="str">
        <f t="shared" si="46"/>
        <v>mRNA209: -&gt; E3_1_22_4_mRNA | 0.00292 - (0.0093 * E3_1_22_4_mRNA)</v>
      </c>
      <c r="N210" s="52" t="str">
        <f t="shared" si="47"/>
        <v>Peptide209: E3_1_22_4_mRNA -&gt; E3_1_22_4 | (0.278 * E3_1_22_4_mRNA) - (0.000000278 * E3_1_22_4)</v>
      </c>
    </row>
    <row r="211" spans="1:14" ht="16">
      <c r="A211" s="41">
        <v>210</v>
      </c>
      <c r="B211" s="42" t="s">
        <v>9112</v>
      </c>
      <c r="C211" s="41" t="str">
        <f t="shared" si="36"/>
        <v>E3_1_26_11_mRNA</v>
      </c>
      <c r="D211" s="41" t="str">
        <f t="shared" si="37"/>
        <v>E3_1_26_11</v>
      </c>
      <c r="E211" s="43" t="str">
        <f t="shared" si="38"/>
        <v>E3_1_26_11_kcat : 13.7</v>
      </c>
      <c r="F211" s="44" t="str">
        <f t="shared" si="39"/>
        <v>E3_1_26_11_km : 1</v>
      </c>
      <c r="G211" s="45" t="str">
        <f t="shared" si="40"/>
        <v>E3_1_26_11_mRNA : E3_1_26_11_mRNA</v>
      </c>
      <c r="H211" s="46" t="str">
        <f t="shared" si="41"/>
        <v>E3_1_26_11 : E3_1_26_11</v>
      </c>
      <c r="I211" s="47" t="str">
        <f t="shared" si="42"/>
        <v>E3_1_26_11_mRNA : 0</v>
      </c>
      <c r="J211" s="48" t="str">
        <f t="shared" si="43"/>
        <v>E3_1_26_11 : 0</v>
      </c>
      <c r="K211" s="49" t="str">
        <f t="shared" si="44"/>
        <v>0.00292 - (0.0093 * E3_1_26_11_mRNA)</v>
      </c>
      <c r="L211" s="50" t="str">
        <f t="shared" si="45"/>
        <v>(0.278 * E3_1_26_11_mRNA) - (0.00000278 * E3_1_26_11)</v>
      </c>
      <c r="M211" s="51" t="str">
        <f t="shared" si="46"/>
        <v>mRNA210: -&gt; E3_1_26_11_mRNA | 0.00292 - (0.0093 * E3_1_26_11_mRNA)</v>
      </c>
      <c r="N211" s="52" t="str">
        <f t="shared" si="47"/>
        <v>Peptide210: E3_1_26_11_mRNA -&gt; E3_1_26_11 | (0.278 * E3_1_26_11_mRNA) - (0.000000278 * E3_1_26_11)</v>
      </c>
    </row>
    <row r="212" spans="1:14" ht="16">
      <c r="A212" s="41">
        <v>211</v>
      </c>
      <c r="B212" s="42" t="s">
        <v>9113</v>
      </c>
      <c r="C212" s="41" t="str">
        <f t="shared" si="36"/>
        <v>E3_1_26_3_mRNA</v>
      </c>
      <c r="D212" s="41" t="str">
        <f t="shared" si="37"/>
        <v>E3_1_26_3</v>
      </c>
      <c r="E212" s="43" t="str">
        <f t="shared" si="38"/>
        <v>E3_1_26_3_kcat : 13.7</v>
      </c>
      <c r="F212" s="44" t="str">
        <f t="shared" si="39"/>
        <v>E3_1_26_3_km : 1</v>
      </c>
      <c r="G212" s="45" t="str">
        <f t="shared" si="40"/>
        <v>E3_1_26_3_mRNA : E3_1_26_3_mRNA</v>
      </c>
      <c r="H212" s="46" t="str">
        <f t="shared" si="41"/>
        <v>E3_1_26_3 : E3_1_26_3</v>
      </c>
      <c r="I212" s="47" t="str">
        <f t="shared" si="42"/>
        <v>E3_1_26_3_mRNA : 0</v>
      </c>
      <c r="J212" s="48" t="str">
        <f t="shared" si="43"/>
        <v>E3_1_26_3 : 0</v>
      </c>
      <c r="K212" s="49" t="str">
        <f t="shared" si="44"/>
        <v>0.00292 - (0.0093 * E3_1_26_3_mRNA)</v>
      </c>
      <c r="L212" s="50" t="str">
        <f t="shared" si="45"/>
        <v>(0.278 * E3_1_26_3_mRNA) - (0.00000278 * E3_1_26_3)</v>
      </c>
      <c r="M212" s="51" t="str">
        <f t="shared" si="46"/>
        <v>mRNA211: -&gt; E3_1_26_3_mRNA | 0.00292 - (0.0093 * E3_1_26_3_mRNA)</v>
      </c>
      <c r="N212" s="52" t="str">
        <f t="shared" si="47"/>
        <v>Peptide211: E3_1_26_3_mRNA -&gt; E3_1_26_3 | (0.278 * E3_1_26_3_mRNA) - (0.000000278 * E3_1_26_3)</v>
      </c>
    </row>
    <row r="213" spans="1:14" ht="16">
      <c r="A213" s="41">
        <v>212</v>
      </c>
      <c r="B213" s="42" t="s">
        <v>9114</v>
      </c>
      <c r="C213" s="41" t="str">
        <f t="shared" si="36"/>
        <v>E3_1_26_4_mRNA</v>
      </c>
      <c r="D213" s="41" t="str">
        <f t="shared" si="37"/>
        <v>E3_1_26_4</v>
      </c>
      <c r="E213" s="43" t="str">
        <f t="shared" si="38"/>
        <v>E3_1_26_4_kcat : 13.7</v>
      </c>
      <c r="F213" s="44" t="str">
        <f t="shared" si="39"/>
        <v>E3_1_26_4_km : 1</v>
      </c>
      <c r="G213" s="45" t="str">
        <f t="shared" si="40"/>
        <v>E3_1_26_4_mRNA : E3_1_26_4_mRNA</v>
      </c>
      <c r="H213" s="46" t="str">
        <f t="shared" si="41"/>
        <v>E3_1_26_4 : E3_1_26_4</v>
      </c>
      <c r="I213" s="47" t="str">
        <f t="shared" si="42"/>
        <v>E3_1_26_4_mRNA : 0</v>
      </c>
      <c r="J213" s="48" t="str">
        <f t="shared" si="43"/>
        <v>E3_1_26_4 : 0</v>
      </c>
      <c r="K213" s="49" t="str">
        <f t="shared" si="44"/>
        <v>0.00292 - (0.0093 * E3_1_26_4_mRNA)</v>
      </c>
      <c r="L213" s="50" t="str">
        <f t="shared" si="45"/>
        <v>(0.278 * E3_1_26_4_mRNA) - (0.00000278 * E3_1_26_4)</v>
      </c>
      <c r="M213" s="51" t="str">
        <f t="shared" si="46"/>
        <v>mRNA212: -&gt; E3_1_26_4_mRNA | 0.00292 - (0.0093 * E3_1_26_4_mRNA)</v>
      </c>
      <c r="N213" s="52" t="str">
        <f t="shared" si="47"/>
        <v>Peptide212: E3_1_26_4_mRNA -&gt; E3_1_26_4 | (0.278 * E3_1_26_4_mRNA) - (0.000000278 * E3_1_26_4)</v>
      </c>
    </row>
    <row r="214" spans="1:14" ht="16">
      <c r="A214" s="41">
        <v>213</v>
      </c>
      <c r="B214" s="42" t="s">
        <v>9115</v>
      </c>
      <c r="C214" s="41" t="str">
        <f t="shared" si="36"/>
        <v>E3_1_26_5_mRNA</v>
      </c>
      <c r="D214" s="41" t="str">
        <f t="shared" si="37"/>
        <v>E3_1_26_5</v>
      </c>
      <c r="E214" s="43" t="str">
        <f t="shared" si="38"/>
        <v>E3_1_26_5_kcat : 13.7</v>
      </c>
      <c r="F214" s="44" t="str">
        <f t="shared" si="39"/>
        <v>E3_1_26_5_km : 1</v>
      </c>
      <c r="G214" s="45" t="str">
        <f t="shared" si="40"/>
        <v>E3_1_26_5_mRNA : E3_1_26_5_mRNA</v>
      </c>
      <c r="H214" s="46" t="str">
        <f t="shared" si="41"/>
        <v>E3_1_26_5 : E3_1_26_5</v>
      </c>
      <c r="I214" s="47" t="str">
        <f t="shared" si="42"/>
        <v>E3_1_26_5_mRNA : 0</v>
      </c>
      <c r="J214" s="48" t="str">
        <f t="shared" si="43"/>
        <v>E3_1_26_5 : 0</v>
      </c>
      <c r="K214" s="49" t="str">
        <f t="shared" si="44"/>
        <v>0.00292 - (0.0093 * E3_1_26_5_mRNA)</v>
      </c>
      <c r="L214" s="50" t="str">
        <f t="shared" si="45"/>
        <v>(0.278 * E3_1_26_5_mRNA) - (0.00000278 * E3_1_26_5)</v>
      </c>
      <c r="M214" s="51" t="str">
        <f t="shared" si="46"/>
        <v>mRNA213: -&gt; E3_1_26_5_mRNA | 0.00292 - (0.0093 * E3_1_26_5_mRNA)</v>
      </c>
      <c r="N214" s="52" t="str">
        <f t="shared" si="47"/>
        <v>Peptide213: E3_1_26_5_mRNA -&gt; E3_1_26_5 | (0.278 * E3_1_26_5_mRNA) - (0.000000278 * E3_1_26_5)</v>
      </c>
    </row>
    <row r="215" spans="1:14" ht="16">
      <c r="A215" s="41">
        <v>214</v>
      </c>
      <c r="B215" s="42" t="s">
        <v>9116</v>
      </c>
      <c r="C215" s="41" t="str">
        <f t="shared" si="36"/>
        <v>E3_1_26_8_mRNA</v>
      </c>
      <c r="D215" s="41" t="str">
        <f t="shared" si="37"/>
        <v>E3_1_26_8</v>
      </c>
      <c r="E215" s="43" t="str">
        <f t="shared" si="38"/>
        <v>E3_1_26_8_kcat : 13.7</v>
      </c>
      <c r="F215" s="44" t="str">
        <f t="shared" si="39"/>
        <v>E3_1_26_8_km : 1</v>
      </c>
      <c r="G215" s="45" t="str">
        <f t="shared" si="40"/>
        <v>E3_1_26_8_mRNA : E3_1_26_8_mRNA</v>
      </c>
      <c r="H215" s="46" t="str">
        <f t="shared" si="41"/>
        <v>E3_1_26_8 : E3_1_26_8</v>
      </c>
      <c r="I215" s="47" t="str">
        <f t="shared" si="42"/>
        <v>E3_1_26_8_mRNA : 0</v>
      </c>
      <c r="J215" s="48" t="str">
        <f t="shared" si="43"/>
        <v>E3_1_26_8 : 0</v>
      </c>
      <c r="K215" s="49" t="str">
        <f t="shared" si="44"/>
        <v>0.00292 - (0.0093 * E3_1_26_8_mRNA)</v>
      </c>
      <c r="L215" s="50" t="str">
        <f t="shared" si="45"/>
        <v>(0.278 * E3_1_26_8_mRNA) - (0.00000278 * E3_1_26_8)</v>
      </c>
      <c r="M215" s="51" t="str">
        <f t="shared" si="46"/>
        <v>mRNA214: -&gt; E3_1_26_8_mRNA | 0.00292 - (0.0093 * E3_1_26_8_mRNA)</v>
      </c>
      <c r="N215" s="52" t="str">
        <f t="shared" si="47"/>
        <v>Peptide214: E3_1_26_8_mRNA -&gt; E3_1_26_8 | (0.278 * E3_1_26_8_mRNA) - (0.000000278 * E3_1_26_8)</v>
      </c>
    </row>
    <row r="216" spans="1:14" ht="16">
      <c r="A216" s="41">
        <v>215</v>
      </c>
      <c r="B216" s="42" t="s">
        <v>9117</v>
      </c>
      <c r="C216" s="41" t="str">
        <f t="shared" si="36"/>
        <v>E5_2_1_8_mRNA</v>
      </c>
      <c r="D216" s="41" t="str">
        <f t="shared" si="37"/>
        <v>E5_2_1_8</v>
      </c>
      <c r="E216" s="43" t="str">
        <f t="shared" si="38"/>
        <v>E5_2_1_8_kcat : 13.7</v>
      </c>
      <c r="F216" s="44" t="str">
        <f t="shared" si="39"/>
        <v>E5_2_1_8_km : 1</v>
      </c>
      <c r="G216" s="45" t="str">
        <f t="shared" si="40"/>
        <v>E5_2_1_8_mRNA : E5_2_1_8_mRNA</v>
      </c>
      <c r="H216" s="46" t="str">
        <f t="shared" si="41"/>
        <v>E5_2_1_8 : E5_2_1_8</v>
      </c>
      <c r="I216" s="47" t="str">
        <f t="shared" si="42"/>
        <v>E5_2_1_8_mRNA : 0</v>
      </c>
      <c r="J216" s="48" t="str">
        <f t="shared" si="43"/>
        <v>E5_2_1_8 : 0</v>
      </c>
      <c r="K216" s="49" t="str">
        <f t="shared" si="44"/>
        <v>0.00292 - (0.0093 * E5_2_1_8_mRNA)</v>
      </c>
      <c r="L216" s="50" t="str">
        <f t="shared" si="45"/>
        <v>(0.278 * E5_2_1_8_mRNA) - (0.00000278 * E5_2_1_8)</v>
      </c>
      <c r="M216" s="51" t="str">
        <f t="shared" si="46"/>
        <v>mRNA215: -&gt; E5_2_1_8_mRNA | 0.00292 - (0.0093 * E5_2_1_8_mRNA)</v>
      </c>
      <c r="N216" s="52" t="str">
        <f t="shared" si="47"/>
        <v>Peptide215: E5_2_1_8_mRNA -&gt; E5_2_1_8 | (0.278 * E5_2_1_8_mRNA) - (0.000000278 * E5_2_1_8)</v>
      </c>
    </row>
    <row r="217" spans="1:14" ht="16">
      <c r="A217" s="41">
        <v>216</v>
      </c>
      <c r="B217" s="42" t="s">
        <v>9118</v>
      </c>
      <c r="C217" s="41" t="str">
        <f t="shared" si="36"/>
        <v>E3_1_3_15_mRNA</v>
      </c>
      <c r="D217" s="41" t="str">
        <f t="shared" si="37"/>
        <v>E3_1_3_15</v>
      </c>
      <c r="E217" s="43" t="str">
        <f t="shared" si="38"/>
        <v>E3_1_3_15_kcat : 13.7</v>
      </c>
      <c r="F217" s="44" t="str">
        <f t="shared" si="39"/>
        <v>E3_1_3_15_km : 1</v>
      </c>
      <c r="G217" s="45" t="str">
        <f t="shared" si="40"/>
        <v>E3_1_3_15_mRNA : E3_1_3_15_mRNA</v>
      </c>
      <c r="H217" s="46" t="str">
        <f t="shared" si="41"/>
        <v>E3_1_3_15 : E3_1_3_15</v>
      </c>
      <c r="I217" s="47" t="str">
        <f t="shared" si="42"/>
        <v>E3_1_3_15_mRNA : 0</v>
      </c>
      <c r="J217" s="48" t="str">
        <f t="shared" si="43"/>
        <v>E3_1_3_15 : 0</v>
      </c>
      <c r="K217" s="49" t="str">
        <f t="shared" si="44"/>
        <v>0.00292 - (0.0093 * E3_1_3_15_mRNA)</v>
      </c>
      <c r="L217" s="50" t="str">
        <f t="shared" si="45"/>
        <v>(0.278 * E3_1_3_15_mRNA) - (0.00000278 * E3_1_3_15)</v>
      </c>
      <c r="M217" s="51" t="str">
        <f t="shared" si="46"/>
        <v>mRNA216: -&gt; E3_1_3_15_mRNA | 0.00292 - (0.0093 * E3_1_3_15_mRNA)</v>
      </c>
      <c r="N217" s="52" t="str">
        <f t="shared" si="47"/>
        <v>Peptide216: E3_1_3_15_mRNA -&gt; E3_1_3_15 | (0.278 * E3_1_3_15_mRNA) - (0.000000278 * E3_1_3_15)</v>
      </c>
    </row>
    <row r="218" spans="1:14" ht="16">
      <c r="A218" s="41">
        <v>217</v>
      </c>
      <c r="B218" s="42" t="s">
        <v>9119</v>
      </c>
      <c r="C218" s="41" t="str">
        <f t="shared" si="36"/>
        <v>E3_1_3_16_mRNA</v>
      </c>
      <c r="D218" s="41" t="str">
        <f t="shared" si="37"/>
        <v>E3_1_3_16</v>
      </c>
      <c r="E218" s="43" t="str">
        <f t="shared" si="38"/>
        <v>E3_1_3_16_kcat : 13.7</v>
      </c>
      <c r="F218" s="44" t="str">
        <f t="shared" si="39"/>
        <v>E3_1_3_16_km : 1</v>
      </c>
      <c r="G218" s="45" t="str">
        <f t="shared" si="40"/>
        <v>E3_1_3_16_mRNA : E3_1_3_16_mRNA</v>
      </c>
      <c r="H218" s="46" t="str">
        <f t="shared" si="41"/>
        <v>E3_1_3_16 : E3_1_3_16</v>
      </c>
      <c r="I218" s="47" t="str">
        <f t="shared" si="42"/>
        <v>E3_1_3_16_mRNA : 0</v>
      </c>
      <c r="J218" s="48" t="str">
        <f t="shared" si="43"/>
        <v>E3_1_3_16 : 0</v>
      </c>
      <c r="K218" s="49" t="str">
        <f t="shared" si="44"/>
        <v>0.00292 - (0.0093 * E3_1_3_16_mRNA)</v>
      </c>
      <c r="L218" s="50" t="str">
        <f t="shared" si="45"/>
        <v>(0.278 * E3_1_3_16_mRNA) - (0.00000278 * E3_1_3_16)</v>
      </c>
      <c r="M218" s="51" t="str">
        <f t="shared" si="46"/>
        <v>mRNA217: -&gt; E3_1_3_16_mRNA | 0.00292 - (0.0093 * E3_1_3_16_mRNA)</v>
      </c>
      <c r="N218" s="52" t="str">
        <f t="shared" si="47"/>
        <v>Peptide217: E3_1_3_16_mRNA -&gt; E3_1_3_16 | (0.278 * E3_1_3_16_mRNA) - (0.000000278 * E3_1_3_16)</v>
      </c>
    </row>
    <row r="219" spans="1:14" ht="16">
      <c r="A219" s="41">
        <v>218</v>
      </c>
      <c r="B219" s="42" t="s">
        <v>9120</v>
      </c>
      <c r="C219" s="41" t="str">
        <f t="shared" si="36"/>
        <v>E3_1_3_18_mRNA</v>
      </c>
      <c r="D219" s="41" t="str">
        <f t="shared" si="37"/>
        <v>E3_1_3_18</v>
      </c>
      <c r="E219" s="43" t="str">
        <f t="shared" si="38"/>
        <v>E3_1_3_18_kcat : 13.7</v>
      </c>
      <c r="F219" s="44" t="str">
        <f t="shared" si="39"/>
        <v>E3_1_3_18_km : 1</v>
      </c>
      <c r="G219" s="45" t="str">
        <f t="shared" si="40"/>
        <v>E3_1_3_18_mRNA : E3_1_3_18_mRNA</v>
      </c>
      <c r="H219" s="46" t="str">
        <f t="shared" si="41"/>
        <v>E3_1_3_18 : E3_1_3_18</v>
      </c>
      <c r="I219" s="47" t="str">
        <f t="shared" si="42"/>
        <v>E3_1_3_18_mRNA : 0</v>
      </c>
      <c r="J219" s="48" t="str">
        <f t="shared" si="43"/>
        <v>E3_1_3_18 : 0</v>
      </c>
      <c r="K219" s="49" t="str">
        <f t="shared" si="44"/>
        <v>0.00292 - (0.0093 * E3_1_3_18_mRNA)</v>
      </c>
      <c r="L219" s="50" t="str">
        <f t="shared" si="45"/>
        <v>(0.278 * E3_1_3_18_mRNA) - (0.00000278 * E3_1_3_18)</v>
      </c>
      <c r="M219" s="51" t="str">
        <f t="shared" si="46"/>
        <v>mRNA218: -&gt; E3_1_3_18_mRNA | 0.00292 - (0.0093 * E3_1_3_18_mRNA)</v>
      </c>
      <c r="N219" s="52" t="str">
        <f t="shared" si="47"/>
        <v>Peptide218: E3_1_3_18_mRNA -&gt; E3_1_3_18 | (0.278 * E3_1_3_18_mRNA) - (0.000000278 * E3_1_3_18)</v>
      </c>
    </row>
    <row r="220" spans="1:14" ht="16">
      <c r="A220" s="41">
        <v>219</v>
      </c>
      <c r="B220" s="42" t="s">
        <v>9121</v>
      </c>
      <c r="C220" s="41" t="str">
        <f t="shared" si="36"/>
        <v>E3_1_3_25_mRNA</v>
      </c>
      <c r="D220" s="41" t="str">
        <f t="shared" si="37"/>
        <v>E3_1_3_25</v>
      </c>
      <c r="E220" s="43" t="str">
        <f t="shared" si="38"/>
        <v>E3_1_3_25_kcat : 13.7</v>
      </c>
      <c r="F220" s="44" t="str">
        <f t="shared" si="39"/>
        <v>E3_1_3_25_km : 1</v>
      </c>
      <c r="G220" s="45" t="str">
        <f t="shared" si="40"/>
        <v>E3_1_3_25_mRNA : E3_1_3_25_mRNA</v>
      </c>
      <c r="H220" s="46" t="str">
        <f t="shared" si="41"/>
        <v>E3_1_3_25 : E3_1_3_25</v>
      </c>
      <c r="I220" s="47" t="str">
        <f t="shared" si="42"/>
        <v>E3_1_3_25_mRNA : 0</v>
      </c>
      <c r="J220" s="48" t="str">
        <f t="shared" si="43"/>
        <v>E3_1_3_25 : 0</v>
      </c>
      <c r="K220" s="49" t="str">
        <f t="shared" si="44"/>
        <v>0.00292 - (0.0093 * E3_1_3_25_mRNA)</v>
      </c>
      <c r="L220" s="50" t="str">
        <f t="shared" si="45"/>
        <v>(0.278 * E3_1_3_25_mRNA) - (0.00000278 * E3_1_3_25)</v>
      </c>
      <c r="M220" s="51" t="str">
        <f t="shared" si="46"/>
        <v>mRNA219: -&gt; E3_1_3_25_mRNA | 0.00292 - (0.0093 * E3_1_3_25_mRNA)</v>
      </c>
      <c r="N220" s="52" t="str">
        <f t="shared" si="47"/>
        <v>Peptide219: E3_1_3_25_mRNA -&gt; E3_1_3_25 | (0.278 * E3_1_3_25_mRNA) - (0.000000278 * E3_1_3_25)</v>
      </c>
    </row>
    <row r="221" spans="1:14" ht="16">
      <c r="A221" s="41">
        <v>220</v>
      </c>
      <c r="B221" s="42" t="s">
        <v>9122</v>
      </c>
      <c r="C221" s="41" t="str">
        <f t="shared" si="36"/>
        <v>E3_1_3_27_mRNA</v>
      </c>
      <c r="D221" s="41" t="str">
        <f t="shared" si="37"/>
        <v>E3_1_3_27</v>
      </c>
      <c r="E221" s="43" t="str">
        <f t="shared" si="38"/>
        <v>E3_1_3_27_kcat : 13.7</v>
      </c>
      <c r="F221" s="44" t="str">
        <f t="shared" si="39"/>
        <v>E3_1_3_27_km : 1</v>
      </c>
      <c r="G221" s="45" t="str">
        <f t="shared" si="40"/>
        <v>E3_1_3_27_mRNA : E3_1_3_27_mRNA</v>
      </c>
      <c r="H221" s="46" t="str">
        <f t="shared" si="41"/>
        <v>E3_1_3_27 : E3_1_3_27</v>
      </c>
      <c r="I221" s="47" t="str">
        <f t="shared" si="42"/>
        <v>E3_1_3_27_mRNA : 0</v>
      </c>
      <c r="J221" s="48" t="str">
        <f t="shared" si="43"/>
        <v>E3_1_3_27 : 0</v>
      </c>
      <c r="K221" s="49" t="str">
        <f t="shared" si="44"/>
        <v>0.00292 - (0.0093 * E3_1_3_27_mRNA)</v>
      </c>
      <c r="L221" s="50" t="str">
        <f t="shared" si="45"/>
        <v>(0.278 * E3_1_3_27_mRNA) - (0.00000278 * E3_1_3_27)</v>
      </c>
      <c r="M221" s="51" t="str">
        <f t="shared" si="46"/>
        <v>mRNA220: -&gt; E3_1_3_27_mRNA | 0.00292 - (0.0093 * E3_1_3_27_mRNA)</v>
      </c>
      <c r="N221" s="52" t="str">
        <f t="shared" si="47"/>
        <v>Peptide220: E3_1_3_27_mRNA -&gt; E3_1_3_27 | (0.278 * E3_1_3_27_mRNA) - (0.000000278 * E3_1_3_27)</v>
      </c>
    </row>
    <row r="222" spans="1:14" ht="16">
      <c r="A222" s="41">
        <v>221</v>
      </c>
      <c r="B222" s="42" t="s">
        <v>9123</v>
      </c>
      <c r="C222" s="41" t="str">
        <f t="shared" si="36"/>
        <v>E3_1_3_3_mRNA</v>
      </c>
      <c r="D222" s="41" t="str">
        <f t="shared" si="37"/>
        <v>E3_1_3_3</v>
      </c>
      <c r="E222" s="43" t="str">
        <f t="shared" si="38"/>
        <v>E3_1_3_3_kcat : 13.7</v>
      </c>
      <c r="F222" s="44" t="str">
        <f t="shared" si="39"/>
        <v>E3_1_3_3_km : 1</v>
      </c>
      <c r="G222" s="45" t="str">
        <f t="shared" si="40"/>
        <v>E3_1_3_3_mRNA : E3_1_3_3_mRNA</v>
      </c>
      <c r="H222" s="46" t="str">
        <f t="shared" si="41"/>
        <v>E3_1_3_3 : E3_1_3_3</v>
      </c>
      <c r="I222" s="47" t="str">
        <f t="shared" si="42"/>
        <v>E3_1_3_3_mRNA : 0</v>
      </c>
      <c r="J222" s="48" t="str">
        <f t="shared" si="43"/>
        <v>E3_1_3_3 : 0</v>
      </c>
      <c r="K222" s="49" t="str">
        <f t="shared" si="44"/>
        <v>0.00292 - (0.0093 * E3_1_3_3_mRNA)</v>
      </c>
      <c r="L222" s="50" t="str">
        <f t="shared" si="45"/>
        <v>(0.278 * E3_1_3_3_mRNA) - (0.00000278 * E3_1_3_3)</v>
      </c>
      <c r="M222" s="51" t="str">
        <f t="shared" si="46"/>
        <v>mRNA221: -&gt; E3_1_3_3_mRNA | 0.00292 - (0.0093 * E3_1_3_3_mRNA)</v>
      </c>
      <c r="N222" s="52" t="str">
        <f t="shared" si="47"/>
        <v>Peptide221: E3_1_3_3_mRNA -&gt; E3_1_3_3 | (0.278 * E3_1_3_3_mRNA) - (0.000000278 * E3_1_3_3)</v>
      </c>
    </row>
    <row r="223" spans="1:14" ht="16">
      <c r="A223" s="41">
        <v>222</v>
      </c>
      <c r="B223" s="42" t="s">
        <v>9124</v>
      </c>
      <c r="C223" s="41" t="str">
        <f t="shared" si="36"/>
        <v>E3_1_3_48_mRNA</v>
      </c>
      <c r="D223" s="41" t="str">
        <f t="shared" si="37"/>
        <v>E3_1_3_48</v>
      </c>
      <c r="E223" s="43" t="str">
        <f t="shared" si="38"/>
        <v>E3_1_3_48_kcat : 13.7</v>
      </c>
      <c r="F223" s="44" t="str">
        <f t="shared" si="39"/>
        <v>E3_1_3_48_km : 1</v>
      </c>
      <c r="G223" s="45" t="str">
        <f t="shared" si="40"/>
        <v>E3_1_3_48_mRNA : E3_1_3_48_mRNA</v>
      </c>
      <c r="H223" s="46" t="str">
        <f t="shared" si="41"/>
        <v>E3_1_3_48 : E3_1_3_48</v>
      </c>
      <c r="I223" s="47" t="str">
        <f t="shared" si="42"/>
        <v>E3_1_3_48_mRNA : 0</v>
      </c>
      <c r="J223" s="48" t="str">
        <f t="shared" si="43"/>
        <v>E3_1_3_48 : 0</v>
      </c>
      <c r="K223" s="49" t="str">
        <f t="shared" si="44"/>
        <v>0.00292 - (0.0093 * E3_1_3_48_mRNA)</v>
      </c>
      <c r="L223" s="50" t="str">
        <f t="shared" si="45"/>
        <v>(0.278 * E3_1_3_48_mRNA) - (0.00000278 * E3_1_3_48)</v>
      </c>
      <c r="M223" s="51" t="str">
        <f t="shared" si="46"/>
        <v>mRNA222: -&gt; E3_1_3_48_mRNA | 0.00292 - (0.0093 * E3_1_3_48_mRNA)</v>
      </c>
      <c r="N223" s="52" t="str">
        <f t="shared" si="47"/>
        <v>Peptide222: E3_1_3_48_mRNA -&gt; E3_1_3_48 | (0.278 * E3_1_3_48_mRNA) - (0.000000278 * E3_1_3_48)</v>
      </c>
    </row>
    <row r="224" spans="1:14" ht="16">
      <c r="A224" s="41">
        <v>223</v>
      </c>
      <c r="B224" s="42" t="s">
        <v>9125</v>
      </c>
      <c r="C224" s="41" t="str">
        <f t="shared" si="36"/>
        <v>E3_1_3_5_mRNA</v>
      </c>
      <c r="D224" s="41" t="str">
        <f t="shared" si="37"/>
        <v>E3_1_3_5</v>
      </c>
      <c r="E224" s="43" t="str">
        <f t="shared" si="38"/>
        <v>E3_1_3_5_kcat : 13.7</v>
      </c>
      <c r="F224" s="44" t="str">
        <f t="shared" si="39"/>
        <v>E3_1_3_5_km : 1</v>
      </c>
      <c r="G224" s="45" t="str">
        <f t="shared" si="40"/>
        <v>E3_1_3_5_mRNA : E3_1_3_5_mRNA</v>
      </c>
      <c r="H224" s="46" t="str">
        <f t="shared" si="41"/>
        <v>E3_1_3_5 : E3_1_3_5</v>
      </c>
      <c r="I224" s="47" t="str">
        <f t="shared" si="42"/>
        <v>E3_1_3_5_mRNA : 0</v>
      </c>
      <c r="J224" s="48" t="str">
        <f t="shared" si="43"/>
        <v>E3_1_3_5 : 0</v>
      </c>
      <c r="K224" s="49" t="str">
        <f t="shared" si="44"/>
        <v>0.00292 - (0.0093 * E3_1_3_5_mRNA)</v>
      </c>
      <c r="L224" s="50" t="str">
        <f t="shared" si="45"/>
        <v>(0.278 * E3_1_3_5_mRNA) - (0.00000278 * E3_1_3_5)</v>
      </c>
      <c r="M224" s="51" t="str">
        <f t="shared" si="46"/>
        <v>mRNA223: -&gt; E3_1_3_5_mRNA | 0.00292 - (0.0093 * E3_1_3_5_mRNA)</v>
      </c>
      <c r="N224" s="52" t="str">
        <f t="shared" si="47"/>
        <v>Peptide223: E3_1_3_5_mRNA -&gt; E3_1_3_5 | (0.278 * E3_1_3_5_mRNA) - (0.000000278 * E3_1_3_5)</v>
      </c>
    </row>
    <row r="225" spans="1:14" ht="16">
      <c r="A225" s="41">
        <v>224</v>
      </c>
      <c r="B225" s="42" t="s">
        <v>9126</v>
      </c>
      <c r="C225" s="41" t="str">
        <f t="shared" si="36"/>
        <v>E3_1_3_90_mRNA</v>
      </c>
      <c r="D225" s="41" t="str">
        <f t="shared" si="37"/>
        <v>E3_1_3_90</v>
      </c>
      <c r="E225" s="43" t="str">
        <f t="shared" si="38"/>
        <v>E3_1_3_90_kcat : 13.7</v>
      </c>
      <c r="F225" s="44" t="str">
        <f t="shared" si="39"/>
        <v>E3_1_3_90_km : 1</v>
      </c>
      <c r="G225" s="45" t="str">
        <f t="shared" si="40"/>
        <v>E3_1_3_90_mRNA : E3_1_3_90_mRNA</v>
      </c>
      <c r="H225" s="46" t="str">
        <f t="shared" si="41"/>
        <v>E3_1_3_90 : E3_1_3_90</v>
      </c>
      <c r="I225" s="47" t="str">
        <f t="shared" si="42"/>
        <v>E3_1_3_90_mRNA : 0</v>
      </c>
      <c r="J225" s="48" t="str">
        <f t="shared" si="43"/>
        <v>E3_1_3_90 : 0</v>
      </c>
      <c r="K225" s="49" t="str">
        <f t="shared" si="44"/>
        <v>0.00292 - (0.0093 * E3_1_3_90_mRNA)</v>
      </c>
      <c r="L225" s="50" t="str">
        <f t="shared" si="45"/>
        <v>(0.278 * E3_1_3_90_mRNA) - (0.00000278 * E3_1_3_90)</v>
      </c>
      <c r="M225" s="51" t="str">
        <f t="shared" si="46"/>
        <v>mRNA224: -&gt; E3_1_3_90_mRNA | 0.00292 - (0.0093 * E3_1_3_90_mRNA)</v>
      </c>
      <c r="N225" s="52" t="str">
        <f t="shared" si="47"/>
        <v>Peptide224: E3_1_3_90_mRNA -&gt; E3_1_3_90 | (0.278 * E3_1_3_90_mRNA) - (0.000000278 * E3_1_3_90)</v>
      </c>
    </row>
    <row r="226" spans="1:14" ht="16">
      <c r="A226" s="41">
        <v>225</v>
      </c>
      <c r="B226" s="42" t="s">
        <v>9127</v>
      </c>
      <c r="C226" s="41" t="str">
        <f t="shared" si="36"/>
        <v>E3_1_7_1_mRNA</v>
      </c>
      <c r="D226" s="41" t="str">
        <f t="shared" si="37"/>
        <v>E3_1_7_1</v>
      </c>
      <c r="E226" s="43" t="str">
        <f t="shared" si="38"/>
        <v>E3_1_7_1_kcat : 13.7</v>
      </c>
      <c r="F226" s="44" t="str">
        <f t="shared" si="39"/>
        <v>E3_1_7_1_km : 1</v>
      </c>
      <c r="G226" s="45" t="str">
        <f t="shared" si="40"/>
        <v>E3_1_7_1_mRNA : E3_1_7_1_mRNA</v>
      </c>
      <c r="H226" s="46" t="str">
        <f t="shared" si="41"/>
        <v>E3_1_7_1 : E3_1_7_1</v>
      </c>
      <c r="I226" s="47" t="str">
        <f t="shared" si="42"/>
        <v>E3_1_7_1_mRNA : 0</v>
      </c>
      <c r="J226" s="48" t="str">
        <f t="shared" si="43"/>
        <v>E3_1_7_1 : 0</v>
      </c>
      <c r="K226" s="49" t="str">
        <f t="shared" si="44"/>
        <v>0.00292 - (0.0093 * E3_1_7_1_mRNA)</v>
      </c>
      <c r="L226" s="50" t="str">
        <f t="shared" si="45"/>
        <v>(0.278 * E3_1_7_1_mRNA) - (0.00000278 * E3_1_7_1)</v>
      </c>
      <c r="M226" s="51" t="str">
        <f t="shared" si="46"/>
        <v>mRNA225: -&gt; E3_1_7_1_mRNA | 0.00292 - (0.0093 * E3_1_7_1_mRNA)</v>
      </c>
      <c r="N226" s="52" t="str">
        <f t="shared" si="47"/>
        <v>Peptide225: E3_1_7_1_mRNA -&gt; E3_1_7_1 | (0.278 * E3_1_7_1_mRNA) - (0.000000278 * E3_1_7_1)</v>
      </c>
    </row>
    <row r="227" spans="1:14" ht="16">
      <c r="A227" s="41">
        <v>226</v>
      </c>
      <c r="B227" s="42" t="s">
        <v>9128</v>
      </c>
      <c r="C227" s="41" t="str">
        <f t="shared" si="36"/>
        <v>E3_6_1_13_mRNA</v>
      </c>
      <c r="D227" s="41" t="str">
        <f t="shared" si="37"/>
        <v>E3_6_1_13</v>
      </c>
      <c r="E227" s="43" t="str">
        <f t="shared" si="38"/>
        <v>E3_6_1_13_kcat : 13.7</v>
      </c>
      <c r="F227" s="44" t="str">
        <f t="shared" si="39"/>
        <v>E3_6_1_13_km : 1</v>
      </c>
      <c r="G227" s="45" t="str">
        <f t="shared" si="40"/>
        <v>E3_6_1_13_mRNA : E3_6_1_13_mRNA</v>
      </c>
      <c r="H227" s="46" t="str">
        <f t="shared" si="41"/>
        <v>E3_6_1_13 : E3_6_1_13</v>
      </c>
      <c r="I227" s="47" t="str">
        <f t="shared" si="42"/>
        <v>E3_6_1_13_mRNA : 0</v>
      </c>
      <c r="J227" s="48" t="str">
        <f t="shared" si="43"/>
        <v>E3_6_1_13 : 0</v>
      </c>
      <c r="K227" s="49" t="str">
        <f t="shared" si="44"/>
        <v>0.00292 - (0.0093 * E3_6_1_13_mRNA)</v>
      </c>
      <c r="L227" s="50" t="str">
        <f t="shared" si="45"/>
        <v>(0.278 * E3_6_1_13_mRNA) - (0.00000278 * E3_6_1_13)</v>
      </c>
      <c r="M227" s="51" t="str">
        <f t="shared" si="46"/>
        <v>mRNA226: -&gt; E3_6_1_13_mRNA | 0.00292 - (0.0093 * E3_6_1_13_mRNA)</v>
      </c>
      <c r="N227" s="52" t="str">
        <f t="shared" si="47"/>
        <v>Peptide226: E3_6_1_13_mRNA -&gt; E3_6_1_13 | (0.278 * E3_6_1_13_mRNA) - (0.000000278 * E3_6_1_13)</v>
      </c>
    </row>
    <row r="228" spans="1:14" ht="16">
      <c r="A228" s="41">
        <v>227</v>
      </c>
      <c r="B228" s="42" t="s">
        <v>9129</v>
      </c>
      <c r="C228" s="41" t="str">
        <f t="shared" si="36"/>
        <v>E3_2_1_1_mRNA</v>
      </c>
      <c r="D228" s="41" t="str">
        <f t="shared" si="37"/>
        <v>E3_2_1_1</v>
      </c>
      <c r="E228" s="43" t="str">
        <f t="shared" si="38"/>
        <v>E3_2_1_1_kcat : 13.7</v>
      </c>
      <c r="F228" s="44" t="str">
        <f t="shared" si="39"/>
        <v>E3_2_1_1_km : 1</v>
      </c>
      <c r="G228" s="45" t="str">
        <f t="shared" si="40"/>
        <v>E3_2_1_1_mRNA : E3_2_1_1_mRNA</v>
      </c>
      <c r="H228" s="46" t="str">
        <f t="shared" si="41"/>
        <v>E3_2_1_1 : E3_2_1_1</v>
      </c>
      <c r="I228" s="47" t="str">
        <f t="shared" si="42"/>
        <v>E3_2_1_1_mRNA : 0</v>
      </c>
      <c r="J228" s="48" t="str">
        <f t="shared" si="43"/>
        <v>E3_2_1_1 : 0</v>
      </c>
      <c r="K228" s="49" t="str">
        <f t="shared" si="44"/>
        <v>0.00292 - (0.0093 * E3_2_1_1_mRNA)</v>
      </c>
      <c r="L228" s="50" t="str">
        <f t="shared" si="45"/>
        <v>(0.278 * E3_2_1_1_mRNA) - (0.00000278 * E3_2_1_1)</v>
      </c>
      <c r="M228" s="51" t="str">
        <f t="shared" si="46"/>
        <v>mRNA227: -&gt; E3_2_1_1_mRNA | 0.00292 - (0.0093 * E3_2_1_1_mRNA)</v>
      </c>
      <c r="N228" s="52" t="str">
        <f t="shared" si="47"/>
        <v>Peptide227: E3_2_1_1_mRNA -&gt; E3_2_1_1 | (0.278 * E3_2_1_1_mRNA) - (0.000000278 * E3_2_1_1)</v>
      </c>
    </row>
    <row r="229" spans="1:14" ht="16">
      <c r="A229" s="41">
        <v>228</v>
      </c>
      <c r="B229" s="42" t="s">
        <v>9130</v>
      </c>
      <c r="C229" s="41" t="str">
        <f t="shared" si="36"/>
        <v>E3_2_1_11_mRNA</v>
      </c>
      <c r="D229" s="41" t="str">
        <f t="shared" si="37"/>
        <v>E3_2_1_11</v>
      </c>
      <c r="E229" s="43" t="str">
        <f t="shared" si="38"/>
        <v>E3_2_1_11_kcat : 13.7</v>
      </c>
      <c r="F229" s="44" t="str">
        <f t="shared" si="39"/>
        <v>E3_2_1_11_km : 1</v>
      </c>
      <c r="G229" s="45" t="str">
        <f t="shared" si="40"/>
        <v>E3_2_1_11_mRNA : E3_2_1_11_mRNA</v>
      </c>
      <c r="H229" s="46" t="str">
        <f t="shared" si="41"/>
        <v>E3_2_1_11 : E3_2_1_11</v>
      </c>
      <c r="I229" s="47" t="str">
        <f t="shared" si="42"/>
        <v>E3_2_1_11_mRNA : 0</v>
      </c>
      <c r="J229" s="48" t="str">
        <f t="shared" si="43"/>
        <v>E3_2_1_11 : 0</v>
      </c>
      <c r="K229" s="49" t="str">
        <f t="shared" si="44"/>
        <v>0.00292 - (0.0093 * E3_2_1_11_mRNA)</v>
      </c>
      <c r="L229" s="50" t="str">
        <f t="shared" si="45"/>
        <v>(0.278 * E3_2_1_11_mRNA) - (0.00000278 * E3_2_1_11)</v>
      </c>
      <c r="M229" s="51" t="str">
        <f t="shared" si="46"/>
        <v>mRNA228: -&gt; E3_2_1_11_mRNA | 0.00292 - (0.0093 * E3_2_1_11_mRNA)</v>
      </c>
      <c r="N229" s="52" t="str">
        <f t="shared" si="47"/>
        <v>Peptide228: E3_2_1_11_mRNA -&gt; E3_2_1_11 | (0.278 * E3_2_1_11_mRNA) - (0.000000278 * E3_2_1_11)</v>
      </c>
    </row>
    <row r="230" spans="1:14" ht="16">
      <c r="A230" s="41">
        <v>229</v>
      </c>
      <c r="B230" s="42" t="s">
        <v>9131</v>
      </c>
      <c r="C230" s="41" t="str">
        <f t="shared" si="36"/>
        <v>E3_2_1_23_mRNA</v>
      </c>
      <c r="D230" s="41" t="str">
        <f t="shared" si="37"/>
        <v>E3_2_1_23</v>
      </c>
      <c r="E230" s="43" t="str">
        <f t="shared" si="38"/>
        <v>E3_2_1_23_kcat : 13.7</v>
      </c>
      <c r="F230" s="44" t="str">
        <f t="shared" si="39"/>
        <v>E3_2_1_23_km : 1</v>
      </c>
      <c r="G230" s="45" t="str">
        <f t="shared" si="40"/>
        <v>E3_2_1_23_mRNA : E3_2_1_23_mRNA</v>
      </c>
      <c r="H230" s="46" t="str">
        <f t="shared" si="41"/>
        <v>E3_2_1_23 : E3_2_1_23</v>
      </c>
      <c r="I230" s="47" t="str">
        <f t="shared" si="42"/>
        <v>E3_2_1_23_mRNA : 0</v>
      </c>
      <c r="J230" s="48" t="str">
        <f t="shared" si="43"/>
        <v>E3_2_1_23 : 0</v>
      </c>
      <c r="K230" s="49" t="str">
        <f t="shared" si="44"/>
        <v>0.00292 - (0.0093 * E3_2_1_23_mRNA)</v>
      </c>
      <c r="L230" s="50" t="str">
        <f t="shared" si="45"/>
        <v>(0.278 * E3_2_1_23_mRNA) - (0.00000278 * E3_2_1_23)</v>
      </c>
      <c r="M230" s="51" t="str">
        <f t="shared" si="46"/>
        <v>mRNA229: -&gt; E3_2_1_23_mRNA | 0.00292 - (0.0093 * E3_2_1_23_mRNA)</v>
      </c>
      <c r="N230" s="52" t="str">
        <f t="shared" si="47"/>
        <v>Peptide229: E3_2_1_23_mRNA -&gt; E3_2_1_23 | (0.278 * E3_2_1_23_mRNA) - (0.000000278 * E3_2_1_23)</v>
      </c>
    </row>
    <row r="231" spans="1:14" ht="16">
      <c r="A231" s="41">
        <v>230</v>
      </c>
      <c r="B231" s="42" t="s">
        <v>9132</v>
      </c>
      <c r="C231" s="41" t="str">
        <f t="shared" si="36"/>
        <v>E3_2_1_26_mRNA</v>
      </c>
      <c r="D231" s="41" t="str">
        <f t="shared" si="37"/>
        <v>E3_2_1_26</v>
      </c>
      <c r="E231" s="43" t="str">
        <f t="shared" si="38"/>
        <v>E3_2_1_26_kcat : 13.7</v>
      </c>
      <c r="F231" s="44" t="str">
        <f t="shared" si="39"/>
        <v>E3_2_1_26_km : 1</v>
      </c>
      <c r="G231" s="45" t="str">
        <f t="shared" si="40"/>
        <v>E3_2_1_26_mRNA : E3_2_1_26_mRNA</v>
      </c>
      <c r="H231" s="46" t="str">
        <f t="shared" si="41"/>
        <v>E3_2_1_26 : E3_2_1_26</v>
      </c>
      <c r="I231" s="47" t="str">
        <f t="shared" si="42"/>
        <v>E3_2_1_26_mRNA : 0</v>
      </c>
      <c r="J231" s="48" t="str">
        <f t="shared" si="43"/>
        <v>E3_2_1_26 : 0</v>
      </c>
      <c r="K231" s="49" t="str">
        <f t="shared" si="44"/>
        <v>0.00292 - (0.0093 * E3_2_1_26_mRNA)</v>
      </c>
      <c r="L231" s="50" t="str">
        <f t="shared" si="45"/>
        <v>(0.278 * E3_2_1_26_mRNA) - (0.00000278 * E3_2_1_26)</v>
      </c>
      <c r="M231" s="51" t="str">
        <f t="shared" si="46"/>
        <v>mRNA230: -&gt; E3_2_1_26_mRNA | 0.00292 - (0.0093 * E3_2_1_26_mRNA)</v>
      </c>
      <c r="N231" s="52" t="str">
        <f t="shared" si="47"/>
        <v>Peptide230: E3_2_1_26_mRNA -&gt; E3_2_1_26 | (0.278 * E3_2_1_26_mRNA) - (0.000000278 * E3_2_1_26)</v>
      </c>
    </row>
    <row r="232" spans="1:14" ht="16">
      <c r="A232" s="41">
        <v>231</v>
      </c>
      <c r="B232" s="42" t="s">
        <v>9133</v>
      </c>
      <c r="C232" s="41" t="str">
        <f t="shared" si="36"/>
        <v>E3_2_2_20_mRNA</v>
      </c>
      <c r="D232" s="41" t="str">
        <f t="shared" si="37"/>
        <v>E3_2_2_20</v>
      </c>
      <c r="E232" s="43" t="str">
        <f t="shared" si="38"/>
        <v>E3_2_2_20_kcat : 13.7</v>
      </c>
      <c r="F232" s="44" t="str">
        <f t="shared" si="39"/>
        <v>E3_2_2_20_km : 1</v>
      </c>
      <c r="G232" s="45" t="str">
        <f t="shared" si="40"/>
        <v>E3_2_2_20_mRNA : E3_2_2_20_mRNA</v>
      </c>
      <c r="H232" s="46" t="str">
        <f t="shared" si="41"/>
        <v>E3_2_2_20 : E3_2_2_20</v>
      </c>
      <c r="I232" s="47" t="str">
        <f t="shared" si="42"/>
        <v>E3_2_2_20_mRNA : 0</v>
      </c>
      <c r="J232" s="48" t="str">
        <f t="shared" si="43"/>
        <v>E3_2_2_20 : 0</v>
      </c>
      <c r="K232" s="49" t="str">
        <f t="shared" si="44"/>
        <v>0.00292 - (0.0093 * E3_2_2_20_mRNA)</v>
      </c>
      <c r="L232" s="50" t="str">
        <f t="shared" si="45"/>
        <v>(0.278 * E3_2_2_20_mRNA) - (0.00000278 * E3_2_2_20)</v>
      </c>
      <c r="M232" s="51" t="str">
        <f t="shared" si="46"/>
        <v>mRNA231: -&gt; E3_2_2_20_mRNA | 0.00292 - (0.0093 * E3_2_2_20_mRNA)</v>
      </c>
      <c r="N232" s="52" t="str">
        <f t="shared" si="47"/>
        <v>Peptide231: E3_2_2_20_mRNA -&gt; E3_2_2_20 | (0.278 * E3_2_2_20_mRNA) - (0.000000278 * E3_2_2_20)</v>
      </c>
    </row>
    <row r="233" spans="1:14" ht="16">
      <c r="A233" s="41">
        <v>232</v>
      </c>
      <c r="B233" s="42" t="s">
        <v>9134</v>
      </c>
      <c r="C233" s="41" t="str">
        <f t="shared" si="36"/>
        <v>E3_2_2_23_mRNA</v>
      </c>
      <c r="D233" s="41" t="str">
        <f t="shared" si="37"/>
        <v>E3_2_2_23</v>
      </c>
      <c r="E233" s="43" t="str">
        <f t="shared" si="38"/>
        <v>E3_2_2_23_kcat : 13.7</v>
      </c>
      <c r="F233" s="44" t="str">
        <f t="shared" si="39"/>
        <v>E3_2_2_23_km : 1</v>
      </c>
      <c r="G233" s="45" t="str">
        <f t="shared" si="40"/>
        <v>E3_2_2_23_mRNA : E3_2_2_23_mRNA</v>
      </c>
      <c r="H233" s="46" t="str">
        <f t="shared" si="41"/>
        <v>E3_2_2_23 : E3_2_2_23</v>
      </c>
      <c r="I233" s="47" t="str">
        <f t="shared" si="42"/>
        <v>E3_2_2_23_mRNA : 0</v>
      </c>
      <c r="J233" s="48" t="str">
        <f t="shared" si="43"/>
        <v>E3_2_2_23 : 0</v>
      </c>
      <c r="K233" s="49" t="str">
        <f t="shared" si="44"/>
        <v>0.00292 - (0.0093 * E3_2_2_23_mRNA)</v>
      </c>
      <c r="L233" s="50" t="str">
        <f t="shared" si="45"/>
        <v>(0.278 * E3_2_2_23_mRNA) - (0.00000278 * E3_2_2_23)</v>
      </c>
      <c r="M233" s="51" t="str">
        <f t="shared" si="46"/>
        <v>mRNA232: -&gt; E3_2_2_23_mRNA | 0.00292 - (0.0093 * E3_2_2_23_mRNA)</v>
      </c>
      <c r="N233" s="52" t="str">
        <f t="shared" si="47"/>
        <v>Peptide232: E3_2_2_23_mRNA -&gt; E3_2_2_23 | (0.278 * E3_2_2_23_mRNA) - (0.000000278 * E3_2_2_23)</v>
      </c>
    </row>
    <row r="234" spans="1:14" ht="16">
      <c r="A234" s="41">
        <v>233</v>
      </c>
      <c r="B234" s="42" t="s">
        <v>9135</v>
      </c>
      <c r="C234" s="41" t="str">
        <f t="shared" si="36"/>
        <v>E3_2_2_27_mRNA</v>
      </c>
      <c r="D234" s="41" t="str">
        <f t="shared" si="37"/>
        <v>E3_2_2_27</v>
      </c>
      <c r="E234" s="43" t="str">
        <f t="shared" si="38"/>
        <v>E3_2_2_27_kcat : 13.7</v>
      </c>
      <c r="F234" s="44" t="str">
        <f t="shared" si="39"/>
        <v>E3_2_2_27_km : 1</v>
      </c>
      <c r="G234" s="45" t="str">
        <f t="shared" si="40"/>
        <v>E3_2_2_27_mRNA : E3_2_2_27_mRNA</v>
      </c>
      <c r="H234" s="46" t="str">
        <f t="shared" si="41"/>
        <v>E3_2_2_27 : E3_2_2_27</v>
      </c>
      <c r="I234" s="47" t="str">
        <f t="shared" si="42"/>
        <v>E3_2_2_27_mRNA : 0</v>
      </c>
      <c r="J234" s="48" t="str">
        <f t="shared" si="43"/>
        <v>E3_2_2_27 : 0</v>
      </c>
      <c r="K234" s="49" t="str">
        <f t="shared" si="44"/>
        <v>0.00292 - (0.0093 * E3_2_2_27_mRNA)</v>
      </c>
      <c r="L234" s="50" t="str">
        <f t="shared" si="45"/>
        <v>(0.278 * E3_2_2_27_mRNA) - (0.00000278 * E3_2_2_27)</v>
      </c>
      <c r="M234" s="51" t="str">
        <f t="shared" si="46"/>
        <v>mRNA233: -&gt; E3_2_2_27_mRNA | 0.00292 - (0.0093 * E3_2_2_27_mRNA)</v>
      </c>
      <c r="N234" s="52" t="str">
        <f t="shared" si="47"/>
        <v>Peptide233: E3_2_2_27_mRNA -&gt; E3_2_2_27 | (0.278 * E3_2_2_27_mRNA) - (0.000000278 * E3_2_2_27)</v>
      </c>
    </row>
    <row r="235" spans="1:14" ht="16">
      <c r="A235" s="41">
        <v>234</v>
      </c>
      <c r="B235" s="42" t="s">
        <v>9136</v>
      </c>
      <c r="C235" s="41" t="str">
        <f t="shared" si="36"/>
        <v>E3_2_2_31_mRNA</v>
      </c>
      <c r="D235" s="41" t="str">
        <f t="shared" si="37"/>
        <v>E3_2_2_31</v>
      </c>
      <c r="E235" s="43" t="str">
        <f t="shared" si="38"/>
        <v>E3_2_2_31_kcat : 13.7</v>
      </c>
      <c r="F235" s="44" t="str">
        <f t="shared" si="39"/>
        <v>E3_2_2_31_km : 1</v>
      </c>
      <c r="G235" s="45" t="str">
        <f t="shared" si="40"/>
        <v>E3_2_2_31_mRNA : E3_2_2_31_mRNA</v>
      </c>
      <c r="H235" s="46" t="str">
        <f t="shared" si="41"/>
        <v>E3_2_2_31 : E3_2_2_31</v>
      </c>
      <c r="I235" s="47" t="str">
        <f t="shared" si="42"/>
        <v>E3_2_2_31_mRNA : 0</v>
      </c>
      <c r="J235" s="48" t="str">
        <f t="shared" si="43"/>
        <v>E3_2_2_31 : 0</v>
      </c>
      <c r="K235" s="49" t="str">
        <f t="shared" si="44"/>
        <v>0.00292 - (0.0093 * E3_2_2_31_mRNA)</v>
      </c>
      <c r="L235" s="50" t="str">
        <f t="shared" si="45"/>
        <v>(0.278 * E3_2_2_31_mRNA) - (0.00000278 * E3_2_2_31)</v>
      </c>
      <c r="M235" s="51" t="str">
        <f t="shared" si="46"/>
        <v>mRNA234: -&gt; E3_2_2_31_mRNA | 0.00292 - (0.0093 * E3_2_2_31_mRNA)</v>
      </c>
      <c r="N235" s="52" t="str">
        <f t="shared" si="47"/>
        <v>Peptide234: E3_2_2_31_mRNA -&gt; E3_2_2_31 | (0.278 * E3_2_2_31_mRNA) - (0.000000278 * E3_2_2_31)</v>
      </c>
    </row>
    <row r="236" spans="1:14" ht="16">
      <c r="A236" s="41">
        <v>235</v>
      </c>
      <c r="B236" s="42" t="s">
        <v>9137</v>
      </c>
      <c r="C236" s="41" t="str">
        <f t="shared" si="36"/>
        <v>E3_2_2_9_mRNA</v>
      </c>
      <c r="D236" s="41" t="str">
        <f t="shared" si="37"/>
        <v>E3_2_2_9</v>
      </c>
      <c r="E236" s="43" t="str">
        <f t="shared" si="38"/>
        <v>E3_2_2_9_kcat : 13.7</v>
      </c>
      <c r="F236" s="44" t="str">
        <f t="shared" si="39"/>
        <v>E3_2_2_9_km : 1</v>
      </c>
      <c r="G236" s="45" t="str">
        <f t="shared" si="40"/>
        <v>E3_2_2_9_mRNA : E3_2_2_9_mRNA</v>
      </c>
      <c r="H236" s="46" t="str">
        <f t="shared" si="41"/>
        <v>E3_2_2_9 : E3_2_2_9</v>
      </c>
      <c r="I236" s="47" t="str">
        <f t="shared" si="42"/>
        <v>E3_2_2_9_mRNA : 0</v>
      </c>
      <c r="J236" s="48" t="str">
        <f t="shared" si="43"/>
        <v>E3_2_2_9 : 0</v>
      </c>
      <c r="K236" s="49" t="str">
        <f t="shared" si="44"/>
        <v>0.00292 - (0.0093 * E3_2_2_9_mRNA)</v>
      </c>
      <c r="L236" s="50" t="str">
        <f t="shared" si="45"/>
        <v>(0.278 * E3_2_2_9_mRNA) - (0.00000278 * E3_2_2_9)</v>
      </c>
      <c r="M236" s="51" t="str">
        <f t="shared" si="46"/>
        <v>mRNA235: -&gt; E3_2_2_9_mRNA | 0.00292 - (0.0093 * E3_2_2_9_mRNA)</v>
      </c>
      <c r="N236" s="52" t="str">
        <f t="shared" si="47"/>
        <v>Peptide235: E3_2_2_9_mRNA -&gt; E3_2_2_9 | (0.278 * E3_2_2_9_mRNA) - (0.000000278 * E3_2_2_9)</v>
      </c>
    </row>
    <row r="237" spans="1:14" ht="16">
      <c r="A237" s="41">
        <v>236</v>
      </c>
      <c r="B237" s="42" t="s">
        <v>9138</v>
      </c>
      <c r="C237" s="41" t="str">
        <f t="shared" si="36"/>
        <v>E3_3_1_1_mRNA</v>
      </c>
      <c r="D237" s="41" t="str">
        <f t="shared" si="37"/>
        <v>E3_3_1_1</v>
      </c>
      <c r="E237" s="43" t="str">
        <f t="shared" si="38"/>
        <v>E3_3_1_1_kcat : 13.7</v>
      </c>
      <c r="F237" s="44" t="str">
        <f t="shared" si="39"/>
        <v>E3_3_1_1_km : 1</v>
      </c>
      <c r="G237" s="45" t="str">
        <f t="shared" si="40"/>
        <v>E3_3_1_1_mRNA : E3_3_1_1_mRNA</v>
      </c>
      <c r="H237" s="46" t="str">
        <f t="shared" si="41"/>
        <v>E3_3_1_1 : E3_3_1_1</v>
      </c>
      <c r="I237" s="47" t="str">
        <f t="shared" si="42"/>
        <v>E3_3_1_1_mRNA : 0</v>
      </c>
      <c r="J237" s="48" t="str">
        <f t="shared" si="43"/>
        <v>E3_3_1_1 : 0</v>
      </c>
      <c r="K237" s="49" t="str">
        <f t="shared" si="44"/>
        <v>0.00292 - (0.0093 * E3_3_1_1_mRNA)</v>
      </c>
      <c r="L237" s="50" t="str">
        <f t="shared" si="45"/>
        <v>(0.278 * E3_3_1_1_mRNA) - (0.00000278 * E3_3_1_1)</v>
      </c>
      <c r="M237" s="51" t="str">
        <f t="shared" si="46"/>
        <v>mRNA236: -&gt; E3_3_1_1_mRNA | 0.00292 - (0.0093 * E3_3_1_1_mRNA)</v>
      </c>
      <c r="N237" s="52" t="str">
        <f t="shared" si="47"/>
        <v>Peptide236: E3_3_1_1_mRNA -&gt; E3_3_1_1 | (0.278 * E3_3_1_1_mRNA) - (0.000000278 * E3_3_1_1)</v>
      </c>
    </row>
    <row r="238" spans="1:14" ht="16">
      <c r="A238" s="41">
        <v>237</v>
      </c>
      <c r="B238" s="42" t="s">
        <v>9139</v>
      </c>
      <c r="C238" s="41" t="str">
        <f t="shared" si="36"/>
        <v>E3_4_11_18_mRNA</v>
      </c>
      <c r="D238" s="41" t="str">
        <f t="shared" si="37"/>
        <v>E3_4_11_18</v>
      </c>
      <c r="E238" s="43" t="str">
        <f t="shared" si="38"/>
        <v>E3_4_11_18_kcat : 13.7</v>
      </c>
      <c r="F238" s="44" t="str">
        <f t="shared" si="39"/>
        <v>E3_4_11_18_km : 1</v>
      </c>
      <c r="G238" s="45" t="str">
        <f t="shared" si="40"/>
        <v>E3_4_11_18_mRNA : E3_4_11_18_mRNA</v>
      </c>
      <c r="H238" s="46" t="str">
        <f t="shared" si="41"/>
        <v>E3_4_11_18 : E3_4_11_18</v>
      </c>
      <c r="I238" s="47" t="str">
        <f t="shared" si="42"/>
        <v>E3_4_11_18_mRNA : 0</v>
      </c>
      <c r="J238" s="48" t="str">
        <f t="shared" si="43"/>
        <v>E3_4_11_18 : 0</v>
      </c>
      <c r="K238" s="49" t="str">
        <f t="shared" si="44"/>
        <v>0.00292 - (0.0093 * E3_4_11_18_mRNA)</v>
      </c>
      <c r="L238" s="50" t="str">
        <f t="shared" si="45"/>
        <v>(0.278 * E3_4_11_18_mRNA) - (0.00000278 * E3_4_11_18)</v>
      </c>
      <c r="M238" s="51" t="str">
        <f t="shared" si="46"/>
        <v>mRNA237: -&gt; E3_4_11_18_mRNA | 0.00292 - (0.0093 * E3_4_11_18_mRNA)</v>
      </c>
      <c r="N238" s="52" t="str">
        <f t="shared" si="47"/>
        <v>Peptide237: E3_4_11_18_mRNA -&gt; E3_4_11_18 | (0.278 * E3_4_11_18_mRNA) - (0.000000278 * E3_4_11_18)</v>
      </c>
    </row>
    <row r="239" spans="1:14" ht="16">
      <c r="A239" s="41">
        <v>238</v>
      </c>
      <c r="B239" s="42" t="s">
        <v>9140</v>
      </c>
      <c r="C239" s="41" t="str">
        <f t="shared" si="36"/>
        <v>E3_4_11_2_mRNA</v>
      </c>
      <c r="D239" s="41" t="str">
        <f t="shared" si="37"/>
        <v>E3_4_11_2</v>
      </c>
      <c r="E239" s="43" t="str">
        <f t="shared" si="38"/>
        <v>E3_4_11_2_kcat : 13.7</v>
      </c>
      <c r="F239" s="44" t="str">
        <f t="shared" si="39"/>
        <v>E3_4_11_2_km : 1</v>
      </c>
      <c r="G239" s="45" t="str">
        <f t="shared" si="40"/>
        <v>E3_4_11_2_mRNA : E3_4_11_2_mRNA</v>
      </c>
      <c r="H239" s="46" t="str">
        <f t="shared" si="41"/>
        <v>E3_4_11_2 : E3_4_11_2</v>
      </c>
      <c r="I239" s="47" t="str">
        <f t="shared" si="42"/>
        <v>E3_4_11_2_mRNA : 0</v>
      </c>
      <c r="J239" s="48" t="str">
        <f t="shared" si="43"/>
        <v>E3_4_11_2 : 0</v>
      </c>
      <c r="K239" s="49" t="str">
        <f t="shared" si="44"/>
        <v>0.00292 - (0.0093 * E3_4_11_2_mRNA)</v>
      </c>
      <c r="L239" s="50" t="str">
        <f t="shared" si="45"/>
        <v>(0.278 * E3_4_11_2_mRNA) - (0.00000278 * E3_4_11_2)</v>
      </c>
      <c r="M239" s="51" t="str">
        <f t="shared" si="46"/>
        <v>mRNA238: -&gt; E3_4_11_2_mRNA | 0.00292 - (0.0093 * E3_4_11_2_mRNA)</v>
      </c>
      <c r="N239" s="52" t="str">
        <f t="shared" si="47"/>
        <v>Peptide238: E3_4_11_2_mRNA -&gt; E3_4_11_2 | (0.278 * E3_4_11_2_mRNA) - (0.000000278 * E3_4_11_2)</v>
      </c>
    </row>
    <row r="240" spans="1:14" ht="16">
      <c r="A240" s="41">
        <v>239</v>
      </c>
      <c r="B240" s="42" t="s">
        <v>9141</v>
      </c>
      <c r="C240" s="41" t="str">
        <f t="shared" si="36"/>
        <v>E3_4_11_24_mRNA</v>
      </c>
      <c r="D240" s="41" t="str">
        <f t="shared" si="37"/>
        <v>E3_4_11_24</v>
      </c>
      <c r="E240" s="43" t="str">
        <f t="shared" si="38"/>
        <v>E3_4_11_24_kcat : 13.7</v>
      </c>
      <c r="F240" s="44" t="str">
        <f t="shared" si="39"/>
        <v>E3_4_11_24_km : 1</v>
      </c>
      <c r="G240" s="45" t="str">
        <f t="shared" si="40"/>
        <v>E3_4_11_24_mRNA : E3_4_11_24_mRNA</v>
      </c>
      <c r="H240" s="46" t="str">
        <f t="shared" si="41"/>
        <v>E3_4_11_24 : E3_4_11_24</v>
      </c>
      <c r="I240" s="47" t="str">
        <f t="shared" si="42"/>
        <v>E3_4_11_24_mRNA : 0</v>
      </c>
      <c r="J240" s="48" t="str">
        <f t="shared" si="43"/>
        <v>E3_4_11_24 : 0</v>
      </c>
      <c r="K240" s="49" t="str">
        <f t="shared" si="44"/>
        <v>0.00292 - (0.0093 * E3_4_11_24_mRNA)</v>
      </c>
      <c r="L240" s="50" t="str">
        <f t="shared" si="45"/>
        <v>(0.278 * E3_4_11_24_mRNA) - (0.00000278 * E3_4_11_24)</v>
      </c>
      <c r="M240" s="51" t="str">
        <f t="shared" si="46"/>
        <v>mRNA239: -&gt; E3_4_11_24_mRNA | 0.00292 - (0.0093 * E3_4_11_24_mRNA)</v>
      </c>
      <c r="N240" s="52" t="str">
        <f t="shared" si="47"/>
        <v>Peptide239: E3_4_11_24_mRNA -&gt; E3_4_11_24 | (0.278 * E3_4_11_24_mRNA) - (0.000000278 * E3_4_11_24)</v>
      </c>
    </row>
    <row r="241" spans="1:14" ht="16">
      <c r="A241" s="41">
        <v>240</v>
      </c>
      <c r="B241" s="42" t="s">
        <v>9142</v>
      </c>
      <c r="C241" s="41" t="str">
        <f t="shared" si="36"/>
        <v>E3_4_11_4_mRNA</v>
      </c>
      <c r="D241" s="41" t="str">
        <f t="shared" si="37"/>
        <v>E3_4_11_4</v>
      </c>
      <c r="E241" s="43" t="str">
        <f t="shared" si="38"/>
        <v>E3_4_11_4_kcat : 13.7</v>
      </c>
      <c r="F241" s="44" t="str">
        <f t="shared" si="39"/>
        <v>E3_4_11_4_km : 1</v>
      </c>
      <c r="G241" s="45" t="str">
        <f t="shared" si="40"/>
        <v>E3_4_11_4_mRNA : E3_4_11_4_mRNA</v>
      </c>
      <c r="H241" s="46" t="str">
        <f t="shared" si="41"/>
        <v>E3_4_11_4 : E3_4_11_4</v>
      </c>
      <c r="I241" s="47" t="str">
        <f t="shared" si="42"/>
        <v>E3_4_11_4_mRNA : 0</v>
      </c>
      <c r="J241" s="48" t="str">
        <f t="shared" si="43"/>
        <v>E3_4_11_4 : 0</v>
      </c>
      <c r="K241" s="49" t="str">
        <f t="shared" si="44"/>
        <v>0.00292 - (0.0093 * E3_4_11_4_mRNA)</v>
      </c>
      <c r="L241" s="50" t="str">
        <f t="shared" si="45"/>
        <v>(0.278 * E3_4_11_4_mRNA) - (0.00000278 * E3_4_11_4)</v>
      </c>
      <c r="M241" s="51" t="str">
        <f t="shared" si="46"/>
        <v>mRNA240: -&gt; E3_4_11_4_mRNA | 0.00292 - (0.0093 * E3_4_11_4_mRNA)</v>
      </c>
      <c r="N241" s="52" t="str">
        <f t="shared" si="47"/>
        <v>Peptide240: E3_4_11_4_mRNA -&gt; E3_4_11_4 | (0.278 * E3_4_11_4_mRNA) - (0.000000278 * E3_4_11_4)</v>
      </c>
    </row>
    <row r="242" spans="1:14" ht="16">
      <c r="A242" s="41">
        <v>241</v>
      </c>
      <c r="B242" s="42" t="s">
        <v>9143</v>
      </c>
      <c r="C242" s="41" t="str">
        <f t="shared" si="36"/>
        <v>E3_4_13_9_mRNA</v>
      </c>
      <c r="D242" s="41" t="str">
        <f t="shared" si="37"/>
        <v>E3_4_13_9</v>
      </c>
      <c r="E242" s="43" t="str">
        <f t="shared" si="38"/>
        <v>E3_4_13_9_kcat : 13.7</v>
      </c>
      <c r="F242" s="44" t="str">
        <f t="shared" si="39"/>
        <v>E3_4_13_9_km : 1</v>
      </c>
      <c r="G242" s="45" t="str">
        <f t="shared" si="40"/>
        <v>E3_4_13_9_mRNA : E3_4_13_9_mRNA</v>
      </c>
      <c r="H242" s="46" t="str">
        <f t="shared" si="41"/>
        <v>E3_4_13_9 : E3_4_13_9</v>
      </c>
      <c r="I242" s="47" t="str">
        <f t="shared" si="42"/>
        <v>E3_4_13_9_mRNA : 0</v>
      </c>
      <c r="J242" s="48" t="str">
        <f t="shared" si="43"/>
        <v>E3_4_13_9 : 0</v>
      </c>
      <c r="K242" s="49" t="str">
        <f t="shared" si="44"/>
        <v>0.00292 - (0.0093 * E3_4_13_9_mRNA)</v>
      </c>
      <c r="L242" s="50" t="str">
        <f t="shared" si="45"/>
        <v>(0.278 * E3_4_13_9_mRNA) - (0.00000278 * E3_4_13_9)</v>
      </c>
      <c r="M242" s="51" t="str">
        <f t="shared" si="46"/>
        <v>mRNA241: -&gt; E3_4_13_9_mRNA | 0.00292 - (0.0093 * E3_4_13_9_mRNA)</v>
      </c>
      <c r="N242" s="52" t="str">
        <f t="shared" si="47"/>
        <v>Peptide241: E3_4_13_9_mRNA -&gt; E3_4_13_9 | (0.278 * E3_4_13_9_mRNA) - (0.000000278 * E3_4_13_9)</v>
      </c>
    </row>
    <row r="243" spans="1:14" ht="16">
      <c r="A243" s="41">
        <v>242</v>
      </c>
      <c r="B243" s="42" t="s">
        <v>9144</v>
      </c>
      <c r="C243" s="41" t="str">
        <f t="shared" si="36"/>
        <v>E3_4_14_11_mRNA</v>
      </c>
      <c r="D243" s="41" t="str">
        <f t="shared" si="37"/>
        <v>E3_4_14_11</v>
      </c>
      <c r="E243" s="43" t="str">
        <f t="shared" si="38"/>
        <v>E3_4_14_11_kcat : 13.7</v>
      </c>
      <c r="F243" s="44" t="str">
        <f t="shared" si="39"/>
        <v>E3_4_14_11_km : 1</v>
      </c>
      <c r="G243" s="45" t="str">
        <f t="shared" si="40"/>
        <v>E3_4_14_11_mRNA : E3_4_14_11_mRNA</v>
      </c>
      <c r="H243" s="46" t="str">
        <f t="shared" si="41"/>
        <v>E3_4_14_11 : E3_4_14_11</v>
      </c>
      <c r="I243" s="47" t="str">
        <f t="shared" si="42"/>
        <v>E3_4_14_11_mRNA : 0</v>
      </c>
      <c r="J243" s="48" t="str">
        <f t="shared" si="43"/>
        <v>E3_4_14_11 : 0</v>
      </c>
      <c r="K243" s="49" t="str">
        <f t="shared" si="44"/>
        <v>0.00292 - (0.0093 * E3_4_14_11_mRNA)</v>
      </c>
      <c r="L243" s="50" t="str">
        <f t="shared" si="45"/>
        <v>(0.278 * E3_4_14_11_mRNA) - (0.00000278 * E3_4_14_11)</v>
      </c>
      <c r="M243" s="51" t="str">
        <f t="shared" si="46"/>
        <v>mRNA242: -&gt; E3_4_14_11_mRNA | 0.00292 - (0.0093 * E3_4_14_11_mRNA)</v>
      </c>
      <c r="N243" s="52" t="str">
        <f t="shared" si="47"/>
        <v>Peptide242: E3_4_14_11_mRNA -&gt; E3_4_14_11 | (0.278 * E3_4_14_11_mRNA) - (0.000000278 * E3_4_14_11)</v>
      </c>
    </row>
    <row r="244" spans="1:14" ht="16">
      <c r="A244" s="41">
        <v>243</v>
      </c>
      <c r="B244" s="42" t="s">
        <v>9145</v>
      </c>
      <c r="C244" s="41" t="str">
        <f t="shared" si="36"/>
        <v>E3_4_16_5_mRNA</v>
      </c>
      <c r="D244" s="41" t="str">
        <f t="shared" si="37"/>
        <v>E3_4_16_5</v>
      </c>
      <c r="E244" s="43" t="str">
        <f t="shared" si="38"/>
        <v>E3_4_16_5_kcat : 13.7</v>
      </c>
      <c r="F244" s="44" t="str">
        <f t="shared" si="39"/>
        <v>E3_4_16_5_km : 1</v>
      </c>
      <c r="G244" s="45" t="str">
        <f t="shared" si="40"/>
        <v>E3_4_16_5_mRNA : E3_4_16_5_mRNA</v>
      </c>
      <c r="H244" s="46" t="str">
        <f t="shared" si="41"/>
        <v>E3_4_16_5 : E3_4_16_5</v>
      </c>
      <c r="I244" s="47" t="str">
        <f t="shared" si="42"/>
        <v>E3_4_16_5_mRNA : 0</v>
      </c>
      <c r="J244" s="48" t="str">
        <f t="shared" si="43"/>
        <v>E3_4_16_5 : 0</v>
      </c>
      <c r="K244" s="49" t="str">
        <f t="shared" si="44"/>
        <v>0.00292 - (0.0093 * E3_4_16_5_mRNA)</v>
      </c>
      <c r="L244" s="50" t="str">
        <f t="shared" si="45"/>
        <v>(0.278 * E3_4_16_5_mRNA) - (0.00000278 * E3_4_16_5)</v>
      </c>
      <c r="M244" s="51" t="str">
        <f t="shared" si="46"/>
        <v>mRNA243: -&gt; E3_4_16_5_mRNA | 0.00292 - (0.0093 * E3_4_16_5_mRNA)</v>
      </c>
      <c r="N244" s="52" t="str">
        <f t="shared" si="47"/>
        <v>Peptide243: E3_4_16_5_mRNA -&gt; E3_4_16_5 | (0.278 * E3_4_16_5_mRNA) - (0.000000278 * E3_4_16_5)</v>
      </c>
    </row>
    <row r="245" spans="1:14" ht="16">
      <c r="A245" s="41">
        <v>244</v>
      </c>
      <c r="B245" s="42" t="s">
        <v>9146</v>
      </c>
      <c r="C245" s="41" t="str">
        <f t="shared" si="36"/>
        <v>E3_4_21_107_mRNA</v>
      </c>
      <c r="D245" s="41" t="str">
        <f t="shared" si="37"/>
        <v>E3_4_21_107</v>
      </c>
      <c r="E245" s="43" t="str">
        <f t="shared" si="38"/>
        <v>E3_4_21_107_kcat : 13.7</v>
      </c>
      <c r="F245" s="44" t="str">
        <f t="shared" si="39"/>
        <v>E3_4_21_107_km : 1</v>
      </c>
      <c r="G245" s="45" t="str">
        <f t="shared" si="40"/>
        <v>E3_4_21_107_mRNA : E3_4_21_107_mRNA</v>
      </c>
      <c r="H245" s="46" t="str">
        <f t="shared" si="41"/>
        <v>E3_4_21_107 : E3_4_21_107</v>
      </c>
      <c r="I245" s="47" t="str">
        <f t="shared" si="42"/>
        <v>E3_4_21_107_mRNA : 0</v>
      </c>
      <c r="J245" s="48" t="str">
        <f t="shared" si="43"/>
        <v>E3_4_21_107 : 0</v>
      </c>
      <c r="K245" s="49" t="str">
        <f t="shared" si="44"/>
        <v>0.00292 - (0.0093 * E3_4_21_107_mRNA)</v>
      </c>
      <c r="L245" s="50" t="str">
        <f t="shared" si="45"/>
        <v>(0.278 * E3_4_21_107_mRNA) - (0.00000278 * E3_4_21_107)</v>
      </c>
      <c r="M245" s="51" t="str">
        <f t="shared" si="46"/>
        <v>mRNA244: -&gt; E3_4_21_107_mRNA | 0.00292 - (0.0093 * E3_4_21_107_mRNA)</v>
      </c>
      <c r="N245" s="52" t="str">
        <f t="shared" si="47"/>
        <v>Peptide244: E3_4_21_107_mRNA -&gt; E3_4_21_107 | (0.278 * E3_4_21_107_mRNA) - (0.000000278 * E3_4_21_107)</v>
      </c>
    </row>
    <row r="246" spans="1:14" ht="16">
      <c r="A246" s="41">
        <v>245</v>
      </c>
      <c r="B246" s="42" t="s">
        <v>9147</v>
      </c>
      <c r="C246" s="41" t="str">
        <f t="shared" si="36"/>
        <v>E3_4_21_53_mRNA</v>
      </c>
      <c r="D246" s="41" t="str">
        <f t="shared" si="37"/>
        <v>E3_4_21_53</v>
      </c>
      <c r="E246" s="43" t="str">
        <f t="shared" si="38"/>
        <v>E3_4_21_53_kcat : 13.7</v>
      </c>
      <c r="F246" s="44" t="str">
        <f t="shared" si="39"/>
        <v>E3_4_21_53_km : 1</v>
      </c>
      <c r="G246" s="45" t="str">
        <f t="shared" si="40"/>
        <v>E3_4_21_53_mRNA : E3_4_21_53_mRNA</v>
      </c>
      <c r="H246" s="46" t="str">
        <f t="shared" si="41"/>
        <v>E3_4_21_53 : E3_4_21_53</v>
      </c>
      <c r="I246" s="47" t="str">
        <f t="shared" si="42"/>
        <v>E3_4_21_53_mRNA : 0</v>
      </c>
      <c r="J246" s="48" t="str">
        <f t="shared" si="43"/>
        <v>E3_4_21_53 : 0</v>
      </c>
      <c r="K246" s="49" t="str">
        <f t="shared" si="44"/>
        <v>0.00292 - (0.0093 * E3_4_21_53_mRNA)</v>
      </c>
      <c r="L246" s="50" t="str">
        <f t="shared" si="45"/>
        <v>(0.278 * E3_4_21_53_mRNA) - (0.00000278 * E3_4_21_53)</v>
      </c>
      <c r="M246" s="51" t="str">
        <f t="shared" si="46"/>
        <v>mRNA245: -&gt; E3_4_21_53_mRNA | 0.00292 - (0.0093 * E3_4_21_53_mRNA)</v>
      </c>
      <c r="N246" s="52" t="str">
        <f t="shared" si="47"/>
        <v>Peptide245: E3_4_21_53_mRNA -&gt; E3_4_21_53 | (0.278 * E3_4_21_53_mRNA) - (0.000000278 * E3_4_21_53)</v>
      </c>
    </row>
    <row r="247" spans="1:14" ht="16">
      <c r="A247" s="41">
        <v>246</v>
      </c>
      <c r="B247" s="42" t="s">
        <v>9148</v>
      </c>
      <c r="C247" s="41" t="str">
        <f t="shared" si="36"/>
        <v>E3_4_21_89_mRNA</v>
      </c>
      <c r="D247" s="41" t="str">
        <f t="shared" si="37"/>
        <v>E3_4_21_89</v>
      </c>
      <c r="E247" s="43" t="str">
        <f t="shared" si="38"/>
        <v>E3_4_21_89_kcat : 13.7</v>
      </c>
      <c r="F247" s="44" t="str">
        <f t="shared" si="39"/>
        <v>E3_4_21_89_km : 1</v>
      </c>
      <c r="G247" s="45" t="str">
        <f t="shared" si="40"/>
        <v>E3_4_21_89_mRNA : E3_4_21_89_mRNA</v>
      </c>
      <c r="H247" s="46" t="str">
        <f t="shared" si="41"/>
        <v>E3_4_21_89 : E3_4_21_89</v>
      </c>
      <c r="I247" s="47" t="str">
        <f t="shared" si="42"/>
        <v>E3_4_21_89_mRNA : 0</v>
      </c>
      <c r="J247" s="48" t="str">
        <f t="shared" si="43"/>
        <v>E3_4_21_89 : 0</v>
      </c>
      <c r="K247" s="49" t="str">
        <f t="shared" si="44"/>
        <v>0.00292 - (0.0093 * E3_4_21_89_mRNA)</v>
      </c>
      <c r="L247" s="50" t="str">
        <f t="shared" si="45"/>
        <v>(0.278 * E3_4_21_89_mRNA) - (0.00000278 * E3_4_21_89)</v>
      </c>
      <c r="M247" s="51" t="str">
        <f t="shared" si="46"/>
        <v>mRNA246: -&gt; E3_4_21_89_mRNA | 0.00292 - (0.0093 * E3_4_21_89_mRNA)</v>
      </c>
      <c r="N247" s="52" t="str">
        <f t="shared" si="47"/>
        <v>Peptide246: E3_4_21_89_mRNA -&gt; E3_4_21_89 | (0.278 * E3_4_21_89_mRNA) - (0.000000278 * E3_4_21_89)</v>
      </c>
    </row>
    <row r="248" spans="1:14" ht="16">
      <c r="A248" s="41">
        <v>247</v>
      </c>
      <c r="B248" s="42" t="s">
        <v>9149</v>
      </c>
      <c r="C248" s="41" t="str">
        <f t="shared" si="36"/>
        <v>E3_4_21_92_mRNA</v>
      </c>
      <c r="D248" s="41" t="str">
        <f t="shared" si="37"/>
        <v>E3_4_21_92</v>
      </c>
      <c r="E248" s="43" t="str">
        <f t="shared" si="38"/>
        <v>E3_4_21_92_kcat : 13.7</v>
      </c>
      <c r="F248" s="44" t="str">
        <f t="shared" si="39"/>
        <v>E3_4_21_92_km : 1</v>
      </c>
      <c r="G248" s="45" t="str">
        <f t="shared" si="40"/>
        <v>E3_4_21_92_mRNA : E3_4_21_92_mRNA</v>
      </c>
      <c r="H248" s="46" t="str">
        <f t="shared" si="41"/>
        <v>E3_4_21_92 : E3_4_21_92</v>
      </c>
      <c r="I248" s="47" t="str">
        <f t="shared" si="42"/>
        <v>E3_4_21_92_mRNA : 0</v>
      </c>
      <c r="J248" s="48" t="str">
        <f t="shared" si="43"/>
        <v>E3_4_21_92 : 0</v>
      </c>
      <c r="K248" s="49" t="str">
        <f t="shared" si="44"/>
        <v>0.00292 - (0.0093 * E3_4_21_92_mRNA)</v>
      </c>
      <c r="L248" s="50" t="str">
        <f t="shared" si="45"/>
        <v>(0.278 * E3_4_21_92_mRNA) - (0.00000278 * E3_4_21_92)</v>
      </c>
      <c r="M248" s="51" t="str">
        <f t="shared" si="46"/>
        <v>mRNA247: -&gt; E3_4_21_92_mRNA | 0.00292 - (0.0093 * E3_4_21_92_mRNA)</v>
      </c>
      <c r="N248" s="52" t="str">
        <f t="shared" si="47"/>
        <v>Peptide247: E3_4_21_92_mRNA -&gt; E3_4_21_92 | (0.278 * E3_4_21_92_mRNA) - (0.000000278 * E3_4_21_92)</v>
      </c>
    </row>
    <row r="249" spans="1:14" ht="16">
      <c r="A249" s="41">
        <v>248</v>
      </c>
      <c r="B249" s="42" t="s">
        <v>9150</v>
      </c>
      <c r="C249" s="41" t="str">
        <f t="shared" si="36"/>
        <v>E3_4_22_40_mRNA</v>
      </c>
      <c r="D249" s="41" t="str">
        <f t="shared" si="37"/>
        <v>E3_4_22_40</v>
      </c>
      <c r="E249" s="43" t="str">
        <f t="shared" si="38"/>
        <v>E3_4_22_40_kcat : 13.7</v>
      </c>
      <c r="F249" s="44" t="str">
        <f t="shared" si="39"/>
        <v>E3_4_22_40_km : 1</v>
      </c>
      <c r="G249" s="45" t="str">
        <f t="shared" si="40"/>
        <v>E3_4_22_40_mRNA : E3_4_22_40_mRNA</v>
      </c>
      <c r="H249" s="46" t="str">
        <f t="shared" si="41"/>
        <v>E3_4_22_40 : E3_4_22_40</v>
      </c>
      <c r="I249" s="47" t="str">
        <f t="shared" si="42"/>
        <v>E3_4_22_40_mRNA : 0</v>
      </c>
      <c r="J249" s="48" t="str">
        <f t="shared" si="43"/>
        <v>E3_4_22_40 : 0</v>
      </c>
      <c r="K249" s="49" t="str">
        <f t="shared" si="44"/>
        <v>0.00292 - (0.0093 * E3_4_22_40_mRNA)</v>
      </c>
      <c r="L249" s="50" t="str">
        <f t="shared" si="45"/>
        <v>(0.278 * E3_4_22_40_mRNA) - (0.00000278 * E3_4_22_40)</v>
      </c>
      <c r="M249" s="51" t="str">
        <f t="shared" si="46"/>
        <v>mRNA248: -&gt; E3_4_22_40_mRNA | 0.00292 - (0.0093 * E3_4_22_40_mRNA)</v>
      </c>
      <c r="N249" s="52" t="str">
        <f t="shared" si="47"/>
        <v>Peptide248: E3_4_22_40_mRNA -&gt; E3_4_22_40 | (0.278 * E3_4_22_40_mRNA) - (0.000000278 * E3_4_22_40)</v>
      </c>
    </row>
    <row r="250" spans="1:14" ht="16">
      <c r="A250" s="41">
        <v>249</v>
      </c>
      <c r="B250" s="42" t="s">
        <v>9151</v>
      </c>
      <c r="C250" s="41" t="str">
        <f t="shared" si="36"/>
        <v>E3_4_23_36_mRNA</v>
      </c>
      <c r="D250" s="41" t="str">
        <f t="shared" si="37"/>
        <v>E3_4_23_36</v>
      </c>
      <c r="E250" s="43" t="str">
        <f t="shared" si="38"/>
        <v>E3_4_23_36_kcat : 13.7</v>
      </c>
      <c r="F250" s="44" t="str">
        <f t="shared" si="39"/>
        <v>E3_4_23_36_km : 1</v>
      </c>
      <c r="G250" s="45" t="str">
        <f t="shared" si="40"/>
        <v>E3_4_23_36_mRNA : E3_4_23_36_mRNA</v>
      </c>
      <c r="H250" s="46" t="str">
        <f t="shared" si="41"/>
        <v>E3_4_23_36 : E3_4_23_36</v>
      </c>
      <c r="I250" s="47" t="str">
        <f t="shared" si="42"/>
        <v>E3_4_23_36_mRNA : 0</v>
      </c>
      <c r="J250" s="48" t="str">
        <f t="shared" si="43"/>
        <v>E3_4_23_36 : 0</v>
      </c>
      <c r="K250" s="49" t="str">
        <f t="shared" si="44"/>
        <v>0.00292 - (0.0093 * E3_4_23_36_mRNA)</v>
      </c>
      <c r="L250" s="50" t="str">
        <f t="shared" si="45"/>
        <v>(0.278 * E3_4_23_36_mRNA) - (0.00000278 * E3_4_23_36)</v>
      </c>
      <c r="M250" s="51" t="str">
        <f t="shared" si="46"/>
        <v>mRNA249: -&gt; E3_4_23_36_mRNA | 0.00292 - (0.0093 * E3_4_23_36_mRNA)</v>
      </c>
      <c r="N250" s="52" t="str">
        <f t="shared" si="47"/>
        <v>Peptide249: E3_4_23_36_mRNA -&gt; E3_4_23_36 | (0.278 * E3_4_23_36_mRNA) - (0.000000278 * E3_4_23_36)</v>
      </c>
    </row>
    <row r="251" spans="1:14" ht="16">
      <c r="A251" s="41">
        <v>250</v>
      </c>
      <c r="B251" s="42" t="s">
        <v>9152</v>
      </c>
      <c r="C251" s="41" t="str">
        <f t="shared" si="36"/>
        <v>E3_5_1_1_mRNA</v>
      </c>
      <c r="D251" s="41" t="str">
        <f t="shared" si="37"/>
        <v>E3_5_1_1</v>
      </c>
      <c r="E251" s="43" t="str">
        <f t="shared" si="38"/>
        <v>E3_5_1_1_kcat : 13.7</v>
      </c>
      <c r="F251" s="44" t="str">
        <f t="shared" si="39"/>
        <v>E3_5_1_1_km : 1</v>
      </c>
      <c r="G251" s="45" t="str">
        <f t="shared" si="40"/>
        <v>E3_5_1_1_mRNA : E3_5_1_1_mRNA</v>
      </c>
      <c r="H251" s="46" t="str">
        <f t="shared" si="41"/>
        <v>E3_5_1_1 : E3_5_1_1</v>
      </c>
      <c r="I251" s="47" t="str">
        <f t="shared" si="42"/>
        <v>E3_5_1_1_mRNA : 0</v>
      </c>
      <c r="J251" s="48" t="str">
        <f t="shared" si="43"/>
        <v>E3_5_1_1 : 0</v>
      </c>
      <c r="K251" s="49" t="str">
        <f t="shared" si="44"/>
        <v>0.00292 - (0.0093 * E3_5_1_1_mRNA)</v>
      </c>
      <c r="L251" s="50" t="str">
        <f t="shared" si="45"/>
        <v>(0.278 * E3_5_1_1_mRNA) - (0.00000278 * E3_5_1_1)</v>
      </c>
      <c r="M251" s="51" t="str">
        <f t="shared" si="46"/>
        <v>mRNA250: -&gt; E3_5_1_1_mRNA | 0.00292 - (0.0093 * E3_5_1_1_mRNA)</v>
      </c>
      <c r="N251" s="52" t="str">
        <f t="shared" si="47"/>
        <v>Peptide250: E3_5_1_1_mRNA -&gt; E3_5_1_1 | (0.278 * E3_5_1_1_mRNA) - (0.000000278 * E3_5_1_1)</v>
      </c>
    </row>
    <row r="252" spans="1:14" ht="16">
      <c r="A252" s="41">
        <v>251</v>
      </c>
      <c r="B252" s="42" t="s">
        <v>9153</v>
      </c>
      <c r="C252" s="41" t="str">
        <f t="shared" si="36"/>
        <v>E3_5_1_14_mRNA</v>
      </c>
      <c r="D252" s="41" t="str">
        <f t="shared" si="37"/>
        <v>E3_5_1_14</v>
      </c>
      <c r="E252" s="43" t="str">
        <f t="shared" si="38"/>
        <v>E3_5_1_14_kcat : 13.7</v>
      </c>
      <c r="F252" s="44" t="str">
        <f t="shared" si="39"/>
        <v>E3_5_1_14_km : 1</v>
      </c>
      <c r="G252" s="45" t="str">
        <f t="shared" si="40"/>
        <v>E3_5_1_14_mRNA : E3_5_1_14_mRNA</v>
      </c>
      <c r="H252" s="46" t="str">
        <f t="shared" si="41"/>
        <v>E3_5_1_14 : E3_5_1_14</v>
      </c>
      <c r="I252" s="47" t="str">
        <f t="shared" si="42"/>
        <v>E3_5_1_14_mRNA : 0</v>
      </c>
      <c r="J252" s="48" t="str">
        <f t="shared" si="43"/>
        <v>E3_5_1_14 : 0</v>
      </c>
      <c r="K252" s="49" t="str">
        <f t="shared" si="44"/>
        <v>0.00292 - (0.0093 * E3_5_1_14_mRNA)</v>
      </c>
      <c r="L252" s="50" t="str">
        <f t="shared" si="45"/>
        <v>(0.278 * E3_5_1_14_mRNA) - (0.00000278 * E3_5_1_14)</v>
      </c>
      <c r="M252" s="51" t="str">
        <f t="shared" si="46"/>
        <v>mRNA251: -&gt; E3_5_1_14_mRNA | 0.00292 - (0.0093 * E3_5_1_14_mRNA)</v>
      </c>
      <c r="N252" s="52" t="str">
        <f t="shared" si="47"/>
        <v>Peptide251: E3_5_1_14_mRNA -&gt; E3_5_1_14 | (0.278 * E3_5_1_14_mRNA) - (0.000000278 * E3_5_1_14)</v>
      </c>
    </row>
    <row r="253" spans="1:14" ht="16">
      <c r="A253" s="41">
        <v>252</v>
      </c>
      <c r="B253" s="42" t="s">
        <v>9154</v>
      </c>
      <c r="C253" s="41" t="str">
        <f t="shared" si="36"/>
        <v>E3_5_1_19_mRNA</v>
      </c>
      <c r="D253" s="41" t="str">
        <f t="shared" si="37"/>
        <v>E3_5_1_19</v>
      </c>
      <c r="E253" s="43" t="str">
        <f t="shared" si="38"/>
        <v>E3_5_1_19_kcat : 13.7</v>
      </c>
      <c r="F253" s="44" t="str">
        <f t="shared" si="39"/>
        <v>E3_5_1_19_km : 1</v>
      </c>
      <c r="G253" s="45" t="str">
        <f t="shared" si="40"/>
        <v>E3_5_1_19_mRNA : E3_5_1_19_mRNA</v>
      </c>
      <c r="H253" s="46" t="str">
        <f t="shared" si="41"/>
        <v>E3_5_1_19 : E3_5_1_19</v>
      </c>
      <c r="I253" s="47" t="str">
        <f t="shared" si="42"/>
        <v>E3_5_1_19_mRNA : 0</v>
      </c>
      <c r="J253" s="48" t="str">
        <f t="shared" si="43"/>
        <v>E3_5_1_19 : 0</v>
      </c>
      <c r="K253" s="49" t="str">
        <f t="shared" si="44"/>
        <v>0.00292 - (0.0093 * E3_5_1_19_mRNA)</v>
      </c>
      <c r="L253" s="50" t="str">
        <f t="shared" si="45"/>
        <v>(0.278 * E3_5_1_19_mRNA) - (0.00000278 * E3_5_1_19)</v>
      </c>
      <c r="M253" s="51" t="str">
        <f t="shared" si="46"/>
        <v>mRNA252: -&gt; E3_5_1_19_mRNA | 0.00292 - (0.0093 * E3_5_1_19_mRNA)</v>
      </c>
      <c r="N253" s="52" t="str">
        <f t="shared" si="47"/>
        <v>Peptide252: E3_5_1_19_mRNA -&gt; E3_5_1_19 | (0.278 * E3_5_1_19_mRNA) - (0.000000278 * E3_5_1_19)</v>
      </c>
    </row>
    <row r="254" spans="1:14" ht="16">
      <c r="A254" s="41">
        <v>253</v>
      </c>
      <c r="B254" s="42" t="s">
        <v>9155</v>
      </c>
      <c r="C254" s="41" t="str">
        <f t="shared" si="36"/>
        <v>E3_5_1_25_mRNA</v>
      </c>
      <c r="D254" s="41" t="str">
        <f t="shared" si="37"/>
        <v>E3_5_1_25</v>
      </c>
      <c r="E254" s="43" t="str">
        <f t="shared" si="38"/>
        <v>E3_5_1_25_kcat : 13.7</v>
      </c>
      <c r="F254" s="44" t="str">
        <f t="shared" si="39"/>
        <v>E3_5_1_25_km : 1</v>
      </c>
      <c r="G254" s="45" t="str">
        <f t="shared" si="40"/>
        <v>E3_5_1_25_mRNA : E3_5_1_25_mRNA</v>
      </c>
      <c r="H254" s="46" t="str">
        <f t="shared" si="41"/>
        <v>E3_5_1_25 : E3_5_1_25</v>
      </c>
      <c r="I254" s="47" t="str">
        <f t="shared" si="42"/>
        <v>E3_5_1_25_mRNA : 0</v>
      </c>
      <c r="J254" s="48" t="str">
        <f t="shared" si="43"/>
        <v>E3_5_1_25 : 0</v>
      </c>
      <c r="K254" s="49" t="str">
        <f t="shared" si="44"/>
        <v>0.00292 - (0.0093 * E3_5_1_25_mRNA)</v>
      </c>
      <c r="L254" s="50" t="str">
        <f t="shared" si="45"/>
        <v>(0.278 * E3_5_1_25_mRNA) - (0.00000278 * E3_5_1_25)</v>
      </c>
      <c r="M254" s="51" t="str">
        <f t="shared" si="46"/>
        <v>mRNA253: -&gt; E3_5_1_25_mRNA | 0.00292 - (0.0093 * E3_5_1_25_mRNA)</v>
      </c>
      <c r="N254" s="52" t="str">
        <f t="shared" si="47"/>
        <v>Peptide253: E3_5_1_25_mRNA -&gt; E3_5_1_25 | (0.278 * E3_5_1_25_mRNA) - (0.000000278 * E3_5_1_25)</v>
      </c>
    </row>
    <row r="255" spans="1:14" ht="16">
      <c r="A255" s="41">
        <v>254</v>
      </c>
      <c r="B255" s="42" t="s">
        <v>9156</v>
      </c>
      <c r="C255" s="41" t="str">
        <f t="shared" si="36"/>
        <v>E3_5_1_3_mRNA</v>
      </c>
      <c r="D255" s="41" t="str">
        <f t="shared" si="37"/>
        <v>E3_5_1_3</v>
      </c>
      <c r="E255" s="43" t="str">
        <f t="shared" si="38"/>
        <v>E3_5_1_3_kcat : 13.7</v>
      </c>
      <c r="F255" s="44" t="str">
        <f t="shared" si="39"/>
        <v>E3_5_1_3_km : 1</v>
      </c>
      <c r="G255" s="45" t="str">
        <f t="shared" si="40"/>
        <v>E3_5_1_3_mRNA : E3_5_1_3_mRNA</v>
      </c>
      <c r="H255" s="46" t="str">
        <f t="shared" si="41"/>
        <v>E3_5_1_3 : E3_5_1_3</v>
      </c>
      <c r="I255" s="47" t="str">
        <f t="shared" si="42"/>
        <v>E3_5_1_3_mRNA : 0</v>
      </c>
      <c r="J255" s="48" t="str">
        <f t="shared" si="43"/>
        <v>E3_5_1_3 : 0</v>
      </c>
      <c r="K255" s="49" t="str">
        <f t="shared" si="44"/>
        <v>0.00292 - (0.0093 * E3_5_1_3_mRNA)</v>
      </c>
      <c r="L255" s="50" t="str">
        <f t="shared" si="45"/>
        <v>(0.278 * E3_5_1_3_mRNA) - (0.00000278 * E3_5_1_3)</v>
      </c>
      <c r="M255" s="51" t="str">
        <f t="shared" si="46"/>
        <v>mRNA254: -&gt; E3_5_1_3_mRNA | 0.00292 - (0.0093 * E3_5_1_3_mRNA)</v>
      </c>
      <c r="N255" s="52" t="str">
        <f t="shared" si="47"/>
        <v>Peptide254: E3_5_1_3_mRNA -&gt; E3_5_1_3 | (0.278 * E3_5_1_3_mRNA) - (0.000000278 * E3_5_1_3)</v>
      </c>
    </row>
    <row r="256" spans="1:14" ht="16">
      <c r="A256" s="41">
        <v>255</v>
      </c>
      <c r="B256" s="42" t="s">
        <v>9157</v>
      </c>
      <c r="C256" s="41" t="str">
        <f t="shared" si="36"/>
        <v>E3_5_1_4_mRNA</v>
      </c>
      <c r="D256" s="41" t="str">
        <f t="shared" si="37"/>
        <v>E3_5_1_4</v>
      </c>
      <c r="E256" s="43" t="str">
        <f t="shared" si="38"/>
        <v>E3_5_1_4_kcat : 13.7</v>
      </c>
      <c r="F256" s="44" t="str">
        <f t="shared" si="39"/>
        <v>E3_5_1_4_km : 1</v>
      </c>
      <c r="G256" s="45" t="str">
        <f t="shared" si="40"/>
        <v>E3_5_1_4_mRNA : E3_5_1_4_mRNA</v>
      </c>
      <c r="H256" s="46" t="str">
        <f t="shared" si="41"/>
        <v>E3_5_1_4 : E3_5_1_4</v>
      </c>
      <c r="I256" s="47" t="str">
        <f t="shared" si="42"/>
        <v>E3_5_1_4_mRNA : 0</v>
      </c>
      <c r="J256" s="48" t="str">
        <f t="shared" si="43"/>
        <v>E3_5_1_4 : 0</v>
      </c>
      <c r="K256" s="49" t="str">
        <f t="shared" si="44"/>
        <v>0.00292 - (0.0093 * E3_5_1_4_mRNA)</v>
      </c>
      <c r="L256" s="50" t="str">
        <f t="shared" si="45"/>
        <v>(0.278 * E3_5_1_4_mRNA) - (0.00000278 * E3_5_1_4)</v>
      </c>
      <c r="M256" s="51" t="str">
        <f t="shared" si="46"/>
        <v>mRNA255: -&gt; E3_5_1_4_mRNA | 0.00292 - (0.0093 * E3_5_1_4_mRNA)</v>
      </c>
      <c r="N256" s="52" t="str">
        <f t="shared" si="47"/>
        <v>Peptide255: E3_5_1_4_mRNA -&gt; E3_5_1_4 | (0.278 * E3_5_1_4_mRNA) - (0.000000278 * E3_5_1_4)</v>
      </c>
    </row>
    <row r="257" spans="1:14" ht="16">
      <c r="A257" s="41">
        <v>256</v>
      </c>
      <c r="B257" s="42" t="s">
        <v>9158</v>
      </c>
      <c r="C257" s="41" t="str">
        <f t="shared" si="36"/>
        <v>E3_5_1_47_mRNA</v>
      </c>
      <c r="D257" s="41" t="str">
        <f t="shared" si="37"/>
        <v>E3_5_1_47</v>
      </c>
      <c r="E257" s="43" t="str">
        <f t="shared" si="38"/>
        <v>E3_5_1_47_kcat : 13.7</v>
      </c>
      <c r="F257" s="44" t="str">
        <f t="shared" si="39"/>
        <v>E3_5_1_47_km : 1</v>
      </c>
      <c r="G257" s="45" t="str">
        <f t="shared" si="40"/>
        <v>E3_5_1_47_mRNA : E3_5_1_47_mRNA</v>
      </c>
      <c r="H257" s="46" t="str">
        <f t="shared" si="41"/>
        <v>E3_5_1_47 : E3_5_1_47</v>
      </c>
      <c r="I257" s="47" t="str">
        <f t="shared" si="42"/>
        <v>E3_5_1_47_mRNA : 0</v>
      </c>
      <c r="J257" s="48" t="str">
        <f t="shared" si="43"/>
        <v>E3_5_1_47 : 0</v>
      </c>
      <c r="K257" s="49" t="str">
        <f t="shared" si="44"/>
        <v>0.00292 - (0.0093 * E3_5_1_47_mRNA)</v>
      </c>
      <c r="L257" s="50" t="str">
        <f t="shared" si="45"/>
        <v>(0.278 * E3_5_1_47_mRNA) - (0.00000278 * E3_5_1_47)</v>
      </c>
      <c r="M257" s="51" t="str">
        <f t="shared" si="46"/>
        <v>mRNA256: -&gt; E3_5_1_47_mRNA | 0.00292 - (0.0093 * E3_5_1_47_mRNA)</v>
      </c>
      <c r="N257" s="52" t="str">
        <f t="shared" si="47"/>
        <v>Peptide256: E3_5_1_47_mRNA -&gt; E3_5_1_47 | (0.278 * E3_5_1_47_mRNA) - (0.000000278 * E3_5_1_47)</v>
      </c>
    </row>
    <row r="258" spans="1:14" ht="16">
      <c r="A258" s="41">
        <v>257</v>
      </c>
      <c r="B258" s="42" t="s">
        <v>9159</v>
      </c>
      <c r="C258" s="41" t="str">
        <f t="shared" si="36"/>
        <v>E3_5_1_5_mRNA</v>
      </c>
      <c r="D258" s="41" t="str">
        <f t="shared" si="37"/>
        <v>E3_5_1_5</v>
      </c>
      <c r="E258" s="43" t="str">
        <f t="shared" si="38"/>
        <v>E3_5_1_5_kcat : 13.7</v>
      </c>
      <c r="F258" s="44" t="str">
        <f t="shared" si="39"/>
        <v>E3_5_1_5_km : 1</v>
      </c>
      <c r="G258" s="45" t="str">
        <f t="shared" si="40"/>
        <v>E3_5_1_5_mRNA : E3_5_1_5_mRNA</v>
      </c>
      <c r="H258" s="46" t="str">
        <f t="shared" si="41"/>
        <v>E3_5_1_5 : E3_5_1_5</v>
      </c>
      <c r="I258" s="47" t="str">
        <f t="shared" si="42"/>
        <v>E3_5_1_5_mRNA : 0</v>
      </c>
      <c r="J258" s="48" t="str">
        <f t="shared" si="43"/>
        <v>E3_5_1_5 : 0</v>
      </c>
      <c r="K258" s="49" t="str">
        <f t="shared" si="44"/>
        <v>0.00292 - (0.0093 * E3_5_1_5_mRNA)</v>
      </c>
      <c r="L258" s="50" t="str">
        <f t="shared" si="45"/>
        <v>(0.278 * E3_5_1_5_mRNA) - (0.00000278 * E3_5_1_5)</v>
      </c>
      <c r="M258" s="51" t="str">
        <f t="shared" si="46"/>
        <v>mRNA257: -&gt; E3_5_1_5_mRNA | 0.00292 - (0.0093 * E3_5_1_5_mRNA)</v>
      </c>
      <c r="N258" s="52" t="str">
        <f t="shared" si="47"/>
        <v>Peptide257: E3_5_1_5_mRNA -&gt; E3_5_1_5 | (0.278 * E3_5_1_5_mRNA) - (0.000000278 * E3_5_1_5)</v>
      </c>
    </row>
    <row r="259" spans="1:14" ht="16">
      <c r="A259" s="41">
        <v>258</v>
      </c>
      <c r="B259" s="42" t="s">
        <v>9160</v>
      </c>
      <c r="C259" s="41" t="str">
        <f t="shared" ref="C259:C322" si="48">CONCATENATE(D259, "_mRNA")</f>
        <v>E3_5_1_88_mRNA</v>
      </c>
      <c r="D259" s="41" t="str">
        <f t="shared" ref="D259:D322" si="49">CONCATENATE("E",B259)</f>
        <v>E3_5_1_88</v>
      </c>
      <c r="E259" s="43" t="str">
        <f t="shared" ref="E259:E322" si="50">CONCATENATE("E",B259,"_kcat : 13.7")</f>
        <v>E3_5_1_88_kcat : 13.7</v>
      </c>
      <c r="F259" s="44" t="str">
        <f t="shared" ref="F259:F322" si="51">CONCATENATE("E",B259, "_km : 1")</f>
        <v>E3_5_1_88_km : 1</v>
      </c>
      <c r="G259" s="45" t="str">
        <f t="shared" ref="G259:G322" si="52">CONCATENATE(C259, " : ",C259)</f>
        <v>E3_5_1_88_mRNA : E3_5_1_88_mRNA</v>
      </c>
      <c r="H259" s="46" t="str">
        <f t="shared" ref="H259:H322" si="53">CONCATENATE(D259, " : ",D259)</f>
        <v>E3_5_1_88 : E3_5_1_88</v>
      </c>
      <c r="I259" s="47" t="str">
        <f t="shared" ref="I259:I322" si="54">CONCATENATE(C259, " : ","0")</f>
        <v>E3_5_1_88_mRNA : 0</v>
      </c>
      <c r="J259" s="48" t="str">
        <f t="shared" ref="J259:J322" si="55">CONCATENATE(D259, " : ","0")</f>
        <v>E3_5_1_88 : 0</v>
      </c>
      <c r="K259" s="49" t="str">
        <f t="shared" ref="K259:K322" si="56">CONCATENATE("0.00292 - (0.0093 * ",C259,")")</f>
        <v>0.00292 - (0.0093 * E3_5_1_88_mRNA)</v>
      </c>
      <c r="L259" s="50" t="str">
        <f t="shared" ref="L259:L322" si="57">CONCATENATE("(0.278 * ",C259,")"," - (0.00000278 * ",D259,")")</f>
        <v>(0.278 * E3_5_1_88_mRNA) - (0.00000278 * E3_5_1_88)</v>
      </c>
      <c r="M259" s="51" t="str">
        <f t="shared" ref="M259:M322" si="58">CONCATENATE("mRNA",A259,": -&gt; ",C259," | ","0.00292"," - ","(","0.0093"," * ",C259,")")</f>
        <v>mRNA258: -&gt; E3_5_1_88_mRNA | 0.00292 - (0.0093 * E3_5_1_88_mRNA)</v>
      </c>
      <c r="N259" s="52" t="str">
        <f t="shared" ref="N259:N322" si="59">CONCATENATE("Peptide",A259,": ",C259," -&gt; ",D259," | ","(","0.278"," * ",C259,")"," - ","(","0.000000278"," * ",D259,")")</f>
        <v>Peptide258: E3_5_1_88_mRNA -&gt; E3_5_1_88 | (0.278 * E3_5_1_88_mRNA) - (0.000000278 * E3_5_1_88)</v>
      </c>
    </row>
    <row r="260" spans="1:14" ht="16">
      <c r="A260" s="41">
        <v>259</v>
      </c>
      <c r="B260" s="42" t="s">
        <v>9161</v>
      </c>
      <c r="C260" s="41" t="str">
        <f t="shared" si="48"/>
        <v>E3_5_2_3_mRNA</v>
      </c>
      <c r="D260" s="41" t="str">
        <f t="shared" si="49"/>
        <v>E3_5_2_3</v>
      </c>
      <c r="E260" s="43" t="str">
        <f t="shared" si="50"/>
        <v>E3_5_2_3_kcat : 13.7</v>
      </c>
      <c r="F260" s="44" t="str">
        <f t="shared" si="51"/>
        <v>E3_5_2_3_km : 1</v>
      </c>
      <c r="G260" s="45" t="str">
        <f t="shared" si="52"/>
        <v>E3_5_2_3_mRNA : E3_5_2_3_mRNA</v>
      </c>
      <c r="H260" s="46" t="str">
        <f t="shared" si="53"/>
        <v>E3_5_2_3 : E3_5_2_3</v>
      </c>
      <c r="I260" s="47" t="str">
        <f t="shared" si="54"/>
        <v>E3_5_2_3_mRNA : 0</v>
      </c>
      <c r="J260" s="48" t="str">
        <f t="shared" si="55"/>
        <v>E3_5_2_3 : 0</v>
      </c>
      <c r="K260" s="49" t="str">
        <f t="shared" si="56"/>
        <v>0.00292 - (0.0093 * E3_5_2_3_mRNA)</v>
      </c>
      <c r="L260" s="50" t="str">
        <f t="shared" si="57"/>
        <v>(0.278 * E3_5_2_3_mRNA) - (0.00000278 * E3_5_2_3)</v>
      </c>
      <c r="M260" s="51" t="str">
        <f t="shared" si="58"/>
        <v>mRNA259: -&gt; E3_5_2_3_mRNA | 0.00292 - (0.0093 * E3_5_2_3_mRNA)</v>
      </c>
      <c r="N260" s="52" t="str">
        <f t="shared" si="59"/>
        <v>Peptide259: E3_5_2_3_mRNA -&gt; E3_5_2_3 | (0.278 * E3_5_2_3_mRNA) - (0.000000278 * E3_5_2_3)</v>
      </c>
    </row>
    <row r="261" spans="1:14" ht="16">
      <c r="A261" s="41">
        <v>260</v>
      </c>
      <c r="B261" s="42" t="s">
        <v>9162</v>
      </c>
      <c r="C261" s="41" t="str">
        <f t="shared" si="48"/>
        <v>E3_5_3_11_mRNA</v>
      </c>
      <c r="D261" s="41" t="str">
        <f t="shared" si="49"/>
        <v>E3_5_3_11</v>
      </c>
      <c r="E261" s="43" t="str">
        <f t="shared" si="50"/>
        <v>E3_5_3_11_kcat : 13.7</v>
      </c>
      <c r="F261" s="44" t="str">
        <f t="shared" si="51"/>
        <v>E3_5_3_11_km : 1</v>
      </c>
      <c r="G261" s="45" t="str">
        <f t="shared" si="52"/>
        <v>E3_5_3_11_mRNA : E3_5_3_11_mRNA</v>
      </c>
      <c r="H261" s="46" t="str">
        <f t="shared" si="53"/>
        <v>E3_5_3_11 : E3_5_3_11</v>
      </c>
      <c r="I261" s="47" t="str">
        <f t="shared" si="54"/>
        <v>E3_5_3_11_mRNA : 0</v>
      </c>
      <c r="J261" s="48" t="str">
        <f t="shared" si="55"/>
        <v>E3_5_3_11 : 0</v>
      </c>
      <c r="K261" s="49" t="str">
        <f t="shared" si="56"/>
        <v>0.00292 - (0.0093 * E3_5_3_11_mRNA)</v>
      </c>
      <c r="L261" s="50" t="str">
        <f t="shared" si="57"/>
        <v>(0.278 * E3_5_3_11_mRNA) - (0.00000278 * E3_5_3_11)</v>
      </c>
      <c r="M261" s="51" t="str">
        <f t="shared" si="58"/>
        <v>mRNA260: -&gt; E3_5_3_11_mRNA | 0.00292 - (0.0093 * E3_5_3_11_mRNA)</v>
      </c>
      <c r="N261" s="52" t="str">
        <f t="shared" si="59"/>
        <v>Peptide260: E3_5_3_11_mRNA -&gt; E3_5_3_11 | (0.278 * E3_5_3_11_mRNA) - (0.000000278 * E3_5_3_11)</v>
      </c>
    </row>
    <row r="262" spans="1:14" ht="16">
      <c r="A262" s="41">
        <v>261</v>
      </c>
      <c r="B262" s="42" t="s">
        <v>9163</v>
      </c>
      <c r="C262" s="41" t="str">
        <f t="shared" si="48"/>
        <v>E3_5_4_12_mRNA</v>
      </c>
      <c r="D262" s="41" t="str">
        <f t="shared" si="49"/>
        <v>E3_5_4_12</v>
      </c>
      <c r="E262" s="43" t="str">
        <f t="shared" si="50"/>
        <v>E3_5_4_12_kcat : 13.7</v>
      </c>
      <c r="F262" s="44" t="str">
        <f t="shared" si="51"/>
        <v>E3_5_4_12_km : 1</v>
      </c>
      <c r="G262" s="45" t="str">
        <f t="shared" si="52"/>
        <v>E3_5_4_12_mRNA : E3_5_4_12_mRNA</v>
      </c>
      <c r="H262" s="46" t="str">
        <f t="shared" si="53"/>
        <v>E3_5_4_12 : E3_5_4_12</v>
      </c>
      <c r="I262" s="47" t="str">
        <f t="shared" si="54"/>
        <v>E3_5_4_12_mRNA : 0</v>
      </c>
      <c r="J262" s="48" t="str">
        <f t="shared" si="55"/>
        <v>E3_5_4_12 : 0</v>
      </c>
      <c r="K262" s="49" t="str">
        <f t="shared" si="56"/>
        <v>0.00292 - (0.0093 * E3_5_4_12_mRNA)</v>
      </c>
      <c r="L262" s="50" t="str">
        <f t="shared" si="57"/>
        <v>(0.278 * E3_5_4_12_mRNA) - (0.00000278 * E3_5_4_12)</v>
      </c>
      <c r="M262" s="51" t="str">
        <f t="shared" si="58"/>
        <v>mRNA261: -&gt; E3_5_4_12_mRNA | 0.00292 - (0.0093 * E3_5_4_12_mRNA)</v>
      </c>
      <c r="N262" s="52" t="str">
        <f t="shared" si="59"/>
        <v>Peptide261: E3_5_4_12_mRNA -&gt; E3_5_4_12 | (0.278 * E3_5_4_12_mRNA) - (0.000000278 * E3_5_4_12)</v>
      </c>
    </row>
    <row r="263" spans="1:14" ht="16">
      <c r="A263" s="41">
        <v>262</v>
      </c>
      <c r="B263" s="42" t="s">
        <v>9164</v>
      </c>
      <c r="C263" s="41" t="str">
        <f t="shared" si="48"/>
        <v>E3_5_4_16_mRNA</v>
      </c>
      <c r="D263" s="41" t="str">
        <f t="shared" si="49"/>
        <v>E3_5_4_16</v>
      </c>
      <c r="E263" s="43" t="str">
        <f t="shared" si="50"/>
        <v>E3_5_4_16_kcat : 13.7</v>
      </c>
      <c r="F263" s="44" t="str">
        <f t="shared" si="51"/>
        <v>E3_5_4_16_km : 1</v>
      </c>
      <c r="G263" s="45" t="str">
        <f t="shared" si="52"/>
        <v>E3_5_4_16_mRNA : E3_5_4_16_mRNA</v>
      </c>
      <c r="H263" s="46" t="str">
        <f t="shared" si="53"/>
        <v>E3_5_4_16 : E3_5_4_16</v>
      </c>
      <c r="I263" s="47" t="str">
        <f t="shared" si="54"/>
        <v>E3_5_4_16_mRNA : 0</v>
      </c>
      <c r="J263" s="48" t="str">
        <f t="shared" si="55"/>
        <v>E3_5_4_16 : 0</v>
      </c>
      <c r="K263" s="49" t="str">
        <f t="shared" si="56"/>
        <v>0.00292 - (0.0093 * E3_5_4_16_mRNA)</v>
      </c>
      <c r="L263" s="50" t="str">
        <f t="shared" si="57"/>
        <v>(0.278 * E3_5_4_16_mRNA) - (0.00000278 * E3_5_4_16)</v>
      </c>
      <c r="M263" s="51" t="str">
        <f t="shared" si="58"/>
        <v>mRNA262: -&gt; E3_5_4_16_mRNA | 0.00292 - (0.0093 * E3_5_4_16_mRNA)</v>
      </c>
      <c r="N263" s="52" t="str">
        <f t="shared" si="59"/>
        <v>Peptide262: E3_5_4_16_mRNA -&gt; E3_5_4_16 | (0.278 * E3_5_4_16_mRNA) - (0.000000278 * E3_5_4_16)</v>
      </c>
    </row>
    <row r="264" spans="1:14" ht="16">
      <c r="A264" s="41">
        <v>263</v>
      </c>
      <c r="B264" s="42" t="s">
        <v>9165</v>
      </c>
      <c r="C264" s="41" t="str">
        <f t="shared" si="48"/>
        <v>E3_5_4_33_mRNA</v>
      </c>
      <c r="D264" s="41" t="str">
        <f t="shared" si="49"/>
        <v>E3_5_4_33</v>
      </c>
      <c r="E264" s="43" t="str">
        <f t="shared" si="50"/>
        <v>E3_5_4_33_kcat : 13.7</v>
      </c>
      <c r="F264" s="44" t="str">
        <f t="shared" si="51"/>
        <v>E3_5_4_33_km : 1</v>
      </c>
      <c r="G264" s="45" t="str">
        <f t="shared" si="52"/>
        <v>E3_5_4_33_mRNA : E3_5_4_33_mRNA</v>
      </c>
      <c r="H264" s="46" t="str">
        <f t="shared" si="53"/>
        <v>E3_5_4_33 : E3_5_4_33</v>
      </c>
      <c r="I264" s="47" t="str">
        <f t="shared" si="54"/>
        <v>E3_5_4_33_mRNA : 0</v>
      </c>
      <c r="J264" s="48" t="str">
        <f t="shared" si="55"/>
        <v>E3_5_4_33 : 0</v>
      </c>
      <c r="K264" s="49" t="str">
        <f t="shared" si="56"/>
        <v>0.00292 - (0.0093 * E3_5_4_33_mRNA)</v>
      </c>
      <c r="L264" s="50" t="str">
        <f t="shared" si="57"/>
        <v>(0.278 * E3_5_4_33_mRNA) - (0.00000278 * E3_5_4_33)</v>
      </c>
      <c r="M264" s="51" t="str">
        <f t="shared" si="58"/>
        <v>mRNA263: -&gt; E3_5_4_33_mRNA | 0.00292 - (0.0093 * E3_5_4_33_mRNA)</v>
      </c>
      <c r="N264" s="52" t="str">
        <f t="shared" si="59"/>
        <v>Peptide263: E3_5_4_33_mRNA -&gt; E3_5_4_33 | (0.278 * E3_5_4_33_mRNA) - (0.000000278 * E3_5_4_33)</v>
      </c>
    </row>
    <row r="265" spans="1:14" ht="16">
      <c r="A265" s="41">
        <v>264</v>
      </c>
      <c r="B265" s="42" t="s">
        <v>9166</v>
      </c>
      <c r="C265" s="41" t="str">
        <f t="shared" si="48"/>
        <v>E3_5_4_4_mRNA</v>
      </c>
      <c r="D265" s="41" t="str">
        <f t="shared" si="49"/>
        <v>E3_5_4_4</v>
      </c>
      <c r="E265" s="43" t="str">
        <f t="shared" si="50"/>
        <v>E3_5_4_4_kcat : 13.7</v>
      </c>
      <c r="F265" s="44" t="str">
        <f t="shared" si="51"/>
        <v>E3_5_4_4_km : 1</v>
      </c>
      <c r="G265" s="45" t="str">
        <f t="shared" si="52"/>
        <v>E3_5_4_4_mRNA : E3_5_4_4_mRNA</v>
      </c>
      <c r="H265" s="46" t="str">
        <f t="shared" si="53"/>
        <v>E3_5_4_4 : E3_5_4_4</v>
      </c>
      <c r="I265" s="47" t="str">
        <f t="shared" si="54"/>
        <v>E3_5_4_4_mRNA : 0</v>
      </c>
      <c r="J265" s="48" t="str">
        <f t="shared" si="55"/>
        <v>E3_5_4_4 : 0</v>
      </c>
      <c r="K265" s="49" t="str">
        <f t="shared" si="56"/>
        <v>0.00292 - (0.0093 * E3_5_4_4_mRNA)</v>
      </c>
      <c r="L265" s="50" t="str">
        <f t="shared" si="57"/>
        <v>(0.278 * E3_5_4_4_mRNA) - (0.00000278 * E3_5_4_4)</v>
      </c>
      <c r="M265" s="51" t="str">
        <f t="shared" si="58"/>
        <v>mRNA264: -&gt; E3_5_4_4_mRNA | 0.00292 - (0.0093 * E3_5_4_4_mRNA)</v>
      </c>
      <c r="N265" s="52" t="str">
        <f t="shared" si="59"/>
        <v>Peptide264: E3_5_4_4_mRNA -&gt; E3_5_4_4 | (0.278 * E3_5_4_4_mRNA) - (0.000000278 * E3_5_4_4)</v>
      </c>
    </row>
    <row r="266" spans="1:14" ht="16">
      <c r="A266" s="41">
        <v>265</v>
      </c>
      <c r="B266" s="42" t="s">
        <v>9167</v>
      </c>
      <c r="C266" s="41" t="str">
        <f t="shared" si="48"/>
        <v>E3_5_4_5_mRNA</v>
      </c>
      <c r="D266" s="41" t="str">
        <f t="shared" si="49"/>
        <v>E3_5_4_5</v>
      </c>
      <c r="E266" s="43" t="str">
        <f t="shared" si="50"/>
        <v>E3_5_4_5_kcat : 13.7</v>
      </c>
      <c r="F266" s="44" t="str">
        <f t="shared" si="51"/>
        <v>E3_5_4_5_km : 1</v>
      </c>
      <c r="G266" s="45" t="str">
        <f t="shared" si="52"/>
        <v>E3_5_4_5_mRNA : E3_5_4_5_mRNA</v>
      </c>
      <c r="H266" s="46" t="str">
        <f t="shared" si="53"/>
        <v>E3_5_4_5 : E3_5_4_5</v>
      </c>
      <c r="I266" s="47" t="str">
        <f t="shared" si="54"/>
        <v>E3_5_4_5_mRNA : 0</v>
      </c>
      <c r="J266" s="48" t="str">
        <f t="shared" si="55"/>
        <v>E3_5_4_5 : 0</v>
      </c>
      <c r="K266" s="49" t="str">
        <f t="shared" si="56"/>
        <v>0.00292 - (0.0093 * E3_5_4_5_mRNA)</v>
      </c>
      <c r="L266" s="50" t="str">
        <f t="shared" si="57"/>
        <v>(0.278 * E3_5_4_5_mRNA) - (0.00000278 * E3_5_4_5)</v>
      </c>
      <c r="M266" s="51" t="str">
        <f t="shared" si="58"/>
        <v>mRNA265: -&gt; E3_5_4_5_mRNA | 0.00292 - (0.0093 * E3_5_4_5_mRNA)</v>
      </c>
      <c r="N266" s="52" t="str">
        <f t="shared" si="59"/>
        <v>Peptide265: E3_5_4_5_mRNA -&gt; E3_5_4_5 | (0.278 * E3_5_4_5_mRNA) - (0.000000278 * E3_5_4_5)</v>
      </c>
    </row>
    <row r="267" spans="1:14" ht="16">
      <c r="A267" s="41">
        <v>266</v>
      </c>
      <c r="B267" s="42" t="s">
        <v>9168</v>
      </c>
      <c r="C267" s="41" t="str">
        <f t="shared" si="48"/>
        <v>E3_5_99_10_mRNA</v>
      </c>
      <c r="D267" s="41" t="str">
        <f t="shared" si="49"/>
        <v>E3_5_99_10</v>
      </c>
      <c r="E267" s="43" t="str">
        <f t="shared" si="50"/>
        <v>E3_5_99_10_kcat : 13.7</v>
      </c>
      <c r="F267" s="44" t="str">
        <f t="shared" si="51"/>
        <v>E3_5_99_10_km : 1</v>
      </c>
      <c r="G267" s="45" t="str">
        <f t="shared" si="52"/>
        <v>E3_5_99_10_mRNA : E3_5_99_10_mRNA</v>
      </c>
      <c r="H267" s="46" t="str">
        <f t="shared" si="53"/>
        <v>E3_5_99_10 : E3_5_99_10</v>
      </c>
      <c r="I267" s="47" t="str">
        <f t="shared" si="54"/>
        <v>E3_5_99_10_mRNA : 0</v>
      </c>
      <c r="J267" s="48" t="str">
        <f t="shared" si="55"/>
        <v>E3_5_99_10 : 0</v>
      </c>
      <c r="K267" s="49" t="str">
        <f t="shared" si="56"/>
        <v>0.00292 - (0.0093 * E3_5_99_10_mRNA)</v>
      </c>
      <c r="L267" s="50" t="str">
        <f t="shared" si="57"/>
        <v>(0.278 * E3_5_99_10_mRNA) - (0.00000278 * E3_5_99_10)</v>
      </c>
      <c r="M267" s="51" t="str">
        <f t="shared" si="58"/>
        <v>mRNA266: -&gt; E3_5_99_10_mRNA | 0.00292 - (0.0093 * E3_5_99_10_mRNA)</v>
      </c>
      <c r="N267" s="52" t="str">
        <f t="shared" si="59"/>
        <v>Peptide266: E3_5_99_10_mRNA -&gt; E3_5_99_10 | (0.278 * E3_5_99_10_mRNA) - (0.000000278 * E3_5_99_10)</v>
      </c>
    </row>
    <row r="268" spans="1:14" ht="16">
      <c r="A268" s="41">
        <v>267</v>
      </c>
      <c r="B268" s="42" t="s">
        <v>9169</v>
      </c>
      <c r="C268" s="41" t="str">
        <f t="shared" si="48"/>
        <v>E3_5_99_6_mRNA</v>
      </c>
      <c r="D268" s="41" t="str">
        <f t="shared" si="49"/>
        <v>E3_5_99_6</v>
      </c>
      <c r="E268" s="43" t="str">
        <f t="shared" si="50"/>
        <v>E3_5_99_6_kcat : 13.7</v>
      </c>
      <c r="F268" s="44" t="str">
        <f t="shared" si="51"/>
        <v>E3_5_99_6_km : 1</v>
      </c>
      <c r="G268" s="45" t="str">
        <f t="shared" si="52"/>
        <v>E3_5_99_6_mRNA : E3_5_99_6_mRNA</v>
      </c>
      <c r="H268" s="46" t="str">
        <f t="shared" si="53"/>
        <v>E3_5_99_6 : E3_5_99_6</v>
      </c>
      <c r="I268" s="47" t="str">
        <f t="shared" si="54"/>
        <v>E3_5_99_6_mRNA : 0</v>
      </c>
      <c r="J268" s="48" t="str">
        <f t="shared" si="55"/>
        <v>E3_5_99_6 : 0</v>
      </c>
      <c r="K268" s="49" t="str">
        <f t="shared" si="56"/>
        <v>0.00292 - (0.0093 * E3_5_99_6_mRNA)</v>
      </c>
      <c r="L268" s="50" t="str">
        <f t="shared" si="57"/>
        <v>(0.278 * E3_5_99_6_mRNA) - (0.00000278 * E3_5_99_6)</v>
      </c>
      <c r="M268" s="51" t="str">
        <f t="shared" si="58"/>
        <v>mRNA267: -&gt; E3_5_99_6_mRNA | 0.00292 - (0.0093 * E3_5_99_6_mRNA)</v>
      </c>
      <c r="N268" s="52" t="str">
        <f t="shared" si="59"/>
        <v>Peptide267: E3_5_99_6_mRNA -&gt; E3_5_99_6 | (0.278 * E3_5_99_6_mRNA) - (0.000000278 * E3_5_99_6)</v>
      </c>
    </row>
    <row r="269" spans="1:14" ht="16">
      <c r="A269" s="41">
        <v>268</v>
      </c>
      <c r="B269" s="42" t="s">
        <v>9170</v>
      </c>
      <c r="C269" s="41" t="str">
        <f t="shared" si="48"/>
        <v>E3_6_1_1_mRNA</v>
      </c>
      <c r="D269" s="41" t="str">
        <f t="shared" si="49"/>
        <v>E3_6_1_1</v>
      </c>
      <c r="E269" s="43" t="str">
        <f t="shared" si="50"/>
        <v>E3_6_1_1_kcat : 13.7</v>
      </c>
      <c r="F269" s="44" t="str">
        <f t="shared" si="51"/>
        <v>E3_6_1_1_km : 1</v>
      </c>
      <c r="G269" s="45" t="str">
        <f t="shared" si="52"/>
        <v>E3_6_1_1_mRNA : E3_6_1_1_mRNA</v>
      </c>
      <c r="H269" s="46" t="str">
        <f t="shared" si="53"/>
        <v>E3_6_1_1 : E3_6_1_1</v>
      </c>
      <c r="I269" s="47" t="str">
        <f t="shared" si="54"/>
        <v>E3_6_1_1_mRNA : 0</v>
      </c>
      <c r="J269" s="48" t="str">
        <f t="shared" si="55"/>
        <v>E3_6_1_1 : 0</v>
      </c>
      <c r="K269" s="49" t="str">
        <f t="shared" si="56"/>
        <v>0.00292 - (0.0093 * E3_6_1_1_mRNA)</v>
      </c>
      <c r="L269" s="50" t="str">
        <f t="shared" si="57"/>
        <v>(0.278 * E3_6_1_1_mRNA) - (0.00000278 * E3_6_1_1)</v>
      </c>
      <c r="M269" s="51" t="str">
        <f t="shared" si="58"/>
        <v>mRNA268: -&gt; E3_6_1_1_mRNA | 0.00292 - (0.0093 * E3_6_1_1_mRNA)</v>
      </c>
      <c r="N269" s="52" t="str">
        <f t="shared" si="59"/>
        <v>Peptide268: E3_6_1_1_mRNA -&gt; E3_6_1_1 | (0.278 * E3_6_1_1_mRNA) - (0.000000278 * E3_6_1_1)</v>
      </c>
    </row>
    <row r="270" spans="1:14" ht="16">
      <c r="A270" s="41">
        <v>269</v>
      </c>
      <c r="B270" s="42" t="s">
        <v>9171</v>
      </c>
      <c r="C270" s="41" t="str">
        <f t="shared" si="48"/>
        <v>E3_6_1_23_mRNA</v>
      </c>
      <c r="D270" s="41" t="str">
        <f t="shared" si="49"/>
        <v>E3_6_1_23</v>
      </c>
      <c r="E270" s="43" t="str">
        <f t="shared" si="50"/>
        <v>E3_6_1_23_kcat : 13.7</v>
      </c>
      <c r="F270" s="44" t="str">
        <f t="shared" si="51"/>
        <v>E3_6_1_23_km : 1</v>
      </c>
      <c r="G270" s="45" t="str">
        <f t="shared" si="52"/>
        <v>E3_6_1_23_mRNA : E3_6_1_23_mRNA</v>
      </c>
      <c r="H270" s="46" t="str">
        <f t="shared" si="53"/>
        <v>E3_6_1_23 : E3_6_1_23</v>
      </c>
      <c r="I270" s="47" t="str">
        <f t="shared" si="54"/>
        <v>E3_6_1_23_mRNA : 0</v>
      </c>
      <c r="J270" s="48" t="str">
        <f t="shared" si="55"/>
        <v>E3_6_1_23 : 0</v>
      </c>
      <c r="K270" s="49" t="str">
        <f t="shared" si="56"/>
        <v>0.00292 - (0.0093 * E3_6_1_23_mRNA)</v>
      </c>
      <c r="L270" s="50" t="str">
        <f t="shared" si="57"/>
        <v>(0.278 * E3_6_1_23_mRNA) - (0.00000278 * E3_6_1_23)</v>
      </c>
      <c r="M270" s="51" t="str">
        <f t="shared" si="58"/>
        <v>mRNA269: -&gt; E3_6_1_23_mRNA | 0.00292 - (0.0093 * E3_6_1_23_mRNA)</v>
      </c>
      <c r="N270" s="52" t="str">
        <f t="shared" si="59"/>
        <v>Peptide269: E3_6_1_23_mRNA -&gt; E3_6_1_23 | (0.278 * E3_6_1_23_mRNA) - (0.000000278 * E3_6_1_23)</v>
      </c>
    </row>
    <row r="271" spans="1:14" ht="16">
      <c r="A271" s="41">
        <v>270</v>
      </c>
      <c r="B271" s="42" t="s">
        <v>9172</v>
      </c>
      <c r="C271" s="41" t="str">
        <f t="shared" si="48"/>
        <v>E3_6_1_27_mRNA</v>
      </c>
      <c r="D271" s="41" t="str">
        <f t="shared" si="49"/>
        <v>E3_6_1_27</v>
      </c>
      <c r="E271" s="43" t="str">
        <f t="shared" si="50"/>
        <v>E3_6_1_27_kcat : 13.7</v>
      </c>
      <c r="F271" s="44" t="str">
        <f t="shared" si="51"/>
        <v>E3_6_1_27_km : 1</v>
      </c>
      <c r="G271" s="45" t="str">
        <f t="shared" si="52"/>
        <v>E3_6_1_27_mRNA : E3_6_1_27_mRNA</v>
      </c>
      <c r="H271" s="46" t="str">
        <f t="shared" si="53"/>
        <v>E3_6_1_27 : E3_6_1_27</v>
      </c>
      <c r="I271" s="47" t="str">
        <f t="shared" si="54"/>
        <v>E3_6_1_27_mRNA : 0</v>
      </c>
      <c r="J271" s="48" t="str">
        <f t="shared" si="55"/>
        <v>E3_6_1_27 : 0</v>
      </c>
      <c r="K271" s="49" t="str">
        <f t="shared" si="56"/>
        <v>0.00292 - (0.0093 * E3_6_1_27_mRNA)</v>
      </c>
      <c r="L271" s="50" t="str">
        <f t="shared" si="57"/>
        <v>(0.278 * E3_6_1_27_mRNA) - (0.00000278 * E3_6_1_27)</v>
      </c>
      <c r="M271" s="51" t="str">
        <f t="shared" si="58"/>
        <v>mRNA270: -&gt; E3_6_1_27_mRNA | 0.00292 - (0.0093 * E3_6_1_27_mRNA)</v>
      </c>
      <c r="N271" s="52" t="str">
        <f t="shared" si="59"/>
        <v>Peptide270: E3_6_1_27_mRNA -&gt; E3_6_1_27 | (0.278 * E3_6_1_27_mRNA) - (0.000000278 * E3_6_1_27)</v>
      </c>
    </row>
    <row r="272" spans="1:14" ht="16">
      <c r="A272" s="41">
        <v>271</v>
      </c>
      <c r="B272" s="42" t="s">
        <v>9173</v>
      </c>
      <c r="C272" s="41" t="str">
        <f t="shared" si="48"/>
        <v>E3_6_1_29_mRNA</v>
      </c>
      <c r="D272" s="41" t="str">
        <f t="shared" si="49"/>
        <v>E3_6_1_29</v>
      </c>
      <c r="E272" s="43" t="str">
        <f t="shared" si="50"/>
        <v>E3_6_1_29_kcat : 13.7</v>
      </c>
      <c r="F272" s="44" t="str">
        <f t="shared" si="51"/>
        <v>E3_6_1_29_km : 1</v>
      </c>
      <c r="G272" s="45" t="str">
        <f t="shared" si="52"/>
        <v>E3_6_1_29_mRNA : E3_6_1_29_mRNA</v>
      </c>
      <c r="H272" s="46" t="str">
        <f t="shared" si="53"/>
        <v>E3_6_1_29 : E3_6_1_29</v>
      </c>
      <c r="I272" s="47" t="str">
        <f t="shared" si="54"/>
        <v>E3_6_1_29_mRNA : 0</v>
      </c>
      <c r="J272" s="48" t="str">
        <f t="shared" si="55"/>
        <v>E3_6_1_29 : 0</v>
      </c>
      <c r="K272" s="49" t="str">
        <f t="shared" si="56"/>
        <v>0.00292 - (0.0093 * E3_6_1_29_mRNA)</v>
      </c>
      <c r="L272" s="50" t="str">
        <f t="shared" si="57"/>
        <v>(0.278 * E3_6_1_29_mRNA) - (0.00000278 * E3_6_1_29)</v>
      </c>
      <c r="M272" s="51" t="str">
        <f t="shared" si="58"/>
        <v>mRNA271: -&gt; E3_6_1_29_mRNA | 0.00292 - (0.0093 * E3_6_1_29_mRNA)</v>
      </c>
      <c r="N272" s="52" t="str">
        <f t="shared" si="59"/>
        <v>Peptide271: E3_6_1_29_mRNA -&gt; E3_6_1_29 | (0.278 * E3_6_1_29_mRNA) - (0.000000278 * E3_6_1_29)</v>
      </c>
    </row>
    <row r="273" spans="1:14" ht="16">
      <c r="A273" s="41">
        <v>272</v>
      </c>
      <c r="B273" s="42" t="s">
        <v>9174</v>
      </c>
      <c r="C273" s="41" t="str">
        <f t="shared" si="48"/>
        <v>E3_6_1_55_mRNA</v>
      </c>
      <c r="D273" s="41" t="str">
        <f t="shared" si="49"/>
        <v>E3_6_1_55</v>
      </c>
      <c r="E273" s="43" t="str">
        <f t="shared" si="50"/>
        <v>E3_6_1_55_kcat : 13.7</v>
      </c>
      <c r="F273" s="44" t="str">
        <f t="shared" si="51"/>
        <v>E3_6_1_55_km : 1</v>
      </c>
      <c r="G273" s="45" t="str">
        <f t="shared" si="52"/>
        <v>E3_6_1_55_mRNA : E3_6_1_55_mRNA</v>
      </c>
      <c r="H273" s="46" t="str">
        <f t="shared" si="53"/>
        <v>E3_6_1_55 : E3_6_1_55</v>
      </c>
      <c r="I273" s="47" t="str">
        <f t="shared" si="54"/>
        <v>E3_6_1_55_mRNA : 0</v>
      </c>
      <c r="J273" s="48" t="str">
        <f t="shared" si="55"/>
        <v>E3_6_1_55 : 0</v>
      </c>
      <c r="K273" s="49" t="str">
        <f t="shared" si="56"/>
        <v>0.00292 - (0.0093 * E3_6_1_55_mRNA)</v>
      </c>
      <c r="L273" s="50" t="str">
        <f t="shared" si="57"/>
        <v>(0.278 * E3_6_1_55_mRNA) - (0.00000278 * E3_6_1_55)</v>
      </c>
      <c r="M273" s="51" t="str">
        <f t="shared" si="58"/>
        <v>mRNA272: -&gt; E3_6_1_55_mRNA | 0.00292 - (0.0093 * E3_6_1_55_mRNA)</v>
      </c>
      <c r="N273" s="52" t="str">
        <f t="shared" si="59"/>
        <v>Peptide272: E3_6_1_55_mRNA -&gt; E3_6_1_55 | (0.278 * E3_6_1_55_mRNA) - (0.000000278 * E3_6_1_55)</v>
      </c>
    </row>
    <row r="274" spans="1:14" ht="16">
      <c r="A274" s="41">
        <v>273</v>
      </c>
      <c r="B274" s="42" t="s">
        <v>9175</v>
      </c>
      <c r="C274" s="41" t="str">
        <f t="shared" si="48"/>
        <v>E3_6_1_7_mRNA</v>
      </c>
      <c r="D274" s="41" t="str">
        <f t="shared" si="49"/>
        <v>E3_6_1_7</v>
      </c>
      <c r="E274" s="43" t="str">
        <f t="shared" si="50"/>
        <v>E3_6_1_7_kcat : 13.7</v>
      </c>
      <c r="F274" s="44" t="str">
        <f t="shared" si="51"/>
        <v>E3_6_1_7_km : 1</v>
      </c>
      <c r="G274" s="45" t="str">
        <f t="shared" si="52"/>
        <v>E3_6_1_7_mRNA : E3_6_1_7_mRNA</v>
      </c>
      <c r="H274" s="46" t="str">
        <f t="shared" si="53"/>
        <v>E3_6_1_7 : E3_6_1_7</v>
      </c>
      <c r="I274" s="47" t="str">
        <f t="shared" si="54"/>
        <v>E3_6_1_7_mRNA : 0</v>
      </c>
      <c r="J274" s="48" t="str">
        <f t="shared" si="55"/>
        <v>E3_6_1_7 : 0</v>
      </c>
      <c r="K274" s="49" t="str">
        <f t="shared" si="56"/>
        <v>0.00292 - (0.0093 * E3_6_1_7_mRNA)</v>
      </c>
      <c r="L274" s="50" t="str">
        <f t="shared" si="57"/>
        <v>(0.278 * E3_6_1_7_mRNA) - (0.00000278 * E3_6_1_7)</v>
      </c>
      <c r="M274" s="51" t="str">
        <f t="shared" si="58"/>
        <v>mRNA273: -&gt; E3_6_1_7_mRNA | 0.00292 - (0.0093 * E3_6_1_7_mRNA)</v>
      </c>
      <c r="N274" s="52" t="str">
        <f t="shared" si="59"/>
        <v>Peptide273: E3_6_1_7_mRNA -&gt; E3_6_1_7 | (0.278 * E3_6_1_7_mRNA) - (0.000000278 * E3_6_1_7)</v>
      </c>
    </row>
    <row r="275" spans="1:14" ht="16">
      <c r="A275" s="41">
        <v>274</v>
      </c>
      <c r="B275" s="42" t="s">
        <v>9176</v>
      </c>
      <c r="C275" s="41" t="str">
        <f t="shared" si="48"/>
        <v>E3_6_166_mRNA</v>
      </c>
      <c r="D275" s="41" t="str">
        <f t="shared" si="49"/>
        <v>E3_6_166</v>
      </c>
      <c r="E275" s="43" t="str">
        <f t="shared" si="50"/>
        <v>E3_6_166_kcat : 13.7</v>
      </c>
      <c r="F275" s="44" t="str">
        <f t="shared" si="51"/>
        <v>E3_6_166_km : 1</v>
      </c>
      <c r="G275" s="45" t="str">
        <f t="shared" si="52"/>
        <v>E3_6_166_mRNA : E3_6_166_mRNA</v>
      </c>
      <c r="H275" s="46" t="str">
        <f t="shared" si="53"/>
        <v>E3_6_166 : E3_6_166</v>
      </c>
      <c r="I275" s="47" t="str">
        <f t="shared" si="54"/>
        <v>E3_6_166_mRNA : 0</v>
      </c>
      <c r="J275" s="48" t="str">
        <f t="shared" si="55"/>
        <v>E3_6_166 : 0</v>
      </c>
      <c r="K275" s="49" t="str">
        <f t="shared" si="56"/>
        <v>0.00292 - (0.0093 * E3_6_166_mRNA)</v>
      </c>
      <c r="L275" s="50" t="str">
        <f t="shared" si="57"/>
        <v>(0.278 * E3_6_166_mRNA) - (0.00000278 * E3_6_166)</v>
      </c>
      <c r="M275" s="51" t="str">
        <f t="shared" si="58"/>
        <v>mRNA274: -&gt; E3_6_166_mRNA | 0.00292 - (0.0093 * E3_6_166_mRNA)</v>
      </c>
      <c r="N275" s="52" t="str">
        <f t="shared" si="59"/>
        <v>Peptide274: E3_6_166_mRNA -&gt; E3_6_166 | (0.278 * E3_6_166_mRNA) - (0.000000278 * E3_6_166)</v>
      </c>
    </row>
    <row r="276" spans="1:14" ht="16">
      <c r="A276" s="41">
        <v>275</v>
      </c>
      <c r="B276" s="42" t="s">
        <v>9177</v>
      </c>
      <c r="C276" s="41" t="str">
        <f t="shared" si="48"/>
        <v>E3_6_4_13_mRNA</v>
      </c>
      <c r="D276" s="41" t="str">
        <f t="shared" si="49"/>
        <v>E3_6_4_13</v>
      </c>
      <c r="E276" s="43" t="str">
        <f t="shared" si="50"/>
        <v>E3_6_4_13_kcat : 13.7</v>
      </c>
      <c r="F276" s="44" t="str">
        <f t="shared" si="51"/>
        <v>E3_6_4_13_km : 1</v>
      </c>
      <c r="G276" s="45" t="str">
        <f t="shared" si="52"/>
        <v>E3_6_4_13_mRNA : E3_6_4_13_mRNA</v>
      </c>
      <c r="H276" s="46" t="str">
        <f t="shared" si="53"/>
        <v>E3_6_4_13 : E3_6_4_13</v>
      </c>
      <c r="I276" s="47" t="str">
        <f t="shared" si="54"/>
        <v>E3_6_4_13_mRNA : 0</v>
      </c>
      <c r="J276" s="48" t="str">
        <f t="shared" si="55"/>
        <v>E3_6_4_13 : 0</v>
      </c>
      <c r="K276" s="49" t="str">
        <f t="shared" si="56"/>
        <v>0.00292 - (0.0093 * E3_6_4_13_mRNA)</v>
      </c>
      <c r="L276" s="50" t="str">
        <f t="shared" si="57"/>
        <v>(0.278 * E3_6_4_13_mRNA) - (0.00000278 * E3_6_4_13)</v>
      </c>
      <c r="M276" s="51" t="str">
        <f t="shared" si="58"/>
        <v>mRNA275: -&gt; E3_6_4_13_mRNA | 0.00292 - (0.0093 * E3_6_4_13_mRNA)</v>
      </c>
      <c r="N276" s="52" t="str">
        <f t="shared" si="59"/>
        <v>Peptide275: E3_6_4_13_mRNA -&gt; E3_6_4_13 | (0.278 * E3_6_4_13_mRNA) - (0.000000278 * E3_6_4_13)</v>
      </c>
    </row>
    <row r="277" spans="1:14" ht="16">
      <c r="A277" s="41">
        <v>276</v>
      </c>
      <c r="B277" s="42" t="s">
        <v>9178</v>
      </c>
      <c r="C277" s="41" t="str">
        <f t="shared" si="48"/>
        <v>E3_8_1_2_mRNA</v>
      </c>
      <c r="D277" s="41" t="str">
        <f t="shared" si="49"/>
        <v>E3_8_1_2</v>
      </c>
      <c r="E277" s="43" t="str">
        <f t="shared" si="50"/>
        <v>E3_8_1_2_kcat : 13.7</v>
      </c>
      <c r="F277" s="44" t="str">
        <f t="shared" si="51"/>
        <v>E3_8_1_2_km : 1</v>
      </c>
      <c r="G277" s="45" t="str">
        <f t="shared" si="52"/>
        <v>E3_8_1_2_mRNA : E3_8_1_2_mRNA</v>
      </c>
      <c r="H277" s="46" t="str">
        <f t="shared" si="53"/>
        <v>E3_8_1_2 : E3_8_1_2</v>
      </c>
      <c r="I277" s="47" t="str">
        <f t="shared" si="54"/>
        <v>E3_8_1_2_mRNA : 0</v>
      </c>
      <c r="J277" s="48" t="str">
        <f t="shared" si="55"/>
        <v>E3_8_1_2 : 0</v>
      </c>
      <c r="K277" s="49" t="str">
        <f t="shared" si="56"/>
        <v>0.00292 - (0.0093 * E3_8_1_2_mRNA)</v>
      </c>
      <c r="L277" s="50" t="str">
        <f t="shared" si="57"/>
        <v>(0.278 * E3_8_1_2_mRNA) - (0.00000278 * E3_8_1_2)</v>
      </c>
      <c r="M277" s="51" t="str">
        <f t="shared" si="58"/>
        <v>mRNA276: -&gt; E3_8_1_2_mRNA | 0.00292 - (0.0093 * E3_8_1_2_mRNA)</v>
      </c>
      <c r="N277" s="52" t="str">
        <f t="shared" si="59"/>
        <v>Peptide276: E3_8_1_2_mRNA -&gt; E3_8_1_2 | (0.278 * E3_8_1_2_mRNA) - (0.000000278 * E3_8_1_2)</v>
      </c>
    </row>
    <row r="278" spans="1:14" ht="16">
      <c r="A278" s="41">
        <v>277</v>
      </c>
      <c r="B278" s="42" t="s">
        <v>9179</v>
      </c>
      <c r="C278" s="41" t="str">
        <f t="shared" si="48"/>
        <v>E4_1_1_20_mRNA</v>
      </c>
      <c r="D278" s="41" t="str">
        <f t="shared" si="49"/>
        <v>E4_1_1_20</v>
      </c>
      <c r="E278" s="43" t="str">
        <f t="shared" si="50"/>
        <v>E4_1_1_20_kcat : 13.7</v>
      </c>
      <c r="F278" s="44" t="str">
        <f t="shared" si="51"/>
        <v>E4_1_1_20_km : 1</v>
      </c>
      <c r="G278" s="45" t="str">
        <f t="shared" si="52"/>
        <v>E4_1_1_20_mRNA : E4_1_1_20_mRNA</v>
      </c>
      <c r="H278" s="46" t="str">
        <f t="shared" si="53"/>
        <v>E4_1_1_20 : E4_1_1_20</v>
      </c>
      <c r="I278" s="47" t="str">
        <f t="shared" si="54"/>
        <v>E4_1_1_20_mRNA : 0</v>
      </c>
      <c r="J278" s="48" t="str">
        <f t="shared" si="55"/>
        <v>E4_1_1_20 : 0</v>
      </c>
      <c r="K278" s="49" t="str">
        <f t="shared" si="56"/>
        <v>0.00292 - (0.0093 * E4_1_1_20_mRNA)</v>
      </c>
      <c r="L278" s="50" t="str">
        <f t="shared" si="57"/>
        <v>(0.278 * E4_1_1_20_mRNA) - (0.00000278 * E4_1_1_20)</v>
      </c>
      <c r="M278" s="51" t="str">
        <f t="shared" si="58"/>
        <v>mRNA277: -&gt; E4_1_1_20_mRNA | 0.00292 - (0.0093 * E4_1_1_20_mRNA)</v>
      </c>
      <c r="N278" s="52" t="str">
        <f t="shared" si="59"/>
        <v>Peptide277: E4_1_1_20_mRNA -&gt; E4_1_1_20 | (0.278 * E4_1_1_20_mRNA) - (0.000000278 * E4_1_1_20)</v>
      </c>
    </row>
    <row r="279" spans="1:14" ht="16">
      <c r="A279" s="41">
        <v>278</v>
      </c>
      <c r="B279" s="42" t="s">
        <v>9180</v>
      </c>
      <c r="C279" s="41" t="str">
        <f t="shared" si="48"/>
        <v>E4_1_1_23_mRNA</v>
      </c>
      <c r="D279" s="41" t="str">
        <f t="shared" si="49"/>
        <v>E4_1_1_23</v>
      </c>
      <c r="E279" s="43" t="str">
        <f t="shared" si="50"/>
        <v>E4_1_1_23_kcat : 13.7</v>
      </c>
      <c r="F279" s="44" t="str">
        <f t="shared" si="51"/>
        <v>E4_1_1_23_km : 1</v>
      </c>
      <c r="G279" s="45" t="str">
        <f t="shared" si="52"/>
        <v>E4_1_1_23_mRNA : E4_1_1_23_mRNA</v>
      </c>
      <c r="H279" s="46" t="str">
        <f t="shared" si="53"/>
        <v>E4_1_1_23 : E4_1_1_23</v>
      </c>
      <c r="I279" s="47" t="str">
        <f t="shared" si="54"/>
        <v>E4_1_1_23_mRNA : 0</v>
      </c>
      <c r="J279" s="48" t="str">
        <f t="shared" si="55"/>
        <v>E4_1_1_23 : 0</v>
      </c>
      <c r="K279" s="49" t="str">
        <f t="shared" si="56"/>
        <v>0.00292 - (0.0093 * E4_1_1_23_mRNA)</v>
      </c>
      <c r="L279" s="50" t="str">
        <f t="shared" si="57"/>
        <v>(0.278 * E4_1_1_23_mRNA) - (0.00000278 * E4_1_1_23)</v>
      </c>
      <c r="M279" s="51" t="str">
        <f t="shared" si="58"/>
        <v>mRNA278: -&gt; E4_1_1_23_mRNA | 0.00292 - (0.0093 * E4_1_1_23_mRNA)</v>
      </c>
      <c r="N279" s="52" t="str">
        <f t="shared" si="59"/>
        <v>Peptide278: E4_1_1_23_mRNA -&gt; E4_1_1_23 | (0.278 * E4_1_1_23_mRNA) - (0.000000278 * E4_1_1_23)</v>
      </c>
    </row>
    <row r="280" spans="1:14" ht="16">
      <c r="A280" s="41">
        <v>279</v>
      </c>
      <c r="B280" s="42" t="s">
        <v>9181</v>
      </c>
      <c r="C280" s="41" t="str">
        <f t="shared" si="48"/>
        <v>E4_1_1_31_mRNA</v>
      </c>
      <c r="D280" s="41" t="str">
        <f t="shared" si="49"/>
        <v>E4_1_1_31</v>
      </c>
      <c r="E280" s="43" t="str">
        <f t="shared" si="50"/>
        <v>E4_1_1_31_kcat : 13.7</v>
      </c>
      <c r="F280" s="44" t="str">
        <f t="shared" si="51"/>
        <v>E4_1_1_31_km : 1</v>
      </c>
      <c r="G280" s="45" t="str">
        <f t="shared" si="52"/>
        <v>E4_1_1_31_mRNA : E4_1_1_31_mRNA</v>
      </c>
      <c r="H280" s="46" t="str">
        <f t="shared" si="53"/>
        <v>E4_1_1_31 : E4_1_1_31</v>
      </c>
      <c r="I280" s="47" t="str">
        <f t="shared" si="54"/>
        <v>E4_1_1_31_mRNA : 0</v>
      </c>
      <c r="J280" s="48" t="str">
        <f t="shared" si="55"/>
        <v>E4_1_1_31 : 0</v>
      </c>
      <c r="K280" s="49" t="str">
        <f t="shared" si="56"/>
        <v>0.00292 - (0.0093 * E4_1_1_31_mRNA)</v>
      </c>
      <c r="L280" s="50" t="str">
        <f t="shared" si="57"/>
        <v>(0.278 * E4_1_1_31_mRNA) - (0.00000278 * E4_1_1_31)</v>
      </c>
      <c r="M280" s="51" t="str">
        <f t="shared" si="58"/>
        <v>mRNA279: -&gt; E4_1_1_31_mRNA | 0.00292 - (0.0093 * E4_1_1_31_mRNA)</v>
      </c>
      <c r="N280" s="52" t="str">
        <f t="shared" si="59"/>
        <v>Peptide279: E4_1_1_31_mRNA -&gt; E4_1_1_31 | (0.278 * E4_1_1_31_mRNA) - (0.000000278 * E4_1_1_31)</v>
      </c>
    </row>
    <row r="281" spans="1:14" ht="16">
      <c r="A281" s="41">
        <v>280</v>
      </c>
      <c r="B281" s="42" t="s">
        <v>9182</v>
      </c>
      <c r="C281" s="41" t="str">
        <f t="shared" si="48"/>
        <v>E4_1_1_33_mRNA</v>
      </c>
      <c r="D281" s="41" t="str">
        <f t="shared" si="49"/>
        <v>E4_1_1_33</v>
      </c>
      <c r="E281" s="43" t="str">
        <f t="shared" si="50"/>
        <v>E4_1_1_33_kcat : 13.7</v>
      </c>
      <c r="F281" s="44" t="str">
        <f t="shared" si="51"/>
        <v>E4_1_1_33_km : 1</v>
      </c>
      <c r="G281" s="45" t="str">
        <f t="shared" si="52"/>
        <v>E4_1_1_33_mRNA : E4_1_1_33_mRNA</v>
      </c>
      <c r="H281" s="46" t="str">
        <f t="shared" si="53"/>
        <v>E4_1_1_33 : E4_1_1_33</v>
      </c>
      <c r="I281" s="47" t="str">
        <f t="shared" si="54"/>
        <v>E4_1_1_33_mRNA : 0</v>
      </c>
      <c r="J281" s="48" t="str">
        <f t="shared" si="55"/>
        <v>E4_1_1_33 : 0</v>
      </c>
      <c r="K281" s="49" t="str">
        <f t="shared" si="56"/>
        <v>0.00292 - (0.0093 * E4_1_1_33_mRNA)</v>
      </c>
      <c r="L281" s="50" t="str">
        <f t="shared" si="57"/>
        <v>(0.278 * E4_1_1_33_mRNA) - (0.00000278 * E4_1_1_33)</v>
      </c>
      <c r="M281" s="51" t="str">
        <f t="shared" si="58"/>
        <v>mRNA280: -&gt; E4_1_1_33_mRNA | 0.00292 - (0.0093 * E4_1_1_33_mRNA)</v>
      </c>
      <c r="N281" s="52" t="str">
        <f t="shared" si="59"/>
        <v>Peptide280: E4_1_1_33_mRNA -&gt; E4_1_1_33 | (0.278 * E4_1_1_33_mRNA) - (0.000000278 * E4_1_1_33)</v>
      </c>
    </row>
    <row r="282" spans="1:14" ht="16">
      <c r="A282" s="41">
        <v>281</v>
      </c>
      <c r="B282" s="42" t="s">
        <v>9183</v>
      </c>
      <c r="C282" s="41" t="str">
        <f t="shared" si="48"/>
        <v>E4_1_1_36_mRNA</v>
      </c>
      <c r="D282" s="41" t="str">
        <f t="shared" si="49"/>
        <v>E4_1_1_36</v>
      </c>
      <c r="E282" s="43" t="str">
        <f t="shared" si="50"/>
        <v>E4_1_1_36_kcat : 13.7</v>
      </c>
      <c r="F282" s="44" t="str">
        <f t="shared" si="51"/>
        <v>E4_1_1_36_km : 1</v>
      </c>
      <c r="G282" s="45" t="str">
        <f t="shared" si="52"/>
        <v>E4_1_1_36_mRNA : E4_1_1_36_mRNA</v>
      </c>
      <c r="H282" s="46" t="str">
        <f t="shared" si="53"/>
        <v>E4_1_1_36 : E4_1_1_36</v>
      </c>
      <c r="I282" s="47" t="str">
        <f t="shared" si="54"/>
        <v>E4_1_1_36_mRNA : 0</v>
      </c>
      <c r="J282" s="48" t="str">
        <f t="shared" si="55"/>
        <v>E4_1_1_36 : 0</v>
      </c>
      <c r="K282" s="49" t="str">
        <f t="shared" si="56"/>
        <v>0.00292 - (0.0093 * E4_1_1_36_mRNA)</v>
      </c>
      <c r="L282" s="50" t="str">
        <f t="shared" si="57"/>
        <v>(0.278 * E4_1_1_36_mRNA) - (0.00000278 * E4_1_1_36)</v>
      </c>
      <c r="M282" s="51" t="str">
        <f t="shared" si="58"/>
        <v>mRNA281: -&gt; E4_1_1_36_mRNA | 0.00292 - (0.0093 * E4_1_1_36_mRNA)</v>
      </c>
      <c r="N282" s="52" t="str">
        <f t="shared" si="59"/>
        <v>Peptide281: E4_1_1_36_mRNA -&gt; E4_1_1_36 | (0.278 * E4_1_1_36_mRNA) - (0.000000278 * E4_1_1_36)</v>
      </c>
    </row>
    <row r="283" spans="1:14" ht="16">
      <c r="A283" s="41">
        <v>282</v>
      </c>
      <c r="B283" s="42" t="s">
        <v>9184</v>
      </c>
      <c r="C283" s="41" t="str">
        <f t="shared" si="48"/>
        <v>E4_1_1_48_mRNA</v>
      </c>
      <c r="D283" s="41" t="str">
        <f t="shared" si="49"/>
        <v>E4_1_1_48</v>
      </c>
      <c r="E283" s="43" t="str">
        <f t="shared" si="50"/>
        <v>E4_1_1_48_kcat : 13.7</v>
      </c>
      <c r="F283" s="44" t="str">
        <f t="shared" si="51"/>
        <v>E4_1_1_48_km : 1</v>
      </c>
      <c r="G283" s="45" t="str">
        <f t="shared" si="52"/>
        <v>E4_1_1_48_mRNA : E4_1_1_48_mRNA</v>
      </c>
      <c r="H283" s="46" t="str">
        <f t="shared" si="53"/>
        <v>E4_1_1_48 : E4_1_1_48</v>
      </c>
      <c r="I283" s="47" t="str">
        <f t="shared" si="54"/>
        <v>E4_1_1_48_mRNA : 0</v>
      </c>
      <c r="J283" s="48" t="str">
        <f t="shared" si="55"/>
        <v>E4_1_1_48 : 0</v>
      </c>
      <c r="K283" s="49" t="str">
        <f t="shared" si="56"/>
        <v>0.00292 - (0.0093 * E4_1_1_48_mRNA)</v>
      </c>
      <c r="L283" s="50" t="str">
        <f t="shared" si="57"/>
        <v>(0.278 * E4_1_1_48_mRNA) - (0.00000278 * E4_1_1_48)</v>
      </c>
      <c r="M283" s="51" t="str">
        <f t="shared" si="58"/>
        <v>mRNA282: -&gt; E4_1_1_48_mRNA | 0.00292 - (0.0093 * E4_1_1_48_mRNA)</v>
      </c>
      <c r="N283" s="52" t="str">
        <f t="shared" si="59"/>
        <v>Peptide282: E4_1_1_48_mRNA -&gt; E4_1_1_48 | (0.278 * E4_1_1_48_mRNA) - (0.000000278 * E4_1_1_48)</v>
      </c>
    </row>
    <row r="284" spans="1:14" ht="16">
      <c r="A284" s="41">
        <v>283</v>
      </c>
      <c r="B284" s="42" t="s">
        <v>9185</v>
      </c>
      <c r="C284" s="41" t="str">
        <f t="shared" si="48"/>
        <v>E4_1_1_5_mRNA</v>
      </c>
      <c r="D284" s="41" t="str">
        <f t="shared" si="49"/>
        <v>E4_1_1_5</v>
      </c>
      <c r="E284" s="43" t="str">
        <f t="shared" si="50"/>
        <v>E4_1_1_5_kcat : 13.7</v>
      </c>
      <c r="F284" s="44" t="str">
        <f t="shared" si="51"/>
        <v>E4_1_1_5_km : 1</v>
      </c>
      <c r="G284" s="45" t="str">
        <f t="shared" si="52"/>
        <v>E4_1_1_5_mRNA : E4_1_1_5_mRNA</v>
      </c>
      <c r="H284" s="46" t="str">
        <f t="shared" si="53"/>
        <v>E4_1_1_5 : E4_1_1_5</v>
      </c>
      <c r="I284" s="47" t="str">
        <f t="shared" si="54"/>
        <v>E4_1_1_5_mRNA : 0</v>
      </c>
      <c r="J284" s="48" t="str">
        <f t="shared" si="55"/>
        <v>E4_1_1_5 : 0</v>
      </c>
      <c r="K284" s="49" t="str">
        <f t="shared" si="56"/>
        <v>0.00292 - (0.0093 * E4_1_1_5_mRNA)</v>
      </c>
      <c r="L284" s="50" t="str">
        <f t="shared" si="57"/>
        <v>(0.278 * E4_1_1_5_mRNA) - (0.00000278 * E4_1_1_5)</v>
      </c>
      <c r="M284" s="51" t="str">
        <f t="shared" si="58"/>
        <v>mRNA283: -&gt; E4_1_1_5_mRNA | 0.00292 - (0.0093 * E4_1_1_5_mRNA)</v>
      </c>
      <c r="N284" s="52" t="str">
        <f t="shared" si="59"/>
        <v>Peptide283: E4_1_1_5_mRNA -&gt; E4_1_1_5 | (0.278 * E4_1_1_5_mRNA) - (0.000000278 * E4_1_1_5)</v>
      </c>
    </row>
    <row r="285" spans="1:14" ht="16">
      <c r="A285" s="41">
        <v>284</v>
      </c>
      <c r="B285" s="42" t="s">
        <v>9186</v>
      </c>
      <c r="C285" s="41" t="str">
        <f t="shared" si="48"/>
        <v>E4_1_2_13_mRNA</v>
      </c>
      <c r="D285" s="41" t="str">
        <f t="shared" si="49"/>
        <v>E4_1_2_13</v>
      </c>
      <c r="E285" s="43" t="str">
        <f t="shared" si="50"/>
        <v>E4_1_2_13_kcat : 13.7</v>
      </c>
      <c r="F285" s="44" t="str">
        <f t="shared" si="51"/>
        <v>E4_1_2_13_km : 1</v>
      </c>
      <c r="G285" s="45" t="str">
        <f t="shared" si="52"/>
        <v>E4_1_2_13_mRNA : E4_1_2_13_mRNA</v>
      </c>
      <c r="H285" s="46" t="str">
        <f t="shared" si="53"/>
        <v>E4_1_2_13 : E4_1_2_13</v>
      </c>
      <c r="I285" s="47" t="str">
        <f t="shared" si="54"/>
        <v>E4_1_2_13_mRNA : 0</v>
      </c>
      <c r="J285" s="48" t="str">
        <f t="shared" si="55"/>
        <v>E4_1_2_13 : 0</v>
      </c>
      <c r="K285" s="49" t="str">
        <f t="shared" si="56"/>
        <v>0.00292 - (0.0093 * E4_1_2_13_mRNA)</v>
      </c>
      <c r="L285" s="50" t="str">
        <f t="shared" si="57"/>
        <v>(0.278 * E4_1_2_13_mRNA) - (0.00000278 * E4_1_2_13)</v>
      </c>
      <c r="M285" s="51" t="str">
        <f t="shared" si="58"/>
        <v>mRNA284: -&gt; E4_1_2_13_mRNA | 0.00292 - (0.0093 * E4_1_2_13_mRNA)</v>
      </c>
      <c r="N285" s="52" t="str">
        <f t="shared" si="59"/>
        <v>Peptide284: E4_1_2_13_mRNA -&gt; E4_1_2_13 | (0.278 * E4_1_2_13_mRNA) - (0.000000278 * E4_1_2_13)</v>
      </c>
    </row>
    <row r="286" spans="1:14" ht="16">
      <c r="A286" s="41">
        <v>285</v>
      </c>
      <c r="B286" s="42" t="s">
        <v>9187</v>
      </c>
      <c r="C286" s="41" t="str">
        <f t="shared" si="48"/>
        <v>E4_1_2_25_mRNA</v>
      </c>
      <c r="D286" s="41" t="str">
        <f t="shared" si="49"/>
        <v>E4_1_2_25</v>
      </c>
      <c r="E286" s="43" t="str">
        <f t="shared" si="50"/>
        <v>E4_1_2_25_kcat : 13.7</v>
      </c>
      <c r="F286" s="44" t="str">
        <f t="shared" si="51"/>
        <v>E4_1_2_25_km : 1</v>
      </c>
      <c r="G286" s="45" t="str">
        <f t="shared" si="52"/>
        <v>E4_1_2_25_mRNA : E4_1_2_25_mRNA</v>
      </c>
      <c r="H286" s="46" t="str">
        <f t="shared" si="53"/>
        <v>E4_1_2_25 : E4_1_2_25</v>
      </c>
      <c r="I286" s="47" t="str">
        <f t="shared" si="54"/>
        <v>E4_1_2_25_mRNA : 0</v>
      </c>
      <c r="J286" s="48" t="str">
        <f t="shared" si="55"/>
        <v>E4_1_2_25 : 0</v>
      </c>
      <c r="K286" s="49" t="str">
        <f t="shared" si="56"/>
        <v>0.00292 - (0.0093 * E4_1_2_25_mRNA)</v>
      </c>
      <c r="L286" s="50" t="str">
        <f t="shared" si="57"/>
        <v>(0.278 * E4_1_2_25_mRNA) - (0.00000278 * E4_1_2_25)</v>
      </c>
      <c r="M286" s="51" t="str">
        <f t="shared" si="58"/>
        <v>mRNA285: -&gt; E4_1_2_25_mRNA | 0.00292 - (0.0093 * E4_1_2_25_mRNA)</v>
      </c>
      <c r="N286" s="52" t="str">
        <f t="shared" si="59"/>
        <v>Peptide285: E4_1_2_25_mRNA -&gt; E4_1_2_25 | (0.278 * E4_1_2_25_mRNA) - (0.000000278 * E4_1_2_25)</v>
      </c>
    </row>
    <row r="287" spans="1:14" ht="16">
      <c r="A287" s="41">
        <v>286</v>
      </c>
      <c r="B287" s="42" t="s">
        <v>9188</v>
      </c>
      <c r="C287" s="41" t="str">
        <f t="shared" si="48"/>
        <v>E4_1_99_3_mRNA</v>
      </c>
      <c r="D287" s="41" t="str">
        <f t="shared" si="49"/>
        <v>E4_1_99_3</v>
      </c>
      <c r="E287" s="43" t="str">
        <f t="shared" si="50"/>
        <v>E4_1_99_3_kcat : 13.7</v>
      </c>
      <c r="F287" s="44" t="str">
        <f t="shared" si="51"/>
        <v>E4_1_99_3_km : 1</v>
      </c>
      <c r="G287" s="45" t="str">
        <f t="shared" si="52"/>
        <v>E4_1_99_3_mRNA : E4_1_99_3_mRNA</v>
      </c>
      <c r="H287" s="46" t="str">
        <f t="shared" si="53"/>
        <v>E4_1_99_3 : E4_1_99_3</v>
      </c>
      <c r="I287" s="47" t="str">
        <f t="shared" si="54"/>
        <v>E4_1_99_3_mRNA : 0</v>
      </c>
      <c r="J287" s="48" t="str">
        <f t="shared" si="55"/>
        <v>E4_1_99_3 : 0</v>
      </c>
      <c r="K287" s="49" t="str">
        <f t="shared" si="56"/>
        <v>0.00292 - (0.0093 * E4_1_99_3_mRNA)</v>
      </c>
      <c r="L287" s="50" t="str">
        <f t="shared" si="57"/>
        <v>(0.278 * E4_1_99_3_mRNA) - (0.00000278 * E4_1_99_3)</v>
      </c>
      <c r="M287" s="51" t="str">
        <f t="shared" si="58"/>
        <v>mRNA286: -&gt; E4_1_99_3_mRNA | 0.00292 - (0.0093 * E4_1_99_3_mRNA)</v>
      </c>
      <c r="N287" s="52" t="str">
        <f t="shared" si="59"/>
        <v>Peptide286: E4_1_99_3_mRNA -&gt; E4_1_99_3 | (0.278 * E4_1_99_3_mRNA) - (0.000000278 * E4_1_99_3)</v>
      </c>
    </row>
    <row r="288" spans="1:14" ht="16">
      <c r="A288" s="41">
        <v>287</v>
      </c>
      <c r="B288" s="42" t="s">
        <v>9189</v>
      </c>
      <c r="C288" s="41" t="str">
        <f t="shared" si="48"/>
        <v>E4_2_1_1_mRNA</v>
      </c>
      <c r="D288" s="41" t="str">
        <f t="shared" si="49"/>
        <v>E4_2_1_1</v>
      </c>
      <c r="E288" s="43" t="str">
        <f t="shared" si="50"/>
        <v>E4_2_1_1_kcat : 13.7</v>
      </c>
      <c r="F288" s="44" t="str">
        <f t="shared" si="51"/>
        <v>E4_2_1_1_km : 1</v>
      </c>
      <c r="G288" s="45" t="str">
        <f t="shared" si="52"/>
        <v>E4_2_1_1_mRNA : E4_2_1_1_mRNA</v>
      </c>
      <c r="H288" s="46" t="str">
        <f t="shared" si="53"/>
        <v>E4_2_1_1 : E4_2_1_1</v>
      </c>
      <c r="I288" s="47" t="str">
        <f t="shared" si="54"/>
        <v>E4_2_1_1_mRNA : 0</v>
      </c>
      <c r="J288" s="48" t="str">
        <f t="shared" si="55"/>
        <v>E4_2_1_1 : 0</v>
      </c>
      <c r="K288" s="49" t="str">
        <f t="shared" si="56"/>
        <v>0.00292 - (0.0093 * E4_2_1_1_mRNA)</v>
      </c>
      <c r="L288" s="50" t="str">
        <f t="shared" si="57"/>
        <v>(0.278 * E4_2_1_1_mRNA) - (0.00000278 * E4_2_1_1)</v>
      </c>
      <c r="M288" s="51" t="str">
        <f t="shared" si="58"/>
        <v>mRNA287: -&gt; E4_2_1_1_mRNA | 0.00292 - (0.0093 * E4_2_1_1_mRNA)</v>
      </c>
      <c r="N288" s="52" t="str">
        <f t="shared" si="59"/>
        <v>Peptide287: E4_2_1_1_mRNA -&gt; E4_2_1_1 | (0.278 * E4_2_1_1_mRNA) - (0.000000278 * E4_2_1_1)</v>
      </c>
    </row>
    <row r="289" spans="1:14" ht="16">
      <c r="A289" s="41">
        <v>288</v>
      </c>
      <c r="B289" s="42" t="s">
        <v>9190</v>
      </c>
      <c r="C289" s="41" t="str">
        <f t="shared" si="48"/>
        <v>E4_2_1_10_mRNA</v>
      </c>
      <c r="D289" s="41" t="str">
        <f t="shared" si="49"/>
        <v>E4_2_1_10</v>
      </c>
      <c r="E289" s="43" t="str">
        <f t="shared" si="50"/>
        <v>E4_2_1_10_kcat : 13.7</v>
      </c>
      <c r="F289" s="44" t="str">
        <f t="shared" si="51"/>
        <v>E4_2_1_10_km : 1</v>
      </c>
      <c r="G289" s="45" t="str">
        <f t="shared" si="52"/>
        <v>E4_2_1_10_mRNA : E4_2_1_10_mRNA</v>
      </c>
      <c r="H289" s="46" t="str">
        <f t="shared" si="53"/>
        <v>E4_2_1_10 : E4_2_1_10</v>
      </c>
      <c r="I289" s="47" t="str">
        <f t="shared" si="54"/>
        <v>E4_2_1_10_mRNA : 0</v>
      </c>
      <c r="J289" s="48" t="str">
        <f t="shared" si="55"/>
        <v>E4_2_1_10 : 0</v>
      </c>
      <c r="K289" s="49" t="str">
        <f t="shared" si="56"/>
        <v>0.00292 - (0.0093 * E4_2_1_10_mRNA)</v>
      </c>
      <c r="L289" s="50" t="str">
        <f t="shared" si="57"/>
        <v>(0.278 * E4_2_1_10_mRNA) - (0.00000278 * E4_2_1_10)</v>
      </c>
      <c r="M289" s="51" t="str">
        <f t="shared" si="58"/>
        <v>mRNA288: -&gt; E4_2_1_10_mRNA | 0.00292 - (0.0093 * E4_2_1_10_mRNA)</v>
      </c>
      <c r="N289" s="52" t="str">
        <f t="shared" si="59"/>
        <v>Peptide288: E4_2_1_10_mRNA -&gt; E4_2_1_10 | (0.278 * E4_2_1_10_mRNA) - (0.000000278 * E4_2_1_10)</v>
      </c>
    </row>
    <row r="290" spans="1:14" ht="16">
      <c r="A290" s="41">
        <v>289</v>
      </c>
      <c r="B290" s="42" t="s">
        <v>9191</v>
      </c>
      <c r="C290" s="41" t="str">
        <f t="shared" si="48"/>
        <v>E4_2_1_11_mRNA</v>
      </c>
      <c r="D290" s="41" t="str">
        <f t="shared" si="49"/>
        <v>E4_2_1_11</v>
      </c>
      <c r="E290" s="43" t="str">
        <f t="shared" si="50"/>
        <v>E4_2_1_11_kcat : 13.7</v>
      </c>
      <c r="F290" s="44" t="str">
        <f t="shared" si="51"/>
        <v>E4_2_1_11_km : 1</v>
      </c>
      <c r="G290" s="45" t="str">
        <f t="shared" si="52"/>
        <v>E4_2_1_11_mRNA : E4_2_1_11_mRNA</v>
      </c>
      <c r="H290" s="46" t="str">
        <f t="shared" si="53"/>
        <v>E4_2_1_11 : E4_2_1_11</v>
      </c>
      <c r="I290" s="47" t="str">
        <f t="shared" si="54"/>
        <v>E4_2_1_11_mRNA : 0</v>
      </c>
      <c r="J290" s="48" t="str">
        <f t="shared" si="55"/>
        <v>E4_2_1_11 : 0</v>
      </c>
      <c r="K290" s="49" t="str">
        <f t="shared" si="56"/>
        <v>0.00292 - (0.0093 * E4_2_1_11_mRNA)</v>
      </c>
      <c r="L290" s="50" t="str">
        <f t="shared" si="57"/>
        <v>(0.278 * E4_2_1_11_mRNA) - (0.00000278 * E4_2_1_11)</v>
      </c>
      <c r="M290" s="51" t="str">
        <f t="shared" si="58"/>
        <v>mRNA289: -&gt; E4_2_1_11_mRNA | 0.00292 - (0.0093 * E4_2_1_11_mRNA)</v>
      </c>
      <c r="N290" s="52" t="str">
        <f t="shared" si="59"/>
        <v>Peptide289: E4_2_1_11_mRNA -&gt; E4_2_1_11 | (0.278 * E4_2_1_11_mRNA) - (0.000000278 * E4_2_1_11)</v>
      </c>
    </row>
    <row r="291" spans="1:14" ht="16">
      <c r="A291" s="41">
        <v>290</v>
      </c>
      <c r="B291" s="42" t="s">
        <v>9192</v>
      </c>
      <c r="C291" s="41" t="str">
        <f t="shared" si="48"/>
        <v>E4_2_1_136_mRNA</v>
      </c>
      <c r="D291" s="41" t="str">
        <f t="shared" si="49"/>
        <v>E4_2_1_136</v>
      </c>
      <c r="E291" s="43" t="str">
        <f t="shared" si="50"/>
        <v>E4_2_1_136_kcat : 13.7</v>
      </c>
      <c r="F291" s="44" t="str">
        <f t="shared" si="51"/>
        <v>E4_2_1_136_km : 1</v>
      </c>
      <c r="G291" s="45" t="str">
        <f t="shared" si="52"/>
        <v>E4_2_1_136_mRNA : E4_2_1_136_mRNA</v>
      </c>
      <c r="H291" s="46" t="str">
        <f t="shared" si="53"/>
        <v>E4_2_1_136 : E4_2_1_136</v>
      </c>
      <c r="I291" s="47" t="str">
        <f t="shared" si="54"/>
        <v>E4_2_1_136_mRNA : 0</v>
      </c>
      <c r="J291" s="48" t="str">
        <f t="shared" si="55"/>
        <v>E4_2_1_136 : 0</v>
      </c>
      <c r="K291" s="49" t="str">
        <f t="shared" si="56"/>
        <v>0.00292 - (0.0093 * E4_2_1_136_mRNA)</v>
      </c>
      <c r="L291" s="50" t="str">
        <f t="shared" si="57"/>
        <v>(0.278 * E4_2_1_136_mRNA) - (0.00000278 * E4_2_1_136)</v>
      </c>
      <c r="M291" s="51" t="str">
        <f t="shared" si="58"/>
        <v>mRNA290: -&gt; E4_2_1_136_mRNA | 0.00292 - (0.0093 * E4_2_1_136_mRNA)</v>
      </c>
      <c r="N291" s="52" t="str">
        <f t="shared" si="59"/>
        <v>Peptide290: E4_2_1_136_mRNA -&gt; E4_2_1_136 | (0.278 * E4_2_1_136_mRNA) - (0.000000278 * E4_2_1_136)</v>
      </c>
    </row>
    <row r="292" spans="1:14" ht="16">
      <c r="A292" s="41">
        <v>291</v>
      </c>
      <c r="B292" s="42" t="s">
        <v>9193</v>
      </c>
      <c r="C292" s="41" t="str">
        <f t="shared" si="48"/>
        <v>E4_2_1_20_mRNA</v>
      </c>
      <c r="D292" s="41" t="str">
        <f t="shared" si="49"/>
        <v>E4_2_1_20</v>
      </c>
      <c r="E292" s="43" t="str">
        <f t="shared" si="50"/>
        <v>E4_2_1_20_kcat : 13.7</v>
      </c>
      <c r="F292" s="44" t="str">
        <f t="shared" si="51"/>
        <v>E4_2_1_20_km : 1</v>
      </c>
      <c r="G292" s="45" t="str">
        <f t="shared" si="52"/>
        <v>E4_2_1_20_mRNA : E4_2_1_20_mRNA</v>
      </c>
      <c r="H292" s="46" t="str">
        <f t="shared" si="53"/>
        <v>E4_2_1_20 : E4_2_1_20</v>
      </c>
      <c r="I292" s="47" t="str">
        <f t="shared" si="54"/>
        <v>E4_2_1_20_mRNA : 0</v>
      </c>
      <c r="J292" s="48" t="str">
        <f t="shared" si="55"/>
        <v>E4_2_1_20 : 0</v>
      </c>
      <c r="K292" s="49" t="str">
        <f t="shared" si="56"/>
        <v>0.00292 - (0.0093 * E4_2_1_20_mRNA)</v>
      </c>
      <c r="L292" s="50" t="str">
        <f t="shared" si="57"/>
        <v>(0.278 * E4_2_1_20_mRNA) - (0.00000278 * E4_2_1_20)</v>
      </c>
      <c r="M292" s="51" t="str">
        <f t="shared" si="58"/>
        <v>mRNA291: -&gt; E4_2_1_20_mRNA | 0.00292 - (0.0093 * E4_2_1_20_mRNA)</v>
      </c>
      <c r="N292" s="52" t="str">
        <f t="shared" si="59"/>
        <v>Peptide291: E4_2_1_20_mRNA -&gt; E4_2_1_20 | (0.278 * E4_2_1_20_mRNA) - (0.000000278 * E4_2_1_20)</v>
      </c>
    </row>
    <row r="293" spans="1:14" ht="16">
      <c r="A293" s="41">
        <v>292</v>
      </c>
      <c r="B293" s="42" t="s">
        <v>9194</v>
      </c>
      <c r="C293" s="41" t="str">
        <f t="shared" si="48"/>
        <v>E4_2_1_21_mRNA</v>
      </c>
      <c r="D293" s="41" t="str">
        <f t="shared" si="49"/>
        <v>E4_2_1_21</v>
      </c>
      <c r="E293" s="43" t="str">
        <f t="shared" si="50"/>
        <v>E4_2_1_21_kcat : 13.7</v>
      </c>
      <c r="F293" s="44" t="str">
        <f t="shared" si="51"/>
        <v>E4_2_1_21_km : 1</v>
      </c>
      <c r="G293" s="45" t="str">
        <f t="shared" si="52"/>
        <v>E4_2_1_21_mRNA : E4_2_1_21_mRNA</v>
      </c>
      <c r="H293" s="46" t="str">
        <f t="shared" si="53"/>
        <v>E4_2_1_21 : E4_2_1_21</v>
      </c>
      <c r="I293" s="47" t="str">
        <f t="shared" si="54"/>
        <v>E4_2_1_21_mRNA : 0</v>
      </c>
      <c r="J293" s="48" t="str">
        <f t="shared" si="55"/>
        <v>E4_2_1_21 : 0</v>
      </c>
      <c r="K293" s="49" t="str">
        <f t="shared" si="56"/>
        <v>0.00292 - (0.0093 * E4_2_1_21_mRNA)</v>
      </c>
      <c r="L293" s="50" t="str">
        <f t="shared" si="57"/>
        <v>(0.278 * E4_2_1_21_mRNA) - (0.00000278 * E4_2_1_21)</v>
      </c>
      <c r="M293" s="51" t="str">
        <f t="shared" si="58"/>
        <v>mRNA292: -&gt; E4_2_1_21_mRNA | 0.00292 - (0.0093 * E4_2_1_21_mRNA)</v>
      </c>
      <c r="N293" s="52" t="str">
        <f t="shared" si="59"/>
        <v>Peptide292: E4_2_1_21_mRNA -&gt; E4_2_1_21 | (0.278 * E4_2_1_21_mRNA) - (0.000000278 * E4_2_1_21)</v>
      </c>
    </row>
    <row r="294" spans="1:14" ht="16">
      <c r="A294" s="41">
        <v>293</v>
      </c>
      <c r="B294" s="42" t="s">
        <v>9195</v>
      </c>
      <c r="C294" s="41" t="str">
        <f t="shared" si="48"/>
        <v>E4_2_1_3_mRNA</v>
      </c>
      <c r="D294" s="41" t="str">
        <f t="shared" si="49"/>
        <v>E4_2_1_3</v>
      </c>
      <c r="E294" s="43" t="str">
        <f t="shared" si="50"/>
        <v>E4_2_1_3_kcat : 13.7</v>
      </c>
      <c r="F294" s="44" t="str">
        <f t="shared" si="51"/>
        <v>E4_2_1_3_km : 1</v>
      </c>
      <c r="G294" s="45" t="str">
        <f t="shared" si="52"/>
        <v>E4_2_1_3_mRNA : E4_2_1_3_mRNA</v>
      </c>
      <c r="H294" s="46" t="str">
        <f t="shared" si="53"/>
        <v>E4_2_1_3 : E4_2_1_3</v>
      </c>
      <c r="I294" s="47" t="str">
        <f t="shared" si="54"/>
        <v>E4_2_1_3_mRNA : 0</v>
      </c>
      <c r="J294" s="48" t="str">
        <f t="shared" si="55"/>
        <v>E4_2_1_3 : 0</v>
      </c>
      <c r="K294" s="49" t="str">
        <f t="shared" si="56"/>
        <v>0.00292 - (0.0093 * E4_2_1_3_mRNA)</v>
      </c>
      <c r="L294" s="50" t="str">
        <f t="shared" si="57"/>
        <v>(0.278 * E4_2_1_3_mRNA) - (0.00000278 * E4_2_1_3)</v>
      </c>
      <c r="M294" s="51" t="str">
        <f t="shared" si="58"/>
        <v>mRNA293: -&gt; E4_2_1_3_mRNA | 0.00292 - (0.0093 * E4_2_1_3_mRNA)</v>
      </c>
      <c r="N294" s="52" t="str">
        <f t="shared" si="59"/>
        <v>Peptide293: E4_2_1_3_mRNA -&gt; E4_2_1_3 | (0.278 * E4_2_1_3_mRNA) - (0.000000278 * E4_2_1_3)</v>
      </c>
    </row>
    <row r="295" spans="1:14" ht="16">
      <c r="A295" s="41">
        <v>294</v>
      </c>
      <c r="B295" s="42" t="s">
        <v>9196</v>
      </c>
      <c r="C295" s="41" t="str">
        <f t="shared" si="48"/>
        <v>E4_2_1_33_mRNA</v>
      </c>
      <c r="D295" s="41" t="str">
        <f t="shared" si="49"/>
        <v>E4_2_1_33</v>
      </c>
      <c r="E295" s="43" t="str">
        <f t="shared" si="50"/>
        <v>E4_2_1_33_kcat : 13.7</v>
      </c>
      <c r="F295" s="44" t="str">
        <f t="shared" si="51"/>
        <v>E4_2_1_33_km : 1</v>
      </c>
      <c r="G295" s="45" t="str">
        <f t="shared" si="52"/>
        <v>E4_2_1_33_mRNA : E4_2_1_33_mRNA</v>
      </c>
      <c r="H295" s="46" t="str">
        <f t="shared" si="53"/>
        <v>E4_2_1_33 : E4_2_1_33</v>
      </c>
      <c r="I295" s="47" t="str">
        <f t="shared" si="54"/>
        <v>E4_2_1_33_mRNA : 0</v>
      </c>
      <c r="J295" s="48" t="str">
        <f t="shared" si="55"/>
        <v>E4_2_1_33 : 0</v>
      </c>
      <c r="K295" s="49" t="str">
        <f t="shared" si="56"/>
        <v>0.00292 - (0.0093 * E4_2_1_33_mRNA)</v>
      </c>
      <c r="L295" s="50" t="str">
        <f t="shared" si="57"/>
        <v>(0.278 * E4_2_1_33_mRNA) - (0.00000278 * E4_2_1_33)</v>
      </c>
      <c r="M295" s="51" t="str">
        <f t="shared" si="58"/>
        <v>mRNA294: -&gt; E4_2_1_33_mRNA | 0.00292 - (0.0093 * E4_2_1_33_mRNA)</v>
      </c>
      <c r="N295" s="52" t="str">
        <f t="shared" si="59"/>
        <v>Peptide294: E4_2_1_33_mRNA -&gt; E4_2_1_33 | (0.278 * E4_2_1_33_mRNA) - (0.000000278 * E4_2_1_33)</v>
      </c>
    </row>
    <row r="296" spans="1:14" ht="16">
      <c r="A296" s="41">
        <v>295</v>
      </c>
      <c r="B296" s="42" t="s">
        <v>9197</v>
      </c>
      <c r="C296" s="41" t="str">
        <f t="shared" si="48"/>
        <v>E4_2_1_34_mRNA</v>
      </c>
      <c r="D296" s="41" t="str">
        <f t="shared" si="49"/>
        <v>E4_2_1_34</v>
      </c>
      <c r="E296" s="43" t="str">
        <f t="shared" si="50"/>
        <v>E4_2_1_34_kcat : 13.7</v>
      </c>
      <c r="F296" s="44" t="str">
        <f t="shared" si="51"/>
        <v>E4_2_1_34_km : 1</v>
      </c>
      <c r="G296" s="45" t="str">
        <f t="shared" si="52"/>
        <v>E4_2_1_34_mRNA : E4_2_1_34_mRNA</v>
      </c>
      <c r="H296" s="46" t="str">
        <f t="shared" si="53"/>
        <v>E4_2_1_34 : E4_2_1_34</v>
      </c>
      <c r="I296" s="47" t="str">
        <f t="shared" si="54"/>
        <v>E4_2_1_34_mRNA : 0</v>
      </c>
      <c r="J296" s="48" t="str">
        <f t="shared" si="55"/>
        <v>E4_2_1_34 : 0</v>
      </c>
      <c r="K296" s="49" t="str">
        <f t="shared" si="56"/>
        <v>0.00292 - (0.0093 * E4_2_1_34_mRNA)</v>
      </c>
      <c r="L296" s="50" t="str">
        <f t="shared" si="57"/>
        <v>(0.278 * E4_2_1_34_mRNA) - (0.00000278 * E4_2_1_34)</v>
      </c>
      <c r="M296" s="51" t="str">
        <f t="shared" si="58"/>
        <v>mRNA295: -&gt; E4_2_1_34_mRNA | 0.00292 - (0.0093 * E4_2_1_34_mRNA)</v>
      </c>
      <c r="N296" s="52" t="str">
        <f t="shared" si="59"/>
        <v>Peptide295: E4_2_1_34_mRNA -&gt; E4_2_1_34 | (0.278 * E4_2_1_34_mRNA) - (0.000000278 * E4_2_1_34)</v>
      </c>
    </row>
    <row r="297" spans="1:14" ht="16">
      <c r="A297" s="41">
        <v>296</v>
      </c>
      <c r="B297" s="42" t="s">
        <v>9198</v>
      </c>
      <c r="C297" s="41" t="str">
        <f t="shared" si="48"/>
        <v>E4_2_1_46_mRNA</v>
      </c>
      <c r="D297" s="41" t="str">
        <f t="shared" si="49"/>
        <v>E4_2_1_46</v>
      </c>
      <c r="E297" s="43" t="str">
        <f t="shared" si="50"/>
        <v>E4_2_1_46_kcat : 13.7</v>
      </c>
      <c r="F297" s="44" t="str">
        <f t="shared" si="51"/>
        <v>E4_2_1_46_km : 1</v>
      </c>
      <c r="G297" s="45" t="str">
        <f t="shared" si="52"/>
        <v>E4_2_1_46_mRNA : E4_2_1_46_mRNA</v>
      </c>
      <c r="H297" s="46" t="str">
        <f t="shared" si="53"/>
        <v>E4_2_1_46 : E4_2_1_46</v>
      </c>
      <c r="I297" s="47" t="str">
        <f t="shared" si="54"/>
        <v>E4_2_1_46_mRNA : 0</v>
      </c>
      <c r="J297" s="48" t="str">
        <f t="shared" si="55"/>
        <v>E4_2_1_46 : 0</v>
      </c>
      <c r="K297" s="49" t="str">
        <f t="shared" si="56"/>
        <v>0.00292 - (0.0093 * E4_2_1_46_mRNA)</v>
      </c>
      <c r="L297" s="50" t="str">
        <f t="shared" si="57"/>
        <v>(0.278 * E4_2_1_46_mRNA) - (0.00000278 * E4_2_1_46)</v>
      </c>
      <c r="M297" s="51" t="str">
        <f t="shared" si="58"/>
        <v>mRNA296: -&gt; E4_2_1_46_mRNA | 0.00292 - (0.0093 * E4_2_1_46_mRNA)</v>
      </c>
      <c r="N297" s="52" t="str">
        <f t="shared" si="59"/>
        <v>Peptide296: E4_2_1_46_mRNA -&gt; E4_2_1_46 | (0.278 * E4_2_1_46_mRNA) - (0.000000278 * E4_2_1_46)</v>
      </c>
    </row>
    <row r="298" spans="1:14" ht="16">
      <c r="A298" s="41">
        <v>297</v>
      </c>
      <c r="B298" s="42" t="s">
        <v>9199</v>
      </c>
      <c r="C298" s="41" t="str">
        <f t="shared" si="48"/>
        <v>E4_2_1_49_mRNA</v>
      </c>
      <c r="D298" s="41" t="str">
        <f t="shared" si="49"/>
        <v>E4_2_1_49</v>
      </c>
      <c r="E298" s="43" t="str">
        <f t="shared" si="50"/>
        <v>E4_2_1_49_kcat : 13.7</v>
      </c>
      <c r="F298" s="44" t="str">
        <f t="shared" si="51"/>
        <v>E4_2_1_49_km : 1</v>
      </c>
      <c r="G298" s="45" t="str">
        <f t="shared" si="52"/>
        <v>E4_2_1_49_mRNA : E4_2_1_49_mRNA</v>
      </c>
      <c r="H298" s="46" t="str">
        <f t="shared" si="53"/>
        <v>E4_2_1_49 : E4_2_1_49</v>
      </c>
      <c r="I298" s="47" t="str">
        <f t="shared" si="54"/>
        <v>E4_2_1_49_mRNA : 0</v>
      </c>
      <c r="J298" s="48" t="str">
        <f t="shared" si="55"/>
        <v>E4_2_1_49 : 0</v>
      </c>
      <c r="K298" s="49" t="str">
        <f t="shared" si="56"/>
        <v>0.00292 - (0.0093 * E4_2_1_49_mRNA)</v>
      </c>
      <c r="L298" s="50" t="str">
        <f t="shared" si="57"/>
        <v>(0.278 * E4_2_1_49_mRNA) - (0.00000278 * E4_2_1_49)</v>
      </c>
      <c r="M298" s="51" t="str">
        <f t="shared" si="58"/>
        <v>mRNA297: -&gt; E4_2_1_49_mRNA | 0.00292 - (0.0093 * E4_2_1_49_mRNA)</v>
      </c>
      <c r="N298" s="52" t="str">
        <f t="shared" si="59"/>
        <v>Peptide297: E4_2_1_49_mRNA -&gt; E4_2_1_49 | (0.278 * E4_2_1_49_mRNA) - (0.000000278 * E4_2_1_49)</v>
      </c>
    </row>
    <row r="299" spans="1:14" ht="16">
      <c r="A299" s="41">
        <v>298</v>
      </c>
      <c r="B299" s="42" t="s">
        <v>9200</v>
      </c>
      <c r="C299" s="41" t="str">
        <f t="shared" si="48"/>
        <v>E4_2_1_51_mRNA</v>
      </c>
      <c r="D299" s="41" t="str">
        <f t="shared" si="49"/>
        <v>E4_2_1_51</v>
      </c>
      <c r="E299" s="43" t="str">
        <f t="shared" si="50"/>
        <v>E4_2_1_51_kcat : 13.7</v>
      </c>
      <c r="F299" s="44" t="str">
        <f t="shared" si="51"/>
        <v>E4_2_1_51_km : 1</v>
      </c>
      <c r="G299" s="45" t="str">
        <f t="shared" si="52"/>
        <v>E4_2_1_51_mRNA : E4_2_1_51_mRNA</v>
      </c>
      <c r="H299" s="46" t="str">
        <f t="shared" si="53"/>
        <v>E4_2_1_51 : E4_2_1_51</v>
      </c>
      <c r="I299" s="47" t="str">
        <f t="shared" si="54"/>
        <v>E4_2_1_51_mRNA : 0</v>
      </c>
      <c r="J299" s="48" t="str">
        <f t="shared" si="55"/>
        <v>E4_2_1_51 : 0</v>
      </c>
      <c r="K299" s="49" t="str">
        <f t="shared" si="56"/>
        <v>0.00292 - (0.0093 * E4_2_1_51_mRNA)</v>
      </c>
      <c r="L299" s="50" t="str">
        <f t="shared" si="57"/>
        <v>(0.278 * E4_2_1_51_mRNA) - (0.00000278 * E4_2_1_51)</v>
      </c>
      <c r="M299" s="51" t="str">
        <f t="shared" si="58"/>
        <v>mRNA298: -&gt; E4_2_1_51_mRNA | 0.00292 - (0.0093 * E4_2_1_51_mRNA)</v>
      </c>
      <c r="N299" s="52" t="str">
        <f t="shared" si="59"/>
        <v>Peptide298: E4_2_1_51_mRNA -&gt; E4_2_1_51 | (0.278 * E4_2_1_51_mRNA) - (0.000000278 * E4_2_1_51)</v>
      </c>
    </row>
    <row r="300" spans="1:14" ht="16">
      <c r="A300" s="41">
        <v>299</v>
      </c>
      <c r="B300" s="42" t="s">
        <v>9201</v>
      </c>
      <c r="C300" s="41" t="str">
        <f t="shared" si="48"/>
        <v>E4_2_1_59_mRNA</v>
      </c>
      <c r="D300" s="41" t="str">
        <f t="shared" si="49"/>
        <v>E4_2_1_59</v>
      </c>
      <c r="E300" s="43" t="str">
        <f t="shared" si="50"/>
        <v>E4_2_1_59_kcat : 13.7</v>
      </c>
      <c r="F300" s="44" t="str">
        <f t="shared" si="51"/>
        <v>E4_2_1_59_km : 1</v>
      </c>
      <c r="G300" s="45" t="str">
        <f t="shared" si="52"/>
        <v>E4_2_1_59_mRNA : E4_2_1_59_mRNA</v>
      </c>
      <c r="H300" s="46" t="str">
        <f t="shared" si="53"/>
        <v>E4_2_1_59 : E4_2_1_59</v>
      </c>
      <c r="I300" s="47" t="str">
        <f t="shared" si="54"/>
        <v>E4_2_1_59_mRNA : 0</v>
      </c>
      <c r="J300" s="48" t="str">
        <f t="shared" si="55"/>
        <v>E4_2_1_59 : 0</v>
      </c>
      <c r="K300" s="49" t="str">
        <f t="shared" si="56"/>
        <v>0.00292 - (0.0093 * E4_2_1_59_mRNA)</v>
      </c>
      <c r="L300" s="50" t="str">
        <f t="shared" si="57"/>
        <v>(0.278 * E4_2_1_59_mRNA) - (0.00000278 * E4_2_1_59)</v>
      </c>
      <c r="M300" s="51" t="str">
        <f t="shared" si="58"/>
        <v>mRNA299: -&gt; E4_2_1_59_mRNA | 0.00292 - (0.0093 * E4_2_1_59_mRNA)</v>
      </c>
      <c r="N300" s="52" t="str">
        <f t="shared" si="59"/>
        <v>Peptide299: E4_2_1_59_mRNA -&gt; E4_2_1_59 | (0.278 * E4_2_1_59_mRNA) - (0.000000278 * E4_2_1_59)</v>
      </c>
    </row>
    <row r="301" spans="1:14" ht="16">
      <c r="A301" s="41">
        <v>300</v>
      </c>
      <c r="B301" s="42" t="s">
        <v>9202</v>
      </c>
      <c r="C301" s="41" t="str">
        <f t="shared" si="48"/>
        <v>E4_2_1_70_mRNA</v>
      </c>
      <c r="D301" s="41" t="str">
        <f t="shared" si="49"/>
        <v>E4_2_1_70</v>
      </c>
      <c r="E301" s="43" t="str">
        <f t="shared" si="50"/>
        <v>E4_2_1_70_kcat : 13.7</v>
      </c>
      <c r="F301" s="44" t="str">
        <f t="shared" si="51"/>
        <v>E4_2_1_70_km : 1</v>
      </c>
      <c r="G301" s="45" t="str">
        <f t="shared" si="52"/>
        <v>E4_2_1_70_mRNA : E4_2_1_70_mRNA</v>
      </c>
      <c r="H301" s="46" t="str">
        <f t="shared" si="53"/>
        <v>E4_2_1_70 : E4_2_1_70</v>
      </c>
      <c r="I301" s="47" t="str">
        <f t="shared" si="54"/>
        <v>E4_2_1_70_mRNA : 0</v>
      </c>
      <c r="J301" s="48" t="str">
        <f t="shared" si="55"/>
        <v>E4_2_1_70 : 0</v>
      </c>
      <c r="K301" s="49" t="str">
        <f t="shared" si="56"/>
        <v>0.00292 - (0.0093 * E4_2_1_70_mRNA)</v>
      </c>
      <c r="L301" s="50" t="str">
        <f t="shared" si="57"/>
        <v>(0.278 * E4_2_1_70_mRNA) - (0.00000278 * E4_2_1_70)</v>
      </c>
      <c r="M301" s="51" t="str">
        <f t="shared" si="58"/>
        <v>mRNA300: -&gt; E4_2_1_70_mRNA | 0.00292 - (0.0093 * E4_2_1_70_mRNA)</v>
      </c>
      <c r="N301" s="52" t="str">
        <f t="shared" si="59"/>
        <v>Peptide300: E4_2_1_70_mRNA -&gt; E4_2_1_70 | (0.278 * E4_2_1_70_mRNA) - (0.000000278 * E4_2_1_70)</v>
      </c>
    </row>
    <row r="302" spans="1:14" ht="16">
      <c r="A302" s="41">
        <v>301</v>
      </c>
      <c r="B302" s="42" t="s">
        <v>9203</v>
      </c>
      <c r="C302" s="41" t="str">
        <f t="shared" si="48"/>
        <v>E4_2_1_9_mRNA</v>
      </c>
      <c r="D302" s="41" t="str">
        <f t="shared" si="49"/>
        <v>E4_2_1_9</v>
      </c>
      <c r="E302" s="43" t="str">
        <f t="shared" si="50"/>
        <v>E4_2_1_9_kcat : 13.7</v>
      </c>
      <c r="F302" s="44" t="str">
        <f t="shared" si="51"/>
        <v>E4_2_1_9_km : 1</v>
      </c>
      <c r="G302" s="45" t="str">
        <f t="shared" si="52"/>
        <v>E4_2_1_9_mRNA : E4_2_1_9_mRNA</v>
      </c>
      <c r="H302" s="46" t="str">
        <f t="shared" si="53"/>
        <v>E4_2_1_9 : E4_2_1_9</v>
      </c>
      <c r="I302" s="47" t="str">
        <f t="shared" si="54"/>
        <v>E4_2_1_9_mRNA : 0</v>
      </c>
      <c r="J302" s="48" t="str">
        <f t="shared" si="55"/>
        <v>E4_2_1_9 : 0</v>
      </c>
      <c r="K302" s="49" t="str">
        <f t="shared" si="56"/>
        <v>0.00292 - (0.0093 * E4_2_1_9_mRNA)</v>
      </c>
      <c r="L302" s="50" t="str">
        <f t="shared" si="57"/>
        <v>(0.278 * E4_2_1_9_mRNA) - (0.00000278 * E4_2_1_9)</v>
      </c>
      <c r="M302" s="51" t="str">
        <f t="shared" si="58"/>
        <v>mRNA301: -&gt; E4_2_1_9_mRNA | 0.00292 - (0.0093 * E4_2_1_9_mRNA)</v>
      </c>
      <c r="N302" s="52" t="str">
        <f t="shared" si="59"/>
        <v>Peptide301: E4_2_1_9_mRNA -&gt; E4_2_1_9 | (0.278 * E4_2_1_9_mRNA) - (0.000000278 * E4_2_1_9)</v>
      </c>
    </row>
    <row r="303" spans="1:14" ht="16">
      <c r="A303" s="41">
        <v>302</v>
      </c>
      <c r="B303" s="42" t="s">
        <v>9204</v>
      </c>
      <c r="C303" s="41" t="str">
        <f t="shared" si="48"/>
        <v>E4_2_3_1_mRNA</v>
      </c>
      <c r="D303" s="41" t="str">
        <f t="shared" si="49"/>
        <v>E4_2_3_1</v>
      </c>
      <c r="E303" s="43" t="str">
        <f t="shared" si="50"/>
        <v>E4_2_3_1_kcat : 13.7</v>
      </c>
      <c r="F303" s="44" t="str">
        <f t="shared" si="51"/>
        <v>E4_2_3_1_km : 1</v>
      </c>
      <c r="G303" s="45" t="str">
        <f t="shared" si="52"/>
        <v>E4_2_3_1_mRNA : E4_2_3_1_mRNA</v>
      </c>
      <c r="H303" s="46" t="str">
        <f t="shared" si="53"/>
        <v>E4_2_3_1 : E4_2_3_1</v>
      </c>
      <c r="I303" s="47" t="str">
        <f t="shared" si="54"/>
        <v>E4_2_3_1_mRNA : 0</v>
      </c>
      <c r="J303" s="48" t="str">
        <f t="shared" si="55"/>
        <v>E4_2_3_1 : 0</v>
      </c>
      <c r="K303" s="49" t="str">
        <f t="shared" si="56"/>
        <v>0.00292 - (0.0093 * E4_2_3_1_mRNA)</v>
      </c>
      <c r="L303" s="50" t="str">
        <f t="shared" si="57"/>
        <v>(0.278 * E4_2_3_1_mRNA) - (0.00000278 * E4_2_3_1)</v>
      </c>
      <c r="M303" s="51" t="str">
        <f t="shared" si="58"/>
        <v>mRNA302: -&gt; E4_2_3_1_mRNA | 0.00292 - (0.0093 * E4_2_3_1_mRNA)</v>
      </c>
      <c r="N303" s="52" t="str">
        <f t="shared" si="59"/>
        <v>Peptide302: E4_2_3_1_mRNA -&gt; E4_2_3_1 | (0.278 * E4_2_3_1_mRNA) - (0.000000278 * E4_2_3_1)</v>
      </c>
    </row>
    <row r="304" spans="1:14" ht="16">
      <c r="A304" s="41">
        <v>303</v>
      </c>
      <c r="B304" s="42" t="s">
        <v>9205</v>
      </c>
      <c r="C304" s="41" t="str">
        <f t="shared" si="48"/>
        <v>E4_2_3_4_mRNA</v>
      </c>
      <c r="D304" s="41" t="str">
        <f t="shared" si="49"/>
        <v>E4_2_3_4</v>
      </c>
      <c r="E304" s="43" t="str">
        <f t="shared" si="50"/>
        <v>E4_2_3_4_kcat : 13.7</v>
      </c>
      <c r="F304" s="44" t="str">
        <f t="shared" si="51"/>
        <v>E4_2_3_4_km : 1</v>
      </c>
      <c r="G304" s="45" t="str">
        <f t="shared" si="52"/>
        <v>E4_2_3_4_mRNA : E4_2_3_4_mRNA</v>
      </c>
      <c r="H304" s="46" t="str">
        <f t="shared" si="53"/>
        <v>E4_2_3_4 : E4_2_3_4</v>
      </c>
      <c r="I304" s="47" t="str">
        <f t="shared" si="54"/>
        <v>E4_2_3_4_mRNA : 0</v>
      </c>
      <c r="J304" s="48" t="str">
        <f t="shared" si="55"/>
        <v>E4_2_3_4 : 0</v>
      </c>
      <c r="K304" s="49" t="str">
        <f t="shared" si="56"/>
        <v>0.00292 - (0.0093 * E4_2_3_4_mRNA)</v>
      </c>
      <c r="L304" s="50" t="str">
        <f t="shared" si="57"/>
        <v>(0.278 * E4_2_3_4_mRNA) - (0.00000278 * E4_2_3_4)</v>
      </c>
      <c r="M304" s="51" t="str">
        <f t="shared" si="58"/>
        <v>mRNA303: -&gt; E4_2_3_4_mRNA | 0.00292 - (0.0093 * E4_2_3_4_mRNA)</v>
      </c>
      <c r="N304" s="52" t="str">
        <f t="shared" si="59"/>
        <v>Peptide303: E4_2_3_4_mRNA -&gt; E4_2_3_4 | (0.278 * E4_2_3_4_mRNA) - (0.000000278 * E4_2_3_4)</v>
      </c>
    </row>
    <row r="305" spans="1:14" ht="16">
      <c r="A305" s="41">
        <v>304</v>
      </c>
      <c r="B305" s="42" t="s">
        <v>9206</v>
      </c>
      <c r="C305" s="41" t="str">
        <f t="shared" si="48"/>
        <v>E4_2_3_5_mRNA</v>
      </c>
      <c r="D305" s="41" t="str">
        <f t="shared" si="49"/>
        <v>E4_2_3_5</v>
      </c>
      <c r="E305" s="43" t="str">
        <f t="shared" si="50"/>
        <v>E4_2_3_5_kcat : 13.7</v>
      </c>
      <c r="F305" s="44" t="str">
        <f t="shared" si="51"/>
        <v>E4_2_3_5_km : 1</v>
      </c>
      <c r="G305" s="45" t="str">
        <f t="shared" si="52"/>
        <v>E4_2_3_5_mRNA : E4_2_3_5_mRNA</v>
      </c>
      <c r="H305" s="46" t="str">
        <f t="shared" si="53"/>
        <v>E4_2_3_5 : E4_2_3_5</v>
      </c>
      <c r="I305" s="47" t="str">
        <f t="shared" si="54"/>
        <v>E4_2_3_5_mRNA : 0</v>
      </c>
      <c r="J305" s="48" t="str">
        <f t="shared" si="55"/>
        <v>E4_2_3_5 : 0</v>
      </c>
      <c r="K305" s="49" t="str">
        <f t="shared" si="56"/>
        <v>0.00292 - (0.0093 * E4_2_3_5_mRNA)</v>
      </c>
      <c r="L305" s="50" t="str">
        <f t="shared" si="57"/>
        <v>(0.278 * E4_2_3_5_mRNA) - (0.00000278 * E4_2_3_5)</v>
      </c>
      <c r="M305" s="51" t="str">
        <f t="shared" si="58"/>
        <v>mRNA304: -&gt; E4_2_3_5_mRNA | 0.00292 - (0.0093 * E4_2_3_5_mRNA)</v>
      </c>
      <c r="N305" s="52" t="str">
        <f t="shared" si="59"/>
        <v>Peptide304: E4_2_3_5_mRNA -&gt; E4_2_3_5 | (0.278 * E4_2_3_5_mRNA) - (0.000000278 * E4_2_3_5)</v>
      </c>
    </row>
    <row r="306" spans="1:14" ht="16">
      <c r="A306" s="41">
        <v>305</v>
      </c>
      <c r="B306" s="42" t="s">
        <v>9207</v>
      </c>
      <c r="C306" s="41" t="str">
        <f t="shared" si="48"/>
        <v>E4_2_99_18_mRNA</v>
      </c>
      <c r="D306" s="41" t="str">
        <f t="shared" si="49"/>
        <v>E4_2_99_18</v>
      </c>
      <c r="E306" s="43" t="str">
        <f t="shared" si="50"/>
        <v>E4_2_99_18_kcat : 13.7</v>
      </c>
      <c r="F306" s="44" t="str">
        <f t="shared" si="51"/>
        <v>E4_2_99_18_km : 1</v>
      </c>
      <c r="G306" s="45" t="str">
        <f t="shared" si="52"/>
        <v>E4_2_99_18_mRNA : E4_2_99_18_mRNA</v>
      </c>
      <c r="H306" s="46" t="str">
        <f t="shared" si="53"/>
        <v>E4_2_99_18 : E4_2_99_18</v>
      </c>
      <c r="I306" s="47" t="str">
        <f t="shared" si="54"/>
        <v>E4_2_99_18_mRNA : 0</v>
      </c>
      <c r="J306" s="48" t="str">
        <f t="shared" si="55"/>
        <v>E4_2_99_18 : 0</v>
      </c>
      <c r="K306" s="49" t="str">
        <f t="shared" si="56"/>
        <v>0.00292 - (0.0093 * E4_2_99_18_mRNA)</v>
      </c>
      <c r="L306" s="50" t="str">
        <f t="shared" si="57"/>
        <v>(0.278 * E4_2_99_18_mRNA) - (0.00000278 * E4_2_99_18)</v>
      </c>
      <c r="M306" s="51" t="str">
        <f t="shared" si="58"/>
        <v>mRNA305: -&gt; E4_2_99_18_mRNA | 0.00292 - (0.0093 * E4_2_99_18_mRNA)</v>
      </c>
      <c r="N306" s="52" t="str">
        <f t="shared" si="59"/>
        <v>Peptide305: E4_2_99_18_mRNA -&gt; E4_2_99_18 | (0.278 * E4_2_99_18_mRNA) - (0.000000278 * E4_2_99_18)</v>
      </c>
    </row>
    <row r="307" spans="1:14" ht="16">
      <c r="A307" s="41">
        <v>306</v>
      </c>
      <c r="B307" s="42" t="s">
        <v>9208</v>
      </c>
      <c r="C307" s="41" t="str">
        <f t="shared" si="48"/>
        <v>E4_3_1_17_mRNA</v>
      </c>
      <c r="D307" s="41" t="str">
        <f t="shared" si="49"/>
        <v>E4_3_1_17</v>
      </c>
      <c r="E307" s="43" t="str">
        <f t="shared" si="50"/>
        <v>E4_3_1_17_kcat : 13.7</v>
      </c>
      <c r="F307" s="44" t="str">
        <f t="shared" si="51"/>
        <v>E4_3_1_17_km : 1</v>
      </c>
      <c r="G307" s="45" t="str">
        <f t="shared" si="52"/>
        <v>E4_3_1_17_mRNA : E4_3_1_17_mRNA</v>
      </c>
      <c r="H307" s="46" t="str">
        <f t="shared" si="53"/>
        <v>E4_3_1_17 : E4_3_1_17</v>
      </c>
      <c r="I307" s="47" t="str">
        <f t="shared" si="54"/>
        <v>E4_3_1_17_mRNA : 0</v>
      </c>
      <c r="J307" s="48" t="str">
        <f t="shared" si="55"/>
        <v>E4_3_1_17 : 0</v>
      </c>
      <c r="K307" s="49" t="str">
        <f t="shared" si="56"/>
        <v>0.00292 - (0.0093 * E4_3_1_17_mRNA)</v>
      </c>
      <c r="L307" s="50" t="str">
        <f t="shared" si="57"/>
        <v>(0.278 * E4_3_1_17_mRNA) - (0.00000278 * E4_3_1_17)</v>
      </c>
      <c r="M307" s="51" t="str">
        <f t="shared" si="58"/>
        <v>mRNA306: -&gt; E4_3_1_17_mRNA | 0.00292 - (0.0093 * E4_3_1_17_mRNA)</v>
      </c>
      <c r="N307" s="52" t="str">
        <f t="shared" si="59"/>
        <v>Peptide306: E4_3_1_17_mRNA -&gt; E4_3_1_17 | (0.278 * E4_3_1_17_mRNA) - (0.000000278 * E4_3_1_17)</v>
      </c>
    </row>
    <row r="308" spans="1:14" ht="16">
      <c r="A308" s="41">
        <v>307</v>
      </c>
      <c r="B308" s="42" t="s">
        <v>9209</v>
      </c>
      <c r="C308" s="41" t="str">
        <f t="shared" si="48"/>
        <v>E4_3_1_18_mRNA</v>
      </c>
      <c r="D308" s="41" t="str">
        <f t="shared" si="49"/>
        <v>E4_3_1_18</v>
      </c>
      <c r="E308" s="43" t="str">
        <f t="shared" si="50"/>
        <v>E4_3_1_18_kcat : 13.7</v>
      </c>
      <c r="F308" s="44" t="str">
        <f t="shared" si="51"/>
        <v>E4_3_1_18_km : 1</v>
      </c>
      <c r="G308" s="45" t="str">
        <f t="shared" si="52"/>
        <v>E4_3_1_18_mRNA : E4_3_1_18_mRNA</v>
      </c>
      <c r="H308" s="46" t="str">
        <f t="shared" si="53"/>
        <v>E4_3_1_18 : E4_3_1_18</v>
      </c>
      <c r="I308" s="47" t="str">
        <f t="shared" si="54"/>
        <v>E4_3_1_18_mRNA : 0</v>
      </c>
      <c r="J308" s="48" t="str">
        <f t="shared" si="55"/>
        <v>E4_3_1_18 : 0</v>
      </c>
      <c r="K308" s="49" t="str">
        <f t="shared" si="56"/>
        <v>0.00292 - (0.0093 * E4_3_1_18_mRNA)</v>
      </c>
      <c r="L308" s="50" t="str">
        <f t="shared" si="57"/>
        <v>(0.278 * E4_3_1_18_mRNA) - (0.00000278 * E4_3_1_18)</v>
      </c>
      <c r="M308" s="51" t="str">
        <f t="shared" si="58"/>
        <v>mRNA307: -&gt; E4_3_1_18_mRNA | 0.00292 - (0.0093 * E4_3_1_18_mRNA)</v>
      </c>
      <c r="N308" s="52" t="str">
        <f t="shared" si="59"/>
        <v>Peptide307: E4_3_1_18_mRNA -&gt; E4_3_1_18 | (0.278 * E4_3_1_18_mRNA) - (0.000000278 * E4_3_1_18)</v>
      </c>
    </row>
    <row r="309" spans="1:14" ht="16">
      <c r="A309" s="41">
        <v>308</v>
      </c>
      <c r="B309" s="42" t="s">
        <v>9210</v>
      </c>
      <c r="C309" s="41" t="str">
        <f t="shared" si="48"/>
        <v>E4_3_1_19_mRNA</v>
      </c>
      <c r="D309" s="41" t="str">
        <f t="shared" si="49"/>
        <v>E4_3_1_19</v>
      </c>
      <c r="E309" s="43" t="str">
        <f t="shared" si="50"/>
        <v>E4_3_1_19_kcat : 13.7</v>
      </c>
      <c r="F309" s="44" t="str">
        <f t="shared" si="51"/>
        <v>E4_3_1_19_km : 1</v>
      </c>
      <c r="G309" s="45" t="str">
        <f t="shared" si="52"/>
        <v>E4_3_1_19_mRNA : E4_3_1_19_mRNA</v>
      </c>
      <c r="H309" s="46" t="str">
        <f t="shared" si="53"/>
        <v>E4_3_1_19 : E4_3_1_19</v>
      </c>
      <c r="I309" s="47" t="str">
        <f t="shared" si="54"/>
        <v>E4_3_1_19_mRNA : 0</v>
      </c>
      <c r="J309" s="48" t="str">
        <f t="shared" si="55"/>
        <v>E4_3_1_19 : 0</v>
      </c>
      <c r="K309" s="49" t="str">
        <f t="shared" si="56"/>
        <v>0.00292 - (0.0093 * E4_3_1_19_mRNA)</v>
      </c>
      <c r="L309" s="50" t="str">
        <f t="shared" si="57"/>
        <v>(0.278 * E4_3_1_19_mRNA) - (0.00000278 * E4_3_1_19)</v>
      </c>
      <c r="M309" s="51" t="str">
        <f t="shared" si="58"/>
        <v>mRNA308: -&gt; E4_3_1_19_mRNA | 0.00292 - (0.0093 * E4_3_1_19_mRNA)</v>
      </c>
      <c r="N309" s="52" t="str">
        <f t="shared" si="59"/>
        <v>Peptide308: E4_3_1_19_mRNA -&gt; E4_3_1_19 | (0.278 * E4_3_1_19_mRNA) - (0.000000278 * E4_3_1_19)</v>
      </c>
    </row>
    <row r="310" spans="1:14" ht="16">
      <c r="A310" s="41">
        <v>309</v>
      </c>
      <c r="B310" s="42" t="s">
        <v>9211</v>
      </c>
      <c r="C310" s="41" t="str">
        <f t="shared" si="48"/>
        <v>E4_3_2_1_mRNA</v>
      </c>
      <c r="D310" s="41" t="str">
        <f t="shared" si="49"/>
        <v>E4_3_2_1</v>
      </c>
      <c r="E310" s="43" t="str">
        <f t="shared" si="50"/>
        <v>E4_3_2_1_kcat : 13.7</v>
      </c>
      <c r="F310" s="44" t="str">
        <f t="shared" si="51"/>
        <v>E4_3_2_1_km : 1</v>
      </c>
      <c r="G310" s="45" t="str">
        <f t="shared" si="52"/>
        <v>E4_3_2_1_mRNA : E4_3_2_1_mRNA</v>
      </c>
      <c r="H310" s="46" t="str">
        <f t="shared" si="53"/>
        <v>E4_3_2_1 : E4_3_2_1</v>
      </c>
      <c r="I310" s="47" t="str">
        <f t="shared" si="54"/>
        <v>E4_3_2_1_mRNA : 0</v>
      </c>
      <c r="J310" s="48" t="str">
        <f t="shared" si="55"/>
        <v>E4_3_2_1 : 0</v>
      </c>
      <c r="K310" s="49" t="str">
        <f t="shared" si="56"/>
        <v>0.00292 - (0.0093 * E4_3_2_1_mRNA)</v>
      </c>
      <c r="L310" s="50" t="str">
        <f t="shared" si="57"/>
        <v>(0.278 * E4_3_2_1_mRNA) - (0.00000278 * E4_3_2_1)</v>
      </c>
      <c r="M310" s="51" t="str">
        <f t="shared" si="58"/>
        <v>mRNA309: -&gt; E4_3_2_1_mRNA | 0.00292 - (0.0093 * E4_3_2_1_mRNA)</v>
      </c>
      <c r="N310" s="52" t="str">
        <f t="shared" si="59"/>
        <v>Peptide309: E4_3_2_1_mRNA -&gt; E4_3_2_1 | (0.278 * E4_3_2_1_mRNA) - (0.000000278 * E4_3_2_1)</v>
      </c>
    </row>
    <row r="311" spans="1:14" ht="16">
      <c r="A311" s="41">
        <v>310</v>
      </c>
      <c r="B311" s="42" t="s">
        <v>9212</v>
      </c>
      <c r="C311" s="41" t="str">
        <f t="shared" si="48"/>
        <v>E4_3_2_2_mRNA</v>
      </c>
      <c r="D311" s="41" t="str">
        <f t="shared" si="49"/>
        <v>E4_3_2_2</v>
      </c>
      <c r="E311" s="43" t="str">
        <f t="shared" si="50"/>
        <v>E4_3_2_2_kcat : 13.7</v>
      </c>
      <c r="F311" s="44" t="str">
        <f t="shared" si="51"/>
        <v>E4_3_2_2_km : 1</v>
      </c>
      <c r="G311" s="45" t="str">
        <f t="shared" si="52"/>
        <v>E4_3_2_2_mRNA : E4_3_2_2_mRNA</v>
      </c>
      <c r="H311" s="46" t="str">
        <f t="shared" si="53"/>
        <v>E4_3_2_2 : E4_3_2_2</v>
      </c>
      <c r="I311" s="47" t="str">
        <f t="shared" si="54"/>
        <v>E4_3_2_2_mRNA : 0</v>
      </c>
      <c r="J311" s="48" t="str">
        <f t="shared" si="55"/>
        <v>E4_3_2_2 : 0</v>
      </c>
      <c r="K311" s="49" t="str">
        <f t="shared" si="56"/>
        <v>0.00292 - (0.0093 * E4_3_2_2_mRNA)</v>
      </c>
      <c r="L311" s="50" t="str">
        <f t="shared" si="57"/>
        <v>(0.278 * E4_3_2_2_mRNA) - (0.00000278 * E4_3_2_2)</v>
      </c>
      <c r="M311" s="51" t="str">
        <f t="shared" si="58"/>
        <v>mRNA310: -&gt; E4_3_2_2_mRNA | 0.00292 - (0.0093 * E4_3_2_2_mRNA)</v>
      </c>
      <c r="N311" s="52" t="str">
        <f t="shared" si="59"/>
        <v>Peptide310: E4_3_2_2_mRNA -&gt; E4_3_2_2 | (0.278 * E4_3_2_2_mRNA) - (0.000000278 * E4_3_2_2)</v>
      </c>
    </row>
    <row r="312" spans="1:14" ht="16">
      <c r="A312" s="41">
        <v>311</v>
      </c>
      <c r="B312" s="42" t="s">
        <v>9213</v>
      </c>
      <c r="C312" s="41" t="str">
        <f t="shared" si="48"/>
        <v>E4_3_3_7_mRNA</v>
      </c>
      <c r="D312" s="41" t="str">
        <f t="shared" si="49"/>
        <v>E4_3_3_7</v>
      </c>
      <c r="E312" s="43" t="str">
        <f t="shared" si="50"/>
        <v>E4_3_3_7_kcat : 13.7</v>
      </c>
      <c r="F312" s="44" t="str">
        <f t="shared" si="51"/>
        <v>E4_3_3_7_km : 1</v>
      </c>
      <c r="G312" s="45" t="str">
        <f t="shared" si="52"/>
        <v>E4_3_3_7_mRNA : E4_3_3_7_mRNA</v>
      </c>
      <c r="H312" s="46" t="str">
        <f t="shared" si="53"/>
        <v>E4_3_3_7 : E4_3_3_7</v>
      </c>
      <c r="I312" s="47" t="str">
        <f t="shared" si="54"/>
        <v>E4_3_3_7_mRNA : 0</v>
      </c>
      <c r="J312" s="48" t="str">
        <f t="shared" si="55"/>
        <v>E4_3_3_7 : 0</v>
      </c>
      <c r="K312" s="49" t="str">
        <f t="shared" si="56"/>
        <v>0.00292 - (0.0093 * E4_3_3_7_mRNA)</v>
      </c>
      <c r="L312" s="50" t="str">
        <f t="shared" si="57"/>
        <v>(0.278 * E4_3_3_7_mRNA) - (0.00000278 * E4_3_3_7)</v>
      </c>
      <c r="M312" s="51" t="str">
        <f t="shared" si="58"/>
        <v>mRNA311: -&gt; E4_3_3_7_mRNA | 0.00292 - (0.0093 * E4_3_3_7_mRNA)</v>
      </c>
      <c r="N312" s="52" t="str">
        <f t="shared" si="59"/>
        <v>Peptide311: E4_3_3_7_mRNA -&gt; E4_3_3_7 | (0.278 * E4_3_3_7_mRNA) - (0.000000278 * E4_3_3_7)</v>
      </c>
    </row>
    <row r="313" spans="1:14" ht="16">
      <c r="A313" s="41">
        <v>312</v>
      </c>
      <c r="B313" s="42" t="s">
        <v>9214</v>
      </c>
      <c r="C313" s="41" t="str">
        <f t="shared" si="48"/>
        <v>E4_3_99_3_mRNA</v>
      </c>
      <c r="D313" s="41" t="str">
        <f t="shared" si="49"/>
        <v>E4_3_99_3</v>
      </c>
      <c r="E313" s="43" t="str">
        <f t="shared" si="50"/>
        <v>E4_3_99_3_kcat : 13.7</v>
      </c>
      <c r="F313" s="44" t="str">
        <f t="shared" si="51"/>
        <v>E4_3_99_3_km : 1</v>
      </c>
      <c r="G313" s="45" t="str">
        <f t="shared" si="52"/>
        <v>E4_3_99_3_mRNA : E4_3_99_3_mRNA</v>
      </c>
      <c r="H313" s="46" t="str">
        <f t="shared" si="53"/>
        <v>E4_3_99_3 : E4_3_99_3</v>
      </c>
      <c r="I313" s="47" t="str">
        <f t="shared" si="54"/>
        <v>E4_3_99_3_mRNA : 0</v>
      </c>
      <c r="J313" s="48" t="str">
        <f t="shared" si="55"/>
        <v>E4_3_99_3 : 0</v>
      </c>
      <c r="K313" s="49" t="str">
        <f t="shared" si="56"/>
        <v>0.00292 - (0.0093 * E4_3_99_3_mRNA)</v>
      </c>
      <c r="L313" s="50" t="str">
        <f t="shared" si="57"/>
        <v>(0.278 * E4_3_99_3_mRNA) - (0.00000278 * E4_3_99_3)</v>
      </c>
      <c r="M313" s="51" t="str">
        <f t="shared" si="58"/>
        <v>mRNA312: -&gt; E4_3_99_3_mRNA | 0.00292 - (0.0093 * E4_3_99_3_mRNA)</v>
      </c>
      <c r="N313" s="52" t="str">
        <f t="shared" si="59"/>
        <v>Peptide312: E4_3_99_3_mRNA -&gt; E4_3_99_3 | (0.278 * E4_3_99_3_mRNA) - (0.000000278 * E4_3_99_3)</v>
      </c>
    </row>
    <row r="314" spans="1:14" ht="16">
      <c r="A314" s="41">
        <v>313</v>
      </c>
      <c r="B314" s="42" t="s">
        <v>9215</v>
      </c>
      <c r="C314" s="41" t="str">
        <f t="shared" si="48"/>
        <v>E4_4_1_2_mRNA</v>
      </c>
      <c r="D314" s="41" t="str">
        <f t="shared" si="49"/>
        <v>E4_4_1_2</v>
      </c>
      <c r="E314" s="43" t="str">
        <f t="shared" si="50"/>
        <v>E4_4_1_2_kcat : 13.7</v>
      </c>
      <c r="F314" s="44" t="str">
        <f t="shared" si="51"/>
        <v>E4_4_1_2_km : 1</v>
      </c>
      <c r="G314" s="45" t="str">
        <f t="shared" si="52"/>
        <v>E4_4_1_2_mRNA : E4_4_1_2_mRNA</v>
      </c>
      <c r="H314" s="46" t="str">
        <f t="shared" si="53"/>
        <v>E4_4_1_2 : E4_4_1_2</v>
      </c>
      <c r="I314" s="47" t="str">
        <f t="shared" si="54"/>
        <v>E4_4_1_2_mRNA : 0</v>
      </c>
      <c r="J314" s="48" t="str">
        <f t="shared" si="55"/>
        <v>E4_4_1_2 : 0</v>
      </c>
      <c r="K314" s="49" t="str">
        <f t="shared" si="56"/>
        <v>0.00292 - (0.0093 * E4_4_1_2_mRNA)</v>
      </c>
      <c r="L314" s="50" t="str">
        <f t="shared" si="57"/>
        <v>(0.278 * E4_4_1_2_mRNA) - (0.00000278 * E4_4_1_2)</v>
      </c>
      <c r="M314" s="51" t="str">
        <f t="shared" si="58"/>
        <v>mRNA313: -&gt; E4_4_1_2_mRNA | 0.00292 - (0.0093 * E4_4_1_2_mRNA)</v>
      </c>
      <c r="N314" s="52" t="str">
        <f t="shared" si="59"/>
        <v>Peptide313: E4_4_1_2_mRNA -&gt; E4_4_1_2 | (0.278 * E4_4_1_2_mRNA) - (0.000000278 * E4_4_1_2)</v>
      </c>
    </row>
    <row r="315" spans="1:14" ht="16">
      <c r="A315" s="41">
        <v>314</v>
      </c>
      <c r="B315" s="42" t="s">
        <v>9216</v>
      </c>
      <c r="C315" s="41" t="str">
        <f t="shared" si="48"/>
        <v>E4_4_1_21_mRNA</v>
      </c>
      <c r="D315" s="41" t="str">
        <f t="shared" si="49"/>
        <v>E4_4_1_21</v>
      </c>
      <c r="E315" s="43" t="str">
        <f t="shared" si="50"/>
        <v>E4_4_1_21_kcat : 13.7</v>
      </c>
      <c r="F315" s="44" t="str">
        <f t="shared" si="51"/>
        <v>E4_4_1_21_km : 1</v>
      </c>
      <c r="G315" s="45" t="str">
        <f t="shared" si="52"/>
        <v>E4_4_1_21_mRNA : E4_4_1_21_mRNA</v>
      </c>
      <c r="H315" s="46" t="str">
        <f t="shared" si="53"/>
        <v>E4_4_1_21 : E4_4_1_21</v>
      </c>
      <c r="I315" s="47" t="str">
        <f t="shared" si="54"/>
        <v>E4_4_1_21_mRNA : 0</v>
      </c>
      <c r="J315" s="48" t="str">
        <f t="shared" si="55"/>
        <v>E4_4_1_21 : 0</v>
      </c>
      <c r="K315" s="49" t="str">
        <f t="shared" si="56"/>
        <v>0.00292 - (0.0093 * E4_4_1_21_mRNA)</v>
      </c>
      <c r="L315" s="50" t="str">
        <f t="shared" si="57"/>
        <v>(0.278 * E4_4_1_21_mRNA) - (0.00000278 * E4_4_1_21)</v>
      </c>
      <c r="M315" s="51" t="str">
        <f t="shared" si="58"/>
        <v>mRNA314: -&gt; E4_4_1_21_mRNA | 0.00292 - (0.0093 * E4_4_1_21_mRNA)</v>
      </c>
      <c r="N315" s="52" t="str">
        <f t="shared" si="59"/>
        <v>Peptide314: E4_4_1_21_mRNA -&gt; E4_4_1_21 | (0.278 * E4_4_1_21_mRNA) - (0.000000278 * E4_4_1_21)</v>
      </c>
    </row>
    <row r="316" spans="1:14" ht="16">
      <c r="A316" s="41">
        <v>315</v>
      </c>
      <c r="B316" s="42" t="s">
        <v>9217</v>
      </c>
      <c r="C316" s="41" t="str">
        <f t="shared" si="48"/>
        <v>E4_4_1_5_mRNA</v>
      </c>
      <c r="D316" s="41" t="str">
        <f t="shared" si="49"/>
        <v>E4_4_1_5</v>
      </c>
      <c r="E316" s="43" t="str">
        <f t="shared" si="50"/>
        <v>E4_4_1_5_kcat : 13.7</v>
      </c>
      <c r="F316" s="44" t="str">
        <f t="shared" si="51"/>
        <v>E4_4_1_5_km : 1</v>
      </c>
      <c r="G316" s="45" t="str">
        <f t="shared" si="52"/>
        <v>E4_4_1_5_mRNA : E4_4_1_5_mRNA</v>
      </c>
      <c r="H316" s="46" t="str">
        <f t="shared" si="53"/>
        <v>E4_4_1_5 : E4_4_1_5</v>
      </c>
      <c r="I316" s="47" t="str">
        <f t="shared" si="54"/>
        <v>E4_4_1_5_mRNA : 0</v>
      </c>
      <c r="J316" s="48" t="str">
        <f t="shared" si="55"/>
        <v>E4_4_1_5 : 0</v>
      </c>
      <c r="K316" s="49" t="str">
        <f t="shared" si="56"/>
        <v>0.00292 - (0.0093 * E4_4_1_5_mRNA)</v>
      </c>
      <c r="L316" s="50" t="str">
        <f t="shared" si="57"/>
        <v>(0.278 * E4_4_1_5_mRNA) - (0.00000278 * E4_4_1_5)</v>
      </c>
      <c r="M316" s="51" t="str">
        <f t="shared" si="58"/>
        <v>mRNA315: -&gt; E4_4_1_5_mRNA | 0.00292 - (0.0093 * E4_4_1_5_mRNA)</v>
      </c>
      <c r="N316" s="52" t="str">
        <f t="shared" si="59"/>
        <v>Peptide315: E4_4_1_5_mRNA -&gt; E4_4_1_5 | (0.278 * E4_4_1_5_mRNA) - (0.000000278 * E4_4_1_5)</v>
      </c>
    </row>
    <row r="317" spans="1:14" ht="16">
      <c r="A317" s="41">
        <v>316</v>
      </c>
      <c r="B317" s="42" t="s">
        <v>9218</v>
      </c>
      <c r="C317" s="41" t="str">
        <f t="shared" si="48"/>
        <v>E4_4_1_8_mRNA</v>
      </c>
      <c r="D317" s="41" t="str">
        <f t="shared" si="49"/>
        <v>E4_4_1_8</v>
      </c>
      <c r="E317" s="43" t="str">
        <f t="shared" si="50"/>
        <v>E4_4_1_8_kcat : 13.7</v>
      </c>
      <c r="F317" s="44" t="str">
        <f t="shared" si="51"/>
        <v>E4_4_1_8_km : 1</v>
      </c>
      <c r="G317" s="45" t="str">
        <f t="shared" si="52"/>
        <v>E4_4_1_8_mRNA : E4_4_1_8_mRNA</v>
      </c>
      <c r="H317" s="46" t="str">
        <f t="shared" si="53"/>
        <v>E4_4_1_8 : E4_4_1_8</v>
      </c>
      <c r="I317" s="47" t="str">
        <f t="shared" si="54"/>
        <v>E4_4_1_8_mRNA : 0</v>
      </c>
      <c r="J317" s="48" t="str">
        <f t="shared" si="55"/>
        <v>E4_4_1_8 : 0</v>
      </c>
      <c r="K317" s="49" t="str">
        <f t="shared" si="56"/>
        <v>0.00292 - (0.0093 * E4_4_1_8_mRNA)</v>
      </c>
      <c r="L317" s="50" t="str">
        <f t="shared" si="57"/>
        <v>(0.278 * E4_4_1_8_mRNA) - (0.00000278 * E4_4_1_8)</v>
      </c>
      <c r="M317" s="51" t="str">
        <f t="shared" si="58"/>
        <v>mRNA316: -&gt; E4_4_1_8_mRNA | 0.00292 - (0.0093 * E4_4_1_8_mRNA)</v>
      </c>
      <c r="N317" s="52" t="str">
        <f t="shared" si="59"/>
        <v>Peptide316: E4_4_1_8_mRNA -&gt; E4_4_1_8 | (0.278 * E4_4_1_8_mRNA) - (0.000000278 * E4_4_1_8)</v>
      </c>
    </row>
    <row r="318" spans="1:14" ht="16">
      <c r="A318" s="41">
        <v>317</v>
      </c>
      <c r="B318" s="42" t="s">
        <v>9219</v>
      </c>
      <c r="C318" s="41" t="str">
        <f t="shared" si="48"/>
        <v>E4_99_1_1_mRNA</v>
      </c>
      <c r="D318" s="41" t="str">
        <f t="shared" si="49"/>
        <v>E4_99_1_1</v>
      </c>
      <c r="E318" s="43" t="str">
        <f t="shared" si="50"/>
        <v>E4_99_1_1_kcat : 13.7</v>
      </c>
      <c r="F318" s="44" t="str">
        <f t="shared" si="51"/>
        <v>E4_99_1_1_km : 1</v>
      </c>
      <c r="G318" s="45" t="str">
        <f t="shared" si="52"/>
        <v>E4_99_1_1_mRNA : E4_99_1_1_mRNA</v>
      </c>
      <c r="H318" s="46" t="str">
        <f t="shared" si="53"/>
        <v>E4_99_1_1 : E4_99_1_1</v>
      </c>
      <c r="I318" s="47" t="str">
        <f t="shared" si="54"/>
        <v>E4_99_1_1_mRNA : 0</v>
      </c>
      <c r="J318" s="48" t="str">
        <f t="shared" si="55"/>
        <v>E4_99_1_1 : 0</v>
      </c>
      <c r="K318" s="49" t="str">
        <f t="shared" si="56"/>
        <v>0.00292 - (0.0093 * E4_99_1_1_mRNA)</v>
      </c>
      <c r="L318" s="50" t="str">
        <f t="shared" si="57"/>
        <v>(0.278 * E4_99_1_1_mRNA) - (0.00000278 * E4_99_1_1)</v>
      </c>
      <c r="M318" s="51" t="str">
        <f t="shared" si="58"/>
        <v>mRNA317: -&gt; E4_99_1_1_mRNA | 0.00292 - (0.0093 * E4_99_1_1_mRNA)</v>
      </c>
      <c r="N318" s="52" t="str">
        <f t="shared" si="59"/>
        <v>Peptide317: E4_99_1_1_mRNA -&gt; E4_99_1_1 | (0.278 * E4_99_1_1_mRNA) - (0.000000278 * E4_99_1_1)</v>
      </c>
    </row>
    <row r="319" spans="1:14" ht="16">
      <c r="A319" s="41">
        <v>318</v>
      </c>
      <c r="B319" s="42" t="s">
        <v>9220</v>
      </c>
      <c r="C319" s="41" t="str">
        <f t="shared" si="48"/>
        <v>E5_1_1_1_mRNA</v>
      </c>
      <c r="D319" s="41" t="str">
        <f t="shared" si="49"/>
        <v>E5_1_1_1</v>
      </c>
      <c r="E319" s="43" t="str">
        <f t="shared" si="50"/>
        <v>E5_1_1_1_kcat : 13.7</v>
      </c>
      <c r="F319" s="44" t="str">
        <f t="shared" si="51"/>
        <v>E5_1_1_1_km : 1</v>
      </c>
      <c r="G319" s="45" t="str">
        <f t="shared" si="52"/>
        <v>E5_1_1_1_mRNA : E5_1_1_1_mRNA</v>
      </c>
      <c r="H319" s="46" t="str">
        <f t="shared" si="53"/>
        <v>E5_1_1_1 : E5_1_1_1</v>
      </c>
      <c r="I319" s="47" t="str">
        <f t="shared" si="54"/>
        <v>E5_1_1_1_mRNA : 0</v>
      </c>
      <c r="J319" s="48" t="str">
        <f t="shared" si="55"/>
        <v>E5_1_1_1 : 0</v>
      </c>
      <c r="K319" s="49" t="str">
        <f t="shared" si="56"/>
        <v>0.00292 - (0.0093 * E5_1_1_1_mRNA)</v>
      </c>
      <c r="L319" s="50" t="str">
        <f t="shared" si="57"/>
        <v>(0.278 * E5_1_1_1_mRNA) - (0.00000278 * E5_1_1_1)</v>
      </c>
      <c r="M319" s="51" t="str">
        <f t="shared" si="58"/>
        <v>mRNA318: -&gt; E5_1_1_1_mRNA | 0.00292 - (0.0093 * E5_1_1_1_mRNA)</v>
      </c>
      <c r="N319" s="52" t="str">
        <f t="shared" si="59"/>
        <v>Peptide318: E5_1_1_1_mRNA -&gt; E5_1_1_1 | (0.278 * E5_1_1_1_mRNA) - (0.000000278 * E5_1_1_1)</v>
      </c>
    </row>
    <row r="320" spans="1:14" ht="16">
      <c r="A320" s="41">
        <v>319</v>
      </c>
      <c r="B320" s="42" t="s">
        <v>9221</v>
      </c>
      <c r="C320" s="41" t="str">
        <f t="shared" si="48"/>
        <v>E5_1_1_3_mRNA</v>
      </c>
      <c r="D320" s="41" t="str">
        <f t="shared" si="49"/>
        <v>E5_1_1_3</v>
      </c>
      <c r="E320" s="43" t="str">
        <f t="shared" si="50"/>
        <v>E5_1_1_3_kcat : 13.7</v>
      </c>
      <c r="F320" s="44" t="str">
        <f t="shared" si="51"/>
        <v>E5_1_1_3_km : 1</v>
      </c>
      <c r="G320" s="45" t="str">
        <f t="shared" si="52"/>
        <v>E5_1_1_3_mRNA : E5_1_1_3_mRNA</v>
      </c>
      <c r="H320" s="46" t="str">
        <f t="shared" si="53"/>
        <v>E5_1_1_3 : E5_1_1_3</v>
      </c>
      <c r="I320" s="47" t="str">
        <f t="shared" si="54"/>
        <v>E5_1_1_3_mRNA : 0</v>
      </c>
      <c r="J320" s="48" t="str">
        <f t="shared" si="55"/>
        <v>E5_1_1_3 : 0</v>
      </c>
      <c r="K320" s="49" t="str">
        <f t="shared" si="56"/>
        <v>0.00292 - (0.0093 * E5_1_1_3_mRNA)</v>
      </c>
      <c r="L320" s="50" t="str">
        <f t="shared" si="57"/>
        <v>(0.278 * E5_1_1_3_mRNA) - (0.00000278 * E5_1_1_3)</v>
      </c>
      <c r="M320" s="51" t="str">
        <f t="shared" si="58"/>
        <v>mRNA319: -&gt; E5_1_1_3_mRNA | 0.00292 - (0.0093 * E5_1_1_3_mRNA)</v>
      </c>
      <c r="N320" s="52" t="str">
        <f t="shared" si="59"/>
        <v>Peptide319: E5_1_1_3_mRNA -&gt; E5_1_1_3 | (0.278 * E5_1_1_3_mRNA) - (0.000000278 * E5_1_1_3)</v>
      </c>
    </row>
    <row r="321" spans="1:14" ht="16">
      <c r="A321" s="41">
        <v>320</v>
      </c>
      <c r="B321" s="42" t="s">
        <v>9222</v>
      </c>
      <c r="C321" s="41" t="str">
        <f t="shared" si="48"/>
        <v>E5_1_3_1_mRNA</v>
      </c>
      <c r="D321" s="41" t="str">
        <f t="shared" si="49"/>
        <v>E5_1_3_1</v>
      </c>
      <c r="E321" s="43" t="str">
        <f t="shared" si="50"/>
        <v>E5_1_3_1_kcat : 13.7</v>
      </c>
      <c r="F321" s="44" t="str">
        <f t="shared" si="51"/>
        <v>E5_1_3_1_km : 1</v>
      </c>
      <c r="G321" s="45" t="str">
        <f t="shared" si="52"/>
        <v>E5_1_3_1_mRNA : E5_1_3_1_mRNA</v>
      </c>
      <c r="H321" s="46" t="str">
        <f t="shared" si="53"/>
        <v>E5_1_3_1 : E5_1_3_1</v>
      </c>
      <c r="I321" s="47" t="str">
        <f t="shared" si="54"/>
        <v>E5_1_3_1_mRNA : 0</v>
      </c>
      <c r="J321" s="48" t="str">
        <f t="shared" si="55"/>
        <v>E5_1_3_1 : 0</v>
      </c>
      <c r="K321" s="49" t="str">
        <f t="shared" si="56"/>
        <v>0.00292 - (0.0093 * E5_1_3_1_mRNA)</v>
      </c>
      <c r="L321" s="50" t="str">
        <f t="shared" si="57"/>
        <v>(0.278 * E5_1_3_1_mRNA) - (0.00000278 * E5_1_3_1)</v>
      </c>
      <c r="M321" s="51" t="str">
        <f t="shared" si="58"/>
        <v>mRNA320: -&gt; E5_1_3_1_mRNA | 0.00292 - (0.0093 * E5_1_3_1_mRNA)</v>
      </c>
      <c r="N321" s="52" t="str">
        <f t="shared" si="59"/>
        <v>Peptide320: E5_1_3_1_mRNA -&gt; E5_1_3_1 | (0.278 * E5_1_3_1_mRNA) - (0.000000278 * E5_1_3_1)</v>
      </c>
    </row>
    <row r="322" spans="1:14" ht="16">
      <c r="A322" s="41">
        <v>321</v>
      </c>
      <c r="B322" s="42" t="s">
        <v>9223</v>
      </c>
      <c r="C322" s="41" t="str">
        <f t="shared" si="48"/>
        <v>E5_1_3_2_mRNA</v>
      </c>
      <c r="D322" s="41" t="str">
        <f t="shared" si="49"/>
        <v>E5_1_3_2</v>
      </c>
      <c r="E322" s="43" t="str">
        <f t="shared" si="50"/>
        <v>E5_1_3_2_kcat : 13.7</v>
      </c>
      <c r="F322" s="44" t="str">
        <f t="shared" si="51"/>
        <v>E5_1_3_2_km : 1</v>
      </c>
      <c r="G322" s="45" t="str">
        <f t="shared" si="52"/>
        <v>E5_1_3_2_mRNA : E5_1_3_2_mRNA</v>
      </c>
      <c r="H322" s="46" t="str">
        <f t="shared" si="53"/>
        <v>E5_1_3_2 : E5_1_3_2</v>
      </c>
      <c r="I322" s="47" t="str">
        <f t="shared" si="54"/>
        <v>E5_1_3_2_mRNA : 0</v>
      </c>
      <c r="J322" s="48" t="str">
        <f t="shared" si="55"/>
        <v>E5_1_3_2 : 0</v>
      </c>
      <c r="K322" s="49" t="str">
        <f t="shared" si="56"/>
        <v>0.00292 - (0.0093 * E5_1_3_2_mRNA)</v>
      </c>
      <c r="L322" s="50" t="str">
        <f t="shared" si="57"/>
        <v>(0.278 * E5_1_3_2_mRNA) - (0.00000278 * E5_1_3_2)</v>
      </c>
      <c r="M322" s="51" t="str">
        <f t="shared" si="58"/>
        <v>mRNA321: -&gt; E5_1_3_2_mRNA | 0.00292 - (0.0093 * E5_1_3_2_mRNA)</v>
      </c>
      <c r="N322" s="52" t="str">
        <f t="shared" si="59"/>
        <v>Peptide321: E5_1_3_2_mRNA -&gt; E5_1_3_2 | (0.278 * E5_1_3_2_mRNA) - (0.000000278 * E5_1_3_2)</v>
      </c>
    </row>
    <row r="323" spans="1:14" ht="16">
      <c r="A323" s="41">
        <v>322</v>
      </c>
      <c r="B323" s="42" t="s">
        <v>9224</v>
      </c>
      <c r="C323" s="41" t="str">
        <f t="shared" ref="C323:C386" si="60">CONCATENATE(D323, "_mRNA")</f>
        <v>E5_1_3_7_mRNA</v>
      </c>
      <c r="D323" s="41" t="str">
        <f t="shared" ref="D323:D386" si="61">CONCATENATE("E",B323)</f>
        <v>E5_1_3_7</v>
      </c>
      <c r="E323" s="43" t="str">
        <f t="shared" ref="E323:E386" si="62">CONCATENATE("E",B323,"_kcat : 13.7")</f>
        <v>E5_1_3_7_kcat : 13.7</v>
      </c>
      <c r="F323" s="44" t="str">
        <f t="shared" ref="F323:F386" si="63">CONCATENATE("E",B323, "_km : 1")</f>
        <v>E5_1_3_7_km : 1</v>
      </c>
      <c r="G323" s="45" t="str">
        <f t="shared" ref="G323:G386" si="64">CONCATENATE(C323, " : ",C323)</f>
        <v>E5_1_3_7_mRNA : E5_1_3_7_mRNA</v>
      </c>
      <c r="H323" s="46" t="str">
        <f t="shared" ref="H323:H386" si="65">CONCATENATE(D323, " : ",D323)</f>
        <v>E5_1_3_7 : E5_1_3_7</v>
      </c>
      <c r="I323" s="47" t="str">
        <f t="shared" ref="I323:I386" si="66">CONCATENATE(C323, " : ","0")</f>
        <v>E5_1_3_7_mRNA : 0</v>
      </c>
      <c r="J323" s="48" t="str">
        <f t="shared" ref="J323:J386" si="67">CONCATENATE(D323, " : ","0")</f>
        <v>E5_1_3_7 : 0</v>
      </c>
      <c r="K323" s="49" t="str">
        <f t="shared" ref="K323:K386" si="68">CONCATENATE("0.00292 - (0.0093 * ",C323,")")</f>
        <v>0.00292 - (0.0093 * E5_1_3_7_mRNA)</v>
      </c>
      <c r="L323" s="50" t="str">
        <f t="shared" ref="L323:L386" si="69">CONCATENATE("(0.278 * ",C323,")"," - (0.00000278 * ",D323,")")</f>
        <v>(0.278 * E5_1_3_7_mRNA) - (0.00000278 * E5_1_3_7)</v>
      </c>
      <c r="M323" s="51" t="str">
        <f t="shared" ref="M323:M386" si="70">CONCATENATE("mRNA",A323,": -&gt; ",C323," | ","0.00292"," - ","(","0.0093"," * ",C323,")")</f>
        <v>mRNA322: -&gt; E5_1_3_7_mRNA | 0.00292 - (0.0093 * E5_1_3_7_mRNA)</v>
      </c>
      <c r="N323" s="52" t="str">
        <f t="shared" ref="N323:N386" si="71">CONCATENATE("Peptide",A323,": ",C323," -&gt; ",D323," | ","(","0.278"," * ",C323,")"," - ","(","0.000000278"," * ",D323,")")</f>
        <v>Peptide322: E5_1_3_7_mRNA -&gt; E5_1_3_7 | (0.278 * E5_1_3_7_mRNA) - (0.000000278 * E5_1_3_7)</v>
      </c>
    </row>
    <row r="324" spans="1:14" ht="16">
      <c r="A324" s="41">
        <v>323</v>
      </c>
      <c r="B324" s="42" t="s">
        <v>9225</v>
      </c>
      <c r="C324" s="41" t="str">
        <f t="shared" si="60"/>
        <v>E5_1_3_3__mRNA</v>
      </c>
      <c r="D324" s="41" t="str">
        <f t="shared" si="61"/>
        <v>E5_1_3_3_</v>
      </c>
      <c r="E324" s="43" t="str">
        <f t="shared" si="62"/>
        <v>E5_1_3_3__kcat : 13.7</v>
      </c>
      <c r="F324" s="44" t="str">
        <f t="shared" si="63"/>
        <v>E5_1_3_3__km : 1</v>
      </c>
      <c r="G324" s="45" t="str">
        <f t="shared" si="64"/>
        <v>E5_1_3_3__mRNA : E5_1_3_3__mRNA</v>
      </c>
      <c r="H324" s="46" t="str">
        <f t="shared" si="65"/>
        <v>E5_1_3_3_ : E5_1_3_3_</v>
      </c>
      <c r="I324" s="47" t="str">
        <f t="shared" si="66"/>
        <v>E5_1_3_3__mRNA : 0</v>
      </c>
      <c r="J324" s="48" t="str">
        <f t="shared" si="67"/>
        <v>E5_1_3_3_ : 0</v>
      </c>
      <c r="K324" s="49" t="str">
        <f t="shared" si="68"/>
        <v>0.00292 - (0.0093 * E5_1_3_3__mRNA)</v>
      </c>
      <c r="L324" s="50" t="str">
        <f t="shared" si="69"/>
        <v>(0.278 * E5_1_3_3__mRNA) - (0.00000278 * E5_1_3_3_)</v>
      </c>
      <c r="M324" s="51" t="str">
        <f t="shared" si="70"/>
        <v>mRNA323: -&gt; E5_1_3_3__mRNA | 0.00292 - (0.0093 * E5_1_3_3__mRNA)</v>
      </c>
      <c r="N324" s="52" t="str">
        <f t="shared" si="71"/>
        <v>Peptide323: E5_1_3_3__mRNA -&gt; E5_1_3_3_ | (0.278 * E5_1_3_3__mRNA) - (0.000000278 * E5_1_3_3_)</v>
      </c>
    </row>
    <row r="325" spans="1:14" ht="16">
      <c r="A325" s="41">
        <v>324</v>
      </c>
      <c r="B325" s="42" t="s">
        <v>9226</v>
      </c>
      <c r="C325" s="41" t="str">
        <f t="shared" si="60"/>
        <v>E5_3_1_1_mRNA</v>
      </c>
      <c r="D325" s="41" t="str">
        <f t="shared" si="61"/>
        <v>E5_3_1_1</v>
      </c>
      <c r="E325" s="43" t="str">
        <f t="shared" si="62"/>
        <v>E5_3_1_1_kcat : 13.7</v>
      </c>
      <c r="F325" s="44" t="str">
        <f t="shared" si="63"/>
        <v>E5_3_1_1_km : 1</v>
      </c>
      <c r="G325" s="45" t="str">
        <f t="shared" si="64"/>
        <v>E5_3_1_1_mRNA : E5_3_1_1_mRNA</v>
      </c>
      <c r="H325" s="46" t="str">
        <f t="shared" si="65"/>
        <v>E5_3_1_1 : E5_3_1_1</v>
      </c>
      <c r="I325" s="47" t="str">
        <f t="shared" si="66"/>
        <v>E5_3_1_1_mRNA : 0</v>
      </c>
      <c r="J325" s="48" t="str">
        <f t="shared" si="67"/>
        <v>E5_3_1_1 : 0</v>
      </c>
      <c r="K325" s="49" t="str">
        <f t="shared" si="68"/>
        <v>0.00292 - (0.0093 * E5_3_1_1_mRNA)</v>
      </c>
      <c r="L325" s="50" t="str">
        <f t="shared" si="69"/>
        <v>(0.278 * E5_3_1_1_mRNA) - (0.00000278 * E5_3_1_1)</v>
      </c>
      <c r="M325" s="51" t="str">
        <f t="shared" si="70"/>
        <v>mRNA324: -&gt; E5_3_1_1_mRNA | 0.00292 - (0.0093 * E5_3_1_1_mRNA)</v>
      </c>
      <c r="N325" s="52" t="str">
        <f t="shared" si="71"/>
        <v>Peptide324: E5_3_1_1_mRNA -&gt; E5_3_1_1 | (0.278 * E5_3_1_1_mRNA) - (0.000000278 * E5_3_1_1)</v>
      </c>
    </row>
    <row r="326" spans="1:14" ht="16">
      <c r="A326" s="41">
        <v>325</v>
      </c>
      <c r="B326" s="42" t="s">
        <v>9227</v>
      </c>
      <c r="C326" s="41" t="str">
        <f t="shared" si="60"/>
        <v>E5_3_1_24_mRNA</v>
      </c>
      <c r="D326" s="41" t="str">
        <f t="shared" si="61"/>
        <v>E5_3_1_24</v>
      </c>
      <c r="E326" s="43" t="str">
        <f t="shared" si="62"/>
        <v>E5_3_1_24_kcat : 13.7</v>
      </c>
      <c r="F326" s="44" t="str">
        <f t="shared" si="63"/>
        <v>E5_3_1_24_km : 1</v>
      </c>
      <c r="G326" s="45" t="str">
        <f t="shared" si="64"/>
        <v>E5_3_1_24_mRNA : E5_3_1_24_mRNA</v>
      </c>
      <c r="H326" s="46" t="str">
        <f t="shared" si="65"/>
        <v>E5_3_1_24 : E5_3_1_24</v>
      </c>
      <c r="I326" s="47" t="str">
        <f t="shared" si="66"/>
        <v>E5_3_1_24_mRNA : 0</v>
      </c>
      <c r="J326" s="48" t="str">
        <f t="shared" si="67"/>
        <v>E5_3_1_24 : 0</v>
      </c>
      <c r="K326" s="49" t="str">
        <f t="shared" si="68"/>
        <v>0.00292 - (0.0093 * E5_3_1_24_mRNA)</v>
      </c>
      <c r="L326" s="50" t="str">
        <f t="shared" si="69"/>
        <v>(0.278 * E5_3_1_24_mRNA) - (0.00000278 * E5_3_1_24)</v>
      </c>
      <c r="M326" s="51" t="str">
        <f t="shared" si="70"/>
        <v>mRNA325: -&gt; E5_3_1_24_mRNA | 0.00292 - (0.0093 * E5_3_1_24_mRNA)</v>
      </c>
      <c r="N326" s="52" t="str">
        <f t="shared" si="71"/>
        <v>Peptide325: E5_3_1_24_mRNA -&gt; E5_3_1_24 | (0.278 * E5_3_1_24_mRNA) - (0.000000278 * E5_3_1_24)</v>
      </c>
    </row>
    <row r="327" spans="1:14" ht="16">
      <c r="A327" s="41">
        <v>326</v>
      </c>
      <c r="B327" s="42" t="s">
        <v>9228</v>
      </c>
      <c r="C327" s="41" t="str">
        <f t="shared" si="60"/>
        <v>E5_3_1_6_mRNA</v>
      </c>
      <c r="D327" s="41" t="str">
        <f t="shared" si="61"/>
        <v>E5_3_1_6</v>
      </c>
      <c r="E327" s="43" t="str">
        <f t="shared" si="62"/>
        <v>E5_3_1_6_kcat : 13.7</v>
      </c>
      <c r="F327" s="44" t="str">
        <f t="shared" si="63"/>
        <v>E5_3_1_6_km : 1</v>
      </c>
      <c r="G327" s="45" t="str">
        <f t="shared" si="64"/>
        <v>E5_3_1_6_mRNA : E5_3_1_6_mRNA</v>
      </c>
      <c r="H327" s="46" t="str">
        <f t="shared" si="65"/>
        <v>E5_3_1_6 : E5_3_1_6</v>
      </c>
      <c r="I327" s="47" t="str">
        <f t="shared" si="66"/>
        <v>E5_3_1_6_mRNA : 0</v>
      </c>
      <c r="J327" s="48" t="str">
        <f t="shared" si="67"/>
        <v>E5_3_1_6 : 0</v>
      </c>
      <c r="K327" s="49" t="str">
        <f t="shared" si="68"/>
        <v>0.00292 - (0.0093 * E5_3_1_6_mRNA)</v>
      </c>
      <c r="L327" s="50" t="str">
        <f t="shared" si="69"/>
        <v>(0.278 * E5_3_1_6_mRNA) - (0.00000278 * E5_3_1_6)</v>
      </c>
      <c r="M327" s="51" t="str">
        <f t="shared" si="70"/>
        <v>mRNA326: -&gt; E5_3_1_6_mRNA | 0.00292 - (0.0093 * E5_3_1_6_mRNA)</v>
      </c>
      <c r="N327" s="52" t="str">
        <f t="shared" si="71"/>
        <v>Peptide326: E5_3_1_6_mRNA -&gt; E5_3_1_6 | (0.278 * E5_3_1_6_mRNA) - (0.000000278 * E5_3_1_6)</v>
      </c>
    </row>
    <row r="328" spans="1:14" ht="16">
      <c r="A328" s="41">
        <v>327</v>
      </c>
      <c r="B328" s="42" t="s">
        <v>9229</v>
      </c>
      <c r="C328" s="41" t="str">
        <f t="shared" si="60"/>
        <v>E5_3_1_8_mRNA</v>
      </c>
      <c r="D328" s="41" t="str">
        <f t="shared" si="61"/>
        <v>E5_3_1_8</v>
      </c>
      <c r="E328" s="43" t="str">
        <f t="shared" si="62"/>
        <v>E5_3_1_8_kcat : 13.7</v>
      </c>
      <c r="F328" s="44" t="str">
        <f t="shared" si="63"/>
        <v>E5_3_1_8_km : 1</v>
      </c>
      <c r="G328" s="45" t="str">
        <f t="shared" si="64"/>
        <v>E5_3_1_8_mRNA : E5_3_1_8_mRNA</v>
      </c>
      <c r="H328" s="46" t="str">
        <f t="shared" si="65"/>
        <v>E5_3_1_8 : E5_3_1_8</v>
      </c>
      <c r="I328" s="47" t="str">
        <f t="shared" si="66"/>
        <v>E5_3_1_8_mRNA : 0</v>
      </c>
      <c r="J328" s="48" t="str">
        <f t="shared" si="67"/>
        <v>E5_3_1_8 : 0</v>
      </c>
      <c r="K328" s="49" t="str">
        <f t="shared" si="68"/>
        <v>0.00292 - (0.0093 * E5_3_1_8_mRNA)</v>
      </c>
      <c r="L328" s="50" t="str">
        <f t="shared" si="69"/>
        <v>(0.278 * E5_3_1_8_mRNA) - (0.00000278 * E5_3_1_8)</v>
      </c>
      <c r="M328" s="51" t="str">
        <f t="shared" si="70"/>
        <v>mRNA327: -&gt; E5_3_1_8_mRNA | 0.00292 - (0.0093 * E5_3_1_8_mRNA)</v>
      </c>
      <c r="N328" s="52" t="str">
        <f t="shared" si="71"/>
        <v>Peptide327: E5_3_1_8_mRNA -&gt; E5_3_1_8 | (0.278 * E5_3_1_8_mRNA) - (0.000000278 * E5_3_1_8)</v>
      </c>
    </row>
    <row r="329" spans="1:14" ht="16">
      <c r="A329" s="41">
        <v>328</v>
      </c>
      <c r="B329" s="42" t="s">
        <v>9230</v>
      </c>
      <c r="C329" s="41" t="str">
        <f t="shared" si="60"/>
        <v>E5_3_1_9_mRNA</v>
      </c>
      <c r="D329" s="41" t="str">
        <f t="shared" si="61"/>
        <v>E5_3_1_9</v>
      </c>
      <c r="E329" s="43" t="str">
        <f t="shared" si="62"/>
        <v>E5_3_1_9_kcat : 13.7</v>
      </c>
      <c r="F329" s="44" t="str">
        <f t="shared" si="63"/>
        <v>E5_3_1_9_km : 1</v>
      </c>
      <c r="G329" s="45" t="str">
        <f t="shared" si="64"/>
        <v>E5_3_1_9_mRNA : E5_3_1_9_mRNA</v>
      </c>
      <c r="H329" s="46" t="str">
        <f t="shared" si="65"/>
        <v>E5_3_1_9 : E5_3_1_9</v>
      </c>
      <c r="I329" s="47" t="str">
        <f t="shared" si="66"/>
        <v>E5_3_1_9_mRNA : 0</v>
      </c>
      <c r="J329" s="48" t="str">
        <f t="shared" si="67"/>
        <v>E5_3_1_9 : 0</v>
      </c>
      <c r="K329" s="49" t="str">
        <f t="shared" si="68"/>
        <v>0.00292 - (0.0093 * E5_3_1_9_mRNA)</v>
      </c>
      <c r="L329" s="50" t="str">
        <f t="shared" si="69"/>
        <v>(0.278 * E5_3_1_9_mRNA) - (0.00000278 * E5_3_1_9)</v>
      </c>
      <c r="M329" s="51" t="str">
        <f t="shared" si="70"/>
        <v>mRNA328: -&gt; E5_3_1_9_mRNA | 0.00292 - (0.0093 * E5_3_1_9_mRNA)</v>
      </c>
      <c r="N329" s="52" t="str">
        <f t="shared" si="71"/>
        <v>Peptide328: E5_3_1_9_mRNA -&gt; E5_3_1_9 | (0.278 * E5_3_1_9_mRNA) - (0.000000278 * E5_3_1_9)</v>
      </c>
    </row>
    <row r="330" spans="1:14" ht="16">
      <c r="A330" s="41">
        <v>329</v>
      </c>
      <c r="B330" s="42" t="s">
        <v>9231</v>
      </c>
      <c r="C330" s="41" t="str">
        <f t="shared" si="60"/>
        <v>E5_3_3_14_mRNA</v>
      </c>
      <c r="D330" s="41" t="str">
        <f t="shared" si="61"/>
        <v>E5_3_3_14</v>
      </c>
      <c r="E330" s="43" t="str">
        <f t="shared" si="62"/>
        <v>E5_3_3_14_kcat : 13.7</v>
      </c>
      <c r="F330" s="44" t="str">
        <f t="shared" si="63"/>
        <v>E5_3_3_14_km : 1</v>
      </c>
      <c r="G330" s="45" t="str">
        <f t="shared" si="64"/>
        <v>E5_3_3_14_mRNA : E5_3_3_14_mRNA</v>
      </c>
      <c r="H330" s="46" t="str">
        <f t="shared" si="65"/>
        <v>E5_3_3_14 : E5_3_3_14</v>
      </c>
      <c r="I330" s="47" t="str">
        <f t="shared" si="66"/>
        <v>E5_3_3_14_mRNA : 0</v>
      </c>
      <c r="J330" s="48" t="str">
        <f t="shared" si="67"/>
        <v>E5_3_3_14 : 0</v>
      </c>
      <c r="K330" s="49" t="str">
        <f t="shared" si="68"/>
        <v>0.00292 - (0.0093 * E5_3_3_14_mRNA)</v>
      </c>
      <c r="L330" s="50" t="str">
        <f t="shared" si="69"/>
        <v>(0.278 * E5_3_3_14_mRNA) - (0.00000278 * E5_3_3_14)</v>
      </c>
      <c r="M330" s="51" t="str">
        <f t="shared" si="70"/>
        <v>mRNA329: -&gt; E5_3_3_14_mRNA | 0.00292 - (0.0093 * E5_3_3_14_mRNA)</v>
      </c>
      <c r="N330" s="52" t="str">
        <f t="shared" si="71"/>
        <v>Peptide329: E5_3_3_14_mRNA -&gt; E5_3_3_14 | (0.278 * E5_3_3_14_mRNA) - (0.000000278 * E5_3_3_14)</v>
      </c>
    </row>
    <row r="331" spans="1:14" ht="16">
      <c r="A331" s="41">
        <v>330</v>
      </c>
      <c r="B331" s="42" t="s">
        <v>9232</v>
      </c>
      <c r="C331" s="41" t="str">
        <f t="shared" si="60"/>
        <v>E5_3_3_2_mRNA</v>
      </c>
      <c r="D331" s="41" t="str">
        <f t="shared" si="61"/>
        <v>E5_3_3_2</v>
      </c>
      <c r="E331" s="43" t="str">
        <f t="shared" si="62"/>
        <v>E5_3_3_2_kcat : 13.7</v>
      </c>
      <c r="F331" s="44" t="str">
        <f t="shared" si="63"/>
        <v>E5_3_3_2_km : 1</v>
      </c>
      <c r="G331" s="45" t="str">
        <f t="shared" si="64"/>
        <v>E5_3_3_2_mRNA : E5_3_3_2_mRNA</v>
      </c>
      <c r="H331" s="46" t="str">
        <f t="shared" si="65"/>
        <v>E5_3_3_2 : E5_3_3_2</v>
      </c>
      <c r="I331" s="47" t="str">
        <f t="shared" si="66"/>
        <v>E5_3_3_2_mRNA : 0</v>
      </c>
      <c r="J331" s="48" t="str">
        <f t="shared" si="67"/>
        <v>E5_3_3_2 : 0</v>
      </c>
      <c r="K331" s="49" t="str">
        <f t="shared" si="68"/>
        <v>0.00292 - (0.0093 * E5_3_3_2_mRNA)</v>
      </c>
      <c r="L331" s="50" t="str">
        <f t="shared" si="69"/>
        <v>(0.278 * E5_3_3_2_mRNA) - (0.00000278 * E5_3_3_2)</v>
      </c>
      <c r="M331" s="51" t="str">
        <f t="shared" si="70"/>
        <v>mRNA330: -&gt; E5_3_3_2_mRNA | 0.00292 - (0.0093 * E5_3_3_2_mRNA)</v>
      </c>
      <c r="N331" s="52" t="str">
        <f t="shared" si="71"/>
        <v>Peptide330: E5_3_3_2_mRNA -&gt; E5_3_3_2 | (0.278 * E5_3_3_2_mRNA) - (0.000000278 * E5_3_3_2)</v>
      </c>
    </row>
    <row r="332" spans="1:14" ht="16">
      <c r="A332" s="41">
        <v>331</v>
      </c>
      <c r="B332" s="42" t="s">
        <v>9233</v>
      </c>
      <c r="C332" s="41" t="str">
        <f t="shared" si="60"/>
        <v>E5_4_2_10_mRNA</v>
      </c>
      <c r="D332" s="41" t="str">
        <f t="shared" si="61"/>
        <v>E5_4_2_10</v>
      </c>
      <c r="E332" s="43" t="str">
        <f t="shared" si="62"/>
        <v>E5_4_2_10_kcat : 13.7</v>
      </c>
      <c r="F332" s="44" t="str">
        <f t="shared" si="63"/>
        <v>E5_4_2_10_km : 1</v>
      </c>
      <c r="G332" s="45" t="str">
        <f t="shared" si="64"/>
        <v>E5_4_2_10_mRNA : E5_4_2_10_mRNA</v>
      </c>
      <c r="H332" s="46" t="str">
        <f t="shared" si="65"/>
        <v>E5_4_2_10 : E5_4_2_10</v>
      </c>
      <c r="I332" s="47" t="str">
        <f t="shared" si="66"/>
        <v>E5_4_2_10_mRNA : 0</v>
      </c>
      <c r="J332" s="48" t="str">
        <f t="shared" si="67"/>
        <v>E5_4_2_10 : 0</v>
      </c>
      <c r="K332" s="49" t="str">
        <f t="shared" si="68"/>
        <v>0.00292 - (0.0093 * E5_4_2_10_mRNA)</v>
      </c>
      <c r="L332" s="50" t="str">
        <f t="shared" si="69"/>
        <v>(0.278 * E5_4_2_10_mRNA) - (0.00000278 * E5_4_2_10)</v>
      </c>
      <c r="M332" s="51" t="str">
        <f t="shared" si="70"/>
        <v>mRNA331: -&gt; E5_4_2_10_mRNA | 0.00292 - (0.0093 * E5_4_2_10_mRNA)</v>
      </c>
      <c r="N332" s="52" t="str">
        <f t="shared" si="71"/>
        <v>Peptide331: E5_4_2_10_mRNA -&gt; E5_4_2_10 | (0.278 * E5_4_2_10_mRNA) - (0.000000278 * E5_4_2_10)</v>
      </c>
    </row>
    <row r="333" spans="1:14" ht="16">
      <c r="A333" s="41">
        <v>332</v>
      </c>
      <c r="B333" s="42" t="s">
        <v>9234</v>
      </c>
      <c r="C333" s="41" t="str">
        <f t="shared" si="60"/>
        <v>E5_4_2_2_mRNA</v>
      </c>
      <c r="D333" s="41" t="str">
        <f t="shared" si="61"/>
        <v>E5_4_2_2</v>
      </c>
      <c r="E333" s="43" t="str">
        <f t="shared" si="62"/>
        <v>E5_4_2_2_kcat : 13.7</v>
      </c>
      <c r="F333" s="44" t="str">
        <f t="shared" si="63"/>
        <v>E5_4_2_2_km : 1</v>
      </c>
      <c r="G333" s="45" t="str">
        <f t="shared" si="64"/>
        <v>E5_4_2_2_mRNA : E5_4_2_2_mRNA</v>
      </c>
      <c r="H333" s="46" t="str">
        <f t="shared" si="65"/>
        <v>E5_4_2_2 : E5_4_2_2</v>
      </c>
      <c r="I333" s="47" t="str">
        <f t="shared" si="66"/>
        <v>E5_4_2_2_mRNA : 0</v>
      </c>
      <c r="J333" s="48" t="str">
        <f t="shared" si="67"/>
        <v>E5_4_2_2 : 0</v>
      </c>
      <c r="K333" s="49" t="str">
        <f t="shared" si="68"/>
        <v>0.00292 - (0.0093 * E5_4_2_2_mRNA)</v>
      </c>
      <c r="L333" s="50" t="str">
        <f t="shared" si="69"/>
        <v>(0.278 * E5_4_2_2_mRNA) - (0.00000278 * E5_4_2_2)</v>
      </c>
      <c r="M333" s="51" t="str">
        <f t="shared" si="70"/>
        <v>mRNA332: -&gt; E5_4_2_2_mRNA | 0.00292 - (0.0093 * E5_4_2_2_mRNA)</v>
      </c>
      <c r="N333" s="52" t="str">
        <f t="shared" si="71"/>
        <v>Peptide332: E5_4_2_2_mRNA -&gt; E5_4_2_2 | (0.278 * E5_4_2_2_mRNA) - (0.000000278 * E5_4_2_2)</v>
      </c>
    </row>
    <row r="334" spans="1:14" ht="16">
      <c r="A334" s="41">
        <v>333</v>
      </c>
      <c r="B334" s="42" t="s">
        <v>9235</v>
      </c>
      <c r="C334" s="41" t="str">
        <f t="shared" si="60"/>
        <v>E5_4_2_7_mRNA</v>
      </c>
      <c r="D334" s="41" t="str">
        <f t="shared" si="61"/>
        <v>E5_4_2_7</v>
      </c>
      <c r="E334" s="43" t="str">
        <f t="shared" si="62"/>
        <v>E5_4_2_7_kcat : 13.7</v>
      </c>
      <c r="F334" s="44" t="str">
        <f t="shared" si="63"/>
        <v>E5_4_2_7_km : 1</v>
      </c>
      <c r="G334" s="45" t="str">
        <f t="shared" si="64"/>
        <v>E5_4_2_7_mRNA : E5_4_2_7_mRNA</v>
      </c>
      <c r="H334" s="46" t="str">
        <f t="shared" si="65"/>
        <v>E5_4_2_7 : E5_4_2_7</v>
      </c>
      <c r="I334" s="47" t="str">
        <f t="shared" si="66"/>
        <v>E5_4_2_7_mRNA : 0</v>
      </c>
      <c r="J334" s="48" t="str">
        <f t="shared" si="67"/>
        <v>E5_4_2_7 : 0</v>
      </c>
      <c r="K334" s="49" t="str">
        <f t="shared" si="68"/>
        <v>0.00292 - (0.0093 * E5_4_2_7_mRNA)</v>
      </c>
      <c r="L334" s="50" t="str">
        <f t="shared" si="69"/>
        <v>(0.278 * E5_4_2_7_mRNA) - (0.00000278 * E5_4_2_7)</v>
      </c>
      <c r="M334" s="51" t="str">
        <f t="shared" si="70"/>
        <v>mRNA333: -&gt; E5_4_2_7_mRNA | 0.00292 - (0.0093 * E5_4_2_7_mRNA)</v>
      </c>
      <c r="N334" s="52" t="str">
        <f t="shared" si="71"/>
        <v>Peptide333: E5_4_2_7_mRNA -&gt; E5_4_2_7 | (0.278 * E5_4_2_7_mRNA) - (0.000000278 * E5_4_2_7)</v>
      </c>
    </row>
    <row r="335" spans="1:14" ht="16">
      <c r="A335" s="41">
        <v>334</v>
      </c>
      <c r="B335" s="42" t="s">
        <v>9236</v>
      </c>
      <c r="C335" s="41" t="str">
        <f t="shared" si="60"/>
        <v>E5_4_99_12_mRNA</v>
      </c>
      <c r="D335" s="41" t="str">
        <f t="shared" si="61"/>
        <v>E5_4_99_12</v>
      </c>
      <c r="E335" s="43" t="str">
        <f t="shared" si="62"/>
        <v>E5_4_99_12_kcat : 13.7</v>
      </c>
      <c r="F335" s="44" t="str">
        <f t="shared" si="63"/>
        <v>E5_4_99_12_km : 1</v>
      </c>
      <c r="G335" s="45" t="str">
        <f t="shared" si="64"/>
        <v>E5_4_99_12_mRNA : E5_4_99_12_mRNA</v>
      </c>
      <c r="H335" s="46" t="str">
        <f t="shared" si="65"/>
        <v>E5_4_99_12 : E5_4_99_12</v>
      </c>
      <c r="I335" s="47" t="str">
        <f t="shared" si="66"/>
        <v>E5_4_99_12_mRNA : 0</v>
      </c>
      <c r="J335" s="48" t="str">
        <f t="shared" si="67"/>
        <v>E5_4_99_12 : 0</v>
      </c>
      <c r="K335" s="49" t="str">
        <f t="shared" si="68"/>
        <v>0.00292 - (0.0093 * E5_4_99_12_mRNA)</v>
      </c>
      <c r="L335" s="50" t="str">
        <f t="shared" si="69"/>
        <v>(0.278 * E5_4_99_12_mRNA) - (0.00000278 * E5_4_99_12)</v>
      </c>
      <c r="M335" s="51" t="str">
        <f t="shared" si="70"/>
        <v>mRNA334: -&gt; E5_4_99_12_mRNA | 0.00292 - (0.0093 * E5_4_99_12_mRNA)</v>
      </c>
      <c r="N335" s="52" t="str">
        <f t="shared" si="71"/>
        <v>Peptide334: E5_4_99_12_mRNA -&gt; E5_4_99_12 | (0.278 * E5_4_99_12_mRNA) - (0.000000278 * E5_4_99_12)</v>
      </c>
    </row>
    <row r="336" spans="1:14" ht="16">
      <c r="A336" s="41">
        <v>335</v>
      </c>
      <c r="B336" s="42" t="s">
        <v>9237</v>
      </c>
      <c r="C336" s="41" t="str">
        <f t="shared" si="60"/>
        <v>E5_4_99_18_mRNA</v>
      </c>
      <c r="D336" s="41" t="str">
        <f t="shared" si="61"/>
        <v>E5_4_99_18</v>
      </c>
      <c r="E336" s="43" t="str">
        <f t="shared" si="62"/>
        <v>E5_4_99_18_kcat : 13.7</v>
      </c>
      <c r="F336" s="44" t="str">
        <f t="shared" si="63"/>
        <v>E5_4_99_18_km : 1</v>
      </c>
      <c r="G336" s="45" t="str">
        <f t="shared" si="64"/>
        <v>E5_4_99_18_mRNA : E5_4_99_18_mRNA</v>
      </c>
      <c r="H336" s="46" t="str">
        <f t="shared" si="65"/>
        <v>E5_4_99_18 : E5_4_99_18</v>
      </c>
      <c r="I336" s="47" t="str">
        <f t="shared" si="66"/>
        <v>E5_4_99_18_mRNA : 0</v>
      </c>
      <c r="J336" s="48" t="str">
        <f t="shared" si="67"/>
        <v>E5_4_99_18 : 0</v>
      </c>
      <c r="K336" s="49" t="str">
        <f t="shared" si="68"/>
        <v>0.00292 - (0.0093 * E5_4_99_18_mRNA)</v>
      </c>
      <c r="L336" s="50" t="str">
        <f t="shared" si="69"/>
        <v>(0.278 * E5_4_99_18_mRNA) - (0.00000278 * E5_4_99_18)</v>
      </c>
      <c r="M336" s="51" t="str">
        <f t="shared" si="70"/>
        <v>mRNA335: -&gt; E5_4_99_18_mRNA | 0.00292 - (0.0093 * E5_4_99_18_mRNA)</v>
      </c>
      <c r="N336" s="52" t="str">
        <f t="shared" si="71"/>
        <v>Peptide335: E5_4_99_18_mRNA -&gt; E5_4_99_18 | (0.278 * E5_4_99_18_mRNA) - (0.000000278 * E5_4_99_18)</v>
      </c>
    </row>
    <row r="337" spans="1:14" ht="16">
      <c r="A337" s="41">
        <v>336</v>
      </c>
      <c r="B337" s="42" t="s">
        <v>9238</v>
      </c>
      <c r="C337" s="41" t="str">
        <f t="shared" si="60"/>
        <v>E5_4_99_25_mRNA</v>
      </c>
      <c r="D337" s="41" t="str">
        <f t="shared" si="61"/>
        <v>E5_4_99_25</v>
      </c>
      <c r="E337" s="43" t="str">
        <f t="shared" si="62"/>
        <v>E5_4_99_25_kcat : 13.7</v>
      </c>
      <c r="F337" s="44" t="str">
        <f t="shared" si="63"/>
        <v>E5_4_99_25_km : 1</v>
      </c>
      <c r="G337" s="45" t="str">
        <f t="shared" si="64"/>
        <v>E5_4_99_25_mRNA : E5_4_99_25_mRNA</v>
      </c>
      <c r="H337" s="46" t="str">
        <f t="shared" si="65"/>
        <v>E5_4_99_25 : E5_4_99_25</v>
      </c>
      <c r="I337" s="47" t="str">
        <f t="shared" si="66"/>
        <v>E5_4_99_25_mRNA : 0</v>
      </c>
      <c r="J337" s="48" t="str">
        <f t="shared" si="67"/>
        <v>E5_4_99_25 : 0</v>
      </c>
      <c r="K337" s="49" t="str">
        <f t="shared" si="68"/>
        <v>0.00292 - (0.0093 * E5_4_99_25_mRNA)</v>
      </c>
      <c r="L337" s="50" t="str">
        <f t="shared" si="69"/>
        <v>(0.278 * E5_4_99_25_mRNA) - (0.00000278 * E5_4_99_25)</v>
      </c>
      <c r="M337" s="51" t="str">
        <f t="shared" si="70"/>
        <v>mRNA336: -&gt; E5_4_99_25_mRNA | 0.00292 - (0.0093 * E5_4_99_25_mRNA)</v>
      </c>
      <c r="N337" s="52" t="str">
        <f t="shared" si="71"/>
        <v>Peptide336: E5_4_99_25_mRNA -&gt; E5_4_99_25 | (0.278 * E5_4_99_25_mRNA) - (0.000000278 * E5_4_99_25)</v>
      </c>
    </row>
    <row r="338" spans="1:14" ht="16">
      <c r="A338" s="41">
        <v>337</v>
      </c>
      <c r="B338" s="42" t="s">
        <v>9239</v>
      </c>
      <c r="C338" s="41" t="str">
        <f t="shared" si="60"/>
        <v>E5_4_99_5_mRNA</v>
      </c>
      <c r="D338" s="41" t="str">
        <f t="shared" si="61"/>
        <v>E5_4_99_5</v>
      </c>
      <c r="E338" s="43" t="str">
        <f t="shared" si="62"/>
        <v>E5_4_99_5_kcat : 13.7</v>
      </c>
      <c r="F338" s="44" t="str">
        <f t="shared" si="63"/>
        <v>E5_4_99_5_km : 1</v>
      </c>
      <c r="G338" s="45" t="str">
        <f t="shared" si="64"/>
        <v>E5_4_99_5_mRNA : E5_4_99_5_mRNA</v>
      </c>
      <c r="H338" s="46" t="str">
        <f t="shared" si="65"/>
        <v>E5_4_99_5 : E5_4_99_5</v>
      </c>
      <c r="I338" s="47" t="str">
        <f t="shared" si="66"/>
        <v>E5_4_99_5_mRNA : 0</v>
      </c>
      <c r="J338" s="48" t="str">
        <f t="shared" si="67"/>
        <v>E5_4_99_5 : 0</v>
      </c>
      <c r="K338" s="49" t="str">
        <f t="shared" si="68"/>
        <v>0.00292 - (0.0093 * E5_4_99_5_mRNA)</v>
      </c>
      <c r="L338" s="50" t="str">
        <f t="shared" si="69"/>
        <v>(0.278 * E5_4_99_5_mRNA) - (0.00000278 * E5_4_99_5)</v>
      </c>
      <c r="M338" s="51" t="str">
        <f t="shared" si="70"/>
        <v>mRNA337: -&gt; E5_4_99_5_mRNA | 0.00292 - (0.0093 * E5_4_99_5_mRNA)</v>
      </c>
      <c r="N338" s="52" t="str">
        <f t="shared" si="71"/>
        <v>Peptide337: E5_4_99_5_mRNA -&gt; E5_4_99_5 | (0.278 * E5_4_99_5_mRNA) - (0.000000278 * E5_4_99_5)</v>
      </c>
    </row>
    <row r="339" spans="1:14" ht="16">
      <c r="A339" s="41">
        <v>338</v>
      </c>
      <c r="B339" s="42" t="s">
        <v>9240</v>
      </c>
      <c r="C339" s="41" t="str">
        <f t="shared" si="60"/>
        <v>E5_4_99_9_mRNA</v>
      </c>
      <c r="D339" s="41" t="str">
        <f t="shared" si="61"/>
        <v>E5_4_99_9</v>
      </c>
      <c r="E339" s="43" t="str">
        <f t="shared" si="62"/>
        <v>E5_4_99_9_kcat : 13.7</v>
      </c>
      <c r="F339" s="44" t="str">
        <f t="shared" si="63"/>
        <v>E5_4_99_9_km : 1</v>
      </c>
      <c r="G339" s="45" t="str">
        <f t="shared" si="64"/>
        <v>E5_4_99_9_mRNA : E5_4_99_9_mRNA</v>
      </c>
      <c r="H339" s="46" t="str">
        <f t="shared" si="65"/>
        <v>E5_4_99_9 : E5_4_99_9</v>
      </c>
      <c r="I339" s="47" t="str">
        <f t="shared" si="66"/>
        <v>E5_4_99_9_mRNA : 0</v>
      </c>
      <c r="J339" s="48" t="str">
        <f t="shared" si="67"/>
        <v>E5_4_99_9 : 0</v>
      </c>
      <c r="K339" s="49" t="str">
        <f t="shared" si="68"/>
        <v>0.00292 - (0.0093 * E5_4_99_9_mRNA)</v>
      </c>
      <c r="L339" s="50" t="str">
        <f t="shared" si="69"/>
        <v>(0.278 * E5_4_99_9_mRNA) - (0.00000278 * E5_4_99_9)</v>
      </c>
      <c r="M339" s="51" t="str">
        <f t="shared" si="70"/>
        <v>mRNA338: -&gt; E5_4_99_9_mRNA | 0.00292 - (0.0093 * E5_4_99_9_mRNA)</v>
      </c>
      <c r="N339" s="52" t="str">
        <f t="shared" si="71"/>
        <v>Peptide338: E5_4_99_9_mRNA -&gt; E5_4_99_9 | (0.278 * E5_4_99_9_mRNA) - (0.000000278 * E5_4_99_9)</v>
      </c>
    </row>
    <row r="340" spans="1:14" ht="16">
      <c r="A340" s="41">
        <v>339</v>
      </c>
      <c r="B340" s="42" t="s">
        <v>9241</v>
      </c>
      <c r="C340" s="41" t="str">
        <f t="shared" si="60"/>
        <v>E5_6_2_1_mRNA</v>
      </c>
      <c r="D340" s="41" t="str">
        <f t="shared" si="61"/>
        <v>E5_6_2_1</v>
      </c>
      <c r="E340" s="43" t="str">
        <f t="shared" si="62"/>
        <v>E5_6_2_1_kcat : 13.7</v>
      </c>
      <c r="F340" s="44" t="str">
        <f t="shared" si="63"/>
        <v>E5_6_2_1_km : 1</v>
      </c>
      <c r="G340" s="45" t="str">
        <f t="shared" si="64"/>
        <v>E5_6_2_1_mRNA : E5_6_2_1_mRNA</v>
      </c>
      <c r="H340" s="46" t="str">
        <f t="shared" si="65"/>
        <v>E5_6_2_1 : E5_6_2_1</v>
      </c>
      <c r="I340" s="47" t="str">
        <f t="shared" si="66"/>
        <v>E5_6_2_1_mRNA : 0</v>
      </c>
      <c r="J340" s="48" t="str">
        <f t="shared" si="67"/>
        <v>E5_6_2_1 : 0</v>
      </c>
      <c r="K340" s="49" t="str">
        <f t="shared" si="68"/>
        <v>0.00292 - (0.0093 * E5_6_2_1_mRNA)</v>
      </c>
      <c r="L340" s="50" t="str">
        <f t="shared" si="69"/>
        <v>(0.278 * E5_6_2_1_mRNA) - (0.00000278 * E5_6_2_1)</v>
      </c>
      <c r="M340" s="51" t="str">
        <f t="shared" si="70"/>
        <v>mRNA339: -&gt; E5_6_2_1_mRNA | 0.00292 - (0.0093 * E5_6_2_1_mRNA)</v>
      </c>
      <c r="N340" s="52" t="str">
        <f t="shared" si="71"/>
        <v>Peptide339: E5_6_2_1_mRNA -&gt; E5_6_2_1 | (0.278 * E5_6_2_1_mRNA) - (0.000000278 * E5_6_2_1)</v>
      </c>
    </row>
    <row r="341" spans="1:14" ht="16">
      <c r="A341" s="41">
        <v>340</v>
      </c>
      <c r="B341" s="42" t="s">
        <v>9242</v>
      </c>
      <c r="C341" s="41" t="str">
        <f t="shared" si="60"/>
        <v>E5_6_2_2_mRNA</v>
      </c>
      <c r="D341" s="41" t="str">
        <f t="shared" si="61"/>
        <v>E5_6_2_2</v>
      </c>
      <c r="E341" s="43" t="str">
        <f t="shared" si="62"/>
        <v>E5_6_2_2_kcat : 13.7</v>
      </c>
      <c r="F341" s="44" t="str">
        <f t="shared" si="63"/>
        <v>E5_6_2_2_km : 1</v>
      </c>
      <c r="G341" s="45" t="str">
        <f t="shared" si="64"/>
        <v>E5_6_2_2_mRNA : E5_6_2_2_mRNA</v>
      </c>
      <c r="H341" s="46" t="str">
        <f t="shared" si="65"/>
        <v>E5_6_2_2 : E5_6_2_2</v>
      </c>
      <c r="I341" s="47" t="str">
        <f t="shared" si="66"/>
        <v>E5_6_2_2_mRNA : 0</v>
      </c>
      <c r="J341" s="48" t="str">
        <f t="shared" si="67"/>
        <v>E5_6_2_2 : 0</v>
      </c>
      <c r="K341" s="49" t="str">
        <f t="shared" si="68"/>
        <v>0.00292 - (0.0093 * E5_6_2_2_mRNA)</v>
      </c>
      <c r="L341" s="50" t="str">
        <f t="shared" si="69"/>
        <v>(0.278 * E5_6_2_2_mRNA) - (0.00000278 * E5_6_2_2)</v>
      </c>
      <c r="M341" s="51" t="str">
        <f t="shared" si="70"/>
        <v>mRNA340: -&gt; E5_6_2_2_mRNA | 0.00292 - (0.0093 * E5_6_2_2_mRNA)</v>
      </c>
      <c r="N341" s="52" t="str">
        <f t="shared" si="71"/>
        <v>Peptide340: E5_6_2_2_mRNA -&gt; E5_6_2_2 | (0.278 * E5_6_2_2_mRNA) - (0.000000278 * E5_6_2_2)</v>
      </c>
    </row>
    <row r="342" spans="1:14" ht="16">
      <c r="A342" s="41">
        <v>341</v>
      </c>
      <c r="B342" s="42" t="s">
        <v>9243</v>
      </c>
      <c r="C342" s="41" t="str">
        <f t="shared" si="60"/>
        <v>E6_1_1_1_mRNA</v>
      </c>
      <c r="D342" s="41" t="str">
        <f t="shared" si="61"/>
        <v>E6_1_1_1</v>
      </c>
      <c r="E342" s="43" t="str">
        <f t="shared" si="62"/>
        <v>E6_1_1_1_kcat : 13.7</v>
      </c>
      <c r="F342" s="44" t="str">
        <f t="shared" si="63"/>
        <v>E6_1_1_1_km : 1</v>
      </c>
      <c r="G342" s="45" t="str">
        <f t="shared" si="64"/>
        <v>E6_1_1_1_mRNA : E6_1_1_1_mRNA</v>
      </c>
      <c r="H342" s="46" t="str">
        <f t="shared" si="65"/>
        <v>E6_1_1_1 : E6_1_1_1</v>
      </c>
      <c r="I342" s="47" t="str">
        <f t="shared" si="66"/>
        <v>E6_1_1_1_mRNA : 0</v>
      </c>
      <c r="J342" s="48" t="str">
        <f t="shared" si="67"/>
        <v>E6_1_1_1 : 0</v>
      </c>
      <c r="K342" s="49" t="str">
        <f t="shared" si="68"/>
        <v>0.00292 - (0.0093 * E6_1_1_1_mRNA)</v>
      </c>
      <c r="L342" s="50" t="str">
        <f t="shared" si="69"/>
        <v>(0.278 * E6_1_1_1_mRNA) - (0.00000278 * E6_1_1_1)</v>
      </c>
      <c r="M342" s="51" t="str">
        <f t="shared" si="70"/>
        <v>mRNA341: -&gt; E6_1_1_1_mRNA | 0.00292 - (0.0093 * E6_1_1_1_mRNA)</v>
      </c>
      <c r="N342" s="52" t="str">
        <f t="shared" si="71"/>
        <v>Peptide341: E6_1_1_1_mRNA -&gt; E6_1_1_1 | (0.278 * E6_1_1_1_mRNA) - (0.000000278 * E6_1_1_1)</v>
      </c>
    </row>
    <row r="343" spans="1:14" ht="16">
      <c r="A343" s="41">
        <v>342</v>
      </c>
      <c r="B343" s="42" t="s">
        <v>9244</v>
      </c>
      <c r="C343" s="41" t="str">
        <f t="shared" si="60"/>
        <v>E6_1_1_10_mRNA</v>
      </c>
      <c r="D343" s="41" t="str">
        <f t="shared" si="61"/>
        <v>E6_1_1_10</v>
      </c>
      <c r="E343" s="43" t="str">
        <f t="shared" si="62"/>
        <v>E6_1_1_10_kcat : 13.7</v>
      </c>
      <c r="F343" s="44" t="str">
        <f t="shared" si="63"/>
        <v>E6_1_1_10_km : 1</v>
      </c>
      <c r="G343" s="45" t="str">
        <f t="shared" si="64"/>
        <v>E6_1_1_10_mRNA : E6_1_1_10_mRNA</v>
      </c>
      <c r="H343" s="46" t="str">
        <f t="shared" si="65"/>
        <v>E6_1_1_10 : E6_1_1_10</v>
      </c>
      <c r="I343" s="47" t="str">
        <f t="shared" si="66"/>
        <v>E6_1_1_10_mRNA : 0</v>
      </c>
      <c r="J343" s="48" t="str">
        <f t="shared" si="67"/>
        <v>E6_1_1_10 : 0</v>
      </c>
      <c r="K343" s="49" t="str">
        <f t="shared" si="68"/>
        <v>0.00292 - (0.0093 * E6_1_1_10_mRNA)</v>
      </c>
      <c r="L343" s="50" t="str">
        <f t="shared" si="69"/>
        <v>(0.278 * E6_1_1_10_mRNA) - (0.00000278 * E6_1_1_10)</v>
      </c>
      <c r="M343" s="51" t="str">
        <f t="shared" si="70"/>
        <v>mRNA342: -&gt; E6_1_1_10_mRNA | 0.00292 - (0.0093 * E6_1_1_10_mRNA)</v>
      </c>
      <c r="N343" s="52" t="str">
        <f t="shared" si="71"/>
        <v>Peptide342: E6_1_1_10_mRNA -&gt; E6_1_1_10 | (0.278 * E6_1_1_10_mRNA) - (0.000000278 * E6_1_1_10)</v>
      </c>
    </row>
    <row r="344" spans="1:14" ht="16">
      <c r="A344" s="41">
        <v>343</v>
      </c>
      <c r="B344" s="42" t="s">
        <v>9245</v>
      </c>
      <c r="C344" s="41" t="str">
        <f t="shared" si="60"/>
        <v>E6_1_1_11_mRNA</v>
      </c>
      <c r="D344" s="41" t="str">
        <f t="shared" si="61"/>
        <v>E6_1_1_11</v>
      </c>
      <c r="E344" s="43" t="str">
        <f t="shared" si="62"/>
        <v>E6_1_1_11_kcat : 13.7</v>
      </c>
      <c r="F344" s="44" t="str">
        <f t="shared" si="63"/>
        <v>E6_1_1_11_km : 1</v>
      </c>
      <c r="G344" s="45" t="str">
        <f t="shared" si="64"/>
        <v>E6_1_1_11_mRNA : E6_1_1_11_mRNA</v>
      </c>
      <c r="H344" s="46" t="str">
        <f t="shared" si="65"/>
        <v>E6_1_1_11 : E6_1_1_11</v>
      </c>
      <c r="I344" s="47" t="str">
        <f t="shared" si="66"/>
        <v>E6_1_1_11_mRNA : 0</v>
      </c>
      <c r="J344" s="48" t="str">
        <f t="shared" si="67"/>
        <v>E6_1_1_11 : 0</v>
      </c>
      <c r="K344" s="49" t="str">
        <f t="shared" si="68"/>
        <v>0.00292 - (0.0093 * E6_1_1_11_mRNA)</v>
      </c>
      <c r="L344" s="50" t="str">
        <f t="shared" si="69"/>
        <v>(0.278 * E6_1_1_11_mRNA) - (0.00000278 * E6_1_1_11)</v>
      </c>
      <c r="M344" s="51" t="str">
        <f t="shared" si="70"/>
        <v>mRNA343: -&gt; E6_1_1_11_mRNA | 0.00292 - (0.0093 * E6_1_1_11_mRNA)</v>
      </c>
      <c r="N344" s="52" t="str">
        <f t="shared" si="71"/>
        <v>Peptide343: E6_1_1_11_mRNA -&gt; E6_1_1_11 | (0.278 * E6_1_1_11_mRNA) - (0.000000278 * E6_1_1_11)</v>
      </c>
    </row>
    <row r="345" spans="1:14" ht="16">
      <c r="A345" s="41">
        <v>344</v>
      </c>
      <c r="B345" s="42" t="s">
        <v>9246</v>
      </c>
      <c r="C345" s="41" t="str">
        <f t="shared" si="60"/>
        <v>E6_1_1_12_mRNA</v>
      </c>
      <c r="D345" s="41" t="str">
        <f t="shared" si="61"/>
        <v>E6_1_1_12</v>
      </c>
      <c r="E345" s="43" t="str">
        <f t="shared" si="62"/>
        <v>E6_1_1_12_kcat : 13.7</v>
      </c>
      <c r="F345" s="44" t="str">
        <f t="shared" si="63"/>
        <v>E6_1_1_12_km : 1</v>
      </c>
      <c r="G345" s="45" t="str">
        <f t="shared" si="64"/>
        <v>E6_1_1_12_mRNA : E6_1_1_12_mRNA</v>
      </c>
      <c r="H345" s="46" t="str">
        <f t="shared" si="65"/>
        <v>E6_1_1_12 : E6_1_1_12</v>
      </c>
      <c r="I345" s="47" t="str">
        <f t="shared" si="66"/>
        <v>E6_1_1_12_mRNA : 0</v>
      </c>
      <c r="J345" s="48" t="str">
        <f t="shared" si="67"/>
        <v>E6_1_1_12 : 0</v>
      </c>
      <c r="K345" s="49" t="str">
        <f t="shared" si="68"/>
        <v>0.00292 - (0.0093 * E6_1_1_12_mRNA)</v>
      </c>
      <c r="L345" s="50" t="str">
        <f t="shared" si="69"/>
        <v>(0.278 * E6_1_1_12_mRNA) - (0.00000278 * E6_1_1_12)</v>
      </c>
      <c r="M345" s="51" t="str">
        <f t="shared" si="70"/>
        <v>mRNA344: -&gt; E6_1_1_12_mRNA | 0.00292 - (0.0093 * E6_1_1_12_mRNA)</v>
      </c>
      <c r="N345" s="52" t="str">
        <f t="shared" si="71"/>
        <v>Peptide344: E6_1_1_12_mRNA -&gt; E6_1_1_12 | (0.278 * E6_1_1_12_mRNA) - (0.000000278 * E6_1_1_12)</v>
      </c>
    </row>
    <row r="346" spans="1:14" ht="16">
      <c r="A346" s="41">
        <v>345</v>
      </c>
      <c r="B346" s="42" t="s">
        <v>9247</v>
      </c>
      <c r="C346" s="41" t="str">
        <f t="shared" si="60"/>
        <v>E6_1_1_14_mRNA</v>
      </c>
      <c r="D346" s="41" t="str">
        <f t="shared" si="61"/>
        <v>E6_1_1_14</v>
      </c>
      <c r="E346" s="43" t="str">
        <f t="shared" si="62"/>
        <v>E6_1_1_14_kcat : 13.7</v>
      </c>
      <c r="F346" s="44" t="str">
        <f t="shared" si="63"/>
        <v>E6_1_1_14_km : 1</v>
      </c>
      <c r="G346" s="45" t="str">
        <f t="shared" si="64"/>
        <v>E6_1_1_14_mRNA : E6_1_1_14_mRNA</v>
      </c>
      <c r="H346" s="46" t="str">
        <f t="shared" si="65"/>
        <v>E6_1_1_14 : E6_1_1_14</v>
      </c>
      <c r="I346" s="47" t="str">
        <f t="shared" si="66"/>
        <v>E6_1_1_14_mRNA : 0</v>
      </c>
      <c r="J346" s="48" t="str">
        <f t="shared" si="67"/>
        <v>E6_1_1_14 : 0</v>
      </c>
      <c r="K346" s="49" t="str">
        <f t="shared" si="68"/>
        <v>0.00292 - (0.0093 * E6_1_1_14_mRNA)</v>
      </c>
      <c r="L346" s="50" t="str">
        <f t="shared" si="69"/>
        <v>(0.278 * E6_1_1_14_mRNA) - (0.00000278 * E6_1_1_14)</v>
      </c>
      <c r="M346" s="51" t="str">
        <f t="shared" si="70"/>
        <v>mRNA345: -&gt; E6_1_1_14_mRNA | 0.00292 - (0.0093 * E6_1_1_14_mRNA)</v>
      </c>
      <c r="N346" s="52" t="str">
        <f t="shared" si="71"/>
        <v>Peptide345: E6_1_1_14_mRNA -&gt; E6_1_1_14 | (0.278 * E6_1_1_14_mRNA) - (0.000000278 * E6_1_1_14)</v>
      </c>
    </row>
    <row r="347" spans="1:14" ht="16">
      <c r="A347" s="41">
        <v>346</v>
      </c>
      <c r="B347" s="42" t="s">
        <v>9248</v>
      </c>
      <c r="C347" s="41" t="str">
        <f t="shared" si="60"/>
        <v>E6_1_1_15_mRNA</v>
      </c>
      <c r="D347" s="41" t="str">
        <f t="shared" si="61"/>
        <v>E6_1_1_15</v>
      </c>
      <c r="E347" s="43" t="str">
        <f t="shared" si="62"/>
        <v>E6_1_1_15_kcat : 13.7</v>
      </c>
      <c r="F347" s="44" t="str">
        <f t="shared" si="63"/>
        <v>E6_1_1_15_km : 1</v>
      </c>
      <c r="G347" s="45" t="str">
        <f t="shared" si="64"/>
        <v>E6_1_1_15_mRNA : E6_1_1_15_mRNA</v>
      </c>
      <c r="H347" s="46" t="str">
        <f t="shared" si="65"/>
        <v>E6_1_1_15 : E6_1_1_15</v>
      </c>
      <c r="I347" s="47" t="str">
        <f t="shared" si="66"/>
        <v>E6_1_1_15_mRNA : 0</v>
      </c>
      <c r="J347" s="48" t="str">
        <f t="shared" si="67"/>
        <v>E6_1_1_15 : 0</v>
      </c>
      <c r="K347" s="49" t="str">
        <f t="shared" si="68"/>
        <v>0.00292 - (0.0093 * E6_1_1_15_mRNA)</v>
      </c>
      <c r="L347" s="50" t="str">
        <f t="shared" si="69"/>
        <v>(0.278 * E6_1_1_15_mRNA) - (0.00000278 * E6_1_1_15)</v>
      </c>
      <c r="M347" s="51" t="str">
        <f t="shared" si="70"/>
        <v>mRNA346: -&gt; E6_1_1_15_mRNA | 0.00292 - (0.0093 * E6_1_1_15_mRNA)</v>
      </c>
      <c r="N347" s="52" t="str">
        <f t="shared" si="71"/>
        <v>Peptide346: E6_1_1_15_mRNA -&gt; E6_1_1_15 | (0.278 * E6_1_1_15_mRNA) - (0.000000278 * E6_1_1_15)</v>
      </c>
    </row>
    <row r="348" spans="1:14" ht="16">
      <c r="A348" s="41">
        <v>347</v>
      </c>
      <c r="B348" s="42" t="s">
        <v>9249</v>
      </c>
      <c r="C348" s="41" t="str">
        <f t="shared" si="60"/>
        <v>E6_1_1_16_mRNA</v>
      </c>
      <c r="D348" s="41" t="str">
        <f t="shared" si="61"/>
        <v>E6_1_1_16</v>
      </c>
      <c r="E348" s="43" t="str">
        <f t="shared" si="62"/>
        <v>E6_1_1_16_kcat : 13.7</v>
      </c>
      <c r="F348" s="44" t="str">
        <f t="shared" si="63"/>
        <v>E6_1_1_16_km : 1</v>
      </c>
      <c r="G348" s="45" t="str">
        <f t="shared" si="64"/>
        <v>E6_1_1_16_mRNA : E6_1_1_16_mRNA</v>
      </c>
      <c r="H348" s="46" t="str">
        <f t="shared" si="65"/>
        <v>E6_1_1_16 : E6_1_1_16</v>
      </c>
      <c r="I348" s="47" t="str">
        <f t="shared" si="66"/>
        <v>E6_1_1_16_mRNA : 0</v>
      </c>
      <c r="J348" s="48" t="str">
        <f t="shared" si="67"/>
        <v>E6_1_1_16 : 0</v>
      </c>
      <c r="K348" s="49" t="str">
        <f t="shared" si="68"/>
        <v>0.00292 - (0.0093 * E6_1_1_16_mRNA)</v>
      </c>
      <c r="L348" s="50" t="str">
        <f t="shared" si="69"/>
        <v>(0.278 * E6_1_1_16_mRNA) - (0.00000278 * E6_1_1_16)</v>
      </c>
      <c r="M348" s="51" t="str">
        <f t="shared" si="70"/>
        <v>mRNA347: -&gt; E6_1_1_16_mRNA | 0.00292 - (0.0093 * E6_1_1_16_mRNA)</v>
      </c>
      <c r="N348" s="52" t="str">
        <f t="shared" si="71"/>
        <v>Peptide347: E6_1_1_16_mRNA -&gt; E6_1_1_16 | (0.278 * E6_1_1_16_mRNA) - (0.000000278 * E6_1_1_16)</v>
      </c>
    </row>
    <row r="349" spans="1:14" ht="16">
      <c r="A349" s="41">
        <v>348</v>
      </c>
      <c r="B349" s="42" t="s">
        <v>9250</v>
      </c>
      <c r="C349" s="41" t="str">
        <f t="shared" si="60"/>
        <v>E6_1_1_17_mRNA</v>
      </c>
      <c r="D349" s="41" t="str">
        <f t="shared" si="61"/>
        <v>E6_1_1_17</v>
      </c>
      <c r="E349" s="43" t="str">
        <f t="shared" si="62"/>
        <v>E6_1_1_17_kcat : 13.7</v>
      </c>
      <c r="F349" s="44" t="str">
        <f t="shared" si="63"/>
        <v>E6_1_1_17_km : 1</v>
      </c>
      <c r="G349" s="45" t="str">
        <f t="shared" si="64"/>
        <v>E6_1_1_17_mRNA : E6_1_1_17_mRNA</v>
      </c>
      <c r="H349" s="46" t="str">
        <f t="shared" si="65"/>
        <v>E6_1_1_17 : E6_1_1_17</v>
      </c>
      <c r="I349" s="47" t="str">
        <f t="shared" si="66"/>
        <v>E6_1_1_17_mRNA : 0</v>
      </c>
      <c r="J349" s="48" t="str">
        <f t="shared" si="67"/>
        <v>E6_1_1_17 : 0</v>
      </c>
      <c r="K349" s="49" t="str">
        <f t="shared" si="68"/>
        <v>0.00292 - (0.0093 * E6_1_1_17_mRNA)</v>
      </c>
      <c r="L349" s="50" t="str">
        <f t="shared" si="69"/>
        <v>(0.278 * E6_1_1_17_mRNA) - (0.00000278 * E6_1_1_17)</v>
      </c>
      <c r="M349" s="51" t="str">
        <f t="shared" si="70"/>
        <v>mRNA348: -&gt; E6_1_1_17_mRNA | 0.00292 - (0.0093 * E6_1_1_17_mRNA)</v>
      </c>
      <c r="N349" s="52" t="str">
        <f t="shared" si="71"/>
        <v>Peptide348: E6_1_1_17_mRNA -&gt; E6_1_1_17 | (0.278 * E6_1_1_17_mRNA) - (0.000000278 * E6_1_1_17)</v>
      </c>
    </row>
    <row r="350" spans="1:14" ht="16">
      <c r="A350" s="41">
        <v>349</v>
      </c>
      <c r="B350" s="42" t="s">
        <v>9251</v>
      </c>
      <c r="C350" s="41" t="str">
        <f t="shared" si="60"/>
        <v>E6_1_1_24_mRNA</v>
      </c>
      <c r="D350" s="41" t="str">
        <f t="shared" si="61"/>
        <v>E6_1_1_24</v>
      </c>
      <c r="E350" s="43" t="str">
        <f t="shared" si="62"/>
        <v>E6_1_1_24_kcat : 13.7</v>
      </c>
      <c r="F350" s="44" t="str">
        <f t="shared" si="63"/>
        <v>E6_1_1_24_km : 1</v>
      </c>
      <c r="G350" s="45" t="str">
        <f t="shared" si="64"/>
        <v>E6_1_1_24_mRNA : E6_1_1_24_mRNA</v>
      </c>
      <c r="H350" s="46" t="str">
        <f t="shared" si="65"/>
        <v>E6_1_1_24 : E6_1_1_24</v>
      </c>
      <c r="I350" s="47" t="str">
        <f t="shared" si="66"/>
        <v>E6_1_1_24_mRNA : 0</v>
      </c>
      <c r="J350" s="48" t="str">
        <f t="shared" si="67"/>
        <v>E6_1_1_24 : 0</v>
      </c>
      <c r="K350" s="49" t="str">
        <f t="shared" si="68"/>
        <v>0.00292 - (0.0093 * E6_1_1_24_mRNA)</v>
      </c>
      <c r="L350" s="50" t="str">
        <f t="shared" si="69"/>
        <v>(0.278 * E6_1_1_24_mRNA) - (0.00000278 * E6_1_1_24)</v>
      </c>
      <c r="M350" s="51" t="str">
        <f t="shared" si="70"/>
        <v>mRNA349: -&gt; E6_1_1_24_mRNA | 0.00292 - (0.0093 * E6_1_1_24_mRNA)</v>
      </c>
      <c r="N350" s="52" t="str">
        <f t="shared" si="71"/>
        <v>Peptide349: E6_1_1_24_mRNA -&gt; E6_1_1_24 | (0.278 * E6_1_1_24_mRNA) - (0.000000278 * E6_1_1_24)</v>
      </c>
    </row>
    <row r="351" spans="1:14" ht="16">
      <c r="A351" s="41">
        <v>350</v>
      </c>
      <c r="B351" s="42" t="s">
        <v>9252</v>
      </c>
      <c r="C351" s="41" t="str">
        <f t="shared" si="60"/>
        <v>E6_1_1_19_mRNA</v>
      </c>
      <c r="D351" s="41" t="str">
        <f t="shared" si="61"/>
        <v>E6_1_1_19</v>
      </c>
      <c r="E351" s="43" t="str">
        <f t="shared" si="62"/>
        <v>E6_1_1_19_kcat : 13.7</v>
      </c>
      <c r="F351" s="44" t="str">
        <f t="shared" si="63"/>
        <v>E6_1_1_19_km : 1</v>
      </c>
      <c r="G351" s="45" t="str">
        <f t="shared" si="64"/>
        <v>E6_1_1_19_mRNA : E6_1_1_19_mRNA</v>
      </c>
      <c r="H351" s="46" t="str">
        <f t="shared" si="65"/>
        <v>E6_1_1_19 : E6_1_1_19</v>
      </c>
      <c r="I351" s="47" t="str">
        <f t="shared" si="66"/>
        <v>E6_1_1_19_mRNA : 0</v>
      </c>
      <c r="J351" s="48" t="str">
        <f t="shared" si="67"/>
        <v>E6_1_1_19 : 0</v>
      </c>
      <c r="K351" s="49" t="str">
        <f t="shared" si="68"/>
        <v>0.00292 - (0.0093 * E6_1_1_19_mRNA)</v>
      </c>
      <c r="L351" s="50" t="str">
        <f t="shared" si="69"/>
        <v>(0.278 * E6_1_1_19_mRNA) - (0.00000278 * E6_1_1_19)</v>
      </c>
      <c r="M351" s="51" t="str">
        <f t="shared" si="70"/>
        <v>mRNA350: -&gt; E6_1_1_19_mRNA | 0.00292 - (0.0093 * E6_1_1_19_mRNA)</v>
      </c>
      <c r="N351" s="52" t="str">
        <f t="shared" si="71"/>
        <v>Peptide350: E6_1_1_19_mRNA -&gt; E6_1_1_19 | (0.278 * E6_1_1_19_mRNA) - (0.000000278 * E6_1_1_19)</v>
      </c>
    </row>
    <row r="352" spans="1:14" ht="16">
      <c r="A352" s="41">
        <v>351</v>
      </c>
      <c r="B352" s="42" t="s">
        <v>9253</v>
      </c>
      <c r="C352" s="41" t="str">
        <f t="shared" si="60"/>
        <v>E6_1_1_2_mRNA</v>
      </c>
      <c r="D352" s="41" t="str">
        <f t="shared" si="61"/>
        <v>E6_1_1_2</v>
      </c>
      <c r="E352" s="43" t="str">
        <f t="shared" si="62"/>
        <v>E6_1_1_2_kcat : 13.7</v>
      </c>
      <c r="F352" s="44" t="str">
        <f t="shared" si="63"/>
        <v>E6_1_1_2_km : 1</v>
      </c>
      <c r="G352" s="45" t="str">
        <f t="shared" si="64"/>
        <v>E6_1_1_2_mRNA : E6_1_1_2_mRNA</v>
      </c>
      <c r="H352" s="46" t="str">
        <f t="shared" si="65"/>
        <v>E6_1_1_2 : E6_1_1_2</v>
      </c>
      <c r="I352" s="47" t="str">
        <f t="shared" si="66"/>
        <v>E6_1_1_2_mRNA : 0</v>
      </c>
      <c r="J352" s="48" t="str">
        <f t="shared" si="67"/>
        <v>E6_1_1_2 : 0</v>
      </c>
      <c r="K352" s="49" t="str">
        <f t="shared" si="68"/>
        <v>0.00292 - (0.0093 * E6_1_1_2_mRNA)</v>
      </c>
      <c r="L352" s="50" t="str">
        <f t="shared" si="69"/>
        <v>(0.278 * E6_1_1_2_mRNA) - (0.00000278 * E6_1_1_2)</v>
      </c>
      <c r="M352" s="51" t="str">
        <f t="shared" si="70"/>
        <v>mRNA351: -&gt; E6_1_1_2_mRNA | 0.00292 - (0.0093 * E6_1_1_2_mRNA)</v>
      </c>
      <c r="N352" s="52" t="str">
        <f t="shared" si="71"/>
        <v>Peptide351: E6_1_1_2_mRNA -&gt; E6_1_1_2 | (0.278 * E6_1_1_2_mRNA) - (0.000000278 * E6_1_1_2)</v>
      </c>
    </row>
    <row r="353" spans="1:14" ht="16">
      <c r="A353" s="41">
        <v>352</v>
      </c>
      <c r="B353" s="42" t="s">
        <v>9254</v>
      </c>
      <c r="C353" s="41" t="str">
        <f t="shared" si="60"/>
        <v>E6_1_1_20_mRNA</v>
      </c>
      <c r="D353" s="41" t="str">
        <f t="shared" si="61"/>
        <v>E6_1_1_20</v>
      </c>
      <c r="E353" s="43" t="str">
        <f t="shared" si="62"/>
        <v>E6_1_1_20_kcat : 13.7</v>
      </c>
      <c r="F353" s="44" t="str">
        <f t="shared" si="63"/>
        <v>E6_1_1_20_km : 1</v>
      </c>
      <c r="G353" s="45" t="str">
        <f t="shared" si="64"/>
        <v>E6_1_1_20_mRNA : E6_1_1_20_mRNA</v>
      </c>
      <c r="H353" s="46" t="str">
        <f t="shared" si="65"/>
        <v>E6_1_1_20 : E6_1_1_20</v>
      </c>
      <c r="I353" s="47" t="str">
        <f t="shared" si="66"/>
        <v>E6_1_1_20_mRNA : 0</v>
      </c>
      <c r="J353" s="48" t="str">
        <f t="shared" si="67"/>
        <v>E6_1_1_20 : 0</v>
      </c>
      <c r="K353" s="49" t="str">
        <f t="shared" si="68"/>
        <v>0.00292 - (0.0093 * E6_1_1_20_mRNA)</v>
      </c>
      <c r="L353" s="50" t="str">
        <f t="shared" si="69"/>
        <v>(0.278 * E6_1_1_20_mRNA) - (0.00000278 * E6_1_1_20)</v>
      </c>
      <c r="M353" s="51" t="str">
        <f t="shared" si="70"/>
        <v>mRNA352: -&gt; E6_1_1_20_mRNA | 0.00292 - (0.0093 * E6_1_1_20_mRNA)</v>
      </c>
      <c r="N353" s="52" t="str">
        <f t="shared" si="71"/>
        <v>Peptide352: E6_1_1_20_mRNA -&gt; E6_1_1_20 | (0.278 * E6_1_1_20_mRNA) - (0.000000278 * E6_1_1_20)</v>
      </c>
    </row>
    <row r="354" spans="1:14" ht="16">
      <c r="A354" s="41">
        <v>353</v>
      </c>
      <c r="B354" s="42" t="s">
        <v>9255</v>
      </c>
      <c r="C354" s="41" t="str">
        <f t="shared" si="60"/>
        <v>E6_1_1_21_mRNA</v>
      </c>
      <c r="D354" s="41" t="str">
        <f t="shared" si="61"/>
        <v>E6_1_1_21</v>
      </c>
      <c r="E354" s="43" t="str">
        <f t="shared" si="62"/>
        <v>E6_1_1_21_kcat : 13.7</v>
      </c>
      <c r="F354" s="44" t="str">
        <f t="shared" si="63"/>
        <v>E6_1_1_21_km : 1</v>
      </c>
      <c r="G354" s="45" t="str">
        <f t="shared" si="64"/>
        <v>E6_1_1_21_mRNA : E6_1_1_21_mRNA</v>
      </c>
      <c r="H354" s="46" t="str">
        <f t="shared" si="65"/>
        <v>E6_1_1_21 : E6_1_1_21</v>
      </c>
      <c r="I354" s="47" t="str">
        <f t="shared" si="66"/>
        <v>E6_1_1_21_mRNA : 0</v>
      </c>
      <c r="J354" s="48" t="str">
        <f t="shared" si="67"/>
        <v>E6_1_1_21 : 0</v>
      </c>
      <c r="K354" s="49" t="str">
        <f t="shared" si="68"/>
        <v>0.00292 - (0.0093 * E6_1_1_21_mRNA)</v>
      </c>
      <c r="L354" s="50" t="str">
        <f t="shared" si="69"/>
        <v>(0.278 * E6_1_1_21_mRNA) - (0.00000278 * E6_1_1_21)</v>
      </c>
      <c r="M354" s="51" t="str">
        <f t="shared" si="70"/>
        <v>mRNA353: -&gt; E6_1_1_21_mRNA | 0.00292 - (0.0093 * E6_1_1_21_mRNA)</v>
      </c>
      <c r="N354" s="52" t="str">
        <f t="shared" si="71"/>
        <v>Peptide353: E6_1_1_21_mRNA -&gt; E6_1_1_21 | (0.278 * E6_1_1_21_mRNA) - (0.000000278 * E6_1_1_21)</v>
      </c>
    </row>
    <row r="355" spans="1:14" ht="16">
      <c r="A355" s="41">
        <v>354</v>
      </c>
      <c r="B355" s="42" t="s">
        <v>9256</v>
      </c>
      <c r="C355" s="41" t="str">
        <f t="shared" si="60"/>
        <v>E6_1_1_22_mRNA</v>
      </c>
      <c r="D355" s="41" t="str">
        <f t="shared" si="61"/>
        <v>E6_1_1_22</v>
      </c>
      <c r="E355" s="43" t="str">
        <f t="shared" si="62"/>
        <v>E6_1_1_22_kcat : 13.7</v>
      </c>
      <c r="F355" s="44" t="str">
        <f t="shared" si="63"/>
        <v>E6_1_1_22_km : 1</v>
      </c>
      <c r="G355" s="45" t="str">
        <f t="shared" si="64"/>
        <v>E6_1_1_22_mRNA : E6_1_1_22_mRNA</v>
      </c>
      <c r="H355" s="46" t="str">
        <f t="shared" si="65"/>
        <v>E6_1_1_22 : E6_1_1_22</v>
      </c>
      <c r="I355" s="47" t="str">
        <f t="shared" si="66"/>
        <v>E6_1_1_22_mRNA : 0</v>
      </c>
      <c r="J355" s="48" t="str">
        <f t="shared" si="67"/>
        <v>E6_1_1_22 : 0</v>
      </c>
      <c r="K355" s="49" t="str">
        <f t="shared" si="68"/>
        <v>0.00292 - (0.0093 * E6_1_1_22_mRNA)</v>
      </c>
      <c r="L355" s="50" t="str">
        <f t="shared" si="69"/>
        <v>(0.278 * E6_1_1_22_mRNA) - (0.00000278 * E6_1_1_22)</v>
      </c>
      <c r="M355" s="51" t="str">
        <f t="shared" si="70"/>
        <v>mRNA354: -&gt; E6_1_1_22_mRNA | 0.00292 - (0.0093 * E6_1_1_22_mRNA)</v>
      </c>
      <c r="N355" s="52" t="str">
        <f t="shared" si="71"/>
        <v>Peptide354: E6_1_1_22_mRNA -&gt; E6_1_1_22 | (0.278 * E6_1_1_22_mRNA) - (0.000000278 * E6_1_1_22)</v>
      </c>
    </row>
    <row r="356" spans="1:14" ht="16">
      <c r="A356" s="41">
        <v>355</v>
      </c>
      <c r="B356" s="42" t="s">
        <v>9257</v>
      </c>
      <c r="C356" s="41" t="str">
        <f t="shared" si="60"/>
        <v>E6_1_1_3_mRNA</v>
      </c>
      <c r="D356" s="41" t="str">
        <f t="shared" si="61"/>
        <v>E6_1_1_3</v>
      </c>
      <c r="E356" s="43" t="str">
        <f t="shared" si="62"/>
        <v>E6_1_1_3_kcat : 13.7</v>
      </c>
      <c r="F356" s="44" t="str">
        <f t="shared" si="63"/>
        <v>E6_1_1_3_km : 1</v>
      </c>
      <c r="G356" s="45" t="str">
        <f t="shared" si="64"/>
        <v>E6_1_1_3_mRNA : E6_1_1_3_mRNA</v>
      </c>
      <c r="H356" s="46" t="str">
        <f t="shared" si="65"/>
        <v>E6_1_1_3 : E6_1_1_3</v>
      </c>
      <c r="I356" s="47" t="str">
        <f t="shared" si="66"/>
        <v>E6_1_1_3_mRNA : 0</v>
      </c>
      <c r="J356" s="48" t="str">
        <f t="shared" si="67"/>
        <v>E6_1_1_3 : 0</v>
      </c>
      <c r="K356" s="49" t="str">
        <f t="shared" si="68"/>
        <v>0.00292 - (0.0093 * E6_1_1_3_mRNA)</v>
      </c>
      <c r="L356" s="50" t="str">
        <f t="shared" si="69"/>
        <v>(0.278 * E6_1_1_3_mRNA) - (0.00000278 * E6_1_1_3)</v>
      </c>
      <c r="M356" s="51" t="str">
        <f t="shared" si="70"/>
        <v>mRNA355: -&gt; E6_1_1_3_mRNA | 0.00292 - (0.0093 * E6_1_1_3_mRNA)</v>
      </c>
      <c r="N356" s="52" t="str">
        <f t="shared" si="71"/>
        <v>Peptide355: E6_1_1_3_mRNA -&gt; E6_1_1_3 | (0.278 * E6_1_1_3_mRNA) - (0.000000278 * E6_1_1_3)</v>
      </c>
    </row>
    <row r="357" spans="1:14" ht="16">
      <c r="A357" s="41">
        <v>356</v>
      </c>
      <c r="B357" s="42" t="s">
        <v>9258</v>
      </c>
      <c r="C357" s="41" t="str">
        <f t="shared" si="60"/>
        <v>E6_1_1_4_mRNA</v>
      </c>
      <c r="D357" s="41" t="str">
        <f t="shared" si="61"/>
        <v>E6_1_1_4</v>
      </c>
      <c r="E357" s="43" t="str">
        <f t="shared" si="62"/>
        <v>E6_1_1_4_kcat : 13.7</v>
      </c>
      <c r="F357" s="44" t="str">
        <f t="shared" si="63"/>
        <v>E6_1_1_4_km : 1</v>
      </c>
      <c r="G357" s="45" t="str">
        <f t="shared" si="64"/>
        <v>E6_1_1_4_mRNA : E6_1_1_4_mRNA</v>
      </c>
      <c r="H357" s="46" t="str">
        <f t="shared" si="65"/>
        <v>E6_1_1_4 : E6_1_1_4</v>
      </c>
      <c r="I357" s="47" t="str">
        <f t="shared" si="66"/>
        <v>E6_1_1_4_mRNA : 0</v>
      </c>
      <c r="J357" s="48" t="str">
        <f t="shared" si="67"/>
        <v>E6_1_1_4 : 0</v>
      </c>
      <c r="K357" s="49" t="str">
        <f t="shared" si="68"/>
        <v>0.00292 - (0.0093 * E6_1_1_4_mRNA)</v>
      </c>
      <c r="L357" s="50" t="str">
        <f t="shared" si="69"/>
        <v>(0.278 * E6_1_1_4_mRNA) - (0.00000278 * E6_1_1_4)</v>
      </c>
      <c r="M357" s="51" t="str">
        <f t="shared" si="70"/>
        <v>mRNA356: -&gt; E6_1_1_4_mRNA | 0.00292 - (0.0093 * E6_1_1_4_mRNA)</v>
      </c>
      <c r="N357" s="52" t="str">
        <f t="shared" si="71"/>
        <v>Peptide356: E6_1_1_4_mRNA -&gt; E6_1_1_4 | (0.278 * E6_1_1_4_mRNA) - (0.000000278 * E6_1_1_4)</v>
      </c>
    </row>
    <row r="358" spans="1:14" ht="16">
      <c r="A358" s="41">
        <v>357</v>
      </c>
      <c r="B358" s="42" t="s">
        <v>9259</v>
      </c>
      <c r="C358" s="41" t="str">
        <f t="shared" si="60"/>
        <v>E6_1_1_5_mRNA</v>
      </c>
      <c r="D358" s="41" t="str">
        <f t="shared" si="61"/>
        <v>E6_1_1_5</v>
      </c>
      <c r="E358" s="43" t="str">
        <f t="shared" si="62"/>
        <v>E6_1_1_5_kcat : 13.7</v>
      </c>
      <c r="F358" s="44" t="str">
        <f t="shared" si="63"/>
        <v>E6_1_1_5_km : 1</v>
      </c>
      <c r="G358" s="45" t="str">
        <f t="shared" si="64"/>
        <v>E6_1_1_5_mRNA : E6_1_1_5_mRNA</v>
      </c>
      <c r="H358" s="46" t="str">
        <f t="shared" si="65"/>
        <v>E6_1_1_5 : E6_1_1_5</v>
      </c>
      <c r="I358" s="47" t="str">
        <f t="shared" si="66"/>
        <v>E6_1_1_5_mRNA : 0</v>
      </c>
      <c r="J358" s="48" t="str">
        <f t="shared" si="67"/>
        <v>E6_1_1_5 : 0</v>
      </c>
      <c r="K358" s="49" t="str">
        <f t="shared" si="68"/>
        <v>0.00292 - (0.0093 * E6_1_1_5_mRNA)</v>
      </c>
      <c r="L358" s="50" t="str">
        <f t="shared" si="69"/>
        <v>(0.278 * E6_1_1_5_mRNA) - (0.00000278 * E6_1_1_5)</v>
      </c>
      <c r="M358" s="51" t="str">
        <f t="shared" si="70"/>
        <v>mRNA357: -&gt; E6_1_1_5_mRNA | 0.00292 - (0.0093 * E6_1_1_5_mRNA)</v>
      </c>
      <c r="N358" s="52" t="str">
        <f t="shared" si="71"/>
        <v>Peptide357: E6_1_1_5_mRNA -&gt; E6_1_1_5 | (0.278 * E6_1_1_5_mRNA) - (0.000000278 * E6_1_1_5)</v>
      </c>
    </row>
    <row r="359" spans="1:14" ht="16">
      <c r="A359" s="41">
        <v>358</v>
      </c>
      <c r="B359" s="42" t="s">
        <v>9260</v>
      </c>
      <c r="C359" s="41" t="str">
        <f t="shared" si="60"/>
        <v>E6_1_1_6_mRNA</v>
      </c>
      <c r="D359" s="41" t="str">
        <f t="shared" si="61"/>
        <v>E6_1_1_6</v>
      </c>
      <c r="E359" s="43" t="str">
        <f t="shared" si="62"/>
        <v>E6_1_1_6_kcat : 13.7</v>
      </c>
      <c r="F359" s="44" t="str">
        <f t="shared" si="63"/>
        <v>E6_1_1_6_km : 1</v>
      </c>
      <c r="G359" s="45" t="str">
        <f t="shared" si="64"/>
        <v>E6_1_1_6_mRNA : E6_1_1_6_mRNA</v>
      </c>
      <c r="H359" s="46" t="str">
        <f t="shared" si="65"/>
        <v>E6_1_1_6 : E6_1_1_6</v>
      </c>
      <c r="I359" s="47" t="str">
        <f t="shared" si="66"/>
        <v>E6_1_1_6_mRNA : 0</v>
      </c>
      <c r="J359" s="48" t="str">
        <f t="shared" si="67"/>
        <v>E6_1_1_6 : 0</v>
      </c>
      <c r="K359" s="49" t="str">
        <f t="shared" si="68"/>
        <v>0.00292 - (0.0093 * E6_1_1_6_mRNA)</v>
      </c>
      <c r="L359" s="50" t="str">
        <f t="shared" si="69"/>
        <v>(0.278 * E6_1_1_6_mRNA) - (0.00000278 * E6_1_1_6)</v>
      </c>
      <c r="M359" s="51" t="str">
        <f t="shared" si="70"/>
        <v>mRNA358: -&gt; E6_1_1_6_mRNA | 0.00292 - (0.0093 * E6_1_1_6_mRNA)</v>
      </c>
      <c r="N359" s="52" t="str">
        <f t="shared" si="71"/>
        <v>Peptide358: E6_1_1_6_mRNA -&gt; E6_1_1_6 | (0.278 * E6_1_1_6_mRNA) - (0.000000278 * E6_1_1_6)</v>
      </c>
    </row>
    <row r="360" spans="1:14" ht="16">
      <c r="A360" s="41">
        <v>359</v>
      </c>
      <c r="B360" s="42" t="s">
        <v>9261</v>
      </c>
      <c r="C360" s="41" t="str">
        <f t="shared" si="60"/>
        <v>E6_1_1_7_mRNA</v>
      </c>
      <c r="D360" s="41" t="str">
        <f t="shared" si="61"/>
        <v>E6_1_1_7</v>
      </c>
      <c r="E360" s="43" t="str">
        <f t="shared" si="62"/>
        <v>E6_1_1_7_kcat : 13.7</v>
      </c>
      <c r="F360" s="44" t="str">
        <f t="shared" si="63"/>
        <v>E6_1_1_7_km : 1</v>
      </c>
      <c r="G360" s="45" t="str">
        <f t="shared" si="64"/>
        <v>E6_1_1_7_mRNA : E6_1_1_7_mRNA</v>
      </c>
      <c r="H360" s="46" t="str">
        <f t="shared" si="65"/>
        <v>E6_1_1_7 : E6_1_1_7</v>
      </c>
      <c r="I360" s="47" t="str">
        <f t="shared" si="66"/>
        <v>E6_1_1_7_mRNA : 0</v>
      </c>
      <c r="J360" s="48" t="str">
        <f t="shared" si="67"/>
        <v>E6_1_1_7 : 0</v>
      </c>
      <c r="K360" s="49" t="str">
        <f t="shared" si="68"/>
        <v>0.00292 - (0.0093 * E6_1_1_7_mRNA)</v>
      </c>
      <c r="L360" s="50" t="str">
        <f t="shared" si="69"/>
        <v>(0.278 * E6_1_1_7_mRNA) - (0.00000278 * E6_1_1_7)</v>
      </c>
      <c r="M360" s="51" t="str">
        <f t="shared" si="70"/>
        <v>mRNA359: -&gt; E6_1_1_7_mRNA | 0.00292 - (0.0093 * E6_1_1_7_mRNA)</v>
      </c>
      <c r="N360" s="52" t="str">
        <f t="shared" si="71"/>
        <v>Peptide359: E6_1_1_7_mRNA -&gt; E6_1_1_7 | (0.278 * E6_1_1_7_mRNA) - (0.000000278 * E6_1_1_7)</v>
      </c>
    </row>
    <row r="361" spans="1:14" ht="16">
      <c r="A361" s="41">
        <v>360</v>
      </c>
      <c r="B361" s="42" t="s">
        <v>9262</v>
      </c>
      <c r="C361" s="41" t="str">
        <f t="shared" si="60"/>
        <v>E6_1_1_9_mRNA</v>
      </c>
      <c r="D361" s="41" t="str">
        <f t="shared" si="61"/>
        <v>E6_1_1_9</v>
      </c>
      <c r="E361" s="43" t="str">
        <f t="shared" si="62"/>
        <v>E6_1_1_9_kcat : 13.7</v>
      </c>
      <c r="F361" s="44" t="str">
        <f t="shared" si="63"/>
        <v>E6_1_1_9_km : 1</v>
      </c>
      <c r="G361" s="45" t="str">
        <f t="shared" si="64"/>
        <v>E6_1_1_9_mRNA : E6_1_1_9_mRNA</v>
      </c>
      <c r="H361" s="46" t="str">
        <f t="shared" si="65"/>
        <v>E6_1_1_9 : E6_1_1_9</v>
      </c>
      <c r="I361" s="47" t="str">
        <f t="shared" si="66"/>
        <v>E6_1_1_9_mRNA : 0</v>
      </c>
      <c r="J361" s="48" t="str">
        <f t="shared" si="67"/>
        <v>E6_1_1_9 : 0</v>
      </c>
      <c r="K361" s="49" t="str">
        <f t="shared" si="68"/>
        <v>0.00292 - (0.0093 * E6_1_1_9_mRNA)</v>
      </c>
      <c r="L361" s="50" t="str">
        <f t="shared" si="69"/>
        <v>(0.278 * E6_1_1_9_mRNA) - (0.00000278 * E6_1_1_9)</v>
      </c>
      <c r="M361" s="51" t="str">
        <f t="shared" si="70"/>
        <v>mRNA360: -&gt; E6_1_1_9_mRNA | 0.00292 - (0.0093 * E6_1_1_9_mRNA)</v>
      </c>
      <c r="N361" s="52" t="str">
        <f t="shared" si="71"/>
        <v>Peptide360: E6_1_1_9_mRNA -&gt; E6_1_1_9 | (0.278 * E6_1_1_9_mRNA) - (0.000000278 * E6_1_1_9)</v>
      </c>
    </row>
    <row r="362" spans="1:14" ht="16">
      <c r="A362" s="41">
        <v>361</v>
      </c>
      <c r="B362" s="42" t="s">
        <v>9263</v>
      </c>
      <c r="C362" s="41" t="str">
        <f t="shared" si="60"/>
        <v>E6_2_1_54_mRNA</v>
      </c>
      <c r="D362" s="41" t="str">
        <f t="shared" si="61"/>
        <v>E6_2_1_54</v>
      </c>
      <c r="E362" s="43" t="str">
        <f t="shared" si="62"/>
        <v>E6_2_1_54_kcat : 13.7</v>
      </c>
      <c r="F362" s="44" t="str">
        <f t="shared" si="63"/>
        <v>E6_2_1_54_km : 1</v>
      </c>
      <c r="G362" s="45" t="str">
        <f t="shared" si="64"/>
        <v>E6_2_1_54_mRNA : E6_2_1_54_mRNA</v>
      </c>
      <c r="H362" s="46" t="str">
        <f t="shared" si="65"/>
        <v>E6_2_1_54 : E6_2_1_54</v>
      </c>
      <c r="I362" s="47" t="str">
        <f t="shared" si="66"/>
        <v>E6_2_1_54_mRNA : 0</v>
      </c>
      <c r="J362" s="48" t="str">
        <f t="shared" si="67"/>
        <v>E6_2_1_54 : 0</v>
      </c>
      <c r="K362" s="49" t="str">
        <f t="shared" si="68"/>
        <v>0.00292 - (0.0093 * E6_2_1_54_mRNA)</v>
      </c>
      <c r="L362" s="50" t="str">
        <f t="shared" si="69"/>
        <v>(0.278 * E6_2_1_54_mRNA) - (0.00000278 * E6_2_1_54)</v>
      </c>
      <c r="M362" s="51" t="str">
        <f t="shared" si="70"/>
        <v>mRNA361: -&gt; E6_2_1_54_mRNA | 0.00292 - (0.0093 * E6_2_1_54_mRNA)</v>
      </c>
      <c r="N362" s="52" t="str">
        <f t="shared" si="71"/>
        <v>Peptide361: E6_2_1_54_mRNA -&gt; E6_2_1_54 | (0.278 * E6_2_1_54_mRNA) - (0.000000278 * E6_2_1_54)</v>
      </c>
    </row>
    <row r="363" spans="1:14" ht="16">
      <c r="A363" s="41">
        <v>362</v>
      </c>
      <c r="B363" s="42" t="s">
        <v>9264</v>
      </c>
      <c r="C363" s="41" t="str">
        <f t="shared" si="60"/>
        <v>E6_3_1_1_mRNA</v>
      </c>
      <c r="D363" s="41" t="str">
        <f t="shared" si="61"/>
        <v>E6_3_1_1</v>
      </c>
      <c r="E363" s="43" t="str">
        <f t="shared" si="62"/>
        <v>E6_3_1_1_kcat : 13.7</v>
      </c>
      <c r="F363" s="44" t="str">
        <f t="shared" si="63"/>
        <v>E6_3_1_1_km : 1</v>
      </c>
      <c r="G363" s="45" t="str">
        <f t="shared" si="64"/>
        <v>E6_3_1_1_mRNA : E6_3_1_1_mRNA</v>
      </c>
      <c r="H363" s="46" t="str">
        <f t="shared" si="65"/>
        <v>E6_3_1_1 : E6_3_1_1</v>
      </c>
      <c r="I363" s="47" t="str">
        <f t="shared" si="66"/>
        <v>E6_3_1_1_mRNA : 0</v>
      </c>
      <c r="J363" s="48" t="str">
        <f t="shared" si="67"/>
        <v>E6_3_1_1 : 0</v>
      </c>
      <c r="K363" s="49" t="str">
        <f t="shared" si="68"/>
        <v>0.00292 - (0.0093 * E6_3_1_1_mRNA)</v>
      </c>
      <c r="L363" s="50" t="str">
        <f t="shared" si="69"/>
        <v>(0.278 * E6_3_1_1_mRNA) - (0.00000278 * E6_3_1_1)</v>
      </c>
      <c r="M363" s="51" t="str">
        <f t="shared" si="70"/>
        <v>mRNA362: -&gt; E6_3_1_1_mRNA | 0.00292 - (0.0093 * E6_3_1_1_mRNA)</v>
      </c>
      <c r="N363" s="52" t="str">
        <f t="shared" si="71"/>
        <v>Peptide362: E6_3_1_1_mRNA -&gt; E6_3_1_1 | (0.278 * E6_3_1_1_mRNA) - (0.000000278 * E6_3_1_1)</v>
      </c>
    </row>
    <row r="364" spans="1:14" ht="16">
      <c r="A364" s="41">
        <v>363</v>
      </c>
      <c r="B364" s="42" t="s">
        <v>9265</v>
      </c>
      <c r="C364" s="41" t="str">
        <f t="shared" si="60"/>
        <v>E6_3_1_2_mRNA</v>
      </c>
      <c r="D364" s="41" t="str">
        <f t="shared" si="61"/>
        <v>E6_3_1_2</v>
      </c>
      <c r="E364" s="43" t="str">
        <f t="shared" si="62"/>
        <v>E6_3_1_2_kcat : 13.7</v>
      </c>
      <c r="F364" s="44" t="str">
        <f t="shared" si="63"/>
        <v>E6_3_1_2_km : 1</v>
      </c>
      <c r="G364" s="45" t="str">
        <f t="shared" si="64"/>
        <v>E6_3_1_2_mRNA : E6_3_1_2_mRNA</v>
      </c>
      <c r="H364" s="46" t="str">
        <f t="shared" si="65"/>
        <v>E6_3_1_2 : E6_3_1_2</v>
      </c>
      <c r="I364" s="47" t="str">
        <f t="shared" si="66"/>
        <v>E6_3_1_2_mRNA : 0</v>
      </c>
      <c r="J364" s="48" t="str">
        <f t="shared" si="67"/>
        <v>E6_3_1_2 : 0</v>
      </c>
      <c r="K364" s="49" t="str">
        <f t="shared" si="68"/>
        <v>0.00292 - (0.0093 * E6_3_1_2_mRNA)</v>
      </c>
      <c r="L364" s="50" t="str">
        <f t="shared" si="69"/>
        <v>(0.278 * E6_3_1_2_mRNA) - (0.00000278 * E6_3_1_2)</v>
      </c>
      <c r="M364" s="51" t="str">
        <f t="shared" si="70"/>
        <v>mRNA363: -&gt; E6_3_1_2_mRNA | 0.00292 - (0.0093 * E6_3_1_2_mRNA)</v>
      </c>
      <c r="N364" s="52" t="str">
        <f t="shared" si="71"/>
        <v>Peptide363: E6_3_1_2_mRNA -&gt; E6_3_1_2 | (0.278 * E6_3_1_2_mRNA) - (0.000000278 * E6_3_1_2)</v>
      </c>
    </row>
    <row r="365" spans="1:14" ht="16">
      <c r="A365" s="41">
        <v>364</v>
      </c>
      <c r="B365" s="42" t="s">
        <v>9266</v>
      </c>
      <c r="C365" s="41" t="str">
        <f t="shared" si="60"/>
        <v>E6_3_1_20_mRNA</v>
      </c>
      <c r="D365" s="41" t="str">
        <f t="shared" si="61"/>
        <v>E6_3_1_20</v>
      </c>
      <c r="E365" s="43" t="str">
        <f t="shared" si="62"/>
        <v>E6_3_1_20_kcat : 13.7</v>
      </c>
      <c r="F365" s="44" t="str">
        <f t="shared" si="63"/>
        <v>E6_3_1_20_km : 1</v>
      </c>
      <c r="G365" s="45" t="str">
        <f t="shared" si="64"/>
        <v>E6_3_1_20_mRNA : E6_3_1_20_mRNA</v>
      </c>
      <c r="H365" s="46" t="str">
        <f t="shared" si="65"/>
        <v>E6_3_1_20 : E6_3_1_20</v>
      </c>
      <c r="I365" s="47" t="str">
        <f t="shared" si="66"/>
        <v>E6_3_1_20_mRNA : 0</v>
      </c>
      <c r="J365" s="48" t="str">
        <f t="shared" si="67"/>
        <v>E6_3_1_20 : 0</v>
      </c>
      <c r="K365" s="49" t="str">
        <f t="shared" si="68"/>
        <v>0.00292 - (0.0093 * E6_3_1_20_mRNA)</v>
      </c>
      <c r="L365" s="50" t="str">
        <f t="shared" si="69"/>
        <v>(0.278 * E6_3_1_20_mRNA) - (0.00000278 * E6_3_1_20)</v>
      </c>
      <c r="M365" s="51" t="str">
        <f t="shared" si="70"/>
        <v>mRNA364: -&gt; E6_3_1_20_mRNA | 0.00292 - (0.0093 * E6_3_1_20_mRNA)</v>
      </c>
      <c r="N365" s="52" t="str">
        <f t="shared" si="71"/>
        <v>Peptide364: E6_3_1_20_mRNA -&gt; E6_3_1_20 | (0.278 * E6_3_1_20_mRNA) - (0.000000278 * E6_3_1_20)</v>
      </c>
    </row>
    <row r="366" spans="1:14" ht="16">
      <c r="A366" s="41">
        <v>365</v>
      </c>
      <c r="B366" s="42" t="s">
        <v>9267</v>
      </c>
      <c r="C366" s="41" t="str">
        <f t="shared" si="60"/>
        <v>E6_3_1_5_mRNA</v>
      </c>
      <c r="D366" s="41" t="str">
        <f t="shared" si="61"/>
        <v>E6_3_1_5</v>
      </c>
      <c r="E366" s="43" t="str">
        <f t="shared" si="62"/>
        <v>E6_3_1_5_kcat : 13.7</v>
      </c>
      <c r="F366" s="44" t="str">
        <f t="shared" si="63"/>
        <v>E6_3_1_5_km : 1</v>
      </c>
      <c r="G366" s="45" t="str">
        <f t="shared" si="64"/>
        <v>E6_3_1_5_mRNA : E6_3_1_5_mRNA</v>
      </c>
      <c r="H366" s="46" t="str">
        <f t="shared" si="65"/>
        <v>E6_3_1_5 : E6_3_1_5</v>
      </c>
      <c r="I366" s="47" t="str">
        <f t="shared" si="66"/>
        <v>E6_3_1_5_mRNA : 0</v>
      </c>
      <c r="J366" s="48" t="str">
        <f t="shared" si="67"/>
        <v>E6_3_1_5 : 0</v>
      </c>
      <c r="K366" s="49" t="str">
        <f t="shared" si="68"/>
        <v>0.00292 - (0.0093 * E6_3_1_5_mRNA)</v>
      </c>
      <c r="L366" s="50" t="str">
        <f t="shared" si="69"/>
        <v>(0.278 * E6_3_1_5_mRNA) - (0.00000278 * E6_3_1_5)</v>
      </c>
      <c r="M366" s="51" t="str">
        <f t="shared" si="70"/>
        <v>mRNA365: -&gt; E6_3_1_5_mRNA | 0.00292 - (0.0093 * E6_3_1_5_mRNA)</v>
      </c>
      <c r="N366" s="52" t="str">
        <f t="shared" si="71"/>
        <v>Peptide365: E6_3_1_5_mRNA -&gt; E6_3_1_5 | (0.278 * E6_3_1_5_mRNA) - (0.000000278 * E6_3_1_5)</v>
      </c>
    </row>
    <row r="367" spans="1:14" ht="16">
      <c r="A367" s="41">
        <v>366</v>
      </c>
      <c r="B367" s="42" t="s">
        <v>9268</v>
      </c>
      <c r="C367" s="41" t="str">
        <f t="shared" si="60"/>
        <v>E6_3_2_10_mRNA</v>
      </c>
      <c r="D367" s="41" t="str">
        <f t="shared" si="61"/>
        <v>E6_3_2_10</v>
      </c>
      <c r="E367" s="43" t="str">
        <f t="shared" si="62"/>
        <v>E6_3_2_10_kcat : 13.7</v>
      </c>
      <c r="F367" s="44" t="str">
        <f t="shared" si="63"/>
        <v>E6_3_2_10_km : 1</v>
      </c>
      <c r="G367" s="45" t="str">
        <f t="shared" si="64"/>
        <v>E6_3_2_10_mRNA : E6_3_2_10_mRNA</v>
      </c>
      <c r="H367" s="46" t="str">
        <f t="shared" si="65"/>
        <v>E6_3_2_10 : E6_3_2_10</v>
      </c>
      <c r="I367" s="47" t="str">
        <f t="shared" si="66"/>
        <v>E6_3_2_10_mRNA : 0</v>
      </c>
      <c r="J367" s="48" t="str">
        <f t="shared" si="67"/>
        <v>E6_3_2_10 : 0</v>
      </c>
      <c r="K367" s="49" t="str">
        <f t="shared" si="68"/>
        <v>0.00292 - (0.0093 * E6_3_2_10_mRNA)</v>
      </c>
      <c r="L367" s="50" t="str">
        <f t="shared" si="69"/>
        <v>(0.278 * E6_3_2_10_mRNA) - (0.00000278 * E6_3_2_10)</v>
      </c>
      <c r="M367" s="51" t="str">
        <f t="shared" si="70"/>
        <v>mRNA366: -&gt; E6_3_2_10_mRNA | 0.00292 - (0.0093 * E6_3_2_10_mRNA)</v>
      </c>
      <c r="N367" s="52" t="str">
        <f t="shared" si="71"/>
        <v>Peptide366: E6_3_2_10_mRNA -&gt; E6_3_2_10 | (0.278 * E6_3_2_10_mRNA) - (0.000000278 * E6_3_2_10)</v>
      </c>
    </row>
    <row r="368" spans="1:14" ht="16">
      <c r="A368" s="41">
        <v>367</v>
      </c>
      <c r="B368" s="42" t="s">
        <v>9269</v>
      </c>
      <c r="C368" s="41" t="str">
        <f t="shared" si="60"/>
        <v>E6_3_2_12_mRNA</v>
      </c>
      <c r="D368" s="41" t="str">
        <f t="shared" si="61"/>
        <v>E6_3_2_12</v>
      </c>
      <c r="E368" s="43" t="str">
        <f t="shared" si="62"/>
        <v>E6_3_2_12_kcat : 13.7</v>
      </c>
      <c r="F368" s="44" t="str">
        <f t="shared" si="63"/>
        <v>E6_3_2_12_km : 1</v>
      </c>
      <c r="G368" s="45" t="str">
        <f t="shared" si="64"/>
        <v>E6_3_2_12_mRNA : E6_3_2_12_mRNA</v>
      </c>
      <c r="H368" s="46" t="str">
        <f t="shared" si="65"/>
        <v>E6_3_2_12 : E6_3_2_12</v>
      </c>
      <c r="I368" s="47" t="str">
        <f t="shared" si="66"/>
        <v>E6_3_2_12_mRNA : 0</v>
      </c>
      <c r="J368" s="48" t="str">
        <f t="shared" si="67"/>
        <v>E6_3_2_12 : 0</v>
      </c>
      <c r="K368" s="49" t="str">
        <f t="shared" si="68"/>
        <v>0.00292 - (0.0093 * E6_3_2_12_mRNA)</v>
      </c>
      <c r="L368" s="50" t="str">
        <f t="shared" si="69"/>
        <v>(0.278 * E6_3_2_12_mRNA) - (0.00000278 * E6_3_2_12)</v>
      </c>
      <c r="M368" s="51" t="str">
        <f t="shared" si="70"/>
        <v>mRNA367: -&gt; E6_3_2_12_mRNA | 0.00292 - (0.0093 * E6_3_2_12_mRNA)</v>
      </c>
      <c r="N368" s="52" t="str">
        <f t="shared" si="71"/>
        <v>Peptide367: E6_3_2_12_mRNA -&gt; E6_3_2_12 | (0.278 * E6_3_2_12_mRNA) - (0.000000278 * E6_3_2_12)</v>
      </c>
    </row>
    <row r="369" spans="1:14" ht="16">
      <c r="A369" s="41">
        <v>368</v>
      </c>
      <c r="B369" s="42" t="s">
        <v>9270</v>
      </c>
      <c r="C369" s="41" t="str">
        <f t="shared" si="60"/>
        <v>E6_3_2_17_mRNA</v>
      </c>
      <c r="D369" s="41" t="str">
        <f t="shared" si="61"/>
        <v>E6_3_2_17</v>
      </c>
      <c r="E369" s="43" t="str">
        <f t="shared" si="62"/>
        <v>E6_3_2_17_kcat : 13.7</v>
      </c>
      <c r="F369" s="44" t="str">
        <f t="shared" si="63"/>
        <v>E6_3_2_17_km : 1</v>
      </c>
      <c r="G369" s="45" t="str">
        <f t="shared" si="64"/>
        <v>E6_3_2_17_mRNA : E6_3_2_17_mRNA</v>
      </c>
      <c r="H369" s="46" t="str">
        <f t="shared" si="65"/>
        <v>E6_3_2_17 : E6_3_2_17</v>
      </c>
      <c r="I369" s="47" t="str">
        <f t="shared" si="66"/>
        <v>E6_3_2_17_mRNA : 0</v>
      </c>
      <c r="J369" s="48" t="str">
        <f t="shared" si="67"/>
        <v>E6_3_2_17 : 0</v>
      </c>
      <c r="K369" s="49" t="str">
        <f t="shared" si="68"/>
        <v>0.00292 - (0.0093 * E6_3_2_17_mRNA)</v>
      </c>
      <c r="L369" s="50" t="str">
        <f t="shared" si="69"/>
        <v>(0.278 * E6_3_2_17_mRNA) - (0.00000278 * E6_3_2_17)</v>
      </c>
      <c r="M369" s="51" t="str">
        <f t="shared" si="70"/>
        <v>mRNA368: -&gt; E6_3_2_17_mRNA | 0.00292 - (0.0093 * E6_3_2_17_mRNA)</v>
      </c>
      <c r="N369" s="52" t="str">
        <f t="shared" si="71"/>
        <v>Peptide368: E6_3_2_17_mRNA -&gt; E6_3_2_17 | (0.278 * E6_3_2_17_mRNA) - (0.000000278 * E6_3_2_17)</v>
      </c>
    </row>
    <row r="370" spans="1:14" ht="16">
      <c r="A370" s="41">
        <v>369</v>
      </c>
      <c r="B370" s="42" t="s">
        <v>9271</v>
      </c>
      <c r="C370" s="41" t="str">
        <f t="shared" si="60"/>
        <v>E6_3_2_2_mRNA</v>
      </c>
      <c r="D370" s="41" t="str">
        <f t="shared" si="61"/>
        <v>E6_3_2_2</v>
      </c>
      <c r="E370" s="43" t="str">
        <f t="shared" si="62"/>
        <v>E6_3_2_2_kcat : 13.7</v>
      </c>
      <c r="F370" s="44" t="str">
        <f t="shared" si="63"/>
        <v>E6_3_2_2_km : 1</v>
      </c>
      <c r="G370" s="45" t="str">
        <f t="shared" si="64"/>
        <v>E6_3_2_2_mRNA : E6_3_2_2_mRNA</v>
      </c>
      <c r="H370" s="46" t="str">
        <f t="shared" si="65"/>
        <v>E6_3_2_2 : E6_3_2_2</v>
      </c>
      <c r="I370" s="47" t="str">
        <f t="shared" si="66"/>
        <v>E6_3_2_2_mRNA : 0</v>
      </c>
      <c r="J370" s="48" t="str">
        <f t="shared" si="67"/>
        <v>E6_3_2_2 : 0</v>
      </c>
      <c r="K370" s="49" t="str">
        <f t="shared" si="68"/>
        <v>0.00292 - (0.0093 * E6_3_2_2_mRNA)</v>
      </c>
      <c r="L370" s="50" t="str">
        <f t="shared" si="69"/>
        <v>(0.278 * E6_3_2_2_mRNA) - (0.00000278 * E6_3_2_2)</v>
      </c>
      <c r="M370" s="51" t="str">
        <f t="shared" si="70"/>
        <v>mRNA369: -&gt; E6_3_2_2_mRNA | 0.00292 - (0.0093 * E6_3_2_2_mRNA)</v>
      </c>
      <c r="N370" s="52" t="str">
        <f t="shared" si="71"/>
        <v>Peptide369: E6_3_2_2_mRNA -&gt; E6_3_2_2 | (0.278 * E6_3_2_2_mRNA) - (0.000000278 * E6_3_2_2)</v>
      </c>
    </row>
    <row r="371" spans="1:14" ht="16">
      <c r="A371" s="41">
        <v>370</v>
      </c>
      <c r="B371" s="42" t="s">
        <v>9272</v>
      </c>
      <c r="C371" s="41" t="str">
        <f t="shared" si="60"/>
        <v>E6_3_2_3_mRNA</v>
      </c>
      <c r="D371" s="41" t="str">
        <f t="shared" si="61"/>
        <v>E6_3_2_3</v>
      </c>
      <c r="E371" s="43" t="str">
        <f t="shared" si="62"/>
        <v>E6_3_2_3_kcat : 13.7</v>
      </c>
      <c r="F371" s="44" t="str">
        <f t="shared" si="63"/>
        <v>E6_3_2_3_km : 1</v>
      </c>
      <c r="G371" s="45" t="str">
        <f t="shared" si="64"/>
        <v>E6_3_2_3_mRNA : E6_3_2_3_mRNA</v>
      </c>
      <c r="H371" s="46" t="str">
        <f t="shared" si="65"/>
        <v>E6_3_2_3 : E6_3_2_3</v>
      </c>
      <c r="I371" s="47" t="str">
        <f t="shared" si="66"/>
        <v>E6_3_2_3_mRNA : 0</v>
      </c>
      <c r="J371" s="48" t="str">
        <f t="shared" si="67"/>
        <v>E6_3_2_3 : 0</v>
      </c>
      <c r="K371" s="49" t="str">
        <f t="shared" si="68"/>
        <v>0.00292 - (0.0093 * E6_3_2_3_mRNA)</v>
      </c>
      <c r="L371" s="50" t="str">
        <f t="shared" si="69"/>
        <v>(0.278 * E6_3_2_3_mRNA) - (0.00000278 * E6_3_2_3)</v>
      </c>
      <c r="M371" s="51" t="str">
        <f t="shared" si="70"/>
        <v>mRNA370: -&gt; E6_3_2_3_mRNA | 0.00292 - (0.0093 * E6_3_2_3_mRNA)</v>
      </c>
      <c r="N371" s="52" t="str">
        <f t="shared" si="71"/>
        <v>Peptide370: E6_3_2_3_mRNA -&gt; E6_3_2_3 | (0.278 * E6_3_2_3_mRNA) - (0.000000278 * E6_3_2_3)</v>
      </c>
    </row>
    <row r="372" spans="1:14" ht="16">
      <c r="A372" s="41">
        <v>371</v>
      </c>
      <c r="B372" s="42" t="s">
        <v>9273</v>
      </c>
      <c r="C372" s="41" t="str">
        <f t="shared" si="60"/>
        <v>E6_3_2_4_mRNA</v>
      </c>
      <c r="D372" s="41" t="str">
        <f t="shared" si="61"/>
        <v>E6_3_2_4</v>
      </c>
      <c r="E372" s="43" t="str">
        <f t="shared" si="62"/>
        <v>E6_3_2_4_kcat : 13.7</v>
      </c>
      <c r="F372" s="44" t="str">
        <f t="shared" si="63"/>
        <v>E6_3_2_4_km : 1</v>
      </c>
      <c r="G372" s="45" t="str">
        <f t="shared" si="64"/>
        <v>E6_3_2_4_mRNA : E6_3_2_4_mRNA</v>
      </c>
      <c r="H372" s="46" t="str">
        <f t="shared" si="65"/>
        <v>E6_3_2_4 : E6_3_2_4</v>
      </c>
      <c r="I372" s="47" t="str">
        <f t="shared" si="66"/>
        <v>E6_3_2_4_mRNA : 0</v>
      </c>
      <c r="J372" s="48" t="str">
        <f t="shared" si="67"/>
        <v>E6_3_2_4 : 0</v>
      </c>
      <c r="K372" s="49" t="str">
        <f t="shared" si="68"/>
        <v>0.00292 - (0.0093 * E6_3_2_4_mRNA)</v>
      </c>
      <c r="L372" s="50" t="str">
        <f t="shared" si="69"/>
        <v>(0.278 * E6_3_2_4_mRNA) - (0.00000278 * E6_3_2_4)</v>
      </c>
      <c r="M372" s="51" t="str">
        <f t="shared" si="70"/>
        <v>mRNA371: -&gt; E6_3_2_4_mRNA | 0.00292 - (0.0093 * E6_3_2_4_mRNA)</v>
      </c>
      <c r="N372" s="52" t="str">
        <f t="shared" si="71"/>
        <v>Peptide371: E6_3_2_4_mRNA -&gt; E6_3_2_4 | (0.278 * E6_3_2_4_mRNA) - (0.000000278 * E6_3_2_4)</v>
      </c>
    </row>
    <row r="373" spans="1:14" ht="16">
      <c r="A373" s="41">
        <v>372</v>
      </c>
      <c r="B373" s="42" t="s">
        <v>9274</v>
      </c>
      <c r="C373" s="41" t="str">
        <f t="shared" si="60"/>
        <v>E6_3_2_5_mRNA</v>
      </c>
      <c r="D373" s="41" t="str">
        <f t="shared" si="61"/>
        <v>E6_3_2_5</v>
      </c>
      <c r="E373" s="43" t="str">
        <f t="shared" si="62"/>
        <v>E6_3_2_5_kcat : 13.7</v>
      </c>
      <c r="F373" s="44" t="str">
        <f t="shared" si="63"/>
        <v>E6_3_2_5_km : 1</v>
      </c>
      <c r="G373" s="45" t="str">
        <f t="shared" si="64"/>
        <v>E6_3_2_5_mRNA : E6_3_2_5_mRNA</v>
      </c>
      <c r="H373" s="46" t="str">
        <f t="shared" si="65"/>
        <v>E6_3_2_5 : E6_3_2_5</v>
      </c>
      <c r="I373" s="47" t="str">
        <f t="shared" si="66"/>
        <v>E6_3_2_5_mRNA : 0</v>
      </c>
      <c r="J373" s="48" t="str">
        <f t="shared" si="67"/>
        <v>E6_3_2_5 : 0</v>
      </c>
      <c r="K373" s="49" t="str">
        <f t="shared" si="68"/>
        <v>0.00292 - (0.0093 * E6_3_2_5_mRNA)</v>
      </c>
      <c r="L373" s="50" t="str">
        <f t="shared" si="69"/>
        <v>(0.278 * E6_3_2_5_mRNA) - (0.00000278 * E6_3_2_5)</v>
      </c>
      <c r="M373" s="51" t="str">
        <f t="shared" si="70"/>
        <v>mRNA372: -&gt; E6_3_2_5_mRNA | 0.00292 - (0.0093 * E6_3_2_5_mRNA)</v>
      </c>
      <c r="N373" s="52" t="str">
        <f t="shared" si="71"/>
        <v>Peptide372: E6_3_2_5_mRNA -&gt; E6_3_2_5 | (0.278 * E6_3_2_5_mRNA) - (0.000000278 * E6_3_2_5)</v>
      </c>
    </row>
    <row r="374" spans="1:14" ht="16">
      <c r="A374" s="41">
        <v>373</v>
      </c>
      <c r="B374" s="42" t="s">
        <v>9275</v>
      </c>
      <c r="C374" s="41" t="str">
        <f t="shared" si="60"/>
        <v>E6_3_2_6_mRNA</v>
      </c>
      <c r="D374" s="41" t="str">
        <f t="shared" si="61"/>
        <v>E6_3_2_6</v>
      </c>
      <c r="E374" s="43" t="str">
        <f t="shared" si="62"/>
        <v>E6_3_2_6_kcat : 13.7</v>
      </c>
      <c r="F374" s="44" t="str">
        <f t="shared" si="63"/>
        <v>E6_3_2_6_km : 1</v>
      </c>
      <c r="G374" s="45" t="str">
        <f t="shared" si="64"/>
        <v>E6_3_2_6_mRNA : E6_3_2_6_mRNA</v>
      </c>
      <c r="H374" s="46" t="str">
        <f t="shared" si="65"/>
        <v>E6_3_2_6 : E6_3_2_6</v>
      </c>
      <c r="I374" s="47" t="str">
        <f t="shared" si="66"/>
        <v>E6_3_2_6_mRNA : 0</v>
      </c>
      <c r="J374" s="48" t="str">
        <f t="shared" si="67"/>
        <v>E6_3_2_6 : 0</v>
      </c>
      <c r="K374" s="49" t="str">
        <f t="shared" si="68"/>
        <v>0.00292 - (0.0093 * E6_3_2_6_mRNA)</v>
      </c>
      <c r="L374" s="50" t="str">
        <f t="shared" si="69"/>
        <v>(0.278 * E6_3_2_6_mRNA) - (0.00000278 * E6_3_2_6)</v>
      </c>
      <c r="M374" s="51" t="str">
        <f t="shared" si="70"/>
        <v>mRNA373: -&gt; E6_3_2_6_mRNA | 0.00292 - (0.0093 * E6_3_2_6_mRNA)</v>
      </c>
      <c r="N374" s="52" t="str">
        <f t="shared" si="71"/>
        <v>Peptide373: E6_3_2_6_mRNA -&gt; E6_3_2_6 | (0.278 * E6_3_2_6_mRNA) - (0.000000278 * E6_3_2_6)</v>
      </c>
    </row>
    <row r="375" spans="1:14" ht="16">
      <c r="A375" s="41">
        <v>374</v>
      </c>
      <c r="B375" s="42" t="s">
        <v>9276</v>
      </c>
      <c r="C375" s="41" t="str">
        <f t="shared" si="60"/>
        <v>E6_3_2_7_mRNA</v>
      </c>
      <c r="D375" s="41" t="str">
        <f t="shared" si="61"/>
        <v>E6_3_2_7</v>
      </c>
      <c r="E375" s="43" t="str">
        <f t="shared" si="62"/>
        <v>E6_3_2_7_kcat : 13.7</v>
      </c>
      <c r="F375" s="44" t="str">
        <f t="shared" si="63"/>
        <v>E6_3_2_7_km : 1</v>
      </c>
      <c r="G375" s="45" t="str">
        <f t="shared" si="64"/>
        <v>E6_3_2_7_mRNA : E6_3_2_7_mRNA</v>
      </c>
      <c r="H375" s="46" t="str">
        <f t="shared" si="65"/>
        <v>E6_3_2_7 : E6_3_2_7</v>
      </c>
      <c r="I375" s="47" t="str">
        <f t="shared" si="66"/>
        <v>E6_3_2_7_mRNA : 0</v>
      </c>
      <c r="J375" s="48" t="str">
        <f t="shared" si="67"/>
        <v>E6_3_2_7 : 0</v>
      </c>
      <c r="K375" s="49" t="str">
        <f t="shared" si="68"/>
        <v>0.00292 - (0.0093 * E6_3_2_7_mRNA)</v>
      </c>
      <c r="L375" s="50" t="str">
        <f t="shared" si="69"/>
        <v>(0.278 * E6_3_2_7_mRNA) - (0.00000278 * E6_3_2_7)</v>
      </c>
      <c r="M375" s="51" t="str">
        <f t="shared" si="70"/>
        <v>mRNA374: -&gt; E6_3_2_7_mRNA | 0.00292 - (0.0093 * E6_3_2_7_mRNA)</v>
      </c>
      <c r="N375" s="52" t="str">
        <f t="shared" si="71"/>
        <v>Peptide374: E6_3_2_7_mRNA -&gt; E6_3_2_7 | (0.278 * E6_3_2_7_mRNA) - (0.000000278 * E6_3_2_7)</v>
      </c>
    </row>
    <row r="376" spans="1:14" ht="16">
      <c r="A376" s="41">
        <v>375</v>
      </c>
      <c r="B376" s="42" t="s">
        <v>9277</v>
      </c>
      <c r="C376" s="41" t="str">
        <f t="shared" si="60"/>
        <v>E6_3_2_8_mRNA</v>
      </c>
      <c r="D376" s="41" t="str">
        <f t="shared" si="61"/>
        <v>E6_3_2_8</v>
      </c>
      <c r="E376" s="43" t="str">
        <f t="shared" si="62"/>
        <v>E6_3_2_8_kcat : 13.7</v>
      </c>
      <c r="F376" s="44" t="str">
        <f t="shared" si="63"/>
        <v>E6_3_2_8_km : 1</v>
      </c>
      <c r="G376" s="45" t="str">
        <f t="shared" si="64"/>
        <v>E6_3_2_8_mRNA : E6_3_2_8_mRNA</v>
      </c>
      <c r="H376" s="46" t="str">
        <f t="shared" si="65"/>
        <v>E6_3_2_8 : E6_3_2_8</v>
      </c>
      <c r="I376" s="47" t="str">
        <f t="shared" si="66"/>
        <v>E6_3_2_8_mRNA : 0</v>
      </c>
      <c r="J376" s="48" t="str">
        <f t="shared" si="67"/>
        <v>E6_3_2_8 : 0</v>
      </c>
      <c r="K376" s="49" t="str">
        <f t="shared" si="68"/>
        <v>0.00292 - (0.0093 * E6_3_2_8_mRNA)</v>
      </c>
      <c r="L376" s="50" t="str">
        <f t="shared" si="69"/>
        <v>(0.278 * E6_3_2_8_mRNA) - (0.00000278 * E6_3_2_8)</v>
      </c>
      <c r="M376" s="51" t="str">
        <f t="shared" si="70"/>
        <v>mRNA375: -&gt; E6_3_2_8_mRNA | 0.00292 - (0.0093 * E6_3_2_8_mRNA)</v>
      </c>
      <c r="N376" s="52" t="str">
        <f t="shared" si="71"/>
        <v>Peptide375: E6_3_2_8_mRNA -&gt; E6_3_2_8 | (0.278 * E6_3_2_8_mRNA) - (0.000000278 * E6_3_2_8)</v>
      </c>
    </row>
    <row r="377" spans="1:14" ht="16">
      <c r="A377" s="41">
        <v>376</v>
      </c>
      <c r="B377" s="42" t="s">
        <v>9278</v>
      </c>
      <c r="C377" s="41" t="str">
        <f t="shared" si="60"/>
        <v>E6_3_2_9_mRNA</v>
      </c>
      <c r="D377" s="41" t="str">
        <f t="shared" si="61"/>
        <v>E6_3_2_9</v>
      </c>
      <c r="E377" s="43" t="str">
        <f t="shared" si="62"/>
        <v>E6_3_2_9_kcat : 13.7</v>
      </c>
      <c r="F377" s="44" t="str">
        <f t="shared" si="63"/>
        <v>E6_3_2_9_km : 1</v>
      </c>
      <c r="G377" s="45" t="str">
        <f t="shared" si="64"/>
        <v>E6_3_2_9_mRNA : E6_3_2_9_mRNA</v>
      </c>
      <c r="H377" s="46" t="str">
        <f t="shared" si="65"/>
        <v>E6_3_2_9 : E6_3_2_9</v>
      </c>
      <c r="I377" s="47" t="str">
        <f t="shared" si="66"/>
        <v>E6_3_2_9_mRNA : 0</v>
      </c>
      <c r="J377" s="48" t="str">
        <f t="shared" si="67"/>
        <v>E6_3_2_9 : 0</v>
      </c>
      <c r="K377" s="49" t="str">
        <f t="shared" si="68"/>
        <v>0.00292 - (0.0093 * E6_3_2_9_mRNA)</v>
      </c>
      <c r="L377" s="50" t="str">
        <f t="shared" si="69"/>
        <v>(0.278 * E6_3_2_9_mRNA) - (0.00000278 * E6_3_2_9)</v>
      </c>
      <c r="M377" s="51" t="str">
        <f t="shared" si="70"/>
        <v>mRNA376: -&gt; E6_3_2_9_mRNA | 0.00292 - (0.0093 * E6_3_2_9_mRNA)</v>
      </c>
      <c r="N377" s="52" t="str">
        <f t="shared" si="71"/>
        <v>Peptide376: E6_3_2_9_mRNA -&gt; E6_3_2_9 | (0.278 * E6_3_2_9_mRNA) - (0.000000278 * E6_3_2_9)</v>
      </c>
    </row>
    <row r="378" spans="1:14" ht="16">
      <c r="A378" s="41">
        <v>377</v>
      </c>
      <c r="B378" s="42" t="s">
        <v>9279</v>
      </c>
      <c r="C378" s="41" t="str">
        <f t="shared" si="60"/>
        <v>E6_3_3_1_mRNA</v>
      </c>
      <c r="D378" s="41" t="str">
        <f t="shared" si="61"/>
        <v>E6_3_3_1</v>
      </c>
      <c r="E378" s="43" t="str">
        <f t="shared" si="62"/>
        <v>E6_3_3_1_kcat : 13.7</v>
      </c>
      <c r="F378" s="44" t="str">
        <f t="shared" si="63"/>
        <v>E6_3_3_1_km : 1</v>
      </c>
      <c r="G378" s="45" t="str">
        <f t="shared" si="64"/>
        <v>E6_3_3_1_mRNA : E6_3_3_1_mRNA</v>
      </c>
      <c r="H378" s="46" t="str">
        <f t="shared" si="65"/>
        <v>E6_3_3_1 : E6_3_3_1</v>
      </c>
      <c r="I378" s="47" t="str">
        <f t="shared" si="66"/>
        <v>E6_3_3_1_mRNA : 0</v>
      </c>
      <c r="J378" s="48" t="str">
        <f t="shared" si="67"/>
        <v>E6_3_3_1 : 0</v>
      </c>
      <c r="K378" s="49" t="str">
        <f t="shared" si="68"/>
        <v>0.00292 - (0.0093 * E6_3_3_1_mRNA)</v>
      </c>
      <c r="L378" s="50" t="str">
        <f t="shared" si="69"/>
        <v>(0.278 * E6_3_3_1_mRNA) - (0.00000278 * E6_3_3_1)</v>
      </c>
      <c r="M378" s="51" t="str">
        <f t="shared" si="70"/>
        <v>mRNA377: -&gt; E6_3_3_1_mRNA | 0.00292 - (0.0093 * E6_3_3_1_mRNA)</v>
      </c>
      <c r="N378" s="52" t="str">
        <f t="shared" si="71"/>
        <v>Peptide377: E6_3_3_1_mRNA -&gt; E6_3_3_1 | (0.278 * E6_3_3_1_mRNA) - (0.000000278 * E6_3_3_1)</v>
      </c>
    </row>
    <row r="379" spans="1:14" ht="16">
      <c r="A379" s="41">
        <v>378</v>
      </c>
      <c r="B379" s="42" t="s">
        <v>9280</v>
      </c>
      <c r="C379" s="41" t="str">
        <f t="shared" si="60"/>
        <v>E6_3_3_2_mRNA</v>
      </c>
      <c r="D379" s="41" t="str">
        <f t="shared" si="61"/>
        <v>E6_3_3_2</v>
      </c>
      <c r="E379" s="43" t="str">
        <f t="shared" si="62"/>
        <v>E6_3_3_2_kcat : 13.7</v>
      </c>
      <c r="F379" s="44" t="str">
        <f t="shared" si="63"/>
        <v>E6_3_3_2_km : 1</v>
      </c>
      <c r="G379" s="45" t="str">
        <f t="shared" si="64"/>
        <v>E6_3_3_2_mRNA : E6_3_3_2_mRNA</v>
      </c>
      <c r="H379" s="46" t="str">
        <f t="shared" si="65"/>
        <v>E6_3_3_2 : E6_3_3_2</v>
      </c>
      <c r="I379" s="47" t="str">
        <f t="shared" si="66"/>
        <v>E6_3_3_2_mRNA : 0</v>
      </c>
      <c r="J379" s="48" t="str">
        <f t="shared" si="67"/>
        <v>E6_3_3_2 : 0</v>
      </c>
      <c r="K379" s="49" t="str">
        <f t="shared" si="68"/>
        <v>0.00292 - (0.0093 * E6_3_3_2_mRNA)</v>
      </c>
      <c r="L379" s="50" t="str">
        <f t="shared" si="69"/>
        <v>(0.278 * E6_3_3_2_mRNA) - (0.00000278 * E6_3_3_2)</v>
      </c>
      <c r="M379" s="51" t="str">
        <f t="shared" si="70"/>
        <v>mRNA378: -&gt; E6_3_3_2_mRNA | 0.00292 - (0.0093 * E6_3_3_2_mRNA)</v>
      </c>
      <c r="N379" s="52" t="str">
        <f t="shared" si="71"/>
        <v>Peptide378: E6_3_3_2_mRNA -&gt; E6_3_3_2 | (0.278 * E6_3_3_2_mRNA) - (0.000000278 * E6_3_3_2)</v>
      </c>
    </row>
    <row r="380" spans="1:14" ht="16">
      <c r="A380" s="41">
        <v>379</v>
      </c>
      <c r="B380" s="42" t="s">
        <v>9281</v>
      </c>
      <c r="C380" s="41" t="str">
        <f t="shared" si="60"/>
        <v>E6_3_4_13_mRNA</v>
      </c>
      <c r="D380" s="41" t="str">
        <f t="shared" si="61"/>
        <v>E6_3_4_13</v>
      </c>
      <c r="E380" s="43" t="str">
        <f t="shared" si="62"/>
        <v>E6_3_4_13_kcat : 13.7</v>
      </c>
      <c r="F380" s="44" t="str">
        <f t="shared" si="63"/>
        <v>E6_3_4_13_km : 1</v>
      </c>
      <c r="G380" s="45" t="str">
        <f t="shared" si="64"/>
        <v>E6_3_4_13_mRNA : E6_3_4_13_mRNA</v>
      </c>
      <c r="H380" s="46" t="str">
        <f t="shared" si="65"/>
        <v>E6_3_4_13 : E6_3_4_13</v>
      </c>
      <c r="I380" s="47" t="str">
        <f t="shared" si="66"/>
        <v>E6_3_4_13_mRNA : 0</v>
      </c>
      <c r="J380" s="48" t="str">
        <f t="shared" si="67"/>
        <v>E6_3_4_13 : 0</v>
      </c>
      <c r="K380" s="49" t="str">
        <f t="shared" si="68"/>
        <v>0.00292 - (0.0093 * E6_3_4_13_mRNA)</v>
      </c>
      <c r="L380" s="50" t="str">
        <f t="shared" si="69"/>
        <v>(0.278 * E6_3_4_13_mRNA) - (0.00000278 * E6_3_4_13)</v>
      </c>
      <c r="M380" s="51" t="str">
        <f t="shared" si="70"/>
        <v>mRNA379: -&gt; E6_3_4_13_mRNA | 0.00292 - (0.0093 * E6_3_4_13_mRNA)</v>
      </c>
      <c r="N380" s="52" t="str">
        <f t="shared" si="71"/>
        <v>Peptide379: E6_3_4_13_mRNA -&gt; E6_3_4_13 | (0.278 * E6_3_4_13_mRNA) - (0.000000278 * E6_3_4_13)</v>
      </c>
    </row>
    <row r="381" spans="1:14" ht="16">
      <c r="A381" s="41">
        <v>380</v>
      </c>
      <c r="B381" s="42" t="s">
        <v>9282</v>
      </c>
      <c r="C381" s="41" t="str">
        <f t="shared" si="60"/>
        <v>E6_3_4_14_mRNA</v>
      </c>
      <c r="D381" s="41" t="str">
        <f t="shared" si="61"/>
        <v>E6_3_4_14</v>
      </c>
      <c r="E381" s="43" t="str">
        <f t="shared" si="62"/>
        <v>E6_3_4_14_kcat : 13.7</v>
      </c>
      <c r="F381" s="44" t="str">
        <f t="shared" si="63"/>
        <v>E6_3_4_14_km : 1</v>
      </c>
      <c r="G381" s="45" t="str">
        <f t="shared" si="64"/>
        <v>E6_3_4_14_mRNA : E6_3_4_14_mRNA</v>
      </c>
      <c r="H381" s="46" t="str">
        <f t="shared" si="65"/>
        <v>E6_3_4_14 : E6_3_4_14</v>
      </c>
      <c r="I381" s="47" t="str">
        <f t="shared" si="66"/>
        <v>E6_3_4_14_mRNA : 0</v>
      </c>
      <c r="J381" s="48" t="str">
        <f t="shared" si="67"/>
        <v>E6_3_4_14 : 0</v>
      </c>
      <c r="K381" s="49" t="str">
        <f t="shared" si="68"/>
        <v>0.00292 - (0.0093 * E6_3_4_14_mRNA)</v>
      </c>
      <c r="L381" s="50" t="str">
        <f t="shared" si="69"/>
        <v>(0.278 * E6_3_4_14_mRNA) - (0.00000278 * E6_3_4_14)</v>
      </c>
      <c r="M381" s="51" t="str">
        <f t="shared" si="70"/>
        <v>mRNA380: -&gt; E6_3_4_14_mRNA | 0.00292 - (0.0093 * E6_3_4_14_mRNA)</v>
      </c>
      <c r="N381" s="52" t="str">
        <f t="shared" si="71"/>
        <v>Peptide380: E6_3_4_14_mRNA -&gt; E6_3_4_14 | (0.278 * E6_3_4_14_mRNA) - (0.000000278 * E6_3_4_14)</v>
      </c>
    </row>
    <row r="382" spans="1:14" ht="16">
      <c r="A382" s="41">
        <v>381</v>
      </c>
      <c r="B382" s="42" t="s">
        <v>9283</v>
      </c>
      <c r="C382" s="41" t="str">
        <f t="shared" si="60"/>
        <v>E6_3_4_18_mRNA</v>
      </c>
      <c r="D382" s="41" t="str">
        <f t="shared" si="61"/>
        <v>E6_3_4_18</v>
      </c>
      <c r="E382" s="43" t="str">
        <f t="shared" si="62"/>
        <v>E6_3_4_18_kcat : 13.7</v>
      </c>
      <c r="F382" s="44" t="str">
        <f t="shared" si="63"/>
        <v>E6_3_4_18_km : 1</v>
      </c>
      <c r="G382" s="45" t="str">
        <f t="shared" si="64"/>
        <v>E6_3_4_18_mRNA : E6_3_4_18_mRNA</v>
      </c>
      <c r="H382" s="46" t="str">
        <f t="shared" si="65"/>
        <v>E6_3_4_18 : E6_3_4_18</v>
      </c>
      <c r="I382" s="47" t="str">
        <f t="shared" si="66"/>
        <v>E6_3_4_18_mRNA : 0</v>
      </c>
      <c r="J382" s="48" t="str">
        <f t="shared" si="67"/>
        <v>E6_3_4_18 : 0</v>
      </c>
      <c r="K382" s="49" t="str">
        <f t="shared" si="68"/>
        <v>0.00292 - (0.0093 * E6_3_4_18_mRNA)</v>
      </c>
      <c r="L382" s="50" t="str">
        <f t="shared" si="69"/>
        <v>(0.278 * E6_3_4_18_mRNA) - (0.00000278 * E6_3_4_18)</v>
      </c>
      <c r="M382" s="51" t="str">
        <f t="shared" si="70"/>
        <v>mRNA381: -&gt; E6_3_4_18_mRNA | 0.00292 - (0.0093 * E6_3_4_18_mRNA)</v>
      </c>
      <c r="N382" s="52" t="str">
        <f t="shared" si="71"/>
        <v>Peptide381: E6_3_4_18_mRNA -&gt; E6_3_4_18 | (0.278 * E6_3_4_18_mRNA) - (0.000000278 * E6_3_4_18)</v>
      </c>
    </row>
    <row r="383" spans="1:14" ht="16">
      <c r="A383" s="41">
        <v>382</v>
      </c>
      <c r="B383" s="42" t="s">
        <v>9284</v>
      </c>
      <c r="C383" s="41" t="str">
        <f t="shared" si="60"/>
        <v>E6_3_4_19_mRNA</v>
      </c>
      <c r="D383" s="41" t="str">
        <f t="shared" si="61"/>
        <v>E6_3_4_19</v>
      </c>
      <c r="E383" s="43" t="str">
        <f t="shared" si="62"/>
        <v>E6_3_4_19_kcat : 13.7</v>
      </c>
      <c r="F383" s="44" t="str">
        <f t="shared" si="63"/>
        <v>E6_3_4_19_km : 1</v>
      </c>
      <c r="G383" s="45" t="str">
        <f t="shared" si="64"/>
        <v>E6_3_4_19_mRNA : E6_3_4_19_mRNA</v>
      </c>
      <c r="H383" s="46" t="str">
        <f t="shared" si="65"/>
        <v>E6_3_4_19 : E6_3_4_19</v>
      </c>
      <c r="I383" s="47" t="str">
        <f t="shared" si="66"/>
        <v>E6_3_4_19_mRNA : 0</v>
      </c>
      <c r="J383" s="48" t="str">
        <f t="shared" si="67"/>
        <v>E6_3_4_19 : 0</v>
      </c>
      <c r="K383" s="49" t="str">
        <f t="shared" si="68"/>
        <v>0.00292 - (0.0093 * E6_3_4_19_mRNA)</v>
      </c>
      <c r="L383" s="50" t="str">
        <f t="shared" si="69"/>
        <v>(0.278 * E6_3_4_19_mRNA) - (0.00000278 * E6_3_4_19)</v>
      </c>
      <c r="M383" s="51" t="str">
        <f t="shared" si="70"/>
        <v>mRNA382: -&gt; E6_3_4_19_mRNA | 0.00292 - (0.0093 * E6_3_4_19_mRNA)</v>
      </c>
      <c r="N383" s="52" t="str">
        <f t="shared" si="71"/>
        <v>Peptide382: E6_3_4_19_mRNA -&gt; E6_3_4_19 | (0.278 * E6_3_4_19_mRNA) - (0.000000278 * E6_3_4_19)</v>
      </c>
    </row>
    <row r="384" spans="1:14" ht="16">
      <c r="A384" s="41">
        <v>383</v>
      </c>
      <c r="B384" s="42" t="s">
        <v>9285</v>
      </c>
      <c r="C384" s="41" t="str">
        <f t="shared" si="60"/>
        <v>E6_3_4_2_mRNA</v>
      </c>
      <c r="D384" s="41" t="str">
        <f t="shared" si="61"/>
        <v>E6_3_4_2</v>
      </c>
      <c r="E384" s="43" t="str">
        <f t="shared" si="62"/>
        <v>E6_3_4_2_kcat : 13.7</v>
      </c>
      <c r="F384" s="44" t="str">
        <f t="shared" si="63"/>
        <v>E6_3_4_2_km : 1</v>
      </c>
      <c r="G384" s="45" t="str">
        <f t="shared" si="64"/>
        <v>E6_3_4_2_mRNA : E6_3_4_2_mRNA</v>
      </c>
      <c r="H384" s="46" t="str">
        <f t="shared" si="65"/>
        <v>E6_3_4_2 : E6_3_4_2</v>
      </c>
      <c r="I384" s="47" t="str">
        <f t="shared" si="66"/>
        <v>E6_3_4_2_mRNA : 0</v>
      </c>
      <c r="J384" s="48" t="str">
        <f t="shared" si="67"/>
        <v>E6_3_4_2 : 0</v>
      </c>
      <c r="K384" s="49" t="str">
        <f t="shared" si="68"/>
        <v>0.00292 - (0.0093 * E6_3_4_2_mRNA)</v>
      </c>
      <c r="L384" s="50" t="str">
        <f t="shared" si="69"/>
        <v>(0.278 * E6_3_4_2_mRNA) - (0.00000278 * E6_3_4_2)</v>
      </c>
      <c r="M384" s="51" t="str">
        <f t="shared" si="70"/>
        <v>mRNA383: -&gt; E6_3_4_2_mRNA | 0.00292 - (0.0093 * E6_3_4_2_mRNA)</v>
      </c>
      <c r="N384" s="52" t="str">
        <f t="shared" si="71"/>
        <v>Peptide383: E6_3_4_2_mRNA -&gt; E6_3_4_2 | (0.278 * E6_3_4_2_mRNA) - (0.000000278 * E6_3_4_2)</v>
      </c>
    </row>
    <row r="385" spans="1:14" ht="16">
      <c r="A385" s="41">
        <v>384</v>
      </c>
      <c r="B385" s="42" t="s">
        <v>9286</v>
      </c>
      <c r="C385" s="41" t="str">
        <f t="shared" si="60"/>
        <v>E6_3_4_20_mRNA</v>
      </c>
      <c r="D385" s="41" t="str">
        <f t="shared" si="61"/>
        <v>E6_3_4_20</v>
      </c>
      <c r="E385" s="43" t="str">
        <f t="shared" si="62"/>
        <v>E6_3_4_20_kcat : 13.7</v>
      </c>
      <c r="F385" s="44" t="str">
        <f t="shared" si="63"/>
        <v>E6_3_4_20_km : 1</v>
      </c>
      <c r="G385" s="45" t="str">
        <f t="shared" si="64"/>
        <v>E6_3_4_20_mRNA : E6_3_4_20_mRNA</v>
      </c>
      <c r="H385" s="46" t="str">
        <f t="shared" si="65"/>
        <v>E6_3_4_20 : E6_3_4_20</v>
      </c>
      <c r="I385" s="47" t="str">
        <f t="shared" si="66"/>
        <v>E6_3_4_20_mRNA : 0</v>
      </c>
      <c r="J385" s="48" t="str">
        <f t="shared" si="67"/>
        <v>E6_3_4_20 : 0</v>
      </c>
      <c r="K385" s="49" t="str">
        <f t="shared" si="68"/>
        <v>0.00292 - (0.0093 * E6_3_4_20_mRNA)</v>
      </c>
      <c r="L385" s="50" t="str">
        <f t="shared" si="69"/>
        <v>(0.278 * E6_3_4_20_mRNA) - (0.00000278 * E6_3_4_20)</v>
      </c>
      <c r="M385" s="51" t="str">
        <f t="shared" si="70"/>
        <v>mRNA384: -&gt; E6_3_4_20_mRNA | 0.00292 - (0.0093 * E6_3_4_20_mRNA)</v>
      </c>
      <c r="N385" s="52" t="str">
        <f t="shared" si="71"/>
        <v>Peptide384: E6_3_4_20_mRNA -&gt; E6_3_4_20 | (0.278 * E6_3_4_20_mRNA) - (0.000000278 * E6_3_4_20)</v>
      </c>
    </row>
    <row r="386" spans="1:14" ht="16">
      <c r="A386" s="41">
        <v>385</v>
      </c>
      <c r="B386" s="42" t="s">
        <v>9287</v>
      </c>
      <c r="C386" s="41" t="str">
        <f t="shared" si="60"/>
        <v>E6_3_4_21_mRNA</v>
      </c>
      <c r="D386" s="41" t="str">
        <f t="shared" si="61"/>
        <v>E6_3_4_21</v>
      </c>
      <c r="E386" s="43" t="str">
        <f t="shared" si="62"/>
        <v>E6_3_4_21_kcat : 13.7</v>
      </c>
      <c r="F386" s="44" t="str">
        <f t="shared" si="63"/>
        <v>E6_3_4_21_km : 1</v>
      </c>
      <c r="G386" s="45" t="str">
        <f t="shared" si="64"/>
        <v>E6_3_4_21_mRNA : E6_3_4_21_mRNA</v>
      </c>
      <c r="H386" s="46" t="str">
        <f t="shared" si="65"/>
        <v>E6_3_4_21 : E6_3_4_21</v>
      </c>
      <c r="I386" s="47" t="str">
        <f t="shared" si="66"/>
        <v>E6_3_4_21_mRNA : 0</v>
      </c>
      <c r="J386" s="48" t="str">
        <f t="shared" si="67"/>
        <v>E6_3_4_21 : 0</v>
      </c>
      <c r="K386" s="49" t="str">
        <f t="shared" si="68"/>
        <v>0.00292 - (0.0093 * E6_3_4_21_mRNA)</v>
      </c>
      <c r="L386" s="50" t="str">
        <f t="shared" si="69"/>
        <v>(0.278 * E6_3_4_21_mRNA) - (0.00000278 * E6_3_4_21)</v>
      </c>
      <c r="M386" s="51" t="str">
        <f t="shared" si="70"/>
        <v>mRNA385: -&gt; E6_3_4_21_mRNA | 0.00292 - (0.0093 * E6_3_4_21_mRNA)</v>
      </c>
      <c r="N386" s="52" t="str">
        <f t="shared" si="71"/>
        <v>Peptide385: E6_3_4_21_mRNA -&gt; E6_3_4_21 | (0.278 * E6_3_4_21_mRNA) - (0.000000278 * E6_3_4_21)</v>
      </c>
    </row>
    <row r="387" spans="1:14" ht="16">
      <c r="A387" s="41">
        <v>386</v>
      </c>
      <c r="B387" s="42" t="s">
        <v>9288</v>
      </c>
      <c r="C387" s="41" t="str">
        <f t="shared" ref="C387:C401" si="72">CONCATENATE(D387, "_mRNA")</f>
        <v>E6_3_4_3_mRNA</v>
      </c>
      <c r="D387" s="41" t="str">
        <f t="shared" ref="D387:D401" si="73">CONCATENATE("E",B387)</f>
        <v>E6_3_4_3</v>
      </c>
      <c r="E387" s="43" t="str">
        <f t="shared" ref="E387:E401" si="74">CONCATENATE("E",B387,"_kcat : 13.7")</f>
        <v>E6_3_4_3_kcat : 13.7</v>
      </c>
      <c r="F387" s="44" t="str">
        <f t="shared" ref="F387:F401" si="75">CONCATENATE("E",B387, "_km : 1")</f>
        <v>E6_3_4_3_km : 1</v>
      </c>
      <c r="G387" s="45" t="str">
        <f t="shared" ref="G387:G401" si="76">CONCATENATE(C387, " : ",C387)</f>
        <v>E6_3_4_3_mRNA : E6_3_4_3_mRNA</v>
      </c>
      <c r="H387" s="46" t="str">
        <f t="shared" ref="H387:H401" si="77">CONCATENATE(D387, " : ",D387)</f>
        <v>E6_3_4_3 : E6_3_4_3</v>
      </c>
      <c r="I387" s="47" t="str">
        <f t="shared" ref="I387:I401" si="78">CONCATENATE(C387, " : ","0")</f>
        <v>E6_3_4_3_mRNA : 0</v>
      </c>
      <c r="J387" s="48" t="str">
        <f t="shared" ref="J387:J401" si="79">CONCATENATE(D387, " : ","0")</f>
        <v>E6_3_4_3 : 0</v>
      </c>
      <c r="K387" s="49" t="str">
        <f t="shared" ref="K387:K401" si="80">CONCATENATE("0.00292 - (0.0093 * ",C387,")")</f>
        <v>0.00292 - (0.0093 * E6_3_4_3_mRNA)</v>
      </c>
      <c r="L387" s="50" t="str">
        <f t="shared" ref="L387:L401" si="81">CONCATENATE("(0.278 * ",C387,")"," - (0.00000278 * ",D387,")")</f>
        <v>(0.278 * E6_3_4_3_mRNA) - (0.00000278 * E6_3_4_3)</v>
      </c>
      <c r="M387" s="51" t="str">
        <f t="shared" ref="M387:M401" si="82">CONCATENATE("mRNA",A387,": -&gt; ",C387," | ","0.00292"," - ","(","0.0093"," * ",C387,")")</f>
        <v>mRNA386: -&gt; E6_3_4_3_mRNA | 0.00292 - (0.0093 * E6_3_4_3_mRNA)</v>
      </c>
      <c r="N387" s="52" t="str">
        <f t="shared" ref="N387:N401" si="83">CONCATENATE("Peptide",A387,": ",C387," -&gt; ",D387," | ","(","0.278"," * ",C387,")"," - ","(","0.000000278"," * ",D387,")")</f>
        <v>Peptide386: E6_3_4_3_mRNA -&gt; E6_3_4_3 | (0.278 * E6_3_4_3_mRNA) - (0.000000278 * E6_3_4_3)</v>
      </c>
    </row>
    <row r="388" spans="1:14" ht="16">
      <c r="A388" s="41">
        <v>387</v>
      </c>
      <c r="B388" s="42" t="s">
        <v>9289</v>
      </c>
      <c r="C388" s="41" t="str">
        <f t="shared" si="72"/>
        <v>E6_3_4_4_mRNA</v>
      </c>
      <c r="D388" s="41" t="str">
        <f t="shared" si="73"/>
        <v>E6_3_4_4</v>
      </c>
      <c r="E388" s="43" t="str">
        <f t="shared" si="74"/>
        <v>E6_3_4_4_kcat : 13.7</v>
      </c>
      <c r="F388" s="44" t="str">
        <f t="shared" si="75"/>
        <v>E6_3_4_4_km : 1</v>
      </c>
      <c r="G388" s="45" t="str">
        <f t="shared" si="76"/>
        <v>E6_3_4_4_mRNA : E6_3_4_4_mRNA</v>
      </c>
      <c r="H388" s="46" t="str">
        <f t="shared" si="77"/>
        <v>E6_3_4_4 : E6_3_4_4</v>
      </c>
      <c r="I388" s="47" t="str">
        <f t="shared" si="78"/>
        <v>E6_3_4_4_mRNA : 0</v>
      </c>
      <c r="J388" s="48" t="str">
        <f t="shared" si="79"/>
        <v>E6_3_4_4 : 0</v>
      </c>
      <c r="K388" s="49" t="str">
        <f t="shared" si="80"/>
        <v>0.00292 - (0.0093 * E6_3_4_4_mRNA)</v>
      </c>
      <c r="L388" s="50" t="str">
        <f t="shared" si="81"/>
        <v>(0.278 * E6_3_4_4_mRNA) - (0.00000278 * E6_3_4_4)</v>
      </c>
      <c r="M388" s="51" t="str">
        <f t="shared" si="82"/>
        <v>mRNA387: -&gt; E6_3_4_4_mRNA | 0.00292 - (0.0093 * E6_3_4_4_mRNA)</v>
      </c>
      <c r="N388" s="52" t="str">
        <f t="shared" si="83"/>
        <v>Peptide387: E6_3_4_4_mRNA -&gt; E6_3_4_4 | (0.278 * E6_3_4_4_mRNA) - (0.000000278 * E6_3_4_4)</v>
      </c>
    </row>
    <row r="389" spans="1:14" ht="16">
      <c r="A389" s="41">
        <v>388</v>
      </c>
      <c r="B389" s="42" t="s">
        <v>9290</v>
      </c>
      <c r="C389" s="41" t="str">
        <f t="shared" si="72"/>
        <v>E6_3_4_5_mRNA</v>
      </c>
      <c r="D389" s="41" t="str">
        <f t="shared" si="73"/>
        <v>E6_3_4_5</v>
      </c>
      <c r="E389" s="43" t="str">
        <f t="shared" si="74"/>
        <v>E6_3_4_5_kcat : 13.7</v>
      </c>
      <c r="F389" s="44" t="str">
        <f t="shared" si="75"/>
        <v>E6_3_4_5_km : 1</v>
      </c>
      <c r="G389" s="45" t="str">
        <f t="shared" si="76"/>
        <v>E6_3_4_5_mRNA : E6_3_4_5_mRNA</v>
      </c>
      <c r="H389" s="46" t="str">
        <f t="shared" si="77"/>
        <v>E6_3_4_5 : E6_3_4_5</v>
      </c>
      <c r="I389" s="47" t="str">
        <f t="shared" si="78"/>
        <v>E6_3_4_5_mRNA : 0</v>
      </c>
      <c r="J389" s="48" t="str">
        <f t="shared" si="79"/>
        <v>E6_3_4_5 : 0</v>
      </c>
      <c r="K389" s="49" t="str">
        <f t="shared" si="80"/>
        <v>0.00292 - (0.0093 * E6_3_4_5_mRNA)</v>
      </c>
      <c r="L389" s="50" t="str">
        <f t="shared" si="81"/>
        <v>(0.278 * E6_3_4_5_mRNA) - (0.00000278 * E6_3_4_5)</v>
      </c>
      <c r="M389" s="51" t="str">
        <f t="shared" si="82"/>
        <v>mRNA388: -&gt; E6_3_4_5_mRNA | 0.00292 - (0.0093 * E6_3_4_5_mRNA)</v>
      </c>
      <c r="N389" s="52" t="str">
        <f t="shared" si="83"/>
        <v>Peptide388: E6_3_4_5_mRNA -&gt; E6_3_4_5 | (0.278 * E6_3_4_5_mRNA) - (0.000000278 * E6_3_4_5)</v>
      </c>
    </row>
    <row r="390" spans="1:14" ht="16">
      <c r="A390" s="41">
        <v>389</v>
      </c>
      <c r="B390" s="42" t="s">
        <v>9291</v>
      </c>
      <c r="C390" s="41" t="str">
        <f t="shared" si="72"/>
        <v>E6_3_5_13_mRNA</v>
      </c>
      <c r="D390" s="41" t="str">
        <f t="shared" si="73"/>
        <v>E6_3_5_13</v>
      </c>
      <c r="E390" s="43" t="str">
        <f t="shared" si="74"/>
        <v>E6_3_5_13_kcat : 13.7</v>
      </c>
      <c r="F390" s="44" t="str">
        <f t="shared" si="75"/>
        <v>E6_3_5_13_km : 1</v>
      </c>
      <c r="G390" s="45" t="str">
        <f t="shared" si="76"/>
        <v>E6_3_5_13_mRNA : E6_3_5_13_mRNA</v>
      </c>
      <c r="H390" s="46" t="str">
        <f t="shared" si="77"/>
        <v>E6_3_5_13 : E6_3_5_13</v>
      </c>
      <c r="I390" s="47" t="str">
        <f t="shared" si="78"/>
        <v>E6_3_5_13_mRNA : 0</v>
      </c>
      <c r="J390" s="48" t="str">
        <f t="shared" si="79"/>
        <v>E6_3_5_13 : 0</v>
      </c>
      <c r="K390" s="49" t="str">
        <f t="shared" si="80"/>
        <v>0.00292 - (0.0093 * E6_3_5_13_mRNA)</v>
      </c>
      <c r="L390" s="50" t="str">
        <f t="shared" si="81"/>
        <v>(0.278 * E6_3_5_13_mRNA) - (0.00000278 * E6_3_5_13)</v>
      </c>
      <c r="M390" s="51" t="str">
        <f t="shared" si="82"/>
        <v>mRNA389: -&gt; E6_3_5_13_mRNA | 0.00292 - (0.0093 * E6_3_5_13_mRNA)</v>
      </c>
      <c r="N390" s="52" t="str">
        <f t="shared" si="83"/>
        <v>Peptide389: E6_3_5_13_mRNA -&gt; E6_3_5_13 | (0.278 * E6_3_5_13_mRNA) - (0.000000278 * E6_3_5_13)</v>
      </c>
    </row>
    <row r="391" spans="1:14" ht="16">
      <c r="A391" s="41">
        <v>390</v>
      </c>
      <c r="B391" s="42" t="s">
        <v>9292</v>
      </c>
      <c r="C391" s="41" t="str">
        <f t="shared" si="72"/>
        <v>E6_3_5_14_mRNA</v>
      </c>
      <c r="D391" s="41" t="str">
        <f t="shared" si="73"/>
        <v>E6_3_5_14</v>
      </c>
      <c r="E391" s="43" t="str">
        <f t="shared" si="74"/>
        <v>E6_3_5_14_kcat : 13.7</v>
      </c>
      <c r="F391" s="44" t="str">
        <f t="shared" si="75"/>
        <v>E6_3_5_14_km : 1</v>
      </c>
      <c r="G391" s="45" t="str">
        <f t="shared" si="76"/>
        <v>E6_3_5_14_mRNA : E6_3_5_14_mRNA</v>
      </c>
      <c r="H391" s="46" t="str">
        <f t="shared" si="77"/>
        <v>E6_3_5_14 : E6_3_5_14</v>
      </c>
      <c r="I391" s="47" t="str">
        <f t="shared" si="78"/>
        <v>E6_3_5_14_mRNA : 0</v>
      </c>
      <c r="J391" s="48" t="str">
        <f t="shared" si="79"/>
        <v>E6_3_5_14 : 0</v>
      </c>
      <c r="K391" s="49" t="str">
        <f t="shared" si="80"/>
        <v>0.00292 - (0.0093 * E6_3_5_14_mRNA)</v>
      </c>
      <c r="L391" s="50" t="str">
        <f t="shared" si="81"/>
        <v>(0.278 * E6_3_5_14_mRNA) - (0.00000278 * E6_3_5_14)</v>
      </c>
      <c r="M391" s="51" t="str">
        <f t="shared" si="82"/>
        <v>mRNA390: -&gt; E6_3_5_14_mRNA | 0.00292 - (0.0093 * E6_3_5_14_mRNA)</v>
      </c>
      <c r="N391" s="52" t="str">
        <f t="shared" si="83"/>
        <v>Peptide390: E6_3_5_14_mRNA -&gt; E6_3_5_14 | (0.278 * E6_3_5_14_mRNA) - (0.000000278 * E6_3_5_14)</v>
      </c>
    </row>
    <row r="392" spans="1:14" ht="16">
      <c r="A392" s="41">
        <v>391</v>
      </c>
      <c r="B392" s="42" t="s">
        <v>9293</v>
      </c>
      <c r="C392" s="41" t="str">
        <f t="shared" si="72"/>
        <v>E6_3_5_2_mRNA</v>
      </c>
      <c r="D392" s="41" t="str">
        <f t="shared" si="73"/>
        <v>E6_3_5_2</v>
      </c>
      <c r="E392" s="43" t="str">
        <f t="shared" si="74"/>
        <v>E6_3_5_2_kcat : 13.7</v>
      </c>
      <c r="F392" s="44" t="str">
        <f t="shared" si="75"/>
        <v>E6_3_5_2_km : 1</v>
      </c>
      <c r="G392" s="45" t="str">
        <f t="shared" si="76"/>
        <v>E6_3_5_2_mRNA : E6_3_5_2_mRNA</v>
      </c>
      <c r="H392" s="46" t="str">
        <f t="shared" si="77"/>
        <v>E6_3_5_2 : E6_3_5_2</v>
      </c>
      <c r="I392" s="47" t="str">
        <f t="shared" si="78"/>
        <v>E6_3_5_2_mRNA : 0</v>
      </c>
      <c r="J392" s="48" t="str">
        <f t="shared" si="79"/>
        <v>E6_3_5_2 : 0</v>
      </c>
      <c r="K392" s="49" t="str">
        <f t="shared" si="80"/>
        <v>0.00292 - (0.0093 * E6_3_5_2_mRNA)</v>
      </c>
      <c r="L392" s="50" t="str">
        <f t="shared" si="81"/>
        <v>(0.278 * E6_3_5_2_mRNA) - (0.00000278 * E6_3_5_2)</v>
      </c>
      <c r="M392" s="51" t="str">
        <f t="shared" si="82"/>
        <v>mRNA391: -&gt; E6_3_5_2_mRNA | 0.00292 - (0.0093 * E6_3_5_2_mRNA)</v>
      </c>
      <c r="N392" s="52" t="str">
        <f t="shared" si="83"/>
        <v>Peptide391: E6_3_5_2_mRNA -&gt; E6_3_5_2 | (0.278 * E6_3_5_2_mRNA) - (0.000000278 * E6_3_5_2)</v>
      </c>
    </row>
    <row r="393" spans="1:14" ht="16">
      <c r="A393" s="41">
        <v>392</v>
      </c>
      <c r="B393" s="42" t="s">
        <v>9294</v>
      </c>
      <c r="C393" s="41" t="str">
        <f t="shared" si="72"/>
        <v>E6_3_5_3_mRNA</v>
      </c>
      <c r="D393" s="41" t="str">
        <f t="shared" si="73"/>
        <v>E6_3_5_3</v>
      </c>
      <c r="E393" s="43" t="str">
        <f t="shared" si="74"/>
        <v>E6_3_5_3_kcat : 13.7</v>
      </c>
      <c r="F393" s="44" t="str">
        <f t="shared" si="75"/>
        <v>E6_3_5_3_km : 1</v>
      </c>
      <c r="G393" s="45" t="str">
        <f t="shared" si="76"/>
        <v>E6_3_5_3_mRNA : E6_3_5_3_mRNA</v>
      </c>
      <c r="H393" s="46" t="str">
        <f t="shared" si="77"/>
        <v>E6_3_5_3 : E6_3_5_3</v>
      </c>
      <c r="I393" s="47" t="str">
        <f t="shared" si="78"/>
        <v>E6_3_5_3_mRNA : 0</v>
      </c>
      <c r="J393" s="48" t="str">
        <f t="shared" si="79"/>
        <v>E6_3_5_3 : 0</v>
      </c>
      <c r="K393" s="49" t="str">
        <f t="shared" si="80"/>
        <v>0.00292 - (0.0093 * E6_3_5_3_mRNA)</v>
      </c>
      <c r="L393" s="50" t="str">
        <f t="shared" si="81"/>
        <v>(0.278 * E6_3_5_3_mRNA) - (0.00000278 * E6_3_5_3)</v>
      </c>
      <c r="M393" s="51" t="str">
        <f t="shared" si="82"/>
        <v>mRNA392: -&gt; E6_3_5_3_mRNA | 0.00292 - (0.0093 * E6_3_5_3_mRNA)</v>
      </c>
      <c r="N393" s="52" t="str">
        <f t="shared" si="83"/>
        <v>Peptide392: E6_3_5_3_mRNA -&gt; E6_3_5_3 | (0.278 * E6_3_5_3_mRNA) - (0.000000278 * E6_3_5_3)</v>
      </c>
    </row>
    <row r="394" spans="1:14" ht="16">
      <c r="A394" s="41">
        <v>393</v>
      </c>
      <c r="B394" s="42" t="s">
        <v>9295</v>
      </c>
      <c r="C394" s="41" t="str">
        <f t="shared" si="72"/>
        <v>E6_3_5_5_mRNA</v>
      </c>
      <c r="D394" s="41" t="str">
        <f t="shared" si="73"/>
        <v>E6_3_5_5</v>
      </c>
      <c r="E394" s="43" t="str">
        <f t="shared" si="74"/>
        <v>E6_3_5_5_kcat : 13.7</v>
      </c>
      <c r="F394" s="44" t="str">
        <f t="shared" si="75"/>
        <v>E6_3_5_5_km : 1</v>
      </c>
      <c r="G394" s="45" t="str">
        <f t="shared" si="76"/>
        <v>E6_3_5_5_mRNA : E6_3_5_5_mRNA</v>
      </c>
      <c r="H394" s="46" t="str">
        <f t="shared" si="77"/>
        <v>E6_3_5_5 : E6_3_5_5</v>
      </c>
      <c r="I394" s="47" t="str">
        <f t="shared" si="78"/>
        <v>E6_3_5_5_mRNA : 0</v>
      </c>
      <c r="J394" s="48" t="str">
        <f t="shared" si="79"/>
        <v>E6_3_5_5 : 0</v>
      </c>
      <c r="K394" s="49" t="str">
        <f t="shared" si="80"/>
        <v>0.00292 - (0.0093 * E6_3_5_5_mRNA)</v>
      </c>
      <c r="L394" s="50" t="str">
        <f t="shared" si="81"/>
        <v>(0.278 * E6_3_5_5_mRNA) - (0.00000278 * E6_3_5_5)</v>
      </c>
      <c r="M394" s="51" t="str">
        <f t="shared" si="82"/>
        <v>mRNA393: -&gt; E6_3_5_5_mRNA | 0.00292 - (0.0093 * E6_3_5_5_mRNA)</v>
      </c>
      <c r="N394" s="52" t="str">
        <f t="shared" si="83"/>
        <v>Peptide393: E6_3_5_5_mRNA -&gt; E6_3_5_5 | (0.278 * E6_3_5_5_mRNA) - (0.000000278 * E6_3_5_5)</v>
      </c>
    </row>
    <row r="395" spans="1:14" ht="16">
      <c r="A395" s="41">
        <v>394</v>
      </c>
      <c r="B395" s="42" t="s">
        <v>9296</v>
      </c>
      <c r="C395" s="41" t="str">
        <f t="shared" si="72"/>
        <v>E6_3_5_7_mRNA</v>
      </c>
      <c r="D395" s="41" t="str">
        <f t="shared" si="73"/>
        <v>E6_3_5_7</v>
      </c>
      <c r="E395" s="43" t="str">
        <f t="shared" si="74"/>
        <v>E6_3_5_7_kcat : 13.7</v>
      </c>
      <c r="F395" s="44" t="str">
        <f t="shared" si="75"/>
        <v>E6_3_5_7_km : 1</v>
      </c>
      <c r="G395" s="45" t="str">
        <f t="shared" si="76"/>
        <v>E6_3_5_7_mRNA : E6_3_5_7_mRNA</v>
      </c>
      <c r="H395" s="46" t="str">
        <f t="shared" si="77"/>
        <v>E6_3_5_7 : E6_3_5_7</v>
      </c>
      <c r="I395" s="47" t="str">
        <f t="shared" si="78"/>
        <v>E6_3_5_7_mRNA : 0</v>
      </c>
      <c r="J395" s="48" t="str">
        <f t="shared" si="79"/>
        <v>E6_3_5_7 : 0</v>
      </c>
      <c r="K395" s="49" t="str">
        <f t="shared" si="80"/>
        <v>0.00292 - (0.0093 * E6_3_5_7_mRNA)</v>
      </c>
      <c r="L395" s="50" t="str">
        <f t="shared" si="81"/>
        <v>(0.278 * E6_3_5_7_mRNA) - (0.00000278 * E6_3_5_7)</v>
      </c>
      <c r="M395" s="51" t="str">
        <f t="shared" si="82"/>
        <v>mRNA394: -&gt; E6_3_5_7_mRNA | 0.00292 - (0.0093 * E6_3_5_7_mRNA)</v>
      </c>
      <c r="N395" s="52" t="str">
        <f t="shared" si="83"/>
        <v>Peptide394: E6_3_5_7_mRNA -&gt; E6_3_5_7 | (0.278 * E6_3_5_7_mRNA) - (0.000000278 * E6_3_5_7)</v>
      </c>
    </row>
    <row r="396" spans="1:14" ht="16">
      <c r="A396" s="41">
        <v>395</v>
      </c>
      <c r="B396" s="42" t="s">
        <v>9297</v>
      </c>
      <c r="C396" s="41" t="str">
        <f t="shared" si="72"/>
        <v>E6_4_1_2_mRNA</v>
      </c>
      <c r="D396" s="41" t="str">
        <f t="shared" si="73"/>
        <v>E6_4_1_2</v>
      </c>
      <c r="E396" s="43" t="str">
        <f t="shared" si="74"/>
        <v>E6_4_1_2_kcat : 13.7</v>
      </c>
      <c r="F396" s="44" t="str">
        <f t="shared" si="75"/>
        <v>E6_4_1_2_km : 1</v>
      </c>
      <c r="G396" s="45" t="str">
        <f t="shared" si="76"/>
        <v>E6_4_1_2_mRNA : E6_4_1_2_mRNA</v>
      </c>
      <c r="H396" s="46" t="str">
        <f t="shared" si="77"/>
        <v>E6_4_1_2 : E6_4_1_2</v>
      </c>
      <c r="I396" s="47" t="str">
        <f t="shared" si="78"/>
        <v>E6_4_1_2_mRNA : 0</v>
      </c>
      <c r="J396" s="48" t="str">
        <f t="shared" si="79"/>
        <v>E6_4_1_2 : 0</v>
      </c>
      <c r="K396" s="49" t="str">
        <f t="shared" si="80"/>
        <v>0.00292 - (0.0093 * E6_4_1_2_mRNA)</v>
      </c>
      <c r="L396" s="50" t="str">
        <f t="shared" si="81"/>
        <v>(0.278 * E6_4_1_2_mRNA) - (0.00000278 * E6_4_1_2)</v>
      </c>
      <c r="M396" s="51" t="str">
        <f t="shared" si="82"/>
        <v>mRNA395: -&gt; E6_4_1_2_mRNA | 0.00292 - (0.0093 * E6_4_1_2_mRNA)</v>
      </c>
      <c r="N396" s="52" t="str">
        <f t="shared" si="83"/>
        <v>Peptide395: E6_4_1_2_mRNA -&gt; E6_4_1_2 | (0.278 * E6_4_1_2_mRNA) - (0.000000278 * E6_4_1_2)</v>
      </c>
    </row>
    <row r="397" spans="1:14" ht="16">
      <c r="A397" s="41">
        <v>396</v>
      </c>
      <c r="B397" s="42" t="s">
        <v>9298</v>
      </c>
      <c r="C397" s="41" t="str">
        <f t="shared" si="72"/>
        <v>E6_5_1_2_mRNA</v>
      </c>
      <c r="D397" s="41" t="str">
        <f t="shared" si="73"/>
        <v>E6_5_1_2</v>
      </c>
      <c r="E397" s="43" t="str">
        <f t="shared" si="74"/>
        <v>E6_5_1_2_kcat : 13.7</v>
      </c>
      <c r="F397" s="44" t="str">
        <f t="shared" si="75"/>
        <v>E6_5_1_2_km : 1</v>
      </c>
      <c r="G397" s="45" t="str">
        <f t="shared" si="76"/>
        <v>E6_5_1_2_mRNA : E6_5_1_2_mRNA</v>
      </c>
      <c r="H397" s="46" t="str">
        <f t="shared" si="77"/>
        <v>E6_5_1_2 : E6_5_1_2</v>
      </c>
      <c r="I397" s="47" t="str">
        <f t="shared" si="78"/>
        <v>E6_5_1_2_mRNA : 0</v>
      </c>
      <c r="J397" s="48" t="str">
        <f t="shared" si="79"/>
        <v>E6_5_1_2 : 0</v>
      </c>
      <c r="K397" s="49" t="str">
        <f t="shared" si="80"/>
        <v>0.00292 - (0.0093 * E6_5_1_2_mRNA)</v>
      </c>
      <c r="L397" s="50" t="str">
        <f t="shared" si="81"/>
        <v>(0.278 * E6_5_1_2_mRNA) - (0.00000278 * E6_5_1_2)</v>
      </c>
      <c r="M397" s="51" t="str">
        <f t="shared" si="82"/>
        <v>mRNA396: -&gt; E6_5_1_2_mRNA | 0.00292 - (0.0093 * E6_5_1_2_mRNA)</v>
      </c>
      <c r="N397" s="52" t="str">
        <f t="shared" si="83"/>
        <v>Peptide396: E6_5_1_2_mRNA -&gt; E6_5_1_2 | (0.278 * E6_5_1_2_mRNA) - (0.000000278 * E6_5_1_2)</v>
      </c>
    </row>
    <row r="398" spans="1:14" ht="16">
      <c r="A398" s="41">
        <v>397</v>
      </c>
      <c r="B398" s="42" t="s">
        <v>9299</v>
      </c>
      <c r="C398" s="41" t="str">
        <f t="shared" si="72"/>
        <v>E7_1_2_2_mRNA</v>
      </c>
      <c r="D398" s="41" t="str">
        <f t="shared" si="73"/>
        <v>E7_1_2_2</v>
      </c>
      <c r="E398" s="43" t="str">
        <f t="shared" si="74"/>
        <v>E7_1_2_2_kcat : 13.7</v>
      </c>
      <c r="F398" s="44" t="str">
        <f t="shared" si="75"/>
        <v>E7_1_2_2_km : 1</v>
      </c>
      <c r="G398" s="45" t="str">
        <f t="shared" si="76"/>
        <v>E7_1_2_2_mRNA : E7_1_2_2_mRNA</v>
      </c>
      <c r="H398" s="46" t="str">
        <f t="shared" si="77"/>
        <v>E7_1_2_2 : E7_1_2_2</v>
      </c>
      <c r="I398" s="47" t="str">
        <f t="shared" si="78"/>
        <v>E7_1_2_2_mRNA : 0</v>
      </c>
      <c r="J398" s="48" t="str">
        <f t="shared" si="79"/>
        <v>E7_1_2_2 : 0</v>
      </c>
      <c r="K398" s="49" t="str">
        <f t="shared" si="80"/>
        <v>0.00292 - (0.0093 * E7_1_2_2_mRNA)</v>
      </c>
      <c r="L398" s="50" t="str">
        <f t="shared" si="81"/>
        <v>(0.278 * E7_1_2_2_mRNA) - (0.00000278 * E7_1_2_2)</v>
      </c>
      <c r="M398" s="51" t="str">
        <f t="shared" si="82"/>
        <v>mRNA397: -&gt; E7_1_2_2_mRNA | 0.00292 - (0.0093 * E7_1_2_2_mRNA)</v>
      </c>
      <c r="N398" s="52" t="str">
        <f t="shared" si="83"/>
        <v>Peptide397: E7_1_2_2_mRNA -&gt; E7_1_2_2 | (0.278 * E7_1_2_2_mRNA) - (0.000000278 * E7_1_2_2)</v>
      </c>
    </row>
    <row r="399" spans="1:14" ht="16">
      <c r="A399" s="41">
        <v>398</v>
      </c>
      <c r="B399" s="42" t="s">
        <v>9300</v>
      </c>
      <c r="C399" s="41" t="str">
        <f t="shared" si="72"/>
        <v>E7_2_2_10_mRNA</v>
      </c>
      <c r="D399" s="41" t="str">
        <f t="shared" si="73"/>
        <v>E7_2_2_10</v>
      </c>
      <c r="E399" s="43" t="str">
        <f t="shared" si="74"/>
        <v>E7_2_2_10_kcat : 13.7</v>
      </c>
      <c r="F399" s="44" t="str">
        <f t="shared" si="75"/>
        <v>E7_2_2_10_km : 1</v>
      </c>
      <c r="G399" s="45" t="str">
        <f t="shared" si="76"/>
        <v>E7_2_2_10_mRNA : E7_2_2_10_mRNA</v>
      </c>
      <c r="H399" s="46" t="str">
        <f t="shared" si="77"/>
        <v>E7_2_2_10 : E7_2_2_10</v>
      </c>
      <c r="I399" s="47" t="str">
        <f t="shared" si="78"/>
        <v>E7_2_2_10_mRNA : 0</v>
      </c>
      <c r="J399" s="48" t="str">
        <f t="shared" si="79"/>
        <v>E7_2_2_10 : 0</v>
      </c>
      <c r="K399" s="49" t="str">
        <f t="shared" si="80"/>
        <v>0.00292 - (0.0093 * E7_2_2_10_mRNA)</v>
      </c>
      <c r="L399" s="50" t="str">
        <f t="shared" si="81"/>
        <v>(0.278 * E7_2_2_10_mRNA) - (0.00000278 * E7_2_2_10)</v>
      </c>
      <c r="M399" s="51" t="str">
        <f t="shared" si="82"/>
        <v>mRNA398: -&gt; E7_2_2_10_mRNA | 0.00292 - (0.0093 * E7_2_2_10_mRNA)</v>
      </c>
      <c r="N399" s="52" t="str">
        <f t="shared" si="83"/>
        <v>Peptide398: E7_2_2_10_mRNA -&gt; E7_2_2_10 | (0.278 * E7_2_2_10_mRNA) - (0.000000278 * E7_2_2_10)</v>
      </c>
    </row>
    <row r="400" spans="1:14" ht="16">
      <c r="A400" s="41">
        <v>399</v>
      </c>
      <c r="B400" s="42" t="s">
        <v>9301</v>
      </c>
      <c r="C400" s="41" t="str">
        <f t="shared" si="72"/>
        <v>E7_2_2_8_mRNA</v>
      </c>
      <c r="D400" s="41" t="str">
        <f t="shared" si="73"/>
        <v>E7_2_2_8</v>
      </c>
      <c r="E400" s="43" t="str">
        <f t="shared" si="74"/>
        <v>E7_2_2_8_kcat : 13.7</v>
      </c>
      <c r="F400" s="44" t="str">
        <f t="shared" si="75"/>
        <v>E7_2_2_8_km : 1</v>
      </c>
      <c r="G400" s="45" t="str">
        <f t="shared" si="76"/>
        <v>E7_2_2_8_mRNA : E7_2_2_8_mRNA</v>
      </c>
      <c r="H400" s="46" t="str">
        <f t="shared" si="77"/>
        <v>E7_2_2_8 : E7_2_2_8</v>
      </c>
      <c r="I400" s="47" t="str">
        <f t="shared" si="78"/>
        <v>E7_2_2_8_mRNA : 0</v>
      </c>
      <c r="J400" s="48" t="str">
        <f t="shared" si="79"/>
        <v>E7_2_2_8 : 0</v>
      </c>
      <c r="K400" s="49" t="str">
        <f t="shared" si="80"/>
        <v>0.00292 - (0.0093 * E7_2_2_8_mRNA)</v>
      </c>
      <c r="L400" s="50" t="str">
        <f t="shared" si="81"/>
        <v>(0.278 * E7_2_2_8_mRNA) - (0.00000278 * E7_2_2_8)</v>
      </c>
      <c r="M400" s="51" t="str">
        <f t="shared" si="82"/>
        <v>mRNA399: -&gt; E7_2_2_8_mRNA | 0.00292 - (0.0093 * E7_2_2_8_mRNA)</v>
      </c>
      <c r="N400" s="52" t="str">
        <f t="shared" si="83"/>
        <v>Peptide399: E7_2_2_8_mRNA -&gt; E7_2_2_8 | (0.278 * E7_2_2_8_mRNA) - (0.000000278 * E7_2_2_8)</v>
      </c>
    </row>
    <row r="401" spans="1:14" ht="16">
      <c r="A401" s="41">
        <v>400</v>
      </c>
      <c r="B401" s="42" t="s">
        <v>9302</v>
      </c>
      <c r="C401" s="41" t="str">
        <f t="shared" si="72"/>
        <v>E7_6_2_11_mRNA</v>
      </c>
      <c r="D401" s="41" t="str">
        <f t="shared" si="73"/>
        <v>E7_6_2_11</v>
      </c>
      <c r="E401" s="43" t="str">
        <f t="shared" si="74"/>
        <v>E7_6_2_11_kcat : 13.7</v>
      </c>
      <c r="F401" s="44" t="str">
        <f t="shared" si="75"/>
        <v>E7_6_2_11_km : 1</v>
      </c>
      <c r="G401" s="45" t="str">
        <f t="shared" si="76"/>
        <v>E7_6_2_11_mRNA : E7_6_2_11_mRNA</v>
      </c>
      <c r="H401" s="46" t="str">
        <f t="shared" si="77"/>
        <v>E7_6_2_11 : E7_6_2_11</v>
      </c>
      <c r="I401" s="47" t="str">
        <f t="shared" si="78"/>
        <v>E7_6_2_11_mRNA : 0</v>
      </c>
      <c r="J401" s="48" t="str">
        <f t="shared" si="79"/>
        <v>E7_6_2_11 : 0</v>
      </c>
      <c r="K401" s="49" t="str">
        <f t="shared" si="80"/>
        <v>0.00292 - (0.0093 * E7_6_2_11_mRNA)</v>
      </c>
      <c r="L401" s="50" t="str">
        <f t="shared" si="81"/>
        <v>(0.278 * E7_6_2_11_mRNA) - (0.00000278 * E7_6_2_11)</v>
      </c>
      <c r="M401" s="51" t="str">
        <f t="shared" si="82"/>
        <v>mRNA400: -&gt; E7_6_2_11_mRNA | 0.00292 - (0.0093 * E7_6_2_11_mRNA)</v>
      </c>
      <c r="N401" s="52" t="str">
        <f t="shared" si="83"/>
        <v>Peptide400: E7_6_2_11_mRNA -&gt; E7_6_2_11 | (0.278 * E7_6_2_11_mRNA) - (0.000000278 * E7_6_2_11)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2E4E-112B-FE47-A20C-554EC3E94CCF}">
  <dimension ref="A1:N404"/>
  <sheetViews>
    <sheetView tabSelected="1" zoomScale="97" zoomScaleNormal="100" workbookViewId="0"/>
  </sheetViews>
  <sheetFormatPr defaultColWidth="10.6640625" defaultRowHeight="16"/>
  <cols>
    <col min="1" max="1" width="17.6640625" style="56" customWidth="1"/>
    <col min="2" max="2" width="17.58203125" style="56" customWidth="1"/>
    <col min="3" max="3" width="13.4140625" style="56" customWidth="1"/>
    <col min="4" max="4" width="5.9140625" style="56" customWidth="1"/>
    <col min="5" max="5" width="15.83203125" style="56" customWidth="1"/>
    <col min="6" max="9" width="27.83203125" style="56" customWidth="1"/>
    <col min="10" max="11" width="70.83203125" style="56" customWidth="1"/>
    <col min="12" max="12" width="40" style="56" customWidth="1"/>
    <col min="13" max="13" width="50.6640625" style="56" customWidth="1"/>
    <col min="14" max="14" width="60.33203125" style="56" customWidth="1"/>
    <col min="15" max="16384" width="10.6640625" style="56"/>
  </cols>
  <sheetData>
    <row r="1" spans="1:14">
      <c r="A1" s="54" t="s">
        <v>49</v>
      </c>
      <c r="B1" s="54" t="s">
        <v>52</v>
      </c>
      <c r="C1" s="54" t="s">
        <v>9886</v>
      </c>
      <c r="D1" s="54" t="s">
        <v>9887</v>
      </c>
      <c r="E1" s="54" t="s">
        <v>9888</v>
      </c>
      <c r="F1" s="54" t="s">
        <v>9889</v>
      </c>
      <c r="G1" s="54" t="s">
        <v>9890</v>
      </c>
      <c r="H1" s="54" t="s">
        <v>10422</v>
      </c>
      <c r="I1" s="54" t="s">
        <v>10423</v>
      </c>
      <c r="J1" s="54" t="s">
        <v>9891</v>
      </c>
      <c r="K1" s="55" t="s">
        <v>9892</v>
      </c>
      <c r="L1" s="12"/>
      <c r="M1" s="12"/>
      <c r="N1" s="13"/>
    </row>
    <row r="2" spans="1:14" ht="48">
      <c r="A2" s="57" t="s">
        <v>1762</v>
      </c>
      <c r="B2" s="57" t="s">
        <v>7243</v>
      </c>
      <c r="C2" s="57" t="s">
        <v>8904</v>
      </c>
      <c r="D2" s="58">
        <v>1</v>
      </c>
      <c r="E2" s="58" t="str">
        <f>CONCATENATE("E",C2)</f>
        <v>E1_1_1_1</v>
      </c>
      <c r="F2" s="58" t="s">
        <v>9896</v>
      </c>
      <c r="G2" s="58" t="s">
        <v>10159</v>
      </c>
      <c r="H2" s="58" t="s">
        <v>10424</v>
      </c>
      <c r="I2" s="58" t="s">
        <v>10708</v>
      </c>
      <c r="J2" s="58" t="str">
        <f>CONCATENATE("(${Variables:",E2,"_kcat","} * ",E2," * ",G2,")","/(${Variables:",E2,"_km","} + (",E2," * ",G2,"))")</f>
        <v>(${Variables:E1_1_1_1_kcat} * E1_1_1_1 * C00226 * C00003)/(${Variables:E1_1_1_1_km} + (E1_1_1_1 * C00226 * C00003))</v>
      </c>
      <c r="K2" s="59" t="str">
        <f>CONCATENATE("r",D2,": ",F2," -&gt; ",H2," | ",J2)</f>
        <v>r1: C00226 + C00003 -&gt; C00071 + C00004 + C00080 | (${Variables:E1_1_1_1_kcat} * E1_1_1_1 * C00226 * C00003)/(${Variables:E1_1_1_1_km} + (E1_1_1_1 * C00226 * C00003))</v>
      </c>
    </row>
    <row r="3" spans="1:14" ht="48">
      <c r="A3" s="57" t="s">
        <v>1762</v>
      </c>
      <c r="B3" s="57" t="s">
        <v>7243</v>
      </c>
      <c r="C3" s="57" t="s">
        <v>8905</v>
      </c>
      <c r="D3" s="58">
        <v>2</v>
      </c>
      <c r="E3" s="58" t="str">
        <f>CONCATENATE("E",C3)</f>
        <v>E1_2_1_10</v>
      </c>
      <c r="F3" s="58" t="s">
        <v>9897</v>
      </c>
      <c r="G3" s="58" t="s">
        <v>10160</v>
      </c>
      <c r="H3" s="58" t="s">
        <v>10425</v>
      </c>
      <c r="I3" s="58" t="s">
        <v>10709</v>
      </c>
      <c r="J3" s="58" t="str">
        <f>CONCATENATE("(${Variables:",E3,"_kcat","} * ",E3," * ",G3,")","/(${Variables:",E3,"_km","} + (",E3," * ",G3,"))")</f>
        <v>(${Variables:E1_2_1_10_kcat} * E1_2_1_10 * C00084 * C00010 * C00003)/(${Variables:E1_2_1_10_km} + (E1_2_1_10 * C00084 * C00010 * C00003))</v>
      </c>
      <c r="K3" s="59" t="str">
        <f>CONCATENATE("r",D3,": ",F3," -&gt; ",H3," | ",J3)</f>
        <v>r2: C00084 + C00010 + C00003 -&gt; C00024 + C00004 + C00080 | (${Variables:E1_2_1_10_kcat} * E1_2_1_10 * C00084 * C00010 * C00003)/(${Variables:E1_2_1_10_km} + (E1_2_1_10 * C00084 * C00010 * C00003))</v>
      </c>
      <c r="L3" s="60"/>
    </row>
    <row r="4" spans="1:14" ht="48">
      <c r="A4" s="57" t="s">
        <v>588</v>
      </c>
      <c r="B4" s="57" t="s">
        <v>3185</v>
      </c>
      <c r="C4" s="57" t="s">
        <v>8906</v>
      </c>
      <c r="D4" s="58">
        <v>3</v>
      </c>
      <c r="E4" s="58" t="str">
        <f>CONCATENATE("E",C4)</f>
        <v>E1_1_1_100</v>
      </c>
      <c r="F4" s="58" t="s">
        <v>9898</v>
      </c>
      <c r="G4" s="58" t="s">
        <v>10161</v>
      </c>
      <c r="H4" s="58" t="s">
        <v>10426</v>
      </c>
      <c r="I4" s="58" t="s">
        <v>10710</v>
      </c>
      <c r="J4" s="58" t="str">
        <f>CONCATENATE("(${Variables:",E4,"_kcat","} * ",E4," * ",G4,")","/(${Variables:",E4,"_km","} + (",E4," * ",G4,"))")</f>
        <v>(${Variables:E1_1_1_100_kcat} * E1_1_1_100 * C01271 * C00006)/(${Variables:E1_1_1_100_km} + (E1_1_1_100 * C01271 * C00006))</v>
      </c>
      <c r="K4" s="59" t="str">
        <f>CONCATENATE("r",D4,": ",F4," -&gt; ",H4," | ",J4)</f>
        <v>r3: C01271 + C00006 -&gt; C00685 + C00005 + C00080 | (${Variables:E1_1_1_100_kcat} * E1_1_1_100 * C01271 * C00006)/(${Variables:E1_1_1_100_km} + (E1_1_1_100 * C01271 * C00006))</v>
      </c>
    </row>
    <row r="5" spans="1:14" ht="48">
      <c r="A5" s="57" t="s">
        <v>200</v>
      </c>
      <c r="B5" s="57" t="s">
        <v>2330</v>
      </c>
      <c r="C5" s="57" t="s">
        <v>8907</v>
      </c>
      <c r="D5" s="58">
        <v>4</v>
      </c>
      <c r="E5" s="58" t="str">
        <f>CONCATENATE("E",C5)</f>
        <v>E1_1_1_169</v>
      </c>
      <c r="F5" s="58" t="s">
        <v>9899</v>
      </c>
      <c r="G5" s="58" t="s">
        <v>10162</v>
      </c>
      <c r="H5" s="58" t="s">
        <v>10427</v>
      </c>
      <c r="I5" s="58" t="s">
        <v>10711</v>
      </c>
      <c r="J5" s="58" t="str">
        <f>CONCATENATE("(${Variables:",E5,"_kcat","} * ",E5," * ",G5,")","/(${Variables:",E5,"_km","} + (",E5," * ",G5,"))")</f>
        <v>(${Variables:E1_1_1_169_kcat} * E1_1_1_169 * C0052 * C00006)/(${Variables:E1_1_1_169_km} + (E1_1_1_169 * C0052 * C00006))</v>
      </c>
      <c r="K5" s="59" t="str">
        <f>CONCATENATE("r",D5,": ",F5," -&gt; ",H5," | ",J5)</f>
        <v>r4: C0052 + C00006 -&gt; C0096 + C00005 + C00080 | (${Variables:E1_1_1_169_kcat} * E1_1_1_169 * C0052 * C00006)/(${Variables:E1_1_1_169_km} + (E1_1_1_169 * C0052 * C00006))</v>
      </c>
      <c r="L5" s="61"/>
    </row>
    <row r="6" spans="1:14" ht="48">
      <c r="A6" s="57" t="s">
        <v>200</v>
      </c>
      <c r="B6" s="57" t="s">
        <v>7593</v>
      </c>
      <c r="C6" s="57" t="s">
        <v>8908</v>
      </c>
      <c r="D6" s="58">
        <v>5</v>
      </c>
      <c r="E6" s="58" t="str">
        <f>CONCATENATE("E",C6)</f>
        <v>E1_1_1_205</v>
      </c>
      <c r="F6" s="58" t="s">
        <v>9900</v>
      </c>
      <c r="G6" s="58" t="s">
        <v>10163</v>
      </c>
      <c r="H6" s="58" t="s">
        <v>10428</v>
      </c>
      <c r="I6" s="58" t="s">
        <v>10712</v>
      </c>
      <c r="J6" s="58" t="str">
        <f>CONCATENATE("(${Variables:",E6,"_kcat","} * ",E6," * ",G6,")","/(${Variables:",E6,"_km","} + (",E6," * ",G6,"))")</f>
        <v>(${Variables:E1_1_1_205_kcat} * E1_1_1_205 * C00130 * C00003 * C00001)/(${Variables:E1_1_1_205_km} + (E1_1_1_205 * C00130 * C00003 * C00001))</v>
      </c>
      <c r="K6" s="59" t="str">
        <f>CONCATENATE("r",D6,": ",F6," -&gt; ",H6," | ",J6)</f>
        <v>r5: C00130 + C00003 + C00001 -&gt; C00655 + C00004 + C00080 | (${Variables:E1_1_1_205_kcat} * E1_1_1_205 * C00130 * C00003 * C00001)/(${Variables:E1_1_1_205_km} + (E1_1_1_205 * C00130 * C00003 * C00001))</v>
      </c>
    </row>
    <row r="7" spans="1:14" ht="48">
      <c r="A7" s="57" t="s">
        <v>897</v>
      </c>
      <c r="B7" s="57" t="s">
        <v>3893</v>
      </c>
      <c r="C7" s="57" t="s">
        <v>8909</v>
      </c>
      <c r="D7" s="58">
        <v>6</v>
      </c>
      <c r="E7" s="58" t="str">
        <f>CONCATENATE("E",C7)</f>
        <v>E1_1_1_25</v>
      </c>
      <c r="F7" s="58" t="s">
        <v>9901</v>
      </c>
      <c r="G7" s="58" t="s">
        <v>10164</v>
      </c>
      <c r="H7" s="58" t="s">
        <v>10429</v>
      </c>
      <c r="I7" s="58" t="s">
        <v>10713</v>
      </c>
      <c r="J7" s="58" t="str">
        <f>CONCATENATE("(${Variables:",E7,"_kcat","} * ",E7," * ",G7,")","/(${Variables:",E7,"_km","} + (",E7," * ",G7,"))")</f>
        <v>(${Variables:E1_1_1_25_kcat} * E1_1_1_25 * C00493 * C00006)/(${Variables:E1_1_1_25_km} + (E1_1_1_25 * C00493 * C00006))</v>
      </c>
      <c r="K7" s="59" t="str">
        <f>CONCATENATE("r",D7,": ",F7," -&gt; ",H7," | ",J7)</f>
        <v>r6: C00493 + C00006 -&gt; C02637 + C00005 + C00080 | (${Variables:E1_1_1_25_kcat} * E1_1_1_25 * C00493 * C00006)/(${Variables:E1_1_1_25_km} + (E1_1_1_25 * C00493 * C00006))</v>
      </c>
    </row>
    <row r="8" spans="1:14" ht="48">
      <c r="A8" s="57" t="s">
        <v>1666</v>
      </c>
      <c r="B8" s="57" t="s">
        <v>5552</v>
      </c>
      <c r="C8" s="57" t="s">
        <v>8910</v>
      </c>
      <c r="D8" s="58">
        <v>7</v>
      </c>
      <c r="E8" s="58" t="str">
        <f>CONCATENATE("E",C8)</f>
        <v>E1_1_1_27</v>
      </c>
      <c r="F8" s="58" t="s">
        <v>9902</v>
      </c>
      <c r="G8" s="58" t="s">
        <v>10165</v>
      </c>
      <c r="H8" s="58" t="s">
        <v>10430</v>
      </c>
      <c r="I8" s="58" t="s">
        <v>10714</v>
      </c>
      <c r="J8" s="58" t="str">
        <f>CONCATENATE("(${Variables:",E8,"_kcat","} * ",E8," * ",G8,")","/(${Variables:",E8,"_km","} + (",E8," * ",G8,"))")</f>
        <v>(${Variables:E1_1_1_27_kcat} * E1_1_1_27 * C00186 * C00003)/(${Variables:E1_1_1_27_km} + (E1_1_1_27 * C00186 * C00003))</v>
      </c>
      <c r="K8" s="59" t="str">
        <f>CONCATENATE("r",D8,": ",F8," -&gt; ",H8," | ",J8)</f>
        <v>r7: C00186 + C00003 -&gt; C00022 + C00004 + C00080 | (${Variables:E1_1_1_27_kcat} * E1_1_1_27 * C00186 * C00003)/(${Variables:E1_1_1_27_km} + (E1_1_1_27 * C00186 * C00003))</v>
      </c>
    </row>
    <row r="9" spans="1:14" ht="48">
      <c r="A9" s="57" t="s">
        <v>676</v>
      </c>
      <c r="B9" s="57" t="s">
        <v>3398</v>
      </c>
      <c r="C9" s="57" t="s">
        <v>8911</v>
      </c>
      <c r="D9" s="58">
        <v>8</v>
      </c>
      <c r="E9" s="58" t="str">
        <f>CONCATENATE("E",C9)</f>
        <v>E1_1_1_3</v>
      </c>
      <c r="F9" s="58" t="s">
        <v>9903</v>
      </c>
      <c r="G9" s="58" t="s">
        <v>10166</v>
      </c>
      <c r="H9" s="58" t="s">
        <v>10431</v>
      </c>
      <c r="I9" s="58" t="s">
        <v>10715</v>
      </c>
      <c r="J9" s="58" t="str">
        <f>CONCATENATE("(${Variables:",E9,"_kcat","} * ",E9," * ",G9,")","/(${Variables:",E9,"_km","} + (",E9," * ",G9,"))")</f>
        <v>(${Variables:E1_1_1_3_kcat} * E1_1_1_3 * C00263 * C00003)/(${Variables:E1_1_1_3_km} + (E1_1_1_3 * C00263 * C00003))</v>
      </c>
      <c r="K9" s="59" t="str">
        <f>CONCATENATE("r",D9,": ",F9," -&gt; ",H9," | ",J9)</f>
        <v>r8: C00263 + C00003 -&gt; C00441 + C00004 + C00080 | (${Variables:E1_1_1_3_kcat} * E1_1_1_3 * C00263 * C00003)/(${Variables:E1_1_1_3_km} + (E1_1_1_3 * C00263 * C00003))</v>
      </c>
    </row>
    <row r="10" spans="1:14" ht="48">
      <c r="A10" s="57" t="s">
        <v>1419</v>
      </c>
      <c r="B10" s="57" t="s">
        <v>4995</v>
      </c>
      <c r="C10" s="57" t="s">
        <v>8912</v>
      </c>
      <c r="D10" s="58">
        <v>9</v>
      </c>
      <c r="E10" s="58" t="str">
        <f>CONCATENATE("E",C10)</f>
        <v>E1_1_1_303</v>
      </c>
      <c r="F10" s="58" t="s">
        <v>9904</v>
      </c>
      <c r="G10" s="58" t="s">
        <v>10167</v>
      </c>
      <c r="H10" s="58" t="s">
        <v>9906</v>
      </c>
      <c r="I10" s="58" t="s">
        <v>10169</v>
      </c>
      <c r="J10" s="58" t="str">
        <f>CONCATENATE("(${Variables:",E10,"_kcat","} * ",E10," * ",G10,")","/(${Variables:",E10,"_km","} + (",E10," * ",G10,"))")</f>
        <v>(${Variables:E1_1_1_303_kcat} * E1_1_1_303 * C00810 * C00003)/(${Variables:E1_1_1_303_km} + (E1_1_1_303 * C00810 * C00003))</v>
      </c>
      <c r="K10" s="59" t="str">
        <f>CONCATENATE("r",D10,": ",F10," -&gt; ",H10," | ",J10)</f>
        <v>r9: C00810 + C00003 -&gt; C00741 + C00004 + C00080 | (${Variables:E1_1_1_303_kcat} * E1_1_1_303 * C00810 * C00003)/(${Variables:E1_1_1_303_km} + (E1_1_1_303 * C00810 * C00003))</v>
      </c>
    </row>
    <row r="11" spans="1:14" ht="48">
      <c r="A11" s="57" t="s">
        <v>1419</v>
      </c>
      <c r="B11" s="57" t="s">
        <v>4995</v>
      </c>
      <c r="C11" s="57" t="s">
        <v>8913</v>
      </c>
      <c r="D11" s="58">
        <v>10</v>
      </c>
      <c r="E11" s="58" t="str">
        <f>CONCATENATE("E",C11)</f>
        <v>E2_3_1_190</v>
      </c>
      <c r="F11" s="58" t="s">
        <v>9905</v>
      </c>
      <c r="G11" s="58" t="s">
        <v>10168</v>
      </c>
      <c r="H11" s="58" t="s">
        <v>10432</v>
      </c>
      <c r="I11" s="58" t="s">
        <v>10716</v>
      </c>
      <c r="J11" s="58" t="str">
        <f>CONCATENATE("(${Variables:",E11,"_kcat","} * ",E11," * ",G11,")","/(${Variables:",E11,"_km","} + (",E11," * ",G11,"))")</f>
        <v>(${Variables:E2_3_1_190_kcat} * E2_3_1_190 * C00466 * C00010 * C00003)/(${Variables:E2_3_1_190_km} + (E2_3_1_190 * C00466 * C00010 * C00003))</v>
      </c>
      <c r="K11" s="59" t="str">
        <f>CONCATENATE("r",D11,": ",F11," -&gt; ",H11," | ",J11)</f>
        <v>r10: C00466 + C00010 + C00003 -&gt; C00084 + C00024 + C00004 + C00080 | (${Variables:E2_3_1_190_kcat} * E2_3_1_190 * C00466 * C00010 * C00003)/(${Variables:E2_3_1_190_km} + (E2_3_1_190 * C00466 * C00010 * C00003))</v>
      </c>
      <c r="L11" s="61"/>
    </row>
    <row r="12" spans="1:14" ht="48">
      <c r="A12" s="57" t="s">
        <v>1420</v>
      </c>
      <c r="B12" s="57" t="s">
        <v>4999</v>
      </c>
      <c r="C12" s="57" t="s">
        <v>8914</v>
      </c>
      <c r="D12" s="58">
        <v>11</v>
      </c>
      <c r="E12" s="58" t="str">
        <f>CONCATENATE("E",C12)</f>
        <v>E1_1_1_304</v>
      </c>
      <c r="F12" s="58" t="s">
        <v>9906</v>
      </c>
      <c r="G12" s="58" t="s">
        <v>10169</v>
      </c>
      <c r="H12" s="58" t="s">
        <v>10433</v>
      </c>
      <c r="I12" s="58" t="s">
        <v>10717</v>
      </c>
      <c r="J12" s="58" t="str">
        <f>CONCATENATE("(${Variables:",E12,"_kcat","} * ",E12," * ",G12,")","/(${Variables:",E12,"_km","} + (",E12," * ",G12,"))")</f>
        <v>(${Variables:E1_1_1_304_kcat} * E1_1_1_304 * C00741 * C00004 * C00080)/(${Variables:E1_1_1_304_km} + (E1_1_1_304 * C00741 * C00004 * C00080))</v>
      </c>
      <c r="K12" s="59" t="str">
        <f>CONCATENATE("r",D12,": ",F12," -&gt; ",H12," | ",J12)</f>
        <v>r11: C00741 + C00004 + C00080 -&gt; C01769  + C00003 | (${Variables:E1_1_1_304_kcat} * E1_1_1_304 * C00741 * C00004 * C00080)/(${Variables:E1_1_1_304_km} + (E1_1_1_304 * C00741 * C00004 * C00080))</v>
      </c>
    </row>
    <row r="13" spans="1:14" ht="48">
      <c r="A13" s="57" t="s">
        <v>1420</v>
      </c>
      <c r="B13" s="57" t="s">
        <v>4999</v>
      </c>
      <c r="C13" s="57" t="s">
        <v>8915</v>
      </c>
      <c r="D13" s="58">
        <v>12</v>
      </c>
      <c r="E13" s="58" t="str">
        <f>CONCATENATE("E",C13)</f>
        <v>E2_3_1_191</v>
      </c>
      <c r="F13" s="58" t="s">
        <v>9907</v>
      </c>
      <c r="G13" s="58" t="s">
        <v>10170</v>
      </c>
      <c r="H13" s="58" t="s">
        <v>10434</v>
      </c>
      <c r="I13" s="58" t="s">
        <v>10718</v>
      </c>
      <c r="J13" s="58" t="str">
        <f>CONCATENATE("(${Variables:",E13,"_kcat","} * ",E13," * ",G13,")","/(${Variables:",E13,"_km","} + (",E13," * ",G13,"))")</f>
        <v>(${Variables:E2_3_1_191_kcat} * E2_3_1_191 * C01271 * C22409 )/(${Variables:E2_3_1_191_km} + (E2_3_1_191 * C01271 * C22409 ))</v>
      </c>
      <c r="K13" s="59" t="str">
        <f>CONCATENATE("r",D13,": ",F13," -&gt; ",H13," | ",J13)</f>
        <v>r12: C01271 + C22409  -&gt; C22410 + C00229 | (${Variables:E2_3_1_191_kcat} * E2_3_1_191 * C01271 * C22409 )/(${Variables:E2_3_1_191_km} + (E2_3_1_191 * C01271 * C22409 ))</v>
      </c>
      <c r="L13" s="61"/>
    </row>
    <row r="14" spans="1:14" ht="48">
      <c r="A14" s="57" t="s">
        <v>1647</v>
      </c>
      <c r="B14" s="57" t="s">
        <v>5511</v>
      </c>
      <c r="C14" s="57" t="s">
        <v>8916</v>
      </c>
      <c r="D14" s="58">
        <v>13</v>
      </c>
      <c r="E14" s="58" t="str">
        <f>CONCATENATE("E",C14)</f>
        <v>E1_1_1_42</v>
      </c>
      <c r="F14" s="58" t="s">
        <v>9908</v>
      </c>
      <c r="G14" s="58" t="s">
        <v>10171</v>
      </c>
      <c r="H14" s="58" t="s">
        <v>10435</v>
      </c>
      <c r="I14" s="58" t="s">
        <v>10719</v>
      </c>
      <c r="J14" s="58" t="str">
        <f>CONCATENATE("(${Variables:",E14,"_kcat","} * ",E14," * ",G14,")","/(${Variables:",E14,"_km","} + (",E14," * ",G14,"))")</f>
        <v>(${Variables:E1_1_1_42_kcat} * E1_1_1_42 * C00311 * C00006 )/(${Variables:E1_1_1_42_km} + (E1_1_1_42 * C00311 * C00006 ))</v>
      </c>
      <c r="K14" s="59" t="str">
        <f>CONCATENATE("r",D14,": ",F14," -&gt; ",H14," | ",J14)</f>
        <v>r13: C00311 + C00006  -&gt; C00026 + C00011 + C00005 + C00080 | (${Variables:E1_1_1_42_kcat} * E1_1_1_42 * C00311 * C00006 )/(${Variables:E1_1_1_42_km} + (E1_1_1_42 * C00311 * C00006 ))</v>
      </c>
    </row>
    <row r="15" spans="1:14" ht="32">
      <c r="A15" s="57" t="s">
        <v>1572</v>
      </c>
      <c r="B15" s="57" t="s">
        <v>5327</v>
      </c>
      <c r="C15" s="57" t="s">
        <v>8917</v>
      </c>
      <c r="D15" s="58">
        <v>14</v>
      </c>
      <c r="E15" s="58" t="str">
        <f>CONCATENATE("E",C15)</f>
        <v>E1_1_1_85</v>
      </c>
      <c r="F15" s="58" t="s">
        <v>9909</v>
      </c>
      <c r="G15" s="58" t="s">
        <v>10172</v>
      </c>
      <c r="H15" s="58" t="s">
        <v>8107</v>
      </c>
      <c r="I15" s="58" t="s">
        <v>8107</v>
      </c>
      <c r="J15" s="58" t="str">
        <f>CONCATENATE("(${Variables:",E15,"_kcat","} * ",E15," * ",G15,")","/(${Variables:",E15,"_km","} + (",E15," * ",G15,"))")</f>
        <v>(${Variables:E1_1_1_85_kcat} * E1_1_1_85 * C00233 * C00011)/(${Variables:E1_1_1_85_km} + (E1_1_1_85 * C00233 * C00011))</v>
      </c>
      <c r="K15" s="59" t="str">
        <f>CONCATENATE("r",D15,": ",F15," -&gt; ",H15," | ",J15)</f>
        <v>r14: C00233 + C00011 -&gt; C04236 | (${Variables:E1_1_1_85_kcat} * E1_1_1_85 * C00233 * C00011)/(${Variables:E1_1_1_85_km} + (E1_1_1_85 * C00233 * C00011))</v>
      </c>
      <c r="L15" s="61"/>
    </row>
    <row r="16" spans="1:14" ht="48">
      <c r="A16" s="57" t="s">
        <v>1572</v>
      </c>
      <c r="B16" s="57" t="s">
        <v>7210</v>
      </c>
      <c r="C16" s="57" t="s">
        <v>8918</v>
      </c>
      <c r="D16" s="58">
        <v>15</v>
      </c>
      <c r="E16" s="58" t="str">
        <f>CONCATENATE("E",C16)</f>
        <v>E1_1_1_86</v>
      </c>
      <c r="F16" s="58" t="s">
        <v>9910</v>
      </c>
      <c r="G16" s="58" t="s">
        <v>10173</v>
      </c>
      <c r="H16" s="58" t="s">
        <v>10436</v>
      </c>
      <c r="I16" s="58" t="s">
        <v>10720</v>
      </c>
      <c r="J16" s="58" t="str">
        <f>CONCATENATE("(${Variables:",E16,"_kcat","} * ",E16," * ",G16,")","/(${Variables:",E16,"_km","} + (",E16," * ",G16,"))")</f>
        <v>(${Variables:E1_1_1_86_kcat} * E1_1_1_86 * C04272 * C00006 )/(${Variables:E1_1_1_86_km} + (E1_1_1_86 * C04272 * C00006 ))</v>
      </c>
      <c r="K16" s="59" t="str">
        <f>CONCATENATE("r",D16,": ",F16," -&gt; ",H16," | ",J16)</f>
        <v>r15: C04272 + C00006  -&gt; C06010 + C00005 + C00080 | (${Variables:E1_1_1_86_kcat} * E1_1_1_86 * C04272 * C00006 )/(${Variables:E1_1_1_86_km} + (E1_1_1_86 * C04272 * C00006 ))</v>
      </c>
    </row>
    <row r="17" spans="1:12" ht="48">
      <c r="A17" s="57" t="s">
        <v>812</v>
      </c>
      <c r="B17" s="57" t="s">
        <v>3698</v>
      </c>
      <c r="C17" s="57" t="s">
        <v>8919</v>
      </c>
      <c r="D17" s="58">
        <v>16</v>
      </c>
      <c r="E17" s="58" t="str">
        <f>CONCATENATE("E",C17)</f>
        <v>E1_1_1_88</v>
      </c>
      <c r="F17" s="58" t="s">
        <v>11006</v>
      </c>
      <c r="G17" s="58" t="s">
        <v>11007</v>
      </c>
      <c r="H17" s="58" t="s">
        <v>11008</v>
      </c>
      <c r="I17" s="58" t="s">
        <v>11009</v>
      </c>
      <c r="J17" s="58" t="str">
        <f>CONCATENATE("(${Variables:",E17,"_kcat","} * ",E17," * ",G17,")","/(${Variables:",E17,"_km","} + (",E17," * ",G17,"))")</f>
        <v>(${Variables:E1_1_1_88_kcat} * E1_1_1_88 * C00418 * C00010 *  C00003)/(${Variables:E1_1_1_88_km} + (E1_1_1_88 * C00418 * C00010 *  C00003))</v>
      </c>
      <c r="K17" s="59" t="str">
        <f>CONCATENATE("r",D17,": ",F17," -&gt; ",H17," | ",J17)</f>
        <v>r16: C00418 + C00010 +  C00003 -&gt; C00356 + C00004 + C00080 | (${Variables:E1_1_1_88_kcat} * E1_1_1_88 * C00418 * C00010 *  C00003)/(${Variables:E1_1_1_88_km} + (E1_1_1_88 * C00418 * C00010 *  C00003))</v>
      </c>
      <c r="L17" s="61"/>
    </row>
    <row r="18" spans="1:12" ht="48">
      <c r="A18" s="57" t="s">
        <v>225</v>
      </c>
      <c r="B18" s="57" t="s">
        <v>2382</v>
      </c>
      <c r="C18" s="57" t="s">
        <v>8920</v>
      </c>
      <c r="D18" s="58">
        <v>17</v>
      </c>
      <c r="E18" s="58" t="str">
        <f>CONCATENATE("E",C18)</f>
        <v>E1_1_1_94</v>
      </c>
      <c r="F18" s="58" t="s">
        <v>9911</v>
      </c>
      <c r="G18" s="58" t="s">
        <v>10174</v>
      </c>
      <c r="H18" s="58" t="s">
        <v>10437</v>
      </c>
      <c r="I18" s="58" t="s">
        <v>10721</v>
      </c>
      <c r="J18" s="58" t="str">
        <f>CONCATENATE("(${Variables:",E18,"_kcat","} * ",E18," * ",G18,")","/(${Variables:",E18,"_km","} + (",E18," * ",G18,"))")</f>
        <v>(${Variables:E1_1_1_94_kcat} * E1_1_1_94 * C00093 * C00003 )/(${Variables:E1_1_1_94_km} + (E1_1_1_94 * C00093 * C00003 ))</v>
      </c>
      <c r="K18" s="59" t="str">
        <f>CONCATENATE("r",D18,": ",F18," -&gt; ",H18," | ",J18)</f>
        <v>r17: C00093 + C00003  -&gt; C00111 + C00004 + C00080 | (${Variables:E1_1_1_94_kcat} * E1_1_1_94 * C00093 * C00003 )/(${Variables:E1_1_1_94_km} + (E1_1_1_94 * C00093 * C00003 ))</v>
      </c>
      <c r="L18" s="61"/>
    </row>
    <row r="19" spans="1:12" ht="48">
      <c r="A19" s="57" t="s">
        <v>1986</v>
      </c>
      <c r="B19" s="57" t="s">
        <v>6187</v>
      </c>
      <c r="C19" s="57" t="s">
        <v>8921</v>
      </c>
      <c r="D19" s="58">
        <v>18</v>
      </c>
      <c r="E19" s="58" t="str">
        <f>CONCATENATE("E",C19)</f>
        <v>E1_1_1_95</v>
      </c>
      <c r="F19" s="58" t="s">
        <v>9912</v>
      </c>
      <c r="G19" s="58" t="s">
        <v>10175</v>
      </c>
      <c r="H19" s="58" t="s">
        <v>10438</v>
      </c>
      <c r="I19" s="58" t="s">
        <v>10722</v>
      </c>
      <c r="J19" s="58" t="str">
        <f>CONCATENATE("(${Variables:",E19,"_kcat","} * ",E19," * ",G19,")","/(${Variables:",E19,"_km","} + (",E19," * ",G19,"))")</f>
        <v>(${Variables:E1_1_1_95_kcat} * E1_1_1_95 * C00197 * C00003)/(${Variables:E1_1_1_95_km} + (E1_1_1_95 * C00197 * C00003))</v>
      </c>
      <c r="K19" s="59" t="str">
        <f>CONCATENATE("r",D19,": ",F19," -&gt; ",H19," | ",J19)</f>
        <v>r18: C00197 + C00003 -&gt; C03232 + C00004 + C00080 | (${Variables:E1_1_1_95_kcat} * E1_1_1_95 * C00197 * C00003)/(${Variables:E1_1_1_95_km} + (E1_1_1_95 * C00197 * C00003))</v>
      </c>
      <c r="L19" s="61"/>
    </row>
    <row r="20" spans="1:12" ht="48">
      <c r="A20" s="57" t="s">
        <v>992</v>
      </c>
      <c r="B20" s="57" t="s">
        <v>4108</v>
      </c>
      <c r="C20" s="57" t="s">
        <v>8923</v>
      </c>
      <c r="D20" s="58">
        <v>19</v>
      </c>
      <c r="E20" s="58" t="str">
        <f>CONCATENATE("E",C20)</f>
        <v>E1_15_1_1</v>
      </c>
      <c r="F20" s="58" t="s">
        <v>11010</v>
      </c>
      <c r="G20" s="58" t="s">
        <v>11011</v>
      </c>
      <c r="H20" s="58" t="s">
        <v>10439</v>
      </c>
      <c r="I20" s="58" t="s">
        <v>10723</v>
      </c>
      <c r="J20" s="58" t="str">
        <f>CONCATENATE("(${Variables:",E20,"_kcat","} * ",E20," * ",G20,")","/(${Variables:",E20,"_km","} + (",E20," * ",G20,"))")</f>
        <v>(${Variables:E1_15_1_1_kcat} * E1_15_1_1 * C00704 * C00080)/(${Variables:E1_15_1_1_km} + (E1_15_1_1 * C00704 * C00080))</v>
      </c>
      <c r="K20" s="59" t="str">
        <f>CONCATENATE("r",D20,": ",F20," -&gt; ",H20," | ",J20)</f>
        <v>r19: C00704 + C00080 -&gt; C00027 + C00007 | (${Variables:E1_15_1_1_kcat} * E1_15_1_1 * C00704 * C00080)/(${Variables:E1_15_1_1_km} + (E1_15_1_1 * C00704 * C00080))</v>
      </c>
      <c r="L20" s="61"/>
    </row>
    <row r="21" spans="1:12" ht="48">
      <c r="A21" s="57" t="s">
        <v>623</v>
      </c>
      <c r="B21" s="57" t="s">
        <v>3272</v>
      </c>
      <c r="C21" s="57" t="s">
        <v>8924</v>
      </c>
      <c r="D21" s="58">
        <v>20</v>
      </c>
      <c r="E21" s="58" t="str">
        <f>CONCATENATE("E",C21)</f>
        <v>E1_17_1_8</v>
      </c>
      <c r="F21" s="58" t="s">
        <v>9913</v>
      </c>
      <c r="G21" s="58" t="s">
        <v>10176</v>
      </c>
      <c r="H21" s="58" t="s">
        <v>10440</v>
      </c>
      <c r="I21" s="58" t="s">
        <v>10724</v>
      </c>
      <c r="J21" s="58" t="str">
        <f>CONCATENATE("(${Variables:",E21,"_kcat","} * ",E21," * ",G21,")","/(${Variables:",E21,"_km","} + (",E21," * ",G21,"))")</f>
        <v>(${Variables:E1_17_1_8_kcat} * E1_17_1_8 * C03972 * C00003 * C00001)/(${Variables:E1_17_1_8_km} + (E1_17_1_8 * C03972 * C00003 * C00001))</v>
      </c>
      <c r="K21" s="59" t="str">
        <f>CONCATENATE("r",D21,": ",F21," -&gt; ",H21," | ",J21)</f>
        <v>r20: C03972 + C00003 + C00001 -&gt; C20258 + C00004 + C00080 | (${Variables:E1_17_1_8_kcat} * E1_17_1_8 * C03972 * C00003 * C00001)/(${Variables:E1_17_1_8_km} + (E1_17_1_8 * C03972 * C00003 * C00001))</v>
      </c>
    </row>
    <row r="22" spans="1:12" ht="48">
      <c r="A22" s="57" t="s">
        <v>1653</v>
      </c>
      <c r="B22" s="57" t="s">
        <v>5525</v>
      </c>
      <c r="C22" s="57" t="s">
        <v>8925</v>
      </c>
      <c r="D22" s="58">
        <v>21</v>
      </c>
      <c r="E22" s="58" t="str">
        <f>CONCATENATE("E",C22)</f>
        <v>E1_17_4_1</v>
      </c>
      <c r="F22" s="58" t="s">
        <v>9914</v>
      </c>
      <c r="G22" s="58" t="s">
        <v>10177</v>
      </c>
      <c r="H22" s="58" t="s">
        <v>10441</v>
      </c>
      <c r="I22" s="58" t="s">
        <v>10725</v>
      </c>
      <c r="J22" s="58" t="str">
        <f>CONCATENATE("(${Variables:",E22,"_kcat","} * ",E22," * ",G22,")","/(${Variables:",E22,"_km","} + (",E22," * ",G22,"))")</f>
        <v>(${Variables:E1_17_4_1_kcat} * E1_17_4_1 * C04232 * C00343 * C00001)/(${Variables:E1_17_4_1_km} + (E1_17_4_1 * C04232 * C00343 * C00001))</v>
      </c>
      <c r="K22" s="59" t="str">
        <f>CONCATENATE("r",D22,": ",F22," -&gt; ",H22," | ",J22)</f>
        <v>r21: C04232 + C00343 + C00001 -&gt; C03723 + C00342 | (${Variables:E1_17_4_1_kcat} * E1_17_4_1 * C04232 * C00343 * C00001)/(${Variables:E1_17_4_1_km} + (E1_17_4_1 * C04232 * C00343 * C00001))</v>
      </c>
    </row>
    <row r="23" spans="1:12" ht="48">
      <c r="A23" s="57" t="s">
        <v>1654</v>
      </c>
      <c r="B23" s="57" t="s">
        <v>5528</v>
      </c>
      <c r="C23" s="57" t="s">
        <v>8926</v>
      </c>
      <c r="D23" s="58">
        <v>22</v>
      </c>
      <c r="E23" s="58" t="str">
        <f>CONCATENATE("E",C23)</f>
        <v>E1_17_4_2</v>
      </c>
      <c r="F23" s="58" t="s">
        <v>9915</v>
      </c>
      <c r="G23" s="58" t="s">
        <v>10178</v>
      </c>
      <c r="H23" s="58" t="s">
        <v>10442</v>
      </c>
      <c r="I23" s="58" t="s">
        <v>10726</v>
      </c>
      <c r="J23" s="58" t="str">
        <f>CONCATENATE("(${Variables:",E23,"_kcat","} * ",E23," * ",G23,")","/(${Variables:",E23,"_km","} + (",E23," * ",G23,"))")</f>
        <v>(${Variables:E1_17_4_2_kcat} * E1_17_4_2 * C00677 * C00343 * C00001)/(${Variables:E1_17_4_2_km} + (E1_17_4_2 * C00677 * C00343 * C00001))</v>
      </c>
      <c r="K23" s="59" t="str">
        <f>CONCATENATE("r",D23,": ",F23," -&gt; ",H23," | ",J23)</f>
        <v>r22: C00677 + C00343 + C00001 -&gt; C03802 + C00342 | (${Variables:E1_17_4_2_kcat} * E1_17_4_2 * C00677 * C00343 * C00001)/(${Variables:E1_17_4_2_km} + (E1_17_4_2 * C00677 * C00343 * C00001))</v>
      </c>
    </row>
    <row r="24" spans="1:12" ht="48">
      <c r="A24" s="57" t="s">
        <v>1494</v>
      </c>
      <c r="B24" s="57" t="s">
        <v>5169</v>
      </c>
      <c r="C24" s="57" t="s">
        <v>8927</v>
      </c>
      <c r="D24" s="58">
        <v>23</v>
      </c>
      <c r="E24" s="58" t="str">
        <f>CONCATENATE("E",C24)</f>
        <v>E1_17_99_6</v>
      </c>
      <c r="F24" s="58" t="s">
        <v>9916</v>
      </c>
      <c r="G24" s="58" t="s">
        <v>10179</v>
      </c>
      <c r="H24" s="58" t="s">
        <v>10443</v>
      </c>
      <c r="I24" s="58" t="s">
        <v>10727</v>
      </c>
      <c r="J24" s="58" t="str">
        <f>CONCATENATE("(${Variables:",E24,"_kcat","} * ",E24," * ",G24,")","/(${Variables:",E24,"_km","} + (",E24," * ",G24,"))")</f>
        <v>(${Variables:E1_17_99_6_kcat} * E1_17_99_6 * C01978 *C00028 * C00001)/(${Variables:E1_17_99_6_km} + (E1_17_99_6 * C01978 *C00028 * C00001))</v>
      </c>
      <c r="K24" s="59" t="str">
        <f>CONCATENATE("r",D24,": ",F24," -&gt; ",H24," | ",J24)</f>
        <v>r23: C01978 +C00028 + C00001 -&gt; C19647 + C00030 | (${Variables:E1_17_99_6_kcat} * E1_17_99_6 * C01978 *C00028 * C00001)/(${Variables:E1_17_99_6_km} + (E1_17_99_6 * C01978 *C00028 * C00001))</v>
      </c>
    </row>
    <row r="25" spans="1:12" ht="48">
      <c r="A25" s="57" t="s">
        <v>1345</v>
      </c>
      <c r="B25" s="57" t="s">
        <v>5899</v>
      </c>
      <c r="C25" s="57" t="s">
        <v>8928</v>
      </c>
      <c r="D25" s="58">
        <v>24</v>
      </c>
      <c r="E25" s="58" t="str">
        <f>CONCATENATE("E",C25)</f>
        <v>E1_18_1_2</v>
      </c>
      <c r="F25" s="58" t="s">
        <v>10992</v>
      </c>
      <c r="G25" s="58" t="s">
        <v>10993</v>
      </c>
      <c r="H25" s="58" t="s">
        <v>10994</v>
      </c>
      <c r="I25" s="58" t="s">
        <v>10995</v>
      </c>
      <c r="J25" s="58" t="str">
        <f>CONCATENATE("(${Variables:",E25,"_kcat","} * ",E25," * ",G25,")","/(${Variables:",E25,"_km","} + (",E25," * ",G25,"))")</f>
        <v>(${Variables:E1_18_1_2_kcat} * E1_18_1_2 *  C00138 * C00006 * C00080)/(${Variables:E1_18_1_2_km} + (E1_18_1_2 *  C00138 * C00006 * C00080))</v>
      </c>
      <c r="K25" s="59" t="str">
        <f>CONCATENATE("r",D25,": ",F25," -&gt; ",H25," | ",J25)</f>
        <v>r24: C00138 + C00006 + C00080 -&gt; C00139 + C00005 | (${Variables:E1_18_1_2_kcat} * E1_18_1_2 *  C00138 * C00006 * C00080)/(${Variables:E1_18_1_2_km} + (E1_18_1_2 *  C00138 * C00006 * C00080))</v>
      </c>
    </row>
    <row r="26" spans="1:12" ht="48">
      <c r="A26" s="57" t="s">
        <v>1684</v>
      </c>
      <c r="B26" s="57" t="s">
        <v>5599</v>
      </c>
      <c r="C26" s="57" t="s">
        <v>8929</v>
      </c>
      <c r="D26" s="58">
        <v>25</v>
      </c>
      <c r="E26" s="58" t="str">
        <f>CONCATENATE("E",C26)</f>
        <v>E1_2_1_11</v>
      </c>
      <c r="F26" s="58" t="s">
        <v>9917</v>
      </c>
      <c r="G26" s="58" t="s">
        <v>10180</v>
      </c>
      <c r="H26" s="58" t="s">
        <v>10444</v>
      </c>
      <c r="I26" s="58" t="s">
        <v>10728</v>
      </c>
      <c r="J26" s="58" t="str">
        <f>CONCATENATE("(${Variables:",E26,"_kcat","} * ",E26," * ",G26,")","/(${Variables:",E26,"_km","} + (",E26," * ",G26,"))")</f>
        <v>(${Variables:E1_2_1_11_kcat} * E1_2_1_11 * C00441 * C00009 * C00006)/(${Variables:E1_2_1_11_km} + (E1_2_1_11 * C00441 * C00009 * C00006))</v>
      </c>
      <c r="K26" s="59" t="str">
        <f>CONCATENATE("r",D26,": ",F26," -&gt; ",H26," | ",J26)</f>
        <v>r25: C00441 + C00009 + C00006 -&gt; C03082 + C00005 + C00080 | (${Variables:E1_2_1_11_kcat} * E1_2_1_11 * C00441 * C00009 * C00006)/(${Variables:E1_2_1_11_km} + (E1_2_1_11 * C00441 * C00009 * C00006))</v>
      </c>
    </row>
    <row r="27" spans="1:12" ht="48">
      <c r="A27" s="57" t="s">
        <v>1684</v>
      </c>
      <c r="B27" s="57" t="s">
        <v>6959</v>
      </c>
      <c r="C27" s="57" t="s">
        <v>8930</v>
      </c>
      <c r="D27" s="58">
        <v>26</v>
      </c>
      <c r="E27" s="58" t="str">
        <f>CONCATENATE("E",C27)</f>
        <v>E1_2_1_12</v>
      </c>
      <c r="F27" s="58" t="s">
        <v>9918</v>
      </c>
      <c r="G27" s="58" t="s">
        <v>10181</v>
      </c>
      <c r="H27" s="58" t="s">
        <v>10445</v>
      </c>
      <c r="I27" s="58" t="s">
        <v>10729</v>
      </c>
      <c r="J27" s="58" t="str">
        <f>CONCATENATE("(${Variables:",E27,"_kcat","} * ",E27," * ",G27,")","/(${Variables:",E27,"_km","} + (",E27," * ",G27,"))")</f>
        <v>(${Variables:E1_2_1_12_kcat} * E1_2_1_12 * C00118 * C00009 * C00003)/(${Variables:E1_2_1_12_km} + (E1_2_1_12 * C00118 * C00009 * C00003))</v>
      </c>
      <c r="K27" s="59" t="str">
        <f>CONCATENATE("r",D27,": ",F27," -&gt; ",H27," | ",J27)</f>
        <v>r26: C00118 + C00009 + C00003 -&gt; C00236 + C00004 + C00080 | (${Variables:E1_2_1_12_kcat} * E1_2_1_12 * C00118 * C00009 * C00003)/(${Variables:E1_2_1_12_km} + (E1_2_1_12 * C00118 * C00009 * C00003))</v>
      </c>
    </row>
    <row r="28" spans="1:12" ht="48">
      <c r="A28" s="57" t="s">
        <v>671</v>
      </c>
      <c r="B28" s="57" t="s">
        <v>3381</v>
      </c>
      <c r="C28" s="57" t="s">
        <v>8931</v>
      </c>
      <c r="D28" s="58">
        <v>27</v>
      </c>
      <c r="E28" s="58" t="str">
        <f>CONCATENATE("E",C28)</f>
        <v>E1_2_1_38</v>
      </c>
      <c r="F28" s="58" t="s">
        <v>9919</v>
      </c>
      <c r="G28" s="58" t="s">
        <v>10182</v>
      </c>
      <c r="H28" s="58" t="s">
        <v>10446</v>
      </c>
      <c r="I28" s="58" t="s">
        <v>10730</v>
      </c>
      <c r="J28" s="58" t="str">
        <f>CONCATENATE("(${Variables:",E28,"_kcat","} * ",E28," * ",G28,")","/(${Variables:",E28,"_km","} + (",E28," * ",G28,"))")</f>
        <v>(${Variables:E1_2_1_38_kcat} * E1_2_1_38 * C01250 * C00009 * C00006)/(${Variables:E1_2_1_38_km} + (E1_2_1_38 * C01250 * C00009 * C00006))</v>
      </c>
      <c r="K28" s="59" t="str">
        <f>CONCATENATE("r",D28,": ",F28," -&gt; ",H28," | ",J28)</f>
        <v>r27: C01250 + C00009 + C00006 -&gt; C04133 + C00005 + C00080 | (${Variables:E1_2_1_38_kcat} * E1_2_1_38 * C01250 * C00009 * C00006)/(${Variables:E1_2_1_38_km} + (E1_2_1_38 * C01250 * C00009 * C00006))</v>
      </c>
    </row>
    <row r="29" spans="1:12" ht="48">
      <c r="A29" s="57" t="s">
        <v>671</v>
      </c>
      <c r="B29" s="57" t="s">
        <v>6743</v>
      </c>
      <c r="C29" s="57" t="s">
        <v>8932</v>
      </c>
      <c r="D29" s="58">
        <v>28</v>
      </c>
      <c r="E29" s="58" t="str">
        <f>CONCATENATE("E",C29)</f>
        <v>E1_2_1_41</v>
      </c>
      <c r="F29" s="58" t="s">
        <v>9920</v>
      </c>
      <c r="G29" s="58" t="s">
        <v>10183</v>
      </c>
      <c r="H29" s="58" t="s">
        <v>10447</v>
      </c>
      <c r="I29" s="58" t="s">
        <v>10731</v>
      </c>
      <c r="J29" s="58" t="str">
        <f>CONCATENATE("(${Variables:",E29,"_kcat","} * ",E29," * ",G29,")","/(${Variables:",E29,"_km","} + (",E29," * ",G29,"))")</f>
        <v>(${Variables:E1_2_1_41_kcat} * E1_2_1_41 * C01165 * C00009 * C00006)/(${Variables:E1_2_1_41_km} + (E1_2_1_41 * C01165 * C00009 * C00006))</v>
      </c>
      <c r="K29" s="59" t="str">
        <f>CONCATENATE("r",D29,": ",F29," -&gt; ",H29," | ",J29)</f>
        <v>r28: C01165 + C00009 + C00006 -&gt; C03287 + C00005 + C0080 | (${Variables:E1_2_1_41_kcat} * E1_2_1_41 * C01165 * C00009 * C00006)/(${Variables:E1_2_1_41_km} + (E1_2_1_41 * C01165 * C00009 * C00006))</v>
      </c>
    </row>
    <row r="30" spans="1:12" ht="48">
      <c r="A30" s="57" t="s">
        <v>1644</v>
      </c>
      <c r="B30" s="57" t="s">
        <v>5500</v>
      </c>
      <c r="C30" s="57" t="s">
        <v>8933</v>
      </c>
      <c r="D30" s="58">
        <v>29</v>
      </c>
      <c r="E30" s="58" t="str">
        <f>CONCATENATE("E",C30)</f>
        <v>E1_2_1_9</v>
      </c>
      <c r="F30" s="58" t="s">
        <v>9921</v>
      </c>
      <c r="G30" s="58" t="s">
        <v>10184</v>
      </c>
      <c r="H30" s="58" t="s">
        <v>10448</v>
      </c>
      <c r="I30" s="58" t="s">
        <v>10732</v>
      </c>
      <c r="J30" s="58" t="str">
        <f>CONCATENATE("(${Variables:",E30,"_kcat","} * ",E30," * ",G30,")","/(${Variables:",E30,"_km","} + (",E30," * ",G30,"))")</f>
        <v>(${Variables:E1_2_1_9_kcat} * E1_2_1_9 * C00118 * C00006 * C00001)/(${Variables:E1_2_1_9_km} + (E1_2_1_9 * C00118 * C00006 * C00001))</v>
      </c>
      <c r="K30" s="59" t="str">
        <f>CONCATENATE("r",D30,": ",F30," -&gt; ",H30," | ",J30)</f>
        <v>r29: C00118 + C00006 + C00001 -&gt; C00197 + C00005 + C00080 | (${Variables:E1_2_1_9_kcat} * E1_2_1_9 * C00118 * C00006 * C00001)/(${Variables:E1_2_1_9_km} + (E1_2_1_9 * C00118 * C00006 * C00001))</v>
      </c>
    </row>
    <row r="31" spans="1:12" ht="48">
      <c r="A31" s="57" t="s">
        <v>902</v>
      </c>
      <c r="B31" s="57" t="s">
        <v>3901</v>
      </c>
      <c r="C31" s="57" t="s">
        <v>8934</v>
      </c>
      <c r="D31" s="58">
        <v>30</v>
      </c>
      <c r="E31" s="58" t="str">
        <f>CONCATENATE("E",C31)</f>
        <v>E1_3_1_12</v>
      </c>
      <c r="F31" s="58" t="s">
        <v>9922</v>
      </c>
      <c r="G31" s="58" t="s">
        <v>10185</v>
      </c>
      <c r="H31" s="58" t="s">
        <v>10449</v>
      </c>
      <c r="I31" s="58" t="s">
        <v>10733</v>
      </c>
      <c r="J31" s="58" t="str">
        <f>CONCATENATE("(${Variables:",E31,"_kcat","} * ",E31," * ",G31,")","/(${Variables:",E31,"_km","} + (",E31," * ",G31,"))")</f>
        <v>(${Variables:E1_3_1_12_kcat} * E1_3_1_12 * C00254 * C00003 )/(${Variables:E1_3_1_12_km} + (E1_3_1_12 * C00254 * C00003 ))</v>
      </c>
      <c r="K31" s="59" t="str">
        <f>CONCATENATE("r",D31,": ",F31," -&gt; ",H31," | ",J31)</f>
        <v>r30: C00254 + C00003  -&gt; C01179 + C00011 + C00004 + C00080 | (${Variables:E1_3_1_12_kcat} * E1_3_1_12 * C00254 * C00003 )/(${Variables:E1_3_1_12_km} + (E1_3_1_12 * C00254 * C00003 ))</v>
      </c>
    </row>
    <row r="32" spans="1:12" ht="48">
      <c r="A32" s="57" t="s">
        <v>1310</v>
      </c>
      <c r="B32" s="57" t="s">
        <v>4748</v>
      </c>
      <c r="C32" s="57" t="s">
        <v>8935</v>
      </c>
      <c r="D32" s="58">
        <v>31</v>
      </c>
      <c r="E32" s="58" t="str">
        <f>CONCATENATE("E",C32)</f>
        <v>E1_3_1_15</v>
      </c>
      <c r="F32" s="58" t="s">
        <v>9923</v>
      </c>
      <c r="G32" s="58" t="s">
        <v>10186</v>
      </c>
      <c r="H32" s="58" t="s">
        <v>10450</v>
      </c>
      <c r="I32" s="58" t="s">
        <v>10734</v>
      </c>
      <c r="J32" s="58" t="str">
        <f>CONCATENATE("(${Variables:",E32,"_kcat","} * ",E32," * ",G32,")","/(${Variables:",E32,"_km","} + (",E32," * ",G32,"))")</f>
        <v>(${Variables:E1_3_1_15_kcat} * E1_3_1_15 * C00337 * C00006 )/(${Variables:E1_3_1_15_km} + (E1_3_1_15 * C00337 * C00006 ))</v>
      </c>
      <c r="K32" s="59" t="str">
        <f>CONCATENATE("r",D32,": ",F32," -&gt; ",H32," | ",J32)</f>
        <v>r31: C00337 + C00006  -&gt; C00295 + C00005 + C00080 | (${Variables:E1_3_1_15_kcat} * E1_3_1_15 * C00337 * C00006 )/(${Variables:E1_3_1_15_km} + (E1_3_1_15 * C00337 * C00006 ))</v>
      </c>
    </row>
    <row r="33" spans="1:12" ht="48">
      <c r="A33" s="57" t="s">
        <v>586</v>
      </c>
      <c r="B33" s="57" t="s">
        <v>3179</v>
      </c>
      <c r="C33" s="57" t="s">
        <v>8936</v>
      </c>
      <c r="D33" s="58">
        <v>32</v>
      </c>
      <c r="E33" s="58" t="str">
        <f>CONCATENATE("E",C33)</f>
        <v>E1_3_1_9</v>
      </c>
      <c r="F33" s="58" t="s">
        <v>9924</v>
      </c>
      <c r="G33" s="58" t="s">
        <v>10187</v>
      </c>
      <c r="H33" s="58" t="s">
        <v>10451</v>
      </c>
      <c r="I33" s="58" t="s">
        <v>10735</v>
      </c>
      <c r="J33" s="58" t="str">
        <f>CONCATENATE("(${Variables:",E33,"_kcat","} * ",E33," * ",G33,")","/(${Variables:",E33,"_km","} + (",E33," * ",G33,"))")</f>
        <v>(${Variables:E1_3_1_9_kcat} * E1_3_1_9 * C00173 * C00003)/(${Variables:E1_3_1_9_km} + (E1_3_1_9 * C00173 * C00003))</v>
      </c>
      <c r="K33" s="59" t="str">
        <f>CONCATENATE("r",D33,": ",F33," -&gt; ",H33," | ",J33)</f>
        <v>r32: C00173 + C00003 -&gt; C00693 + C00004 + C00080 | (${Variables:E1_3_1_9_kcat} * E1_3_1_9 * C00173 * C00003)/(${Variables:E1_3_1_9_km} + (E1_3_1_9 * C00173 * C00003))</v>
      </c>
    </row>
    <row r="34" spans="1:12" ht="48">
      <c r="A34" s="57" t="s">
        <v>110</v>
      </c>
      <c r="B34" s="57" t="s">
        <v>6221</v>
      </c>
      <c r="C34" s="57" t="s">
        <v>8937</v>
      </c>
      <c r="D34" s="58">
        <v>33</v>
      </c>
      <c r="E34" s="58" t="str">
        <f>CONCATENATE("E",C34)</f>
        <v>E1_3_1_98</v>
      </c>
      <c r="F34" s="58" t="s">
        <v>9925</v>
      </c>
      <c r="G34" s="58" t="s">
        <v>10188</v>
      </c>
      <c r="H34" s="58" t="s">
        <v>10452</v>
      </c>
      <c r="I34" s="58" t="s">
        <v>10736</v>
      </c>
      <c r="J34" s="58" t="str">
        <f>CONCATENATE("(${Variables:",E34,"_kcat","} * ",E34," * ",G34,")","/(${Variables:",E34,"_km","} + (",E34," * ",G34,"))")</f>
        <v>(${Variables:E1_3_1_98_kcat} * E1_3_1_98 * C01050 * C00006)/(${Variables:E1_3_1_98_km} + (E1_3_1_98 * C01050 * C00006))</v>
      </c>
      <c r="K34" s="59" t="str">
        <f>CONCATENATE("r",D34,": ",F34," -&gt; ",H34," | ",J34)</f>
        <v>r33: C01050 + C00006 -&gt; C04631 + C00005 + C00080 | (${Variables:E1_3_1_98_kcat} * E1_3_1_98 * C01050 * C00006)/(${Variables:E1_3_1_98_km} + (E1_3_1_98 * C01050 * C00006))</v>
      </c>
    </row>
    <row r="35" spans="1:12" ht="32">
      <c r="A35" s="57" t="s">
        <v>913</v>
      </c>
      <c r="B35" s="57" t="s">
        <v>3928</v>
      </c>
      <c r="C35" s="57" t="s">
        <v>8938</v>
      </c>
      <c r="D35" s="58">
        <v>34</v>
      </c>
      <c r="E35" s="58" t="str">
        <f>CONCATENATE("E",C35)</f>
        <v>E1_3_8_1</v>
      </c>
      <c r="F35" s="58" t="s">
        <v>9926</v>
      </c>
      <c r="G35" s="58" t="s">
        <v>10189</v>
      </c>
      <c r="H35" s="58" t="s">
        <v>10453</v>
      </c>
      <c r="I35" s="58" t="s">
        <v>10737</v>
      </c>
      <c r="J35" s="58" t="str">
        <f>CONCATENATE("(${Variables:",E35,"_kcat","} * ",E35," * ",G35,")","/(${Variables:",E35,"_km","} + (",E35," * ",G35,"))")</f>
        <v>(${Variables:E1_3_8_1_kcat} * E1_3_8_1 * C20675 * C04253)/(${Variables:E1_3_8_1_km} + (E1_3_8_1 * C20675 * C04253))</v>
      </c>
      <c r="K35" s="59" t="str">
        <f>CONCATENATE("r",D35,": ",F35," -&gt; ",H35," | ",J35)</f>
        <v>r34: C20675 + C04253 -&gt; C20676 + C04570 | (${Variables:E1_3_8_1_kcat} * E1_3_8_1 * C20675 * C04253)/(${Variables:E1_3_8_1_km} + (E1_3_8_1 * C20675 * C04253))</v>
      </c>
    </row>
    <row r="36" spans="1:12" ht="48">
      <c r="A36" s="57" t="s">
        <v>1309</v>
      </c>
      <c r="B36" s="57" t="s">
        <v>4744</v>
      </c>
      <c r="C36" s="57" t="s">
        <v>8939</v>
      </c>
      <c r="D36" s="58">
        <v>35</v>
      </c>
      <c r="E36" s="58" t="str">
        <f>CONCATENATE("E",C36)</f>
        <v>E1_3_98_1</v>
      </c>
      <c r="F36" s="58" t="s">
        <v>9927</v>
      </c>
      <c r="G36" s="58" t="s">
        <v>10190</v>
      </c>
      <c r="H36" s="58" t="s">
        <v>10454</v>
      </c>
      <c r="I36" s="58" t="s">
        <v>10738</v>
      </c>
      <c r="J36" s="58" t="str">
        <f>CONCATENATE("(${Variables:",E36,"_kcat","} * ",E36," * ",G36,")","/(${Variables:",E36,"_km","} + (",E36," * ",G36,"))")</f>
        <v>(${Variables:E1_3_98_1_kcat} * E1_3_98_1 * C00337 * C00122)/(${Variables:E1_3_98_1_km} + (E1_3_98_1 * C00337 * C00122))</v>
      </c>
      <c r="K36" s="59" t="str">
        <f>CONCATENATE("r",D36,": ",F36," -&gt; ",H36," | ",J36)</f>
        <v>r35: C00337 + C00122 -&gt; C00295 + C00042 | (${Variables:E1_3_98_1_kcat} * E1_3_98_1 * C00337 * C00122)/(${Variables:E1_3_98_1_km} + (E1_3_98_1 * C00337 * C00122))</v>
      </c>
    </row>
    <row r="37" spans="1:12" ht="48">
      <c r="A37" s="57" t="s">
        <v>631</v>
      </c>
      <c r="B37" s="57" t="s">
        <v>3292</v>
      </c>
      <c r="C37" s="57" t="s">
        <v>8940</v>
      </c>
      <c r="D37" s="58">
        <v>36</v>
      </c>
      <c r="E37" s="58" t="str">
        <f>CONCATENATE("E",C37)</f>
        <v>E1_4_1_4</v>
      </c>
      <c r="F37" s="58" t="s">
        <v>9928</v>
      </c>
      <c r="G37" s="58" t="s">
        <v>10191</v>
      </c>
      <c r="H37" s="58" t="s">
        <v>10455</v>
      </c>
      <c r="I37" s="58" t="s">
        <v>10739</v>
      </c>
      <c r="J37" s="58" t="str">
        <f>CONCATENATE("(${Variables:",E37,"_kcat","} * ",E37," * ",G37,")","/(${Variables:",E37,"_km","} + (",E37," * ",G37,"))")</f>
        <v>(${Variables:E1_4_1_4_kcat} * E1_4_1_4 * C00025 * C00006 * C00001)/(${Variables:E1_4_1_4_km} + (E1_4_1_4 * C00025 * C00006 * C00001))</v>
      </c>
      <c r="K37" s="59" t="str">
        <f>CONCATENATE("r",D37,": ",F37," -&gt; ",H37," | ",J37)</f>
        <v>r36: C00025 + C00006 + C00001 -&gt; C00026 + C00014 + C00005 + C0080 | (${Variables:E1_4_1_4_kcat} * E1_4_1_4 * C00025 * C00006 * C00001)/(${Variables:E1_4_1_4_km} + (E1_4_1_4 * C00025 * C00006 * C00001))</v>
      </c>
    </row>
    <row r="38" spans="1:12" ht="48">
      <c r="A38" s="57" t="s">
        <v>631</v>
      </c>
      <c r="B38" s="57" t="s">
        <v>7154</v>
      </c>
      <c r="C38" s="57" t="s">
        <v>8941</v>
      </c>
      <c r="D38" s="58">
        <v>37</v>
      </c>
      <c r="E38" s="58" t="str">
        <f>CONCATENATE("E",C38)</f>
        <v>E1_5_1_2</v>
      </c>
      <c r="F38" s="58" t="s">
        <v>9929</v>
      </c>
      <c r="G38" s="58" t="s">
        <v>10192</v>
      </c>
      <c r="H38" s="58" t="s">
        <v>10456</v>
      </c>
      <c r="I38" s="58" t="s">
        <v>10740</v>
      </c>
      <c r="J38" s="58" t="str">
        <f>CONCATENATE("(${Variables:",E38,"_kcat","} * ",E38," * ",G38,")","/(${Variables:",E38,"_km","} + (",E38," * ",G38,"))")</f>
        <v>(${Variables:E1_5_1_2_kcat} * E1_5_1_2 * C00148 * C00003)/(${Variables:E1_5_1_2_km} + (E1_5_1_2 * C00148 * C00003))</v>
      </c>
      <c r="K38" s="59" t="str">
        <f>CONCATENATE("r",D38,": ",F38," -&gt; ",H38," | ",J38)</f>
        <v>r37: C00148 + C00003 -&gt; C03912 + C00004 + C00080 | (${Variables:E1_5_1_2_kcat} * E1_5_1_2 * C00148 * C00003)/(${Variables:E1_5_1_2_km} + (E1_5_1_2 * C00148 * C00003))</v>
      </c>
    </row>
    <row r="39" spans="1:12" ht="48">
      <c r="A39" s="57" t="s">
        <v>1073</v>
      </c>
      <c r="B39" s="57" t="s">
        <v>4294</v>
      </c>
      <c r="C39" s="57" t="s">
        <v>8942</v>
      </c>
      <c r="D39" s="58">
        <v>38</v>
      </c>
      <c r="E39" s="58" t="str">
        <f>CONCATENATE("E",C39)</f>
        <v>E1_5_1_20</v>
      </c>
      <c r="F39" s="58" t="s">
        <v>9930</v>
      </c>
      <c r="G39" s="58" t="s">
        <v>10193</v>
      </c>
      <c r="H39" s="58" t="s">
        <v>10457</v>
      </c>
      <c r="I39" s="58" t="s">
        <v>10741</v>
      </c>
      <c r="J39" s="58" t="str">
        <f>CONCATENATE("(${Variables:",E39,"_kcat","} * ",E39," * ",G39,")","/(${Variables:",E39,"_km","} + (",E39," * ",G39,"))")</f>
        <v>(${Variables:E1_5_1_20_kcat} * E1_5_1_20 * C00440 * C00006)/(${Variables:E1_5_1_20_km} + (E1_5_1_20 * C00440 * C00006))</v>
      </c>
      <c r="K39" s="59" t="str">
        <f>CONCATENATE("r",D39,": ",F39," -&gt; ",H39," | ",J39)</f>
        <v>r38: C00440 + C00006 -&gt; C00143 + C00005 + C00080 | (${Variables:E1_5_1_20_kcat} * E1_5_1_20 * C00440 * C00006)/(${Variables:E1_5_1_20_km} + (E1_5_1_20 * C00440 * C00006))</v>
      </c>
    </row>
    <row r="40" spans="1:12" ht="48">
      <c r="A40" s="57" t="s">
        <v>815</v>
      </c>
      <c r="B40" s="57" t="s">
        <v>3710</v>
      </c>
      <c r="C40" s="57" t="s">
        <v>8943</v>
      </c>
      <c r="D40" s="58">
        <v>39</v>
      </c>
      <c r="E40" s="58" t="str">
        <f>CONCATENATE("E",C40)</f>
        <v>E1_5_1_3</v>
      </c>
      <c r="F40" s="58" t="s">
        <v>9931</v>
      </c>
      <c r="G40" s="58" t="s">
        <v>10194</v>
      </c>
      <c r="H40" s="58" t="s">
        <v>10458</v>
      </c>
      <c r="I40" s="58" t="s">
        <v>10742</v>
      </c>
      <c r="J40" s="58" t="str">
        <f>CONCATENATE("(${Variables:",E40,"_kcat","} * ",E40," * ",G40,")","/(${Variables:",E40,"_km","} + (",E40," * ",G40,"))")</f>
        <v>(${Variables:E1_5_1_3_kcat} * E1_5_1_3 * C00101 * C00006)/(${Variables:E1_5_1_3_km} + (E1_5_1_3 * C00101 * C00006))</v>
      </c>
      <c r="K40" s="59" t="str">
        <f>CONCATENATE("r",D40,": ",F40," -&gt; ",H40," | ",J40)</f>
        <v>r39: C00101 + C00006 -&gt; C00415 + C00005 + C00080 | (${Variables:E1_5_1_3_kcat} * E1_5_1_3 * C00101 * C00006)/(${Variables:E1_5_1_3_km} + (E1_5_1_3 * C00101 * C00006))</v>
      </c>
    </row>
    <row r="41" spans="1:12" ht="32">
      <c r="A41" s="57" t="s">
        <v>863</v>
      </c>
      <c r="B41" s="57" t="s">
        <v>3810</v>
      </c>
      <c r="C41" s="57" t="s">
        <v>8944</v>
      </c>
      <c r="D41" s="58">
        <v>40</v>
      </c>
      <c r="E41" s="58" t="str">
        <f>CONCATENATE("E",C41)</f>
        <v>E1_5_1_5</v>
      </c>
      <c r="F41" s="58" t="s">
        <v>9932</v>
      </c>
      <c r="G41" s="58" t="s">
        <v>10195</v>
      </c>
      <c r="H41" s="58" t="s">
        <v>10459</v>
      </c>
      <c r="I41" s="58" t="s">
        <v>10743</v>
      </c>
      <c r="J41" s="58" t="str">
        <f>CONCATENATE("(${Variables:",E41,"_kcat","} * ",E41," * ",G41,")","/(${Variables:",E41,"_km","} + (",E41," * ",G41,"))")</f>
        <v>(${Variables:E1_5_1_5_kcat} * E1_5_1_5 * C00143 * C00006)/(${Variables:E1_5_1_5_km} + (E1_5_1_5 * C00143 * C00006))</v>
      </c>
      <c r="K41" s="59" t="str">
        <f>CONCATENATE("r",D41,": ",F41," -&gt; ",H41," | ",J41)</f>
        <v>r40: C00143 + C00006 -&gt; C00445 + C00005 | (${Variables:E1_5_1_5_kcat} * E1_5_1_5 * C00143 * C00006)/(${Variables:E1_5_1_5_km} + (E1_5_1_5 * C00143 * C00006))</v>
      </c>
    </row>
    <row r="42" spans="1:12" ht="32">
      <c r="A42" s="57" t="s">
        <v>863</v>
      </c>
      <c r="B42" s="57" t="s">
        <v>3810</v>
      </c>
      <c r="C42" s="57" t="s">
        <v>8945</v>
      </c>
      <c r="D42" s="58">
        <v>41</v>
      </c>
      <c r="E42" s="58" t="str">
        <f>CONCATENATE("E",C42)</f>
        <v>E3_5_4_9</v>
      </c>
      <c r="F42" s="58" t="s">
        <v>9933</v>
      </c>
      <c r="G42" s="58" t="s">
        <v>10196</v>
      </c>
      <c r="H42" s="58" t="s">
        <v>10460</v>
      </c>
      <c r="I42" s="58" t="s">
        <v>10744</v>
      </c>
      <c r="J42" s="58" t="str">
        <f>CONCATENATE("(${Variables:",E42,"_kcat","} * ",E42," * ",G42,")","/(${Variables:",E42,"_km","} + (",E42," * ",G42,"))")</f>
        <v>(${Variables:E3_5_4_9_kcat} * E3_5_4_9 * C00445 * C00001 )/(${Variables:E3_5_4_9_km} + (E3_5_4_9 * C00445 * C00001 ))</v>
      </c>
      <c r="K42" s="59" t="str">
        <f>CONCATENATE("r",D42,": ",F42," -&gt; ",H42," | ",J42)</f>
        <v>r41: C00445 + C00001  -&gt; C00234 + C00080 | (${Variables:E3_5_4_9_kcat} * E3_5_4_9 * C00445 * C00001 )/(${Variables:E3_5_4_9_km} + (E3_5_4_9 * C00445 * C00001 ))</v>
      </c>
      <c r="L42" s="61"/>
    </row>
    <row r="43" spans="1:12" ht="48">
      <c r="A43" s="57" t="s">
        <v>1122</v>
      </c>
      <c r="B43" s="57" t="s">
        <v>4402</v>
      </c>
      <c r="C43" s="57" t="s">
        <v>8947</v>
      </c>
      <c r="D43" s="58">
        <v>42</v>
      </c>
      <c r="E43" s="58" t="str">
        <f>CONCATENATE("E",C43)</f>
        <v>E1_7_1_13</v>
      </c>
      <c r="F43" s="58" t="s">
        <v>11012</v>
      </c>
      <c r="G43" s="58" t="s">
        <v>11013</v>
      </c>
      <c r="H43" s="58" t="s">
        <v>11014</v>
      </c>
      <c r="I43" s="58" t="s">
        <v>11015</v>
      </c>
      <c r="J43" s="58" t="str">
        <f>CONCATENATE("(${Variables:",E43,"_kcat","} * ",E43," * ",G43,")","/(${Variables:",E43,"_km","} + (",E43," * ",G43,"))")</f>
        <v>(${Variables:E1_7_1_13_kcat} * E1_7_1_13 * C16675 * C00006)/(${Variables:E1_7_1_13_km} + (E1_7_1_13 * C16675 * C00006))</v>
      </c>
      <c r="K43" s="59" t="str">
        <f>CONCATENATE("r",D43,": ",F43," -&gt; ",H43," | ",J43)</f>
        <v>r42: C16675 + C00006 -&gt; C15996 + C00005 + C00080 | (${Variables:E1_7_1_13_kcat} * E1_7_1_13 * C16675 * C00006)/(${Variables:E1_7_1_13_km} + (E1_7_1_13 * C16675 * C00006))</v>
      </c>
    </row>
    <row r="44" spans="1:12" ht="48">
      <c r="A44" s="57" t="s">
        <v>1417</v>
      </c>
      <c r="B44" s="57" t="s">
        <v>4988</v>
      </c>
      <c r="C44" s="57" t="s">
        <v>8948</v>
      </c>
      <c r="D44" s="58">
        <v>43</v>
      </c>
      <c r="E44" s="58" t="str">
        <f>CONCATENATE("E",C44)</f>
        <v>E1_8_1_4</v>
      </c>
      <c r="F44" s="58" t="s">
        <v>9934</v>
      </c>
      <c r="G44" s="58" t="s">
        <v>10197</v>
      </c>
      <c r="H44" s="58" t="s">
        <v>10461</v>
      </c>
      <c r="I44" s="58" t="s">
        <v>10745</v>
      </c>
      <c r="J44" s="58" t="str">
        <f>CONCATENATE("(${Variables:",E44,"_kcat","} * ",E44," * ",G44,")","/(${Variables:",E44,"_km","} + (",E44," * ",G44,"))")</f>
        <v>(${Variables:E1_8_1_4_kcat} * E1_8_1_4 * C16832 * C00003)/(${Variables:E1_8_1_4_km} + (E1_8_1_4 * C16832 * C00003))</v>
      </c>
      <c r="K44" s="59" t="str">
        <f>CONCATENATE("r",D44,": ",F44," -&gt; ",H44," | ",J44)</f>
        <v>r43: C16832 + C00003 -&gt; C16237 + C00004 + C00080 | (${Variables:E1_8_1_4_kcat} * E1_8_1_4 * C16832 * C00003)/(${Variables:E1_8_1_4_km} + (E1_8_1_4 * C16832 * C00003))</v>
      </c>
    </row>
    <row r="45" spans="1:12" ht="48">
      <c r="A45" s="57" t="s">
        <v>605</v>
      </c>
      <c r="B45" s="57" t="s">
        <v>3231</v>
      </c>
      <c r="C45" s="57" t="s">
        <v>8949</v>
      </c>
      <c r="D45" s="58">
        <v>44</v>
      </c>
      <c r="E45" s="58" t="str">
        <f>CONCATENATE("E",C45)</f>
        <v>E1_8_1_7</v>
      </c>
      <c r="F45" s="58" t="s">
        <v>10996</v>
      </c>
      <c r="G45" s="58" t="s">
        <v>10997</v>
      </c>
      <c r="H45" s="58" t="s">
        <v>10462</v>
      </c>
      <c r="I45" s="58" t="s">
        <v>10746</v>
      </c>
      <c r="J45" s="58" t="str">
        <f>CONCATENATE("(${Variables:",E45,"_kcat","} * ",E45," * ",G45,")","/(${Variables:",E45,"_km","} + (",E45," * ",G45,"))")</f>
        <v>(${Variables:E1_8_1_7_kcat} * E1_8_1_7 * C00051 * C00006 )/(${Variables:E1_8_1_7_km} + (E1_8_1_7 * C00051 * C00006 ))</v>
      </c>
      <c r="K45" s="59" t="str">
        <f>CONCATENATE("r",D45,": ",F45," -&gt; ",H45," | ",J45)</f>
        <v>r44: C00051 + C00006  -&gt; C00127 + C00005 + C00080 | (${Variables:E1_8_1_7_kcat} * E1_8_1_7 * C00051 * C00006 )/(${Variables:E1_8_1_7_km} + (E1_8_1_7 * C00051 * C00006 ))</v>
      </c>
      <c r="L45" s="61"/>
    </row>
    <row r="46" spans="1:12" ht="48">
      <c r="A46" s="57" t="s">
        <v>605</v>
      </c>
      <c r="B46" s="57" t="s">
        <v>6571</v>
      </c>
      <c r="C46" s="57" t="s">
        <v>8950</v>
      </c>
      <c r="D46" s="58">
        <v>45</v>
      </c>
      <c r="E46" s="58" t="str">
        <f>CONCATENATE("E",C46)</f>
        <v>E1_8_1_9</v>
      </c>
      <c r="F46" s="58" t="s">
        <v>9935</v>
      </c>
      <c r="G46" s="58" t="s">
        <v>10198</v>
      </c>
      <c r="H46" s="58" t="s">
        <v>10463</v>
      </c>
      <c r="I46" s="58" t="s">
        <v>10747</v>
      </c>
      <c r="J46" s="58" t="str">
        <f>CONCATENATE("(${Variables:",E46,"_kcat","} * ",E46," * ",G46,")","/(${Variables:",E46,"_km","} + (",E46," * ",G46,"))")</f>
        <v>(${Variables:E1_8_1_9_kcat} * E1_8_1_9 * C00342 * C00006)/(${Variables:E1_8_1_9_km} + (E1_8_1_9 * C00342 * C00006))</v>
      </c>
      <c r="K46" s="59" t="str">
        <f>CONCATENATE("r",D46,": ",F46," -&gt; ",H46," | ",J46)</f>
        <v>r45: C00342 + C00006 -&gt; C00343 + C00005 + C0080 | (${Variables:E1_8_1_9_kcat} * E1_8_1_9 * C00342 * C00006)/(${Variables:E1_8_1_9_km} + (E1_8_1_9 * C00342 * C00006))</v>
      </c>
      <c r="L46" s="61"/>
    </row>
    <row r="47" spans="1:12" ht="48">
      <c r="A47" s="57" t="s">
        <v>1741</v>
      </c>
      <c r="B47" s="57" t="s">
        <v>5720</v>
      </c>
      <c r="C47" s="57" t="s">
        <v>8951</v>
      </c>
      <c r="D47" s="58">
        <v>46</v>
      </c>
      <c r="E47" s="58" t="str">
        <f>CONCATENATE("E",C47)</f>
        <v>E1_8_4_11</v>
      </c>
      <c r="F47" s="58" t="s">
        <v>9936</v>
      </c>
      <c r="G47" s="58" t="s">
        <v>10199</v>
      </c>
      <c r="H47" s="58" t="s">
        <v>10464</v>
      </c>
      <c r="I47" s="58" t="s">
        <v>10748</v>
      </c>
      <c r="J47" s="58" t="str">
        <f>CONCATENATE("(${Variables:",E47,"_kcat","} * ",E47," * ",G47,")","/(${Variables:",E47,"_km","} + (",E47," * ",G47,"))")</f>
        <v>(${Variables:E1_8_4_11_kcat} * E1_8_4_11 * C03023 * C00343 * C00002)/(${Variables:E1_8_4_11_km} + (E1_8_4_11 * C03023 * C00343 * C00002))</v>
      </c>
      <c r="K47" s="59" t="str">
        <f>CONCATENATE("r",D47,": ",F47," -&gt; ",H47," | ",J47)</f>
        <v>r46: C03023 + C00343 + C00002 -&gt; C03895 + C00342 | (${Variables:E1_8_4_11_kcat} * E1_8_4_11 * C03023 * C00343 * C00002)/(${Variables:E1_8_4_11_km} + (E1_8_4_11 * C03023 * C00343 * C00002))</v>
      </c>
    </row>
    <row r="48" spans="1:12" ht="48">
      <c r="A48" s="57" t="s">
        <v>1741</v>
      </c>
      <c r="B48" s="57" t="s">
        <v>5720</v>
      </c>
      <c r="C48" s="57" t="s">
        <v>8952</v>
      </c>
      <c r="D48" s="58">
        <v>47</v>
      </c>
      <c r="E48" s="58" t="str">
        <f>CONCATENATE("E",C48)</f>
        <v>E1_8_4_12</v>
      </c>
      <c r="F48" s="58" t="s">
        <v>9937</v>
      </c>
      <c r="G48" s="58" t="s">
        <v>10200</v>
      </c>
      <c r="H48" s="58" t="s">
        <v>10465</v>
      </c>
      <c r="I48" s="58" t="s">
        <v>10749</v>
      </c>
      <c r="J48" s="58" t="str">
        <f>CONCATENATE("(${Variables:",E48,"_kcat","} * ",E48," * ",G48,")","/(${Variables:",E48,"_km","} + (",E48," * ",G48,"))")</f>
        <v>(${Variables:E1_8_4_12_kcat} * E1_8_4_12 * C03023 * C00343 * C00001)/(${Variables:E1_8_4_12_km} + (E1_8_4_12 * C03023 * C00343 * C00001))</v>
      </c>
      <c r="K48" s="59" t="str">
        <f>CONCATENATE("r",D48,": ",F48," -&gt; ",H48," | ",J48)</f>
        <v>r47: C03023 + C00343 + C00001 -&gt; C15653 + C00342 | (${Variables:E1_8_4_12_kcat} * E1_8_4_12 * C03023 * C00343 * C00001)/(${Variables:E1_8_4_12_km} + (E1_8_4_12 * C03023 * C00343 * C00001))</v>
      </c>
    </row>
    <row r="49" spans="1:12" ht="48">
      <c r="A49" s="57" t="s">
        <v>1741</v>
      </c>
      <c r="B49" s="57" t="s">
        <v>6534</v>
      </c>
      <c r="C49" s="57" t="s">
        <v>8953</v>
      </c>
      <c r="D49" s="58">
        <v>48</v>
      </c>
      <c r="E49" s="58" t="str">
        <f>CONCATENATE("E",C49)</f>
        <v>E1_97_1_4</v>
      </c>
      <c r="F49" s="58" t="s">
        <v>9938</v>
      </c>
      <c r="G49" s="58" t="s">
        <v>10201</v>
      </c>
      <c r="H49" s="58" t="s">
        <v>10466</v>
      </c>
      <c r="I49" s="58" t="s">
        <v>10750</v>
      </c>
      <c r="J49" s="58" t="str">
        <f>CONCATENATE("(${Variables:",E49,"_kcat","} * ",E49," * ",G49,")","/(${Variables:",E49,"_km","} + (",E49," * ",G49,"))")</f>
        <v>(${Variables:E1_97_1_4_kcat} * E1_97_1_4 * C00019 * C05196 * C05197)/(${Variables:E1_97_1_4_km} + (E1_97_1_4 * C00019 * C05196 * C05197))</v>
      </c>
      <c r="K49" s="59" t="str">
        <f>CONCATENATE("r",D49,": ",F49," -&gt; ",H49," | ",J49)</f>
        <v>r48: C00019 + C05196 + C05197 -&gt; C05198 + C00073 + C05199 + C05312 | (${Variables:E1_97_1_4_kcat} * E1_97_1_4 * C00019 * C05196 * C05197)/(${Variables:E1_97_1_4_km} + (E1_97_1_4 * C00019 * C05196 * C05197))</v>
      </c>
    </row>
    <row r="50" spans="1:12" ht="32">
      <c r="A50" s="57" t="s">
        <v>822</v>
      </c>
      <c r="B50" s="57" t="s">
        <v>3727</v>
      </c>
      <c r="C50" s="57" t="s">
        <v>8954</v>
      </c>
      <c r="D50" s="58">
        <v>49</v>
      </c>
      <c r="E50" s="58" t="str">
        <f>CONCATENATE("E",C50)</f>
        <v>E2_1_1_10</v>
      </c>
      <c r="F50" s="58" t="s">
        <v>9939</v>
      </c>
      <c r="G50" s="58" t="s">
        <v>10202</v>
      </c>
      <c r="H50" s="58" t="s">
        <v>10998</v>
      </c>
      <c r="I50" s="58" t="s">
        <v>10998</v>
      </c>
      <c r="J50" s="58" t="str">
        <f>CONCATENATE("(${Variables:",E50,"_kcat","} * ",E50," * ",G50,")","/(${Variables:",E50,"_km","} + (",E50," * ",G50,"))")</f>
        <v>(${Variables:E2_1_1_10_kcat} * E2_1_1_10 * C03172 * C00155)/(${Variables:E2_1_1_10_km} + (E2_1_1_10 * C03172 * C00155))</v>
      </c>
      <c r="K50" s="59" t="str">
        <f>CONCATENATE("r",D50,": ",F50," -&gt; ",H50," | ",J50)</f>
        <v>r49: C03172 + C00155 -&gt; C00073 | (${Variables:E2_1_1_10_kcat} * E2_1_1_10 * C03172 * C00155)/(${Variables:E2_1_1_10_km} + (E2_1_1_10 * C03172 * C00155))</v>
      </c>
    </row>
    <row r="51" spans="1:12" ht="48">
      <c r="A51" s="57" t="s">
        <v>1071</v>
      </c>
      <c r="B51" s="57" t="s">
        <v>4291</v>
      </c>
      <c r="C51" s="57" t="s">
        <v>8955</v>
      </c>
      <c r="D51" s="58">
        <v>50</v>
      </c>
      <c r="E51" s="58" t="str">
        <f>CONCATENATE("E",C51)</f>
        <v>E2_1_1_14</v>
      </c>
      <c r="F51" s="58" t="s">
        <v>9940</v>
      </c>
      <c r="G51" s="58" t="s">
        <v>10203</v>
      </c>
      <c r="H51" s="58" t="s">
        <v>10467</v>
      </c>
      <c r="I51" s="58" t="s">
        <v>10751</v>
      </c>
      <c r="J51" s="58" t="str">
        <f>CONCATENATE("(${Variables:",E51,"_kcat","} * ",E51," * ",G51,")","/(${Variables:",E51,"_km","} + (",E51," * ",G51,"))")</f>
        <v>(${Variables:E2_1_1_14_kcat} * E2_1_1_14 * C04489 * C00155)/(${Variables:E2_1_1_14_km} + (E2_1_1_14 * C04489 * C00155))</v>
      </c>
      <c r="K51" s="59" t="str">
        <f>CONCATENATE("r",D51,": ",F51," -&gt; ",H51," | ",J51)</f>
        <v>r50: C04489 + C00155 -&gt; C04144 + C00073 | (${Variables:E2_1_1_14_kcat} * E2_1_1_14 * C04489 * C00155)/(${Variables:E2_1_1_14_km} + (E2_1_1_14 * C04489 * C00155))</v>
      </c>
      <c r="L51" s="61"/>
    </row>
    <row r="52" spans="1:12" ht="48">
      <c r="A52" s="57" t="s">
        <v>1227</v>
      </c>
      <c r="B52" s="57" t="s">
        <v>6568</v>
      </c>
      <c r="C52" s="57" t="s">
        <v>8957</v>
      </c>
      <c r="D52" s="58">
        <v>51</v>
      </c>
      <c r="E52" s="58" t="str">
        <f>CONCATENATE("E",C52)</f>
        <v>E2_1_1_171</v>
      </c>
      <c r="F52" s="58" t="s">
        <v>9941</v>
      </c>
      <c r="G52" s="58" t="s">
        <v>10204</v>
      </c>
      <c r="H52" s="58" t="s">
        <v>10468</v>
      </c>
      <c r="I52" s="58" t="s">
        <v>10752</v>
      </c>
      <c r="J52" s="58" t="str">
        <f>CONCATENATE("(${Variables:",E52,"_kcat","} * ",E52," * ",G52,")","/(${Variables:",E52,"_km","} + (",E52," * ",G52,"))")</f>
        <v>(${Variables:E2_1_1_171_kcat} * E2_1_1_171 * C00019 * C00240)/(${Variables:E2_1_1_171_km} + (E2_1_1_171 * C00019 * C00240))</v>
      </c>
      <c r="K52" s="59" t="str">
        <f>CONCATENATE("r",D52,": ",F52," -&gt; ",H52," | ",J52)</f>
        <v>r51: C00019 + C00240 -&gt; C00021 + C04153 | (${Variables:E2_1_1_171_kcat} * E2_1_1_171 * C00019 * C00240)/(${Variables:E2_1_1_171_km} + (E2_1_1_171 * C00019 * C00240))</v>
      </c>
    </row>
    <row r="53" spans="1:12" ht="48">
      <c r="A53" s="57" t="s">
        <v>1856</v>
      </c>
      <c r="B53" s="57" t="s">
        <v>6991</v>
      </c>
      <c r="C53" s="57" t="s">
        <v>8960</v>
      </c>
      <c r="D53" s="58">
        <v>52</v>
      </c>
      <c r="E53" s="58" t="str">
        <f>CONCATENATE("E",C53)</f>
        <v>E2_1_1_182</v>
      </c>
      <c r="F53" s="58" t="s">
        <v>10999</v>
      </c>
      <c r="G53" s="58" t="s">
        <v>11000</v>
      </c>
      <c r="H53" s="58" t="s">
        <v>11001</v>
      </c>
      <c r="I53" s="58" t="s">
        <v>11002</v>
      </c>
      <c r="J53" s="58" t="str">
        <f>CONCATENATE("(${Variables:",E53,"_kcat","} * ",E53," * ",G53,")","/(${Variables:",E53,"_km","} + (",E53," * ",G53,"))")</f>
        <v>(${Variables:E2_1_1_182_kcat} * E2_1_1_182 * C00019 * C20648)/(${Variables:E2_1_1_182_km} + (E2_1_1_182 * C00019 * C20648))</v>
      </c>
      <c r="K53" s="59" t="str">
        <f>CONCATENATE("r",D53,": ",F53," -&gt; ",H53," | ",J53)</f>
        <v>r52: C00019 + C20648 -&gt; C00021 + C20796 | (${Variables:E2_1_1_182_kcat} * E2_1_1_182 * C00019 * C20648)/(${Variables:E2_1_1_182_km} + (E2_1_1_182 * C00019 * C20648))</v>
      </c>
    </row>
    <row r="54" spans="1:12" ht="48">
      <c r="A54" s="57" t="s">
        <v>1844</v>
      </c>
      <c r="B54" s="57" t="s">
        <v>5902</v>
      </c>
      <c r="C54" s="57" t="s">
        <v>8969</v>
      </c>
      <c r="D54" s="58">
        <v>53</v>
      </c>
      <c r="E54" s="58" t="str">
        <f>CONCATENATE("E",C54)</f>
        <v>E2_1_1_28</v>
      </c>
      <c r="F54" s="58" t="s">
        <v>9942</v>
      </c>
      <c r="G54" s="58" t="s">
        <v>10205</v>
      </c>
      <c r="H54" s="58" t="s">
        <v>10469</v>
      </c>
      <c r="I54" s="58" t="s">
        <v>10753</v>
      </c>
      <c r="J54" s="58" t="str">
        <f>CONCATENATE("(${Variables:",E54,"_kcat","} * ",E54," * ",G54,")","/(${Variables:",E54,"_km","} + (",E54," * ",G54,"))")</f>
        <v>(${Variables:E2_1_1_28_kcat} * E2_1_1_28 * C00019 * C02735)/(${Variables:E2_1_1_28_km} + (E2_1_1_28 * C00019 * C02735))</v>
      </c>
      <c r="K54" s="59" t="str">
        <f>CONCATENATE("r",D54,": ",F54," -&gt; ",H54," | ",J54)</f>
        <v>r53: C00019 + C02735 -&gt; C00021 + C03711 | (${Variables:E2_1_1_28_kcat} * E2_1_1_28 * C00019 * C02735)/(${Variables:E2_1_1_28_km} + (E2_1_1_28 * C00019 * C02735))</v>
      </c>
    </row>
    <row r="55" spans="1:12" ht="48">
      <c r="A55" s="57" t="s">
        <v>1033</v>
      </c>
      <c r="B55" s="57" t="s">
        <v>4208</v>
      </c>
      <c r="C55" s="57" t="s">
        <v>8970</v>
      </c>
      <c r="D55" s="58">
        <v>54</v>
      </c>
      <c r="E55" s="58" t="str">
        <f>CONCATENATE("E",C55)</f>
        <v>E2_1_1_297</v>
      </c>
      <c r="F55" s="58" t="s">
        <v>9943</v>
      </c>
      <c r="G55" s="58" t="s">
        <v>10206</v>
      </c>
      <c r="H55" s="58" t="s">
        <v>10470</v>
      </c>
      <c r="I55" s="58" t="s">
        <v>10754</v>
      </c>
      <c r="J55" s="58" t="str">
        <f>CONCATENATE("(${Variables:",E55,"_kcat","} * ",E55," * ",G55,")","/(${Variables:",E55,"_km","} + (",E55," * ",G55,"))")</f>
        <v>(${Variables:E2_1_1_297_kcat} * E2_1_1_297 * C02583 * C00019)/(${Variables:E2_1_1_297_km} + (E2_1_1_297 * C02583 * C00019))</v>
      </c>
      <c r="K55" s="59" t="str">
        <f>CONCATENATE("r",D55,": ",F55," -&gt; ",H55," | ",J55)</f>
        <v>r54: C02583 + C00019 -&gt; C20858 + C00021 | (${Variables:E2_1_1_297_kcat} * E2_1_1_297 * C02583 * C00019)/(${Variables:E2_1_1_297_km} + (E2_1_1_297 * C02583 * C00019))</v>
      </c>
      <c r="L55" s="61"/>
    </row>
    <row r="56" spans="1:12" ht="48">
      <c r="A56" s="57" t="s">
        <v>1033</v>
      </c>
      <c r="B56" s="57" t="s">
        <v>6435</v>
      </c>
      <c r="C56" s="57" t="s">
        <v>8971</v>
      </c>
      <c r="D56" s="58">
        <v>55</v>
      </c>
      <c r="E56" s="58" t="str">
        <f>CONCATENATE("E",C56)</f>
        <v>E2_1_1_33</v>
      </c>
      <c r="F56" s="58" t="s">
        <v>9944</v>
      </c>
      <c r="G56" s="58" t="s">
        <v>10207</v>
      </c>
      <c r="H56" s="58" t="s">
        <v>10471</v>
      </c>
      <c r="I56" s="58" t="s">
        <v>10755</v>
      </c>
      <c r="J56" s="58" t="str">
        <f>CONCATENATE("(${Variables:",E56,"_kcat","} * ",E56," * ",G56,")","/(${Variables:",E56,"_km","} + (",E56," * ",G56,"))")</f>
        <v>(${Variables:E2_1_1_33_kcat} * E2_1_1_33 * C00019 * C01977)/(${Variables:E2_1_1_33_km} + (E2_1_1_33 * C00019 * C01977))</v>
      </c>
      <c r="K56" s="59" t="str">
        <f>CONCATENATE("r",D56,": ",F56," -&gt; ",H56," | ",J56)</f>
        <v>r55: C00019 + C01977 -&gt; C00021 + C04160 | (${Variables:E2_1_1_33_kcat} * E2_1_1_33 * C00019 * C01977)/(${Variables:E2_1_1_33_km} + (E2_1_1_33 * C00019 * C01977))</v>
      </c>
      <c r="L56" s="61"/>
    </row>
    <row r="57" spans="1:12" ht="48">
      <c r="A57" s="57" t="s">
        <v>814</v>
      </c>
      <c r="B57" s="57" t="s">
        <v>3706</v>
      </c>
      <c r="C57" s="57" t="s">
        <v>8972</v>
      </c>
      <c r="D57" s="58">
        <v>56</v>
      </c>
      <c r="E57" s="58" t="str">
        <f>CONCATENATE("E",C57)</f>
        <v>E2_1_1_45</v>
      </c>
      <c r="F57" s="58" t="s">
        <v>9945</v>
      </c>
      <c r="G57" s="58" t="s">
        <v>10208</v>
      </c>
      <c r="H57" s="58" t="s">
        <v>10472</v>
      </c>
      <c r="I57" s="58" t="s">
        <v>10756</v>
      </c>
      <c r="J57" s="58" t="str">
        <f>CONCATENATE("(${Variables:",E57,"_kcat","} * ",E57," * ",G57,")","/(${Variables:",E57,"_km","} + (",E57," * ",G57,"))")</f>
        <v>(${Variables:E2_1_1_45_kcat} * E2_1_1_45 * C00365 * C00143)/(${Variables:E2_1_1_45_km} + (E2_1_1_45 * C00365 * C00143))</v>
      </c>
      <c r="K57" s="59" t="str">
        <f>CONCATENATE("r",D57,": ",F57," -&gt; ",H57," | ",J57)</f>
        <v>r56: C00365 + C00143 -&gt; C00415 + C00364 | (${Variables:E2_1_1_45_kcat} * E2_1_1_45 * C00365 * C00143)/(${Variables:E2_1_1_45_km} + (E2_1_1_45 * C00365 * C00143))</v>
      </c>
    </row>
    <row r="58" spans="1:12" ht="48">
      <c r="A58" s="57" t="s">
        <v>1984</v>
      </c>
      <c r="B58" s="57" t="s">
        <v>6184</v>
      </c>
      <c r="C58" s="57" t="s">
        <v>8973</v>
      </c>
      <c r="D58" s="58">
        <v>57</v>
      </c>
      <c r="E58" s="58" t="str">
        <f>CONCATENATE("E",C58)</f>
        <v>E2_1_1_63</v>
      </c>
      <c r="F58" s="58" t="s">
        <v>9946</v>
      </c>
      <c r="G58" s="58" t="s">
        <v>10209</v>
      </c>
      <c r="H58" s="58" t="s">
        <v>10473</v>
      </c>
      <c r="I58" s="58" t="s">
        <v>10757</v>
      </c>
      <c r="J58" s="58" t="str">
        <f>CONCATENATE("(${Variables:",E58,"_kcat","} * ",E58," * ",G58,")","/(${Variables:",E58,"_km","} + (",E58," * ",G58,"))")</f>
        <v>(${Variables:E2_1_1_63_kcat} * E2_1_1_63 * C04250 * C02743)/(${Variables:E2_1_1_63_km} + (E2_1_1_63 * C04250 * C02743))</v>
      </c>
      <c r="K58" s="59" t="str">
        <f>CONCATENATE("r",D58,": ",F58," -&gt; ",H58," | ",J58)</f>
        <v>r57: C04250 + C02743 -&gt; C03800 + C11475 | (${Variables:E2_1_1_63_kcat} * E2_1_1_63 * C04250 * C02743)/(${Variables:E2_1_1_63_km} + (E2_1_1_63 * C04250 * C02743))</v>
      </c>
    </row>
    <row r="59" spans="1:12" ht="48">
      <c r="A59" s="57" t="s">
        <v>981</v>
      </c>
      <c r="B59" s="57" t="s">
        <v>4080</v>
      </c>
      <c r="C59" s="57" t="s">
        <v>8974</v>
      </c>
      <c r="D59" s="58">
        <v>58</v>
      </c>
      <c r="E59" s="58" t="str">
        <f>CONCATENATE("E",C59)</f>
        <v>E2_1_1_72</v>
      </c>
      <c r="F59" s="58" t="s">
        <v>9947</v>
      </c>
      <c r="G59" s="58" t="s">
        <v>10210</v>
      </c>
      <c r="H59" s="58" t="s">
        <v>10474</v>
      </c>
      <c r="I59" s="58" t="s">
        <v>10758</v>
      </c>
      <c r="J59" s="58" t="str">
        <f>CONCATENATE("(${Variables:",E59,"_kcat","} * ",E59," * ",G59,")","/(${Variables:",E59,"_km","} + (",E59," * ",G59,"))")</f>
        <v>(${Variables:E2_1_1_72_kcat} * E2_1_1_72 * C00019 * C00821)/(${Variables:E2_1_1_72_km} + (E2_1_1_72 * C00019 * C00821))</v>
      </c>
      <c r="K59" s="59" t="str">
        <f>CONCATENATE("r",D59,": ",F59," -&gt; ",H59," | ",J59)</f>
        <v>r58: C00019 + C00821 -&gt; C00021 + C03391 | (${Variables:E2_1_1_72_kcat} * E2_1_1_72 * C00019 * C00821)/(${Variables:E2_1_1_72_km} + (E2_1_1_72 * C00019 * C00821))</v>
      </c>
    </row>
    <row r="60" spans="1:12" ht="17" customHeight="1">
      <c r="A60" s="57" t="s">
        <v>1226</v>
      </c>
      <c r="B60" s="57" t="s">
        <v>4602</v>
      </c>
      <c r="C60" s="57" t="s">
        <v>8975</v>
      </c>
      <c r="D60" s="58">
        <v>59</v>
      </c>
      <c r="E60" s="58" t="str">
        <f>CONCATENATE("E",C60)</f>
        <v>E2_1_1_74</v>
      </c>
      <c r="F60" s="58" t="s">
        <v>9948</v>
      </c>
      <c r="G60" s="58" t="s">
        <v>10211</v>
      </c>
      <c r="H60" s="58" t="s">
        <v>10475</v>
      </c>
      <c r="I60" s="58" t="s">
        <v>10759</v>
      </c>
      <c r="J60" s="58" t="str">
        <f>CONCATENATE("(${Variables:",E60,"_kcat","} * ",E60," * ",G60,")","/(${Variables:",E60,"_km","} + (",E60," * ",G60,"))")</f>
        <v>(${Variables:E2_1_1_74_kcat} * E2_1_1_74 * C00143 * C01764 * C00004 * C00080)/(${Variables:E2_1_1_74_km} + (E2_1_1_74 * C00143 * C01764 * C00004 * C00080))</v>
      </c>
      <c r="K60" s="59" t="str">
        <f>CONCATENATE("r",D60,": ",F60," -&gt; ",H60," | ",J60)</f>
        <v>r59: C00143 + C01764 + C00004 + C00080 -&gt; C00101 + C03446 + C00003 | (${Variables:E2_1_1_74_kcat} * E2_1_1_74 * C00143 * C01764 * C00004 * C00080)/(${Variables:E2_1_1_74_km} + (E2_1_1_74 * C00143 * C01764 * C00004 * C00080))</v>
      </c>
    </row>
    <row r="61" spans="1:12" ht="48">
      <c r="A61" s="57" t="s">
        <v>251</v>
      </c>
      <c r="B61" s="57" t="s">
        <v>2428</v>
      </c>
      <c r="C61" s="57" t="s">
        <v>8976</v>
      </c>
      <c r="D61" s="58">
        <v>60</v>
      </c>
      <c r="E61" s="58" t="str">
        <f>CONCATENATE("E",C61)</f>
        <v>E2_1_1_79</v>
      </c>
      <c r="F61" s="58" t="s">
        <v>9949</v>
      </c>
      <c r="G61" s="58" t="s">
        <v>10212</v>
      </c>
      <c r="H61" s="58" t="s">
        <v>10476</v>
      </c>
      <c r="I61" s="58" t="s">
        <v>10760</v>
      </c>
      <c r="J61" s="58" t="str">
        <f>CONCATENATE("(${Variables:",E61,"_kcat","} * ",E61," * ",G61,")","/(${Variables:",E61,"_km","} + (",E61," * ",G61,"))")</f>
        <v>(${Variables:E2_1_1_79_kcat} * E2_1_1_79 * C00019 * C01229)/(${Variables:E2_1_1_79_km} + (E2_1_1_79 * C00019 * C01229))</v>
      </c>
      <c r="K61" s="59" t="str">
        <f>CONCATENATE("r",D61,": ",F61," -&gt; ",H61," | ",J61)</f>
        <v>r60: C00019 + C01229 -&gt; C00021 + C04340 | (${Variables:E2_1_1_79_kcat} * E2_1_1_79 * C00019 * C01229)/(${Variables:E2_1_1_79_km} + (E2_1_1_79 * C00019 * C01229))</v>
      </c>
    </row>
    <row r="62" spans="1:12" ht="48">
      <c r="A62" s="57" t="s">
        <v>1036</v>
      </c>
      <c r="B62" s="57" t="s">
        <v>4213</v>
      </c>
      <c r="C62" s="57" t="s">
        <v>8977</v>
      </c>
      <c r="D62" s="58">
        <v>61</v>
      </c>
      <c r="E62" s="58" t="str">
        <f>CONCATENATE("E",C62)</f>
        <v>E2_1_2_1</v>
      </c>
      <c r="F62" s="58" t="s">
        <v>9950</v>
      </c>
      <c r="G62" s="58" t="s">
        <v>10213</v>
      </c>
      <c r="H62" s="58" t="s">
        <v>10477</v>
      </c>
      <c r="I62" s="58" t="s">
        <v>10761</v>
      </c>
      <c r="J62" s="58" t="str">
        <f>CONCATENATE("(${Variables:",E62,"_kcat","} * ",E62," * ",G62,")","/(${Variables:",E62,"_km","} + (",E62," * ",G62,"))")</f>
        <v>(${Variables:E2_1_2_1_kcat} * E2_1_2_1 * C00143 * C00037 * C00001)/(${Variables:E2_1_2_1_km} + (E2_1_2_1 * C00143 * C00037 * C00001))</v>
      </c>
      <c r="K62" s="59" t="str">
        <f>CONCATENATE("r",D62,": ",F62," -&gt; ",H62," | ",J62)</f>
        <v>r61: C00143 + C00037 + C00001 -&gt; C00101 + C00065 | (${Variables:E2_1_2_1_kcat} * E2_1_2_1 * C00143 * C00037 * C00001)/(${Variables:E2_1_2_1_km} + (E2_1_2_1 * C00143 * C00037 * C00001))</v>
      </c>
    </row>
    <row r="63" spans="1:12" ht="32">
      <c r="A63" s="57" t="s">
        <v>120</v>
      </c>
      <c r="B63" s="57" t="s">
        <v>2161</v>
      </c>
      <c r="C63" s="57" t="s">
        <v>8978</v>
      </c>
      <c r="D63" s="58">
        <v>62</v>
      </c>
      <c r="E63" s="58" t="str">
        <f>CONCATENATE("E",C63)</f>
        <v>E2_1_2_2</v>
      </c>
      <c r="F63" s="58" t="s">
        <v>9951</v>
      </c>
      <c r="G63" s="58" t="s">
        <v>10214</v>
      </c>
      <c r="H63" s="58" t="s">
        <v>10478</v>
      </c>
      <c r="I63" s="58" t="s">
        <v>10762</v>
      </c>
      <c r="J63" s="58" t="str">
        <f>CONCATENATE("(${Variables:",E63,"_kcat","} * ",E63," * ",G63,")","/(${Variables:",E63,"_km","} + (",E63," * ",G63,"))")</f>
        <v>(${Variables:E2_1_2_2_kcat} * E2_1_2_2 * C00234 *C03838)/(${Variables:E2_1_2_2_km} + (E2_1_2_2 * C00234 *C03838))</v>
      </c>
      <c r="K63" s="59" t="str">
        <f>CONCATENATE("r",D63,": ",F63," -&gt; ",H63," | ",J63)</f>
        <v>r62: C00234 +C03838 -&gt; C00101 + C04376 | (${Variables:E2_1_2_2_kcat} * E2_1_2_2 * C00234 *C03838)/(${Variables:E2_1_2_2_km} + (E2_1_2_2 * C00234 *C03838))</v>
      </c>
    </row>
    <row r="64" spans="1:12" ht="32">
      <c r="A64" s="57" t="s">
        <v>121</v>
      </c>
      <c r="B64" s="57" t="s">
        <v>2164</v>
      </c>
      <c r="C64" s="57" t="s">
        <v>8979</v>
      </c>
      <c r="D64" s="58">
        <v>63</v>
      </c>
      <c r="E64" s="58" t="str">
        <f>CONCATENATE("E",C64)</f>
        <v>E2_1_2_3</v>
      </c>
      <c r="F64" s="58" t="s">
        <v>9952</v>
      </c>
      <c r="G64" s="58" t="s">
        <v>10215</v>
      </c>
      <c r="H64" s="58" t="s">
        <v>10479</v>
      </c>
      <c r="I64" s="58" t="s">
        <v>10763</v>
      </c>
      <c r="J64" s="58" t="str">
        <f>CONCATENATE("(${Variables:",E64,"_kcat","} * ",E64," * ",G64,")","/(${Variables:",E64,"_km","} + (",E64," * ",G64,"))")</f>
        <v>(${Variables:E2_1_2_3_kcat} * E2_1_2_3 * C00234 * C04677 )/(${Variables:E2_1_2_3_km} + (E2_1_2_3 * C00234 * C04677 ))</v>
      </c>
      <c r="K64" s="59" t="str">
        <f>CONCATENATE("r",D64,": ",F64," -&gt; ",H64," | ",J64)</f>
        <v>r63: C00234 + C04677  -&gt; C00101 + C04734 | (${Variables:E2_1_2_3_kcat} * E2_1_2_3 * C00234 * C04677 )/(${Variables:E2_1_2_3_km} + (E2_1_2_3 * C00234 * C04677 ))</v>
      </c>
    </row>
    <row r="65" spans="1:12" ht="32">
      <c r="A65" s="57" t="s">
        <v>121</v>
      </c>
      <c r="B65" s="57" t="s">
        <v>2164</v>
      </c>
      <c r="C65" s="57" t="s">
        <v>8980</v>
      </c>
      <c r="D65" s="58">
        <v>64</v>
      </c>
      <c r="E65" s="58" t="str">
        <f>CONCATENATE("E",C65)</f>
        <v>E3_5_4_10</v>
      </c>
      <c r="F65" s="58" t="s">
        <v>9953</v>
      </c>
      <c r="G65" s="58" t="s">
        <v>10216</v>
      </c>
      <c r="H65" s="58" t="s">
        <v>8213</v>
      </c>
      <c r="I65" s="58" t="s">
        <v>8213</v>
      </c>
      <c r="J65" s="58" t="str">
        <f>CONCATENATE("(${Variables:",E65,"_kcat","} * ",E65," * ",G65,")","/(${Variables:",E65,"_km","} + (",E65," * ",G65,"))")</f>
        <v>(${Variables:E3_5_4_10_kcat} * E3_5_4_10 * C00130 * C00001)/(${Variables:E3_5_4_10_km} + (E3_5_4_10 * C00130 * C00001))</v>
      </c>
      <c r="K65" s="59" t="str">
        <f>CONCATENATE("r",D65,": ",F65," -&gt; ",H65," | ",J65)</f>
        <v>r64: C00130 + C00001 -&gt; C04734 | (${Variables:E3_5_4_10_kcat} * E3_5_4_10 * C00130 * C00001)/(${Variables:E3_5_4_10_km} + (E3_5_4_10 * C00130 * C00001))</v>
      </c>
    </row>
    <row r="66" spans="1:12" ht="32">
      <c r="A66" s="57" t="s">
        <v>1858</v>
      </c>
      <c r="B66" s="57" t="s">
        <v>5933</v>
      </c>
      <c r="C66" s="57" t="s">
        <v>8981</v>
      </c>
      <c r="D66" s="58">
        <v>65</v>
      </c>
      <c r="E66" s="58" t="str">
        <f>CONCATENATE("E",C66)</f>
        <v>E2_1_2_9</v>
      </c>
      <c r="F66" s="58" t="s">
        <v>9954</v>
      </c>
      <c r="G66" s="58" t="s">
        <v>10217</v>
      </c>
      <c r="H66" s="58" t="s">
        <v>10480</v>
      </c>
      <c r="I66" s="58" t="s">
        <v>10764</v>
      </c>
      <c r="J66" s="58" t="str">
        <f>CONCATENATE("(${Variables:",E66,"_kcat","} * ",E66," * ",G66,")","/(${Variables:",E66,"_km","} + (",E66," * ",G66,"))")</f>
        <v>(${Variables:E2_1_2_9_kcat} * E2_1_2_9 * C02430 * C00234)/(${Variables:E2_1_2_9_km} + (E2_1_2_9 * C02430 * C00234))</v>
      </c>
      <c r="K66" s="59" t="str">
        <f>CONCATENATE("r",D66,": ",F66," -&gt; ",H66," | ",J66)</f>
        <v>r65: C02430 + C00234 -&gt; C00101 + C03294 | (${Variables:E2_1_2_9_kcat} * E2_1_2_9 * C02430 * C00234)/(${Variables:E2_1_2_9_km} + (E2_1_2_9 * C02430 * C00234))</v>
      </c>
    </row>
    <row r="67" spans="1:12" ht="48">
      <c r="A67" s="57" t="s">
        <v>595</v>
      </c>
      <c r="B67" s="57" t="s">
        <v>3205</v>
      </c>
      <c r="C67" s="57" t="s">
        <v>8982</v>
      </c>
      <c r="D67" s="58">
        <v>66</v>
      </c>
      <c r="E67" s="58" t="str">
        <f>CONCATENATE("E",C67)</f>
        <v>E2_1_3_15</v>
      </c>
      <c r="F67" s="58" t="s">
        <v>9955</v>
      </c>
      <c r="G67" s="58" t="s">
        <v>10218</v>
      </c>
      <c r="H67" s="58" t="s">
        <v>10481</v>
      </c>
      <c r="I67" s="58" t="s">
        <v>10765</v>
      </c>
      <c r="J67" s="58" t="str">
        <f>CONCATENATE("(${Variables:",E67,"_kcat","} * ",E67," * ",G67,")","/(${Variables:",E67,"_km","} + (",E67," * ",G67,"))")</f>
        <v>(${Variables:E2_1_3_15_kcat} * E2_1_3_15 * C00024 * C04419)/(${Variables:E2_1_3_15_km} + (E2_1_3_15 * C00024 * C04419))</v>
      </c>
      <c r="K67" s="59" t="str">
        <f>CONCATENATE("r",D67,": ",F67," -&gt; ",H67," | ",J67)</f>
        <v>r66: C00024 + C04419 -&gt; C00083 + C06250 | (${Variables:E2_1_3_15_kcat} * E2_1_3_15 * C00024 * C04419)/(${Variables:E2_1_3_15_km} + (E2_1_3_15 * C00024 * C04419))</v>
      </c>
      <c r="L67" s="62"/>
    </row>
    <row r="68" spans="1:12" ht="32">
      <c r="A68" s="57" t="s">
        <v>753</v>
      </c>
      <c r="B68" s="57" t="s">
        <v>3553</v>
      </c>
      <c r="C68" s="57" t="s">
        <v>8983</v>
      </c>
      <c r="D68" s="58">
        <v>67</v>
      </c>
      <c r="E68" s="58" t="str">
        <f>CONCATENATE("E",C68)</f>
        <v>E2_1_3_2</v>
      </c>
      <c r="F68" s="58" t="s">
        <v>9956</v>
      </c>
      <c r="G68" s="58" t="s">
        <v>10219</v>
      </c>
      <c r="H68" s="58" t="s">
        <v>10482</v>
      </c>
      <c r="I68" s="58" t="s">
        <v>10766</v>
      </c>
      <c r="J68" s="58" t="str">
        <f>CONCATENATE("(${Variables:",E68,"_kcat","} * ",E68," * ",G68,")","/(${Variables:",E68,"_km","} + (",E68," * ",G68,"))")</f>
        <v>(${Variables:E2_1_3_2_kcat} * E2_1_3_2 * C00169 * C00049)/(${Variables:E2_1_3_2_km} + (E2_1_3_2 * C00169 * C00049))</v>
      </c>
      <c r="K68" s="59" t="str">
        <f>CONCATENATE("r",D68,": ",F68," -&gt; ",H68," | ",J68)</f>
        <v>r67: C00169 + C00049 -&gt; C00009 + C00438 | (${Variables:E2_1_3_2_kcat} * E2_1_3_2 * C00169 * C00049)/(${Variables:E2_1_3_2_km} + (E2_1_3_2 * C00169 * C00049))</v>
      </c>
      <c r="L68" s="62"/>
    </row>
    <row r="69" spans="1:12" ht="32">
      <c r="A69" s="57" t="s">
        <v>853</v>
      </c>
      <c r="B69" s="57" t="s">
        <v>3783</v>
      </c>
      <c r="C69" s="57" t="s">
        <v>8984</v>
      </c>
      <c r="D69" s="58">
        <v>68</v>
      </c>
      <c r="E69" s="58" t="str">
        <f>CONCATENATE("E",C69)</f>
        <v>E2_1_3_3</v>
      </c>
      <c r="F69" s="58" t="s">
        <v>9957</v>
      </c>
      <c r="G69" s="58" t="s">
        <v>10220</v>
      </c>
      <c r="H69" s="58" t="s">
        <v>10483</v>
      </c>
      <c r="I69" s="58" t="s">
        <v>10767</v>
      </c>
      <c r="J69" s="58" t="str">
        <f>CONCATENATE("(${Variables:",E69,"_kcat","} * ",E69," * ",G69,")","/(${Variables:",E69,"_km","} + (",E69," * ",G69,"))")</f>
        <v>(${Variables:E2_1_3_3_kcat} * E2_1_3_3 * C00169 * C00077)/(${Variables:E2_1_3_3_km} + (E2_1_3_3 * C00169 * C00077))</v>
      </c>
      <c r="K69" s="59" t="str">
        <f>CONCATENATE("r",D69,": ",F69," -&gt; ",H69," | ",J69)</f>
        <v>r68: C00169 + C00077 -&gt; C00009 + C00327 | (${Variables:E2_1_3_3_kcat} * E2_1_3_3 * C00169 * C00077)/(${Variables:E2_1_3_3_km} + (E2_1_3_3 * C00169 * C00077))</v>
      </c>
      <c r="L69" s="62"/>
    </row>
    <row r="70" spans="1:12" ht="32">
      <c r="A70" s="57" t="s">
        <v>487</v>
      </c>
      <c r="B70" s="57" t="s">
        <v>2962</v>
      </c>
      <c r="C70" s="57" t="s">
        <v>8986</v>
      </c>
      <c r="D70" s="58">
        <v>69</v>
      </c>
      <c r="E70" s="58" t="str">
        <f>CONCATENATE("E",C70)</f>
        <v>E2_2_1_1</v>
      </c>
      <c r="F70" s="58" t="s">
        <v>9958</v>
      </c>
      <c r="G70" s="58" t="s">
        <v>10221</v>
      </c>
      <c r="H70" s="58" t="s">
        <v>10484</v>
      </c>
      <c r="I70" s="58" t="s">
        <v>10768</v>
      </c>
      <c r="J70" s="58" t="str">
        <f>CONCATENATE("(${Variables:",E70,"_kcat","} * ",E70," * ",G70,")","/(${Variables:",E70,"_km","} + (",E70," * ",G70,"))")</f>
        <v>(${Variables:E2_2_1_1_kcat} * E2_2_1_1 * C05382 * C00118)/(${Variables:E2_2_1_1_km} + (E2_2_1_1 * C05382 * C00118))</v>
      </c>
      <c r="K70" s="59" t="str">
        <f>CONCATENATE("r",D70,": ",F70," -&gt; ",H70," | ",J70)</f>
        <v>r69: C05382 + C00118 -&gt; C00117 + C00231 | (${Variables:E2_2_1_1_kcat} * E2_2_1_1 * C05382 * C00118)/(${Variables:E2_2_1_1_km} + (E2_2_1_1 * C05382 * C00118))</v>
      </c>
      <c r="L70" s="62"/>
    </row>
    <row r="71" spans="1:12" ht="32">
      <c r="A71" s="57" t="s">
        <v>1256</v>
      </c>
      <c r="B71" s="57" t="s">
        <v>4657</v>
      </c>
      <c r="C71" s="57" t="s">
        <v>8987</v>
      </c>
      <c r="D71" s="58">
        <v>70</v>
      </c>
      <c r="E71" s="58" t="str">
        <f>CONCATENATE("E",C71)</f>
        <v>E2_2_1_6</v>
      </c>
      <c r="F71" s="58" t="s">
        <v>9959</v>
      </c>
      <c r="G71" s="58" t="s">
        <v>10222</v>
      </c>
      <c r="H71" s="58" t="s">
        <v>11024</v>
      </c>
      <c r="I71" s="58" t="s">
        <v>11024</v>
      </c>
      <c r="J71" s="58" t="str">
        <f>CONCATENATE("(${Variables:",E71,"_kcat","} * ",E71," * ",G71,")","/(${Variables:",E71,"_km","} + (",E71," * ",G71,"))")</f>
        <v>(${Variables:E2_2_1_6_kcat} * E2_2_1_6 * C00900 * C00011)/(${Variables:E2_2_1_6_km} + (E2_2_1_6 * C00900 * C00011))</v>
      </c>
      <c r="K71" s="59" t="str">
        <f>CONCATENATE("r",D71,": ",F71," -&gt; ",H71," | ",J71)</f>
        <v>r70: C00900 + C00011 -&gt;  C00022 | (${Variables:E2_2_1_6_kcat} * E2_2_1_6 * C00900 * C00011)/(${Variables:E2_2_1_6_km} + (E2_2_1_6 * C00900 * C00011))</v>
      </c>
      <c r="L71" s="62"/>
    </row>
    <row r="72" spans="1:12" ht="32">
      <c r="A72" s="57" t="s">
        <v>1256</v>
      </c>
      <c r="B72" s="57" t="s">
        <v>7218</v>
      </c>
      <c r="C72" s="57" t="s">
        <v>8987</v>
      </c>
      <c r="D72" s="58">
        <v>71</v>
      </c>
      <c r="E72" s="58" t="str">
        <f>CONCATENATE("E",C72)</f>
        <v>E2_2_1_6</v>
      </c>
      <c r="F72" s="58" t="s">
        <v>9959</v>
      </c>
      <c r="G72" s="58" t="s">
        <v>10222</v>
      </c>
      <c r="H72" s="58" t="s">
        <v>11025</v>
      </c>
      <c r="I72" s="58" t="s">
        <v>11025</v>
      </c>
      <c r="J72" s="58" t="str">
        <f>CONCATENATE("(${Variables:",E72,"_kcat","} * ",E72," * ",G72,")","/(${Variables:",E72,"_km","} + (",E72," * ",G72,"))")</f>
        <v>(${Variables:E2_2_1_6_kcat} * E2_2_1_6 * C00900 * C00011)/(${Variables:E2_2_1_6_km} + (E2_2_1_6 * C00900 * C00011))</v>
      </c>
      <c r="K72" s="59" t="str">
        <f>CONCATENATE("r",D72,": ",F72," -&gt; ",H72," | ",J72)</f>
        <v>r71: C00900 + C00011 -&gt; C00022 | (${Variables:E2_2_1_6_kcat} * E2_2_1_6 * C00900 * C00011)/(${Variables:E2_2_1_6_km} + (E2_2_1_6 * C00900 * C00011))</v>
      </c>
      <c r="L72" s="62"/>
    </row>
    <row r="73" spans="1:12" ht="48">
      <c r="A73" s="57" t="s">
        <v>583</v>
      </c>
      <c r="B73" s="57" t="s">
        <v>3173</v>
      </c>
      <c r="C73" s="57" t="s">
        <v>8989</v>
      </c>
      <c r="D73" s="58">
        <v>72</v>
      </c>
      <c r="E73" s="58" t="str">
        <f>CONCATENATE("E",C73)</f>
        <v>E2_3_1_180</v>
      </c>
      <c r="F73" s="58" t="s">
        <v>9960</v>
      </c>
      <c r="G73" s="58" t="s">
        <v>10223</v>
      </c>
      <c r="H73" s="58" t="s">
        <v>10485</v>
      </c>
      <c r="I73" s="58" t="s">
        <v>10769</v>
      </c>
      <c r="J73" s="58" t="str">
        <f>CONCATENATE("(${Variables:",E73,"_kcat","} * ",E73," * ",G73,")","/(${Variables:",E73,"_km","} + (",E73," * ",G73,"))")</f>
        <v>(${Variables:E2_3_1_180_kcat} * E2_3_1_180 * C00024 * C01209 )/(${Variables:E2_3_1_180_km} + (E2_3_1_180 * C00024 * C01209 ))</v>
      </c>
      <c r="K73" s="59" t="str">
        <f>CONCATENATE("r",D73,": ",F73," -&gt; ",H73," | ",J73)</f>
        <v>r72: C00024 + C01209  -&gt; C05744 + C00010 + C00011 | (${Variables:E2_3_1_180_kcat} * E2_3_1_180 * C00024 * C01209 )/(${Variables:E2_3_1_180_km} + (E2_3_1_180 * C00024 * C01209 ))</v>
      </c>
      <c r="L73" s="62"/>
    </row>
    <row r="74" spans="1:12" ht="48">
      <c r="A74" s="57" t="s">
        <v>583</v>
      </c>
      <c r="B74" s="57" t="s">
        <v>6921</v>
      </c>
      <c r="C74" s="57" t="s">
        <v>8990</v>
      </c>
      <c r="D74" s="58">
        <v>73</v>
      </c>
      <c r="E74" s="58" t="str">
        <f>CONCATENATE("E",C74)</f>
        <v>E2_3_1_266</v>
      </c>
      <c r="F74" s="58" t="s">
        <v>9961</v>
      </c>
      <c r="G74" s="58" t="s">
        <v>10224</v>
      </c>
      <c r="H74" s="58" t="s">
        <v>10486</v>
      </c>
      <c r="I74" s="58" t="s">
        <v>10770</v>
      </c>
      <c r="J74" s="58" t="str">
        <f>CONCATENATE("(${Variables:",E74,"_kcat","} * ",E74," * ",G74,")","/(${Variables:",E74,"_km","} + (",E74," * ",G74,"))")</f>
        <v>(${Variables:E2_3_1_266_kcat} * E2_3_1_266 * C00024 * C03803)/(${Variables:E2_3_1_266_km} + (E2_3_1_266 * C00024 * C03803))</v>
      </c>
      <c r="K74" s="59" t="str">
        <f>CONCATENATE("r",D74,": ",F74," -&gt; ",H74," | ",J74)</f>
        <v>r73: C00024 + C03803 -&gt; C00010 + C04341 | (${Variables:E2_3_1_266_kcat} * E2_3_1_266 * C00024 * C03803)/(${Variables:E2_3_1_266_km} + (E2_3_1_266 * C00024 * C03803))</v>
      </c>
      <c r="L74" s="62"/>
    </row>
    <row r="75" spans="1:12" ht="48">
      <c r="A75" s="57" t="s">
        <v>186</v>
      </c>
      <c r="B75" s="57" t="s">
        <v>2300</v>
      </c>
      <c r="C75" s="57" t="s">
        <v>8991</v>
      </c>
      <c r="D75" s="58">
        <v>74</v>
      </c>
      <c r="E75" s="58" t="str">
        <f>CONCATENATE("E",C75)</f>
        <v>E2_3_1_30</v>
      </c>
      <c r="F75" s="58" t="s">
        <v>9962</v>
      </c>
      <c r="G75" s="58" t="s">
        <v>10225</v>
      </c>
      <c r="H75" s="58" t="s">
        <v>10487</v>
      </c>
      <c r="I75" s="58" t="s">
        <v>10771</v>
      </c>
      <c r="J75" s="58" t="str">
        <f>CONCATENATE("(${Variables:",E75,"_kcat","} * ",E75," * ",G75,")","/(${Variables:",E75,"_km","} + (",E75," * ",G75,"))")</f>
        <v>(${Variables:E2_3_1_30_kcat} * E2_3_1_30 * C00065 * C00024)/(${Variables:E2_3_1_30_km} + (E2_3_1_30 * C00065 * C00024))</v>
      </c>
      <c r="K75" s="59" t="str">
        <f>CONCATENATE("r",D75,": ",F75," -&gt; ",H75," | ",J75)</f>
        <v>r74: C00065 + C00024 -&gt; C00979 + C00010 | (${Variables:E2_3_1_30_kcat} * E2_3_1_30 * C00065 * C00024)/(${Variables:E2_3_1_30_km} + (E2_3_1_30 * C00065 * C00024))</v>
      </c>
      <c r="L75" s="62"/>
    </row>
    <row r="76" spans="1:12" ht="48">
      <c r="A76" s="57" t="s">
        <v>1596</v>
      </c>
      <c r="B76" s="57" t="s">
        <v>5385</v>
      </c>
      <c r="C76" s="57" t="s">
        <v>8992</v>
      </c>
      <c r="D76" s="58">
        <v>75</v>
      </c>
      <c r="E76" s="58" t="str">
        <f>CONCATENATE("E",C76)</f>
        <v>E2_3_1_31</v>
      </c>
      <c r="F76" s="58" t="s">
        <v>9963</v>
      </c>
      <c r="G76" s="58" t="s">
        <v>10226</v>
      </c>
      <c r="H76" s="58" t="s">
        <v>10488</v>
      </c>
      <c r="I76" s="58" t="s">
        <v>10772</v>
      </c>
      <c r="J76" s="58" t="str">
        <f>CONCATENATE("(${Variables:",E76,"_kcat","} * ",E76," * ",G76,")","/(${Variables:",E76,"_km","} + (",E76," * ",G76,"))")</f>
        <v>(${Variables:E2_3_1_31_kcat} * E2_3_1_31 * C00024 * C00263 )/(${Variables:E2_3_1_31_km} + (E2_3_1_31 * C00024 * C00263 ))</v>
      </c>
      <c r="K76" s="59" t="str">
        <f>CONCATENATE("r",D76,": ",F76," -&gt; ",H76," | ",J76)</f>
        <v>r75: C00024 + C00263  -&gt; C00010 + C01077 | (${Variables:E2_3_1_31_kcat} * E2_3_1_31 * C00024 * C00263 )/(${Variables:E2_3_1_31_km} + (E2_3_1_31 * C00024 * C00263 ))</v>
      </c>
      <c r="L76" s="62"/>
    </row>
    <row r="77" spans="1:12" ht="48">
      <c r="A77" s="57" t="s">
        <v>672</v>
      </c>
      <c r="B77" s="57" t="s">
        <v>3384</v>
      </c>
      <c r="C77" s="57" t="s">
        <v>8993</v>
      </c>
      <c r="D77" s="58">
        <v>76</v>
      </c>
      <c r="E77" s="58" t="str">
        <f>CONCATENATE("E",C77)</f>
        <v>E2_3_1_35</v>
      </c>
      <c r="F77" s="58" t="s">
        <v>9964</v>
      </c>
      <c r="G77" s="58" t="s">
        <v>10227</v>
      </c>
      <c r="H77" s="58" t="s">
        <v>10489</v>
      </c>
      <c r="I77" s="58" t="s">
        <v>10773</v>
      </c>
      <c r="J77" s="58" t="str">
        <f>CONCATENATE("(${Variables:",E77,"_kcat","} * ",E77," * ",G77,")","/(${Variables:",E77,"_km","} + (",E77," * ",G77,"))")</f>
        <v>(${Variables:E2_3_1_35_kcat} * E2_3_1_35 * C00437 * C00025)/(${Variables:E2_3_1_35_km} + (E2_3_1_35 * C00437 * C00025))</v>
      </c>
      <c r="K77" s="59" t="str">
        <f>CONCATENATE("r",D77,": ",F77," -&gt; ",H77," | ",J77)</f>
        <v>r76: C00437 + C00025 -&gt; C00077 + C00624 | (${Variables:E2_3_1_35_kcat} * E2_3_1_35 * C00437 * C00025)/(${Variables:E2_3_1_35_km} + (E2_3_1_35 * C00437 * C00025))</v>
      </c>
      <c r="L77" s="62"/>
    </row>
    <row r="78" spans="1:12" ht="32">
      <c r="A78" s="57" t="s">
        <v>672</v>
      </c>
      <c r="B78" s="57" t="s">
        <v>3384</v>
      </c>
      <c r="C78" s="57" t="s">
        <v>8994</v>
      </c>
      <c r="D78" s="58">
        <v>77</v>
      </c>
      <c r="E78" s="58" t="str">
        <f>CONCATENATE("E",C78)</f>
        <v>E2_3_1_1</v>
      </c>
      <c r="F78" s="58" t="s">
        <v>9965</v>
      </c>
      <c r="G78" s="58" t="s">
        <v>10228</v>
      </c>
      <c r="H78" s="58" t="s">
        <v>10490</v>
      </c>
      <c r="I78" s="58" t="s">
        <v>10774</v>
      </c>
      <c r="J78" s="58" t="str">
        <f>CONCATENATE("(${Variables:",E78,"_kcat","} * ",E78," * ",G78,")","/(${Variables:",E78,"_km","} + (",E78," * ",G78,"))")</f>
        <v>(${Variables:E2_3_1_1_kcat} * E2_3_1_1 * C00024 * C00025 )/(${Variables:E2_3_1_1_km} + (E2_3_1_1 * C00024 * C00025 ))</v>
      </c>
      <c r="K78" s="59" t="str">
        <f>CONCATENATE("r",D78,": ",F78," -&gt; ",H78," | ",J78)</f>
        <v>r77: C00024 + C00025  -&gt; C00010 + C00624 | (${Variables:E2_3_1_1_kcat} * E2_3_1_1 * C00024 * C00025 )/(${Variables:E2_3_1_1_km} + (E2_3_1_1 * C00024 * C00025 ))</v>
      </c>
      <c r="L78" s="62"/>
    </row>
    <row r="79" spans="1:12" ht="48">
      <c r="A79" s="57" t="s">
        <v>587</v>
      </c>
      <c r="B79" s="57" t="s">
        <v>3182</v>
      </c>
      <c r="C79" s="57" t="s">
        <v>8995</v>
      </c>
      <c r="D79" s="58">
        <v>78</v>
      </c>
      <c r="E79" s="58" t="str">
        <f>CONCATENATE("E",C79)</f>
        <v>E2_3_1_39</v>
      </c>
      <c r="F79" s="58" t="s">
        <v>9966</v>
      </c>
      <c r="G79" s="58" t="s">
        <v>10229</v>
      </c>
      <c r="H79" s="58" t="s">
        <v>10491</v>
      </c>
      <c r="I79" s="58" t="s">
        <v>10775</v>
      </c>
      <c r="J79" s="58" t="str">
        <f>CONCATENATE("(${Variables:",E79,"_kcat","} * ",E79," * ",G79,")","/(${Variables:",E79,"_km","} + (",E79," * ",G79,"))")</f>
        <v>(${Variables:E2_3_1_39_kcat} * E2_3_1_39 * C00083 * C00229)/(${Variables:E2_3_1_39_km} + (E2_3_1_39 * C00083 * C00229))</v>
      </c>
      <c r="K79" s="59" t="str">
        <f>CONCATENATE("r",D79,": ",F79," -&gt; ",H79," | ",J79)</f>
        <v>r78: C00083 + C00229 -&gt; C00010 + C01209 | (${Variables:E2_3_1_39_kcat} * E2_3_1_39 * C00083 * C00229)/(${Variables:E2_3_1_39_km} + (E2_3_1_39 * C00083 * C00229))</v>
      </c>
      <c r="L79" s="62"/>
    </row>
    <row r="80" spans="1:12" ht="48">
      <c r="A80" s="57" t="s">
        <v>589</v>
      </c>
      <c r="B80" s="57" t="s">
        <v>3188</v>
      </c>
      <c r="C80" s="57" t="s">
        <v>8996</v>
      </c>
      <c r="D80" s="58">
        <v>79</v>
      </c>
      <c r="E80" s="58" t="str">
        <f>CONCATENATE("E",C80)</f>
        <v>E2_3_1_41</v>
      </c>
      <c r="F80" s="58" t="s">
        <v>9967</v>
      </c>
      <c r="G80" s="58" t="s">
        <v>10230</v>
      </c>
      <c r="H80" s="58" t="s">
        <v>10492</v>
      </c>
      <c r="I80" s="58" t="s">
        <v>10776</v>
      </c>
      <c r="J80" s="58" t="str">
        <f>CONCATENATE("(${Variables:",E80,"_kcat","} * ",E80," * ",G80,")","/(${Variables:",E80,"_km","} + (",E80," * ",G80,"))")</f>
        <v>(${Variables:E2_3_1_41_kcat} * E2_3_1_41 * C00173 * C01209 )/(${Variables:E2_3_1_41_km} + (E2_3_1_41 * C00173 * C01209 ))</v>
      </c>
      <c r="K80" s="59" t="str">
        <f>CONCATENATE("r",D80,": ",F80," -&gt; ",H80," | ",J80)</f>
        <v>r79: C00173 + C01209  -&gt; C00685 + C00011  + C00229 | (${Variables:E2_3_1_41_kcat} * E2_3_1_41 * C00173 * C01209 )/(${Variables:E2_3_1_41_km} + (E2_3_1_41 * C00173 * C01209 ))</v>
      </c>
      <c r="L80" s="62"/>
    </row>
    <row r="81" spans="1:12" ht="48">
      <c r="A81" s="57" t="s">
        <v>589</v>
      </c>
      <c r="B81" s="57" t="s">
        <v>6592</v>
      </c>
      <c r="C81" s="57" t="s">
        <v>8997</v>
      </c>
      <c r="D81" s="58">
        <v>80</v>
      </c>
      <c r="E81" s="58" t="str">
        <f>CONCATENATE("E",C81)</f>
        <v>E2_3_1_54</v>
      </c>
      <c r="F81" s="58" t="s">
        <v>9968</v>
      </c>
      <c r="G81" s="58" t="s">
        <v>10231</v>
      </c>
      <c r="H81" s="58" t="s">
        <v>10493</v>
      </c>
      <c r="I81" s="58" t="s">
        <v>10777</v>
      </c>
      <c r="J81" s="58" t="str">
        <f>CONCATENATE("(${Variables:",E81,"_kcat","} * ",E81," * ",G81,")","/(${Variables:",E81,"_km","} + (",E81," * ",G81,"))")</f>
        <v>(${Variables:E2_3_1_54_kcat} * E2_3_1_54 * C00024 * C00058)/(${Variables:E2_3_1_54_km} + (E2_3_1_54 * C00024 * C00058))</v>
      </c>
      <c r="K81" s="59" t="str">
        <f>CONCATENATE("r",D81,": ",F81," -&gt; ",H81," | ",J81)</f>
        <v>r80: C00024 + C00058 -&gt; C00010 + C00022 | (${Variables:E2_3_1_54_kcat} * E2_3_1_54 * C00024 * C00058)/(${Variables:E2_3_1_54_km} + (E2_3_1_54 * C00024 * C00058))</v>
      </c>
      <c r="L81" s="62"/>
    </row>
    <row r="82" spans="1:12" ht="32">
      <c r="A82" s="57" t="s">
        <v>1887</v>
      </c>
      <c r="B82" s="57" t="s">
        <v>5995</v>
      </c>
      <c r="C82" s="57" t="s">
        <v>8998</v>
      </c>
      <c r="D82" s="58">
        <v>81</v>
      </c>
      <c r="E82" s="58" t="str">
        <f>CONCATENATE("E",C82)</f>
        <v>E2_3_1_8</v>
      </c>
      <c r="F82" s="58" t="s">
        <v>9969</v>
      </c>
      <c r="G82" s="58" t="s">
        <v>10232</v>
      </c>
      <c r="H82" s="58" t="s">
        <v>10494</v>
      </c>
      <c r="I82" s="58" t="s">
        <v>10778</v>
      </c>
      <c r="J82" s="58" t="str">
        <f>CONCATENATE("(${Variables:",E82,"_kcat","} * ",E82," * ",G82,")","/(${Variables:",E82,"_km","} + (",E82," * ",G82,"))")</f>
        <v>(${Variables:E2_3_1_8_kcat} * E2_3_1_8 * C00024 * C00009)/(${Variables:E2_3_1_8_km} + (E2_3_1_8 * C00024 * C00009))</v>
      </c>
      <c r="K82" s="59" t="str">
        <f>CONCATENATE("r",D82,": ",F82," -&gt; ",H82," | ",J82)</f>
        <v>r81: C00024 + C00009 -&gt; C00010 + C00227 | (${Variables:E2_3_1_8_kcat} * E2_3_1_8 * C00024 * C00009)/(${Variables:E2_3_1_8_km} + (E2_3_1_8 * C00024 * C00009))</v>
      </c>
      <c r="L82" s="62"/>
    </row>
    <row r="83" spans="1:12" ht="48">
      <c r="A83" s="57" t="s">
        <v>1887</v>
      </c>
      <c r="B83" s="57" t="s">
        <v>7110</v>
      </c>
      <c r="C83" s="57" t="s">
        <v>8999</v>
      </c>
      <c r="D83" s="58">
        <v>82</v>
      </c>
      <c r="E83" s="58" t="str">
        <f>CONCATENATE("E",C83)</f>
        <v>E2_3_1_89</v>
      </c>
      <c r="F83" s="58" t="s">
        <v>9970</v>
      </c>
      <c r="G83" s="58" t="s">
        <v>10233</v>
      </c>
      <c r="H83" s="58" t="s">
        <v>10495</v>
      </c>
      <c r="I83" s="58" t="s">
        <v>10779</v>
      </c>
      <c r="J83" s="58" t="str">
        <f>CONCATENATE("(${Variables:",E83,"_kcat","} * ",E83," * ",G83,")","/(${Variables:",E83,"_km","} + (",E83," * ",G83,"))")</f>
        <v>(${Variables:E2_3_1_89_kcat} * E2_3_1_89 * C03972 * C00024 * C00001)/(${Variables:E2_3_1_89_km} + (E2_3_1_89 * C03972 * C00024 * C00001))</v>
      </c>
      <c r="K83" s="59" t="str">
        <f>CONCATENATE("r",D83,": ",F83," -&gt; ",H83," | ",J83)</f>
        <v>r82: C03972 + C00024 + C00001 -&gt; C05539 + C00010 | (${Variables:E2_3_1_89_kcat} * E2_3_1_89 * C03972 * C00024 * C00001)/(${Variables:E2_3_1_89_km} + (E2_3_1_89 * C03972 * C00024 * C00001))</v>
      </c>
      <c r="L83" s="62"/>
    </row>
    <row r="84" spans="1:12" ht="48">
      <c r="A84" s="57" t="s">
        <v>813</v>
      </c>
      <c r="B84" s="57" t="s">
        <v>3702</v>
      </c>
      <c r="C84" s="57" t="s">
        <v>9000</v>
      </c>
      <c r="D84" s="58">
        <v>83</v>
      </c>
      <c r="E84" s="58" t="str">
        <f>CONCATENATE("E",C84)</f>
        <v>E2_3_3_10</v>
      </c>
      <c r="F84" s="58" t="s">
        <v>9971</v>
      </c>
      <c r="G84" s="58" t="s">
        <v>10234</v>
      </c>
      <c r="H84" s="58" t="s">
        <v>10496</v>
      </c>
      <c r="I84" s="58" t="s">
        <v>10780</v>
      </c>
      <c r="J84" s="58" t="str">
        <f>CONCATENATE("(${Variables:",E84,"_kcat","} * ",E84," * ",G84,")","/(${Variables:",E84,"_km","} + (",E84," * ",G84,"))")</f>
        <v>(${Variables:E2_3_3_10_kcat} * E2_3_3_10 * C00356 * C00010)/(${Variables:E2_3_3_10_km} + (E2_3_3_10 * C00356 * C00010))</v>
      </c>
      <c r="K84" s="59" t="str">
        <f>CONCATENATE("r",D84,": ",F84," -&gt; ",H84," | ",J84)</f>
        <v>r83: C00356 + C00010 -&gt; C00024 + C00001 + C00332 | (${Variables:E2_3_3_10_kcat} * E2_3_3_10 * C00356 * C00010)/(${Variables:E2_3_3_10_km} + (E2_3_3_10 * C00356 * C00010))</v>
      </c>
    </row>
    <row r="85" spans="1:12" ht="48">
      <c r="A85" s="57" t="s">
        <v>1648</v>
      </c>
      <c r="B85" s="57" t="s">
        <v>5515</v>
      </c>
      <c r="C85" s="57" t="s">
        <v>9001</v>
      </c>
      <c r="D85" s="58">
        <v>84</v>
      </c>
      <c r="E85" s="58" t="str">
        <f>CONCATENATE("E",C85)</f>
        <v>E2_3_3_16</v>
      </c>
      <c r="F85" s="58" t="s">
        <v>9972</v>
      </c>
      <c r="G85" s="58" t="s">
        <v>10235</v>
      </c>
      <c r="H85" s="58" t="s">
        <v>10497</v>
      </c>
      <c r="I85" s="58" t="s">
        <v>10781</v>
      </c>
      <c r="J85" s="58" t="str">
        <f>CONCATENATE("(${Variables:",E85,"_kcat","} * ",E85," * ",G85,")","/(${Variables:",E85,"_km","} + (",E85," * ",G85,"))")</f>
        <v>(${Variables:E2_3_3_16_kcat} * E2_3_3_16 * C00158 * C00010)/(${Variables:E2_3_3_16_km} + (E2_3_3_16 * C00158 * C00010))</v>
      </c>
      <c r="K85" s="59" t="str">
        <f>CONCATENATE("r",D85,": ",F85," -&gt; ",H85," | ",J85)</f>
        <v>r84: C00158 + C00010 -&gt; C00024 + C00001 + C00036 | (${Variables:E2_3_3_16_kcat} * E2_3_3_16 * C00158 * C00010)/(${Variables:E2_3_3_16_km} + (E2_3_3_16 * C00158 * C00010))</v>
      </c>
    </row>
    <row r="86" spans="1:12" ht="48">
      <c r="A86" s="57" t="s">
        <v>110</v>
      </c>
      <c r="B86" s="57" t="s">
        <v>3675</v>
      </c>
      <c r="C86" s="57" t="s">
        <v>9005</v>
      </c>
      <c r="D86" s="58">
        <v>85</v>
      </c>
      <c r="E86" s="58" t="str">
        <f>CONCATENATE("E",C86)</f>
        <v>E2_4_1_208</v>
      </c>
      <c r="F86" s="58" t="s">
        <v>9973</v>
      </c>
      <c r="G86" s="58" t="s">
        <v>10236</v>
      </c>
      <c r="H86" s="58" t="s">
        <v>10498</v>
      </c>
      <c r="I86" s="58" t="s">
        <v>10782</v>
      </c>
      <c r="J86" s="58" t="str">
        <f>CONCATENATE("(${Variables:",E86,"_kcat","} * ",E86," * ",G86,")","/(${Variables:",E86,"_km","} + (",E86," * ",G86,"))")</f>
        <v>(${Variables:E2_4_1_208_kcat} * E2_4_1_208 * C00029 * C06364)/(${Variables:E2_4_1_208_km} + (E2_4_1_208 * C00029 * C06364))</v>
      </c>
      <c r="K86" s="59" t="str">
        <f>CONCATENATE("r",D86,": ",F86," -&gt; ",H86," | ",J86)</f>
        <v>r85: C00029 + C06364 -&gt; C00015 + C06365 | (${Variables:E2_4_1_208_kcat} * E2_4_1_208 * C00029 * C06364)/(${Variables:E2_4_1_208_km} + (E2_4_1_208 * C00029 * C06364))</v>
      </c>
      <c r="L86" s="61"/>
    </row>
    <row r="87" spans="1:12" ht="48">
      <c r="A87" s="57" t="s">
        <v>110</v>
      </c>
      <c r="B87" s="57" t="s">
        <v>3675</v>
      </c>
      <c r="C87" s="57" t="s">
        <v>9006</v>
      </c>
      <c r="D87" s="58">
        <v>86</v>
      </c>
      <c r="E87" s="58" t="str">
        <f>CONCATENATE("E",C87)</f>
        <v>E2_4_1_337</v>
      </c>
      <c r="F87" s="58" t="s">
        <v>9974</v>
      </c>
      <c r="G87" s="58" t="s">
        <v>10237</v>
      </c>
      <c r="H87" s="58" t="s">
        <v>10499</v>
      </c>
      <c r="I87" s="58" t="s">
        <v>10783</v>
      </c>
      <c r="J87" s="58" t="str">
        <f>CONCATENATE("(${Variables:",E87,"_kcat","} * ",E87," * ",G87,")","/(${Variables:",E87,"_km","} + (",E87," * ",G87,"))")</f>
        <v>(${Variables:E2_4_1_337_kcat} * E2_4_1_337 * C00029 * C00641)/(${Variables:E2_4_1_337_km} + (E2_4_1_337 * C00029 * C00641))</v>
      </c>
      <c r="K87" s="59" t="str">
        <f>CONCATENATE("r",D87,": ",F87," -&gt; ",H87," | ",J87)</f>
        <v>r86: C00029 + C00641 -&gt; C00015 + C06364 | (${Variables:E2_4_1_337_kcat} * E2_4_1_337 * C00029 * C00641)/(${Variables:E2_4_1_337_km} + (E2_4_1_337 * C00029 * C00641))</v>
      </c>
      <c r="L87" s="61"/>
    </row>
    <row r="88" spans="1:12" ht="48">
      <c r="A88" s="57" t="s">
        <v>1007</v>
      </c>
      <c r="B88" s="57" t="s">
        <v>4142</v>
      </c>
      <c r="C88" s="57" t="s">
        <v>9007</v>
      </c>
      <c r="D88" s="58">
        <v>87</v>
      </c>
      <c r="E88" s="58" t="str">
        <f>CONCATENATE("E",C88)</f>
        <v>E2_4_1_227</v>
      </c>
      <c r="F88" s="58" t="s">
        <v>9975</v>
      </c>
      <c r="G88" s="58" t="s">
        <v>10238</v>
      </c>
      <c r="H88" s="58" t="s">
        <v>10500</v>
      </c>
      <c r="I88" s="58" t="s">
        <v>10784</v>
      </c>
      <c r="J88" s="58" t="str">
        <f>CONCATENATE("(${Variables:",E88,"_kcat","} * ",E88," * ",G88,")","/(${Variables:",E88,"_km","} + (",E88," * ",G88,"))")</f>
        <v>(${Variables:E2_4_1_227_kcat} * E2_4_1_227 * C04851 * C00043)/(${Variables:E2_4_1_227_km} + (E2_4_1_227 * C04851 * C00043))</v>
      </c>
      <c r="K88" s="59" t="str">
        <f>CONCATENATE("r",D88,": ",F88," -&gt; ",H88," | ",J88)</f>
        <v>r87: C04851 + C00043 -&gt; C05893 + C00015 | (${Variables:E2_4_1_227_kcat} * E2_4_1_227 * C04851 * C00043)/(${Variables:E2_4_1_227_km} + (E2_4_1_227 * C04851 * C00043))</v>
      </c>
    </row>
    <row r="89" spans="1:12" ht="48">
      <c r="A89" s="57" t="s">
        <v>1369</v>
      </c>
      <c r="B89" s="57" t="s">
        <v>4902</v>
      </c>
      <c r="C89" s="57" t="s">
        <v>9008</v>
      </c>
      <c r="D89" s="58">
        <v>88</v>
      </c>
      <c r="E89" s="58" t="str">
        <f>CONCATENATE("E",C89)</f>
        <v>E2_4_1_25</v>
      </c>
      <c r="F89" s="58" t="s">
        <v>11004</v>
      </c>
      <c r="G89" s="58" t="s">
        <v>11003</v>
      </c>
      <c r="H89" s="58" t="s">
        <v>11005</v>
      </c>
      <c r="I89" s="58" t="s">
        <v>11005</v>
      </c>
      <c r="J89" s="58" t="str">
        <f>CONCATENATE("(${Variables:",E89,"_kcat","} * ",E89," * ",G89,")","/(${Variables:",E89,"_km","} + (",E89," * ",G89,"))")</f>
        <v>(${Variables:E2_4_1_25_kcat} * E2_4_1_25 * C00718 *  COOO31 )/(${Variables:E2_4_1_25_km} + (E2_4_1_25 * C00718 *  COOO31 ))</v>
      </c>
      <c r="K89" s="59" t="str">
        <f>CONCATENATE("r",D89,": ",F89," -&gt; ",H89," | ",J89)</f>
        <v>r88: C00718 +  COOO31  -&gt; C00208 | (${Variables:E2_4_1_25_kcat} * E2_4_1_25 * C00718 *  COOO31 )/(${Variables:E2_4_1_25_km} + (E2_4_1_25 * C00718 *  COOO31 ))</v>
      </c>
    </row>
    <row r="90" spans="1:12" ht="32">
      <c r="A90" s="57" t="s">
        <v>1457</v>
      </c>
      <c r="B90" s="57" t="s">
        <v>5083</v>
      </c>
      <c r="C90" s="57" t="s">
        <v>9009</v>
      </c>
      <c r="D90" s="58">
        <v>89</v>
      </c>
      <c r="E90" s="58" t="str">
        <f>CONCATENATE("E",C90)</f>
        <v>E2_4_2_1</v>
      </c>
      <c r="F90" s="58" t="s">
        <v>9976</v>
      </c>
      <c r="G90" s="58" t="s">
        <v>10239</v>
      </c>
      <c r="H90" s="58" t="s">
        <v>10501</v>
      </c>
      <c r="I90" s="58" t="s">
        <v>10785</v>
      </c>
      <c r="J90" s="58" t="str">
        <f>CONCATENATE("(${Variables:",E90,"_kcat","} * ",E90," * ",G90,")","/(${Variables:",E90,"_km","} + (",E90," * ",G90,"))")</f>
        <v>(${Variables:E2_4_2_1_kcat} * E2_4_2_1 * C15586 * C00009)/(${Variables:E2_4_2_1_km} + (E2_4_2_1 * C15586 * C00009))</v>
      </c>
      <c r="K90" s="59" t="str">
        <f>CONCATENATE("r",D90,": ",F90," -&gt; ",H90," | ",J90)</f>
        <v>r89: C15586 + C00009 -&gt; C15587 + C00620 | (${Variables:E2_4_2_1_kcat} * E2_4_2_1 * C15586 * C00009)/(${Variables:E2_4_2_1_km} + (E2_4_2_1 * C15586 * C00009))</v>
      </c>
      <c r="L90" s="61"/>
    </row>
    <row r="91" spans="1:12" ht="48">
      <c r="A91" s="57" t="s">
        <v>1325</v>
      </c>
      <c r="B91" s="57" t="s">
        <v>4786</v>
      </c>
      <c r="C91" s="57" t="s">
        <v>9010</v>
      </c>
      <c r="D91" s="58">
        <v>90</v>
      </c>
      <c r="E91" s="58" t="str">
        <f>CONCATENATE("E",C91)</f>
        <v>E2_4_2_10</v>
      </c>
      <c r="F91" s="58" t="s">
        <v>9977</v>
      </c>
      <c r="G91" s="58" t="s">
        <v>10240</v>
      </c>
      <c r="H91" s="58" t="s">
        <v>10502</v>
      </c>
      <c r="I91" s="58" t="s">
        <v>10786</v>
      </c>
      <c r="J91" s="58" t="str">
        <f>CONCATENATE("(${Variables:",E91,"_kcat","} * ",E91," * ",G91,")","/(${Variables:",E91,"_km","} + (",E91," * ",G91,"))")</f>
        <v>(${Variables:E2_4_2_10_kcat} * E2_4_2_10 * C01103 * C00013)/(${Variables:E2_4_2_10_km} + (E2_4_2_10 * C01103 * C00013))</v>
      </c>
      <c r="K91" s="59" t="str">
        <f>CONCATENATE("r",D91,": ",F91," -&gt; ",H91," | ",J91)</f>
        <v>r90: C01103 + C00013 -&gt; C00295 + C00119 | (${Variables:E2_4_2_10_kcat} * E2_4_2_10 * C01103 * C00013)/(${Variables:E2_4_2_10_km} + (E2_4_2_10 * C01103 * C00013))</v>
      </c>
      <c r="L91" s="61"/>
    </row>
    <row r="92" spans="1:12" ht="48">
      <c r="A92" s="57" t="s">
        <v>117</v>
      </c>
      <c r="B92" s="57" t="s">
        <v>2156</v>
      </c>
      <c r="C92" s="57" t="s">
        <v>9011</v>
      </c>
      <c r="D92" s="58">
        <v>91</v>
      </c>
      <c r="E92" s="58" t="str">
        <f>CONCATENATE("E",C92)</f>
        <v>E2_4_2_14</v>
      </c>
      <c r="F92" s="58" t="s">
        <v>9978</v>
      </c>
      <c r="G92" s="58" t="s">
        <v>10241</v>
      </c>
      <c r="H92" s="58" t="s">
        <v>10503</v>
      </c>
      <c r="I92" s="58" t="s">
        <v>10787</v>
      </c>
      <c r="J92" s="58" t="str">
        <f>CONCATENATE("(${Variables:",E92,"_kcat","} * ",E92," * ",G92,")","/(${Variables:",E92,"_km","} + (",E92," * ",G92,"))")</f>
        <v>(${Variables:E2_4_2_14_kcat} * E2_4_2_14 * C03090 * C00013 * C00025)/(${Variables:E2_4_2_14_km} + (E2_4_2_14 * C03090 * C00013 * C00025))</v>
      </c>
      <c r="K92" s="59" t="str">
        <f>CONCATENATE("r",D92,": ",F92," -&gt; ",H92," | ",J92)</f>
        <v>r91: C03090 + C00013 + C00025 -&gt; C00064 + C0019 + C00001 | (${Variables:E2_4_2_14_kcat} * E2_4_2_14 * C03090 * C00013 * C00025)/(${Variables:E2_4_2_14_km} + (E2_4_2_14 * C03090 * C00013 * C00025))</v>
      </c>
      <c r="L92" s="61"/>
    </row>
    <row r="93" spans="1:12" ht="48">
      <c r="A93" s="57" t="s">
        <v>117</v>
      </c>
      <c r="B93" s="57" t="s">
        <v>6384</v>
      </c>
      <c r="C93" s="57" t="s">
        <v>9012</v>
      </c>
      <c r="D93" s="58">
        <v>92</v>
      </c>
      <c r="E93" s="58" t="str">
        <f>CONCATENATE("E",C93)</f>
        <v>E2_4_2_18</v>
      </c>
      <c r="F93" s="58" t="s">
        <v>9979</v>
      </c>
      <c r="G93" s="58" t="s">
        <v>10242</v>
      </c>
      <c r="H93" s="58" t="s">
        <v>10504</v>
      </c>
      <c r="I93" s="58" t="s">
        <v>10788</v>
      </c>
      <c r="J93" s="58" t="str">
        <f>CONCATENATE("(${Variables:",E93,"_kcat","} * ",E93," * ",G93,")","/(${Variables:",E93,"_km","} + (",E93," * ",G93,"))")</f>
        <v>(${Variables:E2_4_2_18_kcat} * E2_4_2_18 * C04302 * C00013 )/(${Variables:E2_4_2_18_km} + (E2_4_2_18 * C04302 * C00013 ))</v>
      </c>
      <c r="K93" s="59" t="str">
        <f>CONCATENATE("r",D93,": ",F93," -&gt; ",H93," | ",J93)</f>
        <v>r92: C04302 + C00013  -&gt; C00108 + C00119 | (${Variables:E2_4_2_18_kcat} * E2_4_2_18 * C04302 * C00013 )/(${Variables:E2_4_2_18_km} + (E2_4_2_18 * C04302 * C00013 ))</v>
      </c>
      <c r="L93" s="61"/>
    </row>
    <row r="94" spans="1:12" ht="48">
      <c r="A94" s="57" t="s">
        <v>117</v>
      </c>
      <c r="B94" s="57" t="s">
        <v>7015</v>
      </c>
      <c r="C94" s="57" t="s">
        <v>9013</v>
      </c>
      <c r="D94" s="58">
        <v>93</v>
      </c>
      <c r="E94" s="58" t="str">
        <f>CONCATENATE("E",C94)</f>
        <v>E2_4_2_29</v>
      </c>
      <c r="F94" s="58" t="s">
        <v>9980</v>
      </c>
      <c r="G94" s="58" t="s">
        <v>10243</v>
      </c>
      <c r="H94" s="58" t="s">
        <v>10505</v>
      </c>
      <c r="I94" s="58" t="s">
        <v>10789</v>
      </c>
      <c r="J94" s="58" t="str">
        <f>CONCATENATE("(${Variables:",E94,"_kcat","} * ",E94," * ",G94,")","/(${Variables:",E94,"_km","} + (",E94," * ",G94,"))")</f>
        <v>(${Variables:E2_4_2_29_kcat} * E2_4_2_29 * C01977 * C16675 )/(${Variables:E2_4_2_29_km} + (E2_4_2_29 * C01977 * C16675 ))</v>
      </c>
      <c r="K94" s="59" t="str">
        <f>CONCATENATE("r",D94,": ",F94," -&gt; ",H94," | ",J94)</f>
        <v>r93: C01977 + C16675  -&gt; C20446 + C00242 | (${Variables:E2_4_2_29_kcat} * E2_4_2_29 * C01977 * C16675 )/(${Variables:E2_4_2_29_km} + (E2_4_2_29 * C01977 * C16675 ))</v>
      </c>
      <c r="L94" s="61"/>
    </row>
    <row r="95" spans="1:12" ht="32">
      <c r="A95" s="57" t="s">
        <v>778</v>
      </c>
      <c r="B95" s="57" t="s">
        <v>3619</v>
      </c>
      <c r="C95" s="57" t="s">
        <v>9014</v>
      </c>
      <c r="D95" s="58">
        <v>94</v>
      </c>
      <c r="E95" s="58" t="str">
        <f>CONCATENATE("E",C95)</f>
        <v>E2_4_2_3</v>
      </c>
      <c r="F95" s="58" t="s">
        <v>9981</v>
      </c>
      <c r="G95" s="58" t="s">
        <v>10244</v>
      </c>
      <c r="H95" s="58" t="s">
        <v>10506</v>
      </c>
      <c r="I95" s="58" t="s">
        <v>10790</v>
      </c>
      <c r="J95" s="58" t="str">
        <f>CONCATENATE("(${Variables:",E95,"_kcat","} * ",E95," * ",G95,")","/(${Variables:",E95,"_km","} + (",E95," * ",G95,"))")</f>
        <v>(${Variables:E2_4_2_3_kcat} * E2_4_2_3 * C0029 * C00009)/(${Variables:E2_4_2_3_km} + (E2_4_2_3 * C0029 * C00009))</v>
      </c>
      <c r="K95" s="59" t="str">
        <f>CONCATENATE("r",D95,": ",F95," -&gt; ",H95," | ",J95)</f>
        <v>r94: C0029 + C00009 -&gt; C00106 + C00620 | (${Variables:E2_4_2_3_kcat} * E2_4_2_3 * C0029 * C00009)/(${Variables:E2_4_2_3_km} + (E2_4_2_3 * C0029 * C00009))</v>
      </c>
      <c r="L95" s="61"/>
    </row>
    <row r="96" spans="1:12" ht="32">
      <c r="A96" s="57" t="s">
        <v>1597</v>
      </c>
      <c r="B96" s="57" t="s">
        <v>5388</v>
      </c>
      <c r="C96" s="57" t="s">
        <v>9015</v>
      </c>
      <c r="D96" s="58">
        <v>95</v>
      </c>
      <c r="E96" s="58" t="str">
        <f>CONCATENATE("E",C96)</f>
        <v>E2_4_2_7</v>
      </c>
      <c r="F96" s="58" t="s">
        <v>9982</v>
      </c>
      <c r="G96" s="58" t="s">
        <v>10245</v>
      </c>
      <c r="H96" s="58" t="s">
        <v>10507</v>
      </c>
      <c r="I96" s="58" t="s">
        <v>10791</v>
      </c>
      <c r="J96" s="58" t="str">
        <f>CONCATENATE("(${Variables:",E96,"_kcat","} * ",E96," * ",G96,")","/(${Variables:",E96,"_km","} + (",E96," * ",G96,"))")</f>
        <v>(${Variables:E2_4_2_7_kcat} * E2_4_2_7 * C00020 * C00013)/(${Variables:E2_4_2_7_km} + (E2_4_2_7 * C00020 * C00013))</v>
      </c>
      <c r="K96" s="59" t="str">
        <f>CONCATENATE("r",D96,": ",F96," -&gt; ",H96," | ",J96)</f>
        <v>r95: C00020 + C00013 -&gt; C00147 + C00119 | (${Variables:E2_4_2_7_kcat} * E2_4_2_7 * C00020 * C00013)/(${Variables:E2_4_2_7_km} + (E2_4_2_7 * C00020 * C00013))</v>
      </c>
      <c r="L96" s="61"/>
    </row>
    <row r="97" spans="1:12" ht="32">
      <c r="A97" s="57" t="s">
        <v>72</v>
      </c>
      <c r="B97" s="57" t="s">
        <v>2087</v>
      </c>
      <c r="C97" s="57" t="s">
        <v>9016</v>
      </c>
      <c r="D97" s="58">
        <v>96</v>
      </c>
      <c r="E97" s="58" t="str">
        <f>CONCATENATE("E",C97)</f>
        <v>E2_4_2_8</v>
      </c>
      <c r="F97" s="58" t="s">
        <v>9953</v>
      </c>
      <c r="G97" s="58" t="s">
        <v>10216</v>
      </c>
      <c r="H97" s="58" t="s">
        <v>10508</v>
      </c>
      <c r="I97" s="58" t="s">
        <v>10792</v>
      </c>
      <c r="J97" s="58" t="str">
        <f>CONCATENATE("(${Variables:",E97,"_kcat","} * ",E97," * ",G97,")","/(${Variables:",E97,"_km","} + (",E97," * ",G97,"))")</f>
        <v>(${Variables:E2_4_2_8_kcat} * E2_4_2_8 * C00130 * C00001)/(${Variables:E2_4_2_8_km} + (E2_4_2_8 * C00130 * C00001))</v>
      </c>
      <c r="K97" s="59" t="str">
        <f>CONCATENATE("r",D97,": ",F97," -&gt; ",H97," | ",J97)</f>
        <v>r96: C00130 + C00001 -&gt; C00262 + C00119 | (${Variables:E2_4_2_8_kcat} * E2_4_2_8 * C00130 * C00001)/(${Variables:E2_4_2_8_km} + (E2_4_2_8 * C00130 * C00001))</v>
      </c>
      <c r="L97" s="61"/>
    </row>
    <row r="98" spans="1:12" ht="32">
      <c r="A98" s="57" t="s">
        <v>549</v>
      </c>
      <c r="B98" s="57" t="s">
        <v>3090</v>
      </c>
      <c r="C98" s="57" t="s">
        <v>9017</v>
      </c>
      <c r="D98" s="58">
        <v>97</v>
      </c>
      <c r="E98" s="58" t="str">
        <f>CONCATENATE("E",C98)</f>
        <v>E2_4_2_9</v>
      </c>
      <c r="F98" s="58" t="s">
        <v>9983</v>
      </c>
      <c r="G98" s="58" t="s">
        <v>10246</v>
      </c>
      <c r="H98" s="58" t="s">
        <v>10509</v>
      </c>
      <c r="I98" s="58" t="s">
        <v>10793</v>
      </c>
      <c r="J98" s="58" t="str">
        <f>CONCATENATE("(${Variables:",E98,"_kcat","} * ",E98," * ",G98,")","/(${Variables:",E98,"_km","} + (",E98," * ",G98,"))")</f>
        <v>(${Variables:E2_4_2_9_kcat} * E2_4_2_9 * C00105 * C00013)/(${Variables:E2_4_2_9_km} + (E2_4_2_9 * C00105 * C00013))</v>
      </c>
      <c r="K98" s="59" t="str">
        <f>CONCATENATE("r",D98,": ",F98," -&gt; ",H98," | ",J98)</f>
        <v>r97: C00105 + C00013 -&gt; C00106 + C00119 | (${Variables:E2_4_2_9_kcat} * E2_4_2_9 * C00105 * C00013)/(${Variables:E2_4_2_9_km} + (E2_4_2_9 * C00105 * C00013))</v>
      </c>
    </row>
    <row r="99" spans="1:12" ht="48">
      <c r="A99" s="57" t="s">
        <v>768</v>
      </c>
      <c r="B99" s="57" t="s">
        <v>3591</v>
      </c>
      <c r="C99" s="57" t="s">
        <v>9018</v>
      </c>
      <c r="D99" s="58">
        <v>98</v>
      </c>
      <c r="E99" s="58" t="str">
        <f>CONCATENATE("E",C99)</f>
        <v>E2_4_99_17</v>
      </c>
      <c r="F99" s="58" t="s">
        <v>9984</v>
      </c>
      <c r="G99" s="58" t="s">
        <v>10247</v>
      </c>
      <c r="H99" s="58" t="s">
        <v>10510</v>
      </c>
      <c r="I99" s="58" t="s">
        <v>10794</v>
      </c>
      <c r="J99" s="58" t="str">
        <f>CONCATENATE("(${Variables:",E99,"_kcat","} * ",E99," * ",G99,")","/(${Variables:",E99,"_km","} + (",E99," * ",G99,"))")</f>
        <v>(${Variables:E2_4_99_17_kcat} * E2_4_99_17 * C00019 * C20446)/(${Variables:E2_4_99_17_km} + (E2_4_99_17 * C00019 * C20446))</v>
      </c>
      <c r="K99" s="59" t="str">
        <f>CONCATENATE("r",D99,": ",F99," -&gt; ",H99," | ",J99)</f>
        <v>r98: C00019 + C20446 -&gt; C00073 + C00147 + C19647 | (${Variables:E2_4_99_17_kcat} * E2_4_99_17 * C00019 * C20446)/(${Variables:E2_4_99_17_km} + (E2_4_99_17 * C00019 * C20446))</v>
      </c>
      <c r="L99" s="61"/>
    </row>
    <row r="100" spans="1:12" ht="48">
      <c r="A100" s="57" t="s">
        <v>1588</v>
      </c>
      <c r="B100" s="57" t="s">
        <v>5364</v>
      </c>
      <c r="C100" s="57" t="s">
        <v>9019</v>
      </c>
      <c r="D100" s="58">
        <v>99</v>
      </c>
      <c r="E100" s="58" t="str">
        <f>CONCATENATE("E",C100)</f>
        <v>E2_5_1_10</v>
      </c>
      <c r="F100" s="58" t="s">
        <v>9985</v>
      </c>
      <c r="G100" s="58" t="s">
        <v>10248</v>
      </c>
      <c r="H100" s="58" t="s">
        <v>10511</v>
      </c>
      <c r="I100" s="58" t="s">
        <v>10795</v>
      </c>
      <c r="J100" s="58" t="str">
        <f>CONCATENATE("(${Variables:",E100,"_kcat","} * ",E100," * ",G100,")","/(${Variables:",E100,"_km","} + (",E100," * ",G100,"))")</f>
        <v>(${Variables:E2_5_1_10_kcat} * E2_5_1_10 * C00341 * C00129 )/(${Variables:E2_5_1_10_km} + (E2_5_1_10 * C00341 * C00129 ))</v>
      </c>
      <c r="K100" s="59" t="str">
        <f>CONCATENATE("r",D100,": ",F100," -&gt; ",H100," | ",J100)</f>
        <v>r99: C00341 + C00129  -&gt; C00013 + C00448 | (${Variables:E2_5_1_10_kcat} * E2_5_1_10 * C00341 * C00129 )/(${Variables:E2_5_1_10_km} + (E2_5_1_10 * C00341 * C00129 ))</v>
      </c>
    </row>
    <row r="101" spans="1:12" ht="48">
      <c r="A101" s="57" t="s">
        <v>2003</v>
      </c>
      <c r="B101" s="57" t="s">
        <v>6232</v>
      </c>
      <c r="C101" s="57" t="s">
        <v>9020</v>
      </c>
      <c r="D101" s="58">
        <v>100</v>
      </c>
      <c r="E101" s="58" t="str">
        <f>CONCATENATE("E",C101)</f>
        <v>E2_5_1_15</v>
      </c>
      <c r="F101" s="58" t="s">
        <v>9986</v>
      </c>
      <c r="G101" s="58" t="s">
        <v>10249</v>
      </c>
      <c r="H101" s="58" t="s">
        <v>10512</v>
      </c>
      <c r="I101" s="58" t="s">
        <v>10796</v>
      </c>
      <c r="J101" s="58" t="str">
        <f>CONCATENATE("(${Variables:",E101,"_kcat","} * ",E101," * ",G101,")","/(${Variables:",E101,"_km","} + (",E101," * ",G101,"))")</f>
        <v>(${Variables:E2_5_1_15_kcat} * E2_5_1_15 * C04807 * C00568)/(${Variables:E2_5_1_15_km} + (E2_5_1_15 * C04807 * C00568))</v>
      </c>
      <c r="K101" s="59" t="str">
        <f>CONCATENATE("r",D101,": ",F101," -&gt; ",H101," | ",J101)</f>
        <v>r100: C04807 + C00568 -&gt; C00013 + C00921 | (${Variables:E2_5_1_15_kcat} * E2_5_1_15 * C04807 * C00568)/(${Variables:E2_5_1_15_km} + (E2_5_1_15 * C04807 * C00568))</v>
      </c>
    </row>
    <row r="102" spans="1:12" ht="48">
      <c r="A102" s="57" t="s">
        <v>1028</v>
      </c>
      <c r="B102" s="57" t="s">
        <v>4196</v>
      </c>
      <c r="C102" s="57" t="s">
        <v>9021</v>
      </c>
      <c r="D102" s="58">
        <v>101</v>
      </c>
      <c r="E102" s="58" t="str">
        <f>CONCATENATE("E",C102)</f>
        <v>E2_5_1_18</v>
      </c>
      <c r="F102" s="58" t="s">
        <v>9987</v>
      </c>
      <c r="G102" s="58" t="s">
        <v>10250</v>
      </c>
      <c r="H102" s="58" t="s">
        <v>10513</v>
      </c>
      <c r="I102" s="58" t="s">
        <v>10797</v>
      </c>
      <c r="J102" s="58" t="str">
        <f>CONCATENATE("(${Variables:",E102,"_kcat","} * ",E102," * ",G102,")","/(${Variables:",E102,"_km","} + (",E102," * ",G102,"))")</f>
        <v>(${Variables:E2_5_1_18_kcat} * E2_5_1_18 * C01322 * C00051)/(${Variables:E2_5_1_18_km} + (E2_5_1_18 * C01322 * C00051))</v>
      </c>
      <c r="K102" s="59" t="str">
        <f>CONCATENATE("r",D102,": ",F102," -&gt; ",H102," | ",J102)</f>
        <v>r101: C01322 + C00051 -&gt; C00462 + C02320 | (${Variables:E2_5_1_18_kcat} * E2_5_1_18 * C01322 * C00051)/(${Variables:E2_5_1_18_km} + (E2_5_1_18 * C01322 * C00051))</v>
      </c>
    </row>
    <row r="103" spans="1:12" ht="48">
      <c r="A103" s="57" t="s">
        <v>905</v>
      </c>
      <c r="B103" s="57" t="s">
        <v>3910</v>
      </c>
      <c r="C103" s="57" t="s">
        <v>9022</v>
      </c>
      <c r="D103" s="58">
        <v>102</v>
      </c>
      <c r="E103" s="58" t="str">
        <f>CONCATENATE("E",C103)</f>
        <v>E2_5_1_19</v>
      </c>
      <c r="F103" s="58" t="s">
        <v>9988</v>
      </c>
      <c r="G103" s="58" t="s">
        <v>10251</v>
      </c>
      <c r="H103" s="58" t="s">
        <v>10514</v>
      </c>
      <c r="I103" s="58" t="s">
        <v>10798</v>
      </c>
      <c r="J103" s="58" t="str">
        <f>CONCATENATE("(${Variables:",E103,"_kcat","} * ",E103," * ",G103,")","/(${Variables:",E103,"_km","} + (",E103," * ",G103,"))")</f>
        <v>(${Variables:E2_5_1_19_kcat} * E2_5_1_19 * C00074 * C03175)/(${Variables:E2_5_1_19_km} + (E2_5_1_19 * C00074 * C03175))</v>
      </c>
      <c r="K103" s="59" t="str">
        <f>CONCATENATE("r",D103,": ",F103," -&gt; ",H103," | ",J103)</f>
        <v>r102: C00074 + C03175 -&gt; C00009 + C01269 | (${Variables:E2_5_1_19_kcat} * E2_5_1_19 * C00074 * C03175)/(${Variables:E2_5_1_19_km} + (E2_5_1_19 * C00074 * C03175))</v>
      </c>
    </row>
    <row r="104" spans="1:12" ht="48">
      <c r="A104" s="57" t="s">
        <v>331</v>
      </c>
      <c r="B104" s="57" t="s">
        <v>2624</v>
      </c>
      <c r="C104" s="57" t="s">
        <v>9023</v>
      </c>
      <c r="D104" s="58">
        <v>103</v>
      </c>
      <c r="E104" s="58" t="str">
        <f>CONCATENATE("E",C104)</f>
        <v>E2_5_1_31</v>
      </c>
      <c r="F104" s="58" t="s">
        <v>11036</v>
      </c>
      <c r="G104" s="58" t="s">
        <v>11037</v>
      </c>
      <c r="H104" s="58" t="s">
        <v>11038</v>
      </c>
      <c r="I104" s="58" t="s">
        <v>11039</v>
      </c>
      <c r="J104" s="58" t="str">
        <f>CONCATENATE("(${Variables:",E104,"_kcat","} * ",E104," * ",G104,")","/(${Variables:",E104,"_km","} + (",E104," * ",G104,"))")</f>
        <v>(${Variables:E2_5_1_31_kcat} * E2_5_1_31 * C00447 * C00129)/(${Variables:E2_5_1_31_km} + (E2_5_1_31 * C00447 * C00129))</v>
      </c>
      <c r="K104" s="59" t="str">
        <f>CONCATENATE("r",D104,": ",F104," -&gt; ",H104," | ",J104)</f>
        <v>r103: C00447 +  C00129 -&gt; C04574 + C00013 | (${Variables:E2_5_1_31_kcat} * E2_5_1_31 * C00447 * C00129)/(${Variables:E2_5_1_31_km} + (E2_5_1_31 * C00447 * C00129))</v>
      </c>
    </row>
    <row r="105" spans="1:12" ht="48">
      <c r="A105" s="57" t="s">
        <v>564</v>
      </c>
      <c r="B105" s="57" t="s">
        <v>3124</v>
      </c>
      <c r="C105" s="57" t="s">
        <v>9024</v>
      </c>
      <c r="D105" s="58">
        <v>104</v>
      </c>
      <c r="E105" s="58" t="str">
        <f>CONCATENATE("E",C105)</f>
        <v>E2_5_1_47</v>
      </c>
      <c r="F105" s="58" t="s">
        <v>9989</v>
      </c>
      <c r="G105" s="58" t="s">
        <v>10252</v>
      </c>
      <c r="H105" s="58" t="s">
        <v>10515</v>
      </c>
      <c r="I105" s="58" t="s">
        <v>10799</v>
      </c>
      <c r="J105" s="58" t="str">
        <f>CONCATENATE("(${Variables:",E105,"_kcat","} * ",E105," * ",G105,")","/(${Variables:",E105,"_km","} + (",E105," * ",G105,"))")</f>
        <v>(${Variables:E2_5_1_47_kcat} * E2_5_1_47 * C00979 * C00283)/(${Variables:E2_5_1_47_km} + (E2_5_1_47 * C00979 * C00283))</v>
      </c>
      <c r="K105" s="59" t="str">
        <f>CONCATENATE("r",D105,": ",F105," -&gt; ",H105," | ",J105)</f>
        <v>r104: C00979 + C00283 -&gt; C00097 + C00033 | (${Variables:E2_5_1_47_kcat} * E2_5_1_47 * C00979 * C00283)/(${Variables:E2_5_1_47_km} + (E2_5_1_47 * C00979 * C00283))</v>
      </c>
    </row>
    <row r="106" spans="1:12" ht="48">
      <c r="A106" s="57" t="s">
        <v>564</v>
      </c>
      <c r="B106" s="57" t="s">
        <v>3124</v>
      </c>
      <c r="C106" s="57" t="s">
        <v>9025</v>
      </c>
      <c r="D106" s="58">
        <v>105</v>
      </c>
      <c r="E106" s="58" t="str">
        <f>CONCATENATE("E",C106)</f>
        <v>E4_4_1_1</v>
      </c>
      <c r="F106" s="58" t="s">
        <v>9990</v>
      </c>
      <c r="G106" s="58" t="s">
        <v>10253</v>
      </c>
      <c r="H106" s="58" t="s">
        <v>10516</v>
      </c>
      <c r="I106" s="58" t="s">
        <v>10800</v>
      </c>
      <c r="J106" s="58" t="str">
        <f>CONCATENATE("(${Variables:",E106,"_kcat","} * ",E106," * ",G106,")","/(${Variables:",E106,"_km","} + (",E106," * ",G106,"))")</f>
        <v>(${Variables:E4_4_1_1_kcat} * E4_4_1_1 * C02291 * C00001)/(${Variables:E4_4_1_1_km} + (E4_4_1_1 * C02291 * C00001))</v>
      </c>
      <c r="K106" s="59" t="str">
        <f>CONCATENATE("r",D106,": ",F106," -&gt; ",H106," | ",J106)</f>
        <v>r105: C02291 + C00001 -&gt; C000097 + C00014 + C00109 | (${Variables:E4_4_1_1_kcat} * E4_4_1_1 * C02291 * C00001)/(${Variables:E4_4_1_1_km} + (E4_4_1_1 * C02291 * C00001))</v>
      </c>
    </row>
    <row r="107" spans="1:12" ht="48">
      <c r="A107" s="57" t="s">
        <v>542</v>
      </c>
      <c r="B107" s="57" t="s">
        <v>3080</v>
      </c>
      <c r="C107" s="57" t="s">
        <v>9026</v>
      </c>
      <c r="D107" s="58">
        <v>106</v>
      </c>
      <c r="E107" s="58" t="str">
        <f>CONCATENATE("E",C107)</f>
        <v>E2_5_1_48</v>
      </c>
      <c r="F107" s="58" t="s">
        <v>9991</v>
      </c>
      <c r="G107" s="58" t="s">
        <v>10254</v>
      </c>
      <c r="H107" s="58" t="s">
        <v>10517</v>
      </c>
      <c r="I107" s="58" t="s">
        <v>10801</v>
      </c>
      <c r="J107" s="58" t="str">
        <f>CONCATENATE("(${Variables:",E107,"_kcat","} * ",E107," * ",G107,")","/(${Variables:",E107,"_km","} + (",E107," * ",G107,"))")</f>
        <v>(${Variables:E2_5_1_48_kcat} * E2_5_1_48 * C01118 * C00097)/(${Variables:E2_5_1_48_km} + (E2_5_1_48 * C01118 * C00097))</v>
      </c>
      <c r="K107" s="59" t="str">
        <f>CONCATENATE("r",D107,": ",F107," -&gt; ",H107," | ",J107)</f>
        <v>r106: C01118 + C00097 -&gt; C02291 + C00042 | (${Variables:E2_5_1_48_kcat} * E2_5_1_48 * C01118 * C00097)/(${Variables:E2_5_1_48_km} + (E2_5_1_48 * C01118 * C00097))</v>
      </c>
    </row>
    <row r="108" spans="1:12" ht="48">
      <c r="A108" s="57" t="s">
        <v>542</v>
      </c>
      <c r="B108" s="57" t="s">
        <v>3080</v>
      </c>
      <c r="C108" s="57" t="s">
        <v>9027</v>
      </c>
      <c r="D108" s="58">
        <v>107</v>
      </c>
      <c r="E108" s="58" t="str">
        <f>CONCATENATE("E",C108)</f>
        <v>E2_5_1_49</v>
      </c>
      <c r="F108" s="58" t="s">
        <v>9992</v>
      </c>
      <c r="G108" s="58" t="s">
        <v>10255</v>
      </c>
      <c r="H108" s="58" t="s">
        <v>10518</v>
      </c>
      <c r="I108" s="58" t="s">
        <v>10802</v>
      </c>
      <c r="J108" s="58" t="str">
        <f>CONCATENATE("(${Variables:",E108,"_kcat","} * ",E108," * ",G108,")","/(${Variables:",E108,"_km","} + (",E108," * ",G108,"))")</f>
        <v>(${Variables:E2_5_1_49_kcat} * E2_5_1_49 * C01077 * C00409 )/(${Variables:E2_5_1_49_km} + (E2_5_1_49 * C01077 * C00409 ))</v>
      </c>
      <c r="K108" s="59" t="str">
        <f>CONCATENATE("r",D108,": ",F108," -&gt; ",H108," | ",J108)</f>
        <v>r107: C01077 + C00409  -&gt; C00073 + C00033 | (${Variables:E2_5_1_49_kcat} * E2_5_1_49 * C01077 * C00409 )/(${Variables:E2_5_1_49_km} + (E2_5_1_49 * C01077 * C00409 ))</v>
      </c>
    </row>
    <row r="109" spans="1:12" ht="48">
      <c r="A109" s="57" t="s">
        <v>1531</v>
      </c>
      <c r="B109" s="57" t="s">
        <v>5242</v>
      </c>
      <c r="C109" s="57" t="s">
        <v>9028</v>
      </c>
      <c r="D109" s="58">
        <v>108</v>
      </c>
      <c r="E109" s="58" t="str">
        <f>CONCATENATE("E",C109)</f>
        <v>E2_5_1_6</v>
      </c>
      <c r="F109" s="58" t="s">
        <v>9993</v>
      </c>
      <c r="G109" s="58" t="s">
        <v>10256</v>
      </c>
      <c r="H109" s="58" t="s">
        <v>10519</v>
      </c>
      <c r="I109" s="58" t="s">
        <v>10803</v>
      </c>
      <c r="J109" s="58" t="str">
        <f>CONCATENATE("(${Variables:",E109,"_kcat","} * ",E109," * ",G109,")","/(${Variables:",E109,"_km","} + (",E109," * ",G109,"))")</f>
        <v>(${Variables:E2_5_1_6_kcat} * E2_5_1_6 * C00009 * C00013 * C00019)/(${Variables:E2_5_1_6_km} + (E2_5_1_6 * C00009 * C00013 * C00019))</v>
      </c>
      <c r="K109" s="59" t="str">
        <f>CONCATENATE("r",D109,": ",F109," -&gt; ",H109," | ",J109)</f>
        <v>r108: C00009 + C00013 + C00019 -&gt; C00002 + C00073 + C00001 | (${Variables:E2_5_1_6_kcat} * E2_5_1_6 * C00009 * C00013 * C00019)/(${Variables:E2_5_1_6_km} + (E2_5_1_6 * C00009 * C00013 * C00019))</v>
      </c>
    </row>
    <row r="110" spans="1:12" ht="32">
      <c r="A110" s="57" t="s">
        <v>1402</v>
      </c>
      <c r="B110" s="57" t="s">
        <v>4966</v>
      </c>
      <c r="C110" s="57" t="s">
        <v>9029</v>
      </c>
      <c r="D110" s="58">
        <v>109</v>
      </c>
      <c r="E110" s="58" t="str">
        <f>CONCATENATE("E",C110)</f>
        <v>E2_5_1_7</v>
      </c>
      <c r="F110" s="58" t="s">
        <v>9994</v>
      </c>
      <c r="G110" s="58" t="s">
        <v>10257</v>
      </c>
      <c r="H110" s="58" t="s">
        <v>10520</v>
      </c>
      <c r="I110" s="58" t="s">
        <v>10804</v>
      </c>
      <c r="J110" s="58" t="str">
        <f>CONCATENATE("(${Variables:",E110,"_kcat","} * ",E110," * ",G110,")","/(${Variables:",E110,"_km","} + (",E110," * ",G110,"))")</f>
        <v>(${Variables:E2_5_1_7_kcat} * E2_5_1_7 * C00074 * C00043 )/(${Variables:E2_5_1_7_km} + (E2_5_1_7 * C00074 * C00043 ))</v>
      </c>
      <c r="K110" s="59" t="str">
        <f>CONCATENATE("r",D110,": ",F110," -&gt; ",H110," | ",J110)</f>
        <v>r109: C00074 + C00043  -&gt; C04631 + C00009 | (${Variables:E2_5_1_7_kcat} * E2_5_1_7 * C00074 * C00043 )/(${Variables:E2_5_1_7_km} + (E2_5_1_7 * C00074 * C00043 ))</v>
      </c>
    </row>
    <row r="111" spans="1:12" ht="48">
      <c r="A111" s="57" t="s">
        <v>1536</v>
      </c>
      <c r="B111" s="57" t="s">
        <v>5256</v>
      </c>
      <c r="C111" s="57" t="s">
        <v>9030</v>
      </c>
      <c r="D111" s="58">
        <v>110</v>
      </c>
      <c r="E111" s="58" t="str">
        <f>CONCATENATE("E",C111)</f>
        <v>E2_5_1_75</v>
      </c>
      <c r="F111" s="58" t="s">
        <v>9995</v>
      </c>
      <c r="G111" s="58" t="s">
        <v>10258</v>
      </c>
      <c r="H111" s="58" t="s">
        <v>10521</v>
      </c>
      <c r="I111" s="58" t="s">
        <v>10805</v>
      </c>
      <c r="J111" s="58" t="str">
        <f>CONCATENATE("(${Variables:",E111,"_kcat","} * ",E111," * ",G111,")","/(${Variables:",E111,"_km","} + (",E111," * ",G111,"))")</f>
        <v>(${Variables:E2_5_1_75_kcat} * E2_5_1_75 * C00235 * C17324 )/(${Variables:E2_5_1_75_km} + (E2_5_1_75 * C00235 * C17324 ))</v>
      </c>
      <c r="K111" s="59" t="str">
        <f>CONCATENATE("r",D111,": ",F111," -&gt; ",H111," | ",J111)</f>
        <v>r110: C00235 + C17324  -&gt; C00013 + C04432 | (${Variables:E2_5_1_75_kcat} * E2_5_1_75 * C00235 * C17324 )/(${Variables:E2_5_1_75_km} + (E2_5_1_75 * C00235 * C17324 ))</v>
      </c>
    </row>
    <row r="112" spans="1:12" ht="32">
      <c r="A112" s="57" t="s">
        <v>544</v>
      </c>
      <c r="B112" s="57" t="s">
        <v>3083</v>
      </c>
      <c r="C112" s="57" t="s">
        <v>9031</v>
      </c>
      <c r="D112" s="58">
        <v>111</v>
      </c>
      <c r="E112" s="58" t="str">
        <f>CONCATENATE("E",C112)</f>
        <v>E2_6_1_1</v>
      </c>
      <c r="F112" s="58" t="s">
        <v>9996</v>
      </c>
      <c r="G112" s="58" t="s">
        <v>10259</v>
      </c>
      <c r="H112" s="58" t="s">
        <v>10522</v>
      </c>
      <c r="I112" s="58" t="s">
        <v>10806</v>
      </c>
      <c r="J112" s="58" t="str">
        <f>CONCATENATE("(${Variables:",E112,"_kcat","} * ",E112," * ",G112,")","/(${Variables:",E112,"_km","} + (",E112," * ",G112,"))")</f>
        <v>(${Variables:E2_6_1_1_kcat} * E2_6_1_1 * C00049 * C00026)/(${Variables:E2_6_1_1_km} + (E2_6_1_1 * C00049 * C00026))</v>
      </c>
      <c r="K112" s="59" t="str">
        <f>CONCATENATE("r",D112,": ",F112," -&gt; ",H112," | ",J112)</f>
        <v>r111: C00049 + C00026 -&gt; C00036 + C00025 | (${Variables:E2_6_1_1_kcat} * E2_6_1_1 * C00049 * C00026)/(${Variables:E2_6_1_1_km} + (E2_6_1_1 * C00049 * C00026))</v>
      </c>
    </row>
    <row r="113" spans="1:12" ht="48">
      <c r="A113" s="57" t="s">
        <v>674</v>
      </c>
      <c r="B113" s="57" t="s">
        <v>3391</v>
      </c>
      <c r="C113" s="57" t="s">
        <v>9032</v>
      </c>
      <c r="D113" s="58">
        <v>112</v>
      </c>
      <c r="E113" s="58" t="str">
        <f>CONCATENATE("E",C113)</f>
        <v>E2_6_1_11</v>
      </c>
      <c r="F113" s="58" t="s">
        <v>9997</v>
      </c>
      <c r="G113" s="58" t="s">
        <v>10260</v>
      </c>
      <c r="H113" s="58" t="s">
        <v>10523</v>
      </c>
      <c r="I113" s="58" t="s">
        <v>10807</v>
      </c>
      <c r="J113" s="58" t="str">
        <f>CONCATENATE("(${Variables:",E113,"_kcat","} * ",E113," * ",G113,")","/(${Variables:",E113,"_km","} + (",E113," * ",G113,"))")</f>
        <v>(${Variables:E2_6_1_11_kcat} * E2_6_1_11 * C00437 * C00026 )/(${Variables:E2_6_1_11_km} + (E2_6_1_11 * C00437 * C00026 ))</v>
      </c>
      <c r="K113" s="59" t="str">
        <f>CONCATENATE("r",D113,": ",F113," -&gt; ",H113," | ",J113)</f>
        <v>r112: C00437 + C00026  -&gt; C01250 + C00025 | (${Variables:E2_6_1_11_kcat} * E2_6_1_11 * C00437 * C00026 )/(${Variables:E2_6_1_11_km} + (E2_6_1_11 * C00437 * C00026 ))</v>
      </c>
    </row>
    <row r="114" spans="1:12" ht="48">
      <c r="A114" s="57" t="s">
        <v>1186</v>
      </c>
      <c r="B114" s="57" t="s">
        <v>4523</v>
      </c>
      <c r="C114" s="57" t="s">
        <v>9033</v>
      </c>
      <c r="D114" s="58">
        <v>113</v>
      </c>
      <c r="E114" s="58" t="str">
        <f>CONCATENATE("E",C114)</f>
        <v>E2_6_1_16</v>
      </c>
      <c r="F114" s="58" t="s">
        <v>9998</v>
      </c>
      <c r="G114" s="58" t="s">
        <v>10261</v>
      </c>
      <c r="H114" s="58" t="s">
        <v>10524</v>
      </c>
      <c r="I114" s="58" t="s">
        <v>10808</v>
      </c>
      <c r="J114" s="58" t="str">
        <f>CONCATENATE("(${Variables:",E114,"_kcat","} * ",E114," * ",G114,")","/(${Variables:",E114,"_km","} + (",E114," * ",G114,"))")</f>
        <v>(${Variables:E2_6_1_16_kcat} * E2_6_1_16 * C00064 * C00085)/(${Variables:E2_6_1_16_km} + (E2_6_1_16 * C00064 * C00085))</v>
      </c>
      <c r="K114" s="59" t="str">
        <f>CONCATENATE("r",D114,": ",F114," -&gt; ",H114," | ",J114)</f>
        <v>r113: C00064 + C00085 -&gt; C00025 + C00352 | (${Variables:E2_6_1_16_kcat} * E2_6_1_16 * C00064 * C00085)/(${Variables:E2_6_1_16_km} + (E2_6_1_16 * C00064 * C00085))</v>
      </c>
    </row>
    <row r="115" spans="1:12" ht="48">
      <c r="A115" s="57" t="s">
        <v>834</v>
      </c>
      <c r="B115" s="57" t="s">
        <v>3747</v>
      </c>
      <c r="C115" s="57" t="s">
        <v>9034</v>
      </c>
      <c r="D115" s="58">
        <v>114</v>
      </c>
      <c r="E115" s="58" t="str">
        <f>CONCATENATE("E",C115)</f>
        <v>E2_6_1_42</v>
      </c>
      <c r="F115" s="58" t="s">
        <v>9999</v>
      </c>
      <c r="G115" s="58" t="s">
        <v>10262</v>
      </c>
      <c r="H115" s="58" t="s">
        <v>10525</v>
      </c>
      <c r="I115" s="58" t="s">
        <v>10809</v>
      </c>
      <c r="J115" s="58" t="str">
        <f>CONCATENATE("(${Variables:",E115,"_kcat","} * ",E115," * ",G115,")","/(${Variables:",E115,"_km","} + (",E115," * ",G115,"))")</f>
        <v>(${Variables:E2_6_1_42_kcat} * E2_6_1_42 * C00123 * C00026 )/(${Variables:E2_6_1_42_km} + (E2_6_1_42 * C00123 * C00026 ))</v>
      </c>
      <c r="K115" s="59" t="str">
        <f>CONCATENATE("r",D115,": ",F115," -&gt; ",H115," | ",J115)</f>
        <v>r114: C00123 + C00026  -&gt; C00233 + C00025 | (${Variables:E2_6_1_42_kcat} * E2_6_1_42 * C00123 * C00026 )/(${Variables:E2_6_1_42_km} + (E2_6_1_42 * C00123 * C00026 ))</v>
      </c>
    </row>
    <row r="116" spans="1:12" ht="48">
      <c r="A116" s="57" t="s">
        <v>1989</v>
      </c>
      <c r="B116" s="57" t="s">
        <v>6192</v>
      </c>
      <c r="C116" s="57" t="s">
        <v>9035</v>
      </c>
      <c r="D116" s="58">
        <v>115</v>
      </c>
      <c r="E116" s="58" t="str">
        <f>CONCATENATE("E",C116)</f>
        <v>E2_6_1_52</v>
      </c>
      <c r="F116" s="58" t="s">
        <v>10000</v>
      </c>
      <c r="G116" s="58" t="s">
        <v>10263</v>
      </c>
      <c r="H116" s="58" t="s">
        <v>10526</v>
      </c>
      <c r="I116" s="58" t="s">
        <v>10810</v>
      </c>
      <c r="J116" s="58" t="str">
        <f>CONCATENATE("(${Variables:",E116,"_kcat","} * ",E116," * ",G116,")","/(${Variables:",E116,"_km","} + (",E116," * ",G116,"))")</f>
        <v>(${Variables:E2_6_1_52_kcat} * E2_6_1_52 * C01005 * C00026)/(${Variables:E2_6_1_52_km} + (E2_6_1_52 * C01005 * C00026))</v>
      </c>
      <c r="K116" s="59" t="str">
        <f>CONCATENATE("r",D116,": ",F116," -&gt; ",H116," | ",J116)</f>
        <v>r115: C01005 + C00026 -&gt; C03232 + C00025 | (${Variables:E2_6_1_52_kcat} * E2_6_1_52 * C01005 * C00026)/(${Variables:E2_6_1_52_km} + (E2_6_1_52 * C01005 * C00026))</v>
      </c>
    </row>
    <row r="117" spans="1:12" ht="48">
      <c r="A117" s="57" t="s">
        <v>1055</v>
      </c>
      <c r="B117" s="57" t="s">
        <v>4255</v>
      </c>
      <c r="C117" s="57" t="s">
        <v>9036</v>
      </c>
      <c r="D117" s="58">
        <v>116</v>
      </c>
      <c r="E117" s="58" t="str">
        <f>CONCATENATE("E",C117)</f>
        <v>E2_6_1_85</v>
      </c>
      <c r="F117" s="58" t="s">
        <v>10001</v>
      </c>
      <c r="G117" s="58" t="s">
        <v>10264</v>
      </c>
      <c r="H117" s="58" t="s">
        <v>10527</v>
      </c>
      <c r="I117" s="58" t="s">
        <v>10811</v>
      </c>
      <c r="J117" s="58" t="str">
        <f>CONCATENATE("(${Variables:",E117,"_kcat","} * ",E117," * ",G117,")","/(${Variables:",E117,"_km","} + (",E117," * ",G117,"))")</f>
        <v>(${Variables:E2_6_1_85_kcat} * E2_6_1_85 * C00064 * C00001 )/(${Variables:E2_6_1_85_km} + (E2_6_1_85 * C00064 * C00001 ))</v>
      </c>
      <c r="K117" s="59" t="str">
        <f>CONCATENATE("r",D117,": ",F117," -&gt; ",H117," | ",J117)</f>
        <v>r116: C00064 + C00001  -&gt; C00025 + C00014 | (${Variables:E2_6_1_85_kcat} * E2_6_1_85 * C00064 * C00001 )/(${Variables:E2_6_1_85_km} + (E2_6_1_85 * C00064 * C00001 ))</v>
      </c>
    </row>
    <row r="118" spans="1:12" ht="32">
      <c r="A118" s="57" t="s">
        <v>1055</v>
      </c>
      <c r="B118" s="57" t="s">
        <v>4255</v>
      </c>
      <c r="C118" s="57" t="s">
        <v>9037</v>
      </c>
      <c r="D118" s="58">
        <v>117</v>
      </c>
      <c r="E118" s="58" t="str">
        <f>CONCATENATE("E",C118)</f>
        <v>E4_1_3_38</v>
      </c>
      <c r="F118" s="58" t="s">
        <v>8320</v>
      </c>
      <c r="G118" s="58" t="s">
        <v>8320</v>
      </c>
      <c r="H118" s="58" t="s">
        <v>10528</v>
      </c>
      <c r="I118" s="58" t="s">
        <v>10812</v>
      </c>
      <c r="J118" s="58" t="str">
        <f>CONCATENATE("(${Variables:",E118,"_kcat","} * ",E118," * ",G118,")","/(${Variables:",E118,"_km","} + (",E118," * ",G118,"))")</f>
        <v>(${Variables:E4_1_3_38_kcat} * E4_1_3_38 * C11355)/(${Variables:E4_1_3_38_km} + (E4_1_3_38 * C11355))</v>
      </c>
      <c r="K118" s="59" t="str">
        <f>CONCATENATE("r",D118,": ",F118," -&gt; ",H118," | ",J118)</f>
        <v>r117: C11355 -&gt; C00568 + C00022 | (${Variables:E4_1_3_38_kcat} * E4_1_3_38 * C11355)/(${Variables:E4_1_3_38_km} + (E4_1_3_38 * C11355))</v>
      </c>
    </row>
    <row r="119" spans="1:12" ht="48">
      <c r="A119" s="57" t="s">
        <v>1055</v>
      </c>
      <c r="B119" s="57" t="s">
        <v>6388</v>
      </c>
      <c r="C119" s="57" t="s">
        <v>9038</v>
      </c>
      <c r="D119" s="58">
        <v>118</v>
      </c>
      <c r="E119" s="58" t="str">
        <f>CONCATENATE("E",C119)</f>
        <v>E4_1_3_27</v>
      </c>
      <c r="F119" s="58" t="s">
        <v>10002</v>
      </c>
      <c r="G119" s="58" t="s">
        <v>10265</v>
      </c>
      <c r="H119" s="58" t="s">
        <v>10529</v>
      </c>
      <c r="I119" s="58" t="s">
        <v>10813</v>
      </c>
      <c r="J119" s="58" t="str">
        <f>CONCATENATE("(${Variables:",E119,"_kcat","} * ",E119," * ",G119,")","/(${Variables:",E119,"_km","} + (",E119," * ",G119,"))")</f>
        <v>(${Variables:E4_1_3_27_kcat} * E4_1_3_27 * C00251 * C00064 )/(${Variables:E4_1_3_27_km} + (E4_1_3_27 * C00251 * C00064 ))</v>
      </c>
      <c r="K119" s="59" t="str">
        <f>CONCATENATE("r",D119,": ",F119," -&gt; ",H119," | ",J119)</f>
        <v>r118: C00251 + C00064  -&gt; C00108 + C00022 + C00025 | (${Variables:E4_1_3_27_kcat} * E4_1_3_27 * C00251 * C00064 )/(${Variables:E4_1_3_27_km} + (E4_1_3_27 * C00251 * C00064 ))</v>
      </c>
    </row>
    <row r="120" spans="1:12" ht="48">
      <c r="A120" s="57" t="s">
        <v>2020</v>
      </c>
      <c r="B120" s="57" t="s">
        <v>6268</v>
      </c>
      <c r="C120" s="57" t="s">
        <v>9039</v>
      </c>
      <c r="D120" s="58">
        <v>119</v>
      </c>
      <c r="E120" s="58" t="str">
        <f>CONCATENATE("E",C120)</f>
        <v>E2_7_1_107</v>
      </c>
      <c r="F120" s="58" t="s">
        <v>10003</v>
      </c>
      <c r="G120" s="58" t="s">
        <v>10266</v>
      </c>
      <c r="H120" s="58" t="s">
        <v>10530</v>
      </c>
      <c r="I120" s="58" t="s">
        <v>10814</v>
      </c>
      <c r="J120" s="58" t="str">
        <f>CONCATENATE("(${Variables:",E120,"_kcat","} * ",E120," * ",G120,")","/(${Variables:",E120,"_km","} + (",E120," * ",G120,"))")</f>
        <v>(${Variables:E2_7_1_107_kcat} * E2_7_1_107 * C00002 * C00641)/(${Variables:E2_7_1_107_km} + (E2_7_1_107 * C00002 * C00641))</v>
      </c>
      <c r="K120" s="59" t="str">
        <f>CONCATENATE("r",D120,": ",F120," -&gt; ",H120," | ",J120)</f>
        <v>r119: C00002 + C00641 -&gt; C00008 + C00416 | (${Variables:E2_7_1_107_kcat} * E2_7_1_107 * C00002 * C00641)/(${Variables:E2_7_1_107_km} + (E2_7_1_107 * C00002 * C00641))</v>
      </c>
    </row>
    <row r="121" spans="1:12" ht="48">
      <c r="A121" s="57" t="s">
        <v>1563</v>
      </c>
      <c r="B121" s="57" t="s">
        <v>5312</v>
      </c>
      <c r="C121" s="57" t="s">
        <v>9040</v>
      </c>
      <c r="D121" s="58">
        <v>120</v>
      </c>
      <c r="E121" s="58" t="str">
        <f>CONCATENATE("E",C121)</f>
        <v>E2_7_1_11</v>
      </c>
      <c r="F121" s="58" t="s">
        <v>10004</v>
      </c>
      <c r="G121" s="58" t="s">
        <v>10267</v>
      </c>
      <c r="H121" s="58" t="s">
        <v>10531</v>
      </c>
      <c r="I121" s="58" t="s">
        <v>10815</v>
      </c>
      <c r="J121" s="58" t="str">
        <f>CONCATENATE("(${Variables:",E121,"_kcat","} * ",E121," * ",G121,")","/(${Variables:",E121,"_km","} + (",E121," * ",G121,"))")</f>
        <v>(${Variables:E2_7_1_11_kcat} * E2_7_1_11 * C00002 * C05345)/(${Variables:E2_7_1_11_km} + (E2_7_1_11 * C00002 * C05345))</v>
      </c>
      <c r="K121" s="59" t="str">
        <f>CONCATENATE("r",D121,": ",F121," -&gt; ",H121," | ",J121)</f>
        <v>r120: C00002 + C05345 -&gt; C000008 + C05378 | (${Variables:E2_7_1_11_kcat} * E2_7_1_11 * C00002 * C05345)/(${Variables:E2_7_1_11_km} + (E2_7_1_11 * C00002 * C05345))</v>
      </c>
    </row>
    <row r="122" spans="1:12" ht="48">
      <c r="A122" s="57" t="s">
        <v>1025</v>
      </c>
      <c r="B122" s="57" t="s">
        <v>4189</v>
      </c>
      <c r="C122" s="57" t="s">
        <v>9041</v>
      </c>
      <c r="D122" s="58">
        <v>121</v>
      </c>
      <c r="E122" s="58" t="str">
        <f>CONCATENATE("E",C122)</f>
        <v>E2_7_1_180</v>
      </c>
      <c r="F122" s="58" t="s">
        <v>10005</v>
      </c>
      <c r="G122" s="58" t="s">
        <v>10268</v>
      </c>
      <c r="H122" s="58" t="s">
        <v>10532</v>
      </c>
      <c r="I122" s="58" t="s">
        <v>10816</v>
      </c>
      <c r="J122" s="58" t="str">
        <f>CONCATENATE("(${Variables:",E122,"_kcat","} * ",E122," * ",G122,")","/(${Variables:",E122,"_km","} + (",E122," * ",G122,"))")</f>
        <v>(${Variables:E2_7_1_180_kcat} * E2_7_1_180 * C00016 * C19803)/(${Variables:E2_7_1_180_km} + (E2_7_1_180 * C00016 * C19803))</v>
      </c>
      <c r="K122" s="59" t="str">
        <f>CONCATENATE("r",D122,": ",F122," -&gt; ",H122," | ",J122)</f>
        <v>r121: C00016 + C19803 -&gt; C20730 + C00020 | (${Variables:E2_7_1_180_kcat} * E2_7_1_180 * C00016 * C19803)/(${Variables:E2_7_1_180_km} + (E2_7_1_180 * C00016 * C19803))</v>
      </c>
      <c r="L122" s="61"/>
    </row>
    <row r="123" spans="1:12" ht="32">
      <c r="A123" s="57" t="s">
        <v>1000</v>
      </c>
      <c r="B123" s="57" t="s">
        <v>4130</v>
      </c>
      <c r="C123" s="57" t="s">
        <v>9042</v>
      </c>
      <c r="D123" s="58">
        <v>122</v>
      </c>
      <c r="E123" s="58" t="str">
        <f>CONCATENATE("E",C123)</f>
        <v>E2_7_1_2</v>
      </c>
      <c r="F123" s="58" t="s">
        <v>10006</v>
      </c>
      <c r="G123" s="58" t="s">
        <v>10269</v>
      </c>
      <c r="H123" s="58" t="s">
        <v>10533</v>
      </c>
      <c r="I123" s="58" t="s">
        <v>10817</v>
      </c>
      <c r="J123" s="58" t="str">
        <f>CONCATENATE("(${Variables:",E123,"_kcat","} * ",E123," * ",G123,")","/(${Variables:",E123,"_km","} + (",E123," * ",G123,"))")</f>
        <v>(${Variables:E2_7_1_2_kcat} * E2_7_1_2 * C00002 * C00031)/(${Variables:E2_7_1_2_km} + (E2_7_1_2 * C00002 * C00031))</v>
      </c>
      <c r="K123" s="59" t="str">
        <f>CONCATENATE("r",D123,": ",F123," -&gt; ",H123," | ",J123)</f>
        <v>r122: C00002 + C00031 -&gt; C00008 + C00092 | (${Variables:E2_7_1_2_kcat} * E2_7_1_2 * C00002 * C00031)/(${Variables:E2_7_1_2_km} + (E2_7_1_2 * C00002 * C00031))</v>
      </c>
    </row>
    <row r="124" spans="1:12" ht="48">
      <c r="A124" s="57" t="s">
        <v>1000</v>
      </c>
      <c r="B124" s="57" t="s">
        <v>4130</v>
      </c>
      <c r="C124" s="57" t="s">
        <v>9043</v>
      </c>
      <c r="D124" s="58">
        <v>123</v>
      </c>
      <c r="E124" s="58" t="str">
        <f>CONCATENATE("E",C124)</f>
        <v>E2_7_1_59</v>
      </c>
      <c r="F124" s="58" t="s">
        <v>10007</v>
      </c>
      <c r="G124" s="58" t="s">
        <v>10270</v>
      </c>
      <c r="H124" s="58" t="s">
        <v>10534</v>
      </c>
      <c r="I124" s="58" t="s">
        <v>10818</v>
      </c>
      <c r="J124" s="58" t="str">
        <f>CONCATENATE("(${Variables:",E124,"_kcat","} * ",E124," * ",G124,")","/(${Variables:",E124,"_km","} + (",E124," * ",G124,"))")</f>
        <v>(${Variables:E2_7_1_59_kcat} * E2_7_1_59 * C00002 * C00140)/(${Variables:E2_7_1_59_km} + (E2_7_1_59 * C00002 * C00140))</v>
      </c>
      <c r="K124" s="59" t="str">
        <f>CONCATENATE("r",D124,": ",F124," -&gt; ",H124," | ",J124)</f>
        <v>r123: C00002 + C00140 -&gt; C00008 + C00357 | (${Variables:E2_7_1_59_kcat} * E2_7_1_59 * C00002 * C00140)/(${Variables:E2_7_1_59_km} + (E2_7_1_59 * C00002 * C00140))</v>
      </c>
    </row>
    <row r="125" spans="1:12" ht="48">
      <c r="A125" s="57" t="s">
        <v>1031</v>
      </c>
      <c r="B125" s="57" t="s">
        <v>4203</v>
      </c>
      <c r="C125" s="57" t="s">
        <v>9044</v>
      </c>
      <c r="D125" s="58">
        <v>124</v>
      </c>
      <c r="E125" s="58" t="str">
        <f>CONCATENATE("E",C125)</f>
        <v>E2_7_1_21</v>
      </c>
      <c r="F125" s="58" t="s">
        <v>10008</v>
      </c>
      <c r="G125" s="58" t="s">
        <v>10271</v>
      </c>
      <c r="H125" s="58" t="s">
        <v>10535</v>
      </c>
      <c r="I125" s="58" t="s">
        <v>10819</v>
      </c>
      <c r="J125" s="58" t="str">
        <f>CONCATENATE("(${Variables:",E125,"_kcat","} * ",E125," * ",G125,")","/(${Variables:",E125,"_km","} + (",E125," * ",G125,"))")</f>
        <v>(${Variables:E2_7_1_21_kcat} * E2_7_1_21 * C00002 * C00214)/(${Variables:E2_7_1_21_km} + (E2_7_1_21 * C00002 * C00214))</v>
      </c>
      <c r="K125" s="59" t="str">
        <f>CONCATENATE("r",D125,": ",F125," -&gt; ",H125," | ",J125)</f>
        <v>r124: C00002 + C00214 -&gt; C00008 + C00364 | (${Variables:E2_7_1_21_kcat} * E2_7_1_21 * C00002 * C00214)/(${Variables:E2_7_1_21_km} + (E2_7_1_21 * C00002 * C00214))</v>
      </c>
      <c r="L125" s="61"/>
    </row>
    <row r="126" spans="1:12" ht="48">
      <c r="A126" s="57" t="s">
        <v>1889</v>
      </c>
      <c r="B126" s="57" t="s">
        <v>6002</v>
      </c>
      <c r="C126" s="57" t="s">
        <v>9045</v>
      </c>
      <c r="D126" s="58">
        <v>125</v>
      </c>
      <c r="E126" s="58" t="str">
        <f>CONCATENATE("E",C126)</f>
        <v>E2_7_1_23</v>
      </c>
      <c r="F126" s="58" t="s">
        <v>10009</v>
      </c>
      <c r="G126" s="58" t="s">
        <v>10272</v>
      </c>
      <c r="H126" s="58" t="s">
        <v>10536</v>
      </c>
      <c r="I126" s="58" t="s">
        <v>10820</v>
      </c>
      <c r="J126" s="58" t="str">
        <f>CONCATENATE("(${Variables:",E126,"_kcat","} * ",E126," * ",G126,")","/(${Variables:",E126,"_km","} + (",E126," * ",G126,"))")</f>
        <v>(${Variables:E2_7_1_23_kcat} * E2_7_1_23 * C00002 * C00003)/(${Variables:E2_7_1_23_km} + (E2_7_1_23 * C00002 * C00003))</v>
      </c>
      <c r="K126" s="59" t="str">
        <f>CONCATENATE("r",D126,": ",F126," -&gt; ",H126," | ",J126)</f>
        <v>r125: C00002 + C00003 -&gt; C00008 + C00006 | (${Variables:E2_7_1_23_kcat} * E2_7_1_23 * C00002 * C00003)/(${Variables:E2_7_1_23_km} + (E2_7_1_23 * C00002 * C00003))</v>
      </c>
    </row>
    <row r="127" spans="1:12" ht="48">
      <c r="A127" s="57" t="s">
        <v>874</v>
      </c>
      <c r="B127" s="57" t="s">
        <v>3838</v>
      </c>
      <c r="C127" s="57" t="s">
        <v>9046</v>
      </c>
      <c r="D127" s="58">
        <v>126</v>
      </c>
      <c r="E127" s="58" t="str">
        <f>CONCATENATE("E",C127)</f>
        <v>E2_7_1_24</v>
      </c>
      <c r="F127" s="58" t="s">
        <v>10010</v>
      </c>
      <c r="G127" s="58" t="s">
        <v>10273</v>
      </c>
      <c r="H127" s="58" t="s">
        <v>10537</v>
      </c>
      <c r="I127" s="58" t="s">
        <v>10821</v>
      </c>
      <c r="J127" s="58" t="str">
        <f>CONCATENATE("(${Variables:",E127,"_kcat","} * ",E127," * ",G127,")","/(${Variables:",E127,"_km","} + (",E127," * ",G127,"))")</f>
        <v>(${Variables:E2_7_1_24_kcat} * E2_7_1_24 * C00002 * C00008)/(${Variables:E2_7_1_24_km} + (E2_7_1_24 * C00002 * C00008))</v>
      </c>
      <c r="K127" s="59" t="str">
        <f>CONCATENATE("r",D127,": ",F127," -&gt; ",H127," | ",J127)</f>
        <v>r126: C00002 + C00008 -&gt; C00008 + C00010 | (${Variables:E2_7_1_24_kcat} * E2_7_1_24 * C00002 * C00008)/(${Variables:E2_7_1_24_km} + (E2_7_1_24 * C00002 * C00008))</v>
      </c>
    </row>
    <row r="128" spans="1:12" ht="48">
      <c r="A128" s="57" t="s">
        <v>1351</v>
      </c>
      <c r="B128" s="57" t="s">
        <v>4850</v>
      </c>
      <c r="C128" s="57" t="s">
        <v>9047</v>
      </c>
      <c r="D128" s="58">
        <v>127</v>
      </c>
      <c r="E128" s="58" t="str">
        <f>CONCATENATE("E",C128)</f>
        <v>E2_7_1_26</v>
      </c>
      <c r="F128" s="58" t="s">
        <v>10011</v>
      </c>
      <c r="G128" s="58" t="s">
        <v>10274</v>
      </c>
      <c r="H128" s="58" t="s">
        <v>10538</v>
      </c>
      <c r="I128" s="58" t="s">
        <v>10822</v>
      </c>
      <c r="J128" s="58" t="str">
        <f>CONCATENATE("(${Variables:",E128,"_kcat","} * ",E128," * ",G128,")","/(${Variables:",E128,"_km","} + (",E128," * ",G128,"))")</f>
        <v>(${Variables:E2_7_1_26_kcat} * E2_7_1_26 * C00002 * C00255)/(${Variables:E2_7_1_26_km} + (E2_7_1_26 * C00002 * C00255))</v>
      </c>
      <c r="K128" s="59" t="str">
        <f>CONCATENATE("r",D128,": ",F128," -&gt; ",H128," | ",J128)</f>
        <v>r127: C00002 + C00255 -&gt; C00008 + C00061 | (${Variables:E2_7_1_26_kcat} * E2_7_1_26 * C00002 * C00255)/(${Variables:E2_7_1_26_km} + (E2_7_1_26 * C00002 * C00255))</v>
      </c>
    </row>
    <row r="129" spans="1:12" ht="48">
      <c r="A129" s="57" t="s">
        <v>1351</v>
      </c>
      <c r="B129" s="57" t="s">
        <v>4850</v>
      </c>
      <c r="C129" s="57" t="s">
        <v>9048</v>
      </c>
      <c r="D129" s="58">
        <v>128</v>
      </c>
      <c r="E129" s="58" t="str">
        <f>CONCATENATE("E",C129)</f>
        <v>E2_7_7_2</v>
      </c>
      <c r="F129" s="58" t="s">
        <v>10012</v>
      </c>
      <c r="G129" s="58" t="s">
        <v>10275</v>
      </c>
      <c r="H129" s="58" t="s">
        <v>10539</v>
      </c>
      <c r="I129" s="58" t="s">
        <v>10823</v>
      </c>
      <c r="J129" s="58" t="str">
        <f>CONCATENATE("(${Variables:",E129,"_kcat","} * ",E129," * ",G129,")","/(${Variables:",E129,"_km","} + (",E129," * ",G129,"))")</f>
        <v>(${Variables:E2_7_7_2_kcat} * E2_7_7_2 * C00002 * C00061)/(${Variables:E2_7_7_2_km} + (E2_7_7_2 * C00002 * C00061))</v>
      </c>
      <c r="K129" s="59" t="str">
        <f>CONCATENATE("r",D129,": ",F129," -&gt; ",H129," | ",J129)</f>
        <v>r128: C00002 + C00061 -&gt; C00013 + C000016 | (${Variables:E2_7_7_2_kcat} * E2_7_7_2 * C00002 * C00061)/(${Variables:E2_7_7_2_km} + (E2_7_7_2 * C00002 * C00061))</v>
      </c>
    </row>
    <row r="130" spans="1:12" ht="48">
      <c r="A130" s="57" t="s">
        <v>889</v>
      </c>
      <c r="B130" s="57" t="s">
        <v>3873</v>
      </c>
      <c r="C130" s="57" t="s">
        <v>9049</v>
      </c>
      <c r="D130" s="58">
        <v>129</v>
      </c>
      <c r="E130" s="58" t="str">
        <f>CONCATENATE("E",C130)</f>
        <v>E2_7_1_31</v>
      </c>
      <c r="F130" s="58" t="s">
        <v>10013</v>
      </c>
      <c r="G130" s="58" t="s">
        <v>10276</v>
      </c>
      <c r="H130" s="58" t="s">
        <v>10540</v>
      </c>
      <c r="I130" s="58" t="s">
        <v>10824</v>
      </c>
      <c r="J130" s="58" t="str">
        <f>CONCATENATE("(${Variables:",E130,"_kcat","} * ",E130," * ",G130,")","/(${Variables:",E130,"_km","} + (",E130," * ",G130,"))")</f>
        <v>(${Variables:E2_7_1_31_kcat} * E2_7_1_31 * C00002 * C00258)/(${Variables:E2_7_1_31_km} + (E2_7_1_31 * C00002 * C00258))</v>
      </c>
      <c r="K130" s="59" t="str">
        <f>CONCATENATE("r",D130,": ",F130," -&gt; ",H130," | ",J130)</f>
        <v>r129: C00002 + C00258 -&gt; C00008 + C00197 | (${Variables:E2_7_1_31_kcat} * E2_7_1_31 * C00002 * C00258)/(${Variables:E2_7_1_31_km} + (E2_7_1_31 * C00002 * C00258))</v>
      </c>
    </row>
    <row r="131" spans="1:12" ht="48">
      <c r="A131" s="57" t="s">
        <v>1089</v>
      </c>
      <c r="B131" s="57" t="s">
        <v>4335</v>
      </c>
      <c r="C131" s="57" t="s">
        <v>9050</v>
      </c>
      <c r="D131" s="58">
        <v>130</v>
      </c>
      <c r="E131" s="58" t="str">
        <f>CONCATENATE("E",C131)</f>
        <v>E2_7_1_33</v>
      </c>
      <c r="F131" s="58" t="s">
        <v>10014</v>
      </c>
      <c r="G131" s="58" t="s">
        <v>10277</v>
      </c>
      <c r="H131" s="58" t="s">
        <v>10541</v>
      </c>
      <c r="I131" s="58" t="s">
        <v>10825</v>
      </c>
      <c r="J131" s="58" t="str">
        <f>CONCATENATE("(${Variables:",E131,"_kcat","} * ",E131," * ",G131,")","/(${Variables:",E131,"_km","} + (",E131," * ",G131,"))")</f>
        <v>(${Variables:E2_7_1_33_kcat} * E2_7_1_33 * C00002 * C00864)/(${Variables:E2_7_1_33_km} + (E2_7_1_33 * C00002 * C00864))</v>
      </c>
      <c r="K131" s="59" t="str">
        <f>CONCATENATE("r",D131,": ",F131," -&gt; ",H131," | ",J131)</f>
        <v>r130: C00002 + C00864 -&gt; C00008 + C03492 | (${Variables:E2_7_1_33_kcat} * E2_7_1_33 * C00002 * C00864)/(${Variables:E2_7_1_33_km} + (E2_7_1_33 * C00002 * C00864))</v>
      </c>
    </row>
    <row r="132" spans="1:12" ht="48">
      <c r="A132" s="57" t="s">
        <v>1670</v>
      </c>
      <c r="B132" s="57" t="s">
        <v>5565</v>
      </c>
      <c r="C132" s="57" t="s">
        <v>9051</v>
      </c>
      <c r="D132" s="58">
        <v>131</v>
      </c>
      <c r="E132" s="58" t="str">
        <f>CONCATENATE("E",C132)</f>
        <v>E2_7_1_35</v>
      </c>
      <c r="F132" s="58" t="s">
        <v>10015</v>
      </c>
      <c r="G132" s="58" t="s">
        <v>10278</v>
      </c>
      <c r="H132" s="58" t="s">
        <v>10542</v>
      </c>
      <c r="I132" s="58" t="s">
        <v>10826</v>
      </c>
      <c r="J132" s="58" t="str">
        <f>CONCATENATE("(${Variables:",E132,"_kcat","} * ",E132," * ",G132,")","/(${Variables:",E132,"_km","} + (",E132," * ",G132,"))")</f>
        <v>(${Variables:E2_7_1_35_kcat} * E2_7_1_35 * C00002 * C00250)/(${Variables:E2_7_1_35_km} + (E2_7_1_35 * C00002 * C00250))</v>
      </c>
      <c r="K132" s="59" t="str">
        <f>CONCATENATE("r",D132,": ",F132," -&gt; ",H132," | ",J132)</f>
        <v>r131: C00002 + C00250 -&gt; C00008 + C00018 | (${Variables:E2_7_1_35_kcat} * E2_7_1_35 * C00002 * C00250)/(${Variables:E2_7_1_35_km} + (E2_7_1_35 * C00002 * C00250))</v>
      </c>
    </row>
    <row r="133" spans="1:12" ht="48">
      <c r="A133" s="57" t="s">
        <v>784</v>
      </c>
      <c r="B133" s="57" t="s">
        <v>3638</v>
      </c>
      <c r="C133" s="57" t="s">
        <v>9052</v>
      </c>
      <c r="D133" s="58">
        <v>132</v>
      </c>
      <c r="E133" s="58" t="str">
        <f>CONCATENATE("E",C133)</f>
        <v>E2_7_1_36</v>
      </c>
      <c r="F133" s="58" t="s">
        <v>10016</v>
      </c>
      <c r="G133" s="58" t="s">
        <v>10279</v>
      </c>
      <c r="H133" s="58" t="s">
        <v>10543</v>
      </c>
      <c r="I133" s="58" t="s">
        <v>10827</v>
      </c>
      <c r="J133" s="58" t="str">
        <f>CONCATENATE("(${Variables:",E133,"_kcat","} * ",E133," * ",G133,")","/(${Variables:",E133,"_km","} + (",E133," * ",G133,"))")</f>
        <v>(${Variables:E2_7_1_36_kcat} * E2_7_1_36 * C00002 * C00418)/(${Variables:E2_7_1_36_km} + (E2_7_1_36 * C00002 * C00418))</v>
      </c>
      <c r="K133" s="59" t="str">
        <f>CONCATENATE("r",D133,": ",F133," -&gt; ",H133," | ",J133)</f>
        <v>r132: C00002 + C00418 -&gt; C00008 + C01107 | (${Variables:E2_7_1_36_kcat} * E2_7_1_36 * C00002 * C00418)/(${Variables:E2_7_1_36_km} + (E2_7_1_36 * C00002 * C00418))</v>
      </c>
    </row>
    <row r="134" spans="1:12" ht="48">
      <c r="A134" s="57" t="s">
        <v>677</v>
      </c>
      <c r="B134" s="57" t="s">
        <v>3400</v>
      </c>
      <c r="C134" s="57" t="s">
        <v>9053</v>
      </c>
      <c r="D134" s="58">
        <v>133</v>
      </c>
      <c r="E134" s="58" t="str">
        <f>CONCATENATE("E",C134)</f>
        <v>E2_7_1_39</v>
      </c>
      <c r="F134" s="58" t="s">
        <v>10017</v>
      </c>
      <c r="G134" s="58" t="s">
        <v>10280</v>
      </c>
      <c r="H134" s="58" t="s">
        <v>10544</v>
      </c>
      <c r="I134" s="58" t="s">
        <v>10828</v>
      </c>
      <c r="J134" s="58" t="str">
        <f>CONCATENATE("(${Variables:",E134,"_kcat","} * ",E134," * ",G134,")","/(${Variables:",E134,"_km","} + (",E134," * ",G134,"))")</f>
        <v>(${Variables:E2_7_1_39_kcat} * E2_7_1_39 * C00002 * C00263)/(${Variables:E2_7_1_39_km} + (E2_7_1_39 * C00002 * C00263))</v>
      </c>
      <c r="K134" s="59" t="str">
        <f>CONCATENATE("r",D134,": ",F134," -&gt; ",H134," | ",J134)</f>
        <v>r133: C00002 + C00263 -&gt; C00008 + C01102 | (${Variables:E2_7_1_39_kcat} * E2_7_1_39 * C00002 * C00263)/(${Variables:E2_7_1_39_km} + (E2_7_1_39 * C00002 * C00263))</v>
      </c>
    </row>
    <row r="135" spans="1:12" ht="32">
      <c r="A135" s="57" t="s">
        <v>677</v>
      </c>
      <c r="B135" s="57" t="s">
        <v>6810</v>
      </c>
      <c r="C135" s="57" t="s">
        <v>9054</v>
      </c>
      <c r="D135" s="58">
        <v>134</v>
      </c>
      <c r="E135" s="58" t="str">
        <f>CONCATENATE("E",C135)</f>
        <v>E2_7_1_4</v>
      </c>
      <c r="F135" s="58" t="s">
        <v>10018</v>
      </c>
      <c r="G135" s="58" t="s">
        <v>10281</v>
      </c>
      <c r="H135" s="58" t="s">
        <v>10545</v>
      </c>
      <c r="I135" s="58" t="s">
        <v>10829</v>
      </c>
      <c r="J135" s="58" t="str">
        <f>CONCATENATE("(${Variables:",E135,"_kcat","} * ",E135," * ",G135,")","/(${Variables:",E135,"_km","} + (",E135," * ",G135,"))")</f>
        <v>(${Variables:E2_7_1_4_kcat} * E2_7_1_4 * C00002 * C00095)/(${Variables:E2_7_1_4_km} + (E2_7_1_4 * C00002 * C00095))</v>
      </c>
      <c r="K135" s="59" t="str">
        <f>CONCATENATE("r",D135,": ",F135," -&gt; ",H135," | ",J135)</f>
        <v>r134: C00002 + C00095 -&gt; C00008 + C00085 | (${Variables:E2_7_1_4_kcat} * E2_7_1_4 * C00002 * C00095)/(${Variables:E2_7_1_4_km} + (E2_7_1_4 * C00002 * C00095))</v>
      </c>
    </row>
    <row r="136" spans="1:12" ht="48">
      <c r="A136" s="57" t="s">
        <v>1562</v>
      </c>
      <c r="B136" s="57" t="s">
        <v>5310</v>
      </c>
      <c r="C136" s="57" t="s">
        <v>9055</v>
      </c>
      <c r="D136" s="58">
        <v>135</v>
      </c>
      <c r="E136" s="58" t="str">
        <f>CONCATENATE("E",C136)</f>
        <v>E2_7_1_40</v>
      </c>
      <c r="F136" s="58" t="s">
        <v>10019</v>
      </c>
      <c r="G136" s="58" t="s">
        <v>10282</v>
      </c>
      <c r="H136" s="58" t="s">
        <v>10546</v>
      </c>
      <c r="I136" s="58" t="s">
        <v>10830</v>
      </c>
      <c r="J136" s="58" t="str">
        <f>CONCATENATE("(${Variables:",E136,"_kcat","} * ",E136," * ",G136,")","/(${Variables:",E136,"_km","} + (",E136," * ",G136,"))")</f>
        <v>(${Variables:E2_7_1_40_kcat} * E2_7_1_40 * C00002 * C00022)/(${Variables:E2_7_1_40_km} + (E2_7_1_40 * C00002 * C00022))</v>
      </c>
      <c r="K136" s="59" t="str">
        <f>CONCATENATE("r",D136,": ",F136," -&gt; ",H136," | ",J136)</f>
        <v>r135: C00002 + C00022 -&gt; C00008 + C00074 | (${Variables:E2_7_1_40_kcat} * E2_7_1_40 * C00002 * C00022)/(${Variables:E2_7_1_40_km} + (E2_7_1_40 * C00002 * C00022))</v>
      </c>
    </row>
    <row r="137" spans="1:12" ht="48">
      <c r="A137" s="57" t="s">
        <v>1641</v>
      </c>
      <c r="B137" s="57" t="s">
        <v>5493</v>
      </c>
      <c r="C137" s="57" t="s">
        <v>9056</v>
      </c>
      <c r="D137" s="58">
        <v>136</v>
      </c>
      <c r="E137" s="58" t="str">
        <f>CONCATENATE("E",C137)</f>
        <v>E2_7_1_48</v>
      </c>
      <c r="F137" s="58" t="s">
        <v>10020</v>
      </c>
      <c r="G137" s="58" t="s">
        <v>10283</v>
      </c>
      <c r="H137" s="58" t="s">
        <v>10547</v>
      </c>
      <c r="I137" s="58" t="s">
        <v>10831</v>
      </c>
      <c r="J137" s="58" t="str">
        <f>CONCATENATE("(${Variables:",E137,"_kcat","} * ",E137," * ",G137,")","/(${Variables:",E137,"_km","} + (",E137," * ",G137,"))")</f>
        <v>(${Variables:E2_7_1_48_kcat} * E2_7_1_48 * C00002 * C00475)/(${Variables:E2_7_1_48_km} + (E2_7_1_48 * C00002 * C00475))</v>
      </c>
      <c r="K137" s="59" t="str">
        <f>CONCATENATE("r",D137,": ",F137," -&gt; ",H137," | ",J137)</f>
        <v>r136: C00002 + C00475 -&gt; C00008 + C00055 | (${Variables:E2_7_1_48_kcat} * E2_7_1_48 * C00002 * C00475)/(${Variables:E2_7_1_48_km} + (E2_7_1_48 * C00002 * C00475))</v>
      </c>
    </row>
    <row r="138" spans="1:12" ht="48">
      <c r="A138" s="57" t="s">
        <v>604</v>
      </c>
      <c r="B138" s="57" t="s">
        <v>3227</v>
      </c>
      <c r="C138" s="57" t="s">
        <v>9057</v>
      </c>
      <c r="D138" s="58">
        <v>137</v>
      </c>
      <c r="E138" s="58" t="str">
        <f>CONCATENATE("E",C138)</f>
        <v>E2_7_1_56</v>
      </c>
      <c r="F138" s="58" t="s">
        <v>10021</v>
      </c>
      <c r="G138" s="58" t="s">
        <v>10284</v>
      </c>
      <c r="H138" s="58" t="s">
        <v>10548</v>
      </c>
      <c r="I138" s="58" t="s">
        <v>10832</v>
      </c>
      <c r="J138" s="58" t="str">
        <f>CONCATENATE("(${Variables:",E138,"_kcat","} * ",E138," * ",G138,")","/(${Variables:",E138,"_km","} + (",E138," * ",G138,"))")</f>
        <v>(${Variables:E2_7_1_56_kcat} * E2_7_1_56 * C00002 * C01094)/(${Variables:E2_7_1_56_km} + (E2_7_1_56 * C00002 * C01094))</v>
      </c>
      <c r="K138" s="59" t="str">
        <f>CONCATENATE("r",D138,": ",F138," -&gt; ",H138," | ",J138)</f>
        <v>r137: C00002 + C01094 -&gt; C00008 + C00354 | (${Variables:E2_7_1_56_kcat} * E2_7_1_56 * C00002 * C01094)/(${Variables:E2_7_1_56_km} + (E2_7_1_56 * C00002 * C01094))</v>
      </c>
    </row>
    <row r="139" spans="1:12" ht="32">
      <c r="A139" s="57" t="s">
        <v>1817</v>
      </c>
      <c r="B139" s="57" t="s">
        <v>5855</v>
      </c>
      <c r="C139" s="57" t="s">
        <v>9058</v>
      </c>
      <c r="D139" s="58">
        <v>138</v>
      </c>
      <c r="E139" s="58" t="str">
        <f>CONCATENATE("E",C139)</f>
        <v>E2_7_1_6</v>
      </c>
      <c r="F139" s="58" t="s">
        <v>10022</v>
      </c>
      <c r="G139" s="58" t="s">
        <v>10285</v>
      </c>
      <c r="H139" s="58" t="s">
        <v>10549</v>
      </c>
      <c r="I139" s="58" t="s">
        <v>10833</v>
      </c>
      <c r="J139" s="58" t="str">
        <f>CONCATENATE("(${Variables:",E139,"_kcat","} * ",E139," * ",G139,")","/(${Variables:",E139,"_km","} + (",E139," * ",G139,"))")</f>
        <v>(${Variables:E2_7_1_6_kcat} * E2_7_1_6 * C00002 * C00984)/(${Variables:E2_7_1_6_km} + (E2_7_1_6 * C00002 * C00984))</v>
      </c>
      <c r="K139" s="59" t="str">
        <f>CONCATENATE("r",D139,": ",F139," -&gt; ",H139," | ",J139)</f>
        <v>r138: C00002 + C00984 -&gt; C00008 + C00446 | (${Variables:E2_7_1_6_kcat} * E2_7_1_6 * C00002 * C00984)/(${Variables:E2_7_1_6_km} + (E2_7_1_6 * C00002 * C00984))</v>
      </c>
    </row>
    <row r="140" spans="1:12" ht="48">
      <c r="A140" s="57" t="s">
        <v>870</v>
      </c>
      <c r="B140" s="57" t="s">
        <v>3829</v>
      </c>
      <c r="C140" s="57" t="s">
        <v>9059</v>
      </c>
      <c r="D140" s="58">
        <v>139</v>
      </c>
      <c r="E140" s="58" t="str">
        <f>CONCATENATE("E",C140)</f>
        <v>E2_7_1_66</v>
      </c>
      <c r="F140" s="58" t="s">
        <v>10023</v>
      </c>
      <c r="G140" s="58" t="s">
        <v>10286</v>
      </c>
      <c r="H140" s="58" t="s">
        <v>10550</v>
      </c>
      <c r="I140" s="58" t="s">
        <v>10834</v>
      </c>
      <c r="J140" s="58" t="str">
        <f>CONCATENATE("(${Variables:",E140,"_kcat","} * ",E140," * ",G140,")","/(${Variables:",E140,"_km","} + (",E140," * ",G140,"))")</f>
        <v>(${Variables:E2_7_1_66_kcat} * E2_7_1_66 * C00002 * C17558)/(${Variables:E2_7_1_66_km} + (E2_7_1_66 * C00002 * C17558))</v>
      </c>
      <c r="K140" s="59" t="str">
        <f>CONCATENATE("r",D140,": ",F140," -&gt; ",H140," | ",J140)</f>
        <v>r139: C00002 + C17558 -&gt; C00008 + C17556 | (${Variables:E2_7_1_66_kcat} * E2_7_1_66 * C00002 * C17558)/(${Variables:E2_7_1_66_km} + (E2_7_1_66 * C00002 * C17558))</v>
      </c>
      <c r="L140" s="61"/>
    </row>
    <row r="141" spans="1:12" ht="48">
      <c r="A141" s="57" t="s">
        <v>907</v>
      </c>
      <c r="B141" s="57" t="s">
        <v>3914</v>
      </c>
      <c r="C141" s="57" t="s">
        <v>9060</v>
      </c>
      <c r="D141" s="58">
        <v>140</v>
      </c>
      <c r="E141" s="58" t="str">
        <f>CONCATENATE("E",C141)</f>
        <v>E2_7_1_71</v>
      </c>
      <c r="F141" s="58" t="s">
        <v>10024</v>
      </c>
      <c r="G141" s="58" t="s">
        <v>10287</v>
      </c>
      <c r="H141" s="58" t="s">
        <v>10551</v>
      </c>
      <c r="I141" s="58" t="s">
        <v>10835</v>
      </c>
      <c r="J141" s="58" t="str">
        <f>CONCATENATE("(${Variables:",E141,"_kcat","} * ",E141," * ",G141,")","/(${Variables:",E141,"_km","} + (",E141," * ",G141,"))")</f>
        <v>(${Variables:E2_7_1_71_kcat} * E2_7_1_71 * C00002 * C00493)/(${Variables:E2_7_1_71_km} + (E2_7_1_71 * C00002 * C00493))</v>
      </c>
      <c r="K141" s="59" t="str">
        <f>CONCATENATE("r",D141,": ",F141," -&gt; ",H141," | ",J141)</f>
        <v>r140: C00002 + C00493 -&gt; C00008 + C03175 | (${Variables:E2_7_1_71_kcat} * E2_7_1_71 * C00002 * C00493)/(${Variables:E2_7_1_71_km} + (E2_7_1_71 * C00002 * C00493))</v>
      </c>
    </row>
    <row r="142" spans="1:12" ht="48">
      <c r="A142" s="57" t="s">
        <v>1854</v>
      </c>
      <c r="B142" s="57" t="s">
        <v>5924</v>
      </c>
      <c r="C142" s="57" t="s">
        <v>9061</v>
      </c>
      <c r="D142" s="58">
        <v>141</v>
      </c>
      <c r="E142" s="58" t="str">
        <f>CONCATENATE("E",C142)</f>
        <v>E2_7_11_1</v>
      </c>
      <c r="F142" s="58" t="s">
        <v>10025</v>
      </c>
      <c r="G142" s="58" t="s">
        <v>10288</v>
      </c>
      <c r="H142" s="58" t="s">
        <v>10552</v>
      </c>
      <c r="I142" s="58" t="s">
        <v>10836</v>
      </c>
      <c r="J142" s="58" t="str">
        <f>CONCATENATE("(${Variables:",E142,"_kcat","} * ",E142," * ",G142,")","/(${Variables:",E142,"_km","} + (",E142," * ",G142,"))")</f>
        <v>(${Variables:E2_7_11_1_kcat} * E2_7_11_1 * C00002 * C00017)/(${Variables:E2_7_11_1_km} + (E2_7_11_1 * C00002 * C00017))</v>
      </c>
      <c r="K142" s="59" t="str">
        <f>CONCATENATE("r",D142,": ",F142," -&gt; ",H142," | ",J142)</f>
        <v>r141: C00002 + C00017 -&gt; C00008 + C00562 | (${Variables:E2_7_11_1_kcat} * E2_7_11_1 * C00002 * C00017)/(${Variables:E2_7_11_1_km} + (E2_7_11_1 * C00002 * C00017))</v>
      </c>
      <c r="L142" s="61"/>
    </row>
    <row r="143" spans="1:12" ht="32">
      <c r="A143" s="57" t="s">
        <v>1848</v>
      </c>
      <c r="B143" s="57" t="s">
        <v>7171</v>
      </c>
      <c r="C143" s="57" t="s">
        <v>9063</v>
      </c>
      <c r="D143" s="58">
        <v>142</v>
      </c>
      <c r="E143" s="58" t="str">
        <f>CONCATENATE("E",C143)</f>
        <v>E2_7_2_1</v>
      </c>
      <c r="F143" s="58" t="s">
        <v>10026</v>
      </c>
      <c r="G143" s="58" t="s">
        <v>10289</v>
      </c>
      <c r="H143" s="58" t="s">
        <v>10553</v>
      </c>
      <c r="I143" s="58" t="s">
        <v>10837</v>
      </c>
      <c r="J143" s="58" t="str">
        <f>CONCATENATE("(${Variables:",E143,"_kcat","} * ",E143," * ",G143,")","/(${Variables:",E143,"_km","} + (",E143," * ",G143,"))")</f>
        <v>(${Variables:E2_7_2_1_kcat} * E2_7_2_1 * C00002 * C00033)/(${Variables:E2_7_2_1_km} + (E2_7_2_1 * C00002 * C00033))</v>
      </c>
      <c r="K143" s="59" t="str">
        <f>CONCATENATE("r",D143,": ",F143," -&gt; ",H143," | ",J143)</f>
        <v>r142: C00002 + C00033 -&gt; C00008 + C00227 | (${Variables:E2_7_2_1_kcat} * E2_7_2_1 * C00002 * C00033)/(${Variables:E2_7_2_1_km} + (E2_7_2_1 * C00002 * C00033))</v>
      </c>
    </row>
    <row r="144" spans="1:12" ht="48">
      <c r="A144" s="57" t="s">
        <v>1848</v>
      </c>
      <c r="B144" s="57" t="s">
        <v>6746</v>
      </c>
      <c r="C144" s="57" t="s">
        <v>9064</v>
      </c>
      <c r="D144" s="58">
        <v>143</v>
      </c>
      <c r="E144" s="58" t="str">
        <f>CONCATENATE("E",C144)</f>
        <v>E2_7_2_11</v>
      </c>
      <c r="F144" s="58" t="s">
        <v>10027</v>
      </c>
      <c r="G144" s="58" t="s">
        <v>10290</v>
      </c>
      <c r="H144" s="58" t="s">
        <v>10554</v>
      </c>
      <c r="I144" s="58" t="s">
        <v>10838</v>
      </c>
      <c r="J144" s="58" t="str">
        <f>CONCATENATE("(${Variables:",E144,"_kcat","} * ",E144," * ",G144,")","/(${Variables:",E144,"_km","} + (",E144," * ",G144,"))")</f>
        <v>(${Variables:E2_7_2_11_kcat} * E2_7_2_11 * C00002 * C00025)/(${Variables:E2_7_2_11_km} + (E2_7_2_11 * C00002 * C00025))</v>
      </c>
      <c r="K144" s="59" t="str">
        <f>CONCATENATE("r",D144,": ",F144," -&gt; ",H144," | ",J144)</f>
        <v>r143: C00002 + C00025 -&gt; C00008 + C03287 | (${Variables:E2_7_2_11_kcat} * E2_7_2_11 * C00002 * C00025)/(${Variables:E2_7_2_11_km} + (E2_7_2_11 * C00002 * C00025))</v>
      </c>
    </row>
    <row r="145" spans="1:12" ht="32">
      <c r="A145" s="57" t="s">
        <v>1848</v>
      </c>
      <c r="B145" s="57" t="s">
        <v>6951</v>
      </c>
      <c r="C145" s="57" t="s">
        <v>9065</v>
      </c>
      <c r="D145" s="58">
        <v>144</v>
      </c>
      <c r="E145" s="58" t="str">
        <f>CONCATENATE("E",C145)</f>
        <v>E2_7_2_3</v>
      </c>
      <c r="F145" s="58" t="s">
        <v>10028</v>
      </c>
      <c r="G145" s="58" t="s">
        <v>10291</v>
      </c>
      <c r="H145" s="58" t="s">
        <v>10555</v>
      </c>
      <c r="I145" s="58" t="s">
        <v>10839</v>
      </c>
      <c r="J145" s="58" t="str">
        <f>CONCATENATE("(${Variables:",E145,"_kcat","} * ",E145," * ",G145,")","/(${Variables:",E145,"_km","} + (",E145," * ",G145,"))")</f>
        <v>(${Variables:E2_7_2_3_kcat} * E2_7_2_3 * C00002 * C00197)/(${Variables:E2_7_2_3_km} + (E2_7_2_3 * C00002 * C00197))</v>
      </c>
      <c r="K145" s="59" t="str">
        <f>CONCATENATE("r",D145,": ",F145," -&gt; ",H145," | ",J145)</f>
        <v>r144: C00002 + C00197 -&gt; C00008 + C00236 | (${Variables:E2_7_2_3_kcat} * E2_7_2_3 * C00002 * C00197)/(${Variables:E2_7_2_3_km} + (E2_7_2_3 * C00002 * C00197))</v>
      </c>
    </row>
    <row r="146" spans="1:12" ht="32">
      <c r="A146" s="57" t="s">
        <v>577</v>
      </c>
      <c r="B146" s="57" t="s">
        <v>3160</v>
      </c>
      <c r="C146" s="57" t="s">
        <v>9066</v>
      </c>
      <c r="D146" s="58">
        <v>145</v>
      </c>
      <c r="E146" s="58" t="str">
        <f>CONCATENATE("E",C146)</f>
        <v>E2_7_2_4</v>
      </c>
      <c r="F146" s="58" t="s">
        <v>10029</v>
      </c>
      <c r="G146" s="58" t="s">
        <v>10292</v>
      </c>
      <c r="H146" s="58" t="s">
        <v>10556</v>
      </c>
      <c r="I146" s="58" t="s">
        <v>10840</v>
      </c>
      <c r="J146" s="58" t="str">
        <f>CONCATENATE("(${Variables:",E146,"_kcat","} * ",E146," * ",G146,")","/(${Variables:",E146,"_km","} + (",E146," * ",G146,"))")</f>
        <v>(${Variables:E2_7_2_4_kcat} * E2_7_2_4 * C00002 * C00049)/(${Variables:E2_7_2_4_km} + (E2_7_2_4 * C00002 * C00049))</v>
      </c>
      <c r="K146" s="59" t="str">
        <f>CONCATENATE("r",D146,": ",F146," -&gt; ",H146," | ",J146)</f>
        <v>r145: C00002 + C00049 -&gt; C00008 + C03082 | (${Variables:E2_7_2_4_kcat} * E2_7_2_4 * C00002 * C00049)/(${Variables:E2_7_2_4_km} + (E2_7_2_4 * C00002 * C00049))</v>
      </c>
    </row>
    <row r="147" spans="1:12" ht="32">
      <c r="A147" s="57" t="s">
        <v>673</v>
      </c>
      <c r="B147" s="57" t="s">
        <v>3387</v>
      </c>
      <c r="C147" s="57" t="s">
        <v>9067</v>
      </c>
      <c r="D147" s="58">
        <v>146</v>
      </c>
      <c r="E147" s="58" t="str">
        <f>CONCATENATE("E",C147)</f>
        <v>E2_7_2_8</v>
      </c>
      <c r="F147" s="58" t="s">
        <v>10030</v>
      </c>
      <c r="G147" s="58" t="s">
        <v>10293</v>
      </c>
      <c r="H147" s="58" t="s">
        <v>10557</v>
      </c>
      <c r="I147" s="58" t="s">
        <v>10841</v>
      </c>
      <c r="J147" s="58" t="str">
        <f>CONCATENATE("(${Variables:",E147,"_kcat","} * ",E147," * ",G147,")","/(${Variables:",E147,"_km","} + (",E147," * ",G147,"))")</f>
        <v>(${Variables:E2_7_2_8_kcat} * E2_7_2_8 * C00002 * C00624)/(${Variables:E2_7_2_8_km} + (E2_7_2_8 * C00002 * C00624))</v>
      </c>
      <c r="K147" s="59" t="str">
        <f>CONCATENATE("r",D147,": ",F147," -&gt; ",H147," | ",J147)</f>
        <v>r146: C00002 + C00624 -&gt; C00008 + C04133 | (${Variables:E2_7_2_8_kcat} * E2_7_2_8 * C00002 * C00624)/(${Variables:E2_7_2_8_km} + (E2_7_2_8 * C00002 * C00624))</v>
      </c>
      <c r="L147" s="61"/>
    </row>
    <row r="148" spans="1:12" ht="32">
      <c r="A148" s="57" t="s">
        <v>1645</v>
      </c>
      <c r="B148" s="57" t="s">
        <v>5504</v>
      </c>
      <c r="C148" s="57" t="s">
        <v>9068</v>
      </c>
      <c r="D148" s="58">
        <v>147</v>
      </c>
      <c r="E148" s="58" t="str">
        <f>CONCATENATE("E",C148)</f>
        <v>E2_7_3_9</v>
      </c>
      <c r="F148" s="58" t="s">
        <v>10031</v>
      </c>
      <c r="G148" s="58" t="s">
        <v>10294</v>
      </c>
      <c r="H148" s="58" t="s">
        <v>10558</v>
      </c>
      <c r="I148" s="58" t="s">
        <v>10842</v>
      </c>
      <c r="J148" s="58" t="str">
        <f>CONCATENATE("(${Variables:",E148,"_kcat","} * ",E148," * ",G148,")","/(${Variables:",E148,"_km","} + (",E148," * ",G148,"))")</f>
        <v>(${Variables:E2_7_3_9_kcat} * E2_7_3_9 * C00074 * C00615)/(${Variables:E2_7_3_9_km} + (E2_7_3_9 * C00074 * C00615))</v>
      </c>
      <c r="K148" s="59" t="str">
        <f>CONCATENATE("r",D148,": ",F148," -&gt; ",H148," | ",J148)</f>
        <v>r147: C00074 + C00615 -&gt; C00022 + C04261 | (${Variables:E2_7_3_9_kcat} * E2_7_3_9 * C00074 * C00615)/(${Variables:E2_7_3_9_km} + (E2_7_3_9 * C00074 * C00615))</v>
      </c>
    </row>
    <row r="149" spans="1:12" ht="32">
      <c r="A149" s="57" t="s">
        <v>786</v>
      </c>
      <c r="B149" s="57" t="s">
        <v>3644</v>
      </c>
      <c r="C149" s="57" t="s">
        <v>9069</v>
      </c>
      <c r="D149" s="58">
        <v>148</v>
      </c>
      <c r="E149" s="58" t="str">
        <f>CONCATENATE("E",C149)</f>
        <v>E2_7_4_2</v>
      </c>
      <c r="F149" s="58" t="s">
        <v>10032</v>
      </c>
      <c r="G149" s="58" t="s">
        <v>10295</v>
      </c>
      <c r="H149" s="58" t="s">
        <v>10559</v>
      </c>
      <c r="I149" s="58" t="s">
        <v>10843</v>
      </c>
      <c r="J149" s="58" t="str">
        <f>CONCATENATE("(${Variables:",E149,"_kcat","} * ",E149," * ",G149,")","/(${Variables:",E149,"_km","} + (",E149," * ",G149,"))")</f>
        <v>(${Variables:E2_7_4_2_kcat} * E2_7_4_2 * C00002 * C01107)/(${Variables:E2_7_4_2_km} + (E2_7_4_2 * C00002 * C01107))</v>
      </c>
      <c r="K149" s="59" t="str">
        <f>CONCATENATE("r",D149,": ",F149," -&gt; ",H149," | ",J149)</f>
        <v>r148: C00002 + C01107 -&gt; C00008 + C01143 | (${Variables:E2_7_4_2_kcat} * E2_7_4_2 * C00002 * C01107)/(${Variables:E2_7_4_2_km} + (E2_7_4_2 * C00002 * C01107))</v>
      </c>
    </row>
    <row r="150" spans="1:12" ht="48">
      <c r="A150" s="57" t="s">
        <v>641</v>
      </c>
      <c r="B150" s="57" t="s">
        <v>3314</v>
      </c>
      <c r="C150" s="57" t="s">
        <v>9070</v>
      </c>
      <c r="D150" s="58">
        <v>149</v>
      </c>
      <c r="E150" s="58" t="str">
        <f>CONCATENATE("E",C150)</f>
        <v>E2_7_4_22</v>
      </c>
      <c r="F150" s="58" t="s">
        <v>10033</v>
      </c>
      <c r="G150" s="58" t="s">
        <v>10296</v>
      </c>
      <c r="H150" s="58" t="s">
        <v>10560</v>
      </c>
      <c r="I150" s="58" t="s">
        <v>10844</v>
      </c>
      <c r="J150" s="58" t="str">
        <f>CONCATENATE("(${Variables:",E150,"_kcat","} * ",E150," * ",G150,")","/(${Variables:",E150,"_km","} + (",E150," * ",G150,"))")</f>
        <v>(${Variables:E2_7_4_22_kcat} * E2_7_4_22 * C00002 * C00105)/(${Variables:E2_7_4_22_km} + (E2_7_4_22 * C00002 * C00105))</v>
      </c>
      <c r="K150" s="59" t="str">
        <f>CONCATENATE("r",D150,": ",F150," -&gt; ",H150," | ",J150)</f>
        <v>r149: C00002 + C00105 -&gt; C00008 + C00015 | (${Variables:E2_7_4_22_kcat} * E2_7_4_22 * C00002 * C00105)/(${Variables:E2_7_4_22_km} + (E2_7_4_22 * C00002 * C00105))</v>
      </c>
    </row>
    <row r="151" spans="1:12" ht="48">
      <c r="A151" s="57" t="s">
        <v>1480</v>
      </c>
      <c r="B151" s="57" t="s">
        <v>5137</v>
      </c>
      <c r="C151" s="57" t="s">
        <v>9071</v>
      </c>
      <c r="D151" s="58">
        <v>150</v>
      </c>
      <c r="E151" s="58" t="str">
        <f>CONCATENATE("E",C151)</f>
        <v>E2_7_4_25</v>
      </c>
      <c r="F151" s="58" t="s">
        <v>10034</v>
      </c>
      <c r="G151" s="58" t="s">
        <v>10297</v>
      </c>
      <c r="H151" s="58" t="s">
        <v>10561</v>
      </c>
      <c r="I151" s="58" t="s">
        <v>10845</v>
      </c>
      <c r="J151" s="58" t="str">
        <f>CONCATENATE("(${Variables:",E151,"_kcat","} * ",E151," * ",G151,")","/(${Variables:",E151,"_km","} + (",E151," * ",G151,"))")</f>
        <v>(${Variables:E2_7_4_25_kcat} * E2_7_4_25 * C00002 * C00055)/(${Variables:E2_7_4_25_km} + (E2_7_4_25 * C00002 * C00055))</v>
      </c>
      <c r="K151" s="59" t="str">
        <f>CONCATENATE("r",D151,": ",F151," -&gt; ",H151," | ",J151)</f>
        <v>r150: C00002 + C00055 -&gt; C00008 + C00112 | (${Variables:E2_7_4_25_kcat} * E2_7_4_25 * C00002 * C00055)/(${Variables:E2_7_4_25_km} + (E2_7_4_25 * C00002 * C00055))</v>
      </c>
    </row>
    <row r="152" spans="1:12" ht="32">
      <c r="A152" s="57" t="s">
        <v>1480</v>
      </c>
      <c r="B152" s="57" t="s">
        <v>7308</v>
      </c>
      <c r="C152" s="57" t="s">
        <v>9072</v>
      </c>
      <c r="D152" s="58">
        <v>151</v>
      </c>
      <c r="E152" s="58" t="str">
        <f>CONCATENATE("E",C152)</f>
        <v>E2_7_4_3</v>
      </c>
      <c r="F152" s="58" t="s">
        <v>10035</v>
      </c>
      <c r="G152" s="58" t="s">
        <v>10298</v>
      </c>
      <c r="H152" s="58" t="s">
        <v>11026</v>
      </c>
      <c r="I152" s="58" t="s">
        <v>11027</v>
      </c>
      <c r="J152" s="58" t="str">
        <f>CONCATENATE("(${Variables:",E152,"_kcat","} * ",E152," * ",G152,")","/(${Variables:",E152,"_km","} + (",E152," * ",G152,"))")</f>
        <v>(${Variables:E2_7_4_3_kcat} * E2_7_4_3 * C00002 * C00020)/(${Variables:E2_7_4_3_km} + (E2_7_4_3 * C00002 * C00020))</v>
      </c>
      <c r="K152" s="59" t="str">
        <f>CONCATENATE("r",D152,": ",F152," -&gt; ",H152," | ",J152)</f>
        <v>r151: C00002 + C00020 -&gt; C00008 | (${Variables:E2_7_4_3_kcat} * E2_7_4_3 * C00002 * C00020)/(${Variables:E2_7_4_3_km} + (E2_7_4_3 * C00002 * C00020))</v>
      </c>
      <c r="L152" s="61"/>
    </row>
    <row r="153" spans="1:12" ht="32">
      <c r="A153" s="57" t="s">
        <v>1232</v>
      </c>
      <c r="B153" s="57" t="s">
        <v>4611</v>
      </c>
      <c r="C153" s="57" t="s">
        <v>9073</v>
      </c>
      <c r="D153" s="58">
        <v>152</v>
      </c>
      <c r="E153" s="58" t="str">
        <f>CONCATENATE("E",C153)</f>
        <v>E2_7_4_6</v>
      </c>
      <c r="F153" s="58" t="s">
        <v>10036</v>
      </c>
      <c r="G153" s="58" t="s">
        <v>10299</v>
      </c>
      <c r="H153" s="58" t="s">
        <v>10562</v>
      </c>
      <c r="I153" s="58" t="s">
        <v>10846</v>
      </c>
      <c r="J153" s="58" t="str">
        <f>CONCATENATE("(${Variables:",E153,"_kcat","} * ",E153," * ",G153,")","/(${Variables:",E153,"_km","} + (",E153," * ",G153,"))")</f>
        <v>(${Variables:E2_7_4_6_kcat} * E2_7_4_6 * C00002 * C00454)/(${Variables:E2_7_4_6_km} + (E2_7_4_6 * C00002 * C00454))</v>
      </c>
      <c r="K153" s="59" t="str">
        <f>CONCATENATE("r",D153,": ",F153," -&gt; ",H153," | ",J153)</f>
        <v>r152: C00002 + C00454 -&gt; C00008 + C00201 | (${Variables:E2_7_4_6_kcat} * E2_7_4_6 * C00002 * C00454)/(${Variables:E2_7_4_6_km} + (E2_7_4_6 * C00002 * C00454))</v>
      </c>
    </row>
    <row r="154" spans="1:12" ht="32">
      <c r="A154" s="57" t="s">
        <v>244</v>
      </c>
      <c r="B154" s="57" t="s">
        <v>2409</v>
      </c>
      <c r="C154" s="57" t="s">
        <v>9074</v>
      </c>
      <c r="D154" s="58">
        <v>153</v>
      </c>
      <c r="E154" s="58" t="str">
        <f>CONCATENATE("E",C154)</f>
        <v>E2_7_4_7</v>
      </c>
      <c r="F154" s="58" t="s">
        <v>10037</v>
      </c>
      <c r="G154" s="58" t="s">
        <v>10300</v>
      </c>
      <c r="H154" s="58" t="s">
        <v>10563</v>
      </c>
      <c r="I154" s="58" t="s">
        <v>10847</v>
      </c>
      <c r="J154" s="58" t="str">
        <f>CONCATENATE("(${Variables:",E154,"_kcat","} * ",E154," * ",G154,")","/(${Variables:",E154,"_km","} + (",E154," * ",G154,"))")</f>
        <v>(${Variables:E2_7_4_7_kcat} * E2_7_4_7 * C00002 * C04556)/(${Variables:E2_7_4_7_km} + (E2_7_4_7 * C00002 * C04556))</v>
      </c>
      <c r="K154" s="59" t="str">
        <f>CONCATENATE("r",D154,": ",F154," -&gt; ",H154," | ",J154)</f>
        <v>r153: C00002 + C04556 -&gt; C00008 + C04752 | (${Variables:E2_7_4_7_kcat} * E2_7_4_7 * C00002 * C04556)/(${Variables:E2_7_4_7_km} + (E2_7_4_7 * C00002 * C04556))</v>
      </c>
      <c r="L154" s="61"/>
    </row>
    <row r="155" spans="1:12" ht="32">
      <c r="A155" s="57" t="s">
        <v>1861</v>
      </c>
      <c r="B155" s="57" t="s">
        <v>5941</v>
      </c>
      <c r="C155" s="57" t="s">
        <v>9075</v>
      </c>
      <c r="D155" s="58">
        <v>154</v>
      </c>
      <c r="E155" s="58" t="str">
        <f>CONCATENATE("E",C155)</f>
        <v>E2_7_4_8</v>
      </c>
      <c r="F155" s="58" t="s">
        <v>10038</v>
      </c>
      <c r="G155" s="58" t="s">
        <v>10301</v>
      </c>
      <c r="H155" s="58" t="s">
        <v>10564</v>
      </c>
      <c r="I155" s="58" t="s">
        <v>10848</v>
      </c>
      <c r="J155" s="58" t="str">
        <f>CONCATENATE("(${Variables:",E155,"_kcat","} * ",E155," * ",G155,")","/(${Variables:",E155,"_km","} + (",E155," * ",G155,"))")</f>
        <v>(${Variables:E2_7_4_8_kcat} * E2_7_4_8 * C00002 * C00144)/(${Variables:E2_7_4_8_km} + (E2_7_4_8 * C00002 * C00144))</v>
      </c>
      <c r="K155" s="59" t="str">
        <f>CONCATENATE("r",D155,": ",F155," -&gt; ",H155," | ",J155)</f>
        <v>r154: C00002 + C00144 -&gt; C00008 + C00035 | (${Variables:E2_7_4_8_kcat} * E2_7_4_8 * C00002 * C00144)/(${Variables:E2_7_4_8_km} + (E2_7_4_8 * C00002 * C00144))</v>
      </c>
    </row>
    <row r="156" spans="1:12" ht="32">
      <c r="A156" s="57" t="s">
        <v>707</v>
      </c>
      <c r="B156" s="57" t="s">
        <v>3462</v>
      </c>
      <c r="C156" s="57" t="s">
        <v>9076</v>
      </c>
      <c r="D156" s="58">
        <v>155</v>
      </c>
      <c r="E156" s="58" t="str">
        <f>CONCATENATE("E",C156)</f>
        <v>E2_7_4_9</v>
      </c>
      <c r="F156" s="58" t="s">
        <v>10039</v>
      </c>
      <c r="G156" s="58" t="s">
        <v>10302</v>
      </c>
      <c r="H156" s="58" t="s">
        <v>10565</v>
      </c>
      <c r="I156" s="58" t="s">
        <v>10849</v>
      </c>
      <c r="J156" s="58" t="str">
        <f>CONCATENATE("(${Variables:",E156,"_kcat","} * ",E156," * ",G156,")","/(${Variables:",E156,"_km","} + (",E156," * ",G156,"))")</f>
        <v>(${Variables:E2_7_4_9_kcat} * E2_7_4_9 * C00002 * C00364)/(${Variables:E2_7_4_9_km} + (E2_7_4_9 * C00002 * C00364))</v>
      </c>
      <c r="K156" s="59" t="str">
        <f>CONCATENATE("r",D156,": ",F156," -&gt; ",H156," | ",J156)</f>
        <v>r155: C00002 + C00364 -&gt; C00008 + C00363 | (${Variables:E2_7_4_9_kcat} * E2_7_4_9 * C00002 * C00364)/(${Variables:E2_7_4_9_km} + (E2_7_4_9 * C00002 * C00364))</v>
      </c>
      <c r="L156" s="61"/>
    </row>
    <row r="157" spans="1:12" ht="32">
      <c r="A157" s="57" t="s">
        <v>99</v>
      </c>
      <c r="B157" s="57" t="s">
        <v>2127</v>
      </c>
      <c r="C157" s="57" t="s">
        <v>9077</v>
      </c>
      <c r="D157" s="58">
        <v>156</v>
      </c>
      <c r="E157" s="58" t="str">
        <f>CONCATENATE("E",C157)</f>
        <v>E2_7_6_1</v>
      </c>
      <c r="F157" s="58" t="s">
        <v>10040</v>
      </c>
      <c r="G157" s="58" t="s">
        <v>10303</v>
      </c>
      <c r="H157" s="58" t="s">
        <v>10566</v>
      </c>
      <c r="I157" s="58" t="s">
        <v>10850</v>
      </c>
      <c r="J157" s="58" t="str">
        <f>CONCATENATE("(${Variables:",E157,"_kcat","} * ",E157," * ",G157,")","/(${Variables:",E157,"_km","} + (",E157," * ",G157,"))")</f>
        <v>(${Variables:E2_7_6_1_kcat} * E2_7_6_1 * C00002 * C00117)/(${Variables:E2_7_6_1_km} + (E2_7_6_1 * C00002 * C00117))</v>
      </c>
      <c r="K157" s="59" t="str">
        <f>CONCATENATE("r",D157,": ",F157," -&gt; ",H157," | ",J157)</f>
        <v>r156: C00002 + C00117 -&gt; C00020 + C00119 | (${Variables:E2_7_6_1_kcat} * E2_7_6_1 * C00002 * C00117)/(${Variables:E2_7_6_1_km} + (E2_7_6_1 * C00002 * C00117))</v>
      </c>
    </row>
    <row r="158" spans="1:12" ht="48">
      <c r="A158" s="57" t="s">
        <v>1892</v>
      </c>
      <c r="B158" s="57" t="s">
        <v>6982</v>
      </c>
      <c r="C158" s="57" t="s">
        <v>9078</v>
      </c>
      <c r="D158" s="58">
        <v>157</v>
      </c>
      <c r="E158" s="58" t="str">
        <f>CONCATENATE("E",C158)</f>
        <v>E2_7_6_2</v>
      </c>
      <c r="F158" s="58" t="s">
        <v>10041</v>
      </c>
      <c r="G158" s="58" t="s">
        <v>10304</v>
      </c>
      <c r="H158" s="58" t="s">
        <v>10567</v>
      </c>
      <c r="I158" s="58" t="s">
        <v>10851</v>
      </c>
      <c r="J158" s="58" t="str">
        <f>CONCATENATE("(${Variables:",E158,"_kcat","} * ",E158," * ",G158,")","/(${Variables:",E158,"_km","} + (",E158," * ",G158,"))")</f>
        <v>(${Variables:E2_7_6_2_kcat} * E2_7_6_2 * C00002 * C00378)/(${Variables:E2_7_6_2_km} + (E2_7_6_2 * C00002 * C00378))</v>
      </c>
      <c r="K158" s="59" t="str">
        <f>CONCATENATE("r",D158,": ",F158," -&gt; ",H158," | ",J158)</f>
        <v>r157: C00002 + C00378 -&gt; C000020 + C00068 | (${Variables:E2_7_6_2_kcat} * E2_7_6_2 * C00002 * C00378)/(${Variables:E2_7_6_2_km} + (E2_7_6_2 * C00002 * C00378))</v>
      </c>
      <c r="L158" s="61"/>
    </row>
    <row r="159" spans="1:12" ht="32">
      <c r="A159" s="57" t="s">
        <v>2000</v>
      </c>
      <c r="B159" s="57" t="s">
        <v>6224</v>
      </c>
      <c r="C159" s="57" t="s">
        <v>9079</v>
      </c>
      <c r="D159" s="58">
        <v>158</v>
      </c>
      <c r="E159" s="58" t="str">
        <f>CONCATENATE("E",C159)</f>
        <v>E2_7_6_3</v>
      </c>
      <c r="F159" s="58" t="s">
        <v>10042</v>
      </c>
      <c r="G159" s="58" t="s">
        <v>10305</v>
      </c>
      <c r="H159" s="58" t="s">
        <v>10568</v>
      </c>
      <c r="I159" s="58" t="s">
        <v>10852</v>
      </c>
      <c r="J159" s="58" t="str">
        <f>CONCATENATE("(${Variables:",E159,"_kcat","} * ",E159," * ",G159,")","/(${Variables:",E159,"_km","} + (",E159," * ",G159,"))")</f>
        <v>(${Variables:E2_7_6_3_kcat} * E2_7_6_3 * C00002 * C01300)/(${Variables:E2_7_6_3_km} + (E2_7_6_3 * C00002 * C01300))</v>
      </c>
      <c r="K159" s="59" t="str">
        <f>CONCATENATE("r",D159,": ",F159," -&gt; ",H159," | ",J159)</f>
        <v>r158: C00002 + C01300 -&gt; C00020 + C04807 | (${Variables:E2_7_6_3_kcat} * E2_7_6_3 * C00002 * C01300)/(${Variables:E2_7_6_3_km} + (E2_7_6_3 * C00002 * C01300))</v>
      </c>
    </row>
    <row r="160" spans="1:12" ht="32">
      <c r="A160" s="57" t="s">
        <v>268</v>
      </c>
      <c r="B160" s="57" t="s">
        <v>2473</v>
      </c>
      <c r="C160" s="57" t="s">
        <v>9080</v>
      </c>
      <c r="D160" s="58">
        <v>159</v>
      </c>
      <c r="E160" s="58" t="str">
        <f>CONCATENATE("E",C160)</f>
        <v>E2_7_6_5</v>
      </c>
      <c r="F160" s="58" t="s">
        <v>10043</v>
      </c>
      <c r="G160" s="58" t="s">
        <v>10306</v>
      </c>
      <c r="H160" s="58" t="s">
        <v>10569</v>
      </c>
      <c r="I160" s="58" t="s">
        <v>10853</v>
      </c>
      <c r="J160" s="58" t="str">
        <f>CONCATENATE("(${Variables:",E160,"_kcat","} * ",E160," * ",G160,")","/(${Variables:",E160,"_km","} + (",E160," * ",G160,"))")</f>
        <v>(${Variables:E2_7_6_5_kcat} * E2_7_6_5 * C00002 * C00044)/(${Variables:E2_7_6_5_km} + (E2_7_6_5 * C00002 * C00044))</v>
      </c>
      <c r="K160" s="59" t="str">
        <f>CONCATENATE("r",D160,": ",F160," -&gt; ",H160," | ",J160)</f>
        <v>r159: C00002 + C00044 -&gt; C00020 + C04494 | (${Variables:E2_7_6_5_kcat} * E2_7_6_5 * C00002 * C00044)/(${Variables:E2_7_6_5_km} + (E2_7_6_5 * C00002 * C00044))</v>
      </c>
      <c r="L160" s="61"/>
    </row>
    <row r="161" spans="1:12" ht="32">
      <c r="A161" s="57" t="s">
        <v>268</v>
      </c>
      <c r="B161" s="57" t="s">
        <v>2473</v>
      </c>
      <c r="C161" s="57" t="s">
        <v>9081</v>
      </c>
      <c r="D161" s="58">
        <v>160</v>
      </c>
      <c r="E161" s="58" t="str">
        <f>CONCATENATE("E",C161)</f>
        <v>E3_1_7_2</v>
      </c>
      <c r="F161" s="58" t="s">
        <v>10044</v>
      </c>
      <c r="G161" s="58" t="s">
        <v>10307</v>
      </c>
      <c r="H161" s="58" t="s">
        <v>10570</v>
      </c>
      <c r="I161" s="58" t="s">
        <v>10854</v>
      </c>
      <c r="J161" s="58" t="str">
        <f>CONCATENATE("(${Variables:",E161,"_kcat","} * ",E161," * ",G161,")","/(${Variables:",E161,"_km","} + (",E161," * ",G161,"))")</f>
        <v>(${Variables:E3_1_7_2_kcat} * E3_1_7_2 * C01228 * C00001)/(${Variables:E3_1_7_2_km} + (E3_1_7_2 * C01228 * C00001))</v>
      </c>
      <c r="K161" s="59" t="str">
        <f>CONCATENATE("r",D161,": ",F161," -&gt; ",H161," | ",J161)</f>
        <v>r160: C01228 + C00001 -&gt; C00035 + C00013 | (${Variables:E3_1_7_2_kcat} * E3_1_7_2 * C01228 * C00001)/(${Variables:E3_1_7_2_km} + (E3_1_7_2 * C01228 * C00001))</v>
      </c>
    </row>
    <row r="162" spans="1:12" ht="32">
      <c r="A162" s="57" t="s">
        <v>630</v>
      </c>
      <c r="B162" s="57" t="s">
        <v>3289</v>
      </c>
      <c r="C162" s="57" t="s">
        <v>9082</v>
      </c>
      <c r="D162" s="58">
        <v>161</v>
      </c>
      <c r="E162" s="58" t="str">
        <f>CONCATENATE("E",C162)</f>
        <v>E2_7_7_1</v>
      </c>
      <c r="F162" s="58" t="s">
        <v>10045</v>
      </c>
      <c r="G162" s="58" t="s">
        <v>10308</v>
      </c>
      <c r="H162" s="58" t="s">
        <v>10571</v>
      </c>
      <c r="I162" s="58" t="s">
        <v>10855</v>
      </c>
      <c r="J162" s="58" t="str">
        <f>CONCATENATE("(${Variables:",E162,"_kcat","} * ",E162," * ",G162,")","/(${Variables:",E162,"_km","} + (",E162," * ",G162,"))")</f>
        <v>(${Variables:E2_7_7_1_kcat} * E2_7_7_1 * C00002 * C00455)/(${Variables:E2_7_7_1_km} + (E2_7_7_1 * C00002 * C00455))</v>
      </c>
      <c r="K162" s="59" t="str">
        <f>CONCATENATE("r",D162,": ",F162," -&gt; ",H162," | ",J162)</f>
        <v>r161: C00002 + C00455 -&gt; C00013 + C00003 | (${Variables:E2_7_7_1_kcat} * E2_7_7_1 * C00002 * C00455)/(${Variables:E2_7_7_1_km} + (E2_7_7_1 * C00002 * C00455))</v>
      </c>
      <c r="L162" s="61"/>
    </row>
    <row r="163" spans="1:12" ht="48">
      <c r="A163" s="57" t="s">
        <v>630</v>
      </c>
      <c r="B163" s="57" t="s">
        <v>3289</v>
      </c>
      <c r="C163" s="57" t="s">
        <v>9083</v>
      </c>
      <c r="D163" s="58">
        <v>162</v>
      </c>
      <c r="E163" s="58" t="str">
        <f>CONCATENATE("E",C163)</f>
        <v>E2_7_7_22</v>
      </c>
      <c r="F163" s="58" t="s">
        <v>10046</v>
      </c>
      <c r="G163" s="58" t="s">
        <v>10309</v>
      </c>
      <c r="H163" s="58" t="s">
        <v>10572</v>
      </c>
      <c r="I163" s="58" t="s">
        <v>10856</v>
      </c>
      <c r="J163" s="58" t="str">
        <f>CONCATENATE("(${Variables:",E163,"_kcat","} * ",E163," * ",G163,")","/(${Variables:",E163,"_km","} + (",E163," * ",G163,"))")</f>
        <v>(${Variables:E2_7_7_22_kcat} * E2_7_7_22 * C00035 * C00636)/(${Variables:E2_7_7_22_km} + (E2_7_7_22 * C00035 * C00636))</v>
      </c>
      <c r="K163" s="59" t="str">
        <f>CONCATENATE("r",D163,": ",F163," -&gt; ",H163," | ",J163)</f>
        <v>r162: C00035 + C00636 -&gt; C00009 + C00096 | (${Variables:E2_7_7_22_kcat} * E2_7_7_22 * C00035 * C00636)/(${Variables:E2_7_7_22_km} + (E2_7_7_22 * C00035 * C00636))</v>
      </c>
    </row>
    <row r="164" spans="1:12" ht="48">
      <c r="A164" s="57" t="s">
        <v>1815</v>
      </c>
      <c r="B164" s="57" t="s">
        <v>5852</v>
      </c>
      <c r="C164" s="57" t="s">
        <v>9084</v>
      </c>
      <c r="D164" s="58">
        <v>163</v>
      </c>
      <c r="E164" s="58" t="str">
        <f>CONCATENATE("E",C164)</f>
        <v>E2_7_7_12</v>
      </c>
      <c r="F164" s="58" t="s">
        <v>10047</v>
      </c>
      <c r="G164" s="58" t="s">
        <v>10310</v>
      </c>
      <c r="H164" s="58" t="s">
        <v>10573</v>
      </c>
      <c r="I164" s="58" t="s">
        <v>10857</v>
      </c>
      <c r="J164" s="58" t="str">
        <f>CONCATENATE("(${Variables:",E164,"_kcat","} * ",E164," * ",G164,")","/(${Variables:",E164,"_km","} + (",E164," * ",G164,"))")</f>
        <v>(${Variables:E2_7_7_12_kcat} * E2_7_7_12 * C00029 * C00446)/(${Variables:E2_7_7_12_km} + (E2_7_7_12 * C00029 * C00446))</v>
      </c>
      <c r="K164" s="59" t="str">
        <f>CONCATENATE("r",D164,": ",F164," -&gt; ",H164," | ",J164)</f>
        <v>r163: C00029 + C00446 -&gt; C00103 + C00052 | (${Variables:E2_7_7_12_kcat} * E2_7_7_12 * C00029 * C00446)/(${Variables:E2_7_7_12_km} + (E2_7_7_12 * C00029 * C00446))</v>
      </c>
      <c r="L164" s="61"/>
    </row>
    <row r="165" spans="1:12" ht="48">
      <c r="A165" s="57" t="s">
        <v>791</v>
      </c>
      <c r="B165" s="57" t="s">
        <v>3652</v>
      </c>
      <c r="C165" s="57" t="s">
        <v>9085</v>
      </c>
      <c r="D165" s="58">
        <v>164</v>
      </c>
      <c r="E165" s="58" t="str">
        <f>CONCATENATE("E",C165)</f>
        <v>E2_7_7_23</v>
      </c>
      <c r="F165" s="58" t="s">
        <v>10048</v>
      </c>
      <c r="G165" s="58" t="s">
        <v>10311</v>
      </c>
      <c r="H165" s="58" t="s">
        <v>10574</v>
      </c>
      <c r="I165" s="58" t="s">
        <v>10858</v>
      </c>
      <c r="J165" s="58" t="str">
        <f>CONCATENATE("(${Variables:",E165,"_kcat","} * ",E165," * ",G165,")","/(${Variables:",E165,"_km","} + (",E165," * ",G165,"))")</f>
        <v>(${Variables:E2_7_7_23_kcat} * E2_7_7_23 * C00075 * C04501)/(${Variables:E2_7_7_23_km} + (E2_7_7_23 * C00075 * C04501))</v>
      </c>
      <c r="K165" s="59" t="str">
        <f>CONCATENATE("r",D165,": ",F165," -&gt; ",H165," | ",J165)</f>
        <v>r164: C00075 + C04501 -&gt; C00013 + C00043 | (${Variables:E2_7_7_23_kcat} * E2_7_7_23 * C00075 * C04501)/(${Variables:E2_7_7_23_km} + (E2_7_7_23 * C00075 * C04501))</v>
      </c>
    </row>
    <row r="166" spans="1:12" ht="48">
      <c r="A166" s="57" t="s">
        <v>791</v>
      </c>
      <c r="B166" s="57" t="s">
        <v>3652</v>
      </c>
      <c r="C166" s="57" t="s">
        <v>9086</v>
      </c>
      <c r="D166" s="58">
        <v>165</v>
      </c>
      <c r="E166" s="58" t="str">
        <f>CONCATENATE("E",C166)</f>
        <v>E2_3_1_157</v>
      </c>
      <c r="F166" s="58" t="s">
        <v>10049</v>
      </c>
      <c r="G166" s="58" t="s">
        <v>10312</v>
      </c>
      <c r="H166" s="58" t="s">
        <v>10575</v>
      </c>
      <c r="I166" s="58" t="s">
        <v>10859</v>
      </c>
      <c r="J166" s="58" t="str">
        <f>CONCATENATE("(${Variables:",E166,"_kcat","} * ",E166," * ",G166,")","/(${Variables:",E166,"_km","} + (",E166," * ",G166,"))")</f>
        <v>(${Variables:E2_3_1_157_kcat} * E2_3_1_157 * C00024 * C06156)/(${Variables:E2_3_1_157_km} + (E2_3_1_157 * C00024 * C06156))</v>
      </c>
      <c r="K166" s="59" t="str">
        <f>CONCATENATE("r",D166,": ",F166," -&gt; ",H166," | ",J166)</f>
        <v>r165: C00024 + C06156 -&gt; C00010 + C04501 | (${Variables:E2_3_1_157_kcat} * E2_3_1_157 * C00024 * C06156)/(${Variables:E2_3_1_157_km} + (E2_3_1_157 * C00024 * C06156))</v>
      </c>
    </row>
    <row r="167" spans="1:12" ht="48">
      <c r="A167" s="57" t="s">
        <v>1623</v>
      </c>
      <c r="B167" s="57" t="s">
        <v>5447</v>
      </c>
      <c r="C167" s="57" t="s">
        <v>9087</v>
      </c>
      <c r="D167" s="58">
        <v>166</v>
      </c>
      <c r="E167" s="58" t="str">
        <f>CONCATENATE("E",C167)</f>
        <v>E2_7_7_24</v>
      </c>
      <c r="F167" s="58" t="s">
        <v>10050</v>
      </c>
      <c r="G167" s="58" t="s">
        <v>10313</v>
      </c>
      <c r="H167" s="58" t="s">
        <v>10576</v>
      </c>
      <c r="I167" s="58" t="s">
        <v>10860</v>
      </c>
      <c r="J167" s="58" t="str">
        <f>CONCATENATE("(${Variables:",E167,"_kcat","} * ",E167," * ",G167,")","/(${Variables:",E167,"_km","} + (",E167," * ",G167,"))")</f>
        <v>(${Variables:E2_7_7_24_kcat} * E2_7_7_24 * C00459 * C00103)/(${Variables:E2_7_7_24_km} + (E2_7_7_24 * C00459 * C00103))</v>
      </c>
      <c r="K167" s="59" t="str">
        <f>CONCATENATE("r",D167,": ",F167," -&gt; ",H167," | ",J167)</f>
        <v>r166: C00459 + C00103 -&gt; C00013 + C00842 | (${Variables:E2_7_7_24_kcat} * E2_7_7_24 * C00459 * C00103)/(${Variables:E2_7_7_24_km} + (E2_7_7_24 * C00459 * C00103))</v>
      </c>
    </row>
    <row r="168" spans="1:12" ht="32">
      <c r="A168" s="57" t="s">
        <v>1623</v>
      </c>
      <c r="B168" s="57" t="s">
        <v>6564</v>
      </c>
      <c r="C168" s="57" t="s">
        <v>9088</v>
      </c>
      <c r="D168" s="58">
        <v>167</v>
      </c>
      <c r="E168" s="58" t="str">
        <f>CONCATENATE("E",C168)</f>
        <v>E2_7_7_3</v>
      </c>
      <c r="F168" s="58" t="s">
        <v>10051</v>
      </c>
      <c r="G168" s="58" t="s">
        <v>10314</v>
      </c>
      <c r="H168" s="58" t="s">
        <v>10577</v>
      </c>
      <c r="I168" s="58" t="s">
        <v>10861</v>
      </c>
      <c r="J168" s="58" t="str">
        <f>CONCATENATE("(${Variables:",E168,"_kcat","} * ",E168," * ",G168,")","/(${Variables:",E168,"_km","} + (",E168," * ",G168,"))")</f>
        <v>(${Variables:E2_7_7_3_kcat} * E2_7_7_3 * C00002 * C01134)/(${Variables:E2_7_7_3_km} + (E2_7_7_3 * C00002 * C01134))</v>
      </c>
      <c r="K168" s="59" t="str">
        <f>CONCATENATE("r",D168,": ",F168," -&gt; ",H168," | ",J168)</f>
        <v>r167: C00002 + C01134 -&gt; C00013 + C00882 | (${Variables:E2_7_7_3_kcat} * E2_7_7_3 * C00002 * C01134)/(${Variables:E2_7_7_3_km} + (E2_7_7_3 * C00002 * C01134))</v>
      </c>
    </row>
    <row r="169" spans="1:12" ht="48">
      <c r="A169" s="57" t="s">
        <v>332</v>
      </c>
      <c r="B169" s="57" t="s">
        <v>2628</v>
      </c>
      <c r="C169" s="57" t="s">
        <v>9089</v>
      </c>
      <c r="D169" s="58">
        <v>168</v>
      </c>
      <c r="E169" s="58" t="str">
        <f>CONCATENATE("E",C169)</f>
        <v>E2_7_7_41</v>
      </c>
      <c r="F169" s="58" t="s">
        <v>10052</v>
      </c>
      <c r="G169" s="58" t="s">
        <v>10315</v>
      </c>
      <c r="H169" s="58" t="s">
        <v>10578</v>
      </c>
      <c r="I169" s="58" t="s">
        <v>10862</v>
      </c>
      <c r="J169" s="58" t="str">
        <f>CONCATENATE("(${Variables:",E169,"_kcat","} * ",E169," * ",G169,")","/(${Variables:",E169,"_km","} + (",E169," * ",G169,"))")</f>
        <v>(${Variables:E2_7_7_41_kcat} * E2_7_7_41 * C00063 * C00416)/(${Variables:E2_7_7_41_km} + (E2_7_7_41 * C00063 * C00416))</v>
      </c>
      <c r="K169" s="59" t="str">
        <f>CONCATENATE("r",D169,": ",F169," -&gt; ",H169," | ",J169)</f>
        <v>r168: C00063 + C00416 -&gt; C00013 + C00269 | (${Variables:E2_7_7_41_kcat} * E2_7_7_41 * C00063 * C00416)/(${Variables:E2_7_7_41_km} + (E2_7_7_41 * C00063 * C00416))</v>
      </c>
    </row>
    <row r="170" spans="1:12" ht="32">
      <c r="A170" s="57" t="s">
        <v>1860</v>
      </c>
      <c r="B170" s="57" t="s">
        <v>5939</v>
      </c>
      <c r="C170" s="57" t="s">
        <v>9090</v>
      </c>
      <c r="D170" s="58">
        <v>169</v>
      </c>
      <c r="E170" s="58" t="str">
        <f>CONCATENATE("E",C170)</f>
        <v>E2_7_7_6</v>
      </c>
      <c r="F170" s="58" t="s">
        <v>10053</v>
      </c>
      <c r="G170" s="58" t="s">
        <v>10316</v>
      </c>
      <c r="H170" s="58" t="s">
        <v>10579</v>
      </c>
      <c r="I170" s="58" t="s">
        <v>10863</v>
      </c>
      <c r="J170" s="58" t="str">
        <f>CONCATENATE("(${Variables:",E170,"_kcat","} * ",E170," * ",G170,")","/(${Variables:",E170,"_km","} + (",E170," * ",G170,"))")</f>
        <v>(${Variables:E2_7_7_6_kcat} * E2_7_7_6 * C00201 * C00046 )/(${Variables:E2_7_7_6_km} + (E2_7_7_6 * C00201 * C00046 ))</v>
      </c>
      <c r="K170" s="59" t="str">
        <f>CONCATENATE("r",D170,": ",F170," -&gt; ",H170," | ",J170)</f>
        <v>r169: C00201 + C00046  -&gt; C00013 + C00046 | (${Variables:E2_7_7_6_kcat} * E2_7_7_6 * C00201 * C00046 )/(${Variables:E2_7_7_6_km} + (E2_7_7_6 * C00201 * C00046 ))</v>
      </c>
    </row>
    <row r="171" spans="1:12" ht="48">
      <c r="A171" s="57" t="s">
        <v>160</v>
      </c>
      <c r="B171" s="57" t="s">
        <v>2243</v>
      </c>
      <c r="C171" s="57" t="s">
        <v>9091</v>
      </c>
      <c r="D171" s="58">
        <v>170</v>
      </c>
      <c r="E171" s="58" t="str">
        <f>CONCATENATE("E",C171)</f>
        <v>E2_7_7_7</v>
      </c>
      <c r="F171" s="58" t="s">
        <v>11040</v>
      </c>
      <c r="G171" s="58" t="s">
        <v>11041</v>
      </c>
      <c r="H171" s="58" t="s">
        <v>11042</v>
      </c>
      <c r="I171" s="58" t="s">
        <v>11043</v>
      </c>
      <c r="J171" s="58" t="str">
        <f>CONCATENATE("(${Variables:",E171,"_kcat","} * ",E171," * ",G171,")","/(${Variables:",E171,"_km","} + (",E171," * ",G171,"))")</f>
        <v>(${Variables:E2_7_7_7_kcat} * E2_7_7_7 * C00677 * C00039 )/(${Variables:E2_7_7_7_km} + (E2_7_7_7 * C00677 * C00039 ))</v>
      </c>
      <c r="K171" s="59" t="str">
        <f>CONCATENATE("r",D171,": ",F171," -&gt; ",H171," | ",J171)</f>
        <v>r170: C00677 + C00039  -&gt; C00013 + C00039  | (${Variables:E2_7_7_7_kcat} * E2_7_7_7 * C00677 * C00039 )/(${Variables:E2_7_7_7_km} + (E2_7_7_7 * C00677 * C00039 ))</v>
      </c>
    </row>
    <row r="172" spans="1:12" ht="48">
      <c r="A172" s="57" t="s">
        <v>625</v>
      </c>
      <c r="B172" s="57" t="s">
        <v>3276</v>
      </c>
      <c r="C172" s="57" t="s">
        <v>9092</v>
      </c>
      <c r="D172" s="58">
        <v>171</v>
      </c>
      <c r="E172" s="58" t="str">
        <f>CONCATENATE("E",C172)</f>
        <v>E2_7_7_72</v>
      </c>
      <c r="F172" s="58" t="s">
        <v>11028</v>
      </c>
      <c r="G172" s="58" t="s">
        <v>11029</v>
      </c>
      <c r="H172" s="58" t="s">
        <v>11030</v>
      </c>
      <c r="I172" s="58" t="s">
        <v>11031</v>
      </c>
      <c r="J172" s="58" t="str">
        <f>CONCATENATE("(${Variables:",E172,"_kcat","} * ",E172," * ",G172,")","/(${Variables:",E172,"_km","} + (",E172," * ",G172,"))")</f>
        <v>(${Variables:E2_7_7_72_kcat} * E2_7_7_72 * C02211 * C00063 * C00002)/(${Variables:E2_7_7_72_km} + (E2_7_7_72 * C02211 * C00063 * C00002))</v>
      </c>
      <c r="K172" s="59" t="str">
        <f>CONCATENATE("r",D172,": ",F172," -&gt; ",H172," | ",J172)</f>
        <v>r171: C02211 +  C00063 + C00002 -&gt; C19085 + C00013 | (${Variables:E2_7_7_72_kcat} * E2_7_7_72 * C02211 * C00063 * C00002)/(${Variables:E2_7_7_72_km} + (E2_7_7_72 * C02211 * C00063 * C00002))</v>
      </c>
    </row>
    <row r="173" spans="1:12" ht="32">
      <c r="A173" s="57" t="s">
        <v>184</v>
      </c>
      <c r="B173" s="57" t="s">
        <v>2295</v>
      </c>
      <c r="C173" s="57" t="s">
        <v>9093</v>
      </c>
      <c r="D173" s="58">
        <v>172</v>
      </c>
      <c r="E173" s="58" t="str">
        <f>CONCATENATE("E",C173)</f>
        <v>E2_7_7_8</v>
      </c>
      <c r="F173" s="58" t="s">
        <v>10054</v>
      </c>
      <c r="G173" s="58" t="s">
        <v>10317</v>
      </c>
      <c r="H173" s="58" t="s">
        <v>10580</v>
      </c>
      <c r="I173" s="58" t="s">
        <v>10864</v>
      </c>
      <c r="J173" s="58" t="str">
        <f>CONCATENATE("(${Variables:",E173,"_kcat","} * ",E173," * ",G173,")","/(${Variables:",E173,"_km","} + (",E173," * ",G173,"))")</f>
        <v>(${Variables:E2_7_7_8_kcat} * E2_7_7_8 * C00046 * C00009)/(${Variables:E2_7_7_8_km} + (E2_7_7_8 * C00046 * C00009))</v>
      </c>
      <c r="K173" s="59" t="str">
        <f>CONCATENATE("r",D173,": ",F173," -&gt; ",H173," | ",J173)</f>
        <v>r172: C00046 + C00009 -&gt; C00046 + C00454 | (${Variables:E2_7_7_8_kcat} * E2_7_7_8 * C00046 * C00009)/(${Variables:E2_7_7_8_km} + (E2_7_7_8 * C00046 * C00009))</v>
      </c>
    </row>
    <row r="174" spans="1:12" ht="32">
      <c r="A174" s="57" t="s">
        <v>1634</v>
      </c>
      <c r="B174" s="57" t="s">
        <v>5475</v>
      </c>
      <c r="C174" s="57" t="s">
        <v>9095</v>
      </c>
      <c r="D174" s="58">
        <v>173</v>
      </c>
      <c r="E174" s="58" t="str">
        <f>CONCATENATE("E",C174)</f>
        <v>E2_7_7_85</v>
      </c>
      <c r="F174" s="58" t="s">
        <v>11032</v>
      </c>
      <c r="G174" s="58" t="s">
        <v>11033</v>
      </c>
      <c r="H174" s="58" t="s">
        <v>11034</v>
      </c>
      <c r="I174" s="58" t="s">
        <v>11035</v>
      </c>
      <c r="J174" s="58" t="str">
        <f>CONCATENATE("(${Variables:",E174,"_kcat","} * ",E174," * ",G174,")","/(${Variables:",E174,"_km","} + (",E174," * ",G174,"))")</f>
        <v>(${Variables:E2_7_7_85_kcat} * E2_7_7_85 * C00002 )/(${Variables:E2_7_7_85_km} + (E2_7_7_85 * C00002 ))</v>
      </c>
      <c r="K174" s="59" t="str">
        <f>CONCATENATE("r",D174,": ",F174," -&gt; ",H174," | ",J174)</f>
        <v>r173:  C00002  -&gt;  C00013 + C20565 | (${Variables:E2_7_7_85_kcat} * E2_7_7_85 * C00002 )/(${Variables:E2_7_7_85_km} + (E2_7_7_85 * C00002 ))</v>
      </c>
    </row>
    <row r="175" spans="1:12" ht="32">
      <c r="A175" s="57" t="s">
        <v>1634</v>
      </c>
      <c r="B175" s="57" t="s">
        <v>7093</v>
      </c>
      <c r="C175" s="57" t="s">
        <v>9096</v>
      </c>
      <c r="D175" s="58">
        <v>174</v>
      </c>
      <c r="E175" s="58" t="str">
        <f>CONCATENATE("E",C175)</f>
        <v>E2_7_7_9</v>
      </c>
      <c r="F175" s="58" t="s">
        <v>10055</v>
      </c>
      <c r="G175" s="58" t="s">
        <v>10318</v>
      </c>
      <c r="H175" s="58" t="s">
        <v>10581</v>
      </c>
      <c r="I175" s="58" t="s">
        <v>10865</v>
      </c>
      <c r="J175" s="58" t="str">
        <f>CONCATENATE("(${Variables:",E175,"_kcat","} * ",E175," * ",G175,")","/(${Variables:",E175,"_km","} + (",E175," * ",G175,"))")</f>
        <v>(${Variables:E2_7_7_9_kcat} * E2_7_7_9 * C00075 * C00103)/(${Variables:E2_7_7_9_km} + (E2_7_7_9 * C00075 * C00103))</v>
      </c>
      <c r="K175" s="59" t="str">
        <f>CONCATENATE("r",D175,": ",F175," -&gt; ",H175," | ",J175)</f>
        <v>r174: C00075 + C00103 -&gt; C00013 + C00029 | (${Variables:E2_7_7_9_kcat} * E2_7_7_9 * C00075 * C00103)/(${Variables:E2_7_7_9_km} + (E2_7_7_9 * C00075 * C00103))</v>
      </c>
    </row>
    <row r="176" spans="1:12" ht="48">
      <c r="A176" s="57" t="s">
        <v>1693</v>
      </c>
      <c r="B176" s="57" t="s">
        <v>6718</v>
      </c>
      <c r="C176" s="57" t="s">
        <v>9097</v>
      </c>
      <c r="D176" s="58">
        <v>175</v>
      </c>
      <c r="E176" s="58" t="str">
        <f>CONCATENATE("E",C176)</f>
        <v>E2_7_8_13</v>
      </c>
      <c r="F176" s="58" t="s">
        <v>10056</v>
      </c>
      <c r="G176" s="58" t="s">
        <v>10319</v>
      </c>
      <c r="H176" s="58" t="s">
        <v>10582</v>
      </c>
      <c r="I176" s="58" t="s">
        <v>10866</v>
      </c>
      <c r="J176" s="58" t="str">
        <f>CONCATENATE("(${Variables:",E176,"_kcat","} * ",E176," * ",G176,")","/(${Variables:",E176,"_km","} + (",E176," * ",G176,"))")</f>
        <v>(${Variables:E2_7_8_13_kcat} * E2_7_8_13 * C04702 * C17556)/(${Variables:E2_7_8_13_km} + (E2_7_8_13 * C04702 * C17556))</v>
      </c>
      <c r="K176" s="59" t="str">
        <f>CONCATENATE("r",D176,": ",F176," -&gt; ",H176," | ",J176)</f>
        <v>r175: C04702 + C17556 -&gt; C00105 + C04851 | (${Variables:E2_7_8_13_kcat} * E2_7_8_13 * C04702 * C17556)/(${Variables:E2_7_8_13_km} + (E2_7_8_13 * C04702 * C17556))</v>
      </c>
    </row>
    <row r="177" spans="1:12" ht="32">
      <c r="A177" s="57" t="s">
        <v>1693</v>
      </c>
      <c r="B177" s="57" t="s">
        <v>7577</v>
      </c>
      <c r="C177" s="57" t="s">
        <v>9098</v>
      </c>
      <c r="D177" s="58">
        <v>176</v>
      </c>
      <c r="E177" s="58" t="str">
        <f>CONCATENATE("E",C177)</f>
        <v>E2_7_8_5</v>
      </c>
      <c r="F177" s="58" t="s">
        <v>10057</v>
      </c>
      <c r="G177" s="58" t="s">
        <v>10320</v>
      </c>
      <c r="H177" s="58" t="s">
        <v>10583</v>
      </c>
      <c r="I177" s="58" t="s">
        <v>10867</v>
      </c>
      <c r="J177" s="58" t="str">
        <f>CONCATENATE("(${Variables:",E177,"_kcat","} * ",E177," * ",G177,")","/(${Variables:",E177,"_km","} + (",E177," * ",G177,"))")</f>
        <v>(${Variables:E2_7_8_5_kcat} * E2_7_8_5 * C00269 * C00093 )/(${Variables:E2_7_8_5_km} + (E2_7_8_5 * C00269 * C00093 ))</v>
      </c>
      <c r="K177" s="59" t="str">
        <f>CONCATENATE("r",D177,": ",F177," -&gt; ",H177," | ",J177)</f>
        <v>r176: C00269 + C00093  -&gt; C00055 + C03892 | (${Variables:E2_7_8_5_kcat} * E2_7_8_5 * C00269 * C00093 )/(${Variables:E2_7_8_5_km} + (E2_7_8_5 * C00269 * C00093 ))</v>
      </c>
      <c r="L177" s="61"/>
    </row>
    <row r="178" spans="1:12" ht="32">
      <c r="A178" s="57" t="s">
        <v>1693</v>
      </c>
      <c r="B178" s="57" t="s">
        <v>6793</v>
      </c>
      <c r="C178" s="57" t="s">
        <v>9099</v>
      </c>
      <c r="D178" s="58">
        <v>177</v>
      </c>
      <c r="E178" s="58" t="str">
        <f>CONCATENATE("E",C178)</f>
        <v>E2_7_8_7</v>
      </c>
      <c r="F178" s="58" t="s">
        <v>10058</v>
      </c>
      <c r="G178" s="58" t="s">
        <v>10321</v>
      </c>
      <c r="H178" s="58" t="s">
        <v>10584</v>
      </c>
      <c r="I178" s="58" t="s">
        <v>10868</v>
      </c>
      <c r="J178" s="58" t="str">
        <f>CONCATENATE("(${Variables:",E178,"_kcat","} * ",E178," * ",G178,")","/(${Variables:",E178,"_km","} + (",E178," * ",G178,"))")</f>
        <v>(${Variables:E2_7_8_7_kcat} * E2_7_8_7 * C00010 * C03688)/(${Variables:E2_7_8_7_km} + (E2_7_8_7 * C00010 * C03688))</v>
      </c>
      <c r="K178" s="59" t="str">
        <f>CONCATENATE("r",D178,": ",F178," -&gt; ",H178," | ",J178)</f>
        <v>r177: C00010 + C03688 -&gt; C00054 + C00229 | (${Variables:E2_7_8_7_kcat} * E2_7_8_7 * C00010 * C03688)/(${Variables:E2_7_8_7_km} + (E2_7_8_7 * C00010 * C03688))</v>
      </c>
    </row>
    <row r="179" spans="1:12" ht="48">
      <c r="A179" s="57" t="s">
        <v>1233</v>
      </c>
      <c r="B179" s="57" t="s">
        <v>7555</v>
      </c>
      <c r="C179" s="57" t="s">
        <v>9100</v>
      </c>
      <c r="D179" s="58">
        <v>178</v>
      </c>
      <c r="E179" s="58" t="str">
        <f>CONCATENATE("E",C179)</f>
        <v>E2_8_1_13</v>
      </c>
      <c r="F179" s="58" t="s">
        <v>10059</v>
      </c>
      <c r="G179" s="58" t="s">
        <v>10322</v>
      </c>
      <c r="H179" s="58" t="s">
        <v>10585</v>
      </c>
      <c r="I179" s="58" t="s">
        <v>10869</v>
      </c>
      <c r="J179" s="58" t="str">
        <f>CONCATENATE("(${Variables:",E179,"_kcat","} * ",E179," * ",G179,")","/(${Variables:",E179,"_km","} + (",E179," * ",G179,"))")</f>
        <v>(${Variables:E2_8_1_13_kcat} * E2_8_1_13 * C00868 * C15812 * C00002)/(${Variables:E2_8_1_13_km} + (E2_8_1_13 * C00868 * C15812 * C00002))</v>
      </c>
      <c r="K179" s="59" t="str">
        <f>CONCATENATE("r",D179,": ",F179," -&gt; ",H179," | ",J179)</f>
        <v>r178: C00868 + C15812 + C00002 -&gt; C17322 + C15811 + C00020 + C00013 | (${Variables:E2_8_1_13_kcat} * E2_8_1_13 * C00868 * C15812 * C00002)/(${Variables:E2_8_1_13_km} + (E2_8_1_13 * C00868 * C15812 * C00002))</v>
      </c>
    </row>
    <row r="180" spans="1:12" ht="32">
      <c r="A180" s="57" t="s">
        <v>610</v>
      </c>
      <c r="B180" s="57" t="s">
        <v>3243</v>
      </c>
      <c r="C180" s="57" t="s">
        <v>9101</v>
      </c>
      <c r="D180" s="58">
        <v>179</v>
      </c>
      <c r="E180" s="58" t="str">
        <f>CONCATENATE("E",C180)</f>
        <v>E2_8_1_4</v>
      </c>
      <c r="F180" s="58" t="s">
        <v>10060</v>
      </c>
      <c r="G180" s="58" t="s">
        <v>10323</v>
      </c>
      <c r="H180" s="58" t="s">
        <v>10586</v>
      </c>
      <c r="I180" s="58" t="s">
        <v>10870</v>
      </c>
      <c r="J180" s="58" t="str">
        <f>CONCATENATE("(${Variables:",E180,"_kcat","} * ",E180," * ",G180,")","/(${Variables:",E180,"_km","} + (",E180," * ",G180,"))")</f>
        <v>(${Variables:E2_8_1_4_kcat} * E2_8_1_4 * C00097 * C02342)/(${Variables:E2_8_1_4_km} + (E2_8_1_4 * C00097 * C02342))</v>
      </c>
      <c r="K180" s="59" t="str">
        <f>CONCATENATE("r",D180,": ",F180," -&gt; ",H180," | ",J180)</f>
        <v>r179: C00097 + C02342 -&gt; C00065 + C04161 | (${Variables:E2_8_1_4_kcat} * E2_8_1_4 * C00097 * C02342)/(${Variables:E2_8_1_4_km} + (E2_8_1_4 * C00097 * C02342))</v>
      </c>
    </row>
    <row r="181" spans="1:12" ht="32">
      <c r="A181" s="57" t="s">
        <v>296</v>
      </c>
      <c r="B181" s="57" t="s">
        <v>2533</v>
      </c>
      <c r="C181" s="57" t="s">
        <v>9102</v>
      </c>
      <c r="D181" s="58">
        <v>180</v>
      </c>
      <c r="E181" s="58" t="str">
        <f>CONCATENATE("E",C181)</f>
        <v>E2_8_1_7</v>
      </c>
      <c r="F181" s="58" t="s">
        <v>10061</v>
      </c>
      <c r="G181" s="58" t="s">
        <v>10324</v>
      </c>
      <c r="H181" s="58" t="s">
        <v>10587</v>
      </c>
      <c r="I181" s="58" t="s">
        <v>10871</v>
      </c>
      <c r="J181" s="58" t="str">
        <f>CONCATENATE("(${Variables:",E181,"_kcat","} * ",E181," * ",G181,")","/(${Variables:",E181,"_km","} + (",E181," * ",G181,"))")</f>
        <v>(${Variables:E2_8_1_7_kcat} * E2_8_1_7 * C15811 * C00097)/(${Variables:E2_8_1_7_km} + (E2_8_1_7 * C15811 * C00097))</v>
      </c>
      <c r="K181" s="59" t="str">
        <f>CONCATENATE("r",D181,": ",F181," -&gt; ",H181," | ",J181)</f>
        <v>r180: C15811 + C00097 -&gt; C15812 + C00041 | (${Variables:E2_8_1_7_kcat} * E2_8_1_7 * C15811 * C00097)/(${Variables:E2_8_1_7_km} + (E2_8_1_7 * C15811 * C00097))</v>
      </c>
    </row>
    <row r="182" spans="1:12" ht="48">
      <c r="A182" s="57" t="s">
        <v>62</v>
      </c>
      <c r="B182" s="57" t="s">
        <v>2065</v>
      </c>
      <c r="C182" s="57" t="s">
        <v>9104</v>
      </c>
      <c r="D182" s="58">
        <v>181</v>
      </c>
      <c r="E182" s="58" t="str">
        <f>CONCATENATE("E",C182)</f>
        <v>E3_1_1_29</v>
      </c>
      <c r="F182" s="58" t="s">
        <v>10062</v>
      </c>
      <c r="G182" s="58" t="s">
        <v>10325</v>
      </c>
      <c r="H182" s="58" t="s">
        <v>10588</v>
      </c>
      <c r="I182" s="58" t="s">
        <v>10872</v>
      </c>
      <c r="J182" s="58" t="str">
        <f>CONCATENATE("(${Variables:",E182,"_kcat","} * ",E182," * ",G182,")","/(${Variables:",E182,"_km","} + (",E182," * ",G182,"))")</f>
        <v>(${Variables:E3_1_1_29_kcat} * E3_1_1_29 * C03880 * C00001)/(${Variables:E3_1_1_29_km} + (E3_1_1_29 * C03880 * C00001))</v>
      </c>
      <c r="K182" s="59" t="str">
        <f>CONCATENATE("r",D182,": ",F182," -&gt; ",H182," | ",J182)</f>
        <v>r181: C03880 + C00001 -&gt; C03523 + C00066 | (${Variables:E3_1_1_29_kcat} * E3_1_1_29 * C03880 * C00001)/(${Variables:E3_1_1_29_km} + (E3_1_1_29 * C03880 * C00001))</v>
      </c>
    </row>
    <row r="183" spans="1:12" ht="32">
      <c r="A183" s="57" t="s">
        <v>1097</v>
      </c>
      <c r="B183" s="57" t="s">
        <v>4359</v>
      </c>
      <c r="C183" s="57" t="s">
        <v>9108</v>
      </c>
      <c r="D183" s="58">
        <v>182</v>
      </c>
      <c r="E183" s="58" t="str">
        <f>CONCATENATE("E",C183)</f>
        <v>E3_1_2_6</v>
      </c>
      <c r="F183" s="58" t="s">
        <v>10063</v>
      </c>
      <c r="G183" s="58" t="s">
        <v>10326</v>
      </c>
      <c r="H183" s="58" t="s">
        <v>10589</v>
      </c>
      <c r="I183" s="58" t="s">
        <v>10873</v>
      </c>
      <c r="J183" s="58" t="str">
        <f>CONCATENATE("(${Variables:",E183,"_kcat","} * ",E183," * ",G183,")","/(${Variables:",E183,"_km","} + (",E183," * ",G183,"))")</f>
        <v>(${Variables:E3_1_2_6_kcat} * E3_1_2_6 * C03899 * C00001)/(${Variables:E3_1_2_6_km} + (E3_1_2_6 * C03899 * C00001))</v>
      </c>
      <c r="K183" s="59" t="str">
        <f>CONCATENATE("r",D183,": ",F183," -&gt; ",H183," | ",J183)</f>
        <v>r182: C03899 + C00001 -&gt; C00051 + C02929 | (${Variables:E3_1_2_6_kcat} * E3_1_2_6 * C03899 * C00001)/(${Variables:E3_1_2_6_km} + (E3_1_2_6 * C03899 * C00001))</v>
      </c>
    </row>
    <row r="184" spans="1:12" ht="32">
      <c r="A184" s="57" t="s">
        <v>883</v>
      </c>
      <c r="B184" s="57" t="s">
        <v>3855</v>
      </c>
      <c r="C184" s="57" t="s">
        <v>9117</v>
      </c>
      <c r="D184" s="58">
        <v>183</v>
      </c>
      <c r="E184" s="58" t="str">
        <f>CONCATENATE("E",C184)</f>
        <v>E5_2_1_8</v>
      </c>
      <c r="F184" s="58" t="s">
        <v>8458</v>
      </c>
      <c r="G184" s="58" t="s">
        <v>8458</v>
      </c>
      <c r="H184" s="58" t="s">
        <v>8459</v>
      </c>
      <c r="I184" s="58" t="s">
        <v>8459</v>
      </c>
      <c r="J184" s="58" t="str">
        <f>CONCATENATE("(${Variables:",E184,"_kcat","} * ",E184," * ",G184,")","/(${Variables:",E184,"_km","} + (",E184," * ",G184,"))")</f>
        <v>(${Variables:E5_2_1_8_kcat} * E5_2_1_8 * C03798)/(${Variables:E5_2_1_8_km} + (E5_2_1_8 * C03798))</v>
      </c>
      <c r="K184" s="59" t="str">
        <f>CONCATENATE("r",D184,": ",F184," -&gt; ",H184," | ",J184)</f>
        <v>r183: C03798 -&gt; C03633 | (${Variables:E5_2_1_8_kcat} * E5_2_1_8 * C03798)/(${Variables:E5_2_1_8_km} + (E5_2_1_8 * C03798))</v>
      </c>
    </row>
    <row r="185" spans="1:12" ht="48">
      <c r="A185" s="57" t="s">
        <v>1608</v>
      </c>
      <c r="B185" s="57" t="s">
        <v>5415</v>
      </c>
      <c r="C185" s="57" t="s">
        <v>9118</v>
      </c>
      <c r="D185" s="58">
        <v>184</v>
      </c>
      <c r="E185" s="58" t="str">
        <f>CONCATENATE("E",C185)</f>
        <v>E3_1_3_15</v>
      </c>
      <c r="F185" s="58" t="s">
        <v>10064</v>
      </c>
      <c r="G185" s="58" t="s">
        <v>10327</v>
      </c>
      <c r="H185" s="58" t="s">
        <v>10590</v>
      </c>
      <c r="I185" s="58" t="s">
        <v>10874</v>
      </c>
      <c r="J185" s="58" t="str">
        <f>CONCATENATE("(${Variables:",E185,"_kcat","} * ",E185," * ",G185,")","/(${Variables:",E185,"_km","} + (",E185," * ",G185,"))")</f>
        <v>(${Variables:E3_1_3_15_kcat} * E3_1_3_15 * C01100 * C00001)/(${Variables:E3_1_3_15_km} + (E3_1_3_15 * C01100 * C00001))</v>
      </c>
      <c r="K185" s="59" t="str">
        <f>CONCATENATE("r",D185,": ",F185," -&gt; ",H185," | ",J185)</f>
        <v>r184: C01100 + C00001 -&gt; C00860 + C00009 | (${Variables:E3_1_3_15_kcat} * E3_1_3_15 * C01100 * C00001)/(${Variables:E3_1_3_15_km} + (E3_1_3_15 * C01100 * C00001))</v>
      </c>
      <c r="L185" s="61"/>
    </row>
    <row r="186" spans="1:12" ht="48">
      <c r="A186" s="57" t="s">
        <v>1855</v>
      </c>
      <c r="B186" s="57" t="s">
        <v>5928</v>
      </c>
      <c r="C186" s="57" t="s">
        <v>9119</v>
      </c>
      <c r="D186" s="58">
        <v>185</v>
      </c>
      <c r="E186" s="58" t="str">
        <f>CONCATENATE("E",C186)</f>
        <v>E3_1_3_16</v>
      </c>
      <c r="F186" s="58" t="s">
        <v>10065</v>
      </c>
      <c r="G186" s="58" t="s">
        <v>10328</v>
      </c>
      <c r="H186" s="58" t="s">
        <v>10591</v>
      </c>
      <c r="I186" s="58" t="s">
        <v>10875</v>
      </c>
      <c r="J186" s="58" t="str">
        <f>CONCATENATE("(${Variables:",E186,"_kcat","} * ",E186," * ",G186,")","/(${Variables:",E186,"_km","} + (",E186," * ",G186,"))")</f>
        <v>(${Variables:E3_1_3_16_kcat} * E3_1_3_16 * C00562 * C00001)/(${Variables:E3_1_3_16_km} + (E3_1_3_16 * C00562 * C00001))</v>
      </c>
      <c r="K186" s="59" t="str">
        <f>CONCATENATE("r",D186,": ",F186," -&gt; ",H186," | ",J186)</f>
        <v>r185: C00562 + C00001 -&gt; C00017 + C00009 | (${Variables:E3_1_3_16_kcat} * E3_1_3_16 * C00562 * C00001)/(${Variables:E3_1_3_16_km} + (E3_1_3_16 * C00562 * C00001))</v>
      </c>
    </row>
    <row r="187" spans="1:12" ht="48">
      <c r="A187" s="57" t="s">
        <v>1289</v>
      </c>
      <c r="B187" s="57" t="s">
        <v>4714</v>
      </c>
      <c r="C187" s="57" t="s">
        <v>9120</v>
      </c>
      <c r="D187" s="58">
        <v>186</v>
      </c>
      <c r="E187" s="58" t="str">
        <f>CONCATENATE("E",C187)</f>
        <v>E3_1_3_18</v>
      </c>
      <c r="F187" s="58" t="s">
        <v>10066</v>
      </c>
      <c r="G187" s="58" t="s">
        <v>10329</v>
      </c>
      <c r="H187" s="58" t="s">
        <v>10592</v>
      </c>
      <c r="I187" s="58" t="s">
        <v>10876</v>
      </c>
      <c r="J187" s="58" t="str">
        <f>CONCATENATE("(${Variables:",E187,"_kcat","} * ",E187," * ",G187,")","/(${Variables:",E187,"_km","} + (",E187," * ",G187,"))")</f>
        <v>(${Variables:E3_1_3_18_kcat} * E3_1_3_18 * C00988 * C00001)/(${Variables:E3_1_3_18_km} + (E3_1_3_18 * C00988 * C00001))</v>
      </c>
      <c r="K187" s="59" t="str">
        <f>CONCATENATE("r",D187,": ",F187," -&gt; ",H187," | ",J187)</f>
        <v>r186: C00988 + C00001 -&gt; C00160 + C00009 | (${Variables:E3_1_3_18_kcat} * E3_1_3_18 * C00988 * C00001)/(${Variables:E3_1_3_18_km} + (E3_1_3_18 * C00988 * C00001))</v>
      </c>
    </row>
    <row r="188" spans="1:12" ht="48">
      <c r="A188" s="57" t="s">
        <v>1354</v>
      </c>
      <c r="B188" s="57" t="s">
        <v>4858</v>
      </c>
      <c r="C188" s="57" t="s">
        <v>9121</v>
      </c>
      <c r="D188" s="58">
        <v>187</v>
      </c>
      <c r="E188" s="58" t="str">
        <f>CONCATENATE("E",C188)</f>
        <v>E3_1_3_25</v>
      </c>
      <c r="F188" s="58" t="s">
        <v>10067</v>
      </c>
      <c r="G188" s="58" t="s">
        <v>10330</v>
      </c>
      <c r="H188" s="58" t="s">
        <v>10593</v>
      </c>
      <c r="I188" s="58" t="s">
        <v>10877</v>
      </c>
      <c r="J188" s="58" t="str">
        <f>CONCATENATE("(${Variables:",E188,"_kcat","} * ",E188," * ",G188,")","/(${Variables:",E188,"_km","} + (",E188," * ",G188,"))")</f>
        <v>(${Variables:E3_1_3_25_kcat} * E3_1_3_25 * C15585 * C00001 )/(${Variables:E3_1_3_25_km} + (E3_1_3_25 * C15585 * C00001 ))</v>
      </c>
      <c r="K188" s="59" t="str">
        <f>CONCATENATE("r",D188,": ",F188," -&gt; ",H188," | ",J188)</f>
        <v>r187: C15585 + C00001  -&gt; C00137 + C00009 | (${Variables:E3_1_3_25_kcat} * E3_1_3_25 * C15585 * C00001 )/(${Variables:E3_1_3_25_km} + (E3_1_3_25 * C15585 * C00001 ))</v>
      </c>
      <c r="L188" s="61"/>
    </row>
    <row r="189" spans="1:12" ht="48">
      <c r="A189" s="57" t="s">
        <v>356</v>
      </c>
      <c r="B189" s="57" t="s">
        <v>2678</v>
      </c>
      <c r="C189" s="57" t="s">
        <v>9122</v>
      </c>
      <c r="D189" s="58">
        <v>188</v>
      </c>
      <c r="E189" s="58" t="str">
        <f>CONCATENATE("E",C189)</f>
        <v>E3_1_3_27</v>
      </c>
      <c r="F189" s="58" t="s">
        <v>10068</v>
      </c>
      <c r="G189" s="58" t="s">
        <v>10331</v>
      </c>
      <c r="H189" s="58" t="s">
        <v>10594</v>
      </c>
      <c r="I189" s="58" t="s">
        <v>10878</v>
      </c>
      <c r="J189" s="58" t="str">
        <f>CONCATENATE("(${Variables:",E189,"_kcat","} * ",E189," * ",G189,")","/(${Variables:",E189,"_km","} + (",E189," * ",G189,"))")</f>
        <v>(${Variables:E3_1_3_27_kcat} * E3_1_3_27 * C03892 * C00001)/(${Variables:E3_1_3_27_km} + (E3_1_3_27 * C03892 * C00001))</v>
      </c>
      <c r="K189" s="59" t="str">
        <f>CONCATENATE("r",D189,": ",F189," -&gt; ",H189," | ",J189)</f>
        <v>r188: C03892 + C00001 -&gt; C00344 + C00009 | (${Variables:E3_1_3_27_kcat} * E3_1_3_27 * C03892 * C00001)/(${Variables:E3_1_3_27_km} + (E3_1_3_27 * C03892 * C00001))</v>
      </c>
    </row>
    <row r="190" spans="1:12" ht="32">
      <c r="A190" s="57" t="s">
        <v>1974</v>
      </c>
      <c r="B190" s="57" t="s">
        <v>6161</v>
      </c>
      <c r="C190" s="57" t="s">
        <v>9123</v>
      </c>
      <c r="D190" s="58">
        <v>189</v>
      </c>
      <c r="E190" s="58" t="str">
        <f>CONCATENATE("E",C190)</f>
        <v>E3_1_3_3</v>
      </c>
      <c r="F190" s="58" t="s">
        <v>10069</v>
      </c>
      <c r="G190" s="58" t="s">
        <v>10332</v>
      </c>
      <c r="H190" s="58" t="s">
        <v>10595</v>
      </c>
      <c r="I190" s="58" t="s">
        <v>10879</v>
      </c>
      <c r="J190" s="58" t="str">
        <f>CONCATENATE("(${Variables:",E190,"_kcat","} * ",E190," * ",G190,")","/(${Variables:",E190,"_km","} + (",E190," * ",G190,"))")</f>
        <v>(${Variables:E3_1_3_3_kcat} * E3_1_3_3 * C01005 * C00001)/(${Variables:E3_1_3_3_km} + (E3_1_3_3 * C01005 * C00001))</v>
      </c>
      <c r="K190" s="59" t="str">
        <f>CONCATENATE("r",D190,": ",F190," -&gt; ",H190," | ",J190)</f>
        <v>r189: C01005 + C00001 -&gt; C00065 + C00009 | (${Variables:E3_1_3_3_kcat} * E3_1_3_3 * C01005 * C00001)/(${Variables:E3_1_3_3_km} + (E3_1_3_3 * C01005 * C00001))</v>
      </c>
    </row>
    <row r="191" spans="1:12" ht="48">
      <c r="A191" s="57" t="s">
        <v>1454</v>
      </c>
      <c r="B191" s="57" t="s">
        <v>5077</v>
      </c>
      <c r="C191" s="57" t="s">
        <v>9124</v>
      </c>
      <c r="D191" s="58">
        <v>190</v>
      </c>
      <c r="E191" s="58" t="str">
        <f>CONCATENATE("E",C191)</f>
        <v>E3_1_3_48</v>
      </c>
      <c r="F191" s="58" t="s">
        <v>10070</v>
      </c>
      <c r="G191" s="58" t="s">
        <v>10333</v>
      </c>
      <c r="H191" s="58" t="s">
        <v>10596</v>
      </c>
      <c r="I191" s="58" t="s">
        <v>10880</v>
      </c>
      <c r="J191" s="58" t="str">
        <f>CONCATENATE("(${Variables:",E191,"_kcat","} * ",E191," * ",G191,")","/(${Variables:",E191,"_km","} + (",E191," * ",G191,"))")</f>
        <v>(${Variables:E3_1_3_48_kcat} * E3_1_3_48 * C01167 * C00001)/(${Variables:E3_1_3_48_km} + (E3_1_3_48 * C01167 * C00001))</v>
      </c>
      <c r="K191" s="59" t="str">
        <f>CONCATENATE("r",D191,": ",F191," -&gt; ",H191," | ",J191)</f>
        <v>r190: C01167 + C00001 -&gt; C00585 + C00009 | (${Variables:E3_1_3_48_kcat} * E3_1_3_48 * C01167 * C00001)/(${Variables:E3_1_3_48_km} + (E3_1_3_48 * C01167 * C00001))</v>
      </c>
      <c r="L191" s="61"/>
    </row>
    <row r="192" spans="1:12" ht="32">
      <c r="A192" s="57" t="s">
        <v>1335</v>
      </c>
      <c r="B192" s="57" t="s">
        <v>4808</v>
      </c>
      <c r="C192" s="57" t="s">
        <v>9125</v>
      </c>
      <c r="D192" s="58">
        <v>191</v>
      </c>
      <c r="E192" s="58" t="str">
        <f>CONCATENATE("E",C192)</f>
        <v>E3_1_3_5</v>
      </c>
      <c r="F192" s="58" t="s">
        <v>10071</v>
      </c>
      <c r="G192" s="58" t="s">
        <v>10334</v>
      </c>
      <c r="H192" s="58" t="s">
        <v>10597</v>
      </c>
      <c r="I192" s="58" t="s">
        <v>10881</v>
      </c>
      <c r="J192" s="58" t="str">
        <f>CONCATENATE("(${Variables:",E192,"_kcat","} * ",E192," * ",G192,")","/(${Variables:",E192,"_km","} + (",E192," * ",G192,"))")</f>
        <v>(${Variables:E3_1_3_5_kcat} * E3_1_3_5 * C02520 * C00001)/(${Variables:E3_1_3_5_km} + (E3_1_3_5 * C02520 * C00001))</v>
      </c>
      <c r="K192" s="59" t="str">
        <f>CONCATENATE("r",D192,": ",F192," -&gt; ",H192," | ",J192)</f>
        <v>r191: C02520 + C00001 -&gt; C00911 + C00009 | (${Variables:E3_1_3_5_kcat} * E3_1_3_5 * C02520 * C00001)/(${Variables:E3_1_3_5_km} + (E3_1_3_5 * C02520 * C00001))</v>
      </c>
    </row>
    <row r="193" spans="1:11" ht="48">
      <c r="A193" s="57" t="s">
        <v>327</v>
      </c>
      <c r="B193" s="57" t="s">
        <v>2610</v>
      </c>
      <c r="C193" s="57" t="s">
        <v>9126</v>
      </c>
      <c r="D193" s="58">
        <v>192</v>
      </c>
      <c r="E193" s="58" t="str">
        <f>CONCATENATE("E",C193)</f>
        <v>E3_1_3_90</v>
      </c>
      <c r="F193" s="58" t="s">
        <v>10072</v>
      </c>
      <c r="G193" s="58" t="s">
        <v>10335</v>
      </c>
      <c r="H193" s="58" t="s">
        <v>10598</v>
      </c>
      <c r="I193" s="58" t="s">
        <v>10882</v>
      </c>
      <c r="J193" s="58" t="str">
        <f>CONCATENATE("(${Variables:",E193,"_kcat","} * ",E193," * ",G193,")","/(${Variables:",E193,"_km","} + (",E193," * ",G193,"))")</f>
        <v>(${Variables:E3_1_3_90_kcat} * E3_1_3_90 * C02995 * C00001)/(${Variables:E3_1_3_90_km} + (E3_1_3_90 * C02995 * C00001))</v>
      </c>
      <c r="K193" s="59" t="str">
        <f>CONCATENATE("r",D193,": ",F193," -&gt; ",H193," | ",J193)</f>
        <v>r192: C02995 + C00001 -&gt; C00208 + C00009 | (${Variables:E3_1_3_90_kcat} * E3_1_3_90 * C02995 * C00001)/(${Variables:E3_1_3_90_km} + (E3_1_3_90 * C02995 * C00001))</v>
      </c>
    </row>
    <row r="194" spans="1:11" ht="48">
      <c r="A194" s="57" t="s">
        <v>793</v>
      </c>
      <c r="B194" s="57" t="s">
        <v>3656</v>
      </c>
      <c r="C194" s="57" t="s">
        <v>9127</v>
      </c>
      <c r="D194" s="58">
        <v>193</v>
      </c>
      <c r="E194" s="58" t="str">
        <f>CONCATENATE("E",C194)</f>
        <v>E3_1_7_1</v>
      </c>
      <c r="F194" s="58" t="s">
        <v>10073</v>
      </c>
      <c r="G194" s="58" t="s">
        <v>10336</v>
      </c>
      <c r="H194" s="58" t="s">
        <v>10599</v>
      </c>
      <c r="I194" s="58" t="s">
        <v>10883</v>
      </c>
      <c r="J194" s="58" t="str">
        <f>CONCATENATE("(${Variables:",E194,"_kcat","} * ",E194," * ",G194,")","/(${Variables:",E194,"_km","} + (",E194," * ",G194,"))")</f>
        <v>(${Variables:E3_1_7_1_kcat} * E3_1_7_1 * C17627 * C00001)/(${Variables:E3_1_7_1_km} + (E3_1_7_1 * C17627 * C00001))</v>
      </c>
      <c r="K194" s="59" t="str">
        <f>CONCATENATE("r",D194,": ",F194," -&gt; ",H194," | ",J194)</f>
        <v>r193: C17627 + C00001 -&gt; C17628 + C000013 | (${Variables:E3_1_7_1_kcat} * E3_1_7_1 * C17627 * C00001)/(${Variables:E3_1_7_1_km} + (E3_1_7_1 * C17627 * C00001))</v>
      </c>
    </row>
    <row r="195" spans="1:11" ht="48">
      <c r="A195" s="57" t="s">
        <v>793</v>
      </c>
      <c r="B195" s="57" t="s">
        <v>3656</v>
      </c>
      <c r="C195" s="57" t="s">
        <v>9128</v>
      </c>
      <c r="D195" s="58">
        <v>194</v>
      </c>
      <c r="E195" s="58" t="str">
        <f>CONCATENATE("E",C195)</f>
        <v>E3_6_1_13</v>
      </c>
      <c r="F195" s="58" t="s">
        <v>10074</v>
      </c>
      <c r="G195" s="58" t="s">
        <v>10337</v>
      </c>
      <c r="H195" s="58" t="s">
        <v>10600</v>
      </c>
      <c r="I195" s="58" t="s">
        <v>10884</v>
      </c>
      <c r="J195" s="58" t="str">
        <f>CONCATENATE("(${Variables:",E195,"_kcat","} * ",E195," * ",G195,")","/(${Variables:",E195,"_km","} + (",E195," * ",G195,"))")</f>
        <v>(${Variables:E3_6_1_13_kcat} * E3_6_1_13 * C00301 * C00001)/(${Variables:E3_6_1_13_km} + (E3_6_1_13 * C00301 * C00001))</v>
      </c>
      <c r="K195" s="59" t="str">
        <f>CONCATENATE("r",D195,": ",F195," -&gt; ",H195," | ",J195)</f>
        <v>r194: C00301 + C00001 -&gt; C00020 + C00117 | (${Variables:E3_6_1_13_kcat} * E3_6_1_13 * C00301 * C00001)/(${Variables:E3_6_1_13_km} + (E3_6_1_13 * C00301 * C00001))</v>
      </c>
    </row>
    <row r="196" spans="1:11" ht="32">
      <c r="A196" s="57" t="s">
        <v>2002</v>
      </c>
      <c r="B196" s="57" t="s">
        <v>6230</v>
      </c>
      <c r="C196" s="57" t="s">
        <v>9129</v>
      </c>
      <c r="D196" s="58">
        <v>195</v>
      </c>
      <c r="E196" s="58" t="str">
        <f>CONCATENATE("E",C196)</f>
        <v>E3_2_1_1</v>
      </c>
      <c r="F196" s="58" t="s">
        <v>10075</v>
      </c>
      <c r="G196" s="58" t="s">
        <v>10338</v>
      </c>
      <c r="H196" s="58" t="s">
        <v>10601</v>
      </c>
      <c r="I196" s="58" t="s">
        <v>10885</v>
      </c>
      <c r="J196" s="58" t="str">
        <f>CONCATENATE("(${Variables:",E196,"_kcat","} * ",E196," * ",G196,")","/(${Variables:",E196,"_km","} + (",E196," * ",G196,"))")</f>
        <v>(${Variables:E3_2_1_1_kcat} * E3_2_1_1 * C00369 * C00001)/(${Variables:E3_2_1_1_km} + (E3_2_1_1 * C00369 * C00001))</v>
      </c>
      <c r="K196" s="59" t="str">
        <f>CONCATENATE("r",D196,": ",F196," -&gt; ",H196," | ",J196)</f>
        <v>r195: C00369 + C00001 -&gt; C00721 + C00369 | (${Variables:E3_2_1_1_kcat} * E3_2_1_1 * C00369 * C00001)/(${Variables:E3_2_1_1_km} + (E3_2_1_1 * C00369 * C00001))</v>
      </c>
    </row>
    <row r="197" spans="1:11" ht="32">
      <c r="A197" s="57" t="s">
        <v>272</v>
      </c>
      <c r="B197" s="57" t="s">
        <v>2481</v>
      </c>
      <c r="C197" s="57" t="s">
        <v>9130</v>
      </c>
      <c r="D197" s="58">
        <v>196</v>
      </c>
      <c r="E197" s="58" t="str">
        <f>CONCATENATE("E",C197)</f>
        <v>E3_2_1_11</v>
      </c>
      <c r="F197" s="58" t="s">
        <v>8486</v>
      </c>
      <c r="G197" s="58" t="s">
        <v>8486</v>
      </c>
      <c r="H197" s="58" t="s">
        <v>8487</v>
      </c>
      <c r="I197" s="58" t="s">
        <v>8487</v>
      </c>
      <c r="J197" s="58" t="str">
        <f>CONCATENATE("(${Variables:",E197,"_kcat","} * ",E197," * ",G197,")","/(${Variables:",E197,"_km","} + (",E197," * ",G197,"))")</f>
        <v>(${Variables:E3_2_1_11_kcat} * E3_2_1_11 * C00372 )/(${Variables:E3_2_1_11_km} + (E3_2_1_11 * C00372 ))</v>
      </c>
      <c r="K197" s="59" t="str">
        <f>CONCATENATE("r",D197,": ",F197," -&gt; ",H197," | ",J197)</f>
        <v>r196: C00372  -&gt; C00252 | (${Variables:E3_2_1_11_kcat} * E3_2_1_11 * C00372 )/(${Variables:E3_2_1_11_km} + (E3_2_1_11 * C00372 ))</v>
      </c>
    </row>
    <row r="198" spans="1:11" ht="48">
      <c r="A198" s="57" t="s">
        <v>1809</v>
      </c>
      <c r="B198" s="57" t="s">
        <v>5841</v>
      </c>
      <c r="C198" s="57" t="s">
        <v>9131</v>
      </c>
      <c r="D198" s="58">
        <v>197</v>
      </c>
      <c r="E198" s="58" t="str">
        <f>CONCATENATE("E",C198)</f>
        <v>E3_2_1_23</v>
      </c>
      <c r="F198" s="58" t="s">
        <v>10076</v>
      </c>
      <c r="G198" s="58" t="s">
        <v>10339</v>
      </c>
      <c r="H198" s="58" t="s">
        <v>10602</v>
      </c>
      <c r="I198" s="58" t="s">
        <v>10886</v>
      </c>
      <c r="J198" s="58" t="str">
        <f>CONCATENATE("(${Variables:",E198,"_kcat","} * ",E198," * ",G198,")","/(${Variables:",E198,"_km","} + (",E198," * ",G198,"))")</f>
        <v>(${Variables:E3_2_1_23_kcat} * E3_2_1_23 * C00243 * C00001)/(${Variables:E3_2_1_23_km} + (E3_2_1_23 * C00243 * C00001))</v>
      </c>
      <c r="K198" s="59" t="str">
        <f>CONCATENATE("r",D198,": ",F198," -&gt; ",H198," | ",J198)</f>
        <v>r197: C00243 + C00001 -&gt; C00031 + C00962 | (${Variables:E3_2_1_23_kcat} * E3_2_1_23 * C00243 * C00001)/(${Variables:E3_2_1_23_km} + (E3_2_1_23 * C00243 * C00001))</v>
      </c>
    </row>
    <row r="199" spans="1:11" ht="32">
      <c r="A199" s="57" t="s">
        <v>796</v>
      </c>
      <c r="B199" s="57" t="s">
        <v>3663</v>
      </c>
      <c r="C199" s="57" t="s">
        <v>9137</v>
      </c>
      <c r="D199" s="58">
        <v>198</v>
      </c>
      <c r="E199" s="58" t="str">
        <f>CONCATENATE("E",C199)</f>
        <v>E3_2_2_9</v>
      </c>
      <c r="F199" s="58" t="s">
        <v>10077</v>
      </c>
      <c r="G199" s="58" t="s">
        <v>10340</v>
      </c>
      <c r="H199" s="58" t="s">
        <v>10603</v>
      </c>
      <c r="I199" s="58" t="s">
        <v>10887</v>
      </c>
      <c r="J199" s="58" t="str">
        <f>CONCATENATE("(${Variables:",E199,"_kcat","} * ",E199," * ",G199,")","/(${Variables:",E199,"_km","} + (",E199," * ",G199,"))")</f>
        <v>(${Variables:E3_2_2_9_kcat} * E3_2_2_9 * C00021 * C00001)/(${Variables:E3_2_2_9_km} + (E3_2_2_9 * C00021 * C00001))</v>
      </c>
      <c r="K199" s="59" t="str">
        <f>CONCATENATE("r",D199,": ",F199," -&gt; ",H199," | ",J199)</f>
        <v>r198: C00021 + C00001 -&gt; C03539 + C00147 | (${Variables:E3_2_2_9_kcat} * E3_2_2_9 * C00021 * C00001)/(${Variables:E3_2_2_9_km} + (E3_2_2_9 * C00021 * C00001))</v>
      </c>
    </row>
    <row r="200" spans="1:11" ht="48">
      <c r="A200" s="57" t="s">
        <v>1362</v>
      </c>
      <c r="B200" s="57" t="s">
        <v>4883</v>
      </c>
      <c r="C200" s="57" t="s">
        <v>9140</v>
      </c>
      <c r="D200" s="58">
        <v>199</v>
      </c>
      <c r="E200" s="58" t="str">
        <f>CONCATENATE("E",C200)</f>
        <v>E3_4_11_2</v>
      </c>
      <c r="F200" s="58" t="s">
        <v>10078</v>
      </c>
      <c r="G200" s="58" t="s">
        <v>10341</v>
      </c>
      <c r="H200" s="58" t="s">
        <v>10604</v>
      </c>
      <c r="I200" s="58" t="s">
        <v>10888</v>
      </c>
      <c r="J200" s="58" t="str">
        <f>CONCATENATE("(${Variables:",E200,"_kcat","} * ",E200," * ",G200,")","/(${Variables:",E200,"_km","} + (",E200," * ",G200,"))")</f>
        <v>(${Variables:E3_4_11_2_kcat} * E3_4_11_2 * C01419 * C00001)/(${Variables:E3_4_11_2_km} + (E3_4_11_2 * C01419 * C00001))</v>
      </c>
      <c r="K200" s="59" t="str">
        <f>CONCATENATE("r",D200,": ",F200," -&gt; ",H200," | ",J200)</f>
        <v>r199: C01419 + C00001 -&gt; C00097 + C00037 | (${Variables:E3_4_11_2_kcat} * E3_4_11_2 * C01419 * C00001)/(${Variables:E3_4_11_2_km} + (E3_4_11_2 * C01419 * C00001))</v>
      </c>
    </row>
    <row r="201" spans="1:11" ht="32">
      <c r="A201" s="57" t="s">
        <v>110</v>
      </c>
      <c r="B201" s="57" t="s">
        <v>6784</v>
      </c>
      <c r="C201" s="57" t="s">
        <v>9152</v>
      </c>
      <c r="D201" s="58">
        <v>200</v>
      </c>
      <c r="E201" s="58" t="str">
        <f>CONCATENATE("E",C201)</f>
        <v>E3_5_1_1</v>
      </c>
      <c r="F201" s="58" t="s">
        <v>10079</v>
      </c>
      <c r="G201" s="58" t="s">
        <v>10342</v>
      </c>
      <c r="H201" s="58" t="s">
        <v>10605</v>
      </c>
      <c r="I201" s="58" t="s">
        <v>10889</v>
      </c>
      <c r="J201" s="58" t="str">
        <f>CONCATENATE("(${Variables:",E201,"_kcat","} * ",E201," * ",G201,")","/(${Variables:",E201,"_km","} + (",E201," * ",G201,"))")</f>
        <v>(${Variables:E3_5_1_1_kcat} * E3_5_1_1 * C00152 * C00001 )/(${Variables:E3_5_1_1_km} + (E3_5_1_1 * C00152 * C00001 ))</v>
      </c>
      <c r="K201" s="59" t="str">
        <f>CONCATENATE("r",D201,": ",F201," -&gt; ",H201," | ",J201)</f>
        <v>r200: C00152 + C00001  -&gt; C00049 + C00014 | (${Variables:E3_5_1_1_kcat} * E3_5_1_1 * C00152 * C00001 )/(${Variables:E3_5_1_1_km} + (E3_5_1_1 * C00152 * C00001 ))</v>
      </c>
    </row>
    <row r="202" spans="1:11" ht="48">
      <c r="A202" s="57" t="s">
        <v>467</v>
      </c>
      <c r="B202" s="57" t="s">
        <v>2924</v>
      </c>
      <c r="C202" s="57" t="s">
        <v>9153</v>
      </c>
      <c r="D202" s="58">
        <v>201</v>
      </c>
      <c r="E202" s="58" t="str">
        <f>CONCATENATE("E",C202)</f>
        <v>E3_5_1_14</v>
      </c>
      <c r="F202" s="58" t="s">
        <v>11653</v>
      </c>
      <c r="G202" s="58" t="s">
        <v>11654</v>
      </c>
      <c r="H202" s="58" t="s">
        <v>10606</v>
      </c>
      <c r="I202" s="58" t="s">
        <v>10890</v>
      </c>
      <c r="J202" s="58" t="str">
        <f>CONCATENATE("(${Variables:",E202,"_kcat","} * ",E202," * ",G202,")","/(${Variables:",E202,"_km","} + (",E202," * ",G202,"))")</f>
        <v>(${Variables:E3_5_1_14_kcat} * E3_5_1_14 * C02850 * C00001)/(${Variables:E3_5_1_14_km} + (E3_5_1_14 * C02850 * C00001))</v>
      </c>
      <c r="K202" s="59" t="str">
        <f>CONCATENATE("r",D202,": ",F202," -&gt; ",H202," | ",J202)</f>
        <v>r201: C02850 + C00001 -&gt; C00060 + C00151 | (${Variables:E3_5_1_14_kcat} * E3_5_1_14 * C02850 * C00001)/(${Variables:E3_5_1_14_km} + (E3_5_1_14 * C02850 * C00001))</v>
      </c>
    </row>
    <row r="203" spans="1:11" ht="48">
      <c r="A203" s="57" t="s">
        <v>471</v>
      </c>
      <c r="B203" s="57" t="s">
        <v>6511</v>
      </c>
      <c r="C203" s="57" t="s">
        <v>9154</v>
      </c>
      <c r="D203" s="58">
        <v>202</v>
      </c>
      <c r="E203" s="58" t="str">
        <f>CONCATENATE("E",C203)</f>
        <v>E3_5_1_19</v>
      </c>
      <c r="F203" s="58" t="s">
        <v>10080</v>
      </c>
      <c r="G203" s="58" t="s">
        <v>10343</v>
      </c>
      <c r="H203" s="58" t="s">
        <v>10607</v>
      </c>
      <c r="I203" s="58" t="s">
        <v>10891</v>
      </c>
      <c r="J203" s="58" t="str">
        <f>CONCATENATE("(${Variables:",E203,"_kcat","} * ",E203," * ",G203,")","/(${Variables:",E203,"_km","} + (",E203," * ",G203,"))")</f>
        <v>(${Variables:E3_5_1_19_kcat} * E3_5_1_19 * C00153 * C00001)/(${Variables:E3_5_1_19_km} + (E3_5_1_19 * C00153 * C00001))</v>
      </c>
      <c r="K203" s="59" t="str">
        <f>CONCATENATE("r",D203,": ",F203," -&gt; ",H203," | ",J203)</f>
        <v>r202: C00153 + C00001 -&gt; C00253 + C00014 | (${Variables:E3_5_1_19_kcat} * E3_5_1_19 * C00153 * C00001)/(${Variables:E3_5_1_19_km} + (E3_5_1_19 * C00153 * C00001))</v>
      </c>
    </row>
    <row r="204" spans="1:11" ht="48">
      <c r="A204" s="57" t="s">
        <v>727</v>
      </c>
      <c r="B204" s="57" t="s">
        <v>3496</v>
      </c>
      <c r="C204" s="57" t="s">
        <v>9155</v>
      </c>
      <c r="D204" s="58">
        <v>203</v>
      </c>
      <c r="E204" s="58" t="str">
        <f>CONCATENATE("E",C204)</f>
        <v>E3_5_1_25</v>
      </c>
      <c r="F204" s="58" t="s">
        <v>10081</v>
      </c>
      <c r="G204" s="58" t="s">
        <v>10344</v>
      </c>
      <c r="H204" s="58" t="s">
        <v>10608</v>
      </c>
      <c r="I204" s="58" t="s">
        <v>10892</v>
      </c>
      <c r="J204" s="58" t="str">
        <f>CONCATENATE("(${Variables:",E204,"_kcat","} * ",E204," * ",G204,")","/(${Variables:",E204,"_km","} + (",E204," * ",G204,"))")</f>
        <v>(${Variables:E3_5_1_25_kcat} * E3_5_1_25 * C00357 * C00001)/(${Variables:E3_5_1_25_km} + (E3_5_1_25 * C00357 * C00001))</v>
      </c>
      <c r="K204" s="59" t="str">
        <f>CONCATENATE("r",D204,": ",F204," -&gt; ",H204," | ",J204)</f>
        <v>r203: C00357 + C00001 -&gt; C00352 + C00033 | (${Variables:E3_5_1_25_kcat} * E3_5_1_25 * C00357 * C00001)/(${Variables:E3_5_1_25_km} + (E3_5_1_25 * C00357 * C00001))</v>
      </c>
    </row>
    <row r="205" spans="1:11" ht="32">
      <c r="A205" s="57" t="s">
        <v>669</v>
      </c>
      <c r="B205" s="57" t="s">
        <v>3374</v>
      </c>
      <c r="C205" s="57" t="s">
        <v>9156</v>
      </c>
      <c r="D205" s="58">
        <v>204</v>
      </c>
      <c r="E205" s="58" t="str">
        <f>CONCATENATE("E",C205)</f>
        <v>E3_5_1_3</v>
      </c>
      <c r="F205" s="58" t="s">
        <v>10082</v>
      </c>
      <c r="G205" s="58" t="s">
        <v>10345</v>
      </c>
      <c r="H205" s="58" t="s">
        <v>10609</v>
      </c>
      <c r="I205" s="58" t="s">
        <v>10893</v>
      </c>
      <c r="J205" s="58" t="str">
        <f>CONCATENATE("(${Variables:",E205,"_kcat","} * ",E205," * ",G205,")","/(${Variables:",E205,"_km","} + (",E205," * ",G205,"))")</f>
        <v>(${Variables:E3_5_1_3_kcat} * E3_5_1_3 * C04131 * C00001)/(${Variables:E3_5_1_3_km} + (E3_5_1_3 * C04131 * C00001))</v>
      </c>
      <c r="K205" s="59" t="str">
        <f>CONCATENATE("r",D205,": ",F205," -&gt; ",H205," | ",J205)</f>
        <v>r204: C04131 + C00001 -&gt; C02028 + C00014 | (${Variables:E3_5_1_3_kcat} * E3_5_1_3 * C04131 * C00001)/(${Variables:E3_5_1_3_km} + (E3_5_1_3 * C04131 * C00001))</v>
      </c>
    </row>
    <row r="206" spans="1:11" ht="32">
      <c r="A206" s="57" t="s">
        <v>1331</v>
      </c>
      <c r="B206" s="57" t="s">
        <v>4797</v>
      </c>
      <c r="C206" s="57" t="s">
        <v>9157</v>
      </c>
      <c r="D206" s="58">
        <v>205</v>
      </c>
      <c r="E206" s="58" t="str">
        <f>CONCATENATE("E",C206)</f>
        <v>E3_5_1_4</v>
      </c>
      <c r="F206" s="58" t="s">
        <v>10083</v>
      </c>
      <c r="G206" s="58" t="s">
        <v>10346</v>
      </c>
      <c r="H206" s="58" t="s">
        <v>10610</v>
      </c>
      <c r="I206" s="58" t="s">
        <v>10894</v>
      </c>
      <c r="J206" s="58" t="str">
        <f>CONCATENATE("(${Variables:",E206,"_kcat","} * ",E206," * ",G206,")","/(${Variables:",E206,"_km","} + (",E206," * ",G206,"))")</f>
        <v>(${Variables:E3_5_1_4_kcat} * E3_5_1_4 * C03620 * C00001)/(${Variables:E3_5_1_4_km} + (E3_5_1_4 * C03620 * C00001))</v>
      </c>
      <c r="K206" s="59" t="str">
        <f>CONCATENATE("r",D206,": ",F206," -&gt; ",H206," | ",J206)</f>
        <v>r205: C03620 + C00001 -&gt; C00060 + C00014 | (${Variables:E3_5_1_4_kcat} * E3_5_1_4 * C03620 * C00001)/(${Variables:E3_5_1_4_km} + (E3_5_1_4 * C03620 * C00001))</v>
      </c>
    </row>
    <row r="207" spans="1:11" ht="48">
      <c r="A207" s="57" t="s">
        <v>1331</v>
      </c>
      <c r="B207" s="57" t="s">
        <v>7106</v>
      </c>
      <c r="C207" s="57" t="s">
        <v>9158</v>
      </c>
      <c r="D207" s="58">
        <v>206</v>
      </c>
      <c r="E207" s="58" t="str">
        <f>CONCATENATE("E",C207)</f>
        <v>E3_5_1_47</v>
      </c>
      <c r="F207" s="58" t="s">
        <v>10084</v>
      </c>
      <c r="G207" s="58" t="s">
        <v>10347</v>
      </c>
      <c r="H207" s="58" t="s">
        <v>10611</v>
      </c>
      <c r="I207" s="58" t="s">
        <v>10895</v>
      </c>
      <c r="J207" s="58" t="str">
        <f>CONCATENATE("(${Variables:",E207,"_kcat","} * ",E207," * ",G207,")","/(${Variables:",E207,"_km","} + (",E207," * ",G207,"))")</f>
        <v>(${Variables:E3_5_1_47_kcat} * E3_5_1_47 * C04390 * C00001)/(${Variables:E3_5_1_47_km} + (E3_5_1_47 * C04390 * C00001))</v>
      </c>
      <c r="K207" s="59" t="str">
        <f>CONCATENATE("r",D207,": ",F207," -&gt; ",H207," | ",J207)</f>
        <v>r206: C04390 + C00001 -&gt; C00033 + C00666 | (${Variables:E3_5_1_47_kcat} * E3_5_1_47 * C04390 * C00001)/(${Variables:E3_5_1_47_km} + (E3_5_1_47 * C04390 * C00001))</v>
      </c>
    </row>
    <row r="208" spans="1:11" ht="32">
      <c r="A208" s="57" t="s">
        <v>439</v>
      </c>
      <c r="B208" s="57" t="s">
        <v>2865</v>
      </c>
      <c r="C208" s="57" t="s">
        <v>9159</v>
      </c>
      <c r="D208" s="58">
        <v>207</v>
      </c>
      <c r="E208" s="58" t="str">
        <f>CONCATENATE("E",C208)</f>
        <v>E3_5_1_5</v>
      </c>
      <c r="F208" s="58" t="s">
        <v>10085</v>
      </c>
      <c r="G208" s="58" t="s">
        <v>10348</v>
      </c>
      <c r="H208" s="58" t="s">
        <v>10612</v>
      </c>
      <c r="I208" s="58" t="s">
        <v>10896</v>
      </c>
      <c r="J208" s="58" t="str">
        <f>CONCATENATE("(${Variables:",E208,"_kcat","} * ",E208," * ",G208,")","/(${Variables:",E208,"_km","} + (",E208," * ",G208,"))")</f>
        <v>(${Variables:E3_5_1_5_kcat} * E3_5_1_5 * C00014 * C00288 )/(${Variables:E3_5_1_5_km} + (E3_5_1_5 * C00014 * C00288 ))</v>
      </c>
      <c r="K208" s="59" t="str">
        <f>CONCATENATE("r",D208,": ",F208," -&gt; ",H208," | ",J208)</f>
        <v>r207: C00014 + C00288  -&gt; C01563 + C00001 | (${Variables:E3_5_1_5_kcat} * E3_5_1_5 * C00014 * C00288 )/(${Variables:E3_5_1_5_km} + (E3_5_1_5 * C00014 * C00288 ))</v>
      </c>
    </row>
    <row r="209" spans="1:12" ht="48">
      <c r="A209" s="57" t="s">
        <v>110</v>
      </c>
      <c r="B209" s="57" t="s">
        <v>2491</v>
      </c>
      <c r="C209" s="57" t="s">
        <v>9160</v>
      </c>
      <c r="D209" s="58">
        <v>208</v>
      </c>
      <c r="E209" s="58" t="str">
        <f>CONCATENATE("E",C209)</f>
        <v>E3_5_1_88</v>
      </c>
      <c r="F209" s="58" t="s">
        <v>10086</v>
      </c>
      <c r="G209" s="58" t="s">
        <v>10349</v>
      </c>
      <c r="H209" s="58" t="s">
        <v>10613</v>
      </c>
      <c r="I209" s="58" t="s">
        <v>10897</v>
      </c>
      <c r="J209" s="58" t="str">
        <f>CONCATENATE("(${Variables:",E209,"_kcat","} * ",E209," * ",G209,")","/(${Variables:",E209,"_km","} + (",E209," * ",G209,"))")</f>
        <v>(${Variables:E3_5_1_88_kcat} * E3_5_1_88 * C11439 * C00001)/(${Variables:E3_5_1_88_km} + (E3_5_1_88 * C11439 * C00001))</v>
      </c>
      <c r="K209" s="59" t="str">
        <f>CONCATENATE("r",D209,": ",F209," -&gt; ",H209," | ",J209)</f>
        <v>r208: C11439 + C00001 -&gt; C11440 + C00058 | (${Variables:E3_5_1_88_kcat} * E3_5_1_88 * C11439 * C00001)/(${Variables:E3_5_1_88_km} + (E3_5_1_88 * C11439 * C00001))</v>
      </c>
    </row>
    <row r="210" spans="1:12" ht="32">
      <c r="A210" s="57" t="s">
        <v>1426</v>
      </c>
      <c r="B210" s="57" t="s">
        <v>5014</v>
      </c>
      <c r="C210" s="57" t="s">
        <v>9161</v>
      </c>
      <c r="D210" s="58">
        <v>209</v>
      </c>
      <c r="E210" s="58" t="str">
        <f>CONCATENATE("E",C210)</f>
        <v>E3_5_2_3</v>
      </c>
      <c r="F210" s="58" t="s">
        <v>10087</v>
      </c>
      <c r="G210" s="58" t="s">
        <v>10350</v>
      </c>
      <c r="H210" s="58" t="s">
        <v>8521</v>
      </c>
      <c r="I210" s="58" t="s">
        <v>8521</v>
      </c>
      <c r="J210" s="58" t="str">
        <f>CONCATENATE("(${Variables:",E210,"_kcat","} * ",E210," * ",G210,")","/(${Variables:",E210,"_km","} + (",E210," * ",G210,"))")</f>
        <v>(${Variables:E3_5_2_3_kcat} * E3_5_2_3 * C00337 * C00001)/(${Variables:E3_5_2_3_km} + (E3_5_2_3 * C00337 * C00001))</v>
      </c>
      <c r="K210" s="59" t="str">
        <f>CONCATENATE("r",D210,": ",F210," -&gt; ",H210," | ",J210)</f>
        <v>r209: C00337 + C00001 -&gt; C00438 | (${Variables:E3_5_2_3_kcat} * E3_5_2_3 * C00337 * C00001)/(${Variables:E3_5_2_3_km} + (E3_5_2_3 * C00337 * C00001))</v>
      </c>
    </row>
    <row r="211" spans="1:12" ht="48">
      <c r="A211" s="57" t="s">
        <v>1252</v>
      </c>
      <c r="B211" s="57" t="s">
        <v>4652</v>
      </c>
      <c r="C211" s="57" t="s">
        <v>9162</v>
      </c>
      <c r="D211" s="58">
        <v>210</v>
      </c>
      <c r="E211" s="58" t="str">
        <f>CONCATENATE("E",C211)</f>
        <v>E3_5_3_11</v>
      </c>
      <c r="F211" s="58" t="s">
        <v>10088</v>
      </c>
      <c r="G211" s="58" t="s">
        <v>10351</v>
      </c>
      <c r="H211" s="58" t="s">
        <v>10614</v>
      </c>
      <c r="I211" s="58" t="s">
        <v>10898</v>
      </c>
      <c r="J211" s="58" t="str">
        <f>CONCATENATE("(${Variables:",E211,"_kcat","} * ",E211," * ",G211,")","/(${Variables:",E211,"_km","} + (",E211," * ",G211,"))")</f>
        <v>(${Variables:E3_5_3_11_kcat} * E3_5_3_11 * C00179 * C00001 )/(${Variables:E3_5_3_11_km} + (E3_5_3_11 * C00179 * C00001 ))</v>
      </c>
      <c r="K211" s="59" t="str">
        <f>CONCATENATE("r",D211,": ",F211," -&gt; ",H211," | ",J211)</f>
        <v>r210: C00179 + C00001  -&gt; C00134 + C00086 | (${Variables:E3_5_3_11_kcat} * E3_5_3_11 * C00179 * C00001 )/(${Variables:E3_5_3_11_km} + (E3_5_3_11 * C00179 * C00001 ))</v>
      </c>
    </row>
    <row r="212" spans="1:12" ht="48">
      <c r="A212" s="57" t="s">
        <v>1252</v>
      </c>
      <c r="B212" s="57" t="s">
        <v>6833</v>
      </c>
      <c r="C212" s="57" t="s">
        <v>9163</v>
      </c>
      <c r="D212" s="58">
        <v>211</v>
      </c>
      <c r="E212" s="58" t="str">
        <f>CONCATENATE("E",C212)</f>
        <v>E3_5_4_12</v>
      </c>
      <c r="F212" s="58" t="s">
        <v>10089</v>
      </c>
      <c r="G212" s="58" t="s">
        <v>10352</v>
      </c>
      <c r="H212" s="58" t="s">
        <v>10615</v>
      </c>
      <c r="I212" s="58" t="s">
        <v>10899</v>
      </c>
      <c r="J212" s="58" t="str">
        <f>CONCATENATE("(${Variables:",E212,"_kcat","} * ",E212," * ",G212,")","/(${Variables:",E212,"_km","} + (",E212," * ",G212,"))")</f>
        <v>(${Variables:E3_5_4_12_kcat} * E3_5_4_12 * C00239 * C00001)/(${Variables:E3_5_4_12_km} + (E3_5_4_12 * C00239 * C00001))</v>
      </c>
      <c r="K212" s="59" t="str">
        <f>CONCATENATE("r",D212,": ",F212," -&gt; ",H212," | ",J212)</f>
        <v>r211: C00239 + C00001 -&gt; C00365 + C000014 | (${Variables:E3_5_4_12_kcat} * E3_5_4_12 * C00239 * C00001)/(${Variables:E3_5_4_12_km} + (E3_5_4_12 * C00239 * C00001))</v>
      </c>
    </row>
    <row r="213" spans="1:12" ht="48">
      <c r="A213" s="57" t="s">
        <v>2004</v>
      </c>
      <c r="B213" s="57" t="s">
        <v>6236</v>
      </c>
      <c r="C213" s="57" t="s">
        <v>9164</v>
      </c>
      <c r="D213" s="58">
        <v>212</v>
      </c>
      <c r="E213" s="58" t="str">
        <f>CONCATENATE("E",C213)</f>
        <v>E3_5_4_16</v>
      </c>
      <c r="F213" s="58" t="s">
        <v>10090</v>
      </c>
      <c r="G213" s="58" t="s">
        <v>10353</v>
      </c>
      <c r="H213" s="58" t="s">
        <v>10616</v>
      </c>
      <c r="I213" s="58" t="s">
        <v>10900</v>
      </c>
      <c r="J213" s="58" t="str">
        <f>CONCATENATE("(${Variables:",E213,"_kcat","} * ",E213," * ",G213,")","/(${Variables:",E213,"_km","} + (",E213," * ",G213,"))")</f>
        <v>(${Variables:E3_5_4_16_kcat} * E3_5_4_16 * C00044 * C00001)/(${Variables:E3_5_4_16_km} + (E3_5_4_16 * C00044 * C00001))</v>
      </c>
      <c r="K213" s="59" t="str">
        <f>CONCATENATE("r",D213,": ",F213," -&gt; ",H213," | ",J213)</f>
        <v>r212: C00044 + C00001 -&gt; C04895 + C00058 | (${Variables:E3_5_4_16_kcat} * E3_5_4_16 * C00044 * C00001)/(${Variables:E3_5_4_16_km} + (E3_5_4_16 * C00044 * C00001))</v>
      </c>
    </row>
    <row r="214" spans="1:12" ht="48">
      <c r="A214" s="57" t="s">
        <v>2004</v>
      </c>
      <c r="B214" s="57" t="s">
        <v>7125</v>
      </c>
      <c r="C214" s="57" t="s">
        <v>9165</v>
      </c>
      <c r="D214" s="58">
        <v>213</v>
      </c>
      <c r="E214" s="58" t="str">
        <f>CONCATENATE("E",C214)</f>
        <v>E3_5_4_33</v>
      </c>
      <c r="F214" s="58" t="s">
        <v>10091</v>
      </c>
      <c r="G214" s="58" t="s">
        <v>10354</v>
      </c>
      <c r="H214" s="58" t="s">
        <v>10617</v>
      </c>
      <c r="I214" s="58" t="s">
        <v>10901</v>
      </c>
      <c r="J214" s="58" t="str">
        <f>CONCATENATE("(${Variables:",E214,"_kcat","} * ",E214," * ",G214,")","/(${Variables:",E214,"_km","} + (",E214," * ",G214,"))")</f>
        <v>(${Variables:E3_5_4_33_kcat} * E3_5_4_33 * C17324 * C00001)/(${Variables:E3_5_4_33_km} + (E3_5_4_33 * C17324 * C00001))</v>
      </c>
      <c r="K214" s="59" t="str">
        <f>CONCATENATE("r",D214,": ",F214," -&gt; ",H214," | ",J214)</f>
        <v>r213: C17324 + C00001 -&gt; C20451 + C00014 | (${Variables:E3_5_4_33_kcat} * E3_5_4_33 * C17324 * C00001)/(${Variables:E3_5_4_33_km} + (E3_5_4_33 * C17324 * C00001))</v>
      </c>
    </row>
    <row r="215" spans="1:12" ht="32">
      <c r="A215" s="57" t="s">
        <v>1030</v>
      </c>
      <c r="B215" s="57" t="s">
        <v>4199</v>
      </c>
      <c r="C215" s="57" t="s">
        <v>9166</v>
      </c>
      <c r="D215" s="58">
        <v>214</v>
      </c>
      <c r="E215" s="58" t="str">
        <f>CONCATENATE("E",C215)</f>
        <v>E3_5_4_4</v>
      </c>
      <c r="F215" s="58" t="s">
        <v>10092</v>
      </c>
      <c r="G215" s="58" t="s">
        <v>10355</v>
      </c>
      <c r="H215" s="58" t="s">
        <v>10618</v>
      </c>
      <c r="I215" s="58" t="s">
        <v>10902</v>
      </c>
      <c r="J215" s="58" t="str">
        <f>CONCATENATE("(${Variables:",E215,"_kcat","} * ",E215," * ",G215,")","/(${Variables:",E215,"_km","} + (",E215," * ",G215,"))")</f>
        <v>(${Variables:E3_5_4_4_kcat} * E3_5_4_4 * C00212 * C00001)/(${Variables:E3_5_4_4_km} + (E3_5_4_4 * C00212 * C00001))</v>
      </c>
      <c r="K215" s="59" t="str">
        <f>CONCATENATE("r",D215,": ",F215," -&gt; ",H215," | ",J215)</f>
        <v>r214: C00212 + C00001 -&gt; C00294 + C00014 | (${Variables:E3_5_4_4_kcat} * E3_5_4_4 * C00212 * C00001)/(${Variables:E3_5_4_4_km} + (E3_5_4_4 * C00212 * C00001))</v>
      </c>
    </row>
    <row r="216" spans="1:12" ht="32">
      <c r="A216" s="57" t="s">
        <v>1091</v>
      </c>
      <c r="B216" s="57" t="s">
        <v>4341</v>
      </c>
      <c r="C216" s="57" t="s">
        <v>9167</v>
      </c>
      <c r="D216" s="58">
        <v>215</v>
      </c>
      <c r="E216" s="58" t="str">
        <f>CONCATENATE("E",C216)</f>
        <v>E3_5_4_5</v>
      </c>
      <c r="F216" s="58" t="s">
        <v>10093</v>
      </c>
      <c r="G216" s="58" t="s">
        <v>10356</v>
      </c>
      <c r="H216" s="58" t="s">
        <v>10619</v>
      </c>
      <c r="I216" s="58" t="s">
        <v>10903</v>
      </c>
      <c r="J216" s="58" t="str">
        <f>CONCATENATE("(${Variables:",E216,"_kcat","} * ",E216," * ",G216,")","/(${Variables:",E216,"_km","} + (",E216," * ",G216,"))")</f>
        <v>(${Variables:E3_5_4_5_kcat} * E3_5_4_5 * C00475 * C00001)/(${Variables:E3_5_4_5_km} + (E3_5_4_5 * C00475 * C00001))</v>
      </c>
      <c r="K216" s="59" t="str">
        <f>CONCATENATE("r",D216,": ",F216," -&gt; ",H216," | ",J216)</f>
        <v>r215: C00475 + C00001 -&gt; C00299 + C00014 | (${Variables:E3_5_4_5_kcat} * E3_5_4_5 * C00475 * C00001)/(${Variables:E3_5_4_5_km} + (E3_5_4_5 * C00475 * C00001))</v>
      </c>
      <c r="L216" s="61"/>
    </row>
    <row r="217" spans="1:12" ht="48">
      <c r="A217" s="57" t="s">
        <v>1116</v>
      </c>
      <c r="B217" s="57" t="s">
        <v>4390</v>
      </c>
      <c r="C217" s="57" t="s">
        <v>9168</v>
      </c>
      <c r="D217" s="58">
        <v>216</v>
      </c>
      <c r="E217" s="58" t="str">
        <f>CONCATENATE("E",C217)</f>
        <v>E3_5_99_10</v>
      </c>
      <c r="F217" s="58" t="s">
        <v>10094</v>
      </c>
      <c r="G217" s="58" t="s">
        <v>10357</v>
      </c>
      <c r="H217" s="58" t="s">
        <v>10620</v>
      </c>
      <c r="I217" s="58" t="s">
        <v>10904</v>
      </c>
      <c r="J217" s="58" t="str">
        <f>CONCATENATE("(${Variables:",E217,"_kcat","} * ",E217," * ",G217,")","/(${Variables:",E217,"_km","} + (",E217," * ",G217,"))")</f>
        <v>(${Variables:E3_5_99_10_kcat} * E3_5_99_10 * C20905 * C00001)/(${Variables:E3_5_99_10_km} + (E3_5_99_10 * C20905 * C00001))</v>
      </c>
      <c r="K217" s="59" t="str">
        <f>CONCATENATE("r",D217,": ",F217," -&gt; ",H217," | ",J217)</f>
        <v>r216: C20905 + C00001 -&gt; C00109 + C00014 | (${Variables:E3_5_99_10_kcat} * E3_5_99_10 * C20905 * C00001)/(${Variables:E3_5_99_10_km} + (E3_5_99_10 * C20905 * C00001))</v>
      </c>
      <c r="L217" s="61"/>
    </row>
    <row r="218" spans="1:12" ht="48">
      <c r="A218" s="57" t="s">
        <v>769</v>
      </c>
      <c r="B218" s="57" t="s">
        <v>3595</v>
      </c>
      <c r="C218" s="57" t="s">
        <v>9169</v>
      </c>
      <c r="D218" s="58">
        <v>217</v>
      </c>
      <c r="E218" s="58" t="str">
        <f>CONCATENATE("E",C218)</f>
        <v>E3_5_99_6</v>
      </c>
      <c r="F218" s="58" t="s">
        <v>10095</v>
      </c>
      <c r="G218" s="58" t="s">
        <v>10358</v>
      </c>
      <c r="H218" s="58" t="s">
        <v>10621</v>
      </c>
      <c r="I218" s="58" t="s">
        <v>10905</v>
      </c>
      <c r="J218" s="58" t="str">
        <f>CONCATENATE("(${Variables:",E218,"_kcat","} * ",E218," * ",G218,")","/(${Variables:",E218,"_km","} + (",E218," * ",G218,"))")</f>
        <v>(${Variables:E3_5_99_6_kcat} * E3_5_99_6 * C00352 * C00001)/(${Variables:E3_5_99_6_km} + (E3_5_99_6 * C00352 * C00001))</v>
      </c>
      <c r="K218" s="59" t="str">
        <f>CONCATENATE("r",D218,": ",F218," -&gt; ",H218," | ",J218)</f>
        <v>r217: C00352 + C00001 -&gt; C00085 + C00014 | (${Variables:E3_5_99_6_kcat} * E3_5_99_6 * C00352 * C00001)/(${Variables:E3_5_99_6_km} + (E3_5_99_6 * C00352 * C00001))</v>
      </c>
      <c r="L218" s="61"/>
    </row>
    <row r="219" spans="1:12" ht="48">
      <c r="A219" s="57" t="s">
        <v>2038</v>
      </c>
      <c r="B219" s="57" t="s">
        <v>7068</v>
      </c>
      <c r="C219" s="57" t="s">
        <v>9171</v>
      </c>
      <c r="D219" s="58">
        <v>218</v>
      </c>
      <c r="E219" s="58" t="str">
        <f>CONCATENATE("E",C219)</f>
        <v>E3_6_1_23</v>
      </c>
      <c r="F219" s="58" t="s">
        <v>10096</v>
      </c>
      <c r="G219" s="58" t="s">
        <v>10359</v>
      </c>
      <c r="H219" s="58" t="s">
        <v>10622</v>
      </c>
      <c r="I219" s="58" t="s">
        <v>10906</v>
      </c>
      <c r="J219" s="58" t="str">
        <f>CONCATENATE("(${Variables:",E219,"_kcat","} * ",E219," * ",G219,")","/(${Variables:",E219,"_km","} + (",E219," * ",G219,"))")</f>
        <v>(${Variables:E3_6_1_23_kcat} * E3_6_1_23 * C00460 * C00001)/(${Variables:E3_6_1_23_km} + (E3_6_1_23 * C00460 * C00001))</v>
      </c>
      <c r="K219" s="59" t="str">
        <f>CONCATENATE("r",D219,": ",F219," -&gt; ",H219," | ",J219)</f>
        <v>r218: C00460 + C00001 -&gt; C00365 + C00013 | (${Variables:E3_6_1_23_kcat} * E3_6_1_23 * C00460 * C00001)/(${Variables:E3_6_1_23_km} + (E3_6_1_23 * C00460 * C00001))</v>
      </c>
    </row>
    <row r="220" spans="1:12" ht="48">
      <c r="A220" s="57" t="s">
        <v>290</v>
      </c>
      <c r="B220" s="57" t="s">
        <v>2519</v>
      </c>
      <c r="C220" s="57" t="s">
        <v>9172</v>
      </c>
      <c r="D220" s="58">
        <v>219</v>
      </c>
      <c r="E220" s="58" t="str">
        <f>CONCATENATE("E",C220)</f>
        <v>E3_6_1_27</v>
      </c>
      <c r="F220" s="58" t="s">
        <v>10097</v>
      </c>
      <c r="G220" s="58" t="s">
        <v>10360</v>
      </c>
      <c r="H220" s="58" t="s">
        <v>10623</v>
      </c>
      <c r="I220" s="58" t="s">
        <v>10907</v>
      </c>
      <c r="J220" s="58" t="str">
        <f>CONCATENATE("(${Variables:",E220,"_kcat","} * ",E220," * ",G220,")","/(${Variables:",E220,"_km","} + (",E220," * ",G220,"))")</f>
        <v>(${Variables:E3_6_1_27_kcat} * E3_6_1_27 * C04574 * C00001)/(${Variables:E3_6_1_27_km} + (E3_6_1_27 * C04574 * C00001))</v>
      </c>
      <c r="K220" s="59" t="str">
        <f>CONCATENATE("r",D220,": ",F220," -&gt; ",H220," | ",J220)</f>
        <v>r219: C04574 + C00001 -&gt; C17556 + C00009 | (${Variables:E3_6_1_27_kcat} * E3_6_1_27 * C04574 * C00001)/(${Variables:E3_6_1_27_km} + (E3_6_1_27 * C04574 * C00001))</v>
      </c>
      <c r="L220" s="61"/>
    </row>
    <row r="221" spans="1:12" ht="48">
      <c r="A221" s="57" t="s">
        <v>290</v>
      </c>
      <c r="B221" s="57" t="s">
        <v>6449</v>
      </c>
      <c r="C221" s="57" t="s">
        <v>9173</v>
      </c>
      <c r="D221" s="58">
        <v>220</v>
      </c>
      <c r="E221" s="58" t="str">
        <f>CONCATENATE("E",C221)</f>
        <v>E3_6_1_29</v>
      </c>
      <c r="F221" s="58" t="s">
        <v>10098</v>
      </c>
      <c r="G221" s="58" t="s">
        <v>10361</v>
      </c>
      <c r="H221" s="58" t="s">
        <v>10624</v>
      </c>
      <c r="I221" s="58" t="s">
        <v>10908</v>
      </c>
      <c r="J221" s="58" t="str">
        <f>CONCATENATE("(${Variables:",E221,"_kcat","} * ",E221," * ",G221,")","/(${Variables:",E221,"_km","} + (",E221," * ",G221,"))")</f>
        <v>(${Variables:E3_6_1_29_kcat} * E3_6_1_29 * C06197 * C00001)/(${Variables:E3_6_1_29_km} + (E3_6_1_29 * C06197 * C00001))</v>
      </c>
      <c r="K221" s="59" t="str">
        <f>CONCATENATE("r",D221,": ",F221," -&gt; ",H221," | ",J221)</f>
        <v>r220: C06197 + C00001 -&gt; C00008 + C00020 | (${Variables:E3_6_1_29_kcat} * E3_6_1_29 * C06197 * C00001)/(${Variables:E3_6_1_29_km} + (E3_6_1_29 * C06197 * C00001))</v>
      </c>
      <c r="L221" s="61"/>
    </row>
    <row r="222" spans="1:12" ht="48">
      <c r="A222" s="57" t="s">
        <v>1490</v>
      </c>
      <c r="B222" s="57" t="s">
        <v>5157</v>
      </c>
      <c r="C222" s="57" t="s">
        <v>9174</v>
      </c>
      <c r="D222" s="58">
        <v>221</v>
      </c>
      <c r="E222" s="58" t="str">
        <f>CONCATENATE("E",C222)</f>
        <v>E3_6_1_55</v>
      </c>
      <c r="F222" s="58" t="s">
        <v>10099</v>
      </c>
      <c r="G222" s="58" t="s">
        <v>10362</v>
      </c>
      <c r="H222" s="58" t="s">
        <v>10625</v>
      </c>
      <c r="I222" s="58" t="s">
        <v>10909</v>
      </c>
      <c r="J222" s="58" t="str">
        <f>CONCATENATE("(${Variables:",E222,"_kcat","} * ",E222," * ",G222,")","/(${Variables:",E222,"_km","} + (",E222," * ",G222,"))")</f>
        <v>(${Variables:E3_6_1_55_kcat} * E3_6_1_55 * C19967 * C00001)/(${Variables:E3_6_1_55_km} + (E3_6_1_55 * C19967 * C00001))</v>
      </c>
      <c r="K222" s="59" t="str">
        <f>CONCATENATE("r",D222,": ",F222," -&gt; ",H222," | ",J222)</f>
        <v>r221: C19967 + C00001 -&gt; C19968 + C00013 | (${Variables:E3_6_1_55_kcat} * E3_6_1_55 * C19967 * C00001)/(${Variables:E3_6_1_55_km} + (E3_6_1_55 * C19967 * C00001))</v>
      </c>
    </row>
    <row r="223" spans="1:12" ht="32">
      <c r="A223" s="57" t="s">
        <v>396</v>
      </c>
      <c r="B223" s="57" t="s">
        <v>2762</v>
      </c>
      <c r="C223" s="57" t="s">
        <v>9175</v>
      </c>
      <c r="D223" s="58">
        <v>222</v>
      </c>
      <c r="E223" s="58" t="str">
        <f>CONCATENATE("E",C223)</f>
        <v>E3_6_1_7</v>
      </c>
      <c r="F223" s="58" t="s">
        <v>10100</v>
      </c>
      <c r="G223" s="58" t="s">
        <v>10363</v>
      </c>
      <c r="H223" s="58" t="s">
        <v>10626</v>
      </c>
      <c r="I223" s="58" t="s">
        <v>10910</v>
      </c>
      <c r="J223" s="58" t="str">
        <f>CONCATENATE("(${Variables:",E223,"_kcat","} * ",E223," * ",G223,")","/(${Variables:",E223,"_km","} + (",E223," * ",G223,"))")</f>
        <v>(${Variables:E3_6_1_7_kcat} * E3_6_1_7 * C02133 * C00001)/(${Variables:E3_6_1_7_km} + (E3_6_1_7 * C02133 * C00001))</v>
      </c>
      <c r="K223" s="59" t="str">
        <f>CONCATENATE("r",D223,": ",F223," -&gt; ",H223," | ",J223)</f>
        <v>r222: C02133 + C00001 -&gt; C00060 + C00009 | (${Variables:E3_6_1_7_kcat} * E3_6_1_7 * C02133 * C00001)/(${Variables:E3_6_1_7_km} + (E3_6_1_7 * C02133 * C00001))</v>
      </c>
    </row>
    <row r="224" spans="1:12" ht="32">
      <c r="A224" s="57" t="s">
        <v>963</v>
      </c>
      <c r="B224" s="57" t="s">
        <v>4038</v>
      </c>
      <c r="C224" s="57" t="s">
        <v>9178</v>
      </c>
      <c r="D224" s="58">
        <v>223</v>
      </c>
      <c r="E224" s="58" t="str">
        <f>CONCATENATE("E",C224)</f>
        <v>E3_8_1_2</v>
      </c>
      <c r="F224" s="58" t="s">
        <v>10101</v>
      </c>
      <c r="G224" s="58" t="s">
        <v>10364</v>
      </c>
      <c r="H224" s="58" t="s">
        <v>10627</v>
      </c>
      <c r="I224" s="58" t="s">
        <v>10911</v>
      </c>
      <c r="J224" s="58" t="str">
        <f>CONCATENATE("(${Variables:",E224,"_kcat","} * ",E224," * ",G224,")","/(${Variables:",E224,"_km","} + (",E224," * ",G224,"))")</f>
        <v>(${Variables:E3_8_1_2_kcat} * E3_8_1_2 * C02103 * C00001)/(${Variables:E3_8_1_2_km} + (E3_8_1_2 * C02103 * C00001))</v>
      </c>
      <c r="K224" s="59" t="str">
        <f>CONCATENATE("r",D224,": ",F224," -&gt; ",H224," | ",J224)</f>
        <v>r223: C02103 + C00001 -&gt; C02489 + C00462 | (${Variables:E3_8_1_2_kcat} * E3_8_1_2 * C02103 * C00001)/(${Variables:E3_8_1_2_km} + (E3_8_1_2 * C02103 * C00001))</v>
      </c>
    </row>
    <row r="225" spans="1:12" ht="32">
      <c r="A225" s="57" t="s">
        <v>403</v>
      </c>
      <c r="B225" s="57" t="s">
        <v>2778</v>
      </c>
      <c r="C225" s="57" t="s">
        <v>9179</v>
      </c>
      <c r="D225" s="58">
        <v>224</v>
      </c>
      <c r="E225" s="58" t="str">
        <f>CONCATENATE("E",C225)</f>
        <v>E4_1_1_20</v>
      </c>
      <c r="F225" s="58" t="s">
        <v>8552</v>
      </c>
      <c r="G225" s="58" t="s">
        <v>8552</v>
      </c>
      <c r="H225" s="58" t="s">
        <v>10628</v>
      </c>
      <c r="I225" s="58" t="s">
        <v>10912</v>
      </c>
      <c r="J225" s="58" t="str">
        <f>CONCATENATE("(${Variables:",E225,"_kcat","} * ",E225," * ",G225,")","/(${Variables:",E225,"_km","} + (",E225," * ",G225,"))")</f>
        <v>(${Variables:E4_1_1_20_kcat} * E4_1_1_20 * C00680 )/(${Variables:E4_1_1_20_km} + (E4_1_1_20 * C00680 ))</v>
      </c>
      <c r="K225" s="59" t="str">
        <f>CONCATENATE("r",D225,": ",F225," -&gt; ",H225," | ",J225)</f>
        <v>r224: C00680  -&gt; C00047 + C00011 | (${Variables:E4_1_1_20_kcat} * E4_1_1_20 * C00680 )/(${Variables:E4_1_1_20_km} + (E4_1_1_20 * C00680 ))</v>
      </c>
    </row>
    <row r="226" spans="1:12" ht="32">
      <c r="A226" s="57" t="s">
        <v>1324</v>
      </c>
      <c r="B226" s="57" t="s">
        <v>4784</v>
      </c>
      <c r="C226" s="57" t="s">
        <v>9180</v>
      </c>
      <c r="D226" s="58">
        <v>225</v>
      </c>
      <c r="E226" s="58" t="str">
        <f>CONCATENATE("E",C226)</f>
        <v>E4_1_1_23</v>
      </c>
      <c r="F226" s="58" t="s">
        <v>8555</v>
      </c>
      <c r="G226" s="58" t="s">
        <v>8555</v>
      </c>
      <c r="H226" s="58" t="s">
        <v>10629</v>
      </c>
      <c r="I226" s="58" t="s">
        <v>10913</v>
      </c>
      <c r="J226" s="58" t="str">
        <f>CONCATENATE("(${Variables:",E226,"_kcat","} * ",E226," * ",G226,")","/(${Variables:",E226,"_km","} + (",E226," * ",G226,"))")</f>
        <v>(${Variables:E4_1_1_23_kcat} * E4_1_1_23 * C01103)/(${Variables:E4_1_1_23_km} + (E4_1_1_23 * C01103))</v>
      </c>
      <c r="K226" s="59" t="str">
        <f>CONCATENATE("r",D226,": ",F226," -&gt; ",H226," | ",J226)</f>
        <v>r225: C01103 -&gt; C00105 + C00011 | (${Variables:E4_1_1_23_kcat} * E4_1_1_23 * C01103)/(${Variables:E4_1_1_23_km} + (E4_1_1_23 * C01103))</v>
      </c>
    </row>
    <row r="227" spans="1:12" ht="48">
      <c r="A227" s="57" t="s">
        <v>989</v>
      </c>
      <c r="B227" s="57" t="s">
        <v>4102</v>
      </c>
      <c r="C227" s="57" t="s">
        <v>9181</v>
      </c>
      <c r="D227" s="58">
        <v>226</v>
      </c>
      <c r="E227" s="58" t="str">
        <f>CONCATENATE("E",C227)</f>
        <v>E4_1_1_31</v>
      </c>
      <c r="F227" s="58" t="s">
        <v>10102</v>
      </c>
      <c r="G227" s="58" t="s">
        <v>10365</v>
      </c>
      <c r="H227" s="58" t="s">
        <v>10630</v>
      </c>
      <c r="I227" s="58" t="s">
        <v>10914</v>
      </c>
      <c r="J227" s="58" t="str">
        <f>CONCATENATE("(${Variables:",E227,"_kcat","} * ",E227," * ",G227,")","/(${Variables:",E227,"_km","} + (",E227," * ",G227,"))")</f>
        <v>(${Variables:E4_1_1_31_kcat} * E4_1_1_31 * C00009 * C00036)/(${Variables:E4_1_1_31_km} + (E4_1_1_31 * C00009 * C00036))</v>
      </c>
      <c r="K227" s="59" t="str">
        <f>CONCATENATE("r",D227,": ",F227," -&gt; ",H227," | ",J227)</f>
        <v>r226: C00009 + C00036 -&gt; C00074 + C00011 | (${Variables:E4_1_1_31_kcat} * E4_1_1_31 * C00009 * C00036)/(${Variables:E4_1_1_31_km} + (E4_1_1_31 * C00009 * C00036))</v>
      </c>
    </row>
    <row r="228" spans="1:12" ht="48">
      <c r="A228" s="57" t="s">
        <v>785</v>
      </c>
      <c r="B228" s="57" t="s">
        <v>3641</v>
      </c>
      <c r="C228" s="57" t="s">
        <v>9182</v>
      </c>
      <c r="D228" s="58">
        <v>227</v>
      </c>
      <c r="E228" s="58" t="str">
        <f>CONCATENATE("E",C228)</f>
        <v>E4_1_1_33</v>
      </c>
      <c r="F228" s="58" t="s">
        <v>10103</v>
      </c>
      <c r="G228" s="58" t="s">
        <v>10366</v>
      </c>
      <c r="H228" s="58" t="s">
        <v>10631</v>
      </c>
      <c r="I228" s="58" t="s">
        <v>10915</v>
      </c>
      <c r="J228" s="58" t="str">
        <f>CONCATENATE("(${Variables:",E228,"_kcat","} * ",E228," * ",G228,")","/(${Variables:",E228,"_km","} + (",E228," * ",G228,"))")</f>
        <v>(${Variables:E4_1_1_33_kcat} * E4_1_1_33 * C00002 * C01143)/(${Variables:E4_1_1_33_km} + (E4_1_1_33 * C00002 * C01143))</v>
      </c>
      <c r="K228" s="59" t="str">
        <f>CONCATENATE("r",D228,": ",F228," -&gt; ",H228," | ",J228)</f>
        <v>r227: C00002 + C01143 -&gt; C00008 + C00009 + C00129 + C00011 | (${Variables:E4_1_1_33_kcat} * E4_1_1_33 * C00002 * C01143)/(${Variables:E4_1_1_33_km} + (E4_1_1_33 * C00002 * C01143))</v>
      </c>
    </row>
    <row r="229" spans="1:12" ht="32">
      <c r="A229" s="57" t="s">
        <v>1076</v>
      </c>
      <c r="B229" s="57" t="s">
        <v>4305</v>
      </c>
      <c r="C229" s="57" t="s">
        <v>9183</v>
      </c>
      <c r="D229" s="58">
        <v>228</v>
      </c>
      <c r="E229" s="58" t="str">
        <f>CONCATENATE("E",C229)</f>
        <v>E4_1_1_36</v>
      </c>
      <c r="F229" s="58" t="s">
        <v>8562</v>
      </c>
      <c r="G229" s="58" t="s">
        <v>8562</v>
      </c>
      <c r="H229" s="58" t="s">
        <v>10632</v>
      </c>
      <c r="I229" s="58" t="s">
        <v>10916</v>
      </c>
      <c r="J229" s="58" t="str">
        <f>CONCATENATE("(${Variables:",E229,"_kcat","} * ",E229," * ",G229,")","/(${Variables:",E229,"_km","} + (",E229," * ",G229,"))")</f>
        <v>(${Variables:E4_1_1_36_kcat} * E4_1_1_36 * C04352)/(${Variables:E4_1_1_36_km} + (E4_1_1_36 * C04352))</v>
      </c>
      <c r="K229" s="59" t="str">
        <f>CONCATENATE("r",D229,": ",F229," -&gt; ",H229," | ",J229)</f>
        <v>r228: C04352 -&gt; C01134 + C00011 | (${Variables:E4_1_1_36_kcat} * E4_1_1_36 * C04352)/(${Variables:E4_1_1_36_km} + (E4_1_1_36 * C04352))</v>
      </c>
    </row>
    <row r="230" spans="1:12" ht="32">
      <c r="A230" s="57" t="s">
        <v>1076</v>
      </c>
      <c r="B230" s="57" t="s">
        <v>6381</v>
      </c>
      <c r="C230" s="57" t="s">
        <v>9184</v>
      </c>
      <c r="D230" s="58">
        <v>229</v>
      </c>
      <c r="E230" s="58" t="str">
        <f>CONCATENATE("E",C230)</f>
        <v>E4_1_1_48</v>
      </c>
      <c r="F230" s="58" t="s">
        <v>8565</v>
      </c>
      <c r="G230" s="58" t="s">
        <v>8565</v>
      </c>
      <c r="H230" s="58" t="s">
        <v>10633</v>
      </c>
      <c r="I230" s="58" t="s">
        <v>10917</v>
      </c>
      <c r="J230" s="58" t="str">
        <f>CONCATENATE("(${Variables:",E230,"_kcat","} * ",E230," * ",G230,")","/(${Variables:",E230,"_km","} + (",E230," * ",G230,"))")</f>
        <v>(${Variables:E4_1_1_48_kcat} * E4_1_1_48 * C01302 )/(${Variables:E4_1_1_48_km} + (E4_1_1_48 * C01302 ))</v>
      </c>
      <c r="K230" s="59" t="str">
        <f>CONCATENATE("r",D230,": ",F230," -&gt; ",H230," | ",J230)</f>
        <v>r229: C01302  -&gt; C03506 + C00011 + C00001 | (${Variables:E4_1_1_48_kcat} * E4_1_1_48 * C01302 )/(${Variables:E4_1_1_48_km} + (E4_1_1_48 * C01302 ))</v>
      </c>
    </row>
    <row r="231" spans="1:12" ht="32">
      <c r="A231" s="57" t="s">
        <v>1258</v>
      </c>
      <c r="B231" s="57" t="s">
        <v>4661</v>
      </c>
      <c r="C231" s="57" t="s">
        <v>9185</v>
      </c>
      <c r="D231" s="58">
        <v>230</v>
      </c>
      <c r="E231" s="58" t="str">
        <f>CONCATENATE("E",C231)</f>
        <v>E4_1_1_5</v>
      </c>
      <c r="F231" s="58" t="s">
        <v>8568</v>
      </c>
      <c r="G231" s="58" t="s">
        <v>8568</v>
      </c>
      <c r="H231" s="58" t="s">
        <v>10634</v>
      </c>
      <c r="I231" s="58" t="s">
        <v>10918</v>
      </c>
      <c r="J231" s="58" t="str">
        <f>CONCATENATE("(${Variables:",E231,"_kcat","} * ",E231," * ",G231,")","/(${Variables:",E231,"_km","} + (",E231," * ",G231,"))")</f>
        <v>(${Variables:E4_1_1_5_kcat} * E4_1_1_5 * C06010)/(${Variables:E4_1_1_5_km} + (E4_1_1_5 * C06010))</v>
      </c>
      <c r="K231" s="59" t="str">
        <f>CONCATENATE("r",D231,": ",F231," -&gt; ",H231," | ",J231)</f>
        <v>r230: C06010 -&gt; C00810 + C00011 | (${Variables:E4_1_1_5_kcat} * E4_1_1_5 * C06010)/(${Variables:E4_1_1_5_km} + (E4_1_1_5 * C06010))</v>
      </c>
    </row>
    <row r="232" spans="1:12" ht="32">
      <c r="A232" s="57" t="s">
        <v>1258</v>
      </c>
      <c r="B232" s="57" t="s">
        <v>7275</v>
      </c>
      <c r="C232" s="57" t="s">
        <v>9186</v>
      </c>
      <c r="D232" s="58">
        <v>231</v>
      </c>
      <c r="E232" s="58" t="str">
        <f>CONCATENATE("E",C232)</f>
        <v>E4_1_2_13</v>
      </c>
      <c r="F232" s="58" t="s">
        <v>8571</v>
      </c>
      <c r="G232" s="58" t="s">
        <v>8571</v>
      </c>
      <c r="H232" s="58" t="s">
        <v>10635</v>
      </c>
      <c r="I232" s="58" t="s">
        <v>10919</v>
      </c>
      <c r="J232" s="58" t="str">
        <f>CONCATENATE("(${Variables:",E232,"_kcat","} * ",E232," * ",G232,")","/(${Variables:",E232,"_km","} + (",E232," * ",G232,"))")</f>
        <v>(${Variables:E4_1_2_13_kcat} * E4_1_2_13 * C00354 )/(${Variables:E4_1_2_13_km} + (E4_1_2_13 * C00354 ))</v>
      </c>
      <c r="K232" s="59" t="str">
        <f>CONCATENATE("r",D232,": ",F232," -&gt; ",H232," | ",J232)</f>
        <v>r231: C00354  -&gt; C00111 + C00118 | (${Variables:E4_1_2_13_kcat} * E4_1_2_13 * C00354 )/(${Variables:E4_1_2_13_km} + (E4_1_2_13 * C00354 ))</v>
      </c>
    </row>
    <row r="233" spans="1:12" ht="32">
      <c r="A233" s="57" t="s">
        <v>2001</v>
      </c>
      <c r="B233" s="57" t="s">
        <v>6226</v>
      </c>
      <c r="C233" s="57" t="s">
        <v>9187</v>
      </c>
      <c r="D233" s="58">
        <v>232</v>
      </c>
      <c r="E233" s="58" t="str">
        <f>CONCATENATE("E",C233)</f>
        <v>E4_1_2_25</v>
      </c>
      <c r="F233" s="58" t="s">
        <v>8574</v>
      </c>
      <c r="G233" s="58" t="s">
        <v>8574</v>
      </c>
      <c r="H233" s="58" t="s">
        <v>10636</v>
      </c>
      <c r="I233" s="58" t="s">
        <v>10920</v>
      </c>
      <c r="J233" s="58" t="str">
        <f>CONCATENATE("(${Variables:",E233,"_kcat","} * ",E233," * ",G233,")","/(${Variables:",E233,"_km","} + (",E233," * ",G233,"))")</f>
        <v>(${Variables:E4_1_2_25_kcat} * E4_1_2_25 * C04874)/(${Variables:E4_1_2_25_km} + (E4_1_2_25 * C04874))</v>
      </c>
      <c r="K233" s="59" t="str">
        <f>CONCATENATE("r",D233,": ",F233," -&gt; ",H233," | ",J233)</f>
        <v>r232: C04874 -&gt; C00266 + C01300 | (${Variables:E4_1_2_25_kcat} * E4_1_2_25 * C04874)/(${Variables:E4_1_2_25_km} + (E4_1_2_25 * C04874))</v>
      </c>
    </row>
    <row r="234" spans="1:12" ht="48">
      <c r="A234" s="57" t="s">
        <v>2001</v>
      </c>
      <c r="B234" s="57" t="s">
        <v>6391</v>
      </c>
      <c r="C234" s="57" t="s">
        <v>9038</v>
      </c>
      <c r="D234" s="58">
        <v>233</v>
      </c>
      <c r="E234" s="58" t="str">
        <f>CONCATENATE("E",C234)</f>
        <v>E4_1_3_27</v>
      </c>
      <c r="F234" s="58" t="s">
        <v>10104</v>
      </c>
      <c r="G234" s="58" t="s">
        <v>10367</v>
      </c>
      <c r="H234" s="58" t="s">
        <v>10529</v>
      </c>
      <c r="I234" s="58" t="s">
        <v>10813</v>
      </c>
      <c r="J234" s="58" t="str">
        <f>CONCATENATE("(${Variables:",E234,"_kcat","} * ",E234," * ",G234,")","/(${Variables:",E234,"_km","} + (",E234," * ",G234,"))")</f>
        <v>(${Variables:E4_1_3_27_kcat} * E4_1_3_27 * C00251 * C000064)/(${Variables:E4_1_3_27_km} + (E4_1_3_27 * C00251 * C000064))</v>
      </c>
      <c r="K234" s="59" t="str">
        <f>CONCATENATE("r",D234,": ",F234," -&gt; ",H234," | ",J234)</f>
        <v>r233: C00251 + C000064 -&gt; C00108 + C00022 + C00025 | (${Variables:E4_1_3_27_kcat} * E4_1_3_27 * C00251 * C000064)/(${Variables:E4_1_3_27_km} + (E4_1_3_27 * C00251 * C000064))</v>
      </c>
    </row>
    <row r="235" spans="1:12" ht="32">
      <c r="A235" s="57" t="s">
        <v>1694</v>
      </c>
      <c r="B235" s="57" t="s">
        <v>5619</v>
      </c>
      <c r="C235" s="57" t="s">
        <v>9188</v>
      </c>
      <c r="D235" s="58">
        <v>234</v>
      </c>
      <c r="E235" s="58" t="str">
        <f>CONCATENATE("E",C235)</f>
        <v>E4_1_99_3</v>
      </c>
      <c r="F235" s="58" t="s">
        <v>8577</v>
      </c>
      <c r="G235" s="58" t="s">
        <v>8577</v>
      </c>
      <c r="H235" s="58" t="s">
        <v>11652</v>
      </c>
      <c r="I235" s="58" t="s">
        <v>11652</v>
      </c>
      <c r="J235" s="58" t="str">
        <f>CONCATENATE("(${Variables:",E235,"_kcat","} * ",E235," * ",G235,")","/(${Variables:",E235,"_km","} + (",E235," * ",G235,"))")</f>
        <v>(${Variables:E4_1_99_3_kcat} * E4_1_99_3 * C03103 )/(${Variables:E4_1_99_3_km} + (E4_1_99_3 * C03103 ))</v>
      </c>
      <c r="K235" s="59" t="str">
        <f>CONCATENATE("r",D235,": ",F235," -&gt; ",H235," | ",J235)</f>
        <v>r234: C03103  -&gt; C08249 | (${Variables:E4_1_99_3_kcat} * E4_1_99_3 * C03103 )/(${Variables:E4_1_99_3_km} + (E4_1_99_3 * C03103 ))</v>
      </c>
      <c r="L235" s="61"/>
    </row>
    <row r="236" spans="1:12" ht="32">
      <c r="A236" s="57" t="s">
        <v>748</v>
      </c>
      <c r="B236" s="57" t="s">
        <v>6596</v>
      </c>
      <c r="C236" s="57" t="s">
        <v>9189</v>
      </c>
      <c r="D236" s="58">
        <v>235</v>
      </c>
      <c r="E236" s="58" t="str">
        <f>CONCATENATE("E",C236)</f>
        <v>E4_2_1_1</v>
      </c>
      <c r="F236" s="58" t="s">
        <v>8580</v>
      </c>
      <c r="G236" s="58" t="s">
        <v>8580</v>
      </c>
      <c r="H236" s="58" t="s">
        <v>10637</v>
      </c>
      <c r="I236" s="58" t="s">
        <v>10921</v>
      </c>
      <c r="J236" s="58" t="str">
        <f>CONCATENATE("(${Variables:",E236,"_kcat","} * ",E236," * ",G236,")","/(${Variables:",E236,"_km","} + (",E236," * ",G236,"))")</f>
        <v>(${Variables:E4_2_1_1_kcat} * E4_2_1_1 * C01353 )/(${Variables:E4_2_1_1_km} + (E4_2_1_1 * C01353 ))</v>
      </c>
      <c r="K236" s="59" t="str">
        <f>CONCATENATE("r",D236,": ",F236," -&gt; ",H236," | ",J236)</f>
        <v>r235: C01353  -&gt; C00011 + C00001 | (${Variables:E4_2_1_1_kcat} * E4_2_1_1 * C01353 )/(${Variables:E4_2_1_1_km} + (E4_2_1_1 * C01353 ))</v>
      </c>
    </row>
    <row r="237" spans="1:12" ht="32">
      <c r="A237" s="57" t="s">
        <v>896</v>
      </c>
      <c r="B237" s="57" t="s">
        <v>3889</v>
      </c>
      <c r="C237" s="57" t="s">
        <v>9190</v>
      </c>
      <c r="D237" s="58">
        <v>236</v>
      </c>
      <c r="E237" s="58" t="str">
        <f>CONCATENATE("E",C237)</f>
        <v>E4_2_1_10</v>
      </c>
      <c r="F237" s="58" t="s">
        <v>8583</v>
      </c>
      <c r="G237" s="58" t="s">
        <v>8583</v>
      </c>
      <c r="H237" s="58" t="s">
        <v>10638</v>
      </c>
      <c r="I237" s="58" t="s">
        <v>10922</v>
      </c>
      <c r="J237" s="58" t="str">
        <f>CONCATENATE("(${Variables:",E237,"_kcat","} * ",E237," * ",G237,")","/(${Variables:",E237,"_km","} + (",E237," * ",G237,"))")</f>
        <v>(${Variables:E4_2_1_10_kcat} * E4_2_1_10 * C00944 )/(${Variables:E4_2_1_10_km} + (E4_2_1_10 * C00944 ))</v>
      </c>
      <c r="K237" s="59" t="str">
        <f>CONCATENATE("r",D237,": ",F237," -&gt; ",H237," | ",J237)</f>
        <v>r236: C00944  -&gt; C02637 + C00001 | (${Variables:E4_2_1_10_kcat} * E4_2_1_10 * C00944 )/(${Variables:E4_2_1_10_km} + (E4_2_1_10 * C00944 ))</v>
      </c>
      <c r="L237" s="61"/>
    </row>
    <row r="238" spans="1:12" ht="32">
      <c r="A238" s="57" t="s">
        <v>892</v>
      </c>
      <c r="B238" s="57" t="s">
        <v>3878</v>
      </c>
      <c r="C238" s="57" t="s">
        <v>9191</v>
      </c>
      <c r="D238" s="58">
        <v>237</v>
      </c>
      <c r="E238" s="58" t="str">
        <f>CONCATENATE("E",C238)</f>
        <v>E4_2_1_11</v>
      </c>
      <c r="F238" s="58" t="s">
        <v>8586</v>
      </c>
      <c r="G238" s="58" t="s">
        <v>8586</v>
      </c>
      <c r="H238" s="58" t="s">
        <v>10639</v>
      </c>
      <c r="I238" s="58" t="s">
        <v>10923</v>
      </c>
      <c r="J238" s="58" t="str">
        <f>CONCATENATE("(${Variables:",E238,"_kcat","} * ",E238," * ",G238,")","/(${Variables:",E238,"_km","} + (",E238," * ",G238,"))")</f>
        <v>(${Variables:E4_2_1_11_kcat} * E4_2_1_11 * C00631 )/(${Variables:E4_2_1_11_km} + (E4_2_1_11 * C00631 ))</v>
      </c>
      <c r="K238" s="59" t="str">
        <f>CONCATENATE("r",D238,": ",F238," -&gt; ",H238," | ",J238)</f>
        <v>r237: C00631  -&gt; C00074 + C00001 | (${Variables:E4_2_1_11_kcat} * E4_2_1_11 * C00631 )/(${Variables:E4_2_1_11_km} + (E4_2_1_11 * C00631 ))</v>
      </c>
    </row>
    <row r="239" spans="1:12" ht="48">
      <c r="A239" s="57" t="s">
        <v>864</v>
      </c>
      <c r="B239" s="57" t="s">
        <v>3814</v>
      </c>
      <c r="C239" s="57" t="s">
        <v>9192</v>
      </c>
      <c r="D239" s="58">
        <v>238</v>
      </c>
      <c r="E239" s="58" t="str">
        <f>CONCATENATE("E",C239)</f>
        <v>E4_2_1_136</v>
      </c>
      <c r="F239" s="58" t="s">
        <v>10105</v>
      </c>
      <c r="G239" s="58" t="s">
        <v>10368</v>
      </c>
      <c r="H239" s="58" t="s">
        <v>10640</v>
      </c>
      <c r="I239" s="58" t="s">
        <v>10924</v>
      </c>
      <c r="J239" s="58" t="str">
        <f>CONCATENATE("(${Variables:",E239,"_kcat","} * ",E239," * ",G239,")","/(${Variables:",E239,"_km","} + (",E239," * ",G239,"))")</f>
        <v>(${Variables:E4_2_1_136_kcat} * E4_2_1_136 * C00008 * C04856 )/(${Variables:E4_2_1_136_km} + (E4_2_1_136 * C00008 * C04856 ))</v>
      </c>
      <c r="K239" s="59" t="str">
        <f>CONCATENATE("r",D239,": ",F239," -&gt; ",H239," | ",J239)</f>
        <v>r238: C00008 + C04856  -&gt; C00020 + C00009 + C00004 | (${Variables:E4_2_1_136_kcat} * E4_2_1_136 * C00008 * C04856 )/(${Variables:E4_2_1_136_km} + (E4_2_1_136 * C00008 * C04856 ))</v>
      </c>
    </row>
    <row r="240" spans="1:12" ht="32">
      <c r="A240" s="57" t="s">
        <v>1651</v>
      </c>
      <c r="B240" s="57" t="s">
        <v>5519</v>
      </c>
      <c r="C240" s="57" t="s">
        <v>9195</v>
      </c>
      <c r="D240" s="58">
        <v>239</v>
      </c>
      <c r="E240" s="58" t="str">
        <f>CONCATENATE("E",C240)</f>
        <v>E4_2_1_3</v>
      </c>
      <c r="F240" s="58" t="s">
        <v>8593</v>
      </c>
      <c r="G240" s="58" t="s">
        <v>8593</v>
      </c>
      <c r="H240" s="58" t="s">
        <v>8594</v>
      </c>
      <c r="I240" s="58" t="s">
        <v>8594</v>
      </c>
      <c r="J240" s="58" t="str">
        <f>CONCATENATE("(${Variables:",E240,"_kcat","} * ",E240," * ",G240,")","/(${Variables:",E240,"_km","} + (",E240," * ",G240,"))")</f>
        <v>(${Variables:E4_2_1_3_kcat} * E4_2_1_3 * C00158 )/(${Variables:E4_2_1_3_km} + (E4_2_1_3 * C00158 ))</v>
      </c>
      <c r="K240" s="59" t="str">
        <f>CONCATENATE("r",D240,": ",F240," -&gt; ",H240," | ",J240)</f>
        <v>r239: C00158  -&gt; C00311 | (${Variables:E4_2_1_3_kcat} * E4_2_1_3 * C00158 )/(${Variables:E4_2_1_3_km} + (E4_2_1_3 * C00158 ))</v>
      </c>
    </row>
    <row r="241" spans="1:12" ht="32">
      <c r="A241" s="57" t="s">
        <v>1567</v>
      </c>
      <c r="B241" s="57" t="s">
        <v>5320</v>
      </c>
      <c r="C241" s="57" t="s">
        <v>9196</v>
      </c>
      <c r="D241" s="58">
        <v>240</v>
      </c>
      <c r="E241" s="58" t="str">
        <f>CONCATENATE("E",C241)</f>
        <v>E4_2_1_33</v>
      </c>
      <c r="F241" s="58" t="s">
        <v>8597</v>
      </c>
      <c r="G241" s="58" t="s">
        <v>8597</v>
      </c>
      <c r="H241" s="58" t="s">
        <v>10641</v>
      </c>
      <c r="I241" s="58" t="s">
        <v>10925</v>
      </c>
      <c r="J241" s="58" t="str">
        <f>CONCATENATE("(${Variables:",E241,"_kcat","} * ",E241," * ",G241,")","/(${Variables:",E241,"_km","} + (",E241," * ",G241,"))")</f>
        <v>(${Variables:E4_2_1_33_kcat} * E4_2_1_33 * C02504 )/(${Variables:E4_2_1_33_km} + (E4_2_1_33 * C02504 ))</v>
      </c>
      <c r="K241" s="59" t="str">
        <f>CONCATENATE("r",D241,": ",F241," -&gt; ",H241," | ",J241)</f>
        <v>r240: C02504  -&gt; C02631 + C00001 | (${Variables:E4_2_1_33_kcat} * E4_2_1_33 * C02504 )/(${Variables:E4_2_1_33_km} + (E4_2_1_33 * C02504 ))</v>
      </c>
    </row>
    <row r="242" spans="1:12" ht="32">
      <c r="A242" s="57" t="s">
        <v>1569</v>
      </c>
      <c r="B242" s="57" t="s">
        <v>5323</v>
      </c>
      <c r="C242" s="57" t="s">
        <v>9197</v>
      </c>
      <c r="D242" s="58">
        <v>241</v>
      </c>
      <c r="E242" s="58" t="str">
        <f>CONCATENATE("E",C242)</f>
        <v>E4_2_1_34</v>
      </c>
      <c r="F242" s="58" t="s">
        <v>8600</v>
      </c>
      <c r="G242" s="58" t="s">
        <v>8600</v>
      </c>
      <c r="H242" s="58" t="s">
        <v>10642</v>
      </c>
      <c r="I242" s="58" t="s">
        <v>10926</v>
      </c>
      <c r="J242" s="58" t="str">
        <f>CONCATENATE("(${Variables:",E242,"_kcat","} * ",E242," * ",G242,")","/(${Variables:",E242,"_km","} + (",E242," * ",G242,"))")</f>
        <v>(${Variables:E4_2_1_34_kcat} * E4_2_1_34 * C02614 )/(${Variables:E4_2_1_34_km} + (E4_2_1_34 * C02614 ))</v>
      </c>
      <c r="K242" s="59" t="str">
        <f>CONCATENATE("r",D242,": ",F242," -&gt; ",H242," | ",J242)</f>
        <v>r241: C02614  -&gt; C01732 + C00001 | (${Variables:E4_2_1_34_kcat} * E4_2_1_34 * C02614 )/(${Variables:E4_2_1_34_km} + (E4_2_1_34 * C02614 ))</v>
      </c>
    </row>
    <row r="243" spans="1:12" ht="32">
      <c r="A243" s="57" t="s">
        <v>1620</v>
      </c>
      <c r="B243" s="57" t="s">
        <v>5439</v>
      </c>
      <c r="C243" s="57" t="s">
        <v>9198</v>
      </c>
      <c r="D243" s="58">
        <v>242</v>
      </c>
      <c r="E243" s="58" t="str">
        <f>CONCATENATE("E",C243)</f>
        <v>E4_2_1_46</v>
      </c>
      <c r="F243" s="58" t="s">
        <v>8603</v>
      </c>
      <c r="G243" s="58" t="s">
        <v>8603</v>
      </c>
      <c r="H243" s="58" t="s">
        <v>10643</v>
      </c>
      <c r="I243" s="58" t="s">
        <v>10927</v>
      </c>
      <c r="J243" s="58" t="str">
        <f>CONCATENATE("(${Variables:",E243,"_kcat","} * ",E243," * ",G243,")","/(${Variables:",E243,"_km","} + (",E243," * ",G243,"))")</f>
        <v>(${Variables:E4_2_1_46_kcat} * E4_2_1_46 * C00842 )/(${Variables:E4_2_1_46_km} + (E4_2_1_46 * C00842 ))</v>
      </c>
      <c r="K243" s="59" t="str">
        <f>CONCATENATE("r",D243,": ",F243," -&gt; ",H243," | ",J243)</f>
        <v>r242: C00842  -&gt; C11907 + C00001 | (${Variables:E4_2_1_46_kcat} * E4_2_1_46 * C00842 )/(${Variables:E4_2_1_46_km} + (E4_2_1_46 * C00842 ))</v>
      </c>
    </row>
    <row r="244" spans="1:12" ht="32">
      <c r="A244" s="57" t="s">
        <v>1706</v>
      </c>
      <c r="B244" s="57" t="s">
        <v>5648</v>
      </c>
      <c r="C244" s="57" t="s">
        <v>9199</v>
      </c>
      <c r="D244" s="58">
        <v>243</v>
      </c>
      <c r="E244" s="58" t="str">
        <f>CONCATENATE("E",C244)</f>
        <v>E4_2_1_49</v>
      </c>
      <c r="F244" s="58" t="s">
        <v>8606</v>
      </c>
      <c r="G244" s="58" t="s">
        <v>8606</v>
      </c>
      <c r="H244" s="58" t="s">
        <v>10644</v>
      </c>
      <c r="I244" s="58" t="s">
        <v>10928</v>
      </c>
      <c r="J244" s="58" t="str">
        <f>CONCATENATE("(${Variables:",E244,"_kcat","} * ",E244," * ",G244,")","/(${Variables:",E244,"_km","} + (",E244," * ",G244,"))")</f>
        <v>(${Variables:E4_2_1_49_kcat} * E4_2_1_49 * C03680 )/(${Variables:E4_2_1_49_km} + (E4_2_1_49 * C03680 ))</v>
      </c>
      <c r="K244" s="59" t="str">
        <f>CONCATENATE("r",D244,": ",F244," -&gt; ",H244," | ",J244)</f>
        <v>r243: C03680  -&gt; C00785 + C00001 | (${Variables:E4_2_1_49_kcat} * E4_2_1_49 * C03680 )/(${Variables:E4_2_1_49_km} + (E4_2_1_49 * C03680 ))</v>
      </c>
    </row>
    <row r="245" spans="1:12" ht="32">
      <c r="A245" s="57" t="s">
        <v>908</v>
      </c>
      <c r="B245" s="57" t="s">
        <v>3917</v>
      </c>
      <c r="C245" s="57" t="s">
        <v>9200</v>
      </c>
      <c r="D245" s="58">
        <v>244</v>
      </c>
      <c r="E245" s="58" t="str">
        <f>CONCATENATE("E",C245)</f>
        <v>E4_2_1_51</v>
      </c>
      <c r="F245" s="58" t="s">
        <v>8609</v>
      </c>
      <c r="G245" s="58" t="s">
        <v>8609</v>
      </c>
      <c r="H245" s="58" t="s">
        <v>10645</v>
      </c>
      <c r="I245" s="58" t="s">
        <v>10929</v>
      </c>
      <c r="J245" s="58" t="str">
        <f>CONCATENATE("(${Variables:",E245,"_kcat","} * ",E245," * ",G245,")","/(${Variables:",E245,"_km","} + (",E245," * ",G245,"))")</f>
        <v>(${Variables:E4_2_1_51_kcat} * E4_2_1_51 * C00254)/(${Variables:E4_2_1_51_km} + (E4_2_1_51 * C00254))</v>
      </c>
      <c r="K245" s="59" t="str">
        <f>CONCATENATE("r",D245,": ",F245," -&gt; ",H245," | ",J245)</f>
        <v>r244: C00254 -&gt; C00166 + C00001 + C00011 | (${Variables:E4_2_1_51_kcat} * E4_2_1_51 * C00254)/(${Variables:E4_2_1_51_km} + (E4_2_1_51 * C00254))</v>
      </c>
    </row>
    <row r="246" spans="1:12" ht="32">
      <c r="A246" s="57" t="s">
        <v>591</v>
      </c>
      <c r="B246" s="57" t="s">
        <v>3194</v>
      </c>
      <c r="C246" s="57" t="s">
        <v>9201</v>
      </c>
      <c r="D246" s="58">
        <v>245</v>
      </c>
      <c r="E246" s="58" t="str">
        <f>CONCATENATE("E",C246)</f>
        <v>E4_2_1_59</v>
      </c>
      <c r="F246" s="58" t="s">
        <v>8612</v>
      </c>
      <c r="G246" s="58" t="s">
        <v>8612</v>
      </c>
      <c r="H246" s="58" t="s">
        <v>10646</v>
      </c>
      <c r="I246" s="58" t="s">
        <v>10930</v>
      </c>
      <c r="J246" s="58" t="str">
        <f>CONCATENATE("(${Variables:",E246,"_kcat","} * ",E246," * ",G246,")","/(${Variables:",E246,"_km","} + (",E246," * ",G246,"))")</f>
        <v>(${Variables:E4_2_1_59_kcat} * E4_2_1_59 * C01271)/(${Variables:E4_2_1_59_km} + (E4_2_1_59 * C01271))</v>
      </c>
      <c r="K246" s="59" t="str">
        <f>CONCATENATE("r",D246,": ",F246," -&gt; ",H246," | ",J246)</f>
        <v>r245: C01271 -&gt; C00693 + C00001 | (${Variables:E4_2_1_59_kcat} * E4_2_1_59 * C01271)/(${Variables:E4_2_1_59_km} + (E4_2_1_59 * C01271))</v>
      </c>
    </row>
    <row r="247" spans="1:12" ht="48">
      <c r="A247" s="57" t="s">
        <v>416</v>
      </c>
      <c r="B247" s="57" t="s">
        <v>2810</v>
      </c>
      <c r="C247" s="57" t="s">
        <v>9202</v>
      </c>
      <c r="D247" s="58">
        <v>246</v>
      </c>
      <c r="E247" s="58" t="str">
        <f>CONCATENATE("E",C247)</f>
        <v>E4_2_1_70</v>
      </c>
      <c r="F247" s="58" t="s">
        <v>10106</v>
      </c>
      <c r="G247" s="58" t="s">
        <v>10369</v>
      </c>
      <c r="H247" s="58" t="s">
        <v>10647</v>
      </c>
      <c r="I247" s="58" t="s">
        <v>10931</v>
      </c>
      <c r="J247" s="58" t="str">
        <f>CONCATENATE("(${Variables:",E247,"_kcat","} * ",E247," * ",G247,")","/(${Variables:",E247,"_km","} + (",E247," * ",G247,"))")</f>
        <v>(${Variables:E4_2_1_70_kcat} * E4_2_1_70 * C00106 * C00117)/(${Variables:E4_2_1_70_km} + (E4_2_1_70 * C00106 * C00117))</v>
      </c>
      <c r="K247" s="59" t="str">
        <f>CONCATENATE("r",D247,": ",F247," -&gt; ",H247," | ",J247)</f>
        <v>r246: C00106 + C00117 -&gt; C01168 + C00001 | (${Variables:E4_2_1_70_kcat} * E4_2_1_70 * C00106 * C00117)/(${Variables:E4_2_1_70_km} + (E4_2_1_70 * C00106 * C00117))</v>
      </c>
    </row>
    <row r="248" spans="1:12" ht="32">
      <c r="A248" s="57" t="s">
        <v>416</v>
      </c>
      <c r="B248" s="57" t="s">
        <v>6428</v>
      </c>
      <c r="C248" s="57" t="s">
        <v>9203</v>
      </c>
      <c r="D248" s="58">
        <v>247</v>
      </c>
      <c r="E248" s="58" t="str">
        <f>CONCATENATE("E",C248)</f>
        <v>E4_2_1_9</v>
      </c>
      <c r="F248" s="58" t="s">
        <v>8617</v>
      </c>
      <c r="G248" s="58" t="s">
        <v>8617</v>
      </c>
      <c r="H248" s="58" t="s">
        <v>10648</v>
      </c>
      <c r="I248" s="58" t="s">
        <v>10932</v>
      </c>
      <c r="J248" s="58" t="str">
        <f>CONCATENATE("(${Variables:",E248,"_kcat","} * ",E248," * ",G248,")","/(${Variables:",E248,"_km","} + (",E248," * ",G248,"))")</f>
        <v>(${Variables:E4_2_1_9_kcat} * E4_2_1_9 * C04039 )/(${Variables:E4_2_1_9_km} + (E4_2_1_9 * C04039 ))</v>
      </c>
      <c r="K248" s="59" t="str">
        <f>CONCATENATE("r",D248,": ",F248," -&gt; ",H248," | ",J248)</f>
        <v>r247: C04039  -&gt; C00141 + C00001 | (${Variables:E4_2_1_9_kcat} * E4_2_1_9 * C04039 )/(${Variables:E4_2_1_9_km} + (E4_2_1_9 * C04039 ))</v>
      </c>
    </row>
    <row r="249" spans="1:12" ht="32">
      <c r="A249" s="57" t="s">
        <v>416</v>
      </c>
      <c r="B249" s="57" t="s">
        <v>7236</v>
      </c>
      <c r="C249" s="57" t="s">
        <v>9204</v>
      </c>
      <c r="D249" s="58">
        <v>248</v>
      </c>
      <c r="E249" s="58" t="str">
        <f>CONCATENATE("E",C249)</f>
        <v>E4_2_3_1</v>
      </c>
      <c r="F249" s="58" t="s">
        <v>10107</v>
      </c>
      <c r="G249" s="58" t="s">
        <v>10370</v>
      </c>
      <c r="H249" s="58" t="s">
        <v>10649</v>
      </c>
      <c r="I249" s="58" t="s">
        <v>10933</v>
      </c>
      <c r="J249" s="58" t="str">
        <f>CONCATENATE("(${Variables:",E249,"_kcat","} * ",E249," * ",G249,")","/(${Variables:",E249,"_km","} + (",E249," * ",G249,"))")</f>
        <v>(${Variables:E4_2_3_1_kcat} * E4_2_3_1 * C01102 * C00001)/(${Variables:E4_2_3_1_km} + (E4_2_3_1 * C01102 * C00001))</v>
      </c>
      <c r="K249" s="59" t="str">
        <f>CONCATENATE("r",D249,": ",F249," -&gt; ",H249," | ",J249)</f>
        <v>r248: C01102 + C00001 -&gt; C00188 + C00009 | (${Variables:E4_2_3_1_kcat} * E4_2_3_1 * C01102 * C00001)/(${Variables:E4_2_3_1_km} + (E4_2_3_1 * C01102 * C00001))</v>
      </c>
    </row>
    <row r="250" spans="1:12" ht="32">
      <c r="A250" s="57" t="s">
        <v>899</v>
      </c>
      <c r="B250" s="57" t="s">
        <v>3895</v>
      </c>
      <c r="C250" s="57" t="s">
        <v>9205</v>
      </c>
      <c r="D250" s="58">
        <v>249</v>
      </c>
      <c r="E250" s="58" t="str">
        <f>CONCATENATE("E",C250)</f>
        <v>E4_2_3_4</v>
      </c>
      <c r="F250" s="58" t="s">
        <v>8622</v>
      </c>
      <c r="G250" s="58" t="s">
        <v>8622</v>
      </c>
      <c r="H250" s="58" t="s">
        <v>10650</v>
      </c>
      <c r="I250" s="58" t="s">
        <v>10934</v>
      </c>
      <c r="J250" s="58" t="str">
        <f>CONCATENATE("(${Variables:",E250,"_kcat","} * ",E250," * ",G250,")","/(${Variables:",E250,"_km","} + (",E250," * ",G250,"))")</f>
        <v>(${Variables:E4_2_3_4_kcat} * E4_2_3_4 * C04691)/(${Variables:E4_2_3_4_km} + (E4_2_3_4 * C04691))</v>
      </c>
      <c r="K250" s="59" t="str">
        <f>CONCATENATE("r",D250,": ",F250," -&gt; ",H250," | ",J250)</f>
        <v>r249: C04691 -&gt; C00944 + C00009 | (${Variables:E4_2_3_4_kcat} * E4_2_3_4 * C04691)/(${Variables:E4_2_3_4_km} + (E4_2_3_4 * C04691))</v>
      </c>
    </row>
    <row r="251" spans="1:12" ht="32">
      <c r="A251" s="57" t="s">
        <v>901</v>
      </c>
      <c r="B251" s="57" t="s">
        <v>3898</v>
      </c>
      <c r="C251" s="57" t="s">
        <v>9206</v>
      </c>
      <c r="D251" s="58">
        <v>250</v>
      </c>
      <c r="E251" s="58" t="str">
        <f>CONCATENATE("E",C251)</f>
        <v>E4_2_3_5</v>
      </c>
      <c r="F251" s="58" t="s">
        <v>8625</v>
      </c>
      <c r="G251" s="58" t="s">
        <v>8625</v>
      </c>
      <c r="H251" s="58" t="s">
        <v>8626</v>
      </c>
      <c r="I251" s="58" t="s">
        <v>8626</v>
      </c>
      <c r="J251" s="58" t="str">
        <f>CONCATENATE("(${Variables:",E251,"_kcat","} * ",E251," * ",G251,")","/(${Variables:",E251,"_km","} + (",E251," * ",G251,"))")</f>
        <v>(${Variables:E4_2_3_5_kcat} * E4_2_3_5 * C01269)/(${Variables:E4_2_3_5_km} + (E4_2_3_5 * C01269))</v>
      </c>
      <c r="K251" s="59" t="str">
        <f>CONCATENATE("r",D251,": ",F251," -&gt; ",H251," | ",J251)</f>
        <v>r250: C01269 -&gt; C00251 | (${Variables:E4_2_3_5_kcat} * E4_2_3_5 * C01269)/(${Variables:E4_2_3_5_km} + (E4_2_3_5 * C01269))</v>
      </c>
    </row>
    <row r="252" spans="1:12" ht="32">
      <c r="A252" s="57" t="s">
        <v>1707</v>
      </c>
      <c r="B252" s="57" t="s">
        <v>5651</v>
      </c>
      <c r="C252" s="57" t="s">
        <v>9208</v>
      </c>
      <c r="D252" s="58">
        <v>251</v>
      </c>
      <c r="E252" s="58" t="str">
        <f>CONCATENATE("E",C252)</f>
        <v>E4_3_1_17</v>
      </c>
      <c r="F252" s="58" t="s">
        <v>8630</v>
      </c>
      <c r="G252" s="58" t="s">
        <v>8630</v>
      </c>
      <c r="H252" s="58" t="s">
        <v>10651</v>
      </c>
      <c r="I252" s="58" t="s">
        <v>10935</v>
      </c>
      <c r="J252" s="58" t="str">
        <f>CONCATENATE("(${Variables:",E252,"_kcat","} * ",E252," * ",G252,")","/(${Variables:",E252,"_km","} + (",E252," * ",G252,"))")</f>
        <v>(${Variables:E4_3_1_17_kcat} * E4_3_1_17 * C00065)/(${Variables:E4_3_1_17_km} + (E4_3_1_17 * C00065))</v>
      </c>
      <c r="K252" s="59" t="str">
        <f>CONCATENATE("r",D252,": ",F252," -&gt; ",H252," | ",J252)</f>
        <v>r251: C00065 -&gt; C00022 + C00014 | (${Variables:E4_3_1_17_kcat} * E4_3_1_17 * C00065)/(${Variables:E4_3_1_17_km} + (E4_3_1_17 * C00065))</v>
      </c>
    </row>
    <row r="253" spans="1:12" ht="32">
      <c r="A253" s="57" t="s">
        <v>1708</v>
      </c>
      <c r="B253" s="57" t="s">
        <v>5654</v>
      </c>
      <c r="C253" s="57" t="s">
        <v>9209</v>
      </c>
      <c r="D253" s="58">
        <v>252</v>
      </c>
      <c r="E253" s="58" t="str">
        <f>CONCATENATE("E",C253)</f>
        <v>E4_3_1_18</v>
      </c>
      <c r="F253" s="58" t="s">
        <v>8633</v>
      </c>
      <c r="G253" s="58" t="s">
        <v>8633</v>
      </c>
      <c r="H253" s="58" t="s">
        <v>10651</v>
      </c>
      <c r="I253" s="58" t="s">
        <v>10935</v>
      </c>
      <c r="J253" s="58" t="str">
        <f>CONCATENATE("(${Variables:",E253,"_kcat","} * ",E253," * ",G253,")","/(${Variables:",E253,"_km","} + (",E253," * ",G253,"))")</f>
        <v>(${Variables:E4_3_1_18_kcat} * E4_3_1_18 * C00740 )/(${Variables:E4_3_1_18_km} + (E4_3_1_18 * C00740 ))</v>
      </c>
      <c r="K253" s="59" t="str">
        <f>CONCATENATE("r",D253,": ",F253," -&gt; ",H253," | ",J253)</f>
        <v>r252: C00740  -&gt; C00022 + C00014 | (${Variables:E4_3_1_18_kcat} * E4_3_1_18 * C00740 )/(${Variables:E4_3_1_18_km} + (E4_3_1_18 * C00740 ))</v>
      </c>
    </row>
    <row r="254" spans="1:12" ht="32">
      <c r="A254" s="57" t="s">
        <v>276</v>
      </c>
      <c r="B254" s="57" t="s">
        <v>2488</v>
      </c>
      <c r="C254" s="57" t="s">
        <v>9210</v>
      </c>
      <c r="D254" s="58">
        <v>253</v>
      </c>
      <c r="E254" s="58" t="str">
        <f>CONCATENATE("E",C254)</f>
        <v>E4_3_1_19</v>
      </c>
      <c r="F254" s="58" t="s">
        <v>8636</v>
      </c>
      <c r="G254" s="58" t="s">
        <v>8636</v>
      </c>
      <c r="H254" s="58" t="s">
        <v>10620</v>
      </c>
      <c r="I254" s="58" t="s">
        <v>10904</v>
      </c>
      <c r="J254" s="58" t="str">
        <f>CONCATENATE("(${Variables:",E254,"_kcat","} * ",E254," * ",G254,")","/(${Variables:",E254,"_km","} + (",E254," * ",G254,"))")</f>
        <v>(${Variables:E4_3_1_19_kcat} * E4_3_1_19 * C00188)/(${Variables:E4_3_1_19_km} + (E4_3_1_19 * C00188))</v>
      </c>
      <c r="K254" s="59" t="str">
        <f>CONCATENATE("r",D254,": ",F254," -&gt; ",H254," | ",J254)</f>
        <v>r253: C00188 -&gt; C00109 + C00014 | (${Variables:E4_3_1_19_kcat} * E4_3_1_19 * C00188)/(${Variables:E4_3_1_19_km} + (E4_3_1_19 * C00188))</v>
      </c>
      <c r="L254" s="61"/>
    </row>
    <row r="255" spans="1:12" ht="32">
      <c r="A255" s="57" t="s">
        <v>276</v>
      </c>
      <c r="B255" s="57" t="s">
        <v>7031</v>
      </c>
      <c r="C255" s="57" t="s">
        <v>9211</v>
      </c>
      <c r="D255" s="58">
        <v>254</v>
      </c>
      <c r="E255" s="58" t="str">
        <f>CONCATENATE("E",C255)</f>
        <v>E4_3_2_1</v>
      </c>
      <c r="F255" s="58" t="s">
        <v>8639</v>
      </c>
      <c r="G255" s="58" t="s">
        <v>8639</v>
      </c>
      <c r="H255" s="58" t="s">
        <v>10652</v>
      </c>
      <c r="I255" s="58" t="s">
        <v>10936</v>
      </c>
      <c r="J255" s="58" t="str">
        <f>CONCATENATE("(${Variables:",E255,"_kcat","} * ",E255," * ",G255,")","/(${Variables:",E255,"_km","} + (",E255," * ",G255,"))")</f>
        <v>(${Variables:E4_3_2_1_kcat} * E4_3_2_1 * C03406 )/(${Variables:E4_3_2_1_km} + (E4_3_2_1 * C03406 ))</v>
      </c>
      <c r="K255" s="59" t="str">
        <f>CONCATENATE("r",D255,": ",F255," -&gt; ",H255," | ",J255)</f>
        <v>r254: C03406  -&gt; C00122 + C00062 | (${Variables:E4_3_2_1_kcat} * E4_3_2_1 * C03406 )/(${Variables:E4_3_2_1_km} + (E4_3_2_1 * C03406 ))</v>
      </c>
      <c r="L255" s="61"/>
    </row>
    <row r="256" spans="1:12" ht="32">
      <c r="A256" s="57" t="s">
        <v>136</v>
      </c>
      <c r="B256" s="57" t="s">
        <v>2190</v>
      </c>
      <c r="C256" s="57" t="s">
        <v>9212</v>
      </c>
      <c r="D256" s="58">
        <v>255</v>
      </c>
      <c r="E256" s="58" t="str">
        <f>CONCATENATE("E",C256)</f>
        <v>E4_3_2_2</v>
      </c>
      <c r="F256" s="58" t="s">
        <v>8642</v>
      </c>
      <c r="G256" s="58" t="s">
        <v>8642</v>
      </c>
      <c r="H256" s="58" t="s">
        <v>10653</v>
      </c>
      <c r="I256" s="58" t="s">
        <v>10937</v>
      </c>
      <c r="J256" s="58" t="str">
        <f>CONCATENATE("(${Variables:",E256,"_kcat","} * ",E256," * ",G256,")","/(${Variables:",E256,"_km","} + (",E256," * ",G256,"))")</f>
        <v>(${Variables:E4_3_2_2_kcat} * E4_3_2_2 * C03794)/(${Variables:E4_3_2_2_km} + (E4_3_2_2 * C03794))</v>
      </c>
      <c r="K256" s="59" t="str">
        <f>CONCATENATE("r",D256,": ",F256," -&gt; ",H256," | ",J256)</f>
        <v>r255: C03794 -&gt; C00122 + C00020 | (${Variables:E4_3_2_2_kcat} * E4_3_2_2 * C03794)/(${Variables:E4_3_2_2_km} + (E4_3_2_2 * C03794))</v>
      </c>
    </row>
    <row r="257" spans="1:12" ht="32">
      <c r="A257" s="57" t="s">
        <v>1683</v>
      </c>
      <c r="B257" s="57" t="s">
        <v>5596</v>
      </c>
      <c r="C257" s="57" t="s">
        <v>9213</v>
      </c>
      <c r="D257" s="58">
        <v>256</v>
      </c>
      <c r="E257" s="58" t="str">
        <f>CONCATENATE("E",C257)</f>
        <v>E4_3_3_7</v>
      </c>
      <c r="F257" s="58" t="s">
        <v>10108</v>
      </c>
      <c r="G257" s="58" t="s">
        <v>10371</v>
      </c>
      <c r="H257" s="58" t="s">
        <v>10654</v>
      </c>
      <c r="I257" s="58" t="s">
        <v>10938</v>
      </c>
      <c r="J257" s="58" t="str">
        <f>CONCATENATE("(${Variables:",E257,"_kcat","} * ",E257," * ",G257,")","/(${Variables:",E257,"_km","} + (",E257," * ",G257,"))")</f>
        <v>(${Variables:E4_3_3_7_kcat} * E4_3_3_7 * C00441 * C00022)/(${Variables:E4_3_3_7_km} + (E4_3_3_7 * C00441 * C00022))</v>
      </c>
      <c r="K257" s="59" t="str">
        <f>CONCATENATE("r",D257,": ",F257," -&gt; ",H257," | ",J257)</f>
        <v>r256: C00441 + C00022 -&gt; C20258 + C00001 | (${Variables:E4_3_3_7_kcat} * E4_3_3_7 * C00441 * C00022)/(${Variables:E4_3_3_7_km} + (E4_3_3_7 * C00441 * C00022))</v>
      </c>
    </row>
    <row r="258" spans="1:12" ht="32">
      <c r="A258" s="57" t="s">
        <v>1120</v>
      </c>
      <c r="B258" s="57" t="s">
        <v>4399</v>
      </c>
      <c r="C258" s="57" t="s">
        <v>9214</v>
      </c>
      <c r="D258" s="58">
        <v>257</v>
      </c>
      <c r="E258" s="58" t="str">
        <f>CONCATENATE("E",C258)</f>
        <v>E4_3_99_3</v>
      </c>
      <c r="F258" s="58" t="s">
        <v>8647</v>
      </c>
      <c r="G258" s="58" t="s">
        <v>8647</v>
      </c>
      <c r="H258" s="58" t="s">
        <v>10655</v>
      </c>
      <c r="I258" s="58" t="s">
        <v>10939</v>
      </c>
      <c r="J258" s="58" t="str">
        <f>CONCATENATE("(${Variables:",E258,"_kcat","} * ",E258," * ",G258,")","/(${Variables:",E258,"_km","} + (",E258," * ",G258,"))")</f>
        <v>(${Variables:E4_3_99_3_kcat} * E4_3_99_3 * C20239 )/(${Variables:E4_3_99_3_km} + (E4_3_99_3 * C20239 ))</v>
      </c>
      <c r="K258" s="59" t="str">
        <f>CONCATENATE("r",D258,": ",F258," -&gt; ",H258," | ",J258)</f>
        <v>r257: C20239  -&gt; C20248 + C00014 | (${Variables:E4_3_99_3_kcat} * E4_3_99_3 * C20239 )/(${Variables:E4_3_99_3_km} + (E4_3_99_3 * C20239 ))</v>
      </c>
    </row>
    <row r="259" spans="1:12" ht="48">
      <c r="A259" s="57" t="s">
        <v>1147</v>
      </c>
      <c r="B259" s="57" t="s">
        <v>4457</v>
      </c>
      <c r="C259" s="57" t="s">
        <v>9025</v>
      </c>
      <c r="D259" s="58">
        <v>258</v>
      </c>
      <c r="E259" s="58" t="str">
        <f>CONCATENATE("E",C259)</f>
        <v>E4_4_1_1</v>
      </c>
      <c r="F259" s="58" t="s">
        <v>9990</v>
      </c>
      <c r="G259" s="58" t="s">
        <v>10253</v>
      </c>
      <c r="H259" s="58" t="s">
        <v>10656</v>
      </c>
      <c r="I259" s="58" t="s">
        <v>10940</v>
      </c>
      <c r="J259" s="58" t="str">
        <f>CONCATENATE("(${Variables:",E259,"_kcat","} * ",E259," * ",G259,")","/(${Variables:",E259,"_km","} + (",E259," * ",G259,"))")</f>
        <v>(${Variables:E4_4_1_1_kcat} * E4_4_1_1 * C02291 * C00001)/(${Variables:E4_4_1_1_km} + (E4_4_1_1 * C02291 * C00001))</v>
      </c>
      <c r="K259" s="59" t="str">
        <f>CONCATENATE("r",D259,": ",F259," -&gt; ",H259," | ",J259)</f>
        <v>r258: C02291 + C00001 -&gt; C00097 + C00014 + C00109 | (${Variables:E4_4_1_1_kcat} * E4_4_1_1 * C02291 * C00001)/(${Variables:E4_4_1_1_km} + (E4_4_1_1 * C02291 * C00001))</v>
      </c>
    </row>
    <row r="260" spans="1:12" ht="48">
      <c r="A260" s="57" t="s">
        <v>1147</v>
      </c>
      <c r="B260" s="57" t="s">
        <v>4457</v>
      </c>
      <c r="C260" s="57" t="s">
        <v>9215</v>
      </c>
      <c r="D260" s="58">
        <v>259</v>
      </c>
      <c r="E260" s="58" t="str">
        <f>CONCATENATE("E",C260)</f>
        <v>E4_4_1_2</v>
      </c>
      <c r="F260" s="58" t="s">
        <v>10109</v>
      </c>
      <c r="G260" s="58" t="s">
        <v>10372</v>
      </c>
      <c r="H260" s="58" t="s">
        <v>10657</v>
      </c>
      <c r="I260" s="58" t="s">
        <v>10941</v>
      </c>
      <c r="J260" s="58" t="str">
        <f>CONCATENATE("(${Variables:",E260,"_kcat","} * ",E260," * ",G260,")","/(${Variables:",E260,"_km","} + (",E260," * ",G260,"))")</f>
        <v>(${Variables:E4_4_1_2_kcat} * E4_4_1_2 * C00155 * C00001)/(${Variables:E4_4_1_2_km} + (E4_4_1_2 * C00155 * C00001))</v>
      </c>
      <c r="K260" s="59" t="str">
        <f>CONCATENATE("r",D260,": ",F260," -&gt; ",H260," | ",J260)</f>
        <v>r259: C00155 + C00001 -&gt; C00283 + C00014 + C00109 | (${Variables:E4_4_1_2_kcat} * E4_4_1_2 * C00155 * C00001)/(${Variables:E4_4_1_2_km} + (E4_4_1_2 * C00155 * C00001))</v>
      </c>
    </row>
    <row r="261" spans="1:12" ht="32">
      <c r="A261" s="57" t="s">
        <v>597</v>
      </c>
      <c r="B261" s="57" t="s">
        <v>3208</v>
      </c>
      <c r="C261" s="57" t="s">
        <v>9216</v>
      </c>
      <c r="D261" s="58">
        <v>260</v>
      </c>
      <c r="E261" s="58" t="str">
        <f>CONCATENATE("E",C261)</f>
        <v>E4_4_1_21</v>
      </c>
      <c r="F261" s="58" t="s">
        <v>8652</v>
      </c>
      <c r="G261" s="58" t="s">
        <v>8652</v>
      </c>
      <c r="H261" s="58" t="s">
        <v>10658</v>
      </c>
      <c r="I261" s="58" t="s">
        <v>10942</v>
      </c>
      <c r="J261" s="58" t="str">
        <f>CONCATENATE("(${Variables:",E261,"_kcat","} * ",E261," * ",G261,")","/(${Variables:",E261,"_km","} + (",E261," * ",G261,"))")</f>
        <v>(${Variables:E4_4_1_21_kcat} * E4_4_1_21 * C03539)/(${Variables:E4_4_1_21_km} + (E4_4_1_21 * C03539))</v>
      </c>
      <c r="K261" s="59" t="str">
        <f>CONCATENATE("r",D261,": ",F261," -&gt; ",H261," | ",J261)</f>
        <v>r260: C03539 -&gt; C11838 + C00155 | (${Variables:E4_4_1_21_kcat} * E4_4_1_21 * C03539)/(${Variables:E4_4_1_21_km} + (E4_4_1_21 * C03539))</v>
      </c>
    </row>
    <row r="262" spans="1:12" ht="32">
      <c r="A262" s="57" t="s">
        <v>1994</v>
      </c>
      <c r="B262" s="57" t="s">
        <v>6201</v>
      </c>
      <c r="C262" s="57" t="s">
        <v>9217</v>
      </c>
      <c r="D262" s="58">
        <v>261</v>
      </c>
      <c r="E262" s="58" t="str">
        <f>CONCATENATE("E",C262)</f>
        <v>E4_4_1_5</v>
      </c>
      <c r="F262" s="58" t="s">
        <v>8655</v>
      </c>
      <c r="G262" s="58" t="s">
        <v>8655</v>
      </c>
      <c r="H262" s="58" t="s">
        <v>10659</v>
      </c>
      <c r="I262" s="58" t="s">
        <v>10943</v>
      </c>
      <c r="J262" s="58" t="str">
        <f>CONCATENATE("(${Variables:",E262,"_kcat","} * ",E262," * ",G262,")","/(${Variables:",E262,"_km","} + (",E262," * ",G262,"))")</f>
        <v>(${Variables:E4_4_1_5_kcat} * E4_4_1_5 * C03451)/(${Variables:E4_4_1_5_km} + (E4_4_1_5 * C03451))</v>
      </c>
      <c r="K262" s="59" t="str">
        <f>CONCATENATE("r",D262,": ",F262," -&gt; ",H262," | ",J262)</f>
        <v>r261: C03451 -&gt; C00051 + C00546 | (${Variables:E4_4_1_5_kcat} * E4_4_1_5 * C03451)/(${Variables:E4_4_1_5_km} + (E4_4_1_5 * C03451))</v>
      </c>
      <c r="L262" s="61"/>
    </row>
    <row r="263" spans="1:12" ht="32">
      <c r="A263" s="57" t="s">
        <v>1273</v>
      </c>
      <c r="B263" s="57" t="s">
        <v>6790</v>
      </c>
      <c r="C263" s="57" t="s">
        <v>9220</v>
      </c>
      <c r="D263" s="58">
        <v>262</v>
      </c>
      <c r="E263" s="58" t="str">
        <f>CONCATENATE("E",C263)</f>
        <v>E5_1_1_1</v>
      </c>
      <c r="F263" s="58" t="s">
        <v>8660</v>
      </c>
      <c r="G263" s="58" t="s">
        <v>8660</v>
      </c>
      <c r="H263" s="58" t="s">
        <v>8661</v>
      </c>
      <c r="I263" s="58" t="s">
        <v>8661</v>
      </c>
      <c r="J263" s="58" t="str">
        <f>CONCATENATE("(${Variables:",E263,"_kcat","} * ",E263," * ",G263,")","/(${Variables:",E263,"_km","} + (",E263," * ",G263,"))")</f>
        <v>(${Variables:E5_1_1_1_kcat} * E5_1_1_1 * C00041 )/(${Variables:E5_1_1_1_km} + (E5_1_1_1 * C00041 ))</v>
      </c>
      <c r="K263" s="59" t="str">
        <f>CONCATENATE("r",D263,": ",F263," -&gt; ",H263," | ",J263)</f>
        <v>r262: C00041  -&gt; C00133 | (${Variables:E5_1_1_1_kcat} * E5_1_1_1 * C00041 )/(${Variables:E5_1_1_1_km} + (E5_1_1_1 * C00041 ))</v>
      </c>
      <c r="L263" s="61"/>
    </row>
    <row r="264" spans="1:12" ht="32">
      <c r="A264" s="57" t="s">
        <v>408</v>
      </c>
      <c r="B264" s="57" t="s">
        <v>2786</v>
      </c>
      <c r="C264" s="57" t="s">
        <v>9221</v>
      </c>
      <c r="D264" s="58">
        <v>263</v>
      </c>
      <c r="E264" s="58" t="str">
        <f>CONCATENATE("E",C264)</f>
        <v>E5_1_1_3</v>
      </c>
      <c r="F264" s="58" t="s">
        <v>8664</v>
      </c>
      <c r="G264" s="58" t="s">
        <v>8664</v>
      </c>
      <c r="H264" s="58" t="s">
        <v>8665</v>
      </c>
      <c r="I264" s="58" t="s">
        <v>8665</v>
      </c>
      <c r="J264" s="58" t="str">
        <f>CONCATENATE("(${Variables:",E264,"_kcat","} * ",E264," * ",G264,")","/(${Variables:",E264,"_km","} + (",E264," * ",G264,"))")</f>
        <v>(${Variables:E5_1_1_3_kcat} * E5_1_1_3 * C00025 )/(${Variables:E5_1_1_3_km} + (E5_1_1_3 * C00025 ))</v>
      </c>
      <c r="K264" s="59" t="str">
        <f>CONCATENATE("r",D264,": ",F264," -&gt; ",H264," | ",J264)</f>
        <v>r263: C00025  -&gt; C00217 | (${Variables:E5_1_1_3_kcat} * E5_1_1_3 * C00025 )/(${Variables:E5_1_1_3_km} + (E5_1_1_3 * C00025 ))</v>
      </c>
    </row>
    <row r="265" spans="1:12" ht="32">
      <c r="A265" s="57" t="s">
        <v>408</v>
      </c>
      <c r="B265" s="57" t="s">
        <v>6985</v>
      </c>
      <c r="C265" s="57" t="s">
        <v>9222</v>
      </c>
      <c r="D265" s="58">
        <v>264</v>
      </c>
      <c r="E265" s="58" t="str">
        <f>CONCATENATE("E",C265)</f>
        <v>E5_1_3_1</v>
      </c>
      <c r="F265" s="58" t="s">
        <v>8668</v>
      </c>
      <c r="G265" s="58" t="s">
        <v>8668</v>
      </c>
      <c r="H265" s="58" t="s">
        <v>8669</v>
      </c>
      <c r="I265" s="58" t="s">
        <v>8669</v>
      </c>
      <c r="J265" s="58" t="str">
        <f>CONCATENATE("(${Variables:",E265,"_kcat","} * ",E265," * ",G265,")","/(${Variables:",E265,"_km","} + (",E265," * ",G265,"))")</f>
        <v>(${Variables:E5_1_3_1_kcat} * E5_1_3_1 * C00199 )/(${Variables:E5_1_3_1_km} + (E5_1_3_1 * C00199 ))</v>
      </c>
      <c r="K265" s="59" t="str">
        <f>CONCATENATE("r",D265,": ",F265," -&gt; ",H265," | ",J265)</f>
        <v>r264: C00199  -&gt; C00231 | (${Variables:E5_1_3_1_kcat} * E5_1_3_1 * C00199 )/(${Variables:E5_1_3_1_km} + (E5_1_3_1 * C00199 ))</v>
      </c>
    </row>
    <row r="266" spans="1:12" ht="32">
      <c r="A266" s="57" t="s">
        <v>1527</v>
      </c>
      <c r="B266" s="57" t="s">
        <v>5235</v>
      </c>
      <c r="C266" s="57" t="s">
        <v>9223</v>
      </c>
      <c r="D266" s="58">
        <v>265</v>
      </c>
      <c r="E266" s="58" t="str">
        <f>CONCATENATE("E",C266)</f>
        <v>E5_1_3_2</v>
      </c>
      <c r="F266" s="58" t="s">
        <v>8672</v>
      </c>
      <c r="G266" s="58" t="s">
        <v>8672</v>
      </c>
      <c r="H266" s="58" t="s">
        <v>8673</v>
      </c>
      <c r="I266" s="58" t="s">
        <v>8673</v>
      </c>
      <c r="J266" s="58" t="str">
        <f>CONCATENATE("(${Variables:",E266,"_kcat","} * ",E266," * ",G266,")","/(${Variables:",E266,"_km","} + (",E266," * ",G266,"))")</f>
        <v>(${Variables:E5_1_3_2_kcat} * E5_1_3_2 * C00029)/(${Variables:E5_1_3_2_km} + (E5_1_3_2 * C00029))</v>
      </c>
      <c r="K266" s="59" t="str">
        <f>CONCATENATE("r",D266,": ",F266," -&gt; ",H266," | ",J266)</f>
        <v>r265: C00029 -&gt; C00052 | (${Variables:E5_1_3_2_kcat} * E5_1_3_2 * C00029)/(${Variables:E5_1_3_2_km} + (E5_1_3_2 * C00029))</v>
      </c>
    </row>
    <row r="267" spans="1:12" ht="32">
      <c r="A267" s="57" t="s">
        <v>1527</v>
      </c>
      <c r="B267" s="57" t="s">
        <v>5235</v>
      </c>
      <c r="C267" s="57" t="s">
        <v>9224</v>
      </c>
      <c r="D267" s="58">
        <v>266</v>
      </c>
      <c r="E267" s="58" t="str">
        <f>CONCATENATE("E",C267)</f>
        <v>E5_1_3_7</v>
      </c>
      <c r="F267" s="58" t="s">
        <v>8676</v>
      </c>
      <c r="G267" s="58" t="s">
        <v>8676</v>
      </c>
      <c r="H267" s="58" t="s">
        <v>8677</v>
      </c>
      <c r="I267" s="58" t="s">
        <v>8677</v>
      </c>
      <c r="J267" s="58" t="str">
        <f>CONCATENATE("(${Variables:",E267,"_kcat","} * ",E267," * ",G267,")","/(${Variables:",E267,"_km","} + (",E267," * ",G267,"))")</f>
        <v>(${Variables:E5_1_3_7_kcat} * E5_1_3_7 * C00043)/(${Variables:E5_1_3_7_km} + (E5_1_3_7 * C00043))</v>
      </c>
      <c r="K267" s="59" t="str">
        <f>CONCATENATE("r",D267,": ",F267," -&gt; ",H267," | ",J267)</f>
        <v>r266: C00043 -&gt; C00203 | (${Variables:E5_1_3_7_kcat} * E5_1_3_7 * C00043)/(${Variables:E5_1_3_7_km} + (E5_1_3_7 * C00043))</v>
      </c>
      <c r="L267" s="61"/>
    </row>
    <row r="268" spans="1:12" ht="32">
      <c r="A268" s="57" t="s">
        <v>1813</v>
      </c>
      <c r="B268" s="57" t="s">
        <v>5847</v>
      </c>
      <c r="C268" s="57" t="s">
        <v>9225</v>
      </c>
      <c r="D268" s="58">
        <v>267</v>
      </c>
      <c r="E268" s="58" t="str">
        <f>CONCATENATE("E",C268)</f>
        <v>E5_1_3_3_</v>
      </c>
      <c r="F268" s="58" t="s">
        <v>8680</v>
      </c>
      <c r="G268" s="58" t="s">
        <v>8680</v>
      </c>
      <c r="H268" s="58" t="s">
        <v>8681</v>
      </c>
      <c r="I268" s="58" t="s">
        <v>8681</v>
      </c>
      <c r="J268" s="58" t="str">
        <f>CONCATENATE("(${Variables:",E268,"_kcat","} * ",E268," * ",G268,")","/(${Variables:",E268,"_km","} + (",E268," * ",G268,"))")</f>
        <v>(${Variables:E5_1_3_3__kcat} * E5_1_3_3_ * C00267)/(${Variables:E5_1_3_3__km} + (E5_1_3_3_ * C00267))</v>
      </c>
      <c r="K268" s="59" t="str">
        <f>CONCATENATE("r",D268,": ",F268," -&gt; ",H268," | ",J268)</f>
        <v>r267: C00267 -&gt; C00221 | (${Variables:E5_1_3_3__kcat} * E5_1_3_3_ * C00267)/(${Variables:E5_1_3_3__km} + (E5_1_3_3_ * C00267))</v>
      </c>
    </row>
    <row r="269" spans="1:12" ht="32">
      <c r="A269" s="57" t="s">
        <v>705</v>
      </c>
      <c r="B269" s="57" t="s">
        <v>3459</v>
      </c>
      <c r="C269" s="57" t="s">
        <v>9226</v>
      </c>
      <c r="D269" s="58">
        <v>268</v>
      </c>
      <c r="E269" s="58" t="str">
        <f>CONCATENATE("E",C269)</f>
        <v>E5_3_1_1</v>
      </c>
      <c r="F269" s="58" t="s">
        <v>8685</v>
      </c>
      <c r="G269" s="58" t="s">
        <v>8685</v>
      </c>
      <c r="H269" s="58" t="s">
        <v>8686</v>
      </c>
      <c r="I269" s="58" t="s">
        <v>8686</v>
      </c>
      <c r="J269" s="58" t="str">
        <f>CONCATENATE("(${Variables:",E269,"_kcat","} * ",E269," * ",G269,")","/(${Variables:",E269,"_km","} + (",E269," * ",G269,"))")</f>
        <v>(${Variables:E5_3_1_1_kcat} * E5_3_1_1 * C00118 )/(${Variables:E5_3_1_1_km} + (E5_3_1_1 * C00118 ))</v>
      </c>
      <c r="K269" s="59" t="str">
        <f>CONCATENATE("r",D269,": ",F269," -&gt; ",H269," | ",J269)</f>
        <v>r268: C00118  -&gt; C00111 | (${Variables:E5_3_1_1_kcat} * E5_3_1_1 * C00118 )/(${Variables:E5_3_1_1_km} + (E5_3_1_1 * C00118 ))</v>
      </c>
    </row>
    <row r="270" spans="1:12" ht="32">
      <c r="A270" s="57" t="s">
        <v>705</v>
      </c>
      <c r="B270" s="57" t="s">
        <v>6378</v>
      </c>
      <c r="C270" s="57" t="s">
        <v>9227</v>
      </c>
      <c r="D270" s="58">
        <v>269</v>
      </c>
      <c r="E270" s="58" t="str">
        <f>CONCATENATE("E",C270)</f>
        <v>E5_3_1_24</v>
      </c>
      <c r="F270" s="58" t="s">
        <v>8689</v>
      </c>
      <c r="G270" s="58" t="s">
        <v>8689</v>
      </c>
      <c r="H270" s="58" t="s">
        <v>8690</v>
      </c>
      <c r="I270" s="58" t="s">
        <v>8690</v>
      </c>
      <c r="J270" s="58" t="str">
        <f>CONCATENATE("(${Variables:",E270,"_kcat","} * ",E270," * ",G270,")","/(${Variables:",E270,"_km","} + (",E270," * ",G270,"))")</f>
        <v>(${Variables:E5_3_1_24_kcat} * E5_3_1_24 * C04302 )/(${Variables:E5_3_1_24_km} + (E5_3_1_24 * C04302 ))</v>
      </c>
      <c r="K270" s="59" t="str">
        <f>CONCATENATE("r",D270,": ",F270," -&gt; ",H270," | ",J270)</f>
        <v>r269: C04302  -&gt; C01302 | (${Variables:E5_3_1_24_kcat} * E5_3_1_24 * C04302 )/(${Variables:E5_3_1_24_km} + (E5_3_1_24 * C04302 ))</v>
      </c>
    </row>
    <row r="271" spans="1:12" ht="32">
      <c r="A271" s="57" t="s">
        <v>1465</v>
      </c>
      <c r="B271" s="57" t="s">
        <v>5103</v>
      </c>
      <c r="C271" s="57" t="s">
        <v>9228</v>
      </c>
      <c r="D271" s="58">
        <v>270</v>
      </c>
      <c r="E271" s="58" t="str">
        <f>CONCATENATE("E",C271)</f>
        <v>E5_3_1_6</v>
      </c>
      <c r="F271" s="58" t="s">
        <v>8693</v>
      </c>
      <c r="G271" s="58" t="s">
        <v>8693</v>
      </c>
      <c r="H271" s="58" t="s">
        <v>8694</v>
      </c>
      <c r="I271" s="58" t="s">
        <v>8694</v>
      </c>
      <c r="J271" s="58" t="str">
        <f>CONCATENATE("(${Variables:",E271,"_kcat","} * ",E271," * ",G271,")","/(${Variables:",E271,"_km","} + (",E271," * ",G271,"))")</f>
        <v>(${Variables:E5_3_1_6_kcat} * E5_3_1_6 * C00117)/(${Variables:E5_3_1_6_km} + (E5_3_1_6 * C00117))</v>
      </c>
      <c r="K271" s="59" t="str">
        <f>CONCATENATE("r",D271,": ",F271," -&gt; ",H271," | ",J271)</f>
        <v>r270: C00117 -&gt; C00199 | (${Variables:E5_3_1_6_kcat} * E5_3_1_6 * C00117)/(${Variables:E5_3_1_6_km} + (E5_3_1_6 * C00117))</v>
      </c>
    </row>
    <row r="272" spans="1:12" ht="32">
      <c r="A272" s="57" t="s">
        <v>1746</v>
      </c>
      <c r="B272" s="57" t="s">
        <v>5731</v>
      </c>
      <c r="C272" s="57" t="s">
        <v>9229</v>
      </c>
      <c r="D272" s="58">
        <v>271</v>
      </c>
      <c r="E272" s="58" t="str">
        <f>CONCATENATE("E",C272)</f>
        <v>E5_3_1_8</v>
      </c>
      <c r="F272" s="58" t="s">
        <v>8697</v>
      </c>
      <c r="G272" s="58" t="s">
        <v>8697</v>
      </c>
      <c r="H272" s="58" t="s">
        <v>8698</v>
      </c>
      <c r="I272" s="58" t="s">
        <v>8698</v>
      </c>
      <c r="J272" s="58" t="str">
        <f>CONCATENATE("(${Variables:",E272,"_kcat","} * ",E272," * ",G272,")","/(${Variables:",E272,"_km","} + (",E272," * ",G272,"))")</f>
        <v>(${Variables:E5_3_1_8_kcat} * E5_3_1_8 * C00275)/(${Variables:E5_3_1_8_km} + (E5_3_1_8 * C00275))</v>
      </c>
      <c r="K272" s="59" t="str">
        <f>CONCATENATE("r",D272,": ",F272," -&gt; ",H272," | ",J272)</f>
        <v>r271: C00275 -&gt; C00085 | (${Variables:E5_3_1_8_kcat} * E5_3_1_8 * C00275)/(${Variables:E5_3_1_8_km} + (E5_3_1_8 * C00275))</v>
      </c>
    </row>
    <row r="273" spans="1:12" ht="32">
      <c r="A273" s="57" t="s">
        <v>328</v>
      </c>
      <c r="B273" s="57" t="s">
        <v>2613</v>
      </c>
      <c r="C273" s="57" t="s">
        <v>9230</v>
      </c>
      <c r="D273" s="58">
        <v>272</v>
      </c>
      <c r="E273" s="58" t="str">
        <f>CONCATENATE("E",C273)</f>
        <v>E5_3_1_9</v>
      </c>
      <c r="F273" s="58" t="s">
        <v>8701</v>
      </c>
      <c r="G273" s="58" t="s">
        <v>8701</v>
      </c>
      <c r="H273" s="58" t="s">
        <v>8702</v>
      </c>
      <c r="I273" s="58" t="s">
        <v>8702</v>
      </c>
      <c r="J273" s="58" t="str">
        <f>CONCATENATE("(${Variables:",E273,"_kcat","} * ",E273," * ",G273,")","/(${Variables:",E273,"_km","} + (",E273," * ",G273,"))")</f>
        <v>(${Variables:E5_3_1_9_kcat} * E5_3_1_9 * C00668 )/(${Variables:E5_3_1_9_km} + (E5_3_1_9 * C00668 ))</v>
      </c>
      <c r="K273" s="59" t="str">
        <f>CONCATENATE("r",D273,": ",F273," -&gt; ",H273," | ",J273)</f>
        <v>r272: C00668  -&gt; C05345 | (${Variables:E5_3_1_9_kcat} * E5_3_1_9 * C00668 )/(${Variables:E5_3_1_9_km} + (E5_3_1_9 * C00668 ))</v>
      </c>
    </row>
    <row r="274" spans="1:12" ht="32">
      <c r="A274" s="57" t="s">
        <v>579</v>
      </c>
      <c r="B274" s="57" t="s">
        <v>3166</v>
      </c>
      <c r="C274" s="57" t="s">
        <v>9231</v>
      </c>
      <c r="D274" s="58">
        <v>273</v>
      </c>
      <c r="E274" s="58" t="str">
        <f>CONCATENATE("E",C274)</f>
        <v>E5_3_3_14</v>
      </c>
      <c r="F274" s="58" t="s">
        <v>8705</v>
      </c>
      <c r="G274" s="58" t="s">
        <v>8705</v>
      </c>
      <c r="H274" s="58" t="s">
        <v>8706</v>
      </c>
      <c r="I274" s="58" t="s">
        <v>8706</v>
      </c>
      <c r="J274" s="58" t="str">
        <f>CONCATENATE("(${Variables:",E274,"_kcat","} * ",E274," * ",G274,")","/(${Variables:",E274,"_km","} + (",E274," * ",G274,"))")</f>
        <v>(${Variables:E5_3_3_14_kcat} * E5_3_3_14 * C05754)/(${Variables:E5_3_3_14_km} + (E5_3_3_14 * C05754))</v>
      </c>
      <c r="K274" s="59" t="str">
        <f>CONCATENATE("r",D274,": ",F274," -&gt; ",H274," | ",J274)</f>
        <v>r273: C05754 -&gt; C04180 | (${Variables:E5_3_3_14_kcat} * E5_3_3_14 * C05754)/(${Variables:E5_3_3_14_km} + (E5_3_3_14 * C05754))</v>
      </c>
    </row>
    <row r="275" spans="1:12" ht="32">
      <c r="A275" s="57" t="s">
        <v>788</v>
      </c>
      <c r="B275" s="57" t="s">
        <v>3647</v>
      </c>
      <c r="C275" s="57" t="s">
        <v>9232</v>
      </c>
      <c r="D275" s="58">
        <v>274</v>
      </c>
      <c r="E275" s="58" t="str">
        <f>CONCATENATE("E",C275)</f>
        <v>E5_3_3_2</v>
      </c>
      <c r="F275" s="58" t="s">
        <v>8709</v>
      </c>
      <c r="G275" s="58" t="s">
        <v>8709</v>
      </c>
      <c r="H275" s="58" t="s">
        <v>8710</v>
      </c>
      <c r="I275" s="58" t="s">
        <v>8710</v>
      </c>
      <c r="J275" s="58" t="str">
        <f>CONCATENATE("(${Variables:",E275,"_kcat","} * ",E275," * ",G275,")","/(${Variables:",E275,"_km","} + (",E275," * ",G275,"))")</f>
        <v>(${Variables:E5_3_3_2_kcat} * E5_3_3_2 * C00129)/(${Variables:E5_3_3_2_km} + (E5_3_3_2 * C00129))</v>
      </c>
      <c r="K275" s="59" t="str">
        <f>CONCATENATE("r",D275,": ",F275," -&gt; ",H275," | ",J275)</f>
        <v>r274: C00129 -&gt; C00235 | (${Variables:E5_3_3_2_kcat} * E5_3_3_2 * C00129)/(${Variables:E5_3_3_2_km} + (E5_3_3_2 * C00129))</v>
      </c>
    </row>
    <row r="276" spans="1:12" ht="32">
      <c r="A276" s="57" t="s">
        <v>1632</v>
      </c>
      <c r="B276" s="57" t="s">
        <v>5469</v>
      </c>
      <c r="C276" s="57" t="s">
        <v>9233</v>
      </c>
      <c r="D276" s="58">
        <v>275</v>
      </c>
      <c r="E276" s="58" t="str">
        <f>CONCATENATE("E",C276)</f>
        <v>E5_4_2_10</v>
      </c>
      <c r="F276" s="58" t="s">
        <v>8713</v>
      </c>
      <c r="G276" s="58" t="s">
        <v>8713</v>
      </c>
      <c r="H276" s="58" t="s">
        <v>8714</v>
      </c>
      <c r="I276" s="58" t="s">
        <v>8714</v>
      </c>
      <c r="J276" s="58" t="str">
        <f>CONCATENATE("(${Variables:",E276,"_kcat","} * ",E276," * ",G276,")","/(${Variables:",E276,"_km","} + (",E276," * ",G276,"))")</f>
        <v>(${Variables:E5_4_2_10_kcat} * E5_4_2_10 * C06156)/(${Variables:E5_4_2_10_km} + (E5_4_2_10 * C06156))</v>
      </c>
      <c r="K276" s="59" t="str">
        <f>CONCATENATE("r",D276,": ",F276," -&gt; ",H276," | ",J276)</f>
        <v>r275: C06156 -&gt; C00352 | (${Variables:E5_4_2_10_kcat} * E5_4_2_10 * C06156)/(${Variables:E5_4_2_10_km} + (E5_4_2_10 * C06156))</v>
      </c>
      <c r="L276" s="61"/>
    </row>
    <row r="277" spans="1:12" ht="32">
      <c r="A277" s="57" t="s">
        <v>1074</v>
      </c>
      <c r="B277" s="57" t="s">
        <v>4298</v>
      </c>
      <c r="C277" s="57" t="s">
        <v>9234</v>
      </c>
      <c r="D277" s="58">
        <v>276</v>
      </c>
      <c r="E277" s="58" t="str">
        <f>CONCATENATE("E",C277)</f>
        <v>E5_4_2_2</v>
      </c>
      <c r="F277" s="58" t="s">
        <v>8717</v>
      </c>
      <c r="G277" s="58" t="s">
        <v>8717</v>
      </c>
      <c r="H277" s="58" t="s">
        <v>8718</v>
      </c>
      <c r="I277" s="58" t="s">
        <v>8718</v>
      </c>
      <c r="J277" s="58" t="str">
        <f>CONCATENATE("(${Variables:",E277,"_kcat","} * ",E277," * ",G277,")","/(${Variables:",E277,"_km","} + (",E277," * ",G277,"))")</f>
        <v>(${Variables:E5_4_2_2_kcat} * E5_4_2_2 * C00103)/(${Variables:E5_4_2_2_km} + (E5_4_2_2 * C00103))</v>
      </c>
      <c r="K277" s="59" t="str">
        <f>CONCATENATE("r",D277,": ",F277," -&gt; ",H277," | ",J277)</f>
        <v>r276: C00103 -&gt; C00092 | (${Variables:E5_4_2_2_kcat} * E5_4_2_2 * C00103)/(${Variables:E5_4_2_2_km} + (E5_4_2_2 * C00103))</v>
      </c>
    </row>
    <row r="278" spans="1:12" ht="32">
      <c r="A278" s="57" t="s">
        <v>1464</v>
      </c>
      <c r="B278" s="57" t="s">
        <v>5100</v>
      </c>
      <c r="C278" s="57" t="s">
        <v>9235</v>
      </c>
      <c r="D278" s="58">
        <v>277</v>
      </c>
      <c r="E278" s="58" t="str">
        <f>CONCATENATE("E",C278)</f>
        <v>E5_4_2_7</v>
      </c>
      <c r="F278" s="58" t="s">
        <v>8721</v>
      </c>
      <c r="G278" s="58" t="s">
        <v>8721</v>
      </c>
      <c r="H278" s="58" t="s">
        <v>8693</v>
      </c>
      <c r="I278" s="58" t="s">
        <v>8693</v>
      </c>
      <c r="J278" s="58" t="str">
        <f>CONCATENATE("(${Variables:",E278,"_kcat","} * ",E278," * ",G278,")","/(${Variables:",E278,"_km","} + (",E278," * ",G278,"))")</f>
        <v>(${Variables:E5_4_2_7_kcat} * E5_4_2_7 * C00620)/(${Variables:E5_4_2_7_km} + (E5_4_2_7 * C00620))</v>
      </c>
      <c r="K278" s="59" t="str">
        <f>CONCATENATE("r",D278,": ",F278," -&gt; ",H278," | ",J278)</f>
        <v>r277: C00620 -&gt; C00117 | (${Variables:E5_4_2_7_kcat} * E5_4_2_7 * C00620)/(${Variables:E5_4_2_7_km} + (E5_4_2_7 * C00620))</v>
      </c>
    </row>
    <row r="279" spans="1:12" ht="32">
      <c r="A279" s="57" t="s">
        <v>243</v>
      </c>
      <c r="B279" s="57" t="s">
        <v>2406</v>
      </c>
      <c r="C279" s="57" t="s">
        <v>9236</v>
      </c>
      <c r="D279" s="58">
        <v>278</v>
      </c>
      <c r="E279" s="58" t="str">
        <f>CONCATENATE("E",C279)</f>
        <v>E5_4_99_12</v>
      </c>
      <c r="F279" s="58" t="s">
        <v>8724</v>
      </c>
      <c r="G279" s="58" t="s">
        <v>8724</v>
      </c>
      <c r="H279" s="58" t="s">
        <v>8725</v>
      </c>
      <c r="I279" s="58" t="s">
        <v>8725</v>
      </c>
      <c r="J279" s="58" t="str">
        <f>CONCATENATE("(${Variables:",E279,"_kcat","} * ",E279," * ",G279,")","/(${Variables:",E279,"_km","} + (",E279," * ",G279,"))")</f>
        <v>(${Variables:E5_4_99_12_kcat} * E5_4_99_12 * C00868)/(${Variables:E5_4_99_12_km} + (E5_4_99_12 * C00868))</v>
      </c>
      <c r="K279" s="59" t="str">
        <f>CONCATENATE("r",D279,": ",F279," -&gt; ",H279," | ",J279)</f>
        <v>r278: C00868 -&gt; C02764 | (${Variables:E5_4_99_12_kcat} * E5_4_99_12 * C00868)/(${Variables:E5_4_99_12_km} + (E5_4_99_12 * C00868))</v>
      </c>
    </row>
    <row r="280" spans="1:12" ht="32">
      <c r="A280" s="57" t="s">
        <v>129</v>
      </c>
      <c r="B280" s="57" t="s">
        <v>2179</v>
      </c>
      <c r="C280" s="57" t="s">
        <v>9237</v>
      </c>
      <c r="D280" s="58">
        <v>279</v>
      </c>
      <c r="E280" s="58" t="str">
        <f>CONCATENATE("E",C280)</f>
        <v>E5_4_99_18</v>
      </c>
      <c r="F280" s="58" t="s">
        <v>8728</v>
      </c>
      <c r="G280" s="58" t="s">
        <v>8728</v>
      </c>
      <c r="H280" s="58" t="s">
        <v>8729</v>
      </c>
      <c r="I280" s="58" t="s">
        <v>8729</v>
      </c>
      <c r="J280" s="58" t="str">
        <f>CONCATENATE("(${Variables:",E280,"_kcat","} * ",E280," * ",G280,")","/(${Variables:",E280,"_km","} + (",E280," * ",G280,"))")</f>
        <v>(${Variables:E5_4_99_18_kcat} * E5_4_99_18 * C15667)/(${Variables:E5_4_99_18_km} + (E5_4_99_18 * C15667))</v>
      </c>
      <c r="K280" s="59" t="str">
        <f>CONCATENATE("r",D280,": ",F280," -&gt; ",H280," | ",J280)</f>
        <v>r279: C15667 -&gt; C04751 | (${Variables:E5_4_99_18_kcat} * E5_4_99_18 * C15667)/(${Variables:E5_4_99_18_km} + (E5_4_99_18 * C15667))</v>
      </c>
    </row>
    <row r="281" spans="1:12" ht="32">
      <c r="A281" s="57" t="s">
        <v>1541</v>
      </c>
      <c r="B281" s="57" t="s">
        <v>5267</v>
      </c>
      <c r="C281" s="57" t="s">
        <v>9239</v>
      </c>
      <c r="D281" s="58">
        <v>280</v>
      </c>
      <c r="E281" s="58" t="str">
        <f>CONCATENATE("E",C281)</f>
        <v>E5_4_99_5</v>
      </c>
      <c r="F281" s="58" t="s">
        <v>8626</v>
      </c>
      <c r="G281" s="58" t="s">
        <v>8626</v>
      </c>
      <c r="H281" s="58" t="s">
        <v>8609</v>
      </c>
      <c r="I281" s="58" t="s">
        <v>8609</v>
      </c>
      <c r="J281" s="58" t="str">
        <f>CONCATENATE("(${Variables:",E281,"_kcat","} * ",E281," * ",G281,")","/(${Variables:",E281,"_km","} + (",E281," * ",G281,"))")</f>
        <v>(${Variables:E5_4_99_5_kcat} * E5_4_99_5 * C00251)/(${Variables:E5_4_99_5_km} + (E5_4_99_5 * C00251))</v>
      </c>
      <c r="K281" s="59" t="str">
        <f>CONCATENATE("r",D281,": ",F281," -&gt; ",H281," | ",J281)</f>
        <v>r280: C00251 -&gt; C00254 | (${Variables:E5_4_99_5_kcat} * E5_4_99_5 * C00251)/(${Variables:E5_4_99_5_km} + (E5_4_99_5 * C00251))</v>
      </c>
    </row>
    <row r="282" spans="1:12" ht="32">
      <c r="A282" s="57" t="s">
        <v>1449</v>
      </c>
      <c r="B282" s="57" t="s">
        <v>5069</v>
      </c>
      <c r="C282" s="57" t="s">
        <v>9240</v>
      </c>
      <c r="D282" s="58">
        <v>281</v>
      </c>
      <c r="E282" s="58" t="str">
        <f>CONCATENATE("E",C282)</f>
        <v>E5_4_99_9</v>
      </c>
      <c r="F282" s="58" t="s">
        <v>8673</v>
      </c>
      <c r="G282" s="58" t="s">
        <v>8673</v>
      </c>
      <c r="H282" s="58" t="s">
        <v>8735</v>
      </c>
      <c r="I282" s="58" t="s">
        <v>8735</v>
      </c>
      <c r="J282" s="58" t="str">
        <f>CONCATENATE("(${Variables:",E282,"_kcat","} * ",E282," * ",G282,")","/(${Variables:",E282,"_km","} + (",E282," * ",G282,"))")</f>
        <v>(${Variables:E5_4_99_9_kcat} * E5_4_99_9 * C00052)/(${Variables:E5_4_99_9_km} + (E5_4_99_9 * C00052))</v>
      </c>
      <c r="K282" s="59" t="str">
        <f>CONCATENATE("r",D282,": ",F282," -&gt; ",H282," | ",J282)</f>
        <v>r281: C00052 -&gt; C03733 | (${Variables:E5_4_99_9_kcat} * E5_4_99_9 * C00052)/(${Variables:E5_4_99_9_km} + (E5_4_99_9 * C00052))</v>
      </c>
    </row>
    <row r="283" spans="1:12" ht="48">
      <c r="A283" s="57" t="s">
        <v>1406</v>
      </c>
      <c r="B283" s="57" t="s">
        <v>4971</v>
      </c>
      <c r="C283" s="57" t="s">
        <v>9243</v>
      </c>
      <c r="D283" s="58">
        <v>282</v>
      </c>
      <c r="E283" s="58" t="str">
        <f>CONCATENATE("E",C283)</f>
        <v>E6_1_1_1</v>
      </c>
      <c r="F283" s="58" t="s">
        <v>10110</v>
      </c>
      <c r="G283" s="58" t="s">
        <v>10373</v>
      </c>
      <c r="H283" s="58" t="s">
        <v>10660</v>
      </c>
      <c r="I283" s="58" t="s">
        <v>10944</v>
      </c>
      <c r="J283" s="58" t="str">
        <f>CONCATENATE("(${Variables:",E283,"_kcat","} * ",E283," * ",G283,")","/(${Variables:",E283,"_km","} + (",E283," * ",G283,"))")</f>
        <v>(${Variables:E6_1_1_1_kcat} * E6_1_1_1 * C00002 * C00082 * C00787)/(${Variables:E6_1_1_1_km} + (E6_1_1_1 * C00002 * C00082 * C00787))</v>
      </c>
      <c r="K283" s="59" t="str">
        <f>CONCATENATE("r",D283,": ",F283," -&gt; ",H283," | ",J283)</f>
        <v>r282: C00002 + C00082 + C00787 -&gt; C00020 + C00013 + C02839 | (${Variables:E6_1_1_1_kcat} * E6_1_1_1 * C00002 * C00082 * C00787)/(${Variables:E6_1_1_1_km} + (E6_1_1_1 * C00002 * C00082 * C00787))</v>
      </c>
    </row>
    <row r="284" spans="1:12" ht="48">
      <c r="A284" s="57" t="s">
        <v>656</v>
      </c>
      <c r="B284" s="57" t="s">
        <v>3343</v>
      </c>
      <c r="C284" s="57" t="s">
        <v>9244</v>
      </c>
      <c r="D284" s="58">
        <v>283</v>
      </c>
      <c r="E284" s="58" t="str">
        <f>CONCATENATE("E",C284)</f>
        <v>E6_1_1_10</v>
      </c>
      <c r="F284" s="58" t="s">
        <v>10111</v>
      </c>
      <c r="G284" s="58" t="s">
        <v>10374</v>
      </c>
      <c r="H284" s="58" t="s">
        <v>10661</v>
      </c>
      <c r="I284" s="58" t="s">
        <v>10945</v>
      </c>
      <c r="J284" s="58" t="str">
        <f>CONCATENATE("(${Variables:",E284,"_kcat","} * ",E284," * ",G284,")","/(${Variables:",E284,"_km","} + (",E284," * ",G284,"))")</f>
        <v>(${Variables:E6_1_1_10_kcat} * E6_1_1_10 * C00002 * C00073 * C01647)/(${Variables:E6_1_1_10_km} + (E6_1_1_10 * C00002 * C00073 * C01647))</v>
      </c>
      <c r="K284" s="59" t="str">
        <f>CONCATENATE("r",D284,": ",F284," -&gt; ",H284," | ",J284)</f>
        <v>r283: C00002 + C00073 + C01647 -&gt; C000020 + C00013 + C02430 | (${Variables:E6_1_1_10_kcat} * E6_1_1_10 * C00002 * C00073 * C01647)/(${Variables:E6_1_1_10_km} + (E6_1_1_10 * C00002 * C00073 * C01647))</v>
      </c>
    </row>
    <row r="285" spans="1:12" ht="48">
      <c r="A285" s="57" t="s">
        <v>507</v>
      </c>
      <c r="B285" s="57" t="s">
        <v>3005</v>
      </c>
      <c r="C285" s="57" t="s">
        <v>9245</v>
      </c>
      <c r="D285" s="58">
        <v>284</v>
      </c>
      <c r="E285" s="58" t="str">
        <f>CONCATENATE("E",C285)</f>
        <v>E6_1_1_11</v>
      </c>
      <c r="F285" s="58" t="s">
        <v>10112</v>
      </c>
      <c r="G285" s="58" t="s">
        <v>10375</v>
      </c>
      <c r="H285" s="58" t="s">
        <v>10662</v>
      </c>
      <c r="I285" s="58" t="s">
        <v>10946</v>
      </c>
      <c r="J285" s="58" t="str">
        <f>CONCATENATE("(${Variables:",E285,"_kcat","} * ",E285," * ",G285,")","/(${Variables:",E285,"_km","} + (",E285," * ",G285,"))")</f>
        <v>(${Variables:E6_1_1_11_kcat} * E6_1_1_11 * C00002 * C00065 * C01650)/(${Variables:E6_1_1_11_km} + (E6_1_1_11 * C00002 * C00065 * C01650))</v>
      </c>
      <c r="K285" s="59" t="str">
        <f>CONCATENATE("r",D285,": ",F285," -&gt; ",H285," | ",J285)</f>
        <v>r284: C00002 + C00065 + C01650 -&gt; C00020 + C00013 + C02553 | (${Variables:E6_1_1_11_kcat} * E6_1_1_11 * C00002 * C00065 * C01650)/(${Variables:E6_1_1_11_km} + (E6_1_1_11 * C00002 * C00065 * C01650))</v>
      </c>
    </row>
    <row r="286" spans="1:12" ht="48">
      <c r="A286" s="57" t="s">
        <v>507</v>
      </c>
      <c r="B286" s="57" t="s">
        <v>7465</v>
      </c>
      <c r="C286" s="57" t="s">
        <v>9246</v>
      </c>
      <c r="D286" s="58">
        <v>285</v>
      </c>
      <c r="E286" s="58" t="str">
        <f>CONCATENATE("E",C286)</f>
        <v>E6_1_1_12</v>
      </c>
      <c r="F286" s="58" t="s">
        <v>10113</v>
      </c>
      <c r="G286" s="58" t="s">
        <v>10376</v>
      </c>
      <c r="H286" s="58" t="s">
        <v>10663</v>
      </c>
      <c r="I286" s="58" t="s">
        <v>10947</v>
      </c>
      <c r="J286" s="58" t="str">
        <f>CONCATENATE("(${Variables:",E286,"_kcat","} * ",E286," * ",G286,")","/(${Variables:",E286,"_km","} + (",E286," * ",G286,"))")</f>
        <v>(${Variables:E6_1_1_12_kcat} * E6_1_1_12 * C01638 * C00049 * C00002)/(${Variables:E6_1_1_12_km} + (E6_1_1_12 * C01638 * C00049 * C00002))</v>
      </c>
      <c r="K286" s="59" t="str">
        <f>CONCATENATE("r",D286,": ",F286," -&gt; ",H286," | ",J286)</f>
        <v>r285: C01638 + C00049 + C00002 -&gt; C02984 + C00013 + C00020 | (${Variables:E6_1_1_12_kcat} * E6_1_1_12 * C01638 * C00049 * C00002)/(${Variables:E6_1_1_12_km} + (E6_1_1_12 * C01638 * C00049 * C00002))</v>
      </c>
    </row>
    <row r="287" spans="1:12" ht="48">
      <c r="A287" s="57" t="s">
        <v>733</v>
      </c>
      <c r="B287" s="57" t="s">
        <v>3511</v>
      </c>
      <c r="C287" s="57" t="s">
        <v>9247</v>
      </c>
      <c r="D287" s="58">
        <v>286</v>
      </c>
      <c r="E287" s="58" t="str">
        <f>CONCATENATE("E",C287)</f>
        <v>E6_1_1_14</v>
      </c>
      <c r="F287" s="58" t="s">
        <v>10114</v>
      </c>
      <c r="G287" s="58" t="s">
        <v>10377</v>
      </c>
      <c r="H287" s="58" t="s">
        <v>10664</v>
      </c>
      <c r="I287" s="58" t="s">
        <v>10948</v>
      </c>
      <c r="J287" s="58" t="str">
        <f>CONCATENATE("(${Variables:",E287,"_kcat","} * ",E287," * ",G287,")","/(${Variables:",E287,"_km","} + (",E287," * ",G287,"))")</f>
        <v>(${Variables:E6_1_1_14_kcat} * E6_1_1_14 * C00002 * C00037 * C01642)/(${Variables:E6_1_1_14_km} + (E6_1_1_14 * C00002 * C00037 * C01642))</v>
      </c>
      <c r="K287" s="59" t="str">
        <f>CONCATENATE("r",D287,": ",F287," -&gt; ",H287," | ",J287)</f>
        <v>r286: C00002 + C00037 + C01642 -&gt; C00020 + C00013 + C02412 | (${Variables:E6_1_1_14_kcat} * E6_1_1_14 * C00002 * C00037 * C01642)/(${Variables:E6_1_1_14_km} + (E6_1_1_14 * C00002 * C00037 * C01642))</v>
      </c>
    </row>
    <row r="288" spans="1:12" ht="48">
      <c r="A288" s="57" t="s">
        <v>336</v>
      </c>
      <c r="B288" s="57" t="s">
        <v>2635</v>
      </c>
      <c r="C288" s="57" t="s">
        <v>9248</v>
      </c>
      <c r="D288" s="58">
        <v>287</v>
      </c>
      <c r="E288" s="58" t="str">
        <f>CONCATENATE("E",C288)</f>
        <v>E6_1_1_15</v>
      </c>
      <c r="F288" s="58" t="s">
        <v>10115</v>
      </c>
      <c r="G288" s="58" t="s">
        <v>10378</v>
      </c>
      <c r="H288" s="58" t="s">
        <v>10665</v>
      </c>
      <c r="I288" s="58" t="s">
        <v>10949</v>
      </c>
      <c r="J288" s="58" t="str">
        <f>CONCATENATE("(${Variables:",E288,"_kcat","} * ",E288," * ",G288,")","/(${Variables:",E288,"_km","} + (",E288," * ",G288,"))")</f>
        <v>(${Variables:E6_1_1_15_kcat} * E6_1_1_15 * C00002 * C00148 * C01649)/(${Variables:E6_1_1_15_km} + (E6_1_1_15 * C00002 * C00148 * C01649))</v>
      </c>
      <c r="K288" s="59" t="str">
        <f>CONCATENATE("r",D288,": ",F288," -&gt; ",H288," | ",J288)</f>
        <v>r287: C00002 + C00148 + C01649 -&gt; C00020 + C00013 + C02702 | (${Variables:E6_1_1_15_kcat} * E6_1_1_15 * C00002 * C00148 * C01649)/(${Variables:E6_1_1_15_km} + (E6_1_1_15 * C00002 * C00148 * C01649))</v>
      </c>
    </row>
    <row r="289" spans="1:12" ht="48">
      <c r="A289" s="57" t="s">
        <v>187</v>
      </c>
      <c r="B289" s="57" t="s">
        <v>2303</v>
      </c>
      <c r="C289" s="57" t="s">
        <v>9249</v>
      </c>
      <c r="D289" s="58">
        <v>288</v>
      </c>
      <c r="E289" s="58" t="str">
        <f>CONCATENATE("E",C289)</f>
        <v>E6_1_1_16</v>
      </c>
      <c r="F289" s="58" t="s">
        <v>10116</v>
      </c>
      <c r="G289" s="58" t="s">
        <v>10379</v>
      </c>
      <c r="H289" s="58" t="s">
        <v>10666</v>
      </c>
      <c r="I289" s="58" t="s">
        <v>10950</v>
      </c>
      <c r="J289" s="58" t="str">
        <f>CONCATENATE("(${Variables:",E289,"_kcat","} * ",E289," * ",G289,")","/(${Variables:",E289,"_km","} + (",E289," * ",G289,"))")</f>
        <v>(${Variables:E6_1_1_16_kcat} * E6_1_1_16 * C00002 * C00097 * C01639)/(${Variables:E6_1_1_16_km} + (E6_1_1_16 * C00002 * C00097 * C01639))</v>
      </c>
      <c r="K289" s="59" t="str">
        <f>CONCATENATE("r",D289,": ",F289," -&gt; ",H289," | ",J289)</f>
        <v>r288: C00002 + C00097 + C01639 -&gt; C00020 + C00013 + C03125 | (${Variables:E6_1_1_16_kcat} * E6_1_1_16 * C00002 * C00097 * C01639)/(${Variables:E6_1_1_16_km} + (E6_1_1_16 * C00002 * C00097 * C01639))</v>
      </c>
    </row>
    <row r="290" spans="1:12" ht="48">
      <c r="A290" s="57" t="s">
        <v>187</v>
      </c>
      <c r="B290" s="57" t="s">
        <v>7037</v>
      </c>
      <c r="C290" s="57" t="s">
        <v>9250</v>
      </c>
      <c r="D290" s="58">
        <v>289</v>
      </c>
      <c r="E290" s="58" t="str">
        <f>CONCATENATE("E",C290)</f>
        <v>E6_1_1_17</v>
      </c>
      <c r="F290" s="58" t="s">
        <v>10117</v>
      </c>
      <c r="G290" s="58" t="s">
        <v>10380</v>
      </c>
      <c r="H290" s="58" t="s">
        <v>10667</v>
      </c>
      <c r="I290" s="58" t="s">
        <v>10951</v>
      </c>
      <c r="J290" s="58" t="str">
        <f>CONCATENATE("(${Variables:",E290,"_kcat","} * ",E290," * ",G290,")","/(${Variables:",E290,"_km","} + (",E290," * ",G290,"))")</f>
        <v>(${Variables:E6_1_1_17_kcat} * E6_1_1_17 * C01641 * C00025 * C00002)/(${Variables:E6_1_1_17_km} + (E6_1_1_17 * C01641 * C00025 * C00002))</v>
      </c>
      <c r="K290" s="59" t="str">
        <f>CONCATENATE("r",D290,": ",F290," -&gt; ",H290," | ",J290)</f>
        <v>r289: C01641 + C00025 + C00002 -&gt; C02987 + C00013 + C00020 | (${Variables:E6_1_1_17_kcat} * E6_1_1_17 * C01641 * C00025 * C00002)/(${Variables:E6_1_1_17_km} + (E6_1_1_17 * C01641 * C00025 * C00002))</v>
      </c>
    </row>
    <row r="291" spans="1:12" ht="48">
      <c r="A291" s="57" t="s">
        <v>187</v>
      </c>
      <c r="B291" s="57" t="s">
        <v>7037</v>
      </c>
      <c r="C291" s="57" t="s">
        <v>9251</v>
      </c>
      <c r="D291" s="58">
        <v>290</v>
      </c>
      <c r="E291" s="58" t="str">
        <f>CONCATENATE("E",C291)</f>
        <v>E6_1_1_24</v>
      </c>
      <c r="F291" s="58" t="s">
        <v>10118</v>
      </c>
      <c r="G291" s="58" t="s">
        <v>10381</v>
      </c>
      <c r="H291" s="58" t="s">
        <v>10668</v>
      </c>
      <c r="I291" s="58" t="s">
        <v>10952</v>
      </c>
      <c r="J291" s="58" t="str">
        <f>CONCATENATE("(${Variables:",E291,"_kcat","} * ",E291," * ",G291,")","/(${Variables:",E291,"_km","} + (",E291," * ",G291,"))")</f>
        <v>(${Variables:E6_1_1_24_kcat} * E6_1_1_24 * C00002 * C00025 * C01640)/(${Variables:E6_1_1_24_km} + (E6_1_1_24 * C00002 * C00025 * C01640))</v>
      </c>
      <c r="K291" s="59" t="str">
        <f>CONCATENATE("r",D291,": ",F291," -&gt; ",H291," | ",J291)</f>
        <v>r290: C00002 + C00025 + C01640 -&gt; C00020 + C00013 + C06112 | (${Variables:E6_1_1_24_kcat} * E6_1_1_24 * C00002 * C00025 * C01640)/(${Variables:E6_1_1_24_km} + (E6_1_1_24 * C00002 * C00025 * C01640))</v>
      </c>
    </row>
    <row r="292" spans="1:12" ht="48">
      <c r="A292" s="57" t="s">
        <v>140</v>
      </c>
      <c r="B292" s="57" t="s">
        <v>2197</v>
      </c>
      <c r="C292" s="57" t="s">
        <v>9252</v>
      </c>
      <c r="D292" s="58">
        <v>291</v>
      </c>
      <c r="E292" s="58" t="str">
        <f>CONCATENATE("E",C292)</f>
        <v>E6_1_1_19</v>
      </c>
      <c r="F292" s="58" t="s">
        <v>10119</v>
      </c>
      <c r="G292" s="58" t="s">
        <v>10382</v>
      </c>
      <c r="H292" s="58" t="s">
        <v>10669</v>
      </c>
      <c r="I292" s="58" t="s">
        <v>10953</v>
      </c>
      <c r="J292" s="58" t="str">
        <f>CONCATENATE("(${Variables:",E292,"_kcat","} * ",E292," * ",G292,")","/(${Variables:",E292,"_km","} + (",E292," * ",G292,"))")</f>
        <v>(${Variables:E6_1_1_19_kcat} * E6_1_1_19 * C00002 * C00062 * C01636)/(${Variables:E6_1_1_19_km} + (E6_1_1_19 * C00002 * C00062 * C01636))</v>
      </c>
      <c r="K292" s="59" t="str">
        <f>CONCATENATE("r",D292,": ",F292," -&gt; ",H292," | ",J292)</f>
        <v>r291: C00002 + C00062 + C01636 -&gt; C00020 + C00013 + C02163 | (${Variables:E6_1_1_19_kcat} * E6_1_1_19 * C00002 * C00062 * C01636)/(${Variables:E6_1_1_19_km} + (E6_1_1_19 * C00002 * C00062 * C01636))</v>
      </c>
    </row>
    <row r="293" spans="1:12" ht="48">
      <c r="A293" s="57" t="s">
        <v>140</v>
      </c>
      <c r="B293" s="57" t="s">
        <v>7598</v>
      </c>
      <c r="C293" s="57" t="s">
        <v>9253</v>
      </c>
      <c r="D293" s="58">
        <v>292</v>
      </c>
      <c r="E293" s="58" t="str">
        <f>CONCATENATE("E",C293)</f>
        <v>E6_1_1_2</v>
      </c>
      <c r="F293" s="58" t="s">
        <v>10120</v>
      </c>
      <c r="G293" s="58" t="s">
        <v>10383</v>
      </c>
      <c r="H293" s="58" t="s">
        <v>10670</v>
      </c>
      <c r="I293" s="58" t="s">
        <v>10954</v>
      </c>
      <c r="J293" s="58" t="str">
        <f>CONCATENATE("(${Variables:",E293,"_kcat","} * ",E293," * ",G293,")","/(${Variables:",E293,"_km","} + (",E293," * ",G293,"))")</f>
        <v>(${Variables:E6_1_1_2_kcat} * E6_1_1_2 * C00002 * C00078 * C01652)/(${Variables:E6_1_1_2_km} + (E6_1_1_2 * C00002 * C00078 * C01652))</v>
      </c>
      <c r="K293" s="59" t="str">
        <f>CONCATENATE("r",D293,": ",F293," -&gt; ",H293," | ",J293)</f>
        <v>r292: C00002 + C00078 + C01652 -&gt; C00020 + C00013 + C03512 | (${Variables:E6_1_1_2_kcat} * E6_1_1_2 * C00002 * C00078 * C01652)/(${Variables:E6_1_1_2_km} + (E6_1_1_2 * C00002 * C00078 * C01652))</v>
      </c>
    </row>
    <row r="294" spans="1:12" ht="48">
      <c r="A294" s="57" t="s">
        <v>1677</v>
      </c>
      <c r="B294" s="57" t="s">
        <v>5583</v>
      </c>
      <c r="C294" s="57" t="s">
        <v>9254</v>
      </c>
      <c r="D294" s="58">
        <v>293</v>
      </c>
      <c r="E294" s="58" t="str">
        <f>CONCATENATE("E",C294)</f>
        <v>E6_1_1_20</v>
      </c>
      <c r="F294" s="58" t="s">
        <v>10121</v>
      </c>
      <c r="G294" s="58" t="s">
        <v>10384</v>
      </c>
      <c r="H294" s="58" t="s">
        <v>10671</v>
      </c>
      <c r="I294" s="58" t="s">
        <v>10955</v>
      </c>
      <c r="J294" s="58" t="str">
        <f>CONCATENATE("(${Variables:",E294,"_kcat","} * ",E294," * ",G294,")","/(${Variables:",E294,"_km","} + (",E294," * ",G294,"))")</f>
        <v>(${Variables:E6_1_1_20_kcat} * E6_1_1_20 * C00002 * C00079 * C01648)/(${Variables:E6_1_1_20_km} + (E6_1_1_20 * C00002 * C00079 * C01648))</v>
      </c>
      <c r="K294" s="59" t="str">
        <f>CONCATENATE("r",D294,": ",F294," -&gt; ",H294," | ",J294)</f>
        <v>r293: C00002 + C00079 + C01648 -&gt; C00020 + C00013 + C03511 | (${Variables:E6_1_1_20_kcat} * E6_1_1_20 * C00002 * C00079 * C01648)/(${Variables:E6_1_1_20_km} + (E6_1_1_20 * C00002 * C00079 * C01648))</v>
      </c>
    </row>
    <row r="295" spans="1:12" ht="48">
      <c r="A295" s="57" t="s">
        <v>1679</v>
      </c>
      <c r="B295" s="57" t="s">
        <v>7470</v>
      </c>
      <c r="C295" s="57" t="s">
        <v>9255</v>
      </c>
      <c r="D295" s="58">
        <v>294</v>
      </c>
      <c r="E295" s="58" t="str">
        <f>CONCATENATE("E",C295)</f>
        <v>E6_1_1_21</v>
      </c>
      <c r="F295" s="58" t="s">
        <v>10122</v>
      </c>
      <c r="G295" s="58" t="s">
        <v>10385</v>
      </c>
      <c r="H295" s="58" t="s">
        <v>10672</v>
      </c>
      <c r="I295" s="58" t="s">
        <v>10956</v>
      </c>
      <c r="J295" s="58" t="str">
        <f>CONCATENATE("(${Variables:",E295,"_kcat","} * ",E295," * ",G295,")","/(${Variables:",E295,"_km","} + (",E295," * ",G295,"))")</f>
        <v>(${Variables:E6_1_1_21_kcat} * E6_1_1_21 * C00002 * C00135 * C01643)/(${Variables:E6_1_1_21_km} + (E6_1_1_21 * C00002 * C00135 * C01643))</v>
      </c>
      <c r="K295" s="59" t="str">
        <f>CONCATENATE("r",D295,": ",F295," -&gt; ",H295," | ",J295)</f>
        <v>r294: C00002 + C00135 + C01643 -&gt; C00020 + C00013 + C02988 | (${Variables:E6_1_1_21_kcat} * E6_1_1_21 * C00002 * C00135 * C01643)/(${Variables:E6_1_1_21_km} + (E6_1_1_21 * C00002 * C00135 * C01643))</v>
      </c>
    </row>
    <row r="296" spans="1:12" ht="48">
      <c r="A296" s="57" t="s">
        <v>1105</v>
      </c>
      <c r="B296" s="57" t="s">
        <v>4374</v>
      </c>
      <c r="C296" s="57" t="s">
        <v>9256</v>
      </c>
      <c r="D296" s="58">
        <v>295</v>
      </c>
      <c r="E296" s="58" t="str">
        <f>CONCATENATE("E",C296)</f>
        <v>E6_1_1_22</v>
      </c>
      <c r="F296" s="58" t="s">
        <v>10123</v>
      </c>
      <c r="G296" s="58" t="s">
        <v>10386</v>
      </c>
      <c r="H296" s="58" t="s">
        <v>10673</v>
      </c>
      <c r="I296" s="58" t="s">
        <v>10957</v>
      </c>
      <c r="J296" s="58" t="str">
        <f>CONCATENATE("(${Variables:",E296,"_kcat","} * ",E296," * ",G296,")","/(${Variables:",E296,"_km","} + (",E296," * ",G296,"))")</f>
        <v>(${Variables:E6_1_1_22_kcat} * E6_1_1_22 * C00002 * C00152 * C01637)/(${Variables:E6_1_1_22_km} + (E6_1_1_22 * C00002 * C00152 * C01637))</v>
      </c>
      <c r="K296" s="59" t="str">
        <f>CONCATENATE("r",D296,": ",F296," -&gt; ",H296," | ",J296)</f>
        <v>r295: C00002 + C00152 + C01637 -&gt; C00020 + C00013 + C03402 | (${Variables:E6_1_1_22_kcat} * E6_1_1_22 * C00002 * C00152 * C01637)/(${Variables:E6_1_1_22_km} + (E6_1_1_22 * C00002 * C00152 * C01637))</v>
      </c>
    </row>
    <row r="297" spans="1:12" ht="48">
      <c r="A297" s="57" t="s">
        <v>803</v>
      </c>
      <c r="B297" s="57" t="s">
        <v>3683</v>
      </c>
      <c r="C297" s="57" t="s">
        <v>9257</v>
      </c>
      <c r="D297" s="58">
        <v>296</v>
      </c>
      <c r="E297" s="58" t="str">
        <f>CONCATENATE("E",C297)</f>
        <v>E6_1_1_3</v>
      </c>
      <c r="F297" s="58" t="s">
        <v>10124</v>
      </c>
      <c r="G297" s="58" t="s">
        <v>10387</v>
      </c>
      <c r="H297" s="58" t="s">
        <v>10674</v>
      </c>
      <c r="I297" s="58" t="s">
        <v>10958</v>
      </c>
      <c r="J297" s="58" t="str">
        <f>CONCATENATE("(${Variables:",E297,"_kcat","} * ",E297," * ",G297,")","/(${Variables:",E297,"_km","} + (",E297," * ",G297,"))")</f>
        <v>(${Variables:E6_1_1_3_kcat} * E6_1_1_3 * C00002 * C00188 * C01651)/(${Variables:E6_1_1_3_km} + (E6_1_1_3 * C00002 * C00188 * C01651))</v>
      </c>
      <c r="K297" s="59" t="str">
        <f>CONCATENATE("r",D297,": ",F297," -&gt; ",H297," | ",J297)</f>
        <v>r296: C00002 + C00188 + C01651 -&gt; C00020 + C00013 + C02992 | (${Variables:E6_1_1_3_kcat} * E6_1_1_3 * C00002 * C00188 * C01651)/(${Variables:E6_1_1_3_km} + (E6_1_1_3 * C00002 * C00188 * C01651))</v>
      </c>
    </row>
    <row r="298" spans="1:12" ht="48">
      <c r="A298" s="57" t="s">
        <v>363</v>
      </c>
      <c r="B298" s="57" t="s">
        <v>2691</v>
      </c>
      <c r="C298" s="57" t="s">
        <v>9258</v>
      </c>
      <c r="D298" s="58">
        <v>297</v>
      </c>
      <c r="E298" s="58" t="str">
        <f>CONCATENATE("E",C298)</f>
        <v>E6_1_1_4</v>
      </c>
      <c r="F298" s="58" t="s">
        <v>10125</v>
      </c>
      <c r="G298" s="58" t="s">
        <v>10388</v>
      </c>
      <c r="H298" s="58" t="s">
        <v>10675</v>
      </c>
      <c r="I298" s="58" t="s">
        <v>10959</v>
      </c>
      <c r="J298" s="58" t="str">
        <f>CONCATENATE("(${Variables:",E298,"_kcat","} * ",E298," * ",G298,")","/(${Variables:",E298,"_km","} + (",E298," * ",G298,"))")</f>
        <v>(${Variables:E6_1_1_4_kcat} * E6_1_1_4 * C00002 * C00123 * C01645)/(${Variables:E6_1_1_4_km} + (E6_1_1_4 * C00002 * C00123 * C01645))</v>
      </c>
      <c r="K298" s="59" t="str">
        <f>CONCATENATE("r",D298,": ",F298," -&gt; ",H298," | ",J298)</f>
        <v>r297: C00002 + C00123 + C01645 -&gt; C00020 + C00013 + C02047 | (${Variables:E6_1_1_4_kcat} * E6_1_1_4 * C00002 * C00123 * C01645)/(${Variables:E6_1_1_4_km} + (E6_1_1_4 * C00002 * C00123 * C01645))</v>
      </c>
    </row>
    <row r="299" spans="1:12" ht="48">
      <c r="A299" s="57" t="s">
        <v>1018</v>
      </c>
      <c r="B299" s="57" t="s">
        <v>4173</v>
      </c>
      <c r="C299" s="57" t="s">
        <v>9259</v>
      </c>
      <c r="D299" s="58">
        <v>298</v>
      </c>
      <c r="E299" s="58" t="str">
        <f>CONCATENATE("E",C299)</f>
        <v>E6_1_1_5</v>
      </c>
      <c r="F299" s="58" t="s">
        <v>10126</v>
      </c>
      <c r="G299" s="58" t="s">
        <v>10389</v>
      </c>
      <c r="H299" s="58" t="s">
        <v>10676</v>
      </c>
      <c r="I299" s="58" t="s">
        <v>10960</v>
      </c>
      <c r="J299" s="58" t="str">
        <f>CONCATENATE("(${Variables:",E299,"_kcat","} * ",E299," * ",G299,")","/(${Variables:",E299,"_km","} + (",E299," * ",G299,"))")</f>
        <v>(${Variables:E6_1_1_5_kcat} * E6_1_1_5 * C00002 * C00407 * C01644)/(${Variables:E6_1_1_5_km} + (E6_1_1_5 * C00002 * C00407 * C01644))</v>
      </c>
      <c r="K299" s="59" t="str">
        <f>CONCATENATE("r",D299,": ",F299," -&gt; ",H299," | ",J299)</f>
        <v>r298: C00002 + C00407 + C01644 -&gt; C00020 + C00013 + C03127 | (${Variables:E6_1_1_5_kcat} * E6_1_1_5 * C00002 * C00407 * C01644)/(${Variables:E6_1_1_5_km} + (E6_1_1_5 * C00002 * C00407 * C01644))</v>
      </c>
    </row>
    <row r="300" spans="1:12" ht="48">
      <c r="A300" s="57" t="s">
        <v>954</v>
      </c>
      <c r="B300" s="57" t="s">
        <v>4025</v>
      </c>
      <c r="C300" s="57" t="s">
        <v>9260</v>
      </c>
      <c r="D300" s="58">
        <v>299</v>
      </c>
      <c r="E300" s="58" t="str">
        <f>CONCATENATE("E",C300)</f>
        <v>E6_1_1_6</v>
      </c>
      <c r="F300" s="58" t="s">
        <v>10127</v>
      </c>
      <c r="G300" s="58" t="s">
        <v>10390</v>
      </c>
      <c r="H300" s="58" t="s">
        <v>10677</v>
      </c>
      <c r="I300" s="58" t="s">
        <v>10961</v>
      </c>
      <c r="J300" s="58" t="str">
        <f>CONCATENATE("(${Variables:",E300,"_kcat","} * ",E300," * ",G300,")","/(${Variables:",E300,"_km","} + (",E300," * ",G300,"))")</f>
        <v>(${Variables:E6_1_1_6_kcat} * E6_1_1_6 * C00002 * C00047 * C01646)/(${Variables:E6_1_1_6_km} + (E6_1_1_6 * C00002 * C00047 * C01646))</v>
      </c>
      <c r="K300" s="59" t="str">
        <f>CONCATENATE("r",D300,": ",F300," -&gt; ",H300," | ",J300)</f>
        <v>r299: C00002 + C00047 + C01646 -&gt; C00020 + C00013 + C01931 | (${Variables:E6_1_1_6_kcat} * E6_1_1_6 * C00002 * C00047 * C01646)/(${Variables:E6_1_1_6_km} + (E6_1_1_6 * C00002 * C00047 * C01646))</v>
      </c>
    </row>
    <row r="301" spans="1:12" ht="48">
      <c r="A301" s="57" t="s">
        <v>663</v>
      </c>
      <c r="B301" s="57" t="s">
        <v>3360</v>
      </c>
      <c r="C301" s="57" t="s">
        <v>9261</v>
      </c>
      <c r="D301" s="58">
        <v>300</v>
      </c>
      <c r="E301" s="58" t="str">
        <f>CONCATENATE("E",C301)</f>
        <v>E6_1_1_7</v>
      </c>
      <c r="F301" s="58" t="s">
        <v>10128</v>
      </c>
      <c r="G301" s="58" t="s">
        <v>10391</v>
      </c>
      <c r="H301" s="58" t="s">
        <v>10678</v>
      </c>
      <c r="I301" s="58" t="s">
        <v>10962</v>
      </c>
      <c r="J301" s="58" t="str">
        <f>CONCATENATE("(${Variables:",E301,"_kcat","} * ",E301," * ",G301,")","/(${Variables:",E301,"_km","} + (",E301," * ",G301,"))")</f>
        <v>(${Variables:E6_1_1_7_kcat} * E6_1_1_7 * C00002 * C00041 * C01635)/(${Variables:E6_1_1_7_km} + (E6_1_1_7 * C00002 * C00041 * C01635))</v>
      </c>
      <c r="K301" s="59" t="str">
        <f>CONCATENATE("r",D301,": ",F301," -&gt; ",H301," | ",J301)</f>
        <v>r300: C00002 + C00041 + C01635 -&gt; C00020 + C00013 +C00886 | (${Variables:E6_1_1_7_kcat} * E6_1_1_7 * C00002 * C00041 * C01635)/(${Variables:E6_1_1_7_km} + (E6_1_1_7 * C00002 * C00041 * C01635))</v>
      </c>
    </row>
    <row r="302" spans="1:12" ht="48">
      <c r="A302" s="57" t="s">
        <v>690</v>
      </c>
      <c r="B302" s="57" t="s">
        <v>3422</v>
      </c>
      <c r="C302" s="57" t="s">
        <v>9262</v>
      </c>
      <c r="D302" s="58">
        <v>301</v>
      </c>
      <c r="E302" s="58" t="str">
        <f>CONCATENATE("E",C302)</f>
        <v>E6_1_1_9</v>
      </c>
      <c r="F302" s="58" t="s">
        <v>10129</v>
      </c>
      <c r="G302" s="58" t="s">
        <v>10392</v>
      </c>
      <c r="H302" s="58" t="s">
        <v>10679</v>
      </c>
      <c r="I302" s="58" t="s">
        <v>10963</v>
      </c>
      <c r="J302" s="58" t="str">
        <f>CONCATENATE("(${Variables:",E302,"_kcat","} * ",E302," * ",G302,")","/(${Variables:",E302,"_km","} + (",E302," * ",G302,"))")</f>
        <v>(${Variables:E6_1_1_9_kcat} * E6_1_1_9 *  C00002 * C00183 * C01653)/(${Variables:E6_1_1_9_km} + (E6_1_1_9 *  C00002 * C00183 * C01653))</v>
      </c>
      <c r="K302" s="59" t="str">
        <f>CONCATENATE("r",D302,": ",F302," -&gt; ",H302," | ",J302)</f>
        <v>r301:  C00002 + C00183 + C01653 -&gt; C00020 + C00013 + C02554 | (${Variables:E6_1_1_9_kcat} * E6_1_1_9 *  C00002 * C00183 * C01653)/(${Variables:E6_1_1_9_km} + (E6_1_1_9 *  C00002 * C00183 * C01653))</v>
      </c>
    </row>
    <row r="303" spans="1:12" ht="48">
      <c r="A303" s="57" t="s">
        <v>576</v>
      </c>
      <c r="B303" s="57" t="s">
        <v>3156</v>
      </c>
      <c r="C303" s="57" t="s">
        <v>9264</v>
      </c>
      <c r="D303" s="58">
        <v>302</v>
      </c>
      <c r="E303" s="58" t="str">
        <f>CONCATENATE("E",C303)</f>
        <v>E6_3_1_1</v>
      </c>
      <c r="F303" s="58" t="s">
        <v>10130</v>
      </c>
      <c r="G303" s="58" t="s">
        <v>10393</v>
      </c>
      <c r="H303" s="58" t="s">
        <v>10680</v>
      </c>
      <c r="I303" s="58" t="s">
        <v>10964</v>
      </c>
      <c r="J303" s="58" t="str">
        <f>CONCATENATE("(${Variables:",E303,"_kcat","} * ",E303," * ",G303,")","/(${Variables:",E303,"_km","} + (",E303," * ",G303,"))")</f>
        <v>(${Variables:E6_3_1_1_kcat} * E6_3_1_1 * C00002 * C00049 * C00014)/(${Variables:E6_3_1_1_km} + (E6_3_1_1 * C00002 * C00049 * C00014))</v>
      </c>
      <c r="K303" s="59" t="str">
        <f>CONCATENATE("r",D303,": ",F303," -&gt; ",H303," | ",J303)</f>
        <v>r302: C00002 + C00049 + C00014 -&gt; C00020 + C00013 + C00152 | (${Variables:E6_3_1_1_kcat} * E6_3_1_1 * C00002 * C00049 * C00014)/(${Variables:E6_3_1_1_km} + (E6_3_1_1 * C00002 * C00049 * C00014))</v>
      </c>
    </row>
    <row r="304" spans="1:12" ht="48">
      <c r="A304" s="57" t="s">
        <v>576</v>
      </c>
      <c r="B304" s="57" t="s">
        <v>6934</v>
      </c>
      <c r="C304" s="57" t="s">
        <v>9265</v>
      </c>
      <c r="D304" s="58">
        <v>303</v>
      </c>
      <c r="E304" s="58" t="str">
        <f>CONCATENATE("E",C304)</f>
        <v>E6_3_1_2</v>
      </c>
      <c r="F304" s="58" t="s">
        <v>10131</v>
      </c>
      <c r="G304" s="58" t="s">
        <v>10394</v>
      </c>
      <c r="H304" s="58" t="s">
        <v>10681</v>
      </c>
      <c r="I304" s="58" t="s">
        <v>10965</v>
      </c>
      <c r="J304" s="58" t="str">
        <f>CONCATENATE("(${Variables:",E304,"_kcat","} * ",E304," * ",G304,")","/(${Variables:",E304,"_km","} + (",E304," * ",G304,"))")</f>
        <v>(${Variables:E6_3_1_2_kcat} * E6_3_1_2 * C00002 * C00025 * C00014)/(${Variables:E6_3_1_2_km} + (E6_3_1_2 * C00002 * C00025 * C00014))</v>
      </c>
      <c r="K304" s="59" t="str">
        <f>CONCATENATE("r",D304,": ",F304," -&gt; ",H304," | ",J304)</f>
        <v>r303: C00002 + C00025 + C00014 -&gt; C00008 + C00009 + C00064 | (${Variables:E6_3_1_2_kcat} * E6_3_1_2 * C00002 * C00025 * C00014)/(${Variables:E6_3_1_2_km} + (E6_3_1_2 * C00002 * C00025 * C00014))</v>
      </c>
      <c r="L304" s="61"/>
    </row>
    <row r="305" spans="1:12" ht="48">
      <c r="A305" s="57" t="s">
        <v>1365</v>
      </c>
      <c r="B305" s="57" t="s">
        <v>4892</v>
      </c>
      <c r="C305" s="57" t="s">
        <v>9266</v>
      </c>
      <c r="D305" s="58">
        <v>304</v>
      </c>
      <c r="E305" s="58" t="str">
        <f>CONCATENATE("E",C305)</f>
        <v>E6_3_1_20</v>
      </c>
      <c r="F305" s="58" t="s">
        <v>10132</v>
      </c>
      <c r="G305" s="58" t="s">
        <v>10395</v>
      </c>
      <c r="H305" s="58" t="s">
        <v>10682</v>
      </c>
      <c r="I305" s="58" t="s">
        <v>10966</v>
      </c>
      <c r="J305" s="58" t="str">
        <f>CONCATENATE("(${Variables:",E305,"_kcat","} * ",E305," * ",G305,")","/(${Variables:",E305,"_km","} + (",E305," * ",G305,"))")</f>
        <v>(${Variables:E6_3_1_20_kcat} * E6_3_1_20 * C00002 * C16241 * C16240)/(${Variables:E6_3_1_20_km} + (E6_3_1_20 * C00002 * C16241 * C16240))</v>
      </c>
      <c r="K305" s="59" t="str">
        <f>CONCATENATE("r",D305,": ",F305," -&gt; ",H305," | ",J305)</f>
        <v>r304: C00002 + C16241 + C16240 -&gt; C16237 + C00020 + C00013 | (${Variables:E6_3_1_20_kcat} * E6_3_1_20 * C00002 * C16241 * C16240)/(${Variables:E6_3_1_20_km} + (E6_3_1_20 * C00002 * C16241 * C16240))</v>
      </c>
    </row>
    <row r="306" spans="1:12" ht="48">
      <c r="A306" s="57" t="s">
        <v>370</v>
      </c>
      <c r="B306" s="57" t="s">
        <v>2707</v>
      </c>
      <c r="C306" s="57" t="s">
        <v>9267</v>
      </c>
      <c r="D306" s="58">
        <v>305</v>
      </c>
      <c r="E306" s="58" t="str">
        <f>CONCATENATE("E",C306)</f>
        <v>E6_3_1_5</v>
      </c>
      <c r="F306" s="58" t="s">
        <v>10133</v>
      </c>
      <c r="G306" s="58" t="s">
        <v>10396</v>
      </c>
      <c r="H306" s="58" t="s">
        <v>10683</v>
      </c>
      <c r="I306" s="58" t="s">
        <v>10967</v>
      </c>
      <c r="J306" s="58" t="str">
        <f>CONCATENATE("(${Variables:",E306,"_kcat","} * ",E306," * ",G306,")","/(${Variables:",E306,"_km","} + (",E306," * ",G306,"))")</f>
        <v>(${Variables:E6_3_1_5_kcat} * E6_3_1_5 * C00002 * C00857 * C00014)/(${Variables:E6_3_1_5_km} + (E6_3_1_5 * C00002 * C00857 * C00014))</v>
      </c>
      <c r="K306" s="59" t="str">
        <f>CONCATENATE("r",D306,": ",F306," -&gt; ",H306," | ",J306)</f>
        <v>r305: C00002 + C00857 + C00014 -&gt; C00020 + C00013 + C00003 | (${Variables:E6_3_1_5_kcat} * E6_3_1_5 * C00002 * C00857 * C00014)/(${Variables:E6_3_1_5_km} + (E6_3_1_5 * C00002 * C00857 * C00014))</v>
      </c>
    </row>
    <row r="307" spans="1:12" ht="48">
      <c r="A307" s="57" t="s">
        <v>370</v>
      </c>
      <c r="B307" s="57" t="s">
        <v>6339</v>
      </c>
      <c r="C307" s="57" t="s">
        <v>9268</v>
      </c>
      <c r="D307" s="58">
        <v>306</v>
      </c>
      <c r="E307" s="58" t="str">
        <f>CONCATENATE("E",C307)</f>
        <v>E6_3_2_10</v>
      </c>
      <c r="F307" s="58" t="s">
        <v>10134</v>
      </c>
      <c r="G307" s="58" t="s">
        <v>10397</v>
      </c>
      <c r="H307" s="58" t="s">
        <v>10684</v>
      </c>
      <c r="I307" s="58" t="s">
        <v>10968</v>
      </c>
      <c r="J307" s="58" t="str">
        <f>CONCATENATE("(${Variables:",E307,"_kcat","} * ",E307," * ",G307,")","/(${Variables:",E307,"_km","} + (",E307," * ",G307,"))")</f>
        <v>(${Variables:E6_3_2_10_kcat} * E6_3_2_10 * C00002 * C05892 * C00993)/(${Variables:E6_3_2_10_km} + (E6_3_2_10 * C00002 * C05892 * C00993))</v>
      </c>
      <c r="K307" s="59" t="str">
        <f>CONCATENATE("r",D307,": ",F307," -&gt; ",H307," | ",J307)</f>
        <v>r306: C00002 + C05892 + C00993 -&gt; C00008 + C00009 + C04702 | (${Variables:E6_3_2_10_kcat} * E6_3_2_10 * C00002 * C05892 * C00993)/(${Variables:E6_3_2_10_km} + (E6_3_2_10 * C00002 * C05892 * C00993))</v>
      </c>
    </row>
    <row r="308" spans="1:12" ht="48">
      <c r="A308" s="57" t="s">
        <v>606</v>
      </c>
      <c r="B308" s="57" t="s">
        <v>3234</v>
      </c>
      <c r="C308" s="57" t="s">
        <v>9269</v>
      </c>
      <c r="D308" s="58">
        <v>307</v>
      </c>
      <c r="E308" s="58" t="str">
        <f>CONCATENATE("E",C308)</f>
        <v>E6_3_2_12</v>
      </c>
      <c r="F308" s="58" t="s">
        <v>10135</v>
      </c>
      <c r="G308" s="58" t="s">
        <v>10398</v>
      </c>
      <c r="H308" s="58" t="s">
        <v>10685</v>
      </c>
      <c r="I308" s="58" t="s">
        <v>10969</v>
      </c>
      <c r="J308" s="58" t="str">
        <f>CONCATENATE("(${Variables:",E308,"_kcat","} * ",E308," * ",G308,")","/(${Variables:",E308,"_km","} + (",E308," * ",G308,"))")</f>
        <v>(${Variables:E6_3_2_12_kcat} * E6_3_2_12 * C00002 * C00921 * C00025)/(${Variables:E6_3_2_12_km} + (E6_3_2_12 * C00002 * C00921 * C00025))</v>
      </c>
      <c r="K308" s="59" t="str">
        <f>CONCATENATE("r",D308,": ",F308," -&gt; ",H308," | ",J308)</f>
        <v>r307: C00002 + C00921 + C00025 -&gt; C00008 + C00009 + C00415 | (${Variables:E6_3_2_12_kcat} * E6_3_2_12 * C00002 * C00921 * C00025)/(${Variables:E6_3_2_12_km} + (E6_3_2_12 * C00002 * C00921 * C00025))</v>
      </c>
      <c r="L308" s="61"/>
    </row>
    <row r="309" spans="1:12" ht="48">
      <c r="A309" s="57" t="s">
        <v>606</v>
      </c>
      <c r="B309" s="57" t="s">
        <v>3234</v>
      </c>
      <c r="C309" s="57" t="s">
        <v>9270</v>
      </c>
      <c r="D309" s="58">
        <v>308</v>
      </c>
      <c r="E309" s="58" t="str">
        <f>CONCATENATE("E",C309)</f>
        <v>E6_3_2_17</v>
      </c>
      <c r="F309" s="58" t="s">
        <v>11018</v>
      </c>
      <c r="G309" s="58" t="s">
        <v>11019</v>
      </c>
      <c r="H309" s="58" t="s">
        <v>11021</v>
      </c>
      <c r="I309" s="58" t="s">
        <v>11023</v>
      </c>
      <c r="J309" s="58" t="str">
        <f>CONCATENATE("(${Variables:",E309,"_kcat","} * ",E309," * ",G309,")","/(${Variables:",E309,"_km","} + (",E309," * ",G309,"))")</f>
        <v>(${Variables:E6_3_2_17_kcat} * E6_3_2_17 * C00002 * C03541 * C00025)/(${Variables:E6_3_2_17_km} + (E6_3_2_17 * C00002 * C03541 * C00025))</v>
      </c>
      <c r="K309" s="59" t="str">
        <f>CONCATENATE("r",D309,": ",F309," -&gt; ",H309," | ",J309)</f>
        <v>r308: C00002 + C03541  + C00025 -&gt; C00008 + C00009 + C0354 | (${Variables:E6_3_2_17_kcat} * E6_3_2_17 * C00002 * C03541 * C00025)/(${Variables:E6_3_2_17_km} + (E6_3_2_17 * C00002 * C03541 * C00025))</v>
      </c>
    </row>
    <row r="310" spans="1:12" ht="48">
      <c r="A310" s="57" t="s">
        <v>2006</v>
      </c>
      <c r="B310" s="57" t="s">
        <v>6242</v>
      </c>
      <c r="C310" s="57" t="s">
        <v>9270</v>
      </c>
      <c r="D310" s="58">
        <v>309</v>
      </c>
      <c r="E310" s="58" t="str">
        <f>CONCATENATE("E",C310)</f>
        <v>E6_3_2_17</v>
      </c>
      <c r="F310" s="58" t="s">
        <v>11018</v>
      </c>
      <c r="G310" s="58" t="s">
        <v>11020</v>
      </c>
      <c r="H310" s="58" t="s">
        <v>11022</v>
      </c>
      <c r="I310" s="58" t="s">
        <v>11023</v>
      </c>
      <c r="J310" s="58" t="str">
        <f>CONCATENATE("(${Variables:",E310,"_kcat","} * ",E310," * ",G310,")","/(${Variables:",E310,"_km","} + (",E310," * ",G310,"))")</f>
        <v>(${Variables:E6_3_2_17_kcat} * E6_3_2_17 * C00002 * C03541  * C00025)/(${Variables:E6_3_2_17_km} + (E6_3_2_17 * C00002 * C03541  * C00025))</v>
      </c>
      <c r="K310" s="59" t="str">
        <f>CONCATENATE("r",D310,": ",F310," -&gt; ",H310," | ",J310)</f>
        <v>r309: C00002 + C03541  + C00025 -&gt; C00008 + C00009 + C03541  | (${Variables:E6_3_2_17_kcat} * E6_3_2_17 * C00002 * C03541  * C00025)/(${Variables:E6_3_2_17_km} + (E6_3_2_17 * C00002 * C03541  * C00025))</v>
      </c>
      <c r="L310" s="61"/>
    </row>
    <row r="311" spans="1:12" ht="48">
      <c r="A311" s="57" t="s">
        <v>1840</v>
      </c>
      <c r="B311" s="57" t="s">
        <v>5889</v>
      </c>
      <c r="C311" s="57" t="s">
        <v>9271</v>
      </c>
      <c r="D311" s="58">
        <v>310</v>
      </c>
      <c r="E311" s="58" t="str">
        <f>CONCATENATE("E",C311)</f>
        <v>E6_3_2_2</v>
      </c>
      <c r="F311" s="58" t="s">
        <v>10136</v>
      </c>
      <c r="G311" s="58" t="s">
        <v>10399</v>
      </c>
      <c r="H311" s="58" t="s">
        <v>10686</v>
      </c>
      <c r="I311" s="58" t="s">
        <v>10970</v>
      </c>
      <c r="J311" s="58" t="str">
        <f>CONCATENATE("(${Variables:",E311,"_kcat","} * ",E311," * ",G311,")","/(${Variables:",E311,"_km","} + (",E311," * ",G311,"))")</f>
        <v>(${Variables:E6_3_2_2_kcat} * E6_3_2_2 * C00002 * C00025 * C00097)/(${Variables:E6_3_2_2_km} + (E6_3_2_2 * C00002 * C00025 * C00097))</v>
      </c>
      <c r="K311" s="59" t="str">
        <f>CONCATENATE("r",D311,": ",F311," -&gt; ",H311," | ",J311)</f>
        <v>r310: C00002 + C00025 + C00097 -&gt; C00008 + C00009 + C00669 | (${Variables:E6_3_2_2_kcat} * E6_3_2_2 * C00002 * C00025 * C00097)/(${Variables:E6_3_2_2_km} + (E6_3_2_2 * C00002 * C00025 * C00097))</v>
      </c>
    </row>
    <row r="312" spans="1:12" ht="48">
      <c r="A312" s="57" t="s">
        <v>1840</v>
      </c>
      <c r="B312" s="57" t="s">
        <v>5889</v>
      </c>
      <c r="C312" s="57" t="s">
        <v>9272</v>
      </c>
      <c r="D312" s="58">
        <v>311</v>
      </c>
      <c r="E312" s="58" t="str">
        <f>CONCATENATE("E",C312)</f>
        <v>E6_3_2_3</v>
      </c>
      <c r="F312" s="58" t="s">
        <v>10137</v>
      </c>
      <c r="G312" s="58" t="s">
        <v>10400</v>
      </c>
      <c r="H312" s="58" t="s">
        <v>10687</v>
      </c>
      <c r="I312" s="58" t="s">
        <v>10971</v>
      </c>
      <c r="J312" s="58" t="str">
        <f>CONCATENATE("(${Variables:",E312,"_kcat","} * ",E312," * ",G312,")","/(${Variables:",E312,"_km","} + (",E312," * ",G312,"))")</f>
        <v>(${Variables:E6_3_2_3_kcat} * E6_3_2_3 * C00002 * C00669 * C00037)/(${Variables:E6_3_2_3_km} + (E6_3_2_3 * C00002 * C00669 * C00037))</v>
      </c>
      <c r="K312" s="59" t="str">
        <f>CONCATENATE("r",D312,": ",F312," -&gt; ",H312," | ",J312)</f>
        <v>r311: C00002 + C00669 + C00037 -&gt; C00008 + C00009 + C00051 | (${Variables:E6_3_2_3_kcat} * E6_3_2_3 * C00002 * C00669 * C00037)/(${Variables:E6_3_2_3_km} + (E6_3_2_3 * C00002 * C00669 * C00037))</v>
      </c>
      <c r="L312" s="61"/>
    </row>
    <row r="313" spans="1:12" ht="48">
      <c r="A313" s="57" t="s">
        <v>1840</v>
      </c>
      <c r="B313" s="57" t="s">
        <v>6358</v>
      </c>
      <c r="C313" s="57" t="s">
        <v>9273</v>
      </c>
      <c r="D313" s="58">
        <v>312</v>
      </c>
      <c r="E313" s="58" t="str">
        <f>CONCATENATE("E",C313)</f>
        <v>E6_3_2_4</v>
      </c>
      <c r="F313" s="58" t="s">
        <v>11016</v>
      </c>
      <c r="G313" s="58" t="s">
        <v>11017</v>
      </c>
      <c r="H313" s="58" t="s">
        <v>10688</v>
      </c>
      <c r="I313" s="58" t="s">
        <v>10972</v>
      </c>
      <c r="J313" s="58" t="str">
        <f>CONCATENATE("(${Variables:",E313,"_kcat","} * ",E313," * ",G313,")","/(${Variables:",E313,"_km","} + (",E313," * ",G313,"))")</f>
        <v>(${Variables:E6_3_2_4_kcat} * E6_3_2_4 * C00002 * C00133 )/(${Variables:E6_3_2_4_km} + (E6_3_2_4 * C00002 * C00133 ))</v>
      </c>
      <c r="K313" s="59" t="str">
        <f>CONCATENATE("r",D313,": ",F313," -&gt; ",H313," | ",J313)</f>
        <v>r312: C00002 + C00133  -&gt; C00008 + C00009 + C00993 | (${Variables:E6_3_2_4_kcat} * E6_3_2_4 * C00002 * C00133 )/(${Variables:E6_3_2_4_km} + (E6_3_2_4 * C00002 * C00133 ))</v>
      </c>
    </row>
    <row r="314" spans="1:12" ht="48">
      <c r="A314" s="57" t="s">
        <v>1077</v>
      </c>
      <c r="B314" s="57" t="s">
        <v>4308</v>
      </c>
      <c r="C314" s="57" t="s">
        <v>9274</v>
      </c>
      <c r="D314" s="58">
        <v>313</v>
      </c>
      <c r="E314" s="58" t="str">
        <f>CONCATENATE("E",C314)</f>
        <v>E6_3_2_5</v>
      </c>
      <c r="F314" s="58" t="s">
        <v>10138</v>
      </c>
      <c r="G314" s="58" t="s">
        <v>10401</v>
      </c>
      <c r="H314" s="58" t="s">
        <v>10689</v>
      </c>
      <c r="I314" s="58" t="s">
        <v>10973</v>
      </c>
      <c r="J314" s="58" t="str">
        <f>CONCATENATE("(${Variables:",E314,"_kcat","} * ",E314," * ",G314,")","/(${Variables:",E314,"_km","} + (",E314," * ",G314,"))")</f>
        <v>(${Variables:E6_3_2_5_kcat} * E6_3_2_5 * C00063 * C03492 * C00097)/(${Variables:E6_3_2_5_km} + (E6_3_2_5 * C00063 * C03492 * C00097))</v>
      </c>
      <c r="K314" s="59" t="str">
        <f>CONCATENATE("r",D314,": ",F314," -&gt; ",H314," | ",J314)</f>
        <v>r313: C00063 + C03492 + C00097 -&gt; C00055 + C00013 + C04352 | (${Variables:E6_3_2_5_kcat} * E6_3_2_5 * C00063 * C03492 * C00097)/(${Variables:E6_3_2_5_km} + (E6_3_2_5 * C00063 * C03492 * C00097))</v>
      </c>
    </row>
    <row r="315" spans="1:12" ht="48">
      <c r="A315" s="57" t="s">
        <v>114</v>
      </c>
      <c r="B315" s="57" t="s">
        <v>2150</v>
      </c>
      <c r="C315" s="57" t="s">
        <v>9275</v>
      </c>
      <c r="D315" s="58">
        <v>314</v>
      </c>
      <c r="E315" s="58" t="str">
        <f>CONCATENATE("E",C315)</f>
        <v>E6_3_2_6</v>
      </c>
      <c r="F315" s="58" t="s">
        <v>10139</v>
      </c>
      <c r="G315" s="58" t="s">
        <v>10402</v>
      </c>
      <c r="H315" s="58" t="s">
        <v>10690</v>
      </c>
      <c r="I315" s="58" t="s">
        <v>10974</v>
      </c>
      <c r="J315" s="58" t="str">
        <f>CONCATENATE("(${Variables:",E315,"_kcat","} * ",E315," * ",G315,")","/(${Variables:",E315,"_km","} + (",E315," * ",G315,"))")</f>
        <v>(${Variables:E6_3_2_6_kcat} * E6_3_2_6 * C00002 * C04751 * C00049)/(${Variables:E6_3_2_6_km} + (E6_3_2_6 * C00002 * C04751 * C00049))</v>
      </c>
      <c r="K315" s="59" t="str">
        <f>CONCATENATE("r",D315,": ",F315," -&gt; ",H315," | ",J315)</f>
        <v>r314: C00002 + C04751 + C00049 -&gt; C00008 + C00009 + C04823 | (${Variables:E6_3_2_6_kcat} * E6_3_2_6 * C00002 * C04751 * C00049)/(${Variables:E6_3_2_6_km} + (E6_3_2_6 * C00002 * C04751 * C00049))</v>
      </c>
    </row>
    <row r="316" spans="1:12" ht="48">
      <c r="A316" s="57" t="s">
        <v>537</v>
      </c>
      <c r="B316" s="57" t="s">
        <v>3070</v>
      </c>
      <c r="C316" s="57" t="s">
        <v>9276</v>
      </c>
      <c r="D316" s="58">
        <v>315</v>
      </c>
      <c r="E316" s="58" t="str">
        <f>CONCATENATE("E",C316)</f>
        <v>E6_3_2_7</v>
      </c>
      <c r="F316" s="58" t="s">
        <v>10140</v>
      </c>
      <c r="G316" s="58" t="s">
        <v>10403</v>
      </c>
      <c r="H316" s="58" t="s">
        <v>10691</v>
      </c>
      <c r="I316" s="58" t="s">
        <v>10975</v>
      </c>
      <c r="J316" s="58" t="str">
        <f>CONCATENATE("(${Variables:",E316,"_kcat","} * ",E316," * ",G316,")","/(${Variables:",E316,"_km","} + (",E316," * ",G316,"))")</f>
        <v>(${Variables:E6_3_2_7_kcat} * E6_3_2_7 * C00002 * C00692 * C00047)/(${Variables:E6_3_2_7_km} + (E6_3_2_7 * C00002 * C00692 * C00047))</v>
      </c>
      <c r="K316" s="59" t="str">
        <f>CONCATENATE("r",D316,": ",F316," -&gt; ",H316," | ",J316)</f>
        <v>r315: C00002 + C00692 + C00047 -&gt; C00008 + C00009 + C05892 | (${Variables:E6_3_2_7_kcat} * E6_3_2_7 * C00002 * C00692 * C00047)/(${Variables:E6_3_2_7_km} + (E6_3_2_7 * C00002 * C00692 * C00047))</v>
      </c>
    </row>
    <row r="317" spans="1:12" ht="48">
      <c r="A317" s="57" t="s">
        <v>384</v>
      </c>
      <c r="B317" s="57" t="s">
        <v>2741</v>
      </c>
      <c r="C317" s="57" t="s">
        <v>9277</v>
      </c>
      <c r="D317" s="58">
        <v>316</v>
      </c>
      <c r="E317" s="58" t="str">
        <f>CONCATENATE("E",C317)</f>
        <v>E6_3_2_8</v>
      </c>
      <c r="F317" s="58" t="s">
        <v>10141</v>
      </c>
      <c r="G317" s="58" t="s">
        <v>10404</v>
      </c>
      <c r="H317" s="58" t="s">
        <v>10692</v>
      </c>
      <c r="I317" s="58" t="s">
        <v>10976</v>
      </c>
      <c r="J317" s="58" t="str">
        <f>CONCATENATE("(${Variables:",E317,"_kcat","} * ",E317," * ",G317,")","/(${Variables:",E317,"_km","} + (",E317," * ",G317,"))")</f>
        <v>(${Variables:E6_3_2_8_kcat} * E6_3_2_8 * C00002 * C01050 * C00041)/(${Variables:E6_3_2_8_km} + (E6_3_2_8 * C00002 * C01050 * C00041))</v>
      </c>
      <c r="K317" s="59" t="str">
        <f>CONCATENATE("r",D317,": ",F317," -&gt; ",H317," | ",J317)</f>
        <v>r316: C00002 + C01050 + C00041 -&gt; C00008 + C00009 + C01212 | (${Variables:E6_3_2_8_kcat} * E6_3_2_8 * C00002 * C01050 * C00041)/(${Variables:E6_3_2_8_km} + (E6_3_2_8 * C00002 * C01050 * C00041))</v>
      </c>
      <c r="L317" s="61"/>
    </row>
    <row r="318" spans="1:12" ht="48">
      <c r="A318" s="57" t="s">
        <v>1004</v>
      </c>
      <c r="B318" s="57" t="s">
        <v>4139</v>
      </c>
      <c r="C318" s="57" t="s">
        <v>9278</v>
      </c>
      <c r="D318" s="58">
        <v>317</v>
      </c>
      <c r="E318" s="58" t="str">
        <f>CONCATENATE("E",C318)</f>
        <v>E6_3_2_9</v>
      </c>
      <c r="F318" s="58" t="s">
        <v>10142</v>
      </c>
      <c r="G318" s="58" t="s">
        <v>10405</v>
      </c>
      <c r="H318" s="58" t="s">
        <v>10693</v>
      </c>
      <c r="I318" s="58" t="s">
        <v>10977</v>
      </c>
      <c r="J318" s="58" t="str">
        <f>CONCATENATE("(${Variables:",E318,"_kcat","} * ",E318," * ",G318,")","/(${Variables:",E318,"_km","} + (",E318," * ",G318,"))")</f>
        <v>(${Variables:E6_3_2_9_kcat} * E6_3_2_9 * C00002 * C01212 * C00217)/(${Variables:E6_3_2_9_km} + (E6_3_2_9 * C00002 * C01212 * C00217))</v>
      </c>
      <c r="K318" s="59" t="str">
        <f>CONCATENATE("r",D318,": ",F318," -&gt; ",H318," | ",J318)</f>
        <v>r317: C00002 + C01212 + C00217 -&gt; C00008 + C00009 + C00692 | (${Variables:E6_3_2_9_kcat} * E6_3_2_9 * C00002 * C01212 * C00217)/(${Variables:E6_3_2_9_km} + (E6_3_2_9 * C00002 * C01212 * C00217))</v>
      </c>
    </row>
    <row r="319" spans="1:12" ht="48">
      <c r="A319" s="57" t="s">
        <v>118</v>
      </c>
      <c r="B319" s="57" t="s">
        <v>2159</v>
      </c>
      <c r="C319" s="57" t="s">
        <v>9279</v>
      </c>
      <c r="D319" s="58">
        <v>318</v>
      </c>
      <c r="E319" s="58" t="str">
        <f>CONCATENATE("E",C319)</f>
        <v>E6_3_3_1</v>
      </c>
      <c r="F319" s="58" t="s">
        <v>10143</v>
      </c>
      <c r="G319" s="58" t="s">
        <v>10406</v>
      </c>
      <c r="H319" s="58" t="s">
        <v>10694</v>
      </c>
      <c r="I319" s="58" t="s">
        <v>10978</v>
      </c>
      <c r="J319" s="58" t="str">
        <f>CONCATENATE("(${Variables:",E319,"_kcat","} * ",E319," * ",G319,")","/(${Variables:",E319,"_km","} + (",E319," * ",G319,"))")</f>
        <v>(${Variables:E6_3_3_1_kcat} * E6_3_3_1 * C00002 * C04640)/(${Variables:E6_3_3_1_km} + (E6_3_3_1 * C00002 * C04640))</v>
      </c>
      <c r="K319" s="59" t="str">
        <f>CONCATENATE("r",D319,": ",F319," -&gt; ",H319," | ",J319)</f>
        <v>r318: C00002 + C04640 -&gt; C00008 + C00009 + C03373 | (${Variables:E6_3_3_1_kcat} * E6_3_3_1 * C00002 * C04640)/(${Variables:E6_3_3_1_km} + (E6_3_3_1 * C00002 * C04640))</v>
      </c>
    </row>
    <row r="320" spans="1:12" ht="48">
      <c r="A320" s="57" t="s">
        <v>128</v>
      </c>
      <c r="B320" s="57" t="s">
        <v>2176</v>
      </c>
      <c r="C320" s="57" t="s">
        <v>9281</v>
      </c>
      <c r="D320" s="58">
        <v>319</v>
      </c>
      <c r="E320" s="58" t="str">
        <f>CONCATENATE("E",C320)</f>
        <v>E6_3_4_13</v>
      </c>
      <c r="F320" s="58" t="s">
        <v>10144</v>
      </c>
      <c r="G320" s="58" t="s">
        <v>10407</v>
      </c>
      <c r="H320" s="58" t="s">
        <v>10695</v>
      </c>
      <c r="I320" s="58" t="s">
        <v>10979</v>
      </c>
      <c r="J320" s="58" t="str">
        <f>CONCATENATE("(${Variables:",E320,"_kcat","} * ",E320," * ",G320,")","/(${Variables:",E320,"_km","} + (",E320," * ",G320,"))")</f>
        <v>(${Variables:E6_3_4_13_kcat} * E6_3_4_13 * C00002 * C03090 * C00037)/(${Variables:E6_3_4_13_km} + (E6_3_4_13 * C00002 * C03090 * C00037))</v>
      </c>
      <c r="K320" s="59" t="str">
        <f>CONCATENATE("r",D320,": ",F320," -&gt; ",H320," | ",J320)</f>
        <v>r319: C00002 + C03090 + C00037 -&gt; C00008 + C00009 + C03838 | (${Variables:E6_3_4_13_kcat} * E6_3_4_13 * C00002 * C03090 * C00037)/(${Variables:E6_3_4_13_km} + (E6_3_4_13 * C00002 * C03090 * C00037))</v>
      </c>
    </row>
    <row r="321" spans="1:12" ht="48">
      <c r="A321" s="57" t="s">
        <v>592</v>
      </c>
      <c r="B321" s="57" t="s">
        <v>3198</v>
      </c>
      <c r="C321" s="57" t="s">
        <v>9282</v>
      </c>
      <c r="D321" s="58">
        <v>320</v>
      </c>
      <c r="E321" s="58" t="str">
        <f>CONCATENATE("E",C321)</f>
        <v>E6_3_4_14</v>
      </c>
      <c r="F321" s="58" t="s">
        <v>10145</v>
      </c>
      <c r="G321" s="58" t="s">
        <v>10408</v>
      </c>
      <c r="H321" s="58" t="s">
        <v>10696</v>
      </c>
      <c r="I321" s="58" t="s">
        <v>10980</v>
      </c>
      <c r="J321" s="58" t="str">
        <f>CONCATENATE("(${Variables:",E321,"_kcat","} * ",E321," * ",G321,")","/(${Variables:",E321,"_km","} + (",E321," * ",G321,"))")</f>
        <v>(${Variables:E6_3_4_14_kcat} * E6_3_4_14 * C00002 * C06250 * C00288)/(${Variables:E6_3_4_14_km} + (E6_3_4_14 * C00002 * C06250 * C00288))</v>
      </c>
      <c r="K321" s="59" t="str">
        <f>CONCATENATE("r",D321,": ",F321," -&gt; ",H321," | ",J321)</f>
        <v>r320: C00002 + C06250 + C00288 -&gt; C00008 + C00009 + C04419 | (${Variables:E6_3_4_14_kcat} * E6_3_4_14 * C00002 * C06250 * C00288)/(${Variables:E6_3_4_14_km} + (E6_3_4_14 * C00002 * C06250 * C00288))</v>
      </c>
      <c r="L321" s="61"/>
    </row>
    <row r="322" spans="1:12" ht="48">
      <c r="A322" s="57" t="s">
        <v>131</v>
      </c>
      <c r="B322" s="57" t="s">
        <v>2182</v>
      </c>
      <c r="C322" s="57" t="s">
        <v>9283</v>
      </c>
      <c r="D322" s="58">
        <v>321</v>
      </c>
      <c r="E322" s="58" t="str">
        <f>CONCATENATE("E",C322)</f>
        <v>E6_3_4_18</v>
      </c>
      <c r="F322" s="58" t="s">
        <v>10146</v>
      </c>
      <c r="G322" s="58" t="s">
        <v>10409</v>
      </c>
      <c r="H322" s="58" t="s">
        <v>10697</v>
      </c>
      <c r="I322" s="58" t="s">
        <v>10981</v>
      </c>
      <c r="J322" s="58" t="str">
        <f>CONCATENATE("(${Variables:",E322,"_kcat","} * ",E322," * ",G322,")","/(${Variables:",E322,"_km","} + (",E322," * ",G322,"))")</f>
        <v>(${Variables:E6_3_4_18_kcat} * E6_3_4_18 * C00002 * C03373 * C00288)/(${Variables:E6_3_4_18_km} + (E6_3_4_18 * C00002 * C03373 * C00288))</v>
      </c>
      <c r="K322" s="59" t="str">
        <f>CONCATENATE("r",D322,": ",F322," -&gt; ",H322," | ",J322)</f>
        <v>r321: C00002 + C03373 + C00288 -&gt; C00008 + C00009 + C15667 | (${Variables:E6_3_4_18_kcat} * E6_3_4_18 * C00002 * C03373 * C00288)/(${Variables:E6_3_4_18_km} + (E6_3_4_18 * C00002 * C03373 * C00288))</v>
      </c>
      <c r="L322" s="61"/>
    </row>
    <row r="323" spans="1:12" ht="48">
      <c r="A323" s="57" t="s">
        <v>71</v>
      </c>
      <c r="B323" s="57" t="s">
        <v>2083</v>
      </c>
      <c r="C323" s="57" t="s">
        <v>9284</v>
      </c>
      <c r="D323" s="58">
        <v>322</v>
      </c>
      <c r="E323" s="58" t="str">
        <f>CONCATENATE("E",C323)</f>
        <v>E6_3_4_19</v>
      </c>
      <c r="F323" s="58" t="s">
        <v>10147</v>
      </c>
      <c r="G323" s="58" t="s">
        <v>10410</v>
      </c>
      <c r="H323" s="58" t="s">
        <v>10698</v>
      </c>
      <c r="I323" s="58" t="s">
        <v>10982</v>
      </c>
      <c r="J323" s="58" t="str">
        <f>CONCATENATE("(${Variables:",E323,"_kcat","} * ",E323," * ",G323,")","/(${Variables:",E323,"_km","} + (",E323," * ",G323,"))")</f>
        <v>(${Variables:E6_3_4_19_kcat} * E6_3_4_19 * C19722 * C000047 * C00002)/(${Variables:E6_3_4_19_km} + (E6_3_4_19 * C19722 * C000047 * C00002))</v>
      </c>
      <c r="K323" s="59" t="str">
        <f>CONCATENATE("r",D323,": ",F323," -&gt; ",H323," | ",J323)</f>
        <v>r322: C19722 + C000047 + C00002 -&gt; C19723 + C00020 + C00013 + C00001 | (${Variables:E6_3_4_19_kcat} * E6_3_4_19 * C19722 * C000047 * C00002)/(${Variables:E6_3_4_19_km} + (E6_3_4_19 * C19722 * C000047 * C00002))</v>
      </c>
      <c r="L323" s="61"/>
    </row>
    <row r="324" spans="1:12" ht="32">
      <c r="A324" s="57" t="s">
        <v>259</v>
      </c>
      <c r="B324" s="57" t="s">
        <v>2449</v>
      </c>
      <c r="C324" s="57" t="s">
        <v>9285</v>
      </c>
      <c r="D324" s="58">
        <v>323</v>
      </c>
      <c r="E324" s="58" t="str">
        <f>CONCATENATE("E",C324)</f>
        <v>E6_3_4_2</v>
      </c>
      <c r="F324" s="58" t="s">
        <v>10001</v>
      </c>
      <c r="G324" s="58" t="s">
        <v>10264</v>
      </c>
      <c r="H324" s="58" t="s">
        <v>10527</v>
      </c>
      <c r="I324" s="58" t="s">
        <v>10811</v>
      </c>
      <c r="J324" s="58" t="str">
        <f>CONCATENATE("(${Variables:",E324,"_kcat","} * ",E324," * ",G324,")","/(${Variables:",E324,"_km","} + (",E324," * ",G324,"))")</f>
        <v>(${Variables:E6_3_4_2_kcat} * E6_3_4_2 * C00064 * C00001 )/(${Variables:E6_3_4_2_km} + (E6_3_4_2 * C00064 * C00001 ))</v>
      </c>
      <c r="K324" s="59" t="str">
        <f>CONCATENATE("r",D324,": ",F324," -&gt; ",H324," | ",J324)</f>
        <v>r323: C00064 + C00001  -&gt; C00025 + C00014 | (${Variables:E6_3_4_2_kcat} * E6_3_4_2 * C00064 * C00001 )/(${Variables:E6_3_4_2_km} + (E6_3_4_2 * C00064 * C00001 ))</v>
      </c>
      <c r="L324" s="61"/>
    </row>
    <row r="325" spans="1:12" ht="48">
      <c r="A325" s="57" t="s">
        <v>1117</v>
      </c>
      <c r="B325" s="57" t="s">
        <v>4393</v>
      </c>
      <c r="C325" s="57" t="s">
        <v>9286</v>
      </c>
      <c r="D325" s="58">
        <v>324</v>
      </c>
      <c r="E325" s="58" t="str">
        <f>CONCATENATE("E",C325)</f>
        <v>E6_3_4_20</v>
      </c>
      <c r="F325" s="58" t="s">
        <v>10148</v>
      </c>
      <c r="G325" s="58" t="s">
        <v>10411</v>
      </c>
      <c r="H325" s="58" t="s">
        <v>10699</v>
      </c>
      <c r="I325" s="58" t="s">
        <v>10983</v>
      </c>
      <c r="J325" s="58" t="str">
        <f>CONCATENATE("(${Variables:",E325,"_kcat","} * ",E325," * ",G325,")","/(${Variables:",E325,"_km","} + (",E325," * ",G325,"))")</f>
        <v>(${Variables:E6_3_4_20_kcat} * E6_3_4_20 * C20248 * C000014 * C00002)/(${Variables:E6_3_4_20_km} + (E6_3_4_20 * C20248 * C000014 * C00002))</v>
      </c>
      <c r="K325" s="59" t="str">
        <f>CONCATENATE("r",D325,": ",F325," -&gt; ",H325," | ",J325)</f>
        <v>r324: C20248 + C000014 + C00002 -&gt; C15996 + C00008 + C00009 + C00001 | (${Variables:E6_3_4_20_kcat} * E6_3_4_20 * C20248 * C000014 * C00002)/(${Variables:E6_3_4_20_km} + (E6_3_4_20 * C20248 * C000014 * C00002))</v>
      </c>
      <c r="L325" s="61"/>
    </row>
    <row r="326" spans="1:12" ht="64">
      <c r="A326" s="57" t="s">
        <v>369</v>
      </c>
      <c r="B326" s="57" t="s">
        <v>2704</v>
      </c>
      <c r="C326" s="57" t="s">
        <v>9287</v>
      </c>
      <c r="D326" s="58">
        <v>325</v>
      </c>
      <c r="E326" s="58" t="str">
        <f>CONCATENATE("E",C326)</f>
        <v>E6_3_4_21</v>
      </c>
      <c r="F326" s="58" t="s">
        <v>10149</v>
      </c>
      <c r="G326" s="58" t="s">
        <v>10412</v>
      </c>
      <c r="H326" s="58" t="s">
        <v>10700</v>
      </c>
      <c r="I326" s="58" t="s">
        <v>10984</v>
      </c>
      <c r="J326" s="58" t="str">
        <f>CONCATENATE("(${Variables:",E326,"_kcat","} * ",E326," * ",G326,")","/(${Variables:",E326,"_km","} + (",E326," * ",G326,"))")</f>
        <v>(${Variables:E6_3_4_21_kcat} * E6_3_4_21 * C01185 * C00013 * C00008 * C00009)/(${Variables:E6_3_4_21_km} + (E6_3_4_21 * C01185 * C00013 * C00008 * C00009))</v>
      </c>
      <c r="K326" s="59" t="str">
        <f>CONCATENATE("r",D326,": ",F326," -&gt; ",H326," | ",J326)</f>
        <v>r325: C01185 + C00013 + C00008 + C00009 -&gt; C00253 + C00119 + C00002 + C00001 + C00080 | (${Variables:E6_3_4_21_kcat} * E6_3_4_21 * C01185 * C00013 * C00008 * C00009)/(${Variables:E6_3_4_21_km} + (E6_3_4_21 * C01185 * C00013 * C00008 * C00009))</v>
      </c>
      <c r="L326" s="61"/>
    </row>
    <row r="327" spans="1:12" ht="48">
      <c r="A327" s="57" t="s">
        <v>1078</v>
      </c>
      <c r="B327" s="57" t="s">
        <v>4312</v>
      </c>
      <c r="C327" s="57" t="s">
        <v>9288</v>
      </c>
      <c r="D327" s="58">
        <v>326</v>
      </c>
      <c r="E327" s="58" t="str">
        <f>CONCATENATE("E",C327)</f>
        <v>E6_3_4_3</v>
      </c>
      <c r="F327" s="58" t="s">
        <v>10150</v>
      </c>
      <c r="G327" s="58" t="s">
        <v>10413</v>
      </c>
      <c r="H327" s="58" t="s">
        <v>10701</v>
      </c>
      <c r="I327" s="58" t="s">
        <v>10985</v>
      </c>
      <c r="J327" s="58" t="str">
        <f>CONCATENATE("(${Variables:",E327,"_kcat","} * ",E327," * ",G327,")","/(${Variables:",E327,"_km","} + (",E327," * ",G327,"))")</f>
        <v>(${Variables:E6_3_4_3_kcat} * E6_3_4_3 * C00101 * C00058 * C00002)/(${Variables:E6_3_4_3_km} + (E6_3_4_3 * C00101 * C00058 * C00002))</v>
      </c>
      <c r="K327" s="59" t="str">
        <f>CONCATENATE("r",D327,": ",F327," -&gt; ",H327," | ",J327)</f>
        <v>r326: C00101 + C00058 + C00002 -&gt; C00008 + C00009 + C00234 | (${Variables:E6_3_4_3_kcat} * E6_3_4_3 * C00101 * C00058 * C00002)/(${Variables:E6_3_4_3_km} + (E6_3_4_3 * C00101 * C00058 * C00002))</v>
      </c>
      <c r="L327" s="61"/>
    </row>
    <row r="328" spans="1:12" ht="48">
      <c r="A328" s="57" t="s">
        <v>1078</v>
      </c>
      <c r="B328" s="57" t="s">
        <v>7394</v>
      </c>
      <c r="C328" s="57" t="s">
        <v>9289</v>
      </c>
      <c r="D328" s="58">
        <v>327</v>
      </c>
      <c r="E328" s="58" t="str">
        <f>CONCATENATE("E",C328)</f>
        <v>E6_3_4_4</v>
      </c>
      <c r="F328" s="58" t="s">
        <v>10151</v>
      </c>
      <c r="G328" s="58" t="s">
        <v>10414</v>
      </c>
      <c r="H328" s="58" t="s">
        <v>10702</v>
      </c>
      <c r="I328" s="58" t="s">
        <v>10986</v>
      </c>
      <c r="J328" s="58" t="str">
        <f>CONCATENATE("(${Variables:",E328,"_kcat","} * ",E328," * ",G328,")","/(${Variables:",E328,"_km","} + (",E328," * ",G328,"))")</f>
        <v>(${Variables:E6_3_4_4_kcat} * E6_3_4_4 * C00044 * C00130 * C00049)/(${Variables:E6_3_4_4_km} + (E6_3_4_4 * C00044 * C00130 * C00049))</v>
      </c>
      <c r="K328" s="59" t="str">
        <f>CONCATENATE("r",D328,": ",F328," -&gt; ",H328," | ",J328)</f>
        <v>r327: C00044 + C00130 + C00049 -&gt; C00035 + C00009 + C03794 | (${Variables:E6_3_4_4_kcat} * E6_3_4_4 * C00044 * C00130 * C00049)/(${Variables:E6_3_4_4_km} + (E6_3_4_4 * C00044 * C00130 * C00049))</v>
      </c>
      <c r="L328" s="61"/>
    </row>
    <row r="329" spans="1:12" ht="48">
      <c r="A329" s="57" t="s">
        <v>1078</v>
      </c>
      <c r="B329" s="57" t="s">
        <v>7034</v>
      </c>
      <c r="C329" s="57" t="s">
        <v>9290</v>
      </c>
      <c r="D329" s="58">
        <v>328</v>
      </c>
      <c r="E329" s="58" t="str">
        <f>CONCATENATE("E",C329)</f>
        <v>E6_3_4_5</v>
      </c>
      <c r="F329" s="58" t="s">
        <v>10152</v>
      </c>
      <c r="G329" s="58" t="s">
        <v>10415</v>
      </c>
      <c r="H329" s="58" t="s">
        <v>10703</v>
      </c>
      <c r="I329" s="58" t="s">
        <v>10987</v>
      </c>
      <c r="J329" s="58" t="str">
        <f>CONCATENATE("(${Variables:",E329,"_kcat","} * ",E329," * ",G329,")","/(${Variables:",E329,"_km","} + (",E329," * ",G329,"))")</f>
        <v>(${Variables:E6_3_4_5_kcat} * E6_3_4_5 * C00002 * C00327 * C00049)/(${Variables:E6_3_4_5_km} + (E6_3_4_5 * C00002 * C00327 * C00049))</v>
      </c>
      <c r="K329" s="59" t="str">
        <f>CONCATENATE("r",D329,": ",F329," -&gt; ",H329," | ",J329)</f>
        <v>r328: C00002 + C00327 + C00049 -&gt; C00020 + C00013 + C03406 | (${Variables:E6_3_4_5_kcat} * E6_3_4_5 * C00002 * C00327 * C00049)/(${Variables:E6_3_4_5_km} + (E6_3_4_5 * C00002 * C00327 * C00049))</v>
      </c>
      <c r="L329" s="61"/>
    </row>
    <row r="330" spans="1:12" ht="48">
      <c r="A330" s="57" t="s">
        <v>1635</v>
      </c>
      <c r="B330" s="57" t="s">
        <v>5478</v>
      </c>
      <c r="C330" s="57" t="s">
        <v>9291</v>
      </c>
      <c r="D330" s="58">
        <v>329</v>
      </c>
      <c r="E330" s="58" t="str">
        <f>CONCATENATE("E",C330)</f>
        <v>E6_3_5_13</v>
      </c>
      <c r="F330" s="58" t="s">
        <v>10001</v>
      </c>
      <c r="G330" s="58" t="s">
        <v>10264</v>
      </c>
      <c r="H330" s="58" t="s">
        <v>10527</v>
      </c>
      <c r="I330" s="58" t="s">
        <v>10811</v>
      </c>
      <c r="J330" s="58" t="str">
        <f>CONCATENATE("(${Variables:",E330,"_kcat","} * ",E330," * ",G330,")","/(${Variables:",E330,"_km","} + (",E330," * ",G330,"))")</f>
        <v>(${Variables:E6_3_5_13_kcat} * E6_3_5_13 * C00064 * C00001 )/(${Variables:E6_3_5_13_km} + (E6_3_5_13 * C00064 * C00001 ))</v>
      </c>
      <c r="K330" s="59" t="str">
        <f>CONCATENATE("r",D330,": ",F330," -&gt; ",H330," | ",J330)</f>
        <v>r329: C00064 + C00001  -&gt; C00025 + C00014 | (${Variables:E6_3_5_13_kcat} * E6_3_5_13 * C00064 * C00001 )/(${Variables:E6_3_5_13_km} + (E6_3_5_13 * C00064 * C00001 ))</v>
      </c>
      <c r="L330" s="61"/>
    </row>
    <row r="331" spans="1:12" ht="32">
      <c r="A331" s="57" t="s">
        <v>1204</v>
      </c>
      <c r="B331" s="57" t="s">
        <v>4555</v>
      </c>
      <c r="C331" s="57" t="s">
        <v>9293</v>
      </c>
      <c r="D331" s="58">
        <v>330</v>
      </c>
      <c r="E331" s="58" t="str">
        <f>CONCATENATE("E",C331)</f>
        <v>E6_3_5_2</v>
      </c>
      <c r="F331" s="58" t="s">
        <v>10153</v>
      </c>
      <c r="G331" s="58" t="s">
        <v>10416</v>
      </c>
      <c r="H331" s="58" t="s">
        <v>10527</v>
      </c>
      <c r="I331" s="58" t="s">
        <v>10811</v>
      </c>
      <c r="J331" s="58" t="str">
        <f>CONCATENATE("(${Variables:",E331,"_kcat","} * ",E331," * ",G331,")","/(${Variables:",E331,"_km","} + (",E331," * ",G331,"))")</f>
        <v>(${Variables:E6_3_5_2_kcat} * E6_3_5_2 * C00064 * C00001)/(${Variables:E6_3_5_2_km} + (E6_3_5_2 * C00064 * C00001))</v>
      </c>
      <c r="K331" s="59" t="str">
        <f>CONCATENATE("r",D331,": ",F331," -&gt; ",H331," | ",J331)</f>
        <v>r330: C00064 + C00001 -&gt; C00025 + C00014 | (${Variables:E6_3_5_2_kcat} * E6_3_5_2 * C00064 * C00001)/(${Variables:E6_3_5_2_km} + (E6_3_5_2 * C00064 * C00001))</v>
      </c>
      <c r="L331" s="61"/>
    </row>
    <row r="332" spans="1:12" ht="64">
      <c r="A332" s="57" t="s">
        <v>115</v>
      </c>
      <c r="B332" s="57" t="s">
        <v>2153</v>
      </c>
      <c r="C332" s="57" t="s">
        <v>9294</v>
      </c>
      <c r="D332" s="58">
        <v>331</v>
      </c>
      <c r="E332" s="58" t="str">
        <f>CONCATENATE("E",C332)</f>
        <v>E6_3_5_3</v>
      </c>
      <c r="F332" s="58" t="s">
        <v>10154</v>
      </c>
      <c r="G332" s="58" t="s">
        <v>10417</v>
      </c>
      <c r="H332" s="58" t="s">
        <v>10704</v>
      </c>
      <c r="I332" s="58" t="s">
        <v>10988</v>
      </c>
      <c r="J332" s="58" t="str">
        <f>CONCATENATE("(${Variables:",E332,"_kcat","} * ",E332," * ",G332,")","/(${Variables:",E332,"_km","} + (",E332," * ",G332,"))")</f>
        <v>(${Variables:E6_3_5_3_kcat} * E6_3_5_3 * C00002 * C04376 * C0064 * C00001)/(${Variables:E6_3_5_3_km} + (E6_3_5_3 * C00002 * C04376 * C0064 * C00001))</v>
      </c>
      <c r="K332" s="59" t="str">
        <f>CONCATENATE("r",D332,": ",F332," -&gt; ",H332," | ",J332)</f>
        <v>r331: C00002 + C04376 + C0064 + C00001 -&gt; C00008 + C00009 + C04640 + C00025 | (${Variables:E6_3_5_3_kcat} * E6_3_5_3 * C00002 * C04376 * C0064 * C00001)/(${Variables:E6_3_5_3_km} + (E6_3_5_3 * C00002 * C04376 * C0064 * C00001))</v>
      </c>
      <c r="L332" s="61"/>
    </row>
    <row r="333" spans="1:12" ht="48">
      <c r="A333" s="57" t="s">
        <v>754</v>
      </c>
      <c r="B333" s="57" t="s">
        <v>3557</v>
      </c>
      <c r="C333" s="57" t="s">
        <v>9295</v>
      </c>
      <c r="D333" s="58">
        <v>332</v>
      </c>
      <c r="E333" s="58" t="str">
        <f>CONCATENATE("E",C333)</f>
        <v>E6_3_5_5</v>
      </c>
      <c r="F333" s="58" t="s">
        <v>10155</v>
      </c>
      <c r="G333" s="58" t="s">
        <v>10418</v>
      </c>
      <c r="H333" s="58" t="s">
        <v>10527</v>
      </c>
      <c r="I333" s="58" t="s">
        <v>10811</v>
      </c>
      <c r="J333" s="58" t="str">
        <f>CONCATENATE("(${Variables:",E333,"_kcat","} * ",E333," * ",G333,")","/(${Variables:",E333,"_km","} + (",E333," * ",G333,"))")</f>
        <v>(${Variables:E6_3_5_5_kcat} * E6_3_5_5 *  C00064 * C00001 )/(${Variables:E6_3_5_5_km} + (E6_3_5_5 *  C00064 * C00001 ))</v>
      </c>
      <c r="K333" s="59" t="str">
        <f>CONCATENATE("r",D333,": ",F333," -&gt; ",H333," | ",J333)</f>
        <v>r332:  C00064 + C00001  -&gt; C00025 + C00014 | (${Variables:E6_3_5_5_kcat} * E6_3_5_5 *  C00064 * C00001 )/(${Variables:E6_3_5_5_km} + (E6_3_5_5 *  C00064 * C00001 ))</v>
      </c>
      <c r="L333" s="61"/>
    </row>
    <row r="334" spans="1:12" ht="64">
      <c r="A334" s="57" t="s">
        <v>755</v>
      </c>
      <c r="B334" s="57" t="s">
        <v>6492</v>
      </c>
      <c r="C334" s="57" t="s">
        <v>9296</v>
      </c>
      <c r="D334" s="58">
        <v>333</v>
      </c>
      <c r="E334" s="58" t="str">
        <f>CONCATENATE("E",C334)</f>
        <v>E6_3_5_7</v>
      </c>
      <c r="F334" s="58" t="s">
        <v>10156</v>
      </c>
      <c r="G334" s="58" t="s">
        <v>10419</v>
      </c>
      <c r="H334" s="58" t="s">
        <v>10705</v>
      </c>
      <c r="I334" s="58" t="s">
        <v>10989</v>
      </c>
      <c r="J334" s="58" t="str">
        <f>CONCATENATE("(${Variables:",E334,"_kcat","} * ",E334," * ",G334,")","/(${Variables:",E334,"_km","} + (",E334," * ",G334,"))")</f>
        <v>(${Variables:E6_3_5_7_kcat} * E6_3_5_7 * C02282 * C00025 * C00009 * C00008)/(${Variables:E6_3_5_7_km} + (E6_3_5_7 * C02282 * C00025 * C00009 * C00008))</v>
      </c>
      <c r="K334" s="59" t="str">
        <f>CONCATENATE("r",D334,": ",F334," -&gt; ",H334," | ",J334)</f>
        <v>r333: C02282 + C00025 + C00009 + C00008 -&gt; C06112 + C00064 + C00002 + C00001 | (${Variables:E6_3_5_7_kcat} * E6_3_5_7 * C02282 * C00025 * C00009 * C00008)/(${Variables:E6_3_5_7_km} + (E6_3_5_7 * C02282 * C00025 * C00009 * C00008))</v>
      </c>
      <c r="L334" s="61"/>
    </row>
    <row r="335" spans="1:12" ht="48">
      <c r="A335" s="57" t="s">
        <v>590</v>
      </c>
      <c r="B335" s="57" t="s">
        <v>3191</v>
      </c>
      <c r="C335" s="57" t="s">
        <v>9297</v>
      </c>
      <c r="D335" s="58">
        <v>334</v>
      </c>
      <c r="E335" s="58" t="str">
        <f>CONCATENATE("E",C335)</f>
        <v>E6_4_1_2</v>
      </c>
      <c r="F335" s="58" t="s">
        <v>10157</v>
      </c>
      <c r="G335" s="58" t="s">
        <v>10420</v>
      </c>
      <c r="H335" s="58" t="s">
        <v>10706</v>
      </c>
      <c r="I335" s="58" t="s">
        <v>10990</v>
      </c>
      <c r="J335" s="58" t="str">
        <f>CONCATENATE("(${Variables:",E335,"_kcat","} * ",E335," * ",G335,")","/(${Variables:",E335,"_km","} + (",E335," * ",G335,"))")</f>
        <v>(${Variables:E6_4_1_2_kcat} * E6_4_1_2 * C00002 * C00024 * C00288)/(${Variables:E6_4_1_2_km} + (E6_4_1_2 * C00002 * C00024 * C00288))</v>
      </c>
      <c r="K335" s="59" t="str">
        <f>CONCATENATE("r",D335,": ",F335," -&gt; ",H335," | ",J335)</f>
        <v>r334: C00002 + C00024 + C00288 -&gt; C00008 + C00009 + C00083 | (${Variables:E6_4_1_2_kcat} * E6_4_1_2 * C00002 * C00024 * C00288)/(${Variables:E6_4_1_2_km} + (E6_4_1_2 * C00002 * C00024 * C00288))</v>
      </c>
      <c r="L335" s="61"/>
    </row>
    <row r="336" spans="1:12" ht="48">
      <c r="A336" s="57" t="s">
        <v>2021</v>
      </c>
      <c r="B336" s="57" t="s">
        <v>6271</v>
      </c>
      <c r="C336" s="57" t="s">
        <v>9298</v>
      </c>
      <c r="D336" s="58">
        <v>335</v>
      </c>
      <c r="E336" s="58" t="str">
        <f>CONCATENATE("E",C336)</f>
        <v>E6_5_1_2</v>
      </c>
      <c r="F336" s="58" t="s">
        <v>11648</v>
      </c>
      <c r="G336" s="58" t="s">
        <v>11649</v>
      </c>
      <c r="H336" s="58" t="s">
        <v>11650</v>
      </c>
      <c r="I336" s="58" t="s">
        <v>11651</v>
      </c>
      <c r="J336" s="58" t="str">
        <f>CONCATENATE("(${Variables:",E336,"_kcat","} * ",E336," * ",G336,")","/(${Variables:",E336,"_km","} + (",E336," * ",G336,"))")</f>
        <v>(${Variables:E6_5_1_2_kcat} * E6_5_1_2 * C00003 * C00039 * C02128)/(${Variables:E6_5_1_2_km} + (E6_5_1_2 * C00003 * C00039 * C02128))</v>
      </c>
      <c r="K336" s="59" t="str">
        <f>CONCATENATE("r",D336,": ",F336," -&gt; ",H336," | ",J336)</f>
        <v>r335: C00003 + C00039 + C02128 -&gt; C00020 + C00455 + C00039 | (${Variables:E6_5_1_2_kcat} * E6_5_1_2 * C00003 * C00039 * C02128)/(${Variables:E6_5_1_2_km} + (E6_5_1_2 * C00003 * C00039 * C02128))</v>
      </c>
      <c r="L336" s="61"/>
    </row>
    <row r="337" spans="1:12" ht="32">
      <c r="A337" s="57" t="s">
        <v>698</v>
      </c>
      <c r="B337" s="57" t="s">
        <v>3439</v>
      </c>
      <c r="C337" s="57" t="s">
        <v>9299</v>
      </c>
      <c r="D337" s="58">
        <v>336</v>
      </c>
      <c r="E337" s="58" t="str">
        <f>CONCATENATE("E",C337)</f>
        <v>E7_1_2_2</v>
      </c>
      <c r="F337" s="58" t="s">
        <v>10158</v>
      </c>
      <c r="G337" s="58" t="s">
        <v>10421</v>
      </c>
      <c r="H337" s="58" t="s">
        <v>10707</v>
      </c>
      <c r="I337" s="58" t="s">
        <v>10991</v>
      </c>
      <c r="J337" s="58" t="str">
        <f>CONCATENATE("(${Variables:",E337,"_kcat","} * ",E337," * ",G337,")","/(${Variables:",E337,"_km","} + (",E337," * ",G337,"))")</f>
        <v>(${Variables:E7_1_2_2_kcat} * E7_1_2_2 * C00002 * C00001)/(${Variables:E7_1_2_2_km} + (E7_1_2_2 * C00002 * C00001))</v>
      </c>
      <c r="K337" s="59" t="str">
        <f>CONCATENATE("r",D337,": ",F337," -&gt; ",H337," | ",J337)</f>
        <v>r336: C00002 + C00001 -&gt; C00008 + C00009 | (${Variables:E7_1_2_2_kcat} * E7_1_2_2 * C00002 * C00001)/(${Variables:E7_1_2_2_km} + (E7_1_2_2 * C00002 * C00001))</v>
      </c>
    </row>
    <row r="338" spans="1:12">
      <c r="A338"/>
      <c r="B338"/>
      <c r="C338"/>
      <c r="D338"/>
      <c r="E338"/>
      <c r="F338"/>
      <c r="G338"/>
      <c r="H338"/>
      <c r="I338"/>
      <c r="J338"/>
      <c r="K338"/>
    </row>
    <row r="339" spans="1:12">
      <c r="A339"/>
      <c r="B339"/>
      <c r="C339"/>
      <c r="D339"/>
      <c r="E339"/>
      <c r="F339"/>
      <c r="G339"/>
      <c r="H339"/>
      <c r="I339"/>
      <c r="J339"/>
      <c r="K339"/>
    </row>
    <row r="340" spans="1:12">
      <c r="A340"/>
      <c r="B340"/>
      <c r="C340"/>
      <c r="D340"/>
      <c r="E340"/>
      <c r="F340"/>
      <c r="G340"/>
      <c r="H340"/>
      <c r="I340"/>
      <c r="J340"/>
      <c r="K340"/>
    </row>
    <row r="341" spans="1:12">
      <c r="A341"/>
      <c r="B341"/>
      <c r="C341"/>
      <c r="D341"/>
      <c r="E341"/>
      <c r="F341"/>
      <c r="G341"/>
      <c r="H341"/>
      <c r="I341"/>
      <c r="J341"/>
      <c r="K341"/>
    </row>
    <row r="342" spans="1:12">
      <c r="A342"/>
      <c r="B342"/>
      <c r="C342"/>
      <c r="D342"/>
      <c r="E342"/>
      <c r="F342"/>
      <c r="G342"/>
      <c r="H342"/>
      <c r="I342"/>
      <c r="J342"/>
      <c r="K342"/>
    </row>
    <row r="343" spans="1:12">
      <c r="A343"/>
      <c r="B343"/>
      <c r="C343"/>
      <c r="D343"/>
      <c r="E343"/>
      <c r="F343"/>
      <c r="G343"/>
      <c r="H343"/>
      <c r="I343"/>
      <c r="J343"/>
      <c r="K343"/>
    </row>
    <row r="344" spans="1:12">
      <c r="A344"/>
      <c r="B344"/>
      <c r="C344"/>
      <c r="D344"/>
      <c r="E344"/>
      <c r="F344"/>
      <c r="G344"/>
      <c r="H344"/>
      <c r="I344"/>
      <c r="J344"/>
      <c r="K344"/>
    </row>
    <row r="345" spans="1:12">
      <c r="A345"/>
      <c r="B345"/>
      <c r="C345"/>
      <c r="D345"/>
      <c r="E345"/>
      <c r="F345"/>
      <c r="G345"/>
      <c r="H345"/>
      <c r="I345"/>
      <c r="J345"/>
      <c r="K345"/>
    </row>
    <row r="346" spans="1:12">
      <c r="A346"/>
      <c r="B346"/>
      <c r="C346"/>
      <c r="D346"/>
      <c r="E346"/>
      <c r="F346"/>
      <c r="G346"/>
      <c r="H346"/>
      <c r="I346"/>
      <c r="J346"/>
      <c r="K346"/>
    </row>
    <row r="347" spans="1:12">
      <c r="A347"/>
      <c r="B347"/>
      <c r="C347"/>
      <c r="D347"/>
      <c r="E347"/>
      <c r="F347"/>
      <c r="G347"/>
      <c r="H347"/>
      <c r="I347"/>
      <c r="J347"/>
      <c r="K347"/>
      <c r="L347" s="61"/>
    </row>
    <row r="348" spans="1:12">
      <c r="A348"/>
      <c r="B348"/>
      <c r="C348"/>
      <c r="D348"/>
      <c r="E348"/>
      <c r="F348"/>
      <c r="G348"/>
      <c r="H348"/>
      <c r="I348"/>
      <c r="J348"/>
      <c r="K348"/>
    </row>
    <row r="349" spans="1:12">
      <c r="A349"/>
      <c r="B349"/>
      <c r="C349"/>
      <c r="D349"/>
      <c r="E349"/>
      <c r="F349"/>
      <c r="G349"/>
      <c r="H349"/>
      <c r="I349"/>
      <c r="J349"/>
      <c r="K349"/>
      <c r="L349" s="61"/>
    </row>
    <row r="350" spans="1:12">
      <c r="A350"/>
      <c r="B350"/>
      <c r="C350"/>
      <c r="D350"/>
      <c r="E350"/>
      <c r="F350"/>
      <c r="G350"/>
      <c r="H350"/>
      <c r="I350"/>
      <c r="J350"/>
      <c r="K350"/>
    </row>
    <row r="351" spans="1:12">
      <c r="A351"/>
      <c r="B351"/>
      <c r="C351"/>
      <c r="D351"/>
      <c r="E351"/>
      <c r="F351"/>
      <c r="G351"/>
      <c r="H351"/>
      <c r="I351"/>
      <c r="J351"/>
      <c r="K351"/>
      <c r="L351" s="61"/>
    </row>
    <row r="352" spans="1:12">
      <c r="A352"/>
      <c r="B352"/>
      <c r="C352"/>
      <c r="D352"/>
      <c r="E352"/>
      <c r="F352"/>
      <c r="G352"/>
      <c r="H352"/>
      <c r="I352"/>
      <c r="J352"/>
      <c r="K352"/>
    </row>
    <row r="353" spans="1:12">
      <c r="A353"/>
      <c r="B353"/>
      <c r="C353"/>
      <c r="D353"/>
      <c r="E353"/>
      <c r="F353"/>
      <c r="G353"/>
      <c r="H353"/>
      <c r="I353"/>
      <c r="J353"/>
      <c r="K353"/>
    </row>
    <row r="354" spans="1:12">
      <c r="A354"/>
      <c r="B354"/>
      <c r="C354"/>
      <c r="D354"/>
      <c r="E354"/>
      <c r="F354"/>
      <c r="G354"/>
      <c r="H354"/>
      <c r="I354"/>
      <c r="J354"/>
      <c r="K354"/>
    </row>
    <row r="355" spans="1:12">
      <c r="A355"/>
      <c r="B355"/>
      <c r="C355"/>
      <c r="D355"/>
      <c r="E355"/>
      <c r="F355"/>
      <c r="G355"/>
      <c r="H355"/>
      <c r="I355"/>
      <c r="J355"/>
      <c r="K355"/>
      <c r="L355" s="61"/>
    </row>
    <row r="356" spans="1:12">
      <c r="A356"/>
      <c r="B356"/>
      <c r="C356"/>
      <c r="D356"/>
      <c r="E356"/>
      <c r="F356"/>
      <c r="G356"/>
      <c r="H356"/>
      <c r="I356"/>
      <c r="J356"/>
      <c r="K356"/>
    </row>
    <row r="357" spans="1:12">
      <c r="A357"/>
      <c r="B357"/>
      <c r="C357"/>
      <c r="D357"/>
      <c r="E357"/>
      <c r="F357"/>
      <c r="G357"/>
      <c r="H357"/>
      <c r="I357"/>
      <c r="J357"/>
      <c r="K357"/>
    </row>
    <row r="358" spans="1:12">
      <c r="A358"/>
      <c r="B358"/>
      <c r="C358"/>
      <c r="D358"/>
      <c r="E358"/>
      <c r="F358"/>
      <c r="G358"/>
      <c r="H358"/>
      <c r="I358"/>
      <c r="J358"/>
      <c r="K358"/>
    </row>
    <row r="359" spans="1:12">
      <c r="A359"/>
      <c r="B359"/>
      <c r="C359"/>
      <c r="D359"/>
      <c r="E359"/>
      <c r="F359"/>
      <c r="G359"/>
      <c r="H359"/>
      <c r="I359"/>
      <c r="J359"/>
      <c r="K359"/>
    </row>
    <row r="360" spans="1:12">
      <c r="A360"/>
      <c r="B360"/>
      <c r="C360"/>
      <c r="D360"/>
      <c r="E360"/>
      <c r="F360"/>
      <c r="G360"/>
      <c r="H360"/>
      <c r="I360"/>
      <c r="J360"/>
      <c r="K360"/>
    </row>
    <row r="361" spans="1:12">
      <c r="A361"/>
      <c r="B361"/>
      <c r="C361"/>
      <c r="D361"/>
      <c r="E361"/>
      <c r="F361"/>
      <c r="G361"/>
      <c r="H361"/>
      <c r="I361"/>
      <c r="J361"/>
      <c r="K361"/>
    </row>
    <row r="362" spans="1:12">
      <c r="A362"/>
      <c r="B362"/>
      <c r="C362"/>
      <c r="D362"/>
      <c r="E362"/>
      <c r="F362"/>
      <c r="G362"/>
      <c r="H362"/>
      <c r="I362"/>
      <c r="J362"/>
      <c r="K362"/>
    </row>
    <row r="363" spans="1:12">
      <c r="A363"/>
      <c r="B363"/>
      <c r="C363"/>
      <c r="D363"/>
      <c r="E363"/>
      <c r="F363"/>
      <c r="G363"/>
      <c r="H363"/>
      <c r="I363"/>
      <c r="J363"/>
      <c r="K363"/>
    </row>
    <row r="364" spans="1:12">
      <c r="A364"/>
      <c r="B364"/>
      <c r="C364"/>
      <c r="D364"/>
      <c r="E364"/>
      <c r="F364"/>
      <c r="G364"/>
      <c r="H364"/>
      <c r="I364"/>
      <c r="J364"/>
      <c r="K364"/>
    </row>
    <row r="365" spans="1:12">
      <c r="A365"/>
      <c r="B365"/>
      <c r="C365"/>
      <c r="D365"/>
      <c r="E365"/>
      <c r="F365"/>
      <c r="G365"/>
      <c r="H365"/>
      <c r="I365"/>
      <c r="J365"/>
      <c r="K365"/>
    </row>
    <row r="366" spans="1:12">
      <c r="A366"/>
      <c r="B366"/>
      <c r="C366"/>
      <c r="D366"/>
      <c r="E366"/>
      <c r="F366"/>
      <c r="G366"/>
      <c r="H366"/>
      <c r="I366"/>
      <c r="J366"/>
      <c r="K366"/>
    </row>
    <row r="367" spans="1:12">
      <c r="A367"/>
      <c r="B367"/>
      <c r="C367"/>
      <c r="D367"/>
      <c r="E367"/>
      <c r="F367"/>
      <c r="G367"/>
      <c r="H367"/>
      <c r="I367"/>
      <c r="J367"/>
      <c r="K367"/>
    </row>
    <row r="368" spans="1:12">
      <c r="A368"/>
      <c r="B368"/>
      <c r="C368"/>
      <c r="D368"/>
      <c r="E368"/>
      <c r="F368"/>
      <c r="G368"/>
      <c r="H368"/>
      <c r="I368"/>
      <c r="J368"/>
      <c r="K368"/>
      <c r="L368" s="61"/>
    </row>
    <row r="369" spans="1:12">
      <c r="A369"/>
      <c r="B369"/>
      <c r="C369"/>
      <c r="D369"/>
      <c r="E369"/>
      <c r="F369"/>
      <c r="G369"/>
      <c r="H369"/>
      <c r="I369"/>
      <c r="J369"/>
      <c r="K369"/>
    </row>
    <row r="370" spans="1:12">
      <c r="A370"/>
      <c r="B370"/>
      <c r="C370"/>
      <c r="D370"/>
      <c r="E370"/>
      <c r="F370"/>
      <c r="G370"/>
      <c r="H370"/>
      <c r="I370"/>
      <c r="J370"/>
      <c r="K370"/>
      <c r="L370" s="61"/>
    </row>
    <row r="371" spans="1:12">
      <c r="A371"/>
      <c r="B371"/>
      <c r="C371"/>
      <c r="D371"/>
      <c r="E371"/>
      <c r="F371"/>
      <c r="G371"/>
      <c r="H371"/>
      <c r="I371"/>
      <c r="J371"/>
      <c r="K371"/>
    </row>
    <row r="372" spans="1:12">
      <c r="A372"/>
      <c r="B372"/>
      <c r="C372"/>
      <c r="D372"/>
      <c r="E372"/>
      <c r="F372"/>
      <c r="G372"/>
      <c r="H372"/>
      <c r="I372"/>
      <c r="J372"/>
      <c r="K372"/>
      <c r="L372" s="61"/>
    </row>
    <row r="373" spans="1:12">
      <c r="A373"/>
      <c r="B373"/>
      <c r="C373"/>
      <c r="D373"/>
      <c r="E373"/>
      <c r="F373"/>
      <c r="G373"/>
      <c r="H373"/>
      <c r="I373"/>
      <c r="J373"/>
      <c r="K373"/>
    </row>
    <row r="374" spans="1:12">
      <c r="A374"/>
      <c r="B374"/>
      <c r="C374"/>
      <c r="D374"/>
      <c r="E374"/>
      <c r="F374"/>
      <c r="G374"/>
      <c r="H374"/>
      <c r="I374"/>
      <c r="J374"/>
      <c r="K374"/>
      <c r="L374" s="61"/>
    </row>
    <row r="375" spans="1:12">
      <c r="A375"/>
      <c r="B375"/>
      <c r="C375"/>
      <c r="D375"/>
      <c r="E375"/>
      <c r="F375"/>
      <c r="G375"/>
      <c r="H375"/>
      <c r="I375"/>
      <c r="J375"/>
      <c r="K375"/>
    </row>
    <row r="376" spans="1:12">
      <c r="A376"/>
      <c r="B376"/>
      <c r="C376"/>
      <c r="D376"/>
      <c r="E376"/>
      <c r="F376"/>
      <c r="G376"/>
      <c r="H376"/>
      <c r="I376"/>
      <c r="J376"/>
      <c r="K376"/>
      <c r="L376" s="61"/>
    </row>
    <row r="377" spans="1:12">
      <c r="A377"/>
      <c r="B377"/>
      <c r="C377"/>
      <c r="D377"/>
      <c r="E377"/>
      <c r="F377"/>
      <c r="G377"/>
      <c r="H377"/>
      <c r="I377"/>
      <c r="J377"/>
      <c r="K377"/>
    </row>
    <row r="378" spans="1:12">
      <c r="A378"/>
      <c r="B378"/>
      <c r="C378"/>
      <c r="D378"/>
      <c r="E378"/>
      <c r="F378"/>
      <c r="G378"/>
      <c r="H378"/>
      <c r="I378"/>
      <c r="J378"/>
      <c r="K378"/>
      <c r="L378" s="61"/>
    </row>
    <row r="379" spans="1:12">
      <c r="A379"/>
      <c r="B379"/>
      <c r="C379"/>
      <c r="D379"/>
      <c r="E379"/>
      <c r="F379"/>
      <c r="G379"/>
      <c r="H379"/>
      <c r="I379"/>
      <c r="J379"/>
      <c r="K379"/>
    </row>
    <row r="380" spans="1:12">
      <c r="A380"/>
      <c r="B380"/>
      <c r="C380"/>
      <c r="D380"/>
      <c r="E380"/>
      <c r="F380"/>
      <c r="G380"/>
      <c r="H380"/>
      <c r="I380"/>
      <c r="J380"/>
      <c r="K380"/>
      <c r="L380" s="61"/>
    </row>
    <row r="381" spans="1:12">
      <c r="A381"/>
      <c r="B381"/>
      <c r="C381"/>
      <c r="D381"/>
      <c r="E381"/>
      <c r="F381"/>
      <c r="G381"/>
      <c r="H381"/>
      <c r="I381"/>
      <c r="J381"/>
      <c r="K381"/>
      <c r="L381" s="61"/>
    </row>
    <row r="382" spans="1:12">
      <c r="A382"/>
      <c r="B382"/>
      <c r="C382"/>
      <c r="D382"/>
      <c r="E382"/>
      <c r="F382"/>
      <c r="G382"/>
      <c r="H382"/>
      <c r="I382"/>
      <c r="J382"/>
      <c r="K382"/>
    </row>
    <row r="383" spans="1:12">
      <c r="A383"/>
      <c r="B383"/>
      <c r="C383"/>
      <c r="D383"/>
      <c r="E383"/>
      <c r="F383"/>
      <c r="G383"/>
      <c r="H383"/>
      <c r="I383"/>
      <c r="J383"/>
      <c r="K383"/>
      <c r="L383" s="61"/>
    </row>
    <row r="384" spans="1:12">
      <c r="A384"/>
      <c r="B384"/>
      <c r="C384"/>
      <c r="D384"/>
      <c r="E384"/>
      <c r="F384"/>
      <c r="G384"/>
      <c r="H384"/>
      <c r="I384"/>
      <c r="J384"/>
      <c r="K384"/>
    </row>
    <row r="385" spans="1:13">
      <c r="A385"/>
      <c r="B385"/>
      <c r="C385"/>
      <c r="D385"/>
      <c r="E385"/>
      <c r="F385"/>
      <c r="G385"/>
      <c r="H385"/>
      <c r="I385"/>
      <c r="J385"/>
      <c r="K385"/>
      <c r="L385" s="61"/>
    </row>
    <row r="386" spans="1:13">
      <c r="A386"/>
      <c r="B386"/>
      <c r="C386"/>
      <c r="D386"/>
      <c r="E386"/>
      <c r="F386"/>
      <c r="G386"/>
      <c r="H386"/>
      <c r="I386"/>
      <c r="J386"/>
      <c r="K386"/>
      <c r="L386" s="61"/>
    </row>
    <row r="387" spans="1:13">
      <c r="A387"/>
      <c r="B387"/>
      <c r="C387"/>
      <c r="D387"/>
      <c r="E387"/>
      <c r="F387"/>
      <c r="G387"/>
      <c r="H387"/>
      <c r="I387"/>
      <c r="J387"/>
      <c r="K387"/>
      <c r="L387" s="61"/>
    </row>
    <row r="388" spans="1:13">
      <c r="A388"/>
      <c r="B388"/>
      <c r="C388"/>
      <c r="D388"/>
      <c r="E388"/>
      <c r="F388"/>
      <c r="G388"/>
      <c r="H388"/>
      <c r="I388"/>
      <c r="J388"/>
      <c r="K388"/>
      <c r="L388" s="61"/>
    </row>
    <row r="389" spans="1:13">
      <c r="A389"/>
      <c r="B389"/>
      <c r="C389"/>
      <c r="D389"/>
      <c r="E389"/>
      <c r="F389"/>
      <c r="G389"/>
      <c r="H389"/>
      <c r="I389"/>
      <c r="J389"/>
      <c r="K389"/>
      <c r="L389" s="61"/>
    </row>
    <row r="390" spans="1:13">
      <c r="A390"/>
      <c r="B390"/>
      <c r="C390"/>
      <c r="D390"/>
      <c r="E390"/>
      <c r="F390"/>
      <c r="G390"/>
      <c r="H390"/>
      <c r="I390"/>
      <c r="J390"/>
      <c r="K390"/>
      <c r="L390" s="61"/>
    </row>
    <row r="391" spans="1:13">
      <c r="A391"/>
      <c r="B391"/>
      <c r="C391"/>
      <c r="D391"/>
      <c r="E391"/>
      <c r="F391"/>
      <c r="G391"/>
      <c r="H391"/>
      <c r="I391"/>
      <c r="J391"/>
      <c r="K391"/>
      <c r="L391" s="61"/>
      <c r="M391" s="61" t="s">
        <v>9895</v>
      </c>
    </row>
    <row r="392" spans="1:13">
      <c r="A392"/>
      <c r="B392"/>
      <c r="C392"/>
      <c r="D392"/>
      <c r="E392"/>
      <c r="F392"/>
      <c r="G392"/>
      <c r="H392"/>
      <c r="I392"/>
      <c r="J392"/>
      <c r="K392"/>
      <c r="L392" s="61"/>
    </row>
    <row r="393" spans="1:13">
      <c r="A393"/>
      <c r="B393"/>
      <c r="C393"/>
      <c r="D393"/>
      <c r="E393"/>
      <c r="F393"/>
      <c r="G393"/>
      <c r="H393"/>
      <c r="I393"/>
      <c r="J393"/>
      <c r="K393"/>
      <c r="L393" s="61"/>
    </row>
    <row r="394" spans="1:13">
      <c r="A394"/>
      <c r="B394"/>
      <c r="C394"/>
      <c r="D394"/>
      <c r="E394"/>
      <c r="F394"/>
      <c r="G394"/>
      <c r="H394"/>
      <c r="I394"/>
      <c r="J394"/>
      <c r="K394"/>
      <c r="L394" s="61"/>
    </row>
    <row r="395" spans="1:13">
      <c r="A395"/>
      <c r="B395"/>
      <c r="C395"/>
      <c r="D395"/>
      <c r="E395"/>
      <c r="F395"/>
      <c r="G395"/>
      <c r="H395"/>
      <c r="I395"/>
      <c r="J395"/>
      <c r="K395"/>
      <c r="L395" s="61"/>
    </row>
    <row r="396" spans="1:13">
      <c r="A396"/>
      <c r="B396"/>
      <c r="C396"/>
      <c r="D396"/>
      <c r="E396"/>
      <c r="F396"/>
      <c r="G396"/>
      <c r="H396"/>
      <c r="I396"/>
      <c r="J396"/>
      <c r="K396"/>
      <c r="L396" s="61"/>
    </row>
    <row r="397" spans="1:13">
      <c r="A397"/>
      <c r="B397"/>
      <c r="C397"/>
      <c r="D397"/>
      <c r="E397"/>
      <c r="F397"/>
      <c r="G397"/>
      <c r="H397"/>
      <c r="I397"/>
      <c r="J397"/>
      <c r="K397"/>
      <c r="L397" s="61"/>
    </row>
    <row r="398" spans="1:13">
      <c r="A398"/>
      <c r="B398"/>
      <c r="C398"/>
      <c r="D398"/>
      <c r="E398"/>
      <c r="F398"/>
      <c r="G398"/>
      <c r="H398"/>
      <c r="I398"/>
      <c r="J398"/>
      <c r="K398"/>
      <c r="L398" s="61"/>
    </row>
    <row r="399" spans="1:13">
      <c r="A399"/>
      <c r="B399"/>
      <c r="C399"/>
      <c r="D399"/>
      <c r="E399"/>
      <c r="F399"/>
      <c r="G399"/>
      <c r="H399"/>
      <c r="I399"/>
      <c r="J399"/>
      <c r="K399"/>
      <c r="L399" s="61"/>
    </row>
    <row r="400" spans="1:13">
      <c r="A400"/>
      <c r="B400"/>
      <c r="C400"/>
      <c r="D400"/>
      <c r="E400"/>
      <c r="F400"/>
      <c r="G400"/>
      <c r="H400"/>
      <c r="I400"/>
      <c r="J400"/>
      <c r="K400"/>
      <c r="L400" s="61"/>
    </row>
    <row r="401" spans="1:12">
      <c r="A401"/>
      <c r="B401"/>
      <c r="C401"/>
      <c r="D401"/>
      <c r="E401"/>
      <c r="F401"/>
      <c r="G401"/>
      <c r="H401"/>
      <c r="I401"/>
      <c r="J401"/>
      <c r="K401"/>
      <c r="L401" s="61"/>
    </row>
    <row r="402" spans="1:12">
      <c r="A402"/>
      <c r="B402"/>
      <c r="C402"/>
      <c r="D402"/>
      <c r="E402"/>
      <c r="F402"/>
      <c r="G402"/>
      <c r="H402"/>
      <c r="I402"/>
      <c r="J402"/>
      <c r="K402"/>
      <c r="L402" s="61"/>
    </row>
    <row r="403" spans="1:12">
      <c r="A403"/>
      <c r="B403"/>
      <c r="C403"/>
      <c r="D403"/>
      <c r="E403"/>
      <c r="F403"/>
      <c r="G403"/>
      <c r="H403"/>
      <c r="I403"/>
      <c r="J403"/>
      <c r="K403"/>
      <c r="L403" s="61"/>
    </row>
    <row r="404" spans="1:12">
      <c r="I404" s="61"/>
      <c r="J404" s="61"/>
      <c r="L404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Peptide</vt:lpstr>
      <vt:lpstr>EC number</vt:lpstr>
      <vt:lpstr>Metabolites</vt:lpstr>
      <vt:lpstr>Enzyme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Sragvi Verma</dc:creator>
  <cp:lastModifiedBy>M L</cp:lastModifiedBy>
  <dcterms:created xsi:type="dcterms:W3CDTF">2025-05-29T04:18:55Z</dcterms:created>
  <dcterms:modified xsi:type="dcterms:W3CDTF">2025-11-09T03:08:02Z</dcterms:modified>
</cp:coreProperties>
</file>