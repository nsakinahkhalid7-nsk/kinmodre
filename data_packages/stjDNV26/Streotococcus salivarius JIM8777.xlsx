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data_packages\stjDNV26\"/>
    </mc:Choice>
  </mc:AlternateContent>
  <xr:revisionPtr revIDLastSave="0" documentId="13_ncr:1_{D0356451-8DF3-49B6-B37A-DDF01DB851A0}" xr6:coauthVersionLast="47" xr6:coauthVersionMax="47" xr10:uidLastSave="{00000000-0000-0000-0000-000000000000}"/>
  <bookViews>
    <workbookView xWindow="-110" yWindow="-110" windowWidth="19420" windowHeight="11500" activeTab="5" xr2:uid="{859F0969-318F-43BB-AEB5-7D0B20E73322}"/>
  </bookViews>
  <sheets>
    <sheet name="Information" sheetId="7" r:id="rId1"/>
    <sheet name="Peptides" sheetId="2" r:id="rId2"/>
    <sheet name="EC number" sheetId="3" r:id="rId3"/>
    <sheet name="Metabolites" sheetId="4" r:id="rId4"/>
    <sheet name="Enzymes" sheetId="5" r:id="rId5"/>
    <sheet name="Rea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2" i="4"/>
  <c r="C124" i="4"/>
  <c r="C110" i="4"/>
  <c r="C109" i="4"/>
  <c r="C77" i="4"/>
  <c r="C65" i="4"/>
  <c r="C62" i="4"/>
  <c r="C63" i="4"/>
  <c r="C61" i="4"/>
  <c r="C53" i="4"/>
  <c r="C52" i="4"/>
  <c r="C50" i="4"/>
  <c r="C42" i="4"/>
  <c r="C40" i="4"/>
  <c r="C35" i="4"/>
  <c r="C32" i="4"/>
  <c r="C30" i="4"/>
  <c r="C28" i="4"/>
  <c r="C27" i="4"/>
  <c r="C20" i="4"/>
  <c r="C21" i="4"/>
  <c r="C22" i="4"/>
  <c r="C23" i="4"/>
  <c r="C24" i="4"/>
  <c r="C19" i="4"/>
  <c r="C16" i="4"/>
  <c r="C14" i="4"/>
  <c r="C15" i="4"/>
  <c r="C13" i="4"/>
  <c r="C3" i="4"/>
  <c r="C4" i="4"/>
  <c r="C5" i="4"/>
  <c r="C6" i="4"/>
  <c r="C7" i="4"/>
  <c r="C8" i="4"/>
  <c r="C9" i="4"/>
  <c r="C10" i="4"/>
  <c r="C11" i="4"/>
  <c r="C12" i="4"/>
  <c r="C2" i="4"/>
  <c r="C17" i="4"/>
  <c r="C18" i="4"/>
  <c r="C25" i="4"/>
  <c r="C26" i="4"/>
  <c r="C29" i="4"/>
  <c r="C31" i="4"/>
  <c r="C33" i="4"/>
  <c r="C34" i="4"/>
  <c r="C36" i="4"/>
  <c r="C37" i="4"/>
  <c r="C38" i="4"/>
  <c r="C39" i="4"/>
  <c r="C41" i="4"/>
  <c r="C43" i="4"/>
  <c r="C44" i="4"/>
  <c r="C45" i="4"/>
  <c r="C46" i="4"/>
  <c r="C47" i="4"/>
  <c r="C48" i="4"/>
  <c r="C49" i="4"/>
  <c r="C51" i="4"/>
  <c r="C54" i="4"/>
  <c r="C55" i="4"/>
  <c r="C56" i="4"/>
  <c r="C57" i="4"/>
  <c r="C58" i="4"/>
  <c r="C59" i="4"/>
  <c r="C60" i="4"/>
  <c r="C64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E3" i="6" l="1"/>
  <c r="J3" i="6" s="1"/>
  <c r="K3" i="6" s="1"/>
  <c r="E4" i="6"/>
  <c r="J4" i="6" s="1"/>
  <c r="K4" i="6" s="1"/>
  <c r="E5" i="6"/>
  <c r="J5" i="6" s="1"/>
  <c r="K5" i="6" s="1"/>
  <c r="E6" i="6"/>
  <c r="J6" i="6" s="1"/>
  <c r="K6" i="6" s="1"/>
  <c r="E7" i="6"/>
  <c r="J7" i="6" s="1"/>
  <c r="K7" i="6" s="1"/>
  <c r="E8" i="6"/>
  <c r="J8" i="6" s="1"/>
  <c r="K8" i="6" s="1"/>
  <c r="E9" i="6"/>
  <c r="J9" i="6" s="1"/>
  <c r="K9" i="6" s="1"/>
  <c r="E10" i="6"/>
  <c r="J10" i="6" s="1"/>
  <c r="K10" i="6" s="1"/>
  <c r="E11" i="6"/>
  <c r="J11" i="6" s="1"/>
  <c r="K11" i="6" s="1"/>
  <c r="E12" i="6"/>
  <c r="J12" i="6" s="1"/>
  <c r="K12" i="6" s="1"/>
  <c r="E13" i="6"/>
  <c r="J13" i="6" s="1"/>
  <c r="K13" i="6" s="1"/>
  <c r="E14" i="6"/>
  <c r="J14" i="6" s="1"/>
  <c r="K14" i="6" s="1"/>
  <c r="E15" i="6"/>
  <c r="J15" i="6" s="1"/>
  <c r="K15" i="6" s="1"/>
  <c r="E16" i="6"/>
  <c r="J16" i="6" s="1"/>
  <c r="K16" i="6" s="1"/>
  <c r="E17" i="6"/>
  <c r="J17" i="6" s="1"/>
  <c r="K17" i="6" s="1"/>
  <c r="E18" i="6"/>
  <c r="J18" i="6" s="1"/>
  <c r="K18" i="6" s="1"/>
  <c r="E19" i="6"/>
  <c r="J19" i="6" s="1"/>
  <c r="K19" i="6" s="1"/>
  <c r="E20" i="6"/>
  <c r="J20" i="6" s="1"/>
  <c r="K20" i="6" s="1"/>
  <c r="E21" i="6"/>
  <c r="J21" i="6" s="1"/>
  <c r="K21" i="6" s="1"/>
  <c r="E22" i="6"/>
  <c r="J22" i="6" s="1"/>
  <c r="K22" i="6" s="1"/>
  <c r="E23" i="6"/>
  <c r="J23" i="6" s="1"/>
  <c r="K23" i="6" s="1"/>
  <c r="E24" i="6"/>
  <c r="J24" i="6" s="1"/>
  <c r="K24" i="6" s="1"/>
  <c r="E25" i="6"/>
  <c r="J25" i="6" s="1"/>
  <c r="K25" i="6" s="1"/>
  <c r="E26" i="6"/>
  <c r="J26" i="6" s="1"/>
  <c r="K26" i="6" s="1"/>
  <c r="E27" i="6"/>
  <c r="J27" i="6" s="1"/>
  <c r="K27" i="6" s="1"/>
  <c r="E28" i="6"/>
  <c r="J28" i="6" s="1"/>
  <c r="K28" i="6" s="1"/>
  <c r="E29" i="6"/>
  <c r="J29" i="6" s="1"/>
  <c r="K29" i="6" s="1"/>
  <c r="E30" i="6"/>
  <c r="J30" i="6" s="1"/>
  <c r="K30" i="6" s="1"/>
  <c r="E31" i="6"/>
  <c r="J31" i="6" s="1"/>
  <c r="K31" i="6" s="1"/>
  <c r="E32" i="6"/>
  <c r="J32" i="6" s="1"/>
  <c r="K32" i="6" s="1"/>
  <c r="E33" i="6"/>
  <c r="J33" i="6" s="1"/>
  <c r="K33" i="6" s="1"/>
  <c r="E34" i="6"/>
  <c r="J34" i="6" s="1"/>
  <c r="K34" i="6" s="1"/>
  <c r="E35" i="6"/>
  <c r="J35" i="6" s="1"/>
  <c r="K35" i="6" s="1"/>
  <c r="E36" i="6"/>
  <c r="J36" i="6" s="1"/>
  <c r="K36" i="6" s="1"/>
  <c r="E37" i="6"/>
  <c r="J37" i="6" s="1"/>
  <c r="K37" i="6" s="1"/>
  <c r="E38" i="6"/>
  <c r="J38" i="6" s="1"/>
  <c r="K38" i="6" s="1"/>
  <c r="E39" i="6"/>
  <c r="J39" i="6" s="1"/>
  <c r="K39" i="6" s="1"/>
  <c r="E40" i="6"/>
  <c r="J40" i="6" s="1"/>
  <c r="K40" i="6" s="1"/>
  <c r="E41" i="6"/>
  <c r="J41" i="6" s="1"/>
  <c r="K41" i="6" s="1"/>
  <c r="E42" i="6"/>
  <c r="J42" i="6" s="1"/>
  <c r="K42" i="6" s="1"/>
  <c r="E43" i="6"/>
  <c r="J43" i="6" s="1"/>
  <c r="K43" i="6" s="1"/>
  <c r="E44" i="6"/>
  <c r="J44" i="6" s="1"/>
  <c r="K44" i="6" s="1"/>
  <c r="E45" i="6"/>
  <c r="J45" i="6" s="1"/>
  <c r="K45" i="6" s="1"/>
  <c r="E46" i="6"/>
  <c r="J46" i="6" s="1"/>
  <c r="K46" i="6" s="1"/>
  <c r="E47" i="6"/>
  <c r="J47" i="6" s="1"/>
  <c r="K47" i="6" s="1"/>
  <c r="E48" i="6"/>
  <c r="J48" i="6" s="1"/>
  <c r="K48" i="6" s="1"/>
  <c r="E49" i="6"/>
  <c r="J49" i="6" s="1"/>
  <c r="K49" i="6" s="1"/>
  <c r="E50" i="6"/>
  <c r="J50" i="6" s="1"/>
  <c r="K50" i="6" s="1"/>
  <c r="E51" i="6"/>
  <c r="J51" i="6" s="1"/>
  <c r="K51" i="6" s="1"/>
  <c r="E52" i="6"/>
  <c r="J52" i="6" s="1"/>
  <c r="K52" i="6" s="1"/>
  <c r="E53" i="6"/>
  <c r="J53" i="6" s="1"/>
  <c r="K53" i="6" s="1"/>
  <c r="E54" i="6"/>
  <c r="J54" i="6" s="1"/>
  <c r="K54" i="6" s="1"/>
  <c r="E55" i="6"/>
  <c r="J55" i="6" s="1"/>
  <c r="K55" i="6" s="1"/>
  <c r="E56" i="6"/>
  <c r="J56" i="6" s="1"/>
  <c r="K56" i="6" s="1"/>
  <c r="E57" i="6"/>
  <c r="J57" i="6" s="1"/>
  <c r="K57" i="6" s="1"/>
  <c r="E58" i="6"/>
  <c r="J58" i="6" s="1"/>
  <c r="K58" i="6" s="1"/>
  <c r="E59" i="6"/>
  <c r="J59" i="6" s="1"/>
  <c r="K59" i="6" s="1"/>
  <c r="E60" i="6"/>
  <c r="J60" i="6" s="1"/>
  <c r="K60" i="6" s="1"/>
  <c r="E61" i="6"/>
  <c r="J61" i="6" s="1"/>
  <c r="K61" i="6" s="1"/>
  <c r="E62" i="6"/>
  <c r="J62" i="6" s="1"/>
  <c r="K62" i="6" s="1"/>
  <c r="E63" i="6"/>
  <c r="J63" i="6" s="1"/>
  <c r="K63" i="6" s="1"/>
  <c r="E64" i="6"/>
  <c r="J64" i="6" s="1"/>
  <c r="K64" i="6" s="1"/>
  <c r="E65" i="6"/>
  <c r="J65" i="6" s="1"/>
  <c r="K65" i="6" s="1"/>
  <c r="E66" i="6"/>
  <c r="J66" i="6" s="1"/>
  <c r="K66" i="6" s="1"/>
  <c r="E67" i="6"/>
  <c r="J67" i="6" s="1"/>
  <c r="K67" i="6" s="1"/>
  <c r="E68" i="6"/>
  <c r="J68" i="6" s="1"/>
  <c r="K68" i="6" s="1"/>
  <c r="E69" i="6"/>
  <c r="J69" i="6" s="1"/>
  <c r="K69" i="6" s="1"/>
  <c r="E70" i="6"/>
  <c r="J70" i="6" s="1"/>
  <c r="K70" i="6" s="1"/>
  <c r="E71" i="6"/>
  <c r="J71" i="6" s="1"/>
  <c r="K71" i="6" s="1"/>
  <c r="E72" i="6"/>
  <c r="J72" i="6" s="1"/>
  <c r="K72" i="6" s="1"/>
  <c r="E73" i="6"/>
  <c r="J73" i="6" s="1"/>
  <c r="K73" i="6" s="1"/>
  <c r="E74" i="6"/>
  <c r="J74" i="6" s="1"/>
  <c r="K74" i="6" s="1"/>
  <c r="E75" i="6"/>
  <c r="J75" i="6" s="1"/>
  <c r="K75" i="6" s="1"/>
  <c r="E76" i="6"/>
  <c r="J76" i="6" s="1"/>
  <c r="K76" i="6" s="1"/>
  <c r="E77" i="6"/>
  <c r="J77" i="6" s="1"/>
  <c r="K77" i="6" s="1"/>
  <c r="E78" i="6"/>
  <c r="J78" i="6" s="1"/>
  <c r="K78" i="6" s="1"/>
  <c r="E79" i="6"/>
  <c r="J79" i="6" s="1"/>
  <c r="K79" i="6" s="1"/>
  <c r="E80" i="6"/>
  <c r="J80" i="6" s="1"/>
  <c r="K80" i="6" s="1"/>
  <c r="E81" i="6"/>
  <c r="J81" i="6" s="1"/>
  <c r="K81" i="6" s="1"/>
  <c r="E82" i="6"/>
  <c r="J82" i="6" s="1"/>
  <c r="K82" i="6" s="1"/>
  <c r="E83" i="6"/>
  <c r="J83" i="6" s="1"/>
  <c r="K83" i="6" s="1"/>
  <c r="E84" i="6"/>
  <c r="J84" i="6" s="1"/>
  <c r="K84" i="6" s="1"/>
  <c r="E85" i="6"/>
  <c r="J85" i="6" s="1"/>
  <c r="K85" i="6" s="1"/>
  <c r="E86" i="6"/>
  <c r="J86" i="6" s="1"/>
  <c r="K86" i="6" s="1"/>
  <c r="E87" i="6"/>
  <c r="J87" i="6" s="1"/>
  <c r="K87" i="6" s="1"/>
  <c r="E88" i="6"/>
  <c r="J88" i="6" s="1"/>
  <c r="K88" i="6" s="1"/>
  <c r="E89" i="6"/>
  <c r="J89" i="6" s="1"/>
  <c r="K89" i="6" s="1"/>
  <c r="E90" i="6"/>
  <c r="J90" i="6" s="1"/>
  <c r="K90" i="6" s="1"/>
  <c r="E91" i="6"/>
  <c r="J91" i="6" s="1"/>
  <c r="K91" i="6" s="1"/>
  <c r="E92" i="6"/>
  <c r="J92" i="6" s="1"/>
  <c r="K92" i="6" s="1"/>
  <c r="E93" i="6"/>
  <c r="J93" i="6" s="1"/>
  <c r="K93" i="6" s="1"/>
  <c r="E94" i="6"/>
  <c r="J94" i="6" s="1"/>
  <c r="K94" i="6" s="1"/>
  <c r="E95" i="6"/>
  <c r="J95" i="6" s="1"/>
  <c r="K95" i="6" s="1"/>
  <c r="E96" i="6"/>
  <c r="J96" i="6" s="1"/>
  <c r="K96" i="6" s="1"/>
  <c r="E97" i="6"/>
  <c r="J97" i="6" s="1"/>
  <c r="K97" i="6" s="1"/>
  <c r="E98" i="6"/>
  <c r="J98" i="6" s="1"/>
  <c r="K98" i="6" s="1"/>
  <c r="E99" i="6"/>
  <c r="J99" i="6" s="1"/>
  <c r="K99" i="6" s="1"/>
  <c r="E100" i="6"/>
  <c r="J100" i="6" s="1"/>
  <c r="K100" i="6" s="1"/>
  <c r="E101" i="6"/>
  <c r="J101" i="6" s="1"/>
  <c r="K101" i="6" s="1"/>
  <c r="E102" i="6"/>
  <c r="J102" i="6" s="1"/>
  <c r="K102" i="6" s="1"/>
  <c r="E103" i="6"/>
  <c r="J103" i="6" s="1"/>
  <c r="K103" i="6" s="1"/>
  <c r="E104" i="6"/>
  <c r="J104" i="6" s="1"/>
  <c r="K104" i="6" s="1"/>
  <c r="E105" i="6"/>
  <c r="J105" i="6" s="1"/>
  <c r="K105" i="6" s="1"/>
  <c r="E106" i="6"/>
  <c r="J106" i="6" s="1"/>
  <c r="K106" i="6" s="1"/>
  <c r="E107" i="6"/>
  <c r="J107" i="6" s="1"/>
  <c r="K107" i="6" s="1"/>
  <c r="E108" i="6"/>
  <c r="J108" i="6" s="1"/>
  <c r="K108" i="6" s="1"/>
  <c r="E109" i="6"/>
  <c r="J109" i="6" s="1"/>
  <c r="K109" i="6" s="1"/>
  <c r="E110" i="6"/>
  <c r="J110" i="6" s="1"/>
  <c r="K110" i="6" s="1"/>
  <c r="E111" i="6"/>
  <c r="J111" i="6" s="1"/>
  <c r="K111" i="6" s="1"/>
  <c r="E112" i="6"/>
  <c r="J112" i="6" s="1"/>
  <c r="K112" i="6" s="1"/>
  <c r="E113" i="6"/>
  <c r="J113" i="6" s="1"/>
  <c r="K113" i="6" s="1"/>
  <c r="E114" i="6"/>
  <c r="J114" i="6" s="1"/>
  <c r="K114" i="6" s="1"/>
  <c r="E115" i="6"/>
  <c r="J115" i="6" s="1"/>
  <c r="K115" i="6" s="1"/>
  <c r="E116" i="6"/>
  <c r="J116" i="6" s="1"/>
  <c r="K116" i="6" s="1"/>
  <c r="E117" i="6"/>
  <c r="J117" i="6" s="1"/>
  <c r="K117" i="6" s="1"/>
  <c r="E118" i="6"/>
  <c r="J118" i="6" s="1"/>
  <c r="K118" i="6" s="1"/>
  <c r="E119" i="6"/>
  <c r="J119" i="6" s="1"/>
  <c r="K119" i="6" s="1"/>
  <c r="E120" i="6"/>
  <c r="J120" i="6" s="1"/>
  <c r="K120" i="6" s="1"/>
  <c r="E121" i="6"/>
  <c r="J121" i="6" s="1"/>
  <c r="K121" i="6" s="1"/>
  <c r="E122" i="6"/>
  <c r="J122" i="6" s="1"/>
  <c r="K122" i="6" s="1"/>
  <c r="E123" i="6"/>
  <c r="J123" i="6" s="1"/>
  <c r="K123" i="6" s="1"/>
  <c r="E124" i="6"/>
  <c r="J124" i="6" s="1"/>
  <c r="K124" i="6" s="1"/>
  <c r="E125" i="6"/>
  <c r="J125" i="6" s="1"/>
  <c r="K125" i="6" s="1"/>
  <c r="E126" i="6"/>
  <c r="J126" i="6" s="1"/>
  <c r="K126" i="6" s="1"/>
  <c r="E127" i="6"/>
  <c r="J127" i="6" s="1"/>
  <c r="K127" i="6" s="1"/>
  <c r="E128" i="6"/>
  <c r="J128" i="6" s="1"/>
  <c r="K128" i="6" s="1"/>
  <c r="E129" i="6"/>
  <c r="J129" i="6" s="1"/>
  <c r="K129" i="6" s="1"/>
  <c r="E130" i="6"/>
  <c r="J130" i="6" s="1"/>
  <c r="K130" i="6" s="1"/>
  <c r="E131" i="6"/>
  <c r="J131" i="6" s="1"/>
  <c r="K131" i="6" s="1"/>
  <c r="E132" i="6"/>
  <c r="J132" i="6" s="1"/>
  <c r="K132" i="6" s="1"/>
  <c r="E133" i="6"/>
  <c r="J133" i="6" s="1"/>
  <c r="K133" i="6" s="1"/>
  <c r="E134" i="6"/>
  <c r="J134" i="6" s="1"/>
  <c r="K134" i="6" s="1"/>
  <c r="E135" i="6"/>
  <c r="J135" i="6" s="1"/>
  <c r="K135" i="6" s="1"/>
  <c r="E136" i="6"/>
  <c r="J136" i="6" s="1"/>
  <c r="K136" i="6" s="1"/>
  <c r="E137" i="6"/>
  <c r="J137" i="6" s="1"/>
  <c r="K137" i="6" s="1"/>
  <c r="E138" i="6"/>
  <c r="J138" i="6" s="1"/>
  <c r="K138" i="6" s="1"/>
  <c r="E139" i="6"/>
  <c r="J139" i="6" s="1"/>
  <c r="K139" i="6" s="1"/>
  <c r="E140" i="6"/>
  <c r="J140" i="6" s="1"/>
  <c r="K140" i="6" s="1"/>
  <c r="E141" i="6"/>
  <c r="J141" i="6" s="1"/>
  <c r="K141" i="6" s="1"/>
  <c r="E142" i="6"/>
  <c r="J142" i="6" s="1"/>
  <c r="K142" i="6" s="1"/>
  <c r="E143" i="6"/>
  <c r="J143" i="6" s="1"/>
  <c r="K143" i="6" s="1"/>
  <c r="E144" i="6"/>
  <c r="J144" i="6" s="1"/>
  <c r="K144" i="6" s="1"/>
  <c r="E145" i="6"/>
  <c r="J145" i="6" s="1"/>
  <c r="K145" i="6" s="1"/>
  <c r="E146" i="6"/>
  <c r="J146" i="6" s="1"/>
  <c r="K146" i="6" s="1"/>
  <c r="E147" i="6"/>
  <c r="J147" i="6" s="1"/>
  <c r="K147" i="6" s="1"/>
  <c r="E148" i="6"/>
  <c r="J148" i="6" s="1"/>
  <c r="K148" i="6" s="1"/>
  <c r="E149" i="6"/>
  <c r="J149" i="6" s="1"/>
  <c r="K149" i="6" s="1"/>
  <c r="E150" i="6"/>
  <c r="J150" i="6" s="1"/>
  <c r="K150" i="6" s="1"/>
  <c r="E151" i="6"/>
  <c r="J151" i="6" s="1"/>
  <c r="K151" i="6" s="1"/>
  <c r="E152" i="6"/>
  <c r="J152" i="6" s="1"/>
  <c r="K152" i="6" s="1"/>
  <c r="E153" i="6"/>
  <c r="J153" i="6" s="1"/>
  <c r="K153" i="6" s="1"/>
  <c r="E154" i="6"/>
  <c r="J154" i="6" s="1"/>
  <c r="K154" i="6" s="1"/>
  <c r="E155" i="6"/>
  <c r="J155" i="6" s="1"/>
  <c r="K155" i="6" s="1"/>
  <c r="E156" i="6"/>
  <c r="J156" i="6" s="1"/>
  <c r="K156" i="6" s="1"/>
  <c r="E157" i="6"/>
  <c r="J157" i="6" s="1"/>
  <c r="K157" i="6" s="1"/>
  <c r="E158" i="6"/>
  <c r="J158" i="6" s="1"/>
  <c r="K158" i="6" s="1"/>
  <c r="E159" i="6"/>
  <c r="J159" i="6" s="1"/>
  <c r="K159" i="6" s="1"/>
  <c r="E160" i="6"/>
  <c r="J160" i="6" s="1"/>
  <c r="K160" i="6" s="1"/>
  <c r="E161" i="6"/>
  <c r="J161" i="6" s="1"/>
  <c r="K161" i="6" s="1"/>
  <c r="E162" i="6"/>
  <c r="J162" i="6" s="1"/>
  <c r="K162" i="6" s="1"/>
  <c r="E163" i="6"/>
  <c r="J163" i="6" s="1"/>
  <c r="K163" i="6" s="1"/>
  <c r="E164" i="6"/>
  <c r="J164" i="6" s="1"/>
  <c r="K164" i="6" s="1"/>
  <c r="E165" i="6"/>
  <c r="J165" i="6" s="1"/>
  <c r="K165" i="6" s="1"/>
  <c r="E166" i="6"/>
  <c r="J166" i="6" s="1"/>
  <c r="K166" i="6" s="1"/>
  <c r="E167" i="6"/>
  <c r="J167" i="6" s="1"/>
  <c r="K167" i="6" s="1"/>
  <c r="E168" i="6"/>
  <c r="J168" i="6" s="1"/>
  <c r="K168" i="6" s="1"/>
  <c r="E169" i="6"/>
  <c r="J169" i="6" s="1"/>
  <c r="K169" i="6" s="1"/>
  <c r="E170" i="6"/>
  <c r="J170" i="6" s="1"/>
  <c r="K170" i="6" s="1"/>
  <c r="E171" i="6"/>
  <c r="J171" i="6" s="1"/>
  <c r="K171" i="6" s="1"/>
  <c r="E172" i="6"/>
  <c r="J172" i="6" s="1"/>
  <c r="K172" i="6" s="1"/>
  <c r="E173" i="6"/>
  <c r="J173" i="6" s="1"/>
  <c r="K173" i="6" s="1"/>
  <c r="E174" i="6"/>
  <c r="J174" i="6" s="1"/>
  <c r="K174" i="6" s="1"/>
  <c r="E175" i="6"/>
  <c r="J175" i="6" s="1"/>
  <c r="K175" i="6" s="1"/>
  <c r="E176" i="6"/>
  <c r="J176" i="6" s="1"/>
  <c r="K176" i="6" s="1"/>
  <c r="E177" i="6"/>
  <c r="J177" i="6" s="1"/>
  <c r="K177" i="6" s="1"/>
  <c r="E178" i="6"/>
  <c r="J178" i="6" s="1"/>
  <c r="K178" i="6" s="1"/>
  <c r="E179" i="6"/>
  <c r="J179" i="6" s="1"/>
  <c r="K179" i="6" s="1"/>
  <c r="E180" i="6"/>
  <c r="J180" i="6" s="1"/>
  <c r="K180" i="6" s="1"/>
  <c r="E181" i="6"/>
  <c r="J181" i="6" s="1"/>
  <c r="K181" i="6" s="1"/>
  <c r="E182" i="6"/>
  <c r="J182" i="6" s="1"/>
  <c r="K182" i="6" s="1"/>
  <c r="E183" i="6"/>
  <c r="J183" i="6" s="1"/>
  <c r="K183" i="6" s="1"/>
  <c r="E184" i="6"/>
  <c r="J184" i="6" s="1"/>
  <c r="K184" i="6" s="1"/>
  <c r="E185" i="6"/>
  <c r="J185" i="6" s="1"/>
  <c r="K185" i="6" s="1"/>
  <c r="E186" i="6"/>
  <c r="J186" i="6" s="1"/>
  <c r="K186" i="6" s="1"/>
  <c r="E187" i="6"/>
  <c r="J187" i="6" s="1"/>
  <c r="K187" i="6" s="1"/>
  <c r="E188" i="6"/>
  <c r="J188" i="6" s="1"/>
  <c r="K188" i="6" s="1"/>
  <c r="E189" i="6"/>
  <c r="J189" i="6" s="1"/>
  <c r="K189" i="6" s="1"/>
  <c r="E190" i="6"/>
  <c r="J190" i="6" s="1"/>
  <c r="K190" i="6" s="1"/>
  <c r="E191" i="6"/>
  <c r="J191" i="6" s="1"/>
  <c r="K191" i="6" s="1"/>
  <c r="E192" i="6"/>
  <c r="J192" i="6" s="1"/>
  <c r="K192" i="6" s="1"/>
  <c r="E193" i="6"/>
  <c r="J193" i="6" s="1"/>
  <c r="K193" i="6" s="1"/>
  <c r="E194" i="6"/>
  <c r="J194" i="6" s="1"/>
  <c r="K194" i="6" s="1"/>
  <c r="E195" i="6"/>
  <c r="J195" i="6" s="1"/>
  <c r="K195" i="6" s="1"/>
  <c r="E196" i="6"/>
  <c r="J196" i="6" s="1"/>
  <c r="K196" i="6" s="1"/>
  <c r="E197" i="6"/>
  <c r="J197" i="6" s="1"/>
  <c r="K197" i="6" s="1"/>
  <c r="E198" i="6"/>
  <c r="J198" i="6" s="1"/>
  <c r="K198" i="6" s="1"/>
  <c r="E199" i="6"/>
  <c r="J199" i="6" s="1"/>
  <c r="K199" i="6" s="1"/>
  <c r="E200" i="6"/>
  <c r="J200" i="6" s="1"/>
  <c r="K200" i="6" s="1"/>
  <c r="E201" i="6"/>
  <c r="J201" i="6" s="1"/>
  <c r="K201" i="6" s="1"/>
  <c r="E202" i="6"/>
  <c r="J202" i="6" s="1"/>
  <c r="K202" i="6" s="1"/>
  <c r="E203" i="6"/>
  <c r="J203" i="6" s="1"/>
  <c r="K203" i="6" s="1"/>
  <c r="E204" i="6"/>
  <c r="J204" i="6" s="1"/>
  <c r="K204" i="6" s="1"/>
  <c r="E205" i="6"/>
  <c r="J205" i="6" s="1"/>
  <c r="K205" i="6" s="1"/>
  <c r="E206" i="6"/>
  <c r="J206" i="6" s="1"/>
  <c r="K206" i="6" s="1"/>
  <c r="E207" i="6"/>
  <c r="J207" i="6" s="1"/>
  <c r="K207" i="6" s="1"/>
  <c r="E208" i="6"/>
  <c r="J208" i="6" s="1"/>
  <c r="K208" i="6" s="1"/>
  <c r="E209" i="6"/>
  <c r="J209" i="6" s="1"/>
  <c r="K209" i="6" s="1"/>
  <c r="E210" i="6"/>
  <c r="J210" i="6" s="1"/>
  <c r="K210" i="6" s="1"/>
  <c r="E211" i="6"/>
  <c r="J211" i="6" s="1"/>
  <c r="K211" i="6" s="1"/>
  <c r="E212" i="6"/>
  <c r="J212" i="6" s="1"/>
  <c r="K212" i="6" s="1"/>
  <c r="E213" i="6"/>
  <c r="J213" i="6" s="1"/>
  <c r="K213" i="6" s="1"/>
  <c r="E214" i="6"/>
  <c r="J214" i="6" s="1"/>
  <c r="K214" i="6" s="1"/>
  <c r="E215" i="6"/>
  <c r="J215" i="6" s="1"/>
  <c r="K215" i="6" s="1"/>
  <c r="E216" i="6"/>
  <c r="J216" i="6" s="1"/>
  <c r="K216" i="6" s="1"/>
  <c r="E217" i="6"/>
  <c r="J217" i="6" s="1"/>
  <c r="K217" i="6" s="1"/>
  <c r="E218" i="6"/>
  <c r="J218" i="6" s="1"/>
  <c r="K218" i="6" s="1"/>
  <c r="E219" i="6"/>
  <c r="J219" i="6" s="1"/>
  <c r="K219" i="6" s="1"/>
  <c r="E220" i="6"/>
  <c r="J220" i="6" s="1"/>
  <c r="K220" i="6" s="1"/>
  <c r="E221" i="6"/>
  <c r="J221" i="6" s="1"/>
  <c r="K221" i="6" s="1"/>
  <c r="E222" i="6"/>
  <c r="J222" i="6" s="1"/>
  <c r="K222" i="6" s="1"/>
  <c r="E223" i="6"/>
  <c r="J223" i="6" s="1"/>
  <c r="K223" i="6" s="1"/>
  <c r="E224" i="6"/>
  <c r="J224" i="6" s="1"/>
  <c r="K224" i="6" s="1"/>
  <c r="E225" i="6"/>
  <c r="J225" i="6" s="1"/>
  <c r="K225" i="6" s="1"/>
  <c r="E226" i="6"/>
  <c r="J226" i="6" s="1"/>
  <c r="K226" i="6" s="1"/>
  <c r="E227" i="6"/>
  <c r="J227" i="6" s="1"/>
  <c r="K227" i="6" s="1"/>
  <c r="E228" i="6"/>
  <c r="J228" i="6" s="1"/>
  <c r="K228" i="6" s="1"/>
  <c r="E229" i="6"/>
  <c r="J229" i="6" s="1"/>
  <c r="K229" i="6" s="1"/>
  <c r="E230" i="6"/>
  <c r="J230" i="6" s="1"/>
  <c r="K230" i="6" s="1"/>
  <c r="E231" i="6"/>
  <c r="J231" i="6" s="1"/>
  <c r="K231" i="6" s="1"/>
  <c r="E232" i="6"/>
  <c r="J232" i="6" s="1"/>
  <c r="K232" i="6" s="1"/>
  <c r="E233" i="6"/>
  <c r="J233" i="6" s="1"/>
  <c r="K233" i="6" s="1"/>
  <c r="E234" i="6"/>
  <c r="J234" i="6" s="1"/>
  <c r="K234" i="6" s="1"/>
  <c r="E235" i="6"/>
  <c r="J235" i="6" s="1"/>
  <c r="K235" i="6" s="1"/>
  <c r="E236" i="6"/>
  <c r="J236" i="6" s="1"/>
  <c r="K236" i="6" s="1"/>
  <c r="E237" i="6"/>
  <c r="J237" i="6" s="1"/>
  <c r="K237" i="6" s="1"/>
  <c r="E238" i="6"/>
  <c r="J238" i="6" s="1"/>
  <c r="K238" i="6" s="1"/>
  <c r="E239" i="6"/>
  <c r="J239" i="6" s="1"/>
  <c r="K239" i="6" s="1"/>
  <c r="E240" i="6"/>
  <c r="J240" i="6" s="1"/>
  <c r="K240" i="6" s="1"/>
  <c r="E241" i="6"/>
  <c r="J241" i="6" s="1"/>
  <c r="K241" i="6" s="1"/>
  <c r="E242" i="6"/>
  <c r="J242" i="6" s="1"/>
  <c r="K242" i="6" s="1"/>
  <c r="E243" i="6"/>
  <c r="J243" i="6" s="1"/>
  <c r="K243" i="6" s="1"/>
  <c r="E244" i="6"/>
  <c r="J244" i="6" s="1"/>
  <c r="K244" i="6" s="1"/>
  <c r="E245" i="6"/>
  <c r="J245" i="6" s="1"/>
  <c r="K245" i="6" s="1"/>
  <c r="E246" i="6"/>
  <c r="J246" i="6" s="1"/>
  <c r="K246" i="6" s="1"/>
  <c r="E247" i="6"/>
  <c r="J247" i="6" s="1"/>
  <c r="K247" i="6" s="1"/>
  <c r="E248" i="6"/>
  <c r="J248" i="6" s="1"/>
  <c r="K248" i="6" s="1"/>
  <c r="E249" i="6"/>
  <c r="J249" i="6" s="1"/>
  <c r="K249" i="6" s="1"/>
  <c r="E250" i="6"/>
  <c r="J250" i="6" s="1"/>
  <c r="K250" i="6" s="1"/>
  <c r="E251" i="6"/>
  <c r="J251" i="6" s="1"/>
  <c r="K251" i="6" s="1"/>
  <c r="E252" i="6"/>
  <c r="J252" i="6" s="1"/>
  <c r="K252" i="6" s="1"/>
  <c r="E253" i="6"/>
  <c r="J253" i="6" s="1"/>
  <c r="K253" i="6" s="1"/>
  <c r="E254" i="6"/>
  <c r="J254" i="6" s="1"/>
  <c r="K254" i="6" s="1"/>
  <c r="E255" i="6"/>
  <c r="J255" i="6" s="1"/>
  <c r="K255" i="6" s="1"/>
  <c r="E256" i="6"/>
  <c r="J256" i="6" s="1"/>
  <c r="K256" i="6" s="1"/>
  <c r="E257" i="6"/>
  <c r="J257" i="6" s="1"/>
  <c r="K257" i="6" s="1"/>
  <c r="E258" i="6"/>
  <c r="J258" i="6" s="1"/>
  <c r="K258" i="6" s="1"/>
  <c r="E259" i="6"/>
  <c r="J259" i="6" s="1"/>
  <c r="K259" i="6" s="1"/>
  <c r="E260" i="6"/>
  <c r="J260" i="6" s="1"/>
  <c r="K260" i="6" s="1"/>
  <c r="E261" i="6"/>
  <c r="J261" i="6" s="1"/>
  <c r="K261" i="6" s="1"/>
  <c r="E262" i="6"/>
  <c r="J262" i="6" s="1"/>
  <c r="K262" i="6" s="1"/>
  <c r="E263" i="6"/>
  <c r="J263" i="6" s="1"/>
  <c r="K263" i="6" s="1"/>
  <c r="E264" i="6"/>
  <c r="J264" i="6" s="1"/>
  <c r="K264" i="6" s="1"/>
  <c r="E265" i="6"/>
  <c r="J265" i="6" s="1"/>
  <c r="K265" i="6" s="1"/>
  <c r="E266" i="6"/>
  <c r="J266" i="6" s="1"/>
  <c r="K266" i="6" s="1"/>
  <c r="E267" i="6"/>
  <c r="J267" i="6" s="1"/>
  <c r="K267" i="6" s="1"/>
  <c r="E268" i="6"/>
  <c r="J268" i="6" s="1"/>
  <c r="K268" i="6" s="1"/>
  <c r="E269" i="6"/>
  <c r="J269" i="6" s="1"/>
  <c r="K269" i="6" s="1"/>
  <c r="E270" i="6"/>
  <c r="J270" i="6" s="1"/>
  <c r="K270" i="6" s="1"/>
  <c r="E271" i="6"/>
  <c r="J271" i="6" s="1"/>
  <c r="K271" i="6" s="1"/>
  <c r="E272" i="6"/>
  <c r="J272" i="6" s="1"/>
  <c r="K272" i="6" s="1"/>
  <c r="E273" i="6"/>
  <c r="J273" i="6" s="1"/>
  <c r="K273" i="6" s="1"/>
  <c r="E274" i="6"/>
  <c r="J274" i="6" s="1"/>
  <c r="K274" i="6" s="1"/>
  <c r="E275" i="6"/>
  <c r="J275" i="6" s="1"/>
  <c r="K275" i="6" s="1"/>
  <c r="E276" i="6"/>
  <c r="J276" i="6" s="1"/>
  <c r="K276" i="6" s="1"/>
  <c r="E277" i="6"/>
  <c r="J277" i="6" s="1"/>
  <c r="K277" i="6" s="1"/>
  <c r="E278" i="6"/>
  <c r="J278" i="6" s="1"/>
  <c r="K278" i="6" s="1"/>
  <c r="E279" i="6"/>
  <c r="J279" i="6" s="1"/>
  <c r="K279" i="6" s="1"/>
  <c r="E280" i="6"/>
  <c r="J280" i="6" s="1"/>
  <c r="K280" i="6" s="1"/>
  <c r="E281" i="6"/>
  <c r="J281" i="6" s="1"/>
  <c r="K281" i="6" s="1"/>
  <c r="E282" i="6"/>
  <c r="J282" i="6" s="1"/>
  <c r="K282" i="6" s="1"/>
  <c r="E283" i="6"/>
  <c r="J283" i="6" s="1"/>
  <c r="K283" i="6" s="1"/>
  <c r="E284" i="6"/>
  <c r="J284" i="6" s="1"/>
  <c r="K284" i="6" s="1"/>
  <c r="E285" i="6"/>
  <c r="J285" i="6" s="1"/>
  <c r="K285" i="6" s="1"/>
  <c r="E286" i="6"/>
  <c r="J286" i="6" s="1"/>
  <c r="K286" i="6" s="1"/>
  <c r="E287" i="6"/>
  <c r="J287" i="6" s="1"/>
  <c r="K287" i="6" s="1"/>
  <c r="E288" i="6"/>
  <c r="J288" i="6" s="1"/>
  <c r="K288" i="6" s="1"/>
  <c r="E289" i="6"/>
  <c r="J289" i="6" s="1"/>
  <c r="K289" i="6" s="1"/>
  <c r="E290" i="6"/>
  <c r="J290" i="6" s="1"/>
  <c r="K290" i="6" s="1"/>
  <c r="E291" i="6"/>
  <c r="J291" i="6" s="1"/>
  <c r="K291" i="6" s="1"/>
  <c r="E292" i="6"/>
  <c r="J292" i="6" s="1"/>
  <c r="K292" i="6" s="1"/>
  <c r="E293" i="6"/>
  <c r="J293" i="6" s="1"/>
  <c r="K293" i="6" s="1"/>
  <c r="E294" i="6"/>
  <c r="J294" i="6" s="1"/>
  <c r="K294" i="6" s="1"/>
  <c r="E295" i="6"/>
  <c r="J295" i="6" s="1"/>
  <c r="K295" i="6" s="1"/>
  <c r="E296" i="6"/>
  <c r="J296" i="6" s="1"/>
  <c r="K296" i="6" s="1"/>
  <c r="E297" i="6"/>
  <c r="J297" i="6" s="1"/>
  <c r="K297" i="6" s="1"/>
  <c r="E298" i="6"/>
  <c r="J298" i="6" s="1"/>
  <c r="K298" i="6" s="1"/>
  <c r="E299" i="6"/>
  <c r="J299" i="6" s="1"/>
  <c r="K299" i="6" s="1"/>
  <c r="E300" i="6"/>
  <c r="J300" i="6" s="1"/>
  <c r="K300" i="6" s="1"/>
  <c r="E301" i="6"/>
  <c r="J301" i="6" s="1"/>
  <c r="K301" i="6" s="1"/>
  <c r="E302" i="6"/>
  <c r="J302" i="6" s="1"/>
  <c r="K302" i="6" s="1"/>
  <c r="E303" i="6"/>
  <c r="J303" i="6" s="1"/>
  <c r="K303" i="6" s="1"/>
  <c r="E304" i="6"/>
  <c r="J304" i="6" s="1"/>
  <c r="K304" i="6" s="1"/>
  <c r="E305" i="6"/>
  <c r="J305" i="6" s="1"/>
  <c r="K305" i="6" s="1"/>
  <c r="E306" i="6"/>
  <c r="J306" i="6" s="1"/>
  <c r="K306" i="6" s="1"/>
  <c r="E307" i="6"/>
  <c r="J307" i="6" s="1"/>
  <c r="K307" i="6" s="1"/>
  <c r="E308" i="6"/>
  <c r="J308" i="6" s="1"/>
  <c r="K308" i="6" s="1"/>
  <c r="E309" i="6"/>
  <c r="J309" i="6" s="1"/>
  <c r="K309" i="6" s="1"/>
  <c r="E310" i="6"/>
  <c r="J310" i="6" s="1"/>
  <c r="K310" i="6" s="1"/>
  <c r="E311" i="6"/>
  <c r="J311" i="6" s="1"/>
  <c r="K311" i="6" s="1"/>
  <c r="E312" i="6"/>
  <c r="J312" i="6" s="1"/>
  <c r="K312" i="6" s="1"/>
  <c r="E313" i="6"/>
  <c r="J313" i="6" s="1"/>
  <c r="K313" i="6" s="1"/>
  <c r="E314" i="6"/>
  <c r="J314" i="6" s="1"/>
  <c r="K314" i="6" s="1"/>
  <c r="E315" i="6"/>
  <c r="J315" i="6" s="1"/>
  <c r="K315" i="6" s="1"/>
  <c r="E316" i="6"/>
  <c r="J316" i="6" s="1"/>
  <c r="K316" i="6" s="1"/>
  <c r="E317" i="6"/>
  <c r="J317" i="6" s="1"/>
  <c r="K317" i="6" s="1"/>
  <c r="E318" i="6"/>
  <c r="J318" i="6" s="1"/>
  <c r="K318" i="6" s="1"/>
  <c r="E319" i="6"/>
  <c r="J319" i="6" s="1"/>
  <c r="K319" i="6" s="1"/>
  <c r="E320" i="6"/>
  <c r="J320" i="6" s="1"/>
  <c r="K320" i="6" s="1"/>
  <c r="E321" i="6"/>
  <c r="J321" i="6" s="1"/>
  <c r="K321" i="6" s="1"/>
  <c r="E322" i="6"/>
  <c r="J322" i="6" s="1"/>
  <c r="K322" i="6" s="1"/>
  <c r="E323" i="6"/>
  <c r="J323" i="6" s="1"/>
  <c r="K323" i="6" s="1"/>
  <c r="E324" i="6"/>
  <c r="J324" i="6" s="1"/>
  <c r="K324" i="6" s="1"/>
  <c r="E325" i="6"/>
  <c r="J325" i="6" s="1"/>
  <c r="K325" i="6" s="1"/>
  <c r="E326" i="6"/>
  <c r="J326" i="6" s="1"/>
  <c r="K326" i="6" s="1"/>
  <c r="E327" i="6"/>
  <c r="J327" i="6" s="1"/>
  <c r="K327" i="6" s="1"/>
  <c r="E328" i="6"/>
  <c r="J328" i="6" s="1"/>
  <c r="K328" i="6" s="1"/>
  <c r="E329" i="6"/>
  <c r="J329" i="6" s="1"/>
  <c r="K329" i="6" s="1"/>
  <c r="E330" i="6"/>
  <c r="J330" i="6" s="1"/>
  <c r="K330" i="6" s="1"/>
  <c r="E331" i="6"/>
  <c r="J331" i="6" s="1"/>
  <c r="K331" i="6" s="1"/>
  <c r="E332" i="6"/>
  <c r="J332" i="6" s="1"/>
  <c r="K332" i="6" s="1"/>
  <c r="E333" i="6"/>
  <c r="J333" i="6" s="1"/>
  <c r="K333" i="6" s="1"/>
  <c r="E334" i="6"/>
  <c r="J334" i="6" s="1"/>
  <c r="K334" i="6" s="1"/>
  <c r="E335" i="6"/>
  <c r="J335" i="6" s="1"/>
  <c r="K335" i="6" s="1"/>
  <c r="E336" i="6"/>
  <c r="J336" i="6" s="1"/>
  <c r="K336" i="6" s="1"/>
  <c r="E337" i="6"/>
  <c r="J337" i="6" s="1"/>
  <c r="K337" i="6" s="1"/>
  <c r="E338" i="6"/>
  <c r="J338" i="6" s="1"/>
  <c r="K338" i="6" s="1"/>
  <c r="E339" i="6"/>
  <c r="J339" i="6" s="1"/>
  <c r="K339" i="6" s="1"/>
  <c r="E340" i="6"/>
  <c r="J340" i="6" s="1"/>
  <c r="K340" i="6" s="1"/>
  <c r="E341" i="6"/>
  <c r="J341" i="6" s="1"/>
  <c r="K341" i="6" s="1"/>
  <c r="E342" i="6"/>
  <c r="J342" i="6" s="1"/>
  <c r="K342" i="6" s="1"/>
  <c r="E343" i="6"/>
  <c r="J343" i="6" s="1"/>
  <c r="K343" i="6" s="1"/>
  <c r="E344" i="6"/>
  <c r="J344" i="6" s="1"/>
  <c r="K344" i="6" s="1"/>
  <c r="E345" i="6"/>
  <c r="J345" i="6" s="1"/>
  <c r="K345" i="6" s="1"/>
  <c r="E346" i="6"/>
  <c r="J346" i="6" s="1"/>
  <c r="K346" i="6" s="1"/>
  <c r="E347" i="6"/>
  <c r="J347" i="6" s="1"/>
  <c r="K347" i="6" s="1"/>
  <c r="E348" i="6"/>
  <c r="J348" i="6" s="1"/>
  <c r="K348" i="6" s="1"/>
  <c r="E349" i="6"/>
  <c r="J349" i="6" s="1"/>
  <c r="K349" i="6" s="1"/>
  <c r="E350" i="6"/>
  <c r="J350" i="6" s="1"/>
  <c r="K350" i="6" s="1"/>
  <c r="E351" i="6"/>
  <c r="J351" i="6" s="1"/>
  <c r="K351" i="6" s="1"/>
  <c r="E352" i="6"/>
  <c r="J352" i="6" s="1"/>
  <c r="K352" i="6" s="1"/>
  <c r="E353" i="6"/>
  <c r="J353" i="6" s="1"/>
  <c r="K353" i="6" s="1"/>
  <c r="E354" i="6"/>
  <c r="J354" i="6" s="1"/>
  <c r="K354" i="6" s="1"/>
  <c r="E355" i="6"/>
  <c r="J355" i="6" s="1"/>
  <c r="K355" i="6" s="1"/>
  <c r="E356" i="6"/>
  <c r="J356" i="6" s="1"/>
  <c r="K356" i="6" s="1"/>
  <c r="E357" i="6"/>
  <c r="J357" i="6" s="1"/>
  <c r="K357" i="6" s="1"/>
  <c r="E358" i="6"/>
  <c r="J358" i="6" s="1"/>
  <c r="K358" i="6" s="1"/>
  <c r="E359" i="6"/>
  <c r="J359" i="6" s="1"/>
  <c r="K359" i="6" s="1"/>
  <c r="E360" i="6"/>
  <c r="J360" i="6" s="1"/>
  <c r="K360" i="6" s="1"/>
  <c r="E361" i="6"/>
  <c r="J361" i="6" s="1"/>
  <c r="K361" i="6" s="1"/>
  <c r="E362" i="6"/>
  <c r="J362" i="6" s="1"/>
  <c r="K362" i="6" s="1"/>
  <c r="E363" i="6"/>
  <c r="J363" i="6" s="1"/>
  <c r="K363" i="6" s="1"/>
  <c r="E364" i="6"/>
  <c r="J364" i="6" s="1"/>
  <c r="K364" i="6" s="1"/>
  <c r="E365" i="6"/>
  <c r="J365" i="6" s="1"/>
  <c r="K365" i="6" s="1"/>
  <c r="E366" i="6"/>
  <c r="J366" i="6" s="1"/>
  <c r="K366" i="6" s="1"/>
  <c r="E367" i="6"/>
  <c r="J367" i="6" s="1"/>
  <c r="K367" i="6" s="1"/>
  <c r="E368" i="6"/>
  <c r="J368" i="6" s="1"/>
  <c r="K368" i="6" s="1"/>
  <c r="E369" i="6"/>
  <c r="J369" i="6" s="1"/>
  <c r="K369" i="6" s="1"/>
  <c r="E370" i="6"/>
  <c r="J370" i="6" s="1"/>
  <c r="K370" i="6" s="1"/>
  <c r="E371" i="6"/>
  <c r="J371" i="6" s="1"/>
  <c r="K371" i="6" s="1"/>
  <c r="E372" i="6"/>
  <c r="J372" i="6" s="1"/>
  <c r="K372" i="6" s="1"/>
  <c r="E373" i="6"/>
  <c r="J373" i="6" s="1"/>
  <c r="K373" i="6" s="1"/>
  <c r="E374" i="6"/>
  <c r="J374" i="6" s="1"/>
  <c r="K374" i="6" s="1"/>
  <c r="E375" i="6"/>
  <c r="J375" i="6" s="1"/>
  <c r="K375" i="6" s="1"/>
  <c r="E376" i="6"/>
  <c r="J376" i="6" s="1"/>
  <c r="K376" i="6" s="1"/>
  <c r="E377" i="6"/>
  <c r="J377" i="6" s="1"/>
  <c r="K377" i="6" s="1"/>
  <c r="E378" i="6"/>
  <c r="J378" i="6" s="1"/>
  <c r="K378" i="6" s="1"/>
  <c r="E379" i="6"/>
  <c r="J379" i="6" s="1"/>
  <c r="K379" i="6" s="1"/>
  <c r="E380" i="6"/>
  <c r="J380" i="6" s="1"/>
  <c r="K380" i="6" s="1"/>
  <c r="E381" i="6"/>
  <c r="J381" i="6" s="1"/>
  <c r="K381" i="6" s="1"/>
  <c r="E382" i="6"/>
  <c r="J382" i="6" s="1"/>
  <c r="K382" i="6" s="1"/>
  <c r="E383" i="6"/>
  <c r="J383" i="6" s="1"/>
  <c r="K383" i="6" s="1"/>
  <c r="E384" i="6"/>
  <c r="J384" i="6" s="1"/>
  <c r="K384" i="6" s="1"/>
  <c r="E385" i="6"/>
  <c r="J385" i="6" s="1"/>
  <c r="K385" i="6" s="1"/>
  <c r="E386" i="6"/>
  <c r="J386" i="6" s="1"/>
  <c r="K386" i="6" s="1"/>
  <c r="E387" i="6"/>
  <c r="J387" i="6" s="1"/>
  <c r="K387" i="6" s="1"/>
  <c r="E388" i="6"/>
  <c r="J388" i="6" s="1"/>
  <c r="K388" i="6" s="1"/>
  <c r="E389" i="6"/>
  <c r="J389" i="6" s="1"/>
  <c r="K389" i="6" s="1"/>
  <c r="E390" i="6"/>
  <c r="J390" i="6" s="1"/>
  <c r="K390" i="6" s="1"/>
  <c r="E391" i="6"/>
  <c r="J391" i="6" s="1"/>
  <c r="K391" i="6" s="1"/>
  <c r="E392" i="6"/>
  <c r="J392" i="6" s="1"/>
  <c r="K392" i="6" s="1"/>
  <c r="E393" i="6"/>
  <c r="J393" i="6" s="1"/>
  <c r="K393" i="6" s="1"/>
  <c r="E394" i="6"/>
  <c r="J394" i="6" s="1"/>
  <c r="K394" i="6" s="1"/>
  <c r="E395" i="6"/>
  <c r="J395" i="6" s="1"/>
  <c r="K395" i="6" s="1"/>
  <c r="E396" i="6"/>
  <c r="J396" i="6" s="1"/>
  <c r="K396" i="6" s="1"/>
  <c r="E397" i="6"/>
  <c r="J397" i="6" s="1"/>
  <c r="K397" i="6" s="1"/>
  <c r="E398" i="6"/>
  <c r="J398" i="6" s="1"/>
  <c r="K398" i="6" s="1"/>
  <c r="E399" i="6"/>
  <c r="J399" i="6" s="1"/>
  <c r="K399" i="6" s="1"/>
  <c r="E400" i="6"/>
  <c r="J400" i="6" s="1"/>
  <c r="K400" i="6" s="1"/>
  <c r="E401" i="6"/>
  <c r="J401" i="6" s="1"/>
  <c r="K401" i="6" s="1"/>
  <c r="E402" i="6"/>
  <c r="J402" i="6" s="1"/>
  <c r="K402" i="6" s="1"/>
  <c r="E403" i="6"/>
  <c r="J403" i="6" s="1"/>
  <c r="K403" i="6" s="1"/>
  <c r="E404" i="6"/>
  <c r="J404" i="6" s="1"/>
  <c r="K404" i="6" s="1"/>
  <c r="E405" i="6"/>
  <c r="J405" i="6" s="1"/>
  <c r="K405" i="6" s="1"/>
  <c r="E406" i="6"/>
  <c r="J406" i="6" s="1"/>
  <c r="K406" i="6" s="1"/>
  <c r="E407" i="6"/>
  <c r="J407" i="6" s="1"/>
  <c r="K407" i="6" s="1"/>
  <c r="E408" i="6"/>
  <c r="J408" i="6" s="1"/>
  <c r="K408" i="6" s="1"/>
  <c r="E409" i="6"/>
  <c r="J409" i="6" s="1"/>
  <c r="K409" i="6" s="1"/>
  <c r="E410" i="6"/>
  <c r="J410" i="6" s="1"/>
  <c r="K410" i="6" s="1"/>
  <c r="E411" i="6"/>
  <c r="J411" i="6" s="1"/>
  <c r="K411" i="6" s="1"/>
  <c r="E412" i="6"/>
  <c r="J412" i="6" s="1"/>
  <c r="K412" i="6" s="1"/>
  <c r="E413" i="6"/>
  <c r="J413" i="6" s="1"/>
  <c r="K413" i="6" s="1"/>
  <c r="E414" i="6"/>
  <c r="J414" i="6" s="1"/>
  <c r="K414" i="6" s="1"/>
  <c r="E415" i="6"/>
  <c r="J415" i="6" s="1"/>
  <c r="K415" i="6" s="1"/>
  <c r="E416" i="6"/>
  <c r="J416" i="6" s="1"/>
  <c r="K416" i="6" s="1"/>
  <c r="E417" i="6"/>
  <c r="J417" i="6" s="1"/>
  <c r="K417" i="6" s="1"/>
  <c r="E418" i="6"/>
  <c r="J418" i="6" s="1"/>
  <c r="K418" i="6" s="1"/>
  <c r="E419" i="6"/>
  <c r="J419" i="6" s="1"/>
  <c r="K419" i="6" s="1"/>
  <c r="E420" i="6"/>
  <c r="J420" i="6" s="1"/>
  <c r="K420" i="6" s="1"/>
  <c r="E421" i="6"/>
  <c r="J421" i="6" s="1"/>
  <c r="K421" i="6" s="1"/>
  <c r="E422" i="6"/>
  <c r="J422" i="6" s="1"/>
  <c r="K422" i="6" s="1"/>
  <c r="E423" i="6"/>
  <c r="J423" i="6" s="1"/>
  <c r="K423" i="6" s="1"/>
  <c r="E424" i="6"/>
  <c r="J424" i="6" s="1"/>
  <c r="K424" i="6" s="1"/>
  <c r="E425" i="6"/>
  <c r="J425" i="6" s="1"/>
  <c r="K425" i="6" s="1"/>
  <c r="E426" i="6"/>
  <c r="J426" i="6" s="1"/>
  <c r="K426" i="6" s="1"/>
  <c r="E427" i="6"/>
  <c r="J427" i="6" s="1"/>
  <c r="K427" i="6" s="1"/>
  <c r="E428" i="6"/>
  <c r="J428" i="6" s="1"/>
  <c r="K428" i="6" s="1"/>
  <c r="E429" i="6"/>
  <c r="J429" i="6" s="1"/>
  <c r="K429" i="6" s="1"/>
  <c r="E430" i="6"/>
  <c r="J430" i="6" s="1"/>
  <c r="K430" i="6" s="1"/>
  <c r="E431" i="6"/>
  <c r="J431" i="6" s="1"/>
  <c r="K431" i="6" s="1"/>
  <c r="E432" i="6"/>
  <c r="J432" i="6" s="1"/>
  <c r="K432" i="6" s="1"/>
  <c r="E433" i="6"/>
  <c r="J433" i="6" s="1"/>
  <c r="K433" i="6" s="1"/>
  <c r="E434" i="6"/>
  <c r="J434" i="6" s="1"/>
  <c r="K434" i="6" s="1"/>
  <c r="E435" i="6"/>
  <c r="J435" i="6" s="1"/>
  <c r="K435" i="6" s="1"/>
  <c r="E436" i="6"/>
  <c r="J436" i="6" s="1"/>
  <c r="K436" i="6" s="1"/>
  <c r="E437" i="6"/>
  <c r="J437" i="6" s="1"/>
  <c r="K437" i="6" s="1"/>
  <c r="E438" i="6"/>
  <c r="J438" i="6" s="1"/>
  <c r="K438" i="6" s="1"/>
  <c r="E439" i="6"/>
  <c r="J439" i="6" s="1"/>
  <c r="K439" i="6" s="1"/>
  <c r="E440" i="6"/>
  <c r="J440" i="6" s="1"/>
  <c r="K440" i="6" s="1"/>
  <c r="E441" i="6"/>
  <c r="J441" i="6" s="1"/>
  <c r="K441" i="6" s="1"/>
  <c r="E442" i="6"/>
  <c r="J442" i="6" s="1"/>
  <c r="K442" i="6" s="1"/>
  <c r="E443" i="6"/>
  <c r="J443" i="6" s="1"/>
  <c r="K443" i="6" s="1"/>
  <c r="E444" i="6"/>
  <c r="J444" i="6" s="1"/>
  <c r="K444" i="6" s="1"/>
  <c r="E445" i="6"/>
  <c r="J445" i="6" s="1"/>
  <c r="K445" i="6" s="1"/>
  <c r="E446" i="6"/>
  <c r="J446" i="6" s="1"/>
  <c r="K446" i="6" s="1"/>
  <c r="E447" i="6"/>
  <c r="J447" i="6" s="1"/>
  <c r="K447" i="6" s="1"/>
  <c r="E448" i="6"/>
  <c r="J448" i="6" s="1"/>
  <c r="K448" i="6" s="1"/>
  <c r="E449" i="6"/>
  <c r="J449" i="6" s="1"/>
  <c r="K449" i="6" s="1"/>
  <c r="E450" i="6"/>
  <c r="J450" i="6" s="1"/>
  <c r="K450" i="6" s="1"/>
  <c r="E451" i="6"/>
  <c r="J451" i="6" s="1"/>
  <c r="K451" i="6" s="1"/>
  <c r="E452" i="6"/>
  <c r="J452" i="6" s="1"/>
  <c r="K452" i="6" s="1"/>
  <c r="E453" i="6"/>
  <c r="J453" i="6" s="1"/>
  <c r="K453" i="6" s="1"/>
  <c r="E454" i="6"/>
  <c r="J454" i="6" s="1"/>
  <c r="K454" i="6" s="1"/>
  <c r="E455" i="6"/>
  <c r="J455" i="6" s="1"/>
  <c r="K455" i="6" s="1"/>
  <c r="E456" i="6"/>
  <c r="J456" i="6" s="1"/>
  <c r="K456" i="6" s="1"/>
  <c r="E457" i="6"/>
  <c r="J457" i="6" s="1"/>
  <c r="K457" i="6" s="1"/>
  <c r="E458" i="6"/>
  <c r="J458" i="6" s="1"/>
  <c r="K458" i="6" s="1"/>
  <c r="E459" i="6"/>
  <c r="J459" i="6" s="1"/>
  <c r="K459" i="6" s="1"/>
  <c r="E460" i="6"/>
  <c r="J460" i="6" s="1"/>
  <c r="K460" i="6" s="1"/>
  <c r="E461" i="6"/>
  <c r="J461" i="6" s="1"/>
  <c r="K461" i="6" s="1"/>
  <c r="E462" i="6"/>
  <c r="J462" i="6" s="1"/>
  <c r="K462" i="6" s="1"/>
  <c r="E463" i="6"/>
  <c r="J463" i="6" s="1"/>
  <c r="K463" i="6" s="1"/>
  <c r="E464" i="6"/>
  <c r="J464" i="6" s="1"/>
  <c r="K464" i="6" s="1"/>
  <c r="E465" i="6"/>
  <c r="J465" i="6" s="1"/>
  <c r="K465" i="6" s="1"/>
  <c r="E466" i="6"/>
  <c r="J466" i="6" s="1"/>
  <c r="K466" i="6" s="1"/>
  <c r="E467" i="6"/>
  <c r="J467" i="6" s="1"/>
  <c r="K467" i="6" s="1"/>
  <c r="E468" i="6"/>
  <c r="J468" i="6" s="1"/>
  <c r="K468" i="6" s="1"/>
  <c r="E469" i="6"/>
  <c r="J469" i="6" s="1"/>
  <c r="K469" i="6" s="1"/>
  <c r="E470" i="6"/>
  <c r="J470" i="6" s="1"/>
  <c r="K470" i="6" s="1"/>
  <c r="E471" i="6"/>
  <c r="J471" i="6" s="1"/>
  <c r="K471" i="6" s="1"/>
  <c r="E472" i="6"/>
  <c r="J472" i="6" s="1"/>
  <c r="K472" i="6" s="1"/>
  <c r="E473" i="6"/>
  <c r="J473" i="6" s="1"/>
  <c r="K473" i="6" s="1"/>
  <c r="E474" i="6"/>
  <c r="J474" i="6" s="1"/>
  <c r="K474" i="6" s="1"/>
  <c r="E475" i="6"/>
  <c r="J475" i="6" s="1"/>
  <c r="K475" i="6" s="1"/>
  <c r="E476" i="6"/>
  <c r="J476" i="6" s="1"/>
  <c r="K476" i="6" s="1"/>
  <c r="E477" i="6"/>
  <c r="J477" i="6" s="1"/>
  <c r="K477" i="6" s="1"/>
  <c r="E478" i="6"/>
  <c r="J478" i="6" s="1"/>
  <c r="K478" i="6" s="1"/>
  <c r="E479" i="6"/>
  <c r="J479" i="6" s="1"/>
  <c r="K479" i="6" s="1"/>
  <c r="E480" i="6"/>
  <c r="J480" i="6" s="1"/>
  <c r="K480" i="6" s="1"/>
  <c r="E481" i="6"/>
  <c r="J481" i="6" s="1"/>
  <c r="K481" i="6" s="1"/>
  <c r="E482" i="6"/>
  <c r="J482" i="6" s="1"/>
  <c r="K482" i="6" s="1"/>
  <c r="E483" i="6"/>
  <c r="J483" i="6" s="1"/>
  <c r="K483" i="6" s="1"/>
  <c r="E484" i="6"/>
  <c r="J484" i="6" s="1"/>
  <c r="K484" i="6" s="1"/>
  <c r="E485" i="6"/>
  <c r="J485" i="6" s="1"/>
  <c r="K485" i="6" s="1"/>
  <c r="E486" i="6"/>
  <c r="J486" i="6" s="1"/>
  <c r="K486" i="6" s="1"/>
  <c r="E487" i="6"/>
  <c r="J487" i="6" s="1"/>
  <c r="K487" i="6" s="1"/>
  <c r="E488" i="6"/>
  <c r="J488" i="6" s="1"/>
  <c r="K488" i="6" s="1"/>
  <c r="E489" i="6"/>
  <c r="J489" i="6" s="1"/>
  <c r="K489" i="6" s="1"/>
  <c r="E490" i="6"/>
  <c r="J490" i="6" s="1"/>
  <c r="K490" i="6" s="1"/>
  <c r="E491" i="6"/>
  <c r="J491" i="6" s="1"/>
  <c r="K491" i="6" s="1"/>
  <c r="E492" i="6"/>
  <c r="J492" i="6" s="1"/>
  <c r="K492" i="6" s="1"/>
  <c r="E493" i="6"/>
  <c r="J493" i="6" s="1"/>
  <c r="K493" i="6" s="1"/>
  <c r="E494" i="6"/>
  <c r="J494" i="6" s="1"/>
  <c r="K494" i="6" s="1"/>
  <c r="E495" i="6"/>
  <c r="J495" i="6" s="1"/>
  <c r="K495" i="6" s="1"/>
  <c r="E496" i="6"/>
  <c r="J496" i="6" s="1"/>
  <c r="K496" i="6" s="1"/>
  <c r="E497" i="6"/>
  <c r="J497" i="6" s="1"/>
  <c r="K497" i="6" s="1"/>
  <c r="E498" i="6"/>
  <c r="J498" i="6" s="1"/>
  <c r="K498" i="6" s="1"/>
  <c r="E499" i="6"/>
  <c r="J499" i="6" s="1"/>
  <c r="K499" i="6" s="1"/>
  <c r="E500" i="6"/>
  <c r="J500" i="6" s="1"/>
  <c r="K500" i="6" s="1"/>
  <c r="E501" i="6"/>
  <c r="J501" i="6" s="1"/>
  <c r="K501" i="6" s="1"/>
  <c r="E502" i="6"/>
  <c r="J502" i="6" s="1"/>
  <c r="K502" i="6" s="1"/>
  <c r="E503" i="6"/>
  <c r="J503" i="6" s="1"/>
  <c r="K503" i="6" s="1"/>
  <c r="E504" i="6"/>
  <c r="J504" i="6" s="1"/>
  <c r="K504" i="6" s="1"/>
  <c r="E505" i="6"/>
  <c r="J505" i="6" s="1"/>
  <c r="K505" i="6" s="1"/>
  <c r="E506" i="6"/>
  <c r="J506" i="6" s="1"/>
  <c r="K506" i="6" s="1"/>
  <c r="E507" i="6"/>
  <c r="J507" i="6" s="1"/>
  <c r="K507" i="6" s="1"/>
  <c r="E508" i="6"/>
  <c r="J508" i="6" s="1"/>
  <c r="K508" i="6" s="1"/>
  <c r="E509" i="6"/>
  <c r="J509" i="6" s="1"/>
  <c r="K509" i="6" s="1"/>
  <c r="E510" i="6"/>
  <c r="J510" i="6" s="1"/>
  <c r="K510" i="6" s="1"/>
  <c r="E511" i="6"/>
  <c r="J511" i="6" s="1"/>
  <c r="K511" i="6" s="1"/>
  <c r="E512" i="6"/>
  <c r="J512" i="6" s="1"/>
  <c r="K512" i="6" s="1"/>
  <c r="E513" i="6"/>
  <c r="J513" i="6" s="1"/>
  <c r="K513" i="6" s="1"/>
  <c r="E514" i="6"/>
  <c r="J514" i="6" s="1"/>
  <c r="K514" i="6" s="1"/>
  <c r="E515" i="6"/>
  <c r="J515" i="6" s="1"/>
  <c r="K515" i="6" s="1"/>
  <c r="E516" i="6"/>
  <c r="J516" i="6" s="1"/>
  <c r="K516" i="6" s="1"/>
  <c r="E517" i="6"/>
  <c r="J517" i="6" s="1"/>
  <c r="K517" i="6" s="1"/>
  <c r="E518" i="6"/>
  <c r="J518" i="6" s="1"/>
  <c r="K518" i="6" s="1"/>
  <c r="E519" i="6"/>
  <c r="J519" i="6" s="1"/>
  <c r="K519" i="6" s="1"/>
  <c r="E520" i="6"/>
  <c r="J520" i="6" s="1"/>
  <c r="K520" i="6" s="1"/>
  <c r="E521" i="6"/>
  <c r="J521" i="6" s="1"/>
  <c r="K521" i="6" s="1"/>
  <c r="E522" i="6"/>
  <c r="J522" i="6" s="1"/>
  <c r="K522" i="6" s="1"/>
  <c r="E523" i="6"/>
  <c r="J523" i="6" s="1"/>
  <c r="K523" i="6" s="1"/>
  <c r="E524" i="6"/>
  <c r="J524" i="6" s="1"/>
  <c r="K524" i="6" s="1"/>
  <c r="E525" i="6"/>
  <c r="J525" i="6" s="1"/>
  <c r="K525" i="6" s="1"/>
  <c r="E526" i="6"/>
  <c r="J526" i="6" s="1"/>
  <c r="K526" i="6" s="1"/>
  <c r="E527" i="6"/>
  <c r="J527" i="6" s="1"/>
  <c r="K527" i="6" s="1"/>
  <c r="E528" i="6"/>
  <c r="J528" i="6" s="1"/>
  <c r="K528" i="6" s="1"/>
  <c r="E529" i="6"/>
  <c r="J529" i="6" s="1"/>
  <c r="K529" i="6" s="1"/>
  <c r="E530" i="6"/>
  <c r="J530" i="6" s="1"/>
  <c r="K530" i="6" s="1"/>
  <c r="E531" i="6"/>
  <c r="J531" i="6" s="1"/>
  <c r="K531" i="6" s="1"/>
  <c r="E532" i="6"/>
  <c r="J532" i="6" s="1"/>
  <c r="K532" i="6" s="1"/>
  <c r="E533" i="6"/>
  <c r="J533" i="6" s="1"/>
  <c r="K533" i="6" s="1"/>
  <c r="E534" i="6"/>
  <c r="J534" i="6" s="1"/>
  <c r="K534" i="6" s="1"/>
  <c r="E535" i="6"/>
  <c r="J535" i="6" s="1"/>
  <c r="K535" i="6" s="1"/>
  <c r="E536" i="6"/>
  <c r="J536" i="6" s="1"/>
  <c r="K536" i="6" s="1"/>
  <c r="E537" i="6"/>
  <c r="J537" i="6" s="1"/>
  <c r="K537" i="6" s="1"/>
  <c r="E538" i="6"/>
  <c r="J538" i="6" s="1"/>
  <c r="K538" i="6" s="1"/>
  <c r="E539" i="6"/>
  <c r="J539" i="6" s="1"/>
  <c r="K539" i="6" s="1"/>
  <c r="E540" i="6"/>
  <c r="J540" i="6" s="1"/>
  <c r="K540" i="6" s="1"/>
  <c r="E541" i="6"/>
  <c r="J541" i="6" s="1"/>
  <c r="K541" i="6" s="1"/>
  <c r="E542" i="6"/>
  <c r="J542" i="6" s="1"/>
  <c r="K542" i="6" s="1"/>
  <c r="E543" i="6"/>
  <c r="J543" i="6" s="1"/>
  <c r="K543" i="6" s="1"/>
  <c r="E544" i="6"/>
  <c r="J544" i="6" s="1"/>
  <c r="K544" i="6" s="1"/>
  <c r="E545" i="6"/>
  <c r="J545" i="6" s="1"/>
  <c r="K545" i="6" s="1"/>
  <c r="E546" i="6"/>
  <c r="J546" i="6" s="1"/>
  <c r="K546" i="6" s="1"/>
  <c r="E547" i="6"/>
  <c r="J547" i="6" s="1"/>
  <c r="K547" i="6" s="1"/>
  <c r="E548" i="6"/>
  <c r="J548" i="6" s="1"/>
  <c r="K548" i="6" s="1"/>
  <c r="E549" i="6"/>
  <c r="J549" i="6" s="1"/>
  <c r="K549" i="6" s="1"/>
  <c r="E550" i="6"/>
  <c r="J550" i="6" s="1"/>
  <c r="K550" i="6" s="1"/>
  <c r="E551" i="6"/>
  <c r="J551" i="6" s="1"/>
  <c r="K551" i="6" s="1"/>
  <c r="E552" i="6"/>
  <c r="J552" i="6" s="1"/>
  <c r="K552" i="6" s="1"/>
  <c r="E553" i="6"/>
  <c r="J553" i="6" s="1"/>
  <c r="K553" i="6" s="1"/>
  <c r="E554" i="6"/>
  <c r="J554" i="6" s="1"/>
  <c r="K554" i="6" s="1"/>
  <c r="E555" i="6"/>
  <c r="J555" i="6" s="1"/>
  <c r="K555" i="6" s="1"/>
  <c r="E556" i="6"/>
  <c r="J556" i="6" s="1"/>
  <c r="K556" i="6" s="1"/>
  <c r="E557" i="6"/>
  <c r="J557" i="6" s="1"/>
  <c r="K557" i="6" s="1"/>
  <c r="E558" i="6"/>
  <c r="J558" i="6" s="1"/>
  <c r="K558" i="6" s="1"/>
  <c r="E559" i="6"/>
  <c r="J559" i="6" s="1"/>
  <c r="K559" i="6" s="1"/>
  <c r="E560" i="6"/>
  <c r="J560" i="6" s="1"/>
  <c r="K560" i="6" s="1"/>
  <c r="E561" i="6"/>
  <c r="J561" i="6" s="1"/>
  <c r="K561" i="6" s="1"/>
  <c r="E562" i="6"/>
  <c r="J562" i="6" s="1"/>
  <c r="K562" i="6" s="1"/>
  <c r="E563" i="6"/>
  <c r="J563" i="6" s="1"/>
  <c r="K563" i="6" s="1"/>
  <c r="E564" i="6"/>
  <c r="J564" i="6" s="1"/>
  <c r="K564" i="6" s="1"/>
  <c r="E565" i="6"/>
  <c r="J565" i="6" s="1"/>
  <c r="K565" i="6" s="1"/>
  <c r="E566" i="6"/>
  <c r="J566" i="6" s="1"/>
  <c r="K566" i="6" s="1"/>
  <c r="E567" i="6"/>
  <c r="J567" i="6" s="1"/>
  <c r="K567" i="6" s="1"/>
  <c r="E568" i="6"/>
  <c r="J568" i="6" s="1"/>
  <c r="K568" i="6" s="1"/>
  <c r="E569" i="6"/>
  <c r="J569" i="6" s="1"/>
  <c r="K569" i="6" s="1"/>
  <c r="E570" i="6"/>
  <c r="J570" i="6" s="1"/>
  <c r="K570" i="6" s="1"/>
  <c r="E571" i="6"/>
  <c r="J571" i="6" s="1"/>
  <c r="K571" i="6" s="1"/>
  <c r="E572" i="6"/>
  <c r="J572" i="6" s="1"/>
  <c r="K572" i="6" s="1"/>
  <c r="E573" i="6"/>
  <c r="J573" i="6" s="1"/>
  <c r="K573" i="6" s="1"/>
  <c r="E574" i="6"/>
  <c r="J574" i="6" s="1"/>
  <c r="K574" i="6" s="1"/>
  <c r="E575" i="6"/>
  <c r="J575" i="6" s="1"/>
  <c r="K575" i="6" s="1"/>
  <c r="E576" i="6"/>
  <c r="J576" i="6" s="1"/>
  <c r="K576" i="6" s="1"/>
  <c r="E577" i="6"/>
  <c r="J577" i="6" s="1"/>
  <c r="K577" i="6" s="1"/>
  <c r="E578" i="6"/>
  <c r="J578" i="6" s="1"/>
  <c r="K578" i="6" s="1"/>
  <c r="E579" i="6"/>
  <c r="J579" i="6" s="1"/>
  <c r="K579" i="6" s="1"/>
  <c r="E580" i="6"/>
  <c r="J580" i="6" s="1"/>
  <c r="K580" i="6" s="1"/>
  <c r="E581" i="6"/>
  <c r="J581" i="6" s="1"/>
  <c r="K581" i="6" s="1"/>
  <c r="E582" i="6"/>
  <c r="J582" i="6" s="1"/>
  <c r="K582" i="6" s="1"/>
  <c r="E583" i="6"/>
  <c r="J583" i="6" s="1"/>
  <c r="K583" i="6" s="1"/>
  <c r="E584" i="6"/>
  <c r="J584" i="6" s="1"/>
  <c r="K584" i="6" s="1"/>
  <c r="E585" i="6"/>
  <c r="J585" i="6" s="1"/>
  <c r="K585" i="6" s="1"/>
  <c r="E586" i="6"/>
  <c r="J586" i="6" s="1"/>
  <c r="K586" i="6" s="1"/>
  <c r="E587" i="6"/>
  <c r="J587" i="6" s="1"/>
  <c r="K587" i="6" s="1"/>
  <c r="E588" i="6"/>
  <c r="J588" i="6" s="1"/>
  <c r="K588" i="6" s="1"/>
  <c r="E589" i="6"/>
  <c r="J589" i="6" s="1"/>
  <c r="K589" i="6" s="1"/>
  <c r="E590" i="6"/>
  <c r="J590" i="6" s="1"/>
  <c r="K590" i="6" s="1"/>
  <c r="E591" i="6"/>
  <c r="J591" i="6" s="1"/>
  <c r="K591" i="6" s="1"/>
  <c r="E592" i="6"/>
  <c r="J592" i="6" s="1"/>
  <c r="K592" i="6" s="1"/>
  <c r="E593" i="6"/>
  <c r="J593" i="6" s="1"/>
  <c r="K593" i="6" s="1"/>
  <c r="E594" i="6"/>
  <c r="J594" i="6" s="1"/>
  <c r="K594" i="6" s="1"/>
  <c r="E595" i="6"/>
  <c r="J595" i="6" s="1"/>
  <c r="K595" i="6" s="1"/>
  <c r="E596" i="6"/>
  <c r="J596" i="6" s="1"/>
  <c r="K596" i="6" s="1"/>
  <c r="E597" i="6"/>
  <c r="J597" i="6" s="1"/>
  <c r="K597" i="6" s="1"/>
  <c r="E598" i="6"/>
  <c r="J598" i="6" s="1"/>
  <c r="K598" i="6" s="1"/>
  <c r="E599" i="6"/>
  <c r="J599" i="6" s="1"/>
  <c r="K599" i="6" s="1"/>
  <c r="E600" i="6"/>
  <c r="J600" i="6" s="1"/>
  <c r="K600" i="6" s="1"/>
  <c r="E601" i="6"/>
  <c r="J601" i="6" s="1"/>
  <c r="K601" i="6" s="1"/>
  <c r="E602" i="6"/>
  <c r="J602" i="6" s="1"/>
  <c r="K602" i="6" s="1"/>
  <c r="E603" i="6"/>
  <c r="J603" i="6" s="1"/>
  <c r="K603" i="6" s="1"/>
  <c r="E604" i="6"/>
  <c r="J604" i="6" s="1"/>
  <c r="K604" i="6" s="1"/>
  <c r="E605" i="6"/>
  <c r="J605" i="6" s="1"/>
  <c r="K605" i="6" s="1"/>
  <c r="E606" i="6"/>
  <c r="J606" i="6" s="1"/>
  <c r="K606" i="6" s="1"/>
  <c r="E607" i="6"/>
  <c r="J607" i="6" s="1"/>
  <c r="K607" i="6" s="1"/>
  <c r="E608" i="6"/>
  <c r="J608" i="6" s="1"/>
  <c r="K608" i="6" s="1"/>
  <c r="E609" i="6"/>
  <c r="J609" i="6" s="1"/>
  <c r="K609" i="6" s="1"/>
  <c r="E610" i="6"/>
  <c r="J610" i="6" s="1"/>
  <c r="K610" i="6" s="1"/>
  <c r="E611" i="6"/>
  <c r="J611" i="6" s="1"/>
  <c r="K611" i="6" s="1"/>
  <c r="E612" i="6"/>
  <c r="J612" i="6" s="1"/>
  <c r="K612" i="6" s="1"/>
  <c r="E613" i="6"/>
  <c r="J613" i="6" s="1"/>
  <c r="K613" i="6" s="1"/>
  <c r="E614" i="6"/>
  <c r="J614" i="6" s="1"/>
  <c r="K614" i="6" s="1"/>
  <c r="E615" i="6"/>
  <c r="J615" i="6" s="1"/>
  <c r="K615" i="6" s="1"/>
  <c r="E616" i="6"/>
  <c r="J616" i="6" s="1"/>
  <c r="K616" i="6" s="1"/>
  <c r="E617" i="6"/>
  <c r="J617" i="6" s="1"/>
  <c r="K617" i="6" s="1"/>
  <c r="E618" i="6"/>
  <c r="J618" i="6" s="1"/>
  <c r="K618" i="6" s="1"/>
  <c r="E619" i="6"/>
  <c r="J619" i="6" s="1"/>
  <c r="K619" i="6" s="1"/>
  <c r="E620" i="6"/>
  <c r="J620" i="6" s="1"/>
  <c r="K620" i="6" s="1"/>
  <c r="E621" i="6"/>
  <c r="J621" i="6" s="1"/>
  <c r="K621" i="6" s="1"/>
  <c r="E622" i="6"/>
  <c r="J622" i="6" s="1"/>
  <c r="K622" i="6" s="1"/>
  <c r="E623" i="6"/>
  <c r="J623" i="6" s="1"/>
  <c r="K623" i="6" s="1"/>
  <c r="E624" i="6"/>
  <c r="J624" i="6" s="1"/>
  <c r="K624" i="6" s="1"/>
  <c r="E625" i="6"/>
  <c r="J625" i="6" s="1"/>
  <c r="K625" i="6" s="1"/>
  <c r="E626" i="6"/>
  <c r="J626" i="6" s="1"/>
  <c r="K626" i="6" s="1"/>
  <c r="E627" i="6"/>
  <c r="J627" i="6" s="1"/>
  <c r="K627" i="6" s="1"/>
  <c r="E628" i="6"/>
  <c r="J628" i="6" s="1"/>
  <c r="K628" i="6" s="1"/>
  <c r="E629" i="6"/>
  <c r="J629" i="6" s="1"/>
  <c r="K629" i="6" s="1"/>
  <c r="E630" i="6"/>
  <c r="J630" i="6" s="1"/>
  <c r="K630" i="6" s="1"/>
  <c r="E631" i="6"/>
  <c r="J631" i="6" s="1"/>
  <c r="K631" i="6" s="1"/>
  <c r="E632" i="6"/>
  <c r="J632" i="6" s="1"/>
  <c r="K632" i="6" s="1"/>
  <c r="E633" i="6"/>
  <c r="J633" i="6" s="1"/>
  <c r="K633" i="6" s="1"/>
  <c r="E634" i="6"/>
  <c r="J634" i="6" s="1"/>
  <c r="K634" i="6" s="1"/>
  <c r="E635" i="6"/>
  <c r="J635" i="6" s="1"/>
  <c r="K635" i="6" s="1"/>
  <c r="E636" i="6"/>
  <c r="J636" i="6" s="1"/>
  <c r="K636" i="6" s="1"/>
  <c r="E637" i="6"/>
  <c r="J637" i="6" s="1"/>
  <c r="K637" i="6" s="1"/>
  <c r="E638" i="6"/>
  <c r="J638" i="6" s="1"/>
  <c r="K638" i="6" s="1"/>
  <c r="E639" i="6"/>
  <c r="J639" i="6" s="1"/>
  <c r="K639" i="6" s="1"/>
  <c r="E640" i="6"/>
  <c r="J640" i="6" s="1"/>
  <c r="K640" i="6" s="1"/>
  <c r="E641" i="6"/>
  <c r="J641" i="6" s="1"/>
  <c r="K641" i="6" s="1"/>
  <c r="E642" i="6"/>
  <c r="J642" i="6" s="1"/>
  <c r="K642" i="6" s="1"/>
  <c r="E643" i="6"/>
  <c r="J643" i="6" s="1"/>
  <c r="K643" i="6" s="1"/>
  <c r="E644" i="6"/>
  <c r="J644" i="6" s="1"/>
  <c r="K644" i="6" s="1"/>
  <c r="E645" i="6"/>
  <c r="J645" i="6" s="1"/>
  <c r="K645" i="6" s="1"/>
  <c r="E646" i="6"/>
  <c r="J646" i="6" s="1"/>
  <c r="K646" i="6" s="1"/>
  <c r="E647" i="6"/>
  <c r="J647" i="6" s="1"/>
  <c r="K647" i="6" s="1"/>
  <c r="E648" i="6"/>
  <c r="J648" i="6" s="1"/>
  <c r="K648" i="6" s="1"/>
  <c r="E649" i="6"/>
  <c r="J649" i="6" s="1"/>
  <c r="K649" i="6" s="1"/>
  <c r="E650" i="6"/>
  <c r="J650" i="6" s="1"/>
  <c r="K650" i="6" s="1"/>
  <c r="E651" i="6"/>
  <c r="J651" i="6" s="1"/>
  <c r="K651" i="6" s="1"/>
  <c r="E652" i="6"/>
  <c r="J652" i="6" s="1"/>
  <c r="K652" i="6" s="1"/>
  <c r="E653" i="6"/>
  <c r="J653" i="6" s="1"/>
  <c r="K653" i="6" s="1"/>
  <c r="E654" i="6"/>
  <c r="J654" i="6" s="1"/>
  <c r="K654" i="6" s="1"/>
  <c r="E655" i="6"/>
  <c r="J655" i="6" s="1"/>
  <c r="K655" i="6" s="1"/>
  <c r="E656" i="6"/>
  <c r="J656" i="6" s="1"/>
  <c r="K656" i="6" s="1"/>
  <c r="E657" i="6"/>
  <c r="J657" i="6" s="1"/>
  <c r="K657" i="6" s="1"/>
  <c r="E658" i="6"/>
  <c r="J658" i="6" s="1"/>
  <c r="K658" i="6" s="1"/>
  <c r="E659" i="6"/>
  <c r="J659" i="6" s="1"/>
  <c r="K659" i="6" s="1"/>
  <c r="E660" i="6"/>
  <c r="J660" i="6" s="1"/>
  <c r="K660" i="6" s="1"/>
  <c r="E661" i="6"/>
  <c r="J661" i="6" s="1"/>
  <c r="K661" i="6" s="1"/>
  <c r="E662" i="6"/>
  <c r="J662" i="6" s="1"/>
  <c r="K662" i="6" s="1"/>
  <c r="E663" i="6"/>
  <c r="J663" i="6" s="1"/>
  <c r="K663" i="6" s="1"/>
  <c r="E664" i="6"/>
  <c r="J664" i="6" s="1"/>
  <c r="K664" i="6" s="1"/>
  <c r="E665" i="6"/>
  <c r="J665" i="6" s="1"/>
  <c r="K665" i="6" s="1"/>
  <c r="E666" i="6"/>
  <c r="J666" i="6" s="1"/>
  <c r="K666" i="6" s="1"/>
  <c r="E667" i="6"/>
  <c r="J667" i="6" s="1"/>
  <c r="K667" i="6" s="1"/>
  <c r="E668" i="6"/>
  <c r="J668" i="6" s="1"/>
  <c r="K668" i="6" s="1"/>
  <c r="E669" i="6"/>
  <c r="J669" i="6" s="1"/>
  <c r="K669" i="6" s="1"/>
  <c r="E670" i="6"/>
  <c r="J670" i="6" s="1"/>
  <c r="K670" i="6" s="1"/>
  <c r="E671" i="6"/>
  <c r="J671" i="6" s="1"/>
  <c r="K671" i="6" s="1"/>
  <c r="E672" i="6"/>
  <c r="J672" i="6" s="1"/>
  <c r="K672" i="6" s="1"/>
  <c r="E673" i="6"/>
  <c r="J673" i="6" s="1"/>
  <c r="K673" i="6" s="1"/>
  <c r="E674" i="6"/>
  <c r="J674" i="6" s="1"/>
  <c r="K674" i="6" s="1"/>
  <c r="E675" i="6"/>
  <c r="J675" i="6" s="1"/>
  <c r="K675" i="6" s="1"/>
  <c r="E676" i="6"/>
  <c r="J676" i="6" s="1"/>
  <c r="K676" i="6" s="1"/>
  <c r="E677" i="6"/>
  <c r="J677" i="6" s="1"/>
  <c r="K677" i="6" s="1"/>
  <c r="E678" i="6"/>
  <c r="J678" i="6" s="1"/>
  <c r="K678" i="6" s="1"/>
  <c r="E679" i="6"/>
  <c r="J679" i="6" s="1"/>
  <c r="K679" i="6" s="1"/>
  <c r="E680" i="6"/>
  <c r="J680" i="6" s="1"/>
  <c r="K680" i="6" s="1"/>
  <c r="E681" i="6"/>
  <c r="J681" i="6" s="1"/>
  <c r="K681" i="6" s="1"/>
  <c r="E682" i="6"/>
  <c r="J682" i="6" s="1"/>
  <c r="K682" i="6" s="1"/>
  <c r="E683" i="6"/>
  <c r="J683" i="6" s="1"/>
  <c r="K683" i="6" s="1"/>
  <c r="E684" i="6"/>
  <c r="J684" i="6" s="1"/>
  <c r="K684" i="6" s="1"/>
  <c r="E685" i="6"/>
  <c r="J685" i="6" s="1"/>
  <c r="K685" i="6" s="1"/>
  <c r="E686" i="6"/>
  <c r="J686" i="6" s="1"/>
  <c r="K686" i="6" s="1"/>
  <c r="E687" i="6"/>
  <c r="J687" i="6" s="1"/>
  <c r="K687" i="6" s="1"/>
  <c r="E688" i="6"/>
  <c r="J688" i="6" s="1"/>
  <c r="K688" i="6" s="1"/>
  <c r="E689" i="6"/>
  <c r="J689" i="6" s="1"/>
  <c r="K689" i="6" s="1"/>
  <c r="E690" i="6"/>
  <c r="J690" i="6" s="1"/>
  <c r="K690" i="6" s="1"/>
  <c r="E691" i="6"/>
  <c r="J691" i="6" s="1"/>
  <c r="K691" i="6" s="1"/>
  <c r="E692" i="6"/>
  <c r="J692" i="6" s="1"/>
  <c r="K692" i="6" s="1"/>
  <c r="E693" i="6"/>
  <c r="J693" i="6" s="1"/>
  <c r="K693" i="6" s="1"/>
  <c r="E694" i="6"/>
  <c r="J694" i="6" s="1"/>
  <c r="K694" i="6" s="1"/>
  <c r="E695" i="6"/>
  <c r="J695" i="6" s="1"/>
  <c r="K695" i="6" s="1"/>
  <c r="E696" i="6"/>
  <c r="J696" i="6" s="1"/>
  <c r="K696" i="6" s="1"/>
  <c r="E697" i="6"/>
  <c r="J697" i="6" s="1"/>
  <c r="K697" i="6" s="1"/>
  <c r="E698" i="6"/>
  <c r="J698" i="6" s="1"/>
  <c r="K698" i="6" s="1"/>
  <c r="E699" i="6"/>
  <c r="J699" i="6" s="1"/>
  <c r="K699" i="6" s="1"/>
  <c r="E700" i="6"/>
  <c r="J700" i="6" s="1"/>
  <c r="K700" i="6" s="1"/>
  <c r="E701" i="6"/>
  <c r="J701" i="6" s="1"/>
  <c r="K701" i="6" s="1"/>
  <c r="E702" i="6"/>
  <c r="J702" i="6" s="1"/>
  <c r="K702" i="6" s="1"/>
  <c r="E703" i="6"/>
  <c r="J703" i="6" s="1"/>
  <c r="K703" i="6" s="1"/>
  <c r="E704" i="6"/>
  <c r="J704" i="6" s="1"/>
  <c r="K704" i="6" s="1"/>
  <c r="E705" i="6"/>
  <c r="J705" i="6" s="1"/>
  <c r="K705" i="6" s="1"/>
  <c r="E706" i="6"/>
  <c r="J706" i="6" s="1"/>
  <c r="K706" i="6" s="1"/>
  <c r="E707" i="6"/>
  <c r="J707" i="6" s="1"/>
  <c r="K707" i="6" s="1"/>
  <c r="E708" i="6"/>
  <c r="J708" i="6" s="1"/>
  <c r="K708" i="6" s="1"/>
  <c r="E709" i="6"/>
  <c r="J709" i="6" s="1"/>
  <c r="K709" i="6" s="1"/>
  <c r="E710" i="6"/>
  <c r="J710" i="6" s="1"/>
  <c r="K710" i="6" s="1"/>
  <c r="E711" i="6"/>
  <c r="J711" i="6" s="1"/>
  <c r="K711" i="6" s="1"/>
  <c r="E712" i="6"/>
  <c r="J712" i="6" s="1"/>
  <c r="K712" i="6" s="1"/>
  <c r="E713" i="6"/>
  <c r="J713" i="6" s="1"/>
  <c r="K713" i="6" s="1"/>
  <c r="E714" i="6"/>
  <c r="J714" i="6" s="1"/>
  <c r="K714" i="6" s="1"/>
  <c r="E715" i="6"/>
  <c r="J715" i="6" s="1"/>
  <c r="K715" i="6" s="1"/>
  <c r="E716" i="6"/>
  <c r="J716" i="6" s="1"/>
  <c r="K716" i="6" s="1"/>
  <c r="E717" i="6"/>
  <c r="J717" i="6" s="1"/>
  <c r="K717" i="6" s="1"/>
  <c r="E718" i="6"/>
  <c r="J718" i="6" s="1"/>
  <c r="K718" i="6" s="1"/>
  <c r="E719" i="6"/>
  <c r="J719" i="6" s="1"/>
  <c r="K719" i="6" s="1"/>
  <c r="E720" i="6"/>
  <c r="J720" i="6" s="1"/>
  <c r="K720" i="6" s="1"/>
  <c r="E721" i="6"/>
  <c r="J721" i="6" s="1"/>
  <c r="K721" i="6" s="1"/>
  <c r="E722" i="6"/>
  <c r="J722" i="6" s="1"/>
  <c r="K722" i="6" s="1"/>
  <c r="E723" i="6"/>
  <c r="J723" i="6" s="1"/>
  <c r="K723" i="6" s="1"/>
  <c r="E724" i="6"/>
  <c r="J724" i="6" s="1"/>
  <c r="K724" i="6" s="1"/>
  <c r="E725" i="6"/>
  <c r="J725" i="6" s="1"/>
  <c r="K725" i="6" s="1"/>
  <c r="E726" i="6"/>
  <c r="J726" i="6" s="1"/>
  <c r="K726" i="6" s="1"/>
  <c r="E727" i="6"/>
  <c r="J727" i="6" s="1"/>
  <c r="K727" i="6" s="1"/>
  <c r="E728" i="6"/>
  <c r="J728" i="6" s="1"/>
  <c r="K728" i="6" s="1"/>
  <c r="E729" i="6"/>
  <c r="J729" i="6" s="1"/>
  <c r="K729" i="6" s="1"/>
  <c r="E730" i="6"/>
  <c r="J730" i="6" s="1"/>
  <c r="K730" i="6" s="1"/>
  <c r="E731" i="6"/>
  <c r="J731" i="6" s="1"/>
  <c r="K731" i="6" s="1"/>
  <c r="E732" i="6"/>
  <c r="J732" i="6" s="1"/>
  <c r="K732" i="6" s="1"/>
  <c r="E733" i="6"/>
  <c r="J733" i="6" s="1"/>
  <c r="K733" i="6" s="1"/>
  <c r="E734" i="6"/>
  <c r="J734" i="6" s="1"/>
  <c r="K734" i="6" s="1"/>
  <c r="E735" i="6"/>
  <c r="J735" i="6" s="1"/>
  <c r="K735" i="6" s="1"/>
  <c r="E736" i="6"/>
  <c r="J736" i="6" s="1"/>
  <c r="K736" i="6" s="1"/>
  <c r="E737" i="6"/>
  <c r="J737" i="6" s="1"/>
  <c r="K737" i="6" s="1"/>
  <c r="E738" i="6"/>
  <c r="J738" i="6" s="1"/>
  <c r="K738" i="6" s="1"/>
  <c r="E739" i="6"/>
  <c r="J739" i="6" s="1"/>
  <c r="K739" i="6" s="1"/>
  <c r="E740" i="6"/>
  <c r="J740" i="6" s="1"/>
  <c r="K740" i="6" s="1"/>
  <c r="E741" i="6"/>
  <c r="J741" i="6" s="1"/>
  <c r="K741" i="6" s="1"/>
  <c r="E742" i="6"/>
  <c r="J742" i="6" s="1"/>
  <c r="K742" i="6" s="1"/>
  <c r="E743" i="6"/>
  <c r="J743" i="6" s="1"/>
  <c r="K743" i="6" s="1"/>
  <c r="E744" i="6"/>
  <c r="J744" i="6" s="1"/>
  <c r="K744" i="6" s="1"/>
  <c r="E745" i="6"/>
  <c r="J745" i="6" s="1"/>
  <c r="K745" i="6" s="1"/>
  <c r="E746" i="6"/>
  <c r="J746" i="6" s="1"/>
  <c r="K746" i="6" s="1"/>
  <c r="E747" i="6"/>
  <c r="J747" i="6" s="1"/>
  <c r="K747" i="6" s="1"/>
  <c r="E748" i="6"/>
  <c r="J748" i="6" s="1"/>
  <c r="K748" i="6" s="1"/>
  <c r="E749" i="6"/>
  <c r="J749" i="6" s="1"/>
  <c r="K749" i="6" s="1"/>
  <c r="E750" i="6"/>
  <c r="J750" i="6" s="1"/>
  <c r="K750" i="6" s="1"/>
  <c r="E751" i="6"/>
  <c r="J751" i="6" s="1"/>
  <c r="K751" i="6" s="1"/>
  <c r="E752" i="6"/>
  <c r="J752" i="6" s="1"/>
  <c r="K752" i="6" s="1"/>
  <c r="E753" i="6"/>
  <c r="J753" i="6" s="1"/>
  <c r="K753" i="6" s="1"/>
  <c r="E754" i="6"/>
  <c r="J754" i="6" s="1"/>
  <c r="K754" i="6" s="1"/>
  <c r="E755" i="6"/>
  <c r="J755" i="6" s="1"/>
  <c r="K755" i="6" s="1"/>
  <c r="E756" i="6"/>
  <c r="J756" i="6" s="1"/>
  <c r="K756" i="6" s="1"/>
  <c r="E757" i="6"/>
  <c r="J757" i="6" s="1"/>
  <c r="K757" i="6" s="1"/>
  <c r="E758" i="6"/>
  <c r="J758" i="6" s="1"/>
  <c r="K758" i="6" s="1"/>
  <c r="E759" i="6"/>
  <c r="J759" i="6" s="1"/>
  <c r="K759" i="6" s="1"/>
  <c r="E760" i="6"/>
  <c r="J760" i="6" s="1"/>
  <c r="K760" i="6" s="1"/>
  <c r="E761" i="6"/>
  <c r="J761" i="6" s="1"/>
  <c r="K761" i="6" s="1"/>
  <c r="E762" i="6"/>
  <c r="J762" i="6" s="1"/>
  <c r="K762" i="6" s="1"/>
  <c r="E763" i="6"/>
  <c r="J763" i="6" s="1"/>
  <c r="K763" i="6" s="1"/>
  <c r="E764" i="6"/>
  <c r="J764" i="6" s="1"/>
  <c r="K764" i="6" s="1"/>
  <c r="E765" i="6"/>
  <c r="J765" i="6" s="1"/>
  <c r="K765" i="6" s="1"/>
  <c r="E766" i="6"/>
  <c r="J766" i="6" s="1"/>
  <c r="K766" i="6" s="1"/>
  <c r="E767" i="6"/>
  <c r="J767" i="6" s="1"/>
  <c r="K767" i="6" s="1"/>
  <c r="E768" i="6"/>
  <c r="J768" i="6" s="1"/>
  <c r="K768" i="6" s="1"/>
  <c r="E769" i="6"/>
  <c r="J769" i="6" s="1"/>
  <c r="K769" i="6" s="1"/>
  <c r="E770" i="6"/>
  <c r="J770" i="6" s="1"/>
  <c r="K770" i="6" s="1"/>
  <c r="E771" i="6"/>
  <c r="J771" i="6" s="1"/>
  <c r="K771" i="6" s="1"/>
  <c r="E772" i="6"/>
  <c r="J772" i="6" s="1"/>
  <c r="K772" i="6" s="1"/>
  <c r="E773" i="6"/>
  <c r="J773" i="6" s="1"/>
  <c r="K773" i="6" s="1"/>
  <c r="E774" i="6"/>
  <c r="J774" i="6" s="1"/>
  <c r="K774" i="6" s="1"/>
  <c r="E775" i="6"/>
  <c r="J775" i="6" s="1"/>
  <c r="K775" i="6" s="1"/>
  <c r="E776" i="6"/>
  <c r="J776" i="6" s="1"/>
  <c r="K776" i="6" s="1"/>
  <c r="E777" i="6"/>
  <c r="J777" i="6" s="1"/>
  <c r="K777" i="6" s="1"/>
  <c r="E778" i="6"/>
  <c r="J778" i="6" s="1"/>
  <c r="K778" i="6" s="1"/>
  <c r="E779" i="6"/>
  <c r="J779" i="6" s="1"/>
  <c r="K779" i="6" s="1"/>
  <c r="E2" i="6"/>
  <c r="J2" i="6" s="1"/>
  <c r="K2" i="6" s="1"/>
  <c r="J37" i="5" l="1"/>
  <c r="J39" i="5"/>
  <c r="J81" i="5"/>
  <c r="J122" i="5"/>
  <c r="J124" i="5"/>
  <c r="J165" i="5"/>
  <c r="J167" i="5"/>
  <c r="J209" i="5"/>
  <c r="J250" i="5"/>
  <c r="J252" i="5"/>
  <c r="J292" i="5"/>
  <c r="J293" i="5"/>
  <c r="J315" i="5"/>
  <c r="J317" i="5"/>
  <c r="J319" i="5"/>
  <c r="J339" i="5"/>
  <c r="J340" i="5"/>
  <c r="J362" i="5"/>
  <c r="H18" i="5"/>
  <c r="H35" i="5"/>
  <c r="H36" i="5"/>
  <c r="H37" i="5"/>
  <c r="H39" i="5"/>
  <c r="H59" i="5"/>
  <c r="H60" i="5"/>
  <c r="H67" i="5"/>
  <c r="H68" i="5"/>
  <c r="H82" i="5"/>
  <c r="H99" i="5"/>
  <c r="H100" i="5"/>
  <c r="H101" i="5"/>
  <c r="H103" i="5"/>
  <c r="H123" i="5"/>
  <c r="H124" i="5"/>
  <c r="H131" i="5"/>
  <c r="H139" i="5"/>
  <c r="H141" i="5"/>
  <c r="H143" i="5"/>
  <c r="H148" i="5"/>
  <c r="H161" i="5"/>
  <c r="H178" i="5"/>
  <c r="H179" i="5"/>
  <c r="H196" i="5"/>
  <c r="H197" i="5"/>
  <c r="H203" i="5"/>
  <c r="H204" i="5"/>
  <c r="H212" i="5"/>
  <c r="H233" i="5"/>
  <c r="H234" i="5"/>
  <c r="H251" i="5"/>
  <c r="H252" i="5"/>
  <c r="H267" i="5"/>
  <c r="H268" i="5"/>
  <c r="H283" i="5"/>
  <c r="H284" i="5"/>
  <c r="H299" i="5"/>
  <c r="H300" i="5"/>
  <c r="H315" i="5"/>
  <c r="H316" i="5"/>
  <c r="H331" i="5"/>
  <c r="H332" i="5"/>
  <c r="H347" i="5"/>
  <c r="H348" i="5"/>
  <c r="H363" i="5"/>
  <c r="H36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2" i="5"/>
  <c r="C3" i="5"/>
  <c r="C4" i="5"/>
  <c r="C11" i="5"/>
  <c r="C12" i="5"/>
  <c r="C13" i="5"/>
  <c r="C14" i="5"/>
  <c r="D7" i="5"/>
  <c r="H7" i="5" s="1"/>
  <c r="D8" i="5"/>
  <c r="D9" i="5"/>
  <c r="C9" i="5" s="1"/>
  <c r="D10" i="5"/>
  <c r="C10" i="5" s="1"/>
  <c r="D11" i="5"/>
  <c r="D12" i="5"/>
  <c r="D13" i="5"/>
  <c r="J13" i="5" s="1"/>
  <c r="D14" i="5"/>
  <c r="D15" i="5"/>
  <c r="C15" i="5" s="1"/>
  <c r="D16" i="5"/>
  <c r="C16" i="5" s="1"/>
  <c r="I16" i="5" s="1"/>
  <c r="D17" i="5"/>
  <c r="H17" i="5" s="1"/>
  <c r="D18" i="5"/>
  <c r="J18" i="5" s="1"/>
  <c r="D19" i="5"/>
  <c r="D20" i="5"/>
  <c r="D21" i="5"/>
  <c r="C21" i="5" s="1"/>
  <c r="D22" i="5"/>
  <c r="D23" i="5"/>
  <c r="D24" i="5"/>
  <c r="J24" i="5" s="1"/>
  <c r="D25" i="5"/>
  <c r="D26" i="5"/>
  <c r="J26" i="5" s="1"/>
  <c r="D27" i="5"/>
  <c r="J27" i="5" s="1"/>
  <c r="D28" i="5"/>
  <c r="J28" i="5" s="1"/>
  <c r="D29" i="5"/>
  <c r="D30" i="5"/>
  <c r="D31" i="5"/>
  <c r="D32" i="5"/>
  <c r="C32" i="5" s="1"/>
  <c r="D33" i="5"/>
  <c r="D34" i="5"/>
  <c r="H34" i="5" s="1"/>
  <c r="D35" i="5"/>
  <c r="J35" i="5" s="1"/>
  <c r="D36" i="5"/>
  <c r="C36" i="5" s="1"/>
  <c r="D37" i="5"/>
  <c r="C37" i="5" s="1"/>
  <c r="D38" i="5"/>
  <c r="D39" i="5"/>
  <c r="C39" i="5" s="1"/>
  <c r="D40" i="5"/>
  <c r="C40" i="5" s="1"/>
  <c r="D41" i="5"/>
  <c r="D42" i="5"/>
  <c r="D43" i="5"/>
  <c r="D44" i="5"/>
  <c r="D45" i="5"/>
  <c r="J45" i="5" s="1"/>
  <c r="D46" i="5"/>
  <c r="D47" i="5"/>
  <c r="J47" i="5" s="1"/>
  <c r="D48" i="5"/>
  <c r="J48" i="5" s="1"/>
  <c r="D49" i="5"/>
  <c r="D50" i="5"/>
  <c r="J50" i="5" s="1"/>
  <c r="D51" i="5"/>
  <c r="D52" i="5"/>
  <c r="D53" i="5"/>
  <c r="C53" i="5" s="1"/>
  <c r="D54" i="5"/>
  <c r="D55" i="5"/>
  <c r="C55" i="5" s="1"/>
  <c r="D56" i="5"/>
  <c r="J56" i="5" s="1"/>
  <c r="D57" i="5"/>
  <c r="H57" i="5" s="1"/>
  <c r="D58" i="5"/>
  <c r="C58" i="5" s="1"/>
  <c r="D59" i="5"/>
  <c r="J59" i="5" s="1"/>
  <c r="D60" i="5"/>
  <c r="J60" i="5" s="1"/>
  <c r="D61" i="5"/>
  <c r="D62" i="5"/>
  <c r="D63" i="5"/>
  <c r="D64" i="5"/>
  <c r="D65" i="5"/>
  <c r="D66" i="5"/>
  <c r="D67" i="5"/>
  <c r="J67" i="5" s="1"/>
  <c r="D68" i="5"/>
  <c r="J68" i="5" s="1"/>
  <c r="D69" i="5"/>
  <c r="J69" i="5" s="1"/>
  <c r="D70" i="5"/>
  <c r="D71" i="5"/>
  <c r="J71" i="5" s="1"/>
  <c r="D72" i="5"/>
  <c r="D73" i="5"/>
  <c r="D74" i="5"/>
  <c r="D75" i="5"/>
  <c r="D76" i="5"/>
  <c r="D77" i="5"/>
  <c r="J77" i="5" s="1"/>
  <c r="D78" i="5"/>
  <c r="D79" i="5"/>
  <c r="C79" i="5" s="1"/>
  <c r="D80" i="5"/>
  <c r="J80" i="5" s="1"/>
  <c r="D81" i="5"/>
  <c r="H81" i="5" s="1"/>
  <c r="D82" i="5"/>
  <c r="J82" i="5" s="1"/>
  <c r="D83" i="5"/>
  <c r="D84" i="5"/>
  <c r="D85" i="5"/>
  <c r="C85" i="5" s="1"/>
  <c r="D86" i="5"/>
  <c r="D87" i="5"/>
  <c r="D88" i="5"/>
  <c r="J88" i="5" s="1"/>
  <c r="D89" i="5"/>
  <c r="D90" i="5"/>
  <c r="J90" i="5" s="1"/>
  <c r="D91" i="5"/>
  <c r="J91" i="5" s="1"/>
  <c r="D92" i="5"/>
  <c r="J92" i="5" s="1"/>
  <c r="D93" i="5"/>
  <c r="D94" i="5"/>
  <c r="D95" i="5"/>
  <c r="D96" i="5"/>
  <c r="D97" i="5"/>
  <c r="D98" i="5"/>
  <c r="H98" i="5" s="1"/>
  <c r="D99" i="5"/>
  <c r="J99" i="5" s="1"/>
  <c r="D100" i="5"/>
  <c r="J100" i="5" s="1"/>
  <c r="D101" i="5"/>
  <c r="J101" i="5" s="1"/>
  <c r="D102" i="5"/>
  <c r="D103" i="5"/>
  <c r="J103" i="5" s="1"/>
  <c r="D104" i="5"/>
  <c r="C104" i="5" s="1"/>
  <c r="D105" i="5"/>
  <c r="D106" i="5"/>
  <c r="D107" i="5"/>
  <c r="D108" i="5"/>
  <c r="D109" i="5"/>
  <c r="J109" i="5" s="1"/>
  <c r="D110" i="5"/>
  <c r="D111" i="5"/>
  <c r="J111" i="5" s="1"/>
  <c r="D112" i="5"/>
  <c r="J112" i="5" s="1"/>
  <c r="D113" i="5"/>
  <c r="D114" i="5"/>
  <c r="J114" i="5" s="1"/>
  <c r="D115" i="5"/>
  <c r="D116" i="5"/>
  <c r="D117" i="5"/>
  <c r="C117" i="5" s="1"/>
  <c r="D118" i="5"/>
  <c r="D119" i="5"/>
  <c r="D120" i="5"/>
  <c r="C120" i="5" s="1"/>
  <c r="D121" i="5"/>
  <c r="H121" i="5" s="1"/>
  <c r="D122" i="5"/>
  <c r="C122" i="5" s="1"/>
  <c r="D123" i="5"/>
  <c r="J123" i="5" s="1"/>
  <c r="D124" i="5"/>
  <c r="C124" i="5" s="1"/>
  <c r="D125" i="5"/>
  <c r="D126" i="5"/>
  <c r="C126" i="5" s="1"/>
  <c r="D127" i="5"/>
  <c r="D128" i="5"/>
  <c r="C128" i="5" s="1"/>
  <c r="D129" i="5"/>
  <c r="D130" i="5"/>
  <c r="J130" i="5" s="1"/>
  <c r="D131" i="5"/>
  <c r="J131" i="5" s="1"/>
  <c r="D132" i="5"/>
  <c r="J132" i="5" s="1"/>
  <c r="D133" i="5"/>
  <c r="J133" i="5" s="1"/>
  <c r="D134" i="5"/>
  <c r="D135" i="5"/>
  <c r="C135" i="5" s="1"/>
  <c r="D136" i="5"/>
  <c r="D137" i="5"/>
  <c r="D138" i="5"/>
  <c r="D139" i="5"/>
  <c r="J139" i="5" s="1"/>
  <c r="D140" i="5"/>
  <c r="J140" i="5" s="1"/>
  <c r="D141" i="5"/>
  <c r="J141" i="5" s="1"/>
  <c r="D142" i="5"/>
  <c r="C142" i="5" s="1"/>
  <c r="D143" i="5"/>
  <c r="J143" i="5" s="1"/>
  <c r="D144" i="5"/>
  <c r="H144" i="5" s="1"/>
  <c r="D145" i="5"/>
  <c r="H145" i="5" s="1"/>
  <c r="D146" i="5"/>
  <c r="D147" i="5"/>
  <c r="D148" i="5"/>
  <c r="J148" i="5" s="1"/>
  <c r="D149" i="5"/>
  <c r="J149" i="5" s="1"/>
  <c r="D150" i="5"/>
  <c r="D151" i="5"/>
  <c r="J151" i="5" s="1"/>
  <c r="D152" i="5"/>
  <c r="J152" i="5" s="1"/>
  <c r="D153" i="5"/>
  <c r="D154" i="5"/>
  <c r="D155" i="5"/>
  <c r="D156" i="5"/>
  <c r="D157" i="5"/>
  <c r="J157" i="5" s="1"/>
  <c r="D158" i="5"/>
  <c r="C158" i="5" s="1"/>
  <c r="D159" i="5"/>
  <c r="J159" i="5" s="1"/>
  <c r="D160" i="5"/>
  <c r="J160" i="5" s="1"/>
  <c r="D161" i="5"/>
  <c r="J161" i="5" s="1"/>
  <c r="D162" i="5"/>
  <c r="H162" i="5" s="1"/>
  <c r="D163" i="5"/>
  <c r="D164" i="5"/>
  <c r="H164" i="5" s="1"/>
  <c r="D165" i="5"/>
  <c r="H165" i="5" s="1"/>
  <c r="D166" i="5"/>
  <c r="D167" i="5"/>
  <c r="H167" i="5" s="1"/>
  <c r="D168" i="5"/>
  <c r="J168" i="5" s="1"/>
  <c r="D169" i="5"/>
  <c r="J169" i="5" s="1"/>
  <c r="D170" i="5"/>
  <c r="J170" i="5" s="1"/>
  <c r="D171" i="5"/>
  <c r="D172" i="5"/>
  <c r="D173" i="5"/>
  <c r="D174" i="5"/>
  <c r="C174" i="5" s="1"/>
  <c r="D175" i="5"/>
  <c r="D176" i="5"/>
  <c r="J176" i="5" s="1"/>
  <c r="D177" i="5"/>
  <c r="J177" i="5" s="1"/>
  <c r="D178" i="5"/>
  <c r="J178" i="5" s="1"/>
  <c r="D179" i="5"/>
  <c r="J179" i="5" s="1"/>
  <c r="D180" i="5"/>
  <c r="D181" i="5"/>
  <c r="C181" i="5" s="1"/>
  <c r="D182" i="5"/>
  <c r="C182" i="5" s="1"/>
  <c r="D183" i="5"/>
  <c r="D184" i="5"/>
  <c r="H184" i="5" s="1"/>
  <c r="D185" i="5"/>
  <c r="H185" i="5" s="1"/>
  <c r="D186" i="5"/>
  <c r="H186" i="5" s="1"/>
  <c r="D187" i="5"/>
  <c r="J187" i="5" s="1"/>
  <c r="D188" i="5"/>
  <c r="J188" i="5" s="1"/>
  <c r="D189" i="5"/>
  <c r="D190" i="5"/>
  <c r="D191" i="5"/>
  <c r="D192" i="5"/>
  <c r="D193" i="5"/>
  <c r="D194" i="5"/>
  <c r="J194" i="5" s="1"/>
  <c r="D195" i="5"/>
  <c r="J195" i="5" s="1"/>
  <c r="D196" i="5"/>
  <c r="J196" i="5" s="1"/>
  <c r="D197" i="5"/>
  <c r="J197" i="5" s="1"/>
  <c r="D198" i="5"/>
  <c r="C198" i="5" s="1"/>
  <c r="D199" i="5"/>
  <c r="D200" i="5"/>
  <c r="D201" i="5"/>
  <c r="D202" i="5"/>
  <c r="D203" i="5"/>
  <c r="J203" i="5" s="1"/>
  <c r="D204" i="5"/>
  <c r="J204" i="5" s="1"/>
  <c r="D205" i="5"/>
  <c r="H205" i="5" s="1"/>
  <c r="D206" i="5"/>
  <c r="C206" i="5" s="1"/>
  <c r="D207" i="5"/>
  <c r="H207" i="5" s="1"/>
  <c r="D208" i="5"/>
  <c r="H208" i="5" s="1"/>
  <c r="D209" i="5"/>
  <c r="H209" i="5" s="1"/>
  <c r="D210" i="5"/>
  <c r="D211" i="5"/>
  <c r="D212" i="5"/>
  <c r="J212" i="5" s="1"/>
  <c r="D213" i="5"/>
  <c r="J213" i="5" s="1"/>
  <c r="D214" i="5"/>
  <c r="D215" i="5"/>
  <c r="J215" i="5" s="1"/>
  <c r="D216" i="5"/>
  <c r="J216" i="5" s="1"/>
  <c r="D217" i="5"/>
  <c r="D218" i="5"/>
  <c r="D219" i="5"/>
  <c r="D220" i="5"/>
  <c r="D221" i="5"/>
  <c r="J221" i="5" s="1"/>
  <c r="D222" i="5"/>
  <c r="C222" i="5" s="1"/>
  <c r="D223" i="5"/>
  <c r="J223" i="5" s="1"/>
  <c r="D224" i="5"/>
  <c r="J224" i="5" s="1"/>
  <c r="D225" i="5"/>
  <c r="J225" i="5" s="1"/>
  <c r="D226" i="5"/>
  <c r="H226" i="5" s="1"/>
  <c r="D227" i="5"/>
  <c r="D228" i="5"/>
  <c r="H228" i="5" s="1"/>
  <c r="D229" i="5"/>
  <c r="H229" i="5" s="1"/>
  <c r="D230" i="5"/>
  <c r="C230" i="5" s="1"/>
  <c r="D231" i="5"/>
  <c r="J231" i="5" s="1"/>
  <c r="D232" i="5"/>
  <c r="J232" i="5" s="1"/>
  <c r="D233" i="5"/>
  <c r="J233" i="5" s="1"/>
  <c r="D234" i="5"/>
  <c r="J234" i="5" s="1"/>
  <c r="D235" i="5"/>
  <c r="D236" i="5"/>
  <c r="D237" i="5"/>
  <c r="D238" i="5"/>
  <c r="C238" i="5" s="1"/>
  <c r="D239" i="5"/>
  <c r="D240" i="5"/>
  <c r="J240" i="5" s="1"/>
  <c r="D241" i="5"/>
  <c r="J241" i="5" s="1"/>
  <c r="D242" i="5"/>
  <c r="J242" i="5" s="1"/>
  <c r="D243" i="5"/>
  <c r="J243" i="5" s="1"/>
  <c r="D244" i="5"/>
  <c r="D245" i="5"/>
  <c r="C245" i="5" s="1"/>
  <c r="D246" i="5"/>
  <c r="C246" i="5" s="1"/>
  <c r="D247" i="5"/>
  <c r="D248" i="5"/>
  <c r="H248" i="5" s="1"/>
  <c r="D249" i="5"/>
  <c r="C249" i="5" s="1"/>
  <c r="D250" i="5"/>
  <c r="C250" i="5" s="1"/>
  <c r="D251" i="5"/>
  <c r="J251" i="5" s="1"/>
  <c r="D252" i="5"/>
  <c r="C252" i="5" s="1"/>
  <c r="D253" i="5"/>
  <c r="D254" i="5"/>
  <c r="D255" i="5"/>
  <c r="D256" i="5"/>
  <c r="D257" i="5"/>
  <c r="J257" i="5" s="1"/>
  <c r="D258" i="5"/>
  <c r="J258" i="5" s="1"/>
  <c r="D259" i="5"/>
  <c r="J259" i="5" s="1"/>
  <c r="D260" i="5"/>
  <c r="J260" i="5" s="1"/>
  <c r="D261" i="5"/>
  <c r="D262" i="5"/>
  <c r="C262" i="5" s="1"/>
  <c r="D263" i="5"/>
  <c r="D264" i="5"/>
  <c r="D265" i="5"/>
  <c r="J265" i="5" s="1"/>
  <c r="D266" i="5"/>
  <c r="J266" i="5" s="1"/>
  <c r="D267" i="5"/>
  <c r="J267" i="5" s="1"/>
  <c r="D268" i="5"/>
  <c r="J268" i="5" s="1"/>
  <c r="D269" i="5"/>
  <c r="H269" i="5" s="1"/>
  <c r="D270" i="5"/>
  <c r="C270" i="5" s="1"/>
  <c r="D271" i="5"/>
  <c r="H271" i="5" s="1"/>
  <c r="D272" i="5"/>
  <c r="H272" i="5" s="1"/>
  <c r="D273" i="5"/>
  <c r="H273" i="5" s="1"/>
  <c r="D274" i="5"/>
  <c r="J274" i="5" s="1"/>
  <c r="D275" i="5"/>
  <c r="J275" i="5" s="1"/>
  <c r="D276" i="5"/>
  <c r="J276" i="5" s="1"/>
  <c r="D277" i="5"/>
  <c r="D278" i="5"/>
  <c r="D279" i="5"/>
  <c r="C279" i="5" s="1"/>
  <c r="D280" i="5"/>
  <c r="D281" i="5"/>
  <c r="J281" i="5" s="1"/>
  <c r="D282" i="5"/>
  <c r="J282" i="5" s="1"/>
  <c r="D283" i="5"/>
  <c r="J283" i="5" s="1"/>
  <c r="D284" i="5"/>
  <c r="J284" i="5" s="1"/>
  <c r="D285" i="5"/>
  <c r="D286" i="5"/>
  <c r="C286" i="5" s="1"/>
  <c r="D287" i="5"/>
  <c r="D288" i="5"/>
  <c r="C288" i="5" s="1"/>
  <c r="D289" i="5"/>
  <c r="J289" i="5" s="1"/>
  <c r="D290" i="5"/>
  <c r="H290" i="5" s="1"/>
  <c r="D291" i="5"/>
  <c r="H291" i="5" s="1"/>
  <c r="D292" i="5"/>
  <c r="H292" i="5" s="1"/>
  <c r="D293" i="5"/>
  <c r="H293" i="5" s="1"/>
  <c r="D294" i="5"/>
  <c r="C294" i="5" s="1"/>
  <c r="D295" i="5"/>
  <c r="D296" i="5"/>
  <c r="D297" i="5"/>
  <c r="J297" i="5" s="1"/>
  <c r="D298" i="5"/>
  <c r="J298" i="5" s="1"/>
  <c r="D299" i="5"/>
  <c r="J299" i="5" s="1"/>
  <c r="D300" i="5"/>
  <c r="J300" i="5" s="1"/>
  <c r="D301" i="5"/>
  <c r="D302" i="5"/>
  <c r="D303" i="5"/>
  <c r="D304" i="5"/>
  <c r="H304" i="5" s="1"/>
  <c r="D305" i="5"/>
  <c r="J305" i="5" s="1"/>
  <c r="D306" i="5"/>
  <c r="J306" i="5" s="1"/>
  <c r="D307" i="5"/>
  <c r="J307" i="5" s="1"/>
  <c r="D308" i="5"/>
  <c r="J308" i="5" s="1"/>
  <c r="D309" i="5"/>
  <c r="C309" i="5" s="1"/>
  <c r="D310" i="5"/>
  <c r="C310" i="5" s="1"/>
  <c r="D311" i="5"/>
  <c r="D312" i="5"/>
  <c r="D313" i="5"/>
  <c r="J313" i="5" s="1"/>
  <c r="D314" i="5"/>
  <c r="J314" i="5" s="1"/>
  <c r="D315" i="5"/>
  <c r="C315" i="5" s="1"/>
  <c r="D316" i="5"/>
  <c r="C316" i="5" s="1"/>
  <c r="D317" i="5"/>
  <c r="H317" i="5" s="1"/>
  <c r="D318" i="5"/>
  <c r="C318" i="5" s="1"/>
  <c r="D319" i="5"/>
  <c r="H319" i="5" s="1"/>
  <c r="D320" i="5"/>
  <c r="D321" i="5"/>
  <c r="J321" i="5" s="1"/>
  <c r="D322" i="5"/>
  <c r="J322" i="5" s="1"/>
  <c r="D323" i="5"/>
  <c r="J323" i="5" s="1"/>
  <c r="D324" i="5"/>
  <c r="J324" i="5" s="1"/>
  <c r="D325" i="5"/>
  <c r="H325" i="5" s="1"/>
  <c r="D326" i="5"/>
  <c r="C326" i="5" s="1"/>
  <c r="D327" i="5"/>
  <c r="H327" i="5" s="1"/>
  <c r="D328" i="5"/>
  <c r="H328" i="5" s="1"/>
  <c r="D329" i="5"/>
  <c r="J329" i="5" s="1"/>
  <c r="D330" i="5"/>
  <c r="C330" i="5" s="1"/>
  <c r="D331" i="5"/>
  <c r="J331" i="5" s="1"/>
  <c r="D332" i="5"/>
  <c r="J332" i="5" s="1"/>
  <c r="D333" i="5"/>
  <c r="D334" i="5"/>
  <c r="D335" i="5"/>
  <c r="D336" i="5"/>
  <c r="H336" i="5" s="1"/>
  <c r="D337" i="5"/>
  <c r="J337" i="5" s="1"/>
  <c r="D338" i="5"/>
  <c r="H338" i="5" s="1"/>
  <c r="D339" i="5"/>
  <c r="H339" i="5" s="1"/>
  <c r="D340" i="5"/>
  <c r="H340" i="5" s="1"/>
  <c r="D341" i="5"/>
  <c r="D342" i="5"/>
  <c r="C342" i="5" s="1"/>
  <c r="D343" i="5"/>
  <c r="C343" i="5" s="1"/>
  <c r="D344" i="5"/>
  <c r="D345" i="5"/>
  <c r="J345" i="5" s="1"/>
  <c r="D346" i="5"/>
  <c r="J346" i="5" s="1"/>
  <c r="D347" i="5"/>
  <c r="J347" i="5" s="1"/>
  <c r="D348" i="5"/>
  <c r="J348" i="5" s="1"/>
  <c r="D349" i="5"/>
  <c r="H349" i="5" s="1"/>
  <c r="D350" i="5"/>
  <c r="C350" i="5" s="1"/>
  <c r="D351" i="5"/>
  <c r="H351" i="5" s="1"/>
  <c r="D352" i="5"/>
  <c r="C352" i="5" s="1"/>
  <c r="D353" i="5"/>
  <c r="J353" i="5" s="1"/>
  <c r="D354" i="5"/>
  <c r="J354" i="5" s="1"/>
  <c r="D355" i="5"/>
  <c r="J355" i="5" s="1"/>
  <c r="D356" i="5"/>
  <c r="J356" i="5" s="1"/>
  <c r="D357" i="5"/>
  <c r="H357" i="5" s="1"/>
  <c r="D358" i="5"/>
  <c r="D359" i="5"/>
  <c r="H359" i="5" s="1"/>
  <c r="D360" i="5"/>
  <c r="H360" i="5" s="1"/>
  <c r="D361" i="5"/>
  <c r="J361" i="5" s="1"/>
  <c r="D362" i="5"/>
  <c r="C362" i="5" s="1"/>
  <c r="D363" i="5"/>
  <c r="J363" i="5" s="1"/>
  <c r="D364" i="5"/>
  <c r="J364" i="5" s="1"/>
  <c r="D365" i="5"/>
  <c r="D3" i="5"/>
  <c r="J3" i="5" s="1"/>
  <c r="D4" i="5"/>
  <c r="J4" i="5" s="1"/>
  <c r="D5" i="5"/>
  <c r="J5" i="5" s="1"/>
  <c r="D6" i="5"/>
  <c r="C6" i="5" s="1"/>
  <c r="D2" i="5"/>
  <c r="C2" i="5" s="1"/>
  <c r="N135" i="5" l="1"/>
  <c r="L135" i="5"/>
  <c r="K135" i="5"/>
  <c r="M135" i="5"/>
  <c r="I135" i="5"/>
  <c r="G135" i="5"/>
  <c r="N39" i="5"/>
  <c r="L39" i="5"/>
  <c r="K39" i="5"/>
  <c r="M39" i="5"/>
  <c r="G39" i="5"/>
  <c r="I39" i="5"/>
  <c r="N342" i="5"/>
  <c r="M342" i="5"/>
  <c r="K342" i="5"/>
  <c r="I342" i="5"/>
  <c r="G342" i="5"/>
  <c r="L342" i="5"/>
  <c r="N310" i="5"/>
  <c r="M310" i="5"/>
  <c r="K310" i="5"/>
  <c r="L310" i="5"/>
  <c r="I310" i="5"/>
  <c r="G310" i="5"/>
  <c r="N270" i="5"/>
  <c r="M270" i="5"/>
  <c r="L270" i="5"/>
  <c r="I270" i="5"/>
  <c r="K270" i="5"/>
  <c r="G270" i="5"/>
  <c r="N246" i="5"/>
  <c r="M246" i="5"/>
  <c r="K246" i="5"/>
  <c r="L246" i="5"/>
  <c r="I246" i="5"/>
  <c r="G246" i="5"/>
  <c r="N230" i="5"/>
  <c r="M230" i="5"/>
  <c r="L230" i="5"/>
  <c r="G230" i="5"/>
  <c r="K230" i="5"/>
  <c r="I230" i="5"/>
  <c r="N206" i="5"/>
  <c r="M206" i="5"/>
  <c r="I206" i="5"/>
  <c r="L206" i="5"/>
  <c r="K206" i="5"/>
  <c r="G206" i="5"/>
  <c r="N182" i="5"/>
  <c r="M182" i="5"/>
  <c r="K182" i="5"/>
  <c r="L182" i="5"/>
  <c r="I182" i="5"/>
  <c r="G182" i="5"/>
  <c r="N158" i="5"/>
  <c r="M158" i="5"/>
  <c r="L158" i="5"/>
  <c r="K158" i="5"/>
  <c r="I158" i="5"/>
  <c r="G158" i="5"/>
  <c r="N126" i="5"/>
  <c r="M126" i="5"/>
  <c r="L126" i="5"/>
  <c r="K126" i="5"/>
  <c r="I126" i="5"/>
  <c r="G126" i="5"/>
  <c r="N309" i="5"/>
  <c r="M309" i="5"/>
  <c r="L309" i="5"/>
  <c r="K309" i="5"/>
  <c r="I309" i="5"/>
  <c r="G309" i="5"/>
  <c r="N245" i="5"/>
  <c r="M245" i="5"/>
  <c r="L245" i="5"/>
  <c r="K245" i="5"/>
  <c r="I245" i="5"/>
  <c r="G245" i="5"/>
  <c r="N181" i="5"/>
  <c r="M181" i="5"/>
  <c r="L181" i="5"/>
  <c r="K181" i="5"/>
  <c r="I181" i="5"/>
  <c r="G181" i="5"/>
  <c r="N117" i="5"/>
  <c r="M117" i="5"/>
  <c r="L117" i="5"/>
  <c r="K117" i="5"/>
  <c r="I117" i="5"/>
  <c r="G117" i="5"/>
  <c r="N53" i="5"/>
  <c r="M53" i="5"/>
  <c r="L53" i="5"/>
  <c r="K53" i="5"/>
  <c r="I53" i="5"/>
  <c r="G53" i="5"/>
  <c r="N21" i="5"/>
  <c r="M21" i="5"/>
  <c r="L21" i="5"/>
  <c r="K21" i="5"/>
  <c r="I21" i="5"/>
  <c r="G21" i="5"/>
  <c r="N316" i="5"/>
  <c r="M316" i="5"/>
  <c r="L316" i="5"/>
  <c r="G316" i="5"/>
  <c r="K316" i="5"/>
  <c r="I316" i="5"/>
  <c r="N252" i="5"/>
  <c r="M252" i="5"/>
  <c r="L252" i="5"/>
  <c r="G252" i="5"/>
  <c r="K252" i="5"/>
  <c r="I252" i="5"/>
  <c r="N124" i="5"/>
  <c r="M124" i="5"/>
  <c r="L124" i="5"/>
  <c r="K124" i="5"/>
  <c r="G124" i="5"/>
  <c r="I124" i="5"/>
  <c r="N36" i="5"/>
  <c r="M36" i="5"/>
  <c r="L36" i="5"/>
  <c r="K36" i="5"/>
  <c r="G36" i="5"/>
  <c r="I36" i="5"/>
  <c r="N343" i="5"/>
  <c r="L343" i="5"/>
  <c r="K343" i="5"/>
  <c r="I343" i="5"/>
  <c r="M343" i="5"/>
  <c r="G343" i="5"/>
  <c r="N79" i="5"/>
  <c r="L79" i="5"/>
  <c r="K79" i="5"/>
  <c r="M79" i="5"/>
  <c r="G79" i="5"/>
  <c r="I79" i="5"/>
  <c r="N326" i="5"/>
  <c r="L326" i="5"/>
  <c r="M326" i="5"/>
  <c r="K326" i="5"/>
  <c r="I326" i="5"/>
  <c r="G326" i="5"/>
  <c r="N286" i="5"/>
  <c r="M286" i="5"/>
  <c r="L286" i="5"/>
  <c r="K286" i="5"/>
  <c r="I286" i="5"/>
  <c r="G286" i="5"/>
  <c r="N262" i="5"/>
  <c r="M262" i="5"/>
  <c r="L262" i="5"/>
  <c r="K262" i="5"/>
  <c r="I262" i="5"/>
  <c r="G262" i="5"/>
  <c r="N238" i="5"/>
  <c r="M238" i="5"/>
  <c r="L238" i="5"/>
  <c r="K238" i="5"/>
  <c r="I238" i="5"/>
  <c r="G238" i="5"/>
  <c r="N222" i="5"/>
  <c r="M222" i="5"/>
  <c r="L222" i="5"/>
  <c r="K222" i="5"/>
  <c r="I222" i="5"/>
  <c r="G222" i="5"/>
  <c r="N198" i="5"/>
  <c r="M198" i="5"/>
  <c r="L198" i="5"/>
  <c r="K198" i="5"/>
  <c r="I198" i="5"/>
  <c r="G198" i="5"/>
  <c r="N174" i="5"/>
  <c r="M174" i="5"/>
  <c r="L174" i="5"/>
  <c r="I174" i="5"/>
  <c r="K174" i="5"/>
  <c r="G174" i="5"/>
  <c r="N142" i="5"/>
  <c r="M142" i="5"/>
  <c r="L142" i="5"/>
  <c r="I142" i="5"/>
  <c r="K142" i="5"/>
  <c r="G142" i="5"/>
  <c r="N85" i="5"/>
  <c r="M85" i="5"/>
  <c r="L85" i="5"/>
  <c r="K85" i="5"/>
  <c r="I85" i="5"/>
  <c r="G85" i="5"/>
  <c r="N37" i="5"/>
  <c r="M37" i="5"/>
  <c r="K37" i="5"/>
  <c r="I37" i="5"/>
  <c r="G37" i="5"/>
  <c r="L37" i="5"/>
  <c r="M315" i="5"/>
  <c r="L315" i="5"/>
  <c r="N315" i="5"/>
  <c r="G315" i="5"/>
  <c r="K315" i="5"/>
  <c r="I315" i="5"/>
  <c r="N350" i="5"/>
  <c r="M350" i="5"/>
  <c r="L350" i="5"/>
  <c r="K350" i="5"/>
  <c r="I350" i="5"/>
  <c r="G350" i="5"/>
  <c r="N294" i="5"/>
  <c r="M294" i="5"/>
  <c r="L294" i="5"/>
  <c r="G294" i="5"/>
  <c r="K294" i="5"/>
  <c r="I294" i="5"/>
  <c r="N2" i="5"/>
  <c r="M2" i="5"/>
  <c r="L2" i="5"/>
  <c r="K2" i="5"/>
  <c r="I2" i="5"/>
  <c r="G2" i="5"/>
  <c r="M250" i="5"/>
  <c r="N250" i="5"/>
  <c r="K250" i="5"/>
  <c r="I250" i="5"/>
  <c r="G250" i="5"/>
  <c r="L250" i="5"/>
  <c r="M10" i="5"/>
  <c r="N10" i="5"/>
  <c r="L10" i="5"/>
  <c r="I10" i="5"/>
  <c r="K10" i="5"/>
  <c r="G10" i="5"/>
  <c r="N279" i="5"/>
  <c r="M279" i="5"/>
  <c r="L279" i="5"/>
  <c r="K279" i="5"/>
  <c r="I279" i="5"/>
  <c r="G279" i="5"/>
  <c r="N318" i="5"/>
  <c r="M318" i="5"/>
  <c r="L318" i="5"/>
  <c r="K318" i="5"/>
  <c r="I318" i="5"/>
  <c r="G318" i="5"/>
  <c r="N362" i="5"/>
  <c r="M362" i="5"/>
  <c r="L362" i="5"/>
  <c r="K362" i="5"/>
  <c r="I362" i="5"/>
  <c r="G362" i="5"/>
  <c r="M330" i="5"/>
  <c r="L330" i="5"/>
  <c r="K330" i="5"/>
  <c r="I330" i="5"/>
  <c r="N330" i="5"/>
  <c r="G330" i="5"/>
  <c r="M122" i="5"/>
  <c r="K122" i="5"/>
  <c r="I122" i="5"/>
  <c r="N122" i="5"/>
  <c r="G122" i="5"/>
  <c r="L122" i="5"/>
  <c r="M58" i="5"/>
  <c r="K58" i="5"/>
  <c r="I58" i="5"/>
  <c r="N58" i="5"/>
  <c r="G58" i="5"/>
  <c r="L58" i="5"/>
  <c r="N6" i="5"/>
  <c r="M6" i="5"/>
  <c r="L6" i="5"/>
  <c r="K6" i="5"/>
  <c r="I6" i="5"/>
  <c r="G6" i="5"/>
  <c r="N249" i="5"/>
  <c r="G249" i="5"/>
  <c r="M249" i="5"/>
  <c r="K249" i="5"/>
  <c r="I249" i="5"/>
  <c r="L249" i="5"/>
  <c r="N9" i="5"/>
  <c r="L9" i="5"/>
  <c r="K9" i="5"/>
  <c r="M9" i="5"/>
  <c r="I9" i="5"/>
  <c r="G9" i="5"/>
  <c r="N55" i="5"/>
  <c r="L55" i="5"/>
  <c r="M55" i="5"/>
  <c r="K55" i="5"/>
  <c r="I55" i="5"/>
  <c r="G55" i="5"/>
  <c r="N352" i="5"/>
  <c r="M352" i="5"/>
  <c r="L352" i="5"/>
  <c r="K352" i="5"/>
  <c r="I352" i="5"/>
  <c r="G352" i="5"/>
  <c r="N288" i="5"/>
  <c r="M288" i="5"/>
  <c r="L288" i="5"/>
  <c r="K288" i="5"/>
  <c r="I288" i="5"/>
  <c r="G288" i="5"/>
  <c r="N128" i="5"/>
  <c r="M128" i="5"/>
  <c r="K128" i="5"/>
  <c r="L128" i="5"/>
  <c r="I128" i="5"/>
  <c r="G128" i="5"/>
  <c r="N120" i="5"/>
  <c r="M120" i="5"/>
  <c r="K120" i="5"/>
  <c r="I120" i="5"/>
  <c r="L120" i="5"/>
  <c r="G120" i="5"/>
  <c r="N104" i="5"/>
  <c r="L104" i="5"/>
  <c r="K104" i="5"/>
  <c r="M104" i="5"/>
  <c r="G104" i="5"/>
  <c r="I104" i="5"/>
  <c r="N40" i="5"/>
  <c r="L40" i="5"/>
  <c r="K40" i="5"/>
  <c r="I40" i="5"/>
  <c r="M40" i="5"/>
  <c r="G40" i="5"/>
  <c r="N32" i="5"/>
  <c r="K32" i="5"/>
  <c r="M32" i="5"/>
  <c r="L32" i="5"/>
  <c r="I32" i="5"/>
  <c r="G32" i="5"/>
  <c r="J344" i="5"/>
  <c r="H344" i="5"/>
  <c r="J320" i="5"/>
  <c r="H320" i="5"/>
  <c r="J280" i="5"/>
  <c r="H280" i="5"/>
  <c r="J8" i="5"/>
  <c r="H8" i="5"/>
  <c r="C8" i="5"/>
  <c r="C304" i="5"/>
  <c r="C232" i="5"/>
  <c r="C160" i="5"/>
  <c r="C88" i="5"/>
  <c r="N14" i="5"/>
  <c r="M14" i="5"/>
  <c r="L14" i="5"/>
  <c r="I14" i="5"/>
  <c r="H335" i="5"/>
  <c r="J335" i="5"/>
  <c r="J303" i="5"/>
  <c r="H303" i="5"/>
  <c r="H263" i="5"/>
  <c r="J263" i="5"/>
  <c r="H199" i="5"/>
  <c r="J199" i="5"/>
  <c r="J175" i="5"/>
  <c r="H175" i="5"/>
  <c r="J63" i="5"/>
  <c r="H63" i="5"/>
  <c r="J31" i="5"/>
  <c r="H31" i="5"/>
  <c r="C327" i="5"/>
  <c r="C271" i="5"/>
  <c r="C215" i="5"/>
  <c r="C151" i="5"/>
  <c r="C103" i="5"/>
  <c r="C63" i="5"/>
  <c r="C31" i="5"/>
  <c r="H215" i="5"/>
  <c r="H80" i="5"/>
  <c r="J358" i="5"/>
  <c r="H358" i="5"/>
  <c r="J334" i="5"/>
  <c r="H334" i="5"/>
  <c r="J302" i="5"/>
  <c r="H302" i="5"/>
  <c r="J278" i="5"/>
  <c r="H278" i="5"/>
  <c r="J254" i="5"/>
  <c r="H254" i="5"/>
  <c r="J214" i="5"/>
  <c r="H214" i="5"/>
  <c r="J190" i="5"/>
  <c r="H190" i="5"/>
  <c r="J166" i="5"/>
  <c r="H166" i="5"/>
  <c r="J150" i="5"/>
  <c r="H150" i="5"/>
  <c r="J134" i="5"/>
  <c r="H134" i="5"/>
  <c r="J118" i="5"/>
  <c r="H118" i="5"/>
  <c r="J110" i="5"/>
  <c r="H110" i="5"/>
  <c r="J102" i="5"/>
  <c r="H102" i="5"/>
  <c r="J94" i="5"/>
  <c r="H94" i="5"/>
  <c r="J86" i="5"/>
  <c r="H86" i="5"/>
  <c r="J78" i="5"/>
  <c r="H78" i="5"/>
  <c r="J70" i="5"/>
  <c r="H70" i="5"/>
  <c r="J62" i="5"/>
  <c r="H62" i="5"/>
  <c r="J54" i="5"/>
  <c r="H54" i="5"/>
  <c r="J46" i="5"/>
  <c r="H46" i="5"/>
  <c r="J38" i="5"/>
  <c r="H38" i="5"/>
  <c r="J30" i="5"/>
  <c r="H30" i="5"/>
  <c r="J22" i="5"/>
  <c r="H22" i="5"/>
  <c r="J14" i="5"/>
  <c r="H14" i="5"/>
  <c r="C358" i="5"/>
  <c r="C334" i="5"/>
  <c r="C302" i="5"/>
  <c r="C278" i="5"/>
  <c r="C254" i="5"/>
  <c r="C214" i="5"/>
  <c r="C190" i="5"/>
  <c r="C166" i="5"/>
  <c r="C150" i="5"/>
  <c r="C134" i="5"/>
  <c r="C118" i="5"/>
  <c r="C110" i="5"/>
  <c r="C102" i="5"/>
  <c r="C94" i="5"/>
  <c r="C86" i="5"/>
  <c r="C78" i="5"/>
  <c r="C70" i="5"/>
  <c r="C62" i="5"/>
  <c r="C54" i="5"/>
  <c r="C46" i="5"/>
  <c r="C38" i="5"/>
  <c r="C30" i="5"/>
  <c r="C22" i="5"/>
  <c r="N12" i="5"/>
  <c r="M12" i="5"/>
  <c r="L12" i="5"/>
  <c r="I12" i="5"/>
  <c r="G12" i="5"/>
  <c r="G14" i="5"/>
  <c r="H362" i="5"/>
  <c r="H346" i="5"/>
  <c r="H330" i="5"/>
  <c r="H314" i="5"/>
  <c r="H298" i="5"/>
  <c r="H282" i="5"/>
  <c r="H266" i="5"/>
  <c r="H250" i="5"/>
  <c r="H232" i="5"/>
  <c r="H213" i="5"/>
  <c r="H195" i="5"/>
  <c r="H177" i="5"/>
  <c r="H159" i="5"/>
  <c r="H140" i="5"/>
  <c r="H122" i="5"/>
  <c r="H79" i="5"/>
  <c r="H58" i="5"/>
  <c r="H15" i="5"/>
  <c r="J359" i="5"/>
  <c r="J338" i="5"/>
  <c r="J316" i="5"/>
  <c r="J291" i="5"/>
  <c r="J249" i="5"/>
  <c r="J207" i="5"/>
  <c r="J164" i="5"/>
  <c r="J121" i="5"/>
  <c r="J79" i="5"/>
  <c r="J36" i="5"/>
  <c r="J296" i="5"/>
  <c r="H296" i="5"/>
  <c r="J264" i="5"/>
  <c r="H264" i="5"/>
  <c r="J200" i="5"/>
  <c r="H200" i="5"/>
  <c r="J72" i="5"/>
  <c r="H72" i="5"/>
  <c r="N16" i="5"/>
  <c r="M16" i="5"/>
  <c r="K16" i="5"/>
  <c r="L16" i="5"/>
  <c r="C320" i="5"/>
  <c r="C272" i="5"/>
  <c r="C240" i="5"/>
  <c r="C216" i="5"/>
  <c r="C200" i="5"/>
  <c r="C176" i="5"/>
  <c r="C152" i="5"/>
  <c r="C80" i="5"/>
  <c r="C56" i="5"/>
  <c r="C24" i="5"/>
  <c r="G16" i="5"/>
  <c r="J287" i="5"/>
  <c r="H287" i="5"/>
  <c r="J191" i="5"/>
  <c r="H191" i="5"/>
  <c r="N15" i="5"/>
  <c r="L15" i="5"/>
  <c r="K15" i="5"/>
  <c r="M15" i="5"/>
  <c r="C319" i="5"/>
  <c r="C287" i="5"/>
  <c r="C263" i="5"/>
  <c r="C231" i="5"/>
  <c r="C207" i="5"/>
  <c r="C167" i="5"/>
  <c r="C143" i="5"/>
  <c r="C111" i="5"/>
  <c r="C71" i="5"/>
  <c r="N13" i="5"/>
  <c r="M13" i="5"/>
  <c r="I13" i="5"/>
  <c r="L13" i="5"/>
  <c r="G15" i="5"/>
  <c r="H160" i="5"/>
  <c r="J208" i="5"/>
  <c r="J342" i="5"/>
  <c r="H342" i="5"/>
  <c r="J318" i="5"/>
  <c r="H318" i="5"/>
  <c r="J286" i="5"/>
  <c r="H286" i="5"/>
  <c r="J262" i="5"/>
  <c r="H262" i="5"/>
  <c r="J246" i="5"/>
  <c r="H246" i="5"/>
  <c r="J222" i="5"/>
  <c r="H222" i="5"/>
  <c r="J198" i="5"/>
  <c r="H198" i="5"/>
  <c r="J174" i="5"/>
  <c r="H174" i="5"/>
  <c r="J126" i="5"/>
  <c r="H126" i="5"/>
  <c r="J341" i="5"/>
  <c r="H341" i="5"/>
  <c r="J285" i="5"/>
  <c r="H285" i="5"/>
  <c r="J277" i="5"/>
  <c r="H277" i="5"/>
  <c r="H261" i="5"/>
  <c r="J261" i="5"/>
  <c r="J189" i="5"/>
  <c r="H189" i="5"/>
  <c r="J173" i="5"/>
  <c r="H173" i="5"/>
  <c r="J93" i="5"/>
  <c r="H93" i="5"/>
  <c r="J29" i="5"/>
  <c r="H29" i="5"/>
  <c r="C357" i="5"/>
  <c r="C341" i="5"/>
  <c r="C325" i="5"/>
  <c r="C293" i="5"/>
  <c r="C277" i="5"/>
  <c r="C261" i="5"/>
  <c r="C229" i="5"/>
  <c r="C213" i="5"/>
  <c r="C197" i="5"/>
  <c r="C165" i="5"/>
  <c r="C149" i="5"/>
  <c r="C133" i="5"/>
  <c r="C101" i="5"/>
  <c r="C69" i="5"/>
  <c r="C29" i="5"/>
  <c r="H361" i="5"/>
  <c r="H329" i="5"/>
  <c r="H297" i="5"/>
  <c r="H265" i="5"/>
  <c r="H249" i="5"/>
  <c r="H231" i="5"/>
  <c r="H77" i="5"/>
  <c r="H56" i="5"/>
  <c r="H13" i="5"/>
  <c r="I15" i="5"/>
  <c r="J357" i="5"/>
  <c r="J336" i="5"/>
  <c r="J290" i="5"/>
  <c r="J205" i="5"/>
  <c r="J120" i="5"/>
  <c r="J34" i="5"/>
  <c r="J244" i="5"/>
  <c r="H244" i="5"/>
  <c r="J236" i="5"/>
  <c r="H236" i="5"/>
  <c r="J220" i="5"/>
  <c r="H220" i="5"/>
  <c r="J180" i="5"/>
  <c r="H180" i="5"/>
  <c r="J172" i="5"/>
  <c r="H172" i="5"/>
  <c r="J156" i="5"/>
  <c r="H156" i="5"/>
  <c r="J116" i="5"/>
  <c r="H116" i="5"/>
  <c r="J108" i="5"/>
  <c r="H108" i="5"/>
  <c r="J84" i="5"/>
  <c r="H84" i="5"/>
  <c r="J76" i="5"/>
  <c r="H76" i="5"/>
  <c r="J52" i="5"/>
  <c r="H52" i="5"/>
  <c r="J44" i="5"/>
  <c r="H44" i="5"/>
  <c r="J20" i="5"/>
  <c r="H20" i="5"/>
  <c r="J12" i="5"/>
  <c r="H12" i="5"/>
  <c r="C364" i="5"/>
  <c r="C356" i="5"/>
  <c r="C348" i="5"/>
  <c r="C340" i="5"/>
  <c r="C332" i="5"/>
  <c r="C324" i="5"/>
  <c r="C308" i="5"/>
  <c r="C300" i="5"/>
  <c r="C292" i="5"/>
  <c r="C284" i="5"/>
  <c r="C276" i="5"/>
  <c r="C268" i="5"/>
  <c r="C260" i="5"/>
  <c r="C244" i="5"/>
  <c r="C236" i="5"/>
  <c r="C228" i="5"/>
  <c r="C220" i="5"/>
  <c r="C212" i="5"/>
  <c r="C204" i="5"/>
  <c r="C196" i="5"/>
  <c r="C188" i="5"/>
  <c r="C180" i="5"/>
  <c r="C172" i="5"/>
  <c r="C164" i="5"/>
  <c r="C156" i="5"/>
  <c r="C148" i="5"/>
  <c r="C140" i="5"/>
  <c r="C132" i="5"/>
  <c r="C116" i="5"/>
  <c r="C108" i="5"/>
  <c r="C100" i="5"/>
  <c r="C92" i="5"/>
  <c r="C84" i="5"/>
  <c r="C76" i="5"/>
  <c r="C68" i="5"/>
  <c r="C60" i="5"/>
  <c r="C52" i="5"/>
  <c r="C44" i="5"/>
  <c r="C28" i="5"/>
  <c r="C20" i="5"/>
  <c r="H356" i="5"/>
  <c r="H324" i="5"/>
  <c r="H308" i="5"/>
  <c r="H276" i="5"/>
  <c r="H260" i="5"/>
  <c r="H243" i="5"/>
  <c r="H225" i="5"/>
  <c r="H188" i="5"/>
  <c r="H170" i="5"/>
  <c r="H152" i="5"/>
  <c r="H133" i="5"/>
  <c r="H114" i="5"/>
  <c r="H92" i="5"/>
  <c r="H71" i="5"/>
  <c r="H50" i="5"/>
  <c r="H28" i="5"/>
  <c r="J351" i="5"/>
  <c r="J330" i="5"/>
  <c r="J273" i="5"/>
  <c r="J145" i="5"/>
  <c r="J17" i="5"/>
  <c r="J288" i="5"/>
  <c r="H288" i="5"/>
  <c r="J256" i="5"/>
  <c r="H256" i="5"/>
  <c r="J192" i="5"/>
  <c r="H192" i="5"/>
  <c r="J128" i="5"/>
  <c r="H128" i="5"/>
  <c r="J96" i="5"/>
  <c r="H96" i="5"/>
  <c r="J32" i="5"/>
  <c r="H32" i="5"/>
  <c r="C360" i="5"/>
  <c r="C344" i="5"/>
  <c r="C328" i="5"/>
  <c r="C296" i="5"/>
  <c r="C280" i="5"/>
  <c r="C256" i="5"/>
  <c r="C224" i="5"/>
  <c r="C192" i="5"/>
  <c r="C168" i="5"/>
  <c r="C144" i="5"/>
  <c r="C112" i="5"/>
  <c r="C96" i="5"/>
  <c r="C72" i="5"/>
  <c r="N4" i="5"/>
  <c r="M4" i="5"/>
  <c r="L4" i="5"/>
  <c r="K4" i="5"/>
  <c r="G4" i="5"/>
  <c r="H216" i="5"/>
  <c r="J295" i="5"/>
  <c r="H295" i="5"/>
  <c r="J255" i="5"/>
  <c r="H255" i="5"/>
  <c r="J239" i="5"/>
  <c r="H239" i="5"/>
  <c r="J119" i="5"/>
  <c r="H119" i="5"/>
  <c r="J87" i="5"/>
  <c r="H87" i="5"/>
  <c r="J23" i="5"/>
  <c r="H23" i="5"/>
  <c r="C351" i="5"/>
  <c r="C335" i="5"/>
  <c r="C303" i="5"/>
  <c r="C255" i="5"/>
  <c r="C223" i="5"/>
  <c r="C199" i="5"/>
  <c r="C175" i="5"/>
  <c r="C159" i="5"/>
  <c r="C119" i="5"/>
  <c r="C87" i="5"/>
  <c r="H16" i="5"/>
  <c r="J360" i="5"/>
  <c r="J350" i="5"/>
  <c r="H350" i="5"/>
  <c r="J326" i="5"/>
  <c r="H326" i="5"/>
  <c r="J310" i="5"/>
  <c r="H310" i="5"/>
  <c r="J294" i="5"/>
  <c r="H294" i="5"/>
  <c r="J270" i="5"/>
  <c r="H270" i="5"/>
  <c r="J238" i="5"/>
  <c r="H238" i="5"/>
  <c r="J230" i="5"/>
  <c r="H230" i="5"/>
  <c r="J206" i="5"/>
  <c r="H206" i="5"/>
  <c r="J182" i="5"/>
  <c r="H182" i="5"/>
  <c r="J158" i="5"/>
  <c r="H158" i="5"/>
  <c r="J142" i="5"/>
  <c r="H142" i="5"/>
  <c r="H365" i="5"/>
  <c r="J365" i="5"/>
  <c r="H333" i="5"/>
  <c r="J333" i="5"/>
  <c r="J309" i="5"/>
  <c r="H309" i="5"/>
  <c r="H301" i="5"/>
  <c r="J301" i="5"/>
  <c r="J253" i="5"/>
  <c r="H253" i="5"/>
  <c r="J245" i="5"/>
  <c r="H245" i="5"/>
  <c r="J237" i="5"/>
  <c r="H237" i="5"/>
  <c r="J181" i="5"/>
  <c r="H181" i="5"/>
  <c r="J125" i="5"/>
  <c r="H125" i="5"/>
  <c r="J117" i="5"/>
  <c r="H117" i="5"/>
  <c r="J85" i="5"/>
  <c r="H85" i="5"/>
  <c r="J61" i="5"/>
  <c r="H61" i="5"/>
  <c r="J53" i="5"/>
  <c r="H53" i="5"/>
  <c r="J21" i="5"/>
  <c r="H21" i="5"/>
  <c r="C365" i="5"/>
  <c r="C349" i="5"/>
  <c r="C333" i="5"/>
  <c r="C317" i="5"/>
  <c r="C301" i="5"/>
  <c r="C285" i="5"/>
  <c r="C269" i="5"/>
  <c r="C253" i="5"/>
  <c r="C237" i="5"/>
  <c r="C221" i="5"/>
  <c r="C205" i="5"/>
  <c r="C189" i="5"/>
  <c r="C173" i="5"/>
  <c r="C157" i="5"/>
  <c r="C141" i="5"/>
  <c r="C125" i="5"/>
  <c r="C109" i="5"/>
  <c r="C93" i="5"/>
  <c r="C77" i="5"/>
  <c r="C61" i="5"/>
  <c r="C45" i="5"/>
  <c r="M11" i="5"/>
  <c r="K11" i="5"/>
  <c r="N11" i="5"/>
  <c r="L11" i="5"/>
  <c r="I11" i="5"/>
  <c r="G11" i="5"/>
  <c r="G13" i="5"/>
  <c r="H345" i="5"/>
  <c r="H313" i="5"/>
  <c r="H281" i="5"/>
  <c r="H194" i="5"/>
  <c r="H176" i="5"/>
  <c r="H157" i="5"/>
  <c r="H120" i="5"/>
  <c r="J248" i="5"/>
  <c r="J162" i="5"/>
  <c r="J235" i="5"/>
  <c r="H235" i="5"/>
  <c r="J227" i="5"/>
  <c r="H227" i="5"/>
  <c r="J219" i="5"/>
  <c r="H219" i="5"/>
  <c r="J211" i="5"/>
  <c r="H211" i="5"/>
  <c r="J171" i="5"/>
  <c r="H171" i="5"/>
  <c r="J163" i="5"/>
  <c r="H163" i="5"/>
  <c r="J155" i="5"/>
  <c r="H155" i="5"/>
  <c r="J147" i="5"/>
  <c r="H147" i="5"/>
  <c r="J115" i="5"/>
  <c r="H115" i="5"/>
  <c r="J107" i="5"/>
  <c r="H107" i="5"/>
  <c r="J83" i="5"/>
  <c r="H83" i="5"/>
  <c r="J75" i="5"/>
  <c r="H75" i="5"/>
  <c r="J51" i="5"/>
  <c r="H51" i="5"/>
  <c r="J43" i="5"/>
  <c r="H43" i="5"/>
  <c r="J19" i="5"/>
  <c r="H19" i="5"/>
  <c r="J11" i="5"/>
  <c r="H11" i="5"/>
  <c r="C363" i="5"/>
  <c r="C355" i="5"/>
  <c r="C347" i="5"/>
  <c r="C339" i="5"/>
  <c r="C331" i="5"/>
  <c r="C323" i="5"/>
  <c r="C307" i="5"/>
  <c r="C299" i="5"/>
  <c r="C291" i="5"/>
  <c r="C283" i="5"/>
  <c r="C275" i="5"/>
  <c r="C267" i="5"/>
  <c r="C259" i="5"/>
  <c r="C251" i="5"/>
  <c r="C243" i="5"/>
  <c r="C235" i="5"/>
  <c r="C227" i="5"/>
  <c r="C219" i="5"/>
  <c r="C211" i="5"/>
  <c r="C203" i="5"/>
  <c r="C195" i="5"/>
  <c r="C187" i="5"/>
  <c r="C179" i="5"/>
  <c r="C171" i="5"/>
  <c r="C163" i="5"/>
  <c r="C155" i="5"/>
  <c r="C147" i="5"/>
  <c r="C139" i="5"/>
  <c r="C131" i="5"/>
  <c r="C123" i="5"/>
  <c r="C115" i="5"/>
  <c r="C107" i="5"/>
  <c r="C99" i="5"/>
  <c r="C91" i="5"/>
  <c r="C83" i="5"/>
  <c r="C75" i="5"/>
  <c r="C67" i="5"/>
  <c r="C59" i="5"/>
  <c r="C51" i="5"/>
  <c r="C43" i="5"/>
  <c r="C35" i="5"/>
  <c r="C27" i="5"/>
  <c r="C19" i="5"/>
  <c r="H355" i="5"/>
  <c r="H323" i="5"/>
  <c r="H307" i="5"/>
  <c r="H275" i="5"/>
  <c r="H259" i="5"/>
  <c r="H242" i="5"/>
  <c r="H224" i="5"/>
  <c r="H187" i="5"/>
  <c r="H169" i="5"/>
  <c r="H151" i="5"/>
  <c r="H132" i="5"/>
  <c r="H112" i="5"/>
  <c r="H91" i="5"/>
  <c r="H69" i="5"/>
  <c r="H48" i="5"/>
  <c r="H27" i="5"/>
  <c r="H5" i="5"/>
  <c r="J349" i="5"/>
  <c r="J328" i="5"/>
  <c r="J272" i="5"/>
  <c r="J229" i="5"/>
  <c r="J186" i="5"/>
  <c r="J144" i="5"/>
  <c r="J58" i="5"/>
  <c r="J16" i="5"/>
  <c r="K14" i="5"/>
  <c r="J136" i="5"/>
  <c r="H136" i="5"/>
  <c r="J104" i="5"/>
  <c r="H104" i="5"/>
  <c r="J64" i="5"/>
  <c r="H64" i="5"/>
  <c r="J40" i="5"/>
  <c r="H40" i="5"/>
  <c r="C336" i="5"/>
  <c r="C264" i="5"/>
  <c r="C208" i="5"/>
  <c r="C136" i="5"/>
  <c r="C64" i="5"/>
  <c r="J311" i="5"/>
  <c r="H311" i="5"/>
  <c r="J279" i="5"/>
  <c r="H279" i="5"/>
  <c r="J247" i="5"/>
  <c r="H247" i="5"/>
  <c r="J127" i="5"/>
  <c r="H127" i="5"/>
  <c r="J95" i="5"/>
  <c r="H95" i="5"/>
  <c r="J55" i="5"/>
  <c r="H55" i="5"/>
  <c r="C7" i="5"/>
  <c r="J7" i="5"/>
  <c r="C311" i="5"/>
  <c r="C247" i="5"/>
  <c r="C191" i="5"/>
  <c r="C95" i="5"/>
  <c r="C47" i="5"/>
  <c r="C23" i="5"/>
  <c r="J2" i="5"/>
  <c r="H2" i="5"/>
  <c r="H218" i="5"/>
  <c r="J218" i="5"/>
  <c r="J210" i="5"/>
  <c r="H210" i="5"/>
  <c r="J202" i="5"/>
  <c r="H202" i="5"/>
  <c r="H154" i="5"/>
  <c r="J154" i="5"/>
  <c r="J146" i="5"/>
  <c r="H146" i="5"/>
  <c r="J138" i="5"/>
  <c r="H138" i="5"/>
  <c r="J106" i="5"/>
  <c r="H106" i="5"/>
  <c r="J74" i="5"/>
  <c r="H74" i="5"/>
  <c r="J66" i="5"/>
  <c r="H66" i="5"/>
  <c r="J42" i="5"/>
  <c r="H42" i="5"/>
  <c r="J10" i="5"/>
  <c r="H10" i="5"/>
  <c r="C354" i="5"/>
  <c r="C346" i="5"/>
  <c r="C338" i="5"/>
  <c r="C322" i="5"/>
  <c r="C314" i="5"/>
  <c r="C306" i="5"/>
  <c r="C298" i="5"/>
  <c r="C290" i="5"/>
  <c r="C282" i="5"/>
  <c r="C274" i="5"/>
  <c r="C266" i="5"/>
  <c r="C258" i="5"/>
  <c r="C242" i="5"/>
  <c r="C234" i="5"/>
  <c r="C226" i="5"/>
  <c r="C218" i="5"/>
  <c r="C210" i="5"/>
  <c r="C202" i="5"/>
  <c r="C194" i="5"/>
  <c r="C186" i="5"/>
  <c r="C178" i="5"/>
  <c r="C170" i="5"/>
  <c r="C162" i="5"/>
  <c r="C154" i="5"/>
  <c r="C146" i="5"/>
  <c r="C138" i="5"/>
  <c r="C130" i="5"/>
  <c r="C114" i="5"/>
  <c r="C106" i="5"/>
  <c r="C98" i="5"/>
  <c r="C90" i="5"/>
  <c r="C82" i="5"/>
  <c r="C74" i="5"/>
  <c r="C66" i="5"/>
  <c r="C50" i="5"/>
  <c r="C42" i="5"/>
  <c r="C34" i="5"/>
  <c r="C26" i="5"/>
  <c r="C18" i="5"/>
  <c r="H354" i="5"/>
  <c r="H322" i="5"/>
  <c r="H306" i="5"/>
  <c r="H274" i="5"/>
  <c r="H258" i="5"/>
  <c r="H241" i="5"/>
  <c r="H223" i="5"/>
  <c r="H168" i="5"/>
  <c r="H149" i="5"/>
  <c r="H111" i="5"/>
  <c r="H90" i="5"/>
  <c r="H47" i="5"/>
  <c r="H26" i="5"/>
  <c r="H4" i="5"/>
  <c r="J327" i="5"/>
  <c r="J271" i="5"/>
  <c r="J228" i="5"/>
  <c r="J185" i="5"/>
  <c r="J57" i="5"/>
  <c r="J15" i="5"/>
  <c r="K13" i="5"/>
  <c r="J352" i="5"/>
  <c r="H352" i="5"/>
  <c r="J312" i="5"/>
  <c r="H312" i="5"/>
  <c r="C312" i="5"/>
  <c r="C248" i="5"/>
  <c r="C184" i="5"/>
  <c r="C48" i="5"/>
  <c r="J343" i="5"/>
  <c r="H343" i="5"/>
  <c r="J183" i="5"/>
  <c r="H183" i="5"/>
  <c r="H135" i="5"/>
  <c r="J135" i="5"/>
  <c r="C359" i="5"/>
  <c r="C295" i="5"/>
  <c r="C239" i="5"/>
  <c r="C183" i="5"/>
  <c r="C127" i="5"/>
  <c r="M3" i="5"/>
  <c r="K3" i="5"/>
  <c r="N3" i="5"/>
  <c r="L3" i="5"/>
  <c r="G3" i="5"/>
  <c r="I3" i="5"/>
  <c r="J6" i="5"/>
  <c r="H6" i="5"/>
  <c r="H217" i="5"/>
  <c r="J217" i="5"/>
  <c r="J201" i="5"/>
  <c r="H201" i="5"/>
  <c r="J193" i="5"/>
  <c r="H193" i="5"/>
  <c r="H153" i="5"/>
  <c r="J153" i="5"/>
  <c r="J137" i="5"/>
  <c r="H137" i="5"/>
  <c r="J129" i="5"/>
  <c r="H129" i="5"/>
  <c r="H113" i="5"/>
  <c r="J113" i="5"/>
  <c r="J105" i="5"/>
  <c r="H105" i="5"/>
  <c r="J97" i="5"/>
  <c r="H97" i="5"/>
  <c r="H89" i="5"/>
  <c r="J89" i="5"/>
  <c r="J73" i="5"/>
  <c r="H73" i="5"/>
  <c r="J65" i="5"/>
  <c r="H65" i="5"/>
  <c r="H49" i="5"/>
  <c r="J49" i="5"/>
  <c r="J41" i="5"/>
  <c r="H41" i="5"/>
  <c r="J33" i="5"/>
  <c r="H33" i="5"/>
  <c r="H25" i="5"/>
  <c r="J25" i="5"/>
  <c r="J9" i="5"/>
  <c r="H9" i="5"/>
  <c r="C361" i="5"/>
  <c r="C353" i="5"/>
  <c r="C345" i="5"/>
  <c r="C337" i="5"/>
  <c r="C329" i="5"/>
  <c r="C321" i="5"/>
  <c r="C313" i="5"/>
  <c r="C305" i="5"/>
  <c r="C297" i="5"/>
  <c r="C289" i="5"/>
  <c r="C281" i="5"/>
  <c r="C273" i="5"/>
  <c r="C265" i="5"/>
  <c r="C257" i="5"/>
  <c r="C241" i="5"/>
  <c r="C233" i="5"/>
  <c r="C225" i="5"/>
  <c r="C217" i="5"/>
  <c r="C209" i="5"/>
  <c r="C201" i="5"/>
  <c r="C193" i="5"/>
  <c r="C185" i="5"/>
  <c r="C177" i="5"/>
  <c r="C169" i="5"/>
  <c r="C161" i="5"/>
  <c r="C153" i="5"/>
  <c r="C145" i="5"/>
  <c r="C137" i="5"/>
  <c r="C129" i="5"/>
  <c r="C121" i="5"/>
  <c r="C113" i="5"/>
  <c r="C105" i="5"/>
  <c r="C97" i="5"/>
  <c r="C89" i="5"/>
  <c r="C81" i="5"/>
  <c r="C73" i="5"/>
  <c r="C65" i="5"/>
  <c r="C57" i="5"/>
  <c r="C49" i="5"/>
  <c r="C41" i="5"/>
  <c r="C33" i="5"/>
  <c r="C25" i="5"/>
  <c r="C17" i="5"/>
  <c r="C5" i="5"/>
  <c r="H353" i="5"/>
  <c r="H337" i="5"/>
  <c r="H321" i="5"/>
  <c r="H305" i="5"/>
  <c r="H289" i="5"/>
  <c r="H257" i="5"/>
  <c r="H240" i="5"/>
  <c r="H221" i="5"/>
  <c r="H130" i="5"/>
  <c r="H109" i="5"/>
  <c r="H88" i="5"/>
  <c r="H45" i="5"/>
  <c r="H24" i="5"/>
  <c r="H3" i="5"/>
  <c r="I4" i="5"/>
  <c r="J325" i="5"/>
  <c r="J304" i="5"/>
  <c r="J269" i="5"/>
  <c r="J226" i="5"/>
  <c r="J184" i="5"/>
  <c r="J98" i="5"/>
  <c r="K12" i="5"/>
  <c r="M161" i="5" l="1"/>
  <c r="K161" i="5"/>
  <c r="L161" i="5"/>
  <c r="G161" i="5"/>
  <c r="I161" i="5"/>
  <c r="N161" i="5"/>
  <c r="N248" i="5"/>
  <c r="K248" i="5"/>
  <c r="M248" i="5"/>
  <c r="I248" i="5"/>
  <c r="L248" i="5"/>
  <c r="G248" i="5"/>
  <c r="M138" i="5"/>
  <c r="L138" i="5"/>
  <c r="K138" i="5"/>
  <c r="I138" i="5"/>
  <c r="G138" i="5"/>
  <c r="N138" i="5"/>
  <c r="M299" i="5"/>
  <c r="N299" i="5"/>
  <c r="K299" i="5"/>
  <c r="I299" i="5"/>
  <c r="G299" i="5"/>
  <c r="L299" i="5"/>
  <c r="N69" i="5"/>
  <c r="M69" i="5"/>
  <c r="K69" i="5"/>
  <c r="L69" i="5"/>
  <c r="I69" i="5"/>
  <c r="G69" i="5"/>
  <c r="M169" i="5"/>
  <c r="L169" i="5"/>
  <c r="K169" i="5"/>
  <c r="N169" i="5"/>
  <c r="I169" i="5"/>
  <c r="G169" i="5"/>
  <c r="M282" i="5"/>
  <c r="N282" i="5"/>
  <c r="K282" i="5"/>
  <c r="I282" i="5"/>
  <c r="L282" i="5"/>
  <c r="G282" i="5"/>
  <c r="N7" i="5"/>
  <c r="L7" i="5"/>
  <c r="K7" i="5"/>
  <c r="M7" i="5"/>
  <c r="I7" i="5"/>
  <c r="G7" i="5"/>
  <c r="N61" i="5"/>
  <c r="M61" i="5"/>
  <c r="L61" i="5"/>
  <c r="I61" i="5"/>
  <c r="K61" i="5"/>
  <c r="G61" i="5"/>
  <c r="N284" i="5"/>
  <c r="M284" i="5"/>
  <c r="L284" i="5"/>
  <c r="K284" i="5"/>
  <c r="G284" i="5"/>
  <c r="I284" i="5"/>
  <c r="N272" i="5"/>
  <c r="M272" i="5"/>
  <c r="L272" i="5"/>
  <c r="G272" i="5"/>
  <c r="K272" i="5"/>
  <c r="I272" i="5"/>
  <c r="N22" i="5"/>
  <c r="M22" i="5"/>
  <c r="K22" i="5"/>
  <c r="I22" i="5"/>
  <c r="L22" i="5"/>
  <c r="G22" i="5"/>
  <c r="M49" i="5"/>
  <c r="L49" i="5"/>
  <c r="N49" i="5"/>
  <c r="K49" i="5"/>
  <c r="G49" i="5"/>
  <c r="I49" i="5"/>
  <c r="M154" i="5"/>
  <c r="N154" i="5"/>
  <c r="K154" i="5"/>
  <c r="I154" i="5"/>
  <c r="L154" i="5"/>
  <c r="G154" i="5"/>
  <c r="N192" i="5"/>
  <c r="M192" i="5"/>
  <c r="K192" i="5"/>
  <c r="L192" i="5"/>
  <c r="I192" i="5"/>
  <c r="G192" i="5"/>
  <c r="N84" i="5"/>
  <c r="M84" i="5"/>
  <c r="L84" i="5"/>
  <c r="K84" i="5"/>
  <c r="I84" i="5"/>
  <c r="G84" i="5"/>
  <c r="N167" i="5"/>
  <c r="L167" i="5"/>
  <c r="K167" i="5"/>
  <c r="M167" i="5"/>
  <c r="G167" i="5"/>
  <c r="I167" i="5"/>
  <c r="N30" i="5"/>
  <c r="M30" i="5"/>
  <c r="L30" i="5"/>
  <c r="K30" i="5"/>
  <c r="I30" i="5"/>
  <c r="G30" i="5"/>
  <c r="M57" i="5"/>
  <c r="K57" i="5"/>
  <c r="N57" i="5"/>
  <c r="G57" i="5"/>
  <c r="L57" i="5"/>
  <c r="I57" i="5"/>
  <c r="N257" i="5"/>
  <c r="M257" i="5"/>
  <c r="K257" i="5"/>
  <c r="G257" i="5"/>
  <c r="I257" i="5"/>
  <c r="L257" i="5"/>
  <c r="N127" i="5"/>
  <c r="L127" i="5"/>
  <c r="K127" i="5"/>
  <c r="M127" i="5"/>
  <c r="I127" i="5"/>
  <c r="G127" i="5"/>
  <c r="M18" i="5"/>
  <c r="L18" i="5"/>
  <c r="K18" i="5"/>
  <c r="N18" i="5"/>
  <c r="I18" i="5"/>
  <c r="G18" i="5"/>
  <c r="M90" i="5"/>
  <c r="K90" i="5"/>
  <c r="I90" i="5"/>
  <c r="L90" i="5"/>
  <c r="G90" i="5"/>
  <c r="N90" i="5"/>
  <c r="M162" i="5"/>
  <c r="K162" i="5"/>
  <c r="N162" i="5"/>
  <c r="I162" i="5"/>
  <c r="G162" i="5"/>
  <c r="L162" i="5"/>
  <c r="M226" i="5"/>
  <c r="K226" i="5"/>
  <c r="I226" i="5"/>
  <c r="L226" i="5"/>
  <c r="G226" i="5"/>
  <c r="N226" i="5"/>
  <c r="M298" i="5"/>
  <c r="N298" i="5"/>
  <c r="L298" i="5"/>
  <c r="K298" i="5"/>
  <c r="I298" i="5"/>
  <c r="G298" i="5"/>
  <c r="N47" i="5"/>
  <c r="M47" i="5"/>
  <c r="L47" i="5"/>
  <c r="K47" i="5"/>
  <c r="I47" i="5"/>
  <c r="G47" i="5"/>
  <c r="M67" i="5"/>
  <c r="L67" i="5"/>
  <c r="N67" i="5"/>
  <c r="G67" i="5"/>
  <c r="K67" i="5"/>
  <c r="I67" i="5"/>
  <c r="M131" i="5"/>
  <c r="L131" i="5"/>
  <c r="G131" i="5"/>
  <c r="K131" i="5"/>
  <c r="I131" i="5"/>
  <c r="N131" i="5"/>
  <c r="M195" i="5"/>
  <c r="L195" i="5"/>
  <c r="N195" i="5"/>
  <c r="G195" i="5"/>
  <c r="K195" i="5"/>
  <c r="I195" i="5"/>
  <c r="M259" i="5"/>
  <c r="L259" i="5"/>
  <c r="N259" i="5"/>
  <c r="K259" i="5"/>
  <c r="G259" i="5"/>
  <c r="I259" i="5"/>
  <c r="M331" i="5"/>
  <c r="K331" i="5"/>
  <c r="L331" i="5"/>
  <c r="N331" i="5"/>
  <c r="I331" i="5"/>
  <c r="G331" i="5"/>
  <c r="N93" i="5"/>
  <c r="M93" i="5"/>
  <c r="L93" i="5"/>
  <c r="I93" i="5"/>
  <c r="K93" i="5"/>
  <c r="G93" i="5"/>
  <c r="N221" i="5"/>
  <c r="M221" i="5"/>
  <c r="L221" i="5"/>
  <c r="I221" i="5"/>
  <c r="K221" i="5"/>
  <c r="G221" i="5"/>
  <c r="N349" i="5"/>
  <c r="M349" i="5"/>
  <c r="L349" i="5"/>
  <c r="I349" i="5"/>
  <c r="K349" i="5"/>
  <c r="G349" i="5"/>
  <c r="N159" i="5"/>
  <c r="M159" i="5"/>
  <c r="L159" i="5"/>
  <c r="K159" i="5"/>
  <c r="I159" i="5"/>
  <c r="G159" i="5"/>
  <c r="N224" i="5"/>
  <c r="M224" i="5"/>
  <c r="L224" i="5"/>
  <c r="K224" i="5"/>
  <c r="I224" i="5"/>
  <c r="G224" i="5"/>
  <c r="N20" i="5"/>
  <c r="M20" i="5"/>
  <c r="L20" i="5"/>
  <c r="K20" i="5"/>
  <c r="I20" i="5"/>
  <c r="G20" i="5"/>
  <c r="N92" i="5"/>
  <c r="M92" i="5"/>
  <c r="L92" i="5"/>
  <c r="K92" i="5"/>
  <c r="G92" i="5"/>
  <c r="I92" i="5"/>
  <c r="N164" i="5"/>
  <c r="M164" i="5"/>
  <c r="L164" i="5"/>
  <c r="K164" i="5"/>
  <c r="G164" i="5"/>
  <c r="I164" i="5"/>
  <c r="N228" i="5"/>
  <c r="M228" i="5"/>
  <c r="L228" i="5"/>
  <c r="G228" i="5"/>
  <c r="I228" i="5"/>
  <c r="K228" i="5"/>
  <c r="N300" i="5"/>
  <c r="M300" i="5"/>
  <c r="L300" i="5"/>
  <c r="K300" i="5"/>
  <c r="I300" i="5"/>
  <c r="G300" i="5"/>
  <c r="N149" i="5"/>
  <c r="M149" i="5"/>
  <c r="L149" i="5"/>
  <c r="K149" i="5"/>
  <c r="I149" i="5"/>
  <c r="G149" i="5"/>
  <c r="N325" i="5"/>
  <c r="M325" i="5"/>
  <c r="L325" i="5"/>
  <c r="I325" i="5"/>
  <c r="K325" i="5"/>
  <c r="G325" i="5"/>
  <c r="N207" i="5"/>
  <c r="L207" i="5"/>
  <c r="K207" i="5"/>
  <c r="M207" i="5"/>
  <c r="I207" i="5"/>
  <c r="G207" i="5"/>
  <c r="N80" i="5"/>
  <c r="K80" i="5"/>
  <c r="M80" i="5"/>
  <c r="L80" i="5"/>
  <c r="G80" i="5"/>
  <c r="I80" i="5"/>
  <c r="N38" i="5"/>
  <c r="M38" i="5"/>
  <c r="L38" i="5"/>
  <c r="K38" i="5"/>
  <c r="G38" i="5"/>
  <c r="I38" i="5"/>
  <c r="N102" i="5"/>
  <c r="M102" i="5"/>
  <c r="L102" i="5"/>
  <c r="K102" i="5"/>
  <c r="G102" i="5"/>
  <c r="I102" i="5"/>
  <c r="N254" i="5"/>
  <c r="M254" i="5"/>
  <c r="L254" i="5"/>
  <c r="K254" i="5"/>
  <c r="I254" i="5"/>
  <c r="G254" i="5"/>
  <c r="N63" i="5"/>
  <c r="L63" i="5"/>
  <c r="K63" i="5"/>
  <c r="M63" i="5"/>
  <c r="I63" i="5"/>
  <c r="G63" i="5"/>
  <c r="N88" i="5"/>
  <c r="M88" i="5"/>
  <c r="K88" i="5"/>
  <c r="L88" i="5"/>
  <c r="I88" i="5"/>
  <c r="G88" i="5"/>
  <c r="K33" i="5"/>
  <c r="N33" i="5"/>
  <c r="M33" i="5"/>
  <c r="L33" i="5"/>
  <c r="G33" i="5"/>
  <c r="I33" i="5"/>
  <c r="M361" i="5"/>
  <c r="L361" i="5"/>
  <c r="K361" i="5"/>
  <c r="I361" i="5"/>
  <c r="G361" i="5"/>
  <c r="N361" i="5"/>
  <c r="N346" i="5"/>
  <c r="K346" i="5"/>
  <c r="I346" i="5"/>
  <c r="M346" i="5"/>
  <c r="L346" i="5"/>
  <c r="G346" i="5"/>
  <c r="M107" i="5"/>
  <c r="N107" i="5"/>
  <c r="K107" i="5"/>
  <c r="I107" i="5"/>
  <c r="G107" i="5"/>
  <c r="L107" i="5"/>
  <c r="N173" i="5"/>
  <c r="M173" i="5"/>
  <c r="L173" i="5"/>
  <c r="I173" i="5"/>
  <c r="G173" i="5"/>
  <c r="K173" i="5"/>
  <c r="N344" i="5"/>
  <c r="M344" i="5"/>
  <c r="L344" i="5"/>
  <c r="K344" i="5"/>
  <c r="I344" i="5"/>
  <c r="G344" i="5"/>
  <c r="N140" i="5"/>
  <c r="M140" i="5"/>
  <c r="L140" i="5"/>
  <c r="I140" i="5"/>
  <c r="G140" i="5"/>
  <c r="K140" i="5"/>
  <c r="N348" i="5"/>
  <c r="L348" i="5"/>
  <c r="M348" i="5"/>
  <c r="K348" i="5"/>
  <c r="G348" i="5"/>
  <c r="I348" i="5"/>
  <c r="N166" i="5"/>
  <c r="M166" i="5"/>
  <c r="L166" i="5"/>
  <c r="K166" i="5"/>
  <c r="G166" i="5"/>
  <c r="I166" i="5"/>
  <c r="N327" i="5"/>
  <c r="L327" i="5"/>
  <c r="M327" i="5"/>
  <c r="K327" i="5"/>
  <c r="I327" i="5"/>
  <c r="G327" i="5"/>
  <c r="M41" i="5"/>
  <c r="N41" i="5"/>
  <c r="L41" i="5"/>
  <c r="K41" i="5"/>
  <c r="I41" i="5"/>
  <c r="G41" i="5"/>
  <c r="M305" i="5"/>
  <c r="L305" i="5"/>
  <c r="N305" i="5"/>
  <c r="G305" i="5"/>
  <c r="K305" i="5"/>
  <c r="I305" i="5"/>
  <c r="N312" i="5"/>
  <c r="M312" i="5"/>
  <c r="K312" i="5"/>
  <c r="L312" i="5"/>
  <c r="I312" i="5"/>
  <c r="G312" i="5"/>
  <c r="M146" i="5"/>
  <c r="L146" i="5"/>
  <c r="N146" i="5"/>
  <c r="K146" i="5"/>
  <c r="I146" i="5"/>
  <c r="G146" i="5"/>
  <c r="M179" i="5"/>
  <c r="N179" i="5"/>
  <c r="L179" i="5"/>
  <c r="G179" i="5"/>
  <c r="K179" i="5"/>
  <c r="I179" i="5"/>
  <c r="N212" i="5"/>
  <c r="M212" i="5"/>
  <c r="L212" i="5"/>
  <c r="K212" i="5"/>
  <c r="I212" i="5"/>
  <c r="G212" i="5"/>
  <c r="N101" i="5"/>
  <c r="M101" i="5"/>
  <c r="K101" i="5"/>
  <c r="I101" i="5"/>
  <c r="L101" i="5"/>
  <c r="G101" i="5"/>
  <c r="N86" i="5"/>
  <c r="M86" i="5"/>
  <c r="K86" i="5"/>
  <c r="I86" i="5"/>
  <c r="L86" i="5"/>
  <c r="G86" i="5"/>
  <c r="M241" i="5"/>
  <c r="L241" i="5"/>
  <c r="N241" i="5"/>
  <c r="G241" i="5"/>
  <c r="K241" i="5"/>
  <c r="I241" i="5"/>
  <c r="M218" i="5"/>
  <c r="N218" i="5"/>
  <c r="K218" i="5"/>
  <c r="I218" i="5"/>
  <c r="L218" i="5"/>
  <c r="G218" i="5"/>
  <c r="M187" i="5"/>
  <c r="L187" i="5"/>
  <c r="N187" i="5"/>
  <c r="K187" i="5"/>
  <c r="G187" i="5"/>
  <c r="I187" i="5"/>
  <c r="N205" i="5"/>
  <c r="M205" i="5"/>
  <c r="I205" i="5"/>
  <c r="L205" i="5"/>
  <c r="K205" i="5"/>
  <c r="G205" i="5"/>
  <c r="N351" i="5"/>
  <c r="L351" i="5"/>
  <c r="K351" i="5"/>
  <c r="M351" i="5"/>
  <c r="I351" i="5"/>
  <c r="G351" i="5"/>
  <c r="N156" i="5"/>
  <c r="M156" i="5"/>
  <c r="L156" i="5"/>
  <c r="K156" i="5"/>
  <c r="G156" i="5"/>
  <c r="I156" i="5"/>
  <c r="N292" i="5"/>
  <c r="M292" i="5"/>
  <c r="L292" i="5"/>
  <c r="G292" i="5"/>
  <c r="K292" i="5"/>
  <c r="I292" i="5"/>
  <c r="N320" i="5"/>
  <c r="M320" i="5"/>
  <c r="L320" i="5"/>
  <c r="K320" i="5"/>
  <c r="I320" i="5"/>
  <c r="G320" i="5"/>
  <c r="M121" i="5"/>
  <c r="K121" i="5"/>
  <c r="N121" i="5"/>
  <c r="G121" i="5"/>
  <c r="L121" i="5"/>
  <c r="I121" i="5"/>
  <c r="M185" i="5"/>
  <c r="N185" i="5"/>
  <c r="K185" i="5"/>
  <c r="G185" i="5"/>
  <c r="L185" i="5"/>
  <c r="I185" i="5"/>
  <c r="N321" i="5"/>
  <c r="M321" i="5"/>
  <c r="K321" i="5"/>
  <c r="G321" i="5"/>
  <c r="I321" i="5"/>
  <c r="L321" i="5"/>
  <c r="N65" i="5"/>
  <c r="M65" i="5"/>
  <c r="K65" i="5"/>
  <c r="G65" i="5"/>
  <c r="I65" i="5"/>
  <c r="L65" i="5"/>
  <c r="N129" i="5"/>
  <c r="M129" i="5"/>
  <c r="K129" i="5"/>
  <c r="G129" i="5"/>
  <c r="I129" i="5"/>
  <c r="L129" i="5"/>
  <c r="N193" i="5"/>
  <c r="M193" i="5"/>
  <c r="K193" i="5"/>
  <c r="G193" i="5"/>
  <c r="I193" i="5"/>
  <c r="L193" i="5"/>
  <c r="N265" i="5"/>
  <c r="L265" i="5"/>
  <c r="M265" i="5"/>
  <c r="K265" i="5"/>
  <c r="I265" i="5"/>
  <c r="G265" i="5"/>
  <c r="N329" i="5"/>
  <c r="M329" i="5"/>
  <c r="L329" i="5"/>
  <c r="K329" i="5"/>
  <c r="I329" i="5"/>
  <c r="G329" i="5"/>
  <c r="N183" i="5"/>
  <c r="L183" i="5"/>
  <c r="K183" i="5"/>
  <c r="I183" i="5"/>
  <c r="G183" i="5"/>
  <c r="M183" i="5"/>
  <c r="M26" i="5"/>
  <c r="K26" i="5"/>
  <c r="N26" i="5"/>
  <c r="I26" i="5"/>
  <c r="L26" i="5"/>
  <c r="G26" i="5"/>
  <c r="M98" i="5"/>
  <c r="K98" i="5"/>
  <c r="I98" i="5"/>
  <c r="N98" i="5"/>
  <c r="L98" i="5"/>
  <c r="G98" i="5"/>
  <c r="M170" i="5"/>
  <c r="N170" i="5"/>
  <c r="L170" i="5"/>
  <c r="K170" i="5"/>
  <c r="I170" i="5"/>
  <c r="G170" i="5"/>
  <c r="M234" i="5"/>
  <c r="N234" i="5"/>
  <c r="L234" i="5"/>
  <c r="K234" i="5"/>
  <c r="I234" i="5"/>
  <c r="G234" i="5"/>
  <c r="M306" i="5"/>
  <c r="N306" i="5"/>
  <c r="L306" i="5"/>
  <c r="K306" i="5"/>
  <c r="I306" i="5"/>
  <c r="G306" i="5"/>
  <c r="N95" i="5"/>
  <c r="M95" i="5"/>
  <c r="L95" i="5"/>
  <c r="K95" i="5"/>
  <c r="I95" i="5"/>
  <c r="G95" i="5"/>
  <c r="M75" i="5"/>
  <c r="N75" i="5"/>
  <c r="L75" i="5"/>
  <c r="K75" i="5"/>
  <c r="I75" i="5"/>
  <c r="G75" i="5"/>
  <c r="M139" i="5"/>
  <c r="N139" i="5"/>
  <c r="L139" i="5"/>
  <c r="K139" i="5"/>
  <c r="I139" i="5"/>
  <c r="G139" i="5"/>
  <c r="M203" i="5"/>
  <c r="L203" i="5"/>
  <c r="K203" i="5"/>
  <c r="I203" i="5"/>
  <c r="N203" i="5"/>
  <c r="G203" i="5"/>
  <c r="M267" i="5"/>
  <c r="K267" i="5"/>
  <c r="L267" i="5"/>
  <c r="I267" i="5"/>
  <c r="G267" i="5"/>
  <c r="N267" i="5"/>
  <c r="N339" i="5"/>
  <c r="M339" i="5"/>
  <c r="L339" i="5"/>
  <c r="G339" i="5"/>
  <c r="I339" i="5"/>
  <c r="K339" i="5"/>
  <c r="N109" i="5"/>
  <c r="M109" i="5"/>
  <c r="L109" i="5"/>
  <c r="I109" i="5"/>
  <c r="G109" i="5"/>
  <c r="K109" i="5"/>
  <c r="N237" i="5"/>
  <c r="M237" i="5"/>
  <c r="L237" i="5"/>
  <c r="K237" i="5"/>
  <c r="I237" i="5"/>
  <c r="G237" i="5"/>
  <c r="N365" i="5"/>
  <c r="L365" i="5"/>
  <c r="K365" i="5"/>
  <c r="I365" i="5"/>
  <c r="G365" i="5"/>
  <c r="M365" i="5"/>
  <c r="N175" i="5"/>
  <c r="M175" i="5"/>
  <c r="L175" i="5"/>
  <c r="K175" i="5"/>
  <c r="I175" i="5"/>
  <c r="G175" i="5"/>
  <c r="N256" i="5"/>
  <c r="M256" i="5"/>
  <c r="L256" i="5"/>
  <c r="K256" i="5"/>
  <c r="I256" i="5"/>
  <c r="G256" i="5"/>
  <c r="N28" i="5"/>
  <c r="M28" i="5"/>
  <c r="L28" i="5"/>
  <c r="K28" i="5"/>
  <c r="G28" i="5"/>
  <c r="I28" i="5"/>
  <c r="N100" i="5"/>
  <c r="M100" i="5"/>
  <c r="L100" i="5"/>
  <c r="K100" i="5"/>
  <c r="G100" i="5"/>
  <c r="I100" i="5"/>
  <c r="N172" i="5"/>
  <c r="M172" i="5"/>
  <c r="L172" i="5"/>
  <c r="I172" i="5"/>
  <c r="G172" i="5"/>
  <c r="K172" i="5"/>
  <c r="N236" i="5"/>
  <c r="M236" i="5"/>
  <c r="L236" i="5"/>
  <c r="K236" i="5"/>
  <c r="I236" i="5"/>
  <c r="G236" i="5"/>
  <c r="N308" i="5"/>
  <c r="M308" i="5"/>
  <c r="L308" i="5"/>
  <c r="K308" i="5"/>
  <c r="I308" i="5"/>
  <c r="G308" i="5"/>
  <c r="N165" i="5"/>
  <c r="M165" i="5"/>
  <c r="K165" i="5"/>
  <c r="I165" i="5"/>
  <c r="G165" i="5"/>
  <c r="L165" i="5"/>
  <c r="N341" i="5"/>
  <c r="M341" i="5"/>
  <c r="L341" i="5"/>
  <c r="K341" i="5"/>
  <c r="I341" i="5"/>
  <c r="G341" i="5"/>
  <c r="N231" i="5"/>
  <c r="L231" i="5"/>
  <c r="K231" i="5"/>
  <c r="M231" i="5"/>
  <c r="G231" i="5"/>
  <c r="I231" i="5"/>
  <c r="N152" i="5"/>
  <c r="M152" i="5"/>
  <c r="K152" i="5"/>
  <c r="L152" i="5"/>
  <c r="I152" i="5"/>
  <c r="G152" i="5"/>
  <c r="N46" i="5"/>
  <c r="M46" i="5"/>
  <c r="L46" i="5"/>
  <c r="I46" i="5"/>
  <c r="K46" i="5"/>
  <c r="G46" i="5"/>
  <c r="N110" i="5"/>
  <c r="M110" i="5"/>
  <c r="L110" i="5"/>
  <c r="I110" i="5"/>
  <c r="K110" i="5"/>
  <c r="G110" i="5"/>
  <c r="N278" i="5"/>
  <c r="M278" i="5"/>
  <c r="K278" i="5"/>
  <c r="I278" i="5"/>
  <c r="L278" i="5"/>
  <c r="G278" i="5"/>
  <c r="N103" i="5"/>
  <c r="L103" i="5"/>
  <c r="K103" i="5"/>
  <c r="M103" i="5"/>
  <c r="G103" i="5"/>
  <c r="I103" i="5"/>
  <c r="N160" i="5"/>
  <c r="M160" i="5"/>
  <c r="K160" i="5"/>
  <c r="L160" i="5"/>
  <c r="I160" i="5"/>
  <c r="G160" i="5"/>
  <c r="K97" i="5"/>
  <c r="M97" i="5"/>
  <c r="N97" i="5"/>
  <c r="L97" i="5"/>
  <c r="G97" i="5"/>
  <c r="I97" i="5"/>
  <c r="M66" i="5"/>
  <c r="N66" i="5"/>
  <c r="K66" i="5"/>
  <c r="L66" i="5"/>
  <c r="I66" i="5"/>
  <c r="G66" i="5"/>
  <c r="M235" i="5"/>
  <c r="N235" i="5"/>
  <c r="K235" i="5"/>
  <c r="I235" i="5"/>
  <c r="G235" i="5"/>
  <c r="L235" i="5"/>
  <c r="N303" i="5"/>
  <c r="L303" i="5"/>
  <c r="K303" i="5"/>
  <c r="M303" i="5"/>
  <c r="I303" i="5"/>
  <c r="G303" i="5"/>
  <c r="N204" i="5"/>
  <c r="M204" i="5"/>
  <c r="L204" i="5"/>
  <c r="I204" i="5"/>
  <c r="G204" i="5"/>
  <c r="K204" i="5"/>
  <c r="M233" i="5"/>
  <c r="L233" i="5"/>
  <c r="K233" i="5"/>
  <c r="N233" i="5"/>
  <c r="I233" i="5"/>
  <c r="G233" i="5"/>
  <c r="N354" i="5"/>
  <c r="K354" i="5"/>
  <c r="I354" i="5"/>
  <c r="M354" i="5"/>
  <c r="L354" i="5"/>
  <c r="G354" i="5"/>
  <c r="N264" i="5"/>
  <c r="M264" i="5"/>
  <c r="L264" i="5"/>
  <c r="K264" i="5"/>
  <c r="I264" i="5"/>
  <c r="G264" i="5"/>
  <c r="M115" i="5"/>
  <c r="N115" i="5"/>
  <c r="L115" i="5"/>
  <c r="G115" i="5"/>
  <c r="I115" i="5"/>
  <c r="K115" i="5"/>
  <c r="N317" i="5"/>
  <c r="M317" i="5"/>
  <c r="L317" i="5"/>
  <c r="I317" i="5"/>
  <c r="G317" i="5"/>
  <c r="K317" i="5"/>
  <c r="N360" i="5"/>
  <c r="M360" i="5"/>
  <c r="L360" i="5"/>
  <c r="K360" i="5"/>
  <c r="G360" i="5"/>
  <c r="I360" i="5"/>
  <c r="N76" i="5"/>
  <c r="M76" i="5"/>
  <c r="L76" i="5"/>
  <c r="I76" i="5"/>
  <c r="G76" i="5"/>
  <c r="K76" i="5"/>
  <c r="N277" i="5"/>
  <c r="M277" i="5"/>
  <c r="L277" i="5"/>
  <c r="K277" i="5"/>
  <c r="I277" i="5"/>
  <c r="G277" i="5"/>
  <c r="N143" i="5"/>
  <c r="L143" i="5"/>
  <c r="K143" i="5"/>
  <c r="M143" i="5"/>
  <c r="I143" i="5"/>
  <c r="G143" i="5"/>
  <c r="M113" i="5"/>
  <c r="L113" i="5"/>
  <c r="N113" i="5"/>
  <c r="K113" i="5"/>
  <c r="G113" i="5"/>
  <c r="I113" i="5"/>
  <c r="M82" i="5"/>
  <c r="L82" i="5"/>
  <c r="N82" i="5"/>
  <c r="K82" i="5"/>
  <c r="I82" i="5"/>
  <c r="G82" i="5"/>
  <c r="M251" i="5"/>
  <c r="L251" i="5"/>
  <c r="N251" i="5"/>
  <c r="G251" i="5"/>
  <c r="K251" i="5"/>
  <c r="I251" i="5"/>
  <c r="N133" i="5"/>
  <c r="M133" i="5"/>
  <c r="K133" i="5"/>
  <c r="L133" i="5"/>
  <c r="I133" i="5"/>
  <c r="G133" i="5"/>
  <c r="N94" i="5"/>
  <c r="M94" i="5"/>
  <c r="L94" i="5"/>
  <c r="K94" i="5"/>
  <c r="I94" i="5"/>
  <c r="G94" i="5"/>
  <c r="N5" i="5"/>
  <c r="M5" i="5"/>
  <c r="K5" i="5"/>
  <c r="L5" i="5"/>
  <c r="I5" i="5"/>
  <c r="G5" i="5"/>
  <c r="N73" i="5"/>
  <c r="L73" i="5"/>
  <c r="K73" i="5"/>
  <c r="M73" i="5"/>
  <c r="I73" i="5"/>
  <c r="G73" i="5"/>
  <c r="N137" i="5"/>
  <c r="L137" i="5"/>
  <c r="K137" i="5"/>
  <c r="I137" i="5"/>
  <c r="G137" i="5"/>
  <c r="M137" i="5"/>
  <c r="N201" i="5"/>
  <c r="L201" i="5"/>
  <c r="K201" i="5"/>
  <c r="M201" i="5"/>
  <c r="I201" i="5"/>
  <c r="G201" i="5"/>
  <c r="L273" i="5"/>
  <c r="M273" i="5"/>
  <c r="G273" i="5"/>
  <c r="N273" i="5"/>
  <c r="K273" i="5"/>
  <c r="I273" i="5"/>
  <c r="L337" i="5"/>
  <c r="G337" i="5"/>
  <c r="N337" i="5"/>
  <c r="M337" i="5"/>
  <c r="K337" i="5"/>
  <c r="I337" i="5"/>
  <c r="N239" i="5"/>
  <c r="M239" i="5"/>
  <c r="L239" i="5"/>
  <c r="K239" i="5"/>
  <c r="I239" i="5"/>
  <c r="G239" i="5"/>
  <c r="M34" i="5"/>
  <c r="K34" i="5"/>
  <c r="I34" i="5"/>
  <c r="N34" i="5"/>
  <c r="G34" i="5"/>
  <c r="L34" i="5"/>
  <c r="M106" i="5"/>
  <c r="N106" i="5"/>
  <c r="L106" i="5"/>
  <c r="K106" i="5"/>
  <c r="I106" i="5"/>
  <c r="G106" i="5"/>
  <c r="M178" i="5"/>
  <c r="N178" i="5"/>
  <c r="L178" i="5"/>
  <c r="K178" i="5"/>
  <c r="I178" i="5"/>
  <c r="G178" i="5"/>
  <c r="M242" i="5"/>
  <c r="N242" i="5"/>
  <c r="L242" i="5"/>
  <c r="K242" i="5"/>
  <c r="I242" i="5"/>
  <c r="G242" i="5"/>
  <c r="M314" i="5"/>
  <c r="N314" i="5"/>
  <c r="K314" i="5"/>
  <c r="I314" i="5"/>
  <c r="G314" i="5"/>
  <c r="L314" i="5"/>
  <c r="N191" i="5"/>
  <c r="L191" i="5"/>
  <c r="K191" i="5"/>
  <c r="M191" i="5"/>
  <c r="I191" i="5"/>
  <c r="G191" i="5"/>
  <c r="M19" i="5"/>
  <c r="N19" i="5"/>
  <c r="L19" i="5"/>
  <c r="G19" i="5"/>
  <c r="I19" i="5"/>
  <c r="K19" i="5"/>
  <c r="M83" i="5"/>
  <c r="N83" i="5"/>
  <c r="L83" i="5"/>
  <c r="G83" i="5"/>
  <c r="I83" i="5"/>
  <c r="K83" i="5"/>
  <c r="M147" i="5"/>
  <c r="N147" i="5"/>
  <c r="L147" i="5"/>
  <c r="G147" i="5"/>
  <c r="I147" i="5"/>
  <c r="K147" i="5"/>
  <c r="M211" i="5"/>
  <c r="N211" i="5"/>
  <c r="L211" i="5"/>
  <c r="G211" i="5"/>
  <c r="I211" i="5"/>
  <c r="K211" i="5"/>
  <c r="M275" i="5"/>
  <c r="N275" i="5"/>
  <c r="L275" i="5"/>
  <c r="G275" i="5"/>
  <c r="K275" i="5"/>
  <c r="I275" i="5"/>
  <c r="N347" i="5"/>
  <c r="M347" i="5"/>
  <c r="L347" i="5"/>
  <c r="K347" i="5"/>
  <c r="G347" i="5"/>
  <c r="I347" i="5"/>
  <c r="N125" i="5"/>
  <c r="M125" i="5"/>
  <c r="L125" i="5"/>
  <c r="I125" i="5"/>
  <c r="K125" i="5"/>
  <c r="G125" i="5"/>
  <c r="N253" i="5"/>
  <c r="M253" i="5"/>
  <c r="L253" i="5"/>
  <c r="I253" i="5"/>
  <c r="K253" i="5"/>
  <c r="G253" i="5"/>
  <c r="N199" i="5"/>
  <c r="L199" i="5"/>
  <c r="K199" i="5"/>
  <c r="M199" i="5"/>
  <c r="I199" i="5"/>
  <c r="G199" i="5"/>
  <c r="N72" i="5"/>
  <c r="M72" i="5"/>
  <c r="L72" i="5"/>
  <c r="K72" i="5"/>
  <c r="I72" i="5"/>
  <c r="G72" i="5"/>
  <c r="N280" i="5"/>
  <c r="L280" i="5"/>
  <c r="M280" i="5"/>
  <c r="K280" i="5"/>
  <c r="I280" i="5"/>
  <c r="G280" i="5"/>
  <c r="N44" i="5"/>
  <c r="M44" i="5"/>
  <c r="L44" i="5"/>
  <c r="I44" i="5"/>
  <c r="G44" i="5"/>
  <c r="K44" i="5"/>
  <c r="N108" i="5"/>
  <c r="M108" i="5"/>
  <c r="L108" i="5"/>
  <c r="I108" i="5"/>
  <c r="G108" i="5"/>
  <c r="K108" i="5"/>
  <c r="N180" i="5"/>
  <c r="M180" i="5"/>
  <c r="L180" i="5"/>
  <c r="K180" i="5"/>
  <c r="I180" i="5"/>
  <c r="G180" i="5"/>
  <c r="N244" i="5"/>
  <c r="M244" i="5"/>
  <c r="L244" i="5"/>
  <c r="K244" i="5"/>
  <c r="I244" i="5"/>
  <c r="G244" i="5"/>
  <c r="N324" i="5"/>
  <c r="L324" i="5"/>
  <c r="M324" i="5"/>
  <c r="K324" i="5"/>
  <c r="G324" i="5"/>
  <c r="I324" i="5"/>
  <c r="N197" i="5"/>
  <c r="M197" i="5"/>
  <c r="K197" i="5"/>
  <c r="L197" i="5"/>
  <c r="I197" i="5"/>
  <c r="G197" i="5"/>
  <c r="N357" i="5"/>
  <c r="I357" i="5"/>
  <c r="L357" i="5"/>
  <c r="G357" i="5"/>
  <c r="M357" i="5"/>
  <c r="K357" i="5"/>
  <c r="N263" i="5"/>
  <c r="L263" i="5"/>
  <c r="K263" i="5"/>
  <c r="M263" i="5"/>
  <c r="I263" i="5"/>
  <c r="G263" i="5"/>
  <c r="N176" i="5"/>
  <c r="K176" i="5"/>
  <c r="L176" i="5"/>
  <c r="I176" i="5"/>
  <c r="G176" i="5"/>
  <c r="M176" i="5"/>
  <c r="N54" i="5"/>
  <c r="M54" i="5"/>
  <c r="K54" i="5"/>
  <c r="L54" i="5"/>
  <c r="I54" i="5"/>
  <c r="G54" i="5"/>
  <c r="N118" i="5"/>
  <c r="M118" i="5"/>
  <c r="K118" i="5"/>
  <c r="L118" i="5"/>
  <c r="I118" i="5"/>
  <c r="G118" i="5"/>
  <c r="N302" i="5"/>
  <c r="M302" i="5"/>
  <c r="L302" i="5"/>
  <c r="K302" i="5"/>
  <c r="I302" i="5"/>
  <c r="G302" i="5"/>
  <c r="N151" i="5"/>
  <c r="M151" i="5"/>
  <c r="L151" i="5"/>
  <c r="K151" i="5"/>
  <c r="I151" i="5"/>
  <c r="G151" i="5"/>
  <c r="N232" i="5"/>
  <c r="L232" i="5"/>
  <c r="M232" i="5"/>
  <c r="G232" i="5"/>
  <c r="K232" i="5"/>
  <c r="I232" i="5"/>
  <c r="M225" i="5"/>
  <c r="N225" i="5"/>
  <c r="K225" i="5"/>
  <c r="L225" i="5"/>
  <c r="G225" i="5"/>
  <c r="I225" i="5"/>
  <c r="M202" i="5"/>
  <c r="L202" i="5"/>
  <c r="K202" i="5"/>
  <c r="I202" i="5"/>
  <c r="N202" i="5"/>
  <c r="G202" i="5"/>
  <c r="M43" i="5"/>
  <c r="N43" i="5"/>
  <c r="K43" i="5"/>
  <c r="I43" i="5"/>
  <c r="G43" i="5"/>
  <c r="L43" i="5"/>
  <c r="N301" i="5"/>
  <c r="M301" i="5"/>
  <c r="L301" i="5"/>
  <c r="K301" i="5"/>
  <c r="I301" i="5"/>
  <c r="G301" i="5"/>
  <c r="N144" i="5"/>
  <c r="K144" i="5"/>
  <c r="M144" i="5"/>
  <c r="L144" i="5"/>
  <c r="G144" i="5"/>
  <c r="I144" i="5"/>
  <c r="N261" i="5"/>
  <c r="M261" i="5"/>
  <c r="L261" i="5"/>
  <c r="I261" i="5"/>
  <c r="K261" i="5"/>
  <c r="G261" i="5"/>
  <c r="N111" i="5"/>
  <c r="M111" i="5"/>
  <c r="L111" i="5"/>
  <c r="K111" i="5"/>
  <c r="I111" i="5"/>
  <c r="G111" i="5"/>
  <c r="M74" i="5"/>
  <c r="N74" i="5"/>
  <c r="L74" i="5"/>
  <c r="K74" i="5"/>
  <c r="I74" i="5"/>
  <c r="G74" i="5"/>
  <c r="M243" i="5"/>
  <c r="N243" i="5"/>
  <c r="L243" i="5"/>
  <c r="G243" i="5"/>
  <c r="K243" i="5"/>
  <c r="I243" i="5"/>
  <c r="N335" i="5"/>
  <c r="L335" i="5"/>
  <c r="K335" i="5"/>
  <c r="M335" i="5"/>
  <c r="G335" i="5"/>
  <c r="I335" i="5"/>
  <c r="N148" i="5"/>
  <c r="M148" i="5"/>
  <c r="L148" i="5"/>
  <c r="K148" i="5"/>
  <c r="I148" i="5"/>
  <c r="G148" i="5"/>
  <c r="N24" i="5"/>
  <c r="M24" i="5"/>
  <c r="K24" i="5"/>
  <c r="L24" i="5"/>
  <c r="I24" i="5"/>
  <c r="G24" i="5"/>
  <c r="N313" i="5"/>
  <c r="M313" i="5"/>
  <c r="G313" i="5"/>
  <c r="L313" i="5"/>
  <c r="I313" i="5"/>
  <c r="K313" i="5"/>
  <c r="N336" i="5"/>
  <c r="M336" i="5"/>
  <c r="K336" i="5"/>
  <c r="L336" i="5"/>
  <c r="G336" i="5"/>
  <c r="I336" i="5"/>
  <c r="M123" i="5"/>
  <c r="L123" i="5"/>
  <c r="K123" i="5"/>
  <c r="G123" i="5"/>
  <c r="N123" i="5"/>
  <c r="I123" i="5"/>
  <c r="N77" i="5"/>
  <c r="M77" i="5"/>
  <c r="I77" i="5"/>
  <c r="K77" i="5"/>
  <c r="L77" i="5"/>
  <c r="G77" i="5"/>
  <c r="N364" i="5"/>
  <c r="L364" i="5"/>
  <c r="M364" i="5"/>
  <c r="K364" i="5"/>
  <c r="I364" i="5"/>
  <c r="G364" i="5"/>
  <c r="N214" i="5"/>
  <c r="M214" i="5"/>
  <c r="K214" i="5"/>
  <c r="I214" i="5"/>
  <c r="G214" i="5"/>
  <c r="L214" i="5"/>
  <c r="L17" i="5"/>
  <c r="M17" i="5"/>
  <c r="K17" i="5"/>
  <c r="N17" i="5"/>
  <c r="G17" i="5"/>
  <c r="I17" i="5"/>
  <c r="M81" i="5"/>
  <c r="L81" i="5"/>
  <c r="N81" i="5"/>
  <c r="K81" i="5"/>
  <c r="G81" i="5"/>
  <c r="I81" i="5"/>
  <c r="L145" i="5"/>
  <c r="N145" i="5"/>
  <c r="K145" i="5"/>
  <c r="M145" i="5"/>
  <c r="G145" i="5"/>
  <c r="I145" i="5"/>
  <c r="N209" i="5"/>
  <c r="L209" i="5"/>
  <c r="K209" i="5"/>
  <c r="M209" i="5"/>
  <c r="G209" i="5"/>
  <c r="I209" i="5"/>
  <c r="N281" i="5"/>
  <c r="M281" i="5"/>
  <c r="L281" i="5"/>
  <c r="K281" i="5"/>
  <c r="G281" i="5"/>
  <c r="I281" i="5"/>
  <c r="N345" i="5"/>
  <c r="M345" i="5"/>
  <c r="L345" i="5"/>
  <c r="K345" i="5"/>
  <c r="G345" i="5"/>
  <c r="I345" i="5"/>
  <c r="N295" i="5"/>
  <c r="L295" i="5"/>
  <c r="K295" i="5"/>
  <c r="M295" i="5"/>
  <c r="G295" i="5"/>
  <c r="I295" i="5"/>
  <c r="N48" i="5"/>
  <c r="K48" i="5"/>
  <c r="L48" i="5"/>
  <c r="I48" i="5"/>
  <c r="M48" i="5"/>
  <c r="G48" i="5"/>
  <c r="M42" i="5"/>
  <c r="N42" i="5"/>
  <c r="L42" i="5"/>
  <c r="K42" i="5"/>
  <c r="I42" i="5"/>
  <c r="G42" i="5"/>
  <c r="M114" i="5"/>
  <c r="N114" i="5"/>
  <c r="L114" i="5"/>
  <c r="K114" i="5"/>
  <c r="I114" i="5"/>
  <c r="G114" i="5"/>
  <c r="M186" i="5"/>
  <c r="N186" i="5"/>
  <c r="K186" i="5"/>
  <c r="I186" i="5"/>
  <c r="G186" i="5"/>
  <c r="L186" i="5"/>
  <c r="M258" i="5"/>
  <c r="N258" i="5"/>
  <c r="K258" i="5"/>
  <c r="L258" i="5"/>
  <c r="I258" i="5"/>
  <c r="G258" i="5"/>
  <c r="N322" i="5"/>
  <c r="K322" i="5"/>
  <c r="L322" i="5"/>
  <c r="I322" i="5"/>
  <c r="G322" i="5"/>
  <c r="M322" i="5"/>
  <c r="N247" i="5"/>
  <c r="L247" i="5"/>
  <c r="K247" i="5"/>
  <c r="M247" i="5"/>
  <c r="I247" i="5"/>
  <c r="G247" i="5"/>
  <c r="N64" i="5"/>
  <c r="M64" i="5"/>
  <c r="K64" i="5"/>
  <c r="L64" i="5"/>
  <c r="I64" i="5"/>
  <c r="G64" i="5"/>
  <c r="M27" i="5"/>
  <c r="N27" i="5"/>
  <c r="L27" i="5"/>
  <c r="K27" i="5"/>
  <c r="G27" i="5"/>
  <c r="I27" i="5"/>
  <c r="M91" i="5"/>
  <c r="N91" i="5"/>
  <c r="L91" i="5"/>
  <c r="K91" i="5"/>
  <c r="G91" i="5"/>
  <c r="I91" i="5"/>
  <c r="M155" i="5"/>
  <c r="N155" i="5"/>
  <c r="L155" i="5"/>
  <c r="K155" i="5"/>
  <c r="G155" i="5"/>
  <c r="I155" i="5"/>
  <c r="M219" i="5"/>
  <c r="N219" i="5"/>
  <c r="L219" i="5"/>
  <c r="K219" i="5"/>
  <c r="G219" i="5"/>
  <c r="I219" i="5"/>
  <c r="M283" i="5"/>
  <c r="N283" i="5"/>
  <c r="L283" i="5"/>
  <c r="K283" i="5"/>
  <c r="G283" i="5"/>
  <c r="I283" i="5"/>
  <c r="M355" i="5"/>
  <c r="N355" i="5"/>
  <c r="K355" i="5"/>
  <c r="L355" i="5"/>
  <c r="G355" i="5"/>
  <c r="I355" i="5"/>
  <c r="N141" i="5"/>
  <c r="M141" i="5"/>
  <c r="I141" i="5"/>
  <c r="L141" i="5"/>
  <c r="K141" i="5"/>
  <c r="G141" i="5"/>
  <c r="N269" i="5"/>
  <c r="M269" i="5"/>
  <c r="K269" i="5"/>
  <c r="I269" i="5"/>
  <c r="L269" i="5"/>
  <c r="G269" i="5"/>
  <c r="N223" i="5"/>
  <c r="M223" i="5"/>
  <c r="L223" i="5"/>
  <c r="K223" i="5"/>
  <c r="I223" i="5"/>
  <c r="G223" i="5"/>
  <c r="N96" i="5"/>
  <c r="K96" i="5"/>
  <c r="M96" i="5"/>
  <c r="L96" i="5"/>
  <c r="I96" i="5"/>
  <c r="G96" i="5"/>
  <c r="N296" i="5"/>
  <c r="L296" i="5"/>
  <c r="M296" i="5"/>
  <c r="I296" i="5"/>
  <c r="K296" i="5"/>
  <c r="G296" i="5"/>
  <c r="N52" i="5"/>
  <c r="M52" i="5"/>
  <c r="L52" i="5"/>
  <c r="K52" i="5"/>
  <c r="I52" i="5"/>
  <c r="G52" i="5"/>
  <c r="N116" i="5"/>
  <c r="M116" i="5"/>
  <c r="L116" i="5"/>
  <c r="K116" i="5"/>
  <c r="I116" i="5"/>
  <c r="G116" i="5"/>
  <c r="N188" i="5"/>
  <c r="M188" i="5"/>
  <c r="L188" i="5"/>
  <c r="K188" i="5"/>
  <c r="G188" i="5"/>
  <c r="I188" i="5"/>
  <c r="N260" i="5"/>
  <c r="M260" i="5"/>
  <c r="L260" i="5"/>
  <c r="K260" i="5"/>
  <c r="G260" i="5"/>
  <c r="I260" i="5"/>
  <c r="N332" i="5"/>
  <c r="L332" i="5"/>
  <c r="M332" i="5"/>
  <c r="K332" i="5"/>
  <c r="I332" i="5"/>
  <c r="G332" i="5"/>
  <c r="N213" i="5"/>
  <c r="M213" i="5"/>
  <c r="L213" i="5"/>
  <c r="K213" i="5"/>
  <c r="I213" i="5"/>
  <c r="G213" i="5"/>
  <c r="N287" i="5"/>
  <c r="M287" i="5"/>
  <c r="L287" i="5"/>
  <c r="K287" i="5"/>
  <c r="I287" i="5"/>
  <c r="G287" i="5"/>
  <c r="N200" i="5"/>
  <c r="M200" i="5"/>
  <c r="L200" i="5"/>
  <c r="K200" i="5"/>
  <c r="I200" i="5"/>
  <c r="G200" i="5"/>
  <c r="N62" i="5"/>
  <c r="M62" i="5"/>
  <c r="L62" i="5"/>
  <c r="K62" i="5"/>
  <c r="I62" i="5"/>
  <c r="G62" i="5"/>
  <c r="N134" i="5"/>
  <c r="M134" i="5"/>
  <c r="L134" i="5"/>
  <c r="K134" i="5"/>
  <c r="I134" i="5"/>
  <c r="G134" i="5"/>
  <c r="N334" i="5"/>
  <c r="M334" i="5"/>
  <c r="I334" i="5"/>
  <c r="K334" i="5"/>
  <c r="L334" i="5"/>
  <c r="G334" i="5"/>
  <c r="N215" i="5"/>
  <c r="M215" i="5"/>
  <c r="L215" i="5"/>
  <c r="K215" i="5"/>
  <c r="I215" i="5"/>
  <c r="G215" i="5"/>
  <c r="N304" i="5"/>
  <c r="L304" i="5"/>
  <c r="K304" i="5"/>
  <c r="M304" i="5"/>
  <c r="I304" i="5"/>
  <c r="G304" i="5"/>
  <c r="M297" i="5"/>
  <c r="L297" i="5"/>
  <c r="N297" i="5"/>
  <c r="K297" i="5"/>
  <c r="I297" i="5"/>
  <c r="G297" i="5"/>
  <c r="M274" i="5"/>
  <c r="N274" i="5"/>
  <c r="L274" i="5"/>
  <c r="K274" i="5"/>
  <c r="I274" i="5"/>
  <c r="G274" i="5"/>
  <c r="N208" i="5"/>
  <c r="K208" i="5"/>
  <c r="M208" i="5"/>
  <c r="L208" i="5"/>
  <c r="G208" i="5"/>
  <c r="I208" i="5"/>
  <c r="M171" i="5"/>
  <c r="N171" i="5"/>
  <c r="K171" i="5"/>
  <c r="I171" i="5"/>
  <c r="G171" i="5"/>
  <c r="L171" i="5"/>
  <c r="N45" i="5"/>
  <c r="M45" i="5"/>
  <c r="L45" i="5"/>
  <c r="I45" i="5"/>
  <c r="G45" i="5"/>
  <c r="K45" i="5"/>
  <c r="N68" i="5"/>
  <c r="M68" i="5"/>
  <c r="L68" i="5"/>
  <c r="K68" i="5"/>
  <c r="G68" i="5"/>
  <c r="I68" i="5"/>
  <c r="N276" i="5"/>
  <c r="M276" i="5"/>
  <c r="L276" i="5"/>
  <c r="K276" i="5"/>
  <c r="I276" i="5"/>
  <c r="G276" i="5"/>
  <c r="N240" i="5"/>
  <c r="L240" i="5"/>
  <c r="M240" i="5"/>
  <c r="K240" i="5"/>
  <c r="G240" i="5"/>
  <c r="I240" i="5"/>
  <c r="N78" i="5"/>
  <c r="M78" i="5"/>
  <c r="I78" i="5"/>
  <c r="K78" i="5"/>
  <c r="L78" i="5"/>
  <c r="G78" i="5"/>
  <c r="M105" i="5"/>
  <c r="N105" i="5"/>
  <c r="L105" i="5"/>
  <c r="K105" i="5"/>
  <c r="I105" i="5"/>
  <c r="G105" i="5"/>
  <c r="M210" i="5"/>
  <c r="N210" i="5"/>
  <c r="L210" i="5"/>
  <c r="K210" i="5"/>
  <c r="I210" i="5"/>
  <c r="G210" i="5"/>
  <c r="M51" i="5"/>
  <c r="L51" i="5"/>
  <c r="N51" i="5"/>
  <c r="G51" i="5"/>
  <c r="K51" i="5"/>
  <c r="I51" i="5"/>
  <c r="M307" i="5"/>
  <c r="L307" i="5"/>
  <c r="N307" i="5"/>
  <c r="G307" i="5"/>
  <c r="K307" i="5"/>
  <c r="I307" i="5"/>
  <c r="N189" i="5"/>
  <c r="M189" i="5"/>
  <c r="L189" i="5"/>
  <c r="I189" i="5"/>
  <c r="K189" i="5"/>
  <c r="G189" i="5"/>
  <c r="N87" i="5"/>
  <c r="M87" i="5"/>
  <c r="L87" i="5"/>
  <c r="K87" i="5"/>
  <c r="I87" i="5"/>
  <c r="G87" i="5"/>
  <c r="N168" i="5"/>
  <c r="L168" i="5"/>
  <c r="K168" i="5"/>
  <c r="M168" i="5"/>
  <c r="I168" i="5"/>
  <c r="G168" i="5"/>
  <c r="N356" i="5"/>
  <c r="L356" i="5"/>
  <c r="G356" i="5"/>
  <c r="K356" i="5"/>
  <c r="I356" i="5"/>
  <c r="M356" i="5"/>
  <c r="N190" i="5"/>
  <c r="M190" i="5"/>
  <c r="L190" i="5"/>
  <c r="K190" i="5"/>
  <c r="I190" i="5"/>
  <c r="G190" i="5"/>
  <c r="M177" i="5"/>
  <c r="N177" i="5"/>
  <c r="L177" i="5"/>
  <c r="K177" i="5"/>
  <c r="G177" i="5"/>
  <c r="I177" i="5"/>
  <c r="M290" i="5"/>
  <c r="N290" i="5"/>
  <c r="K290" i="5"/>
  <c r="I290" i="5"/>
  <c r="G290" i="5"/>
  <c r="L290" i="5"/>
  <c r="N23" i="5"/>
  <c r="M23" i="5"/>
  <c r="L23" i="5"/>
  <c r="K23" i="5"/>
  <c r="I23" i="5"/>
  <c r="G23" i="5"/>
  <c r="M59" i="5"/>
  <c r="L59" i="5"/>
  <c r="K59" i="5"/>
  <c r="N59" i="5"/>
  <c r="G59" i="5"/>
  <c r="I59" i="5"/>
  <c r="M323" i="5"/>
  <c r="N323" i="5"/>
  <c r="L323" i="5"/>
  <c r="K323" i="5"/>
  <c r="G323" i="5"/>
  <c r="I323" i="5"/>
  <c r="N333" i="5"/>
  <c r="M333" i="5"/>
  <c r="K333" i="5"/>
  <c r="I333" i="5"/>
  <c r="G333" i="5"/>
  <c r="L333" i="5"/>
  <c r="N119" i="5"/>
  <c r="L119" i="5"/>
  <c r="K119" i="5"/>
  <c r="M119" i="5"/>
  <c r="I119" i="5"/>
  <c r="G119" i="5"/>
  <c r="N220" i="5"/>
  <c r="M220" i="5"/>
  <c r="L220" i="5"/>
  <c r="K220" i="5"/>
  <c r="G220" i="5"/>
  <c r="I220" i="5"/>
  <c r="N293" i="5"/>
  <c r="M293" i="5"/>
  <c r="I293" i="5"/>
  <c r="G293" i="5"/>
  <c r="K293" i="5"/>
  <c r="L293" i="5"/>
  <c r="N56" i="5"/>
  <c r="M56" i="5"/>
  <c r="K56" i="5"/>
  <c r="L56" i="5"/>
  <c r="I56" i="5"/>
  <c r="G56" i="5"/>
  <c r="N31" i="5"/>
  <c r="M31" i="5"/>
  <c r="L31" i="5"/>
  <c r="K31" i="5"/>
  <c r="I31" i="5"/>
  <c r="G31" i="5"/>
  <c r="N25" i="5"/>
  <c r="M25" i="5"/>
  <c r="K25" i="5"/>
  <c r="L25" i="5"/>
  <c r="G25" i="5"/>
  <c r="I25" i="5"/>
  <c r="N89" i="5"/>
  <c r="M89" i="5"/>
  <c r="K89" i="5"/>
  <c r="L89" i="5"/>
  <c r="G89" i="5"/>
  <c r="I89" i="5"/>
  <c r="N153" i="5"/>
  <c r="M153" i="5"/>
  <c r="K153" i="5"/>
  <c r="L153" i="5"/>
  <c r="G153" i="5"/>
  <c r="I153" i="5"/>
  <c r="N217" i="5"/>
  <c r="L217" i="5"/>
  <c r="M217" i="5"/>
  <c r="K217" i="5"/>
  <c r="G217" i="5"/>
  <c r="I217" i="5"/>
  <c r="N289" i="5"/>
  <c r="M289" i="5"/>
  <c r="K289" i="5"/>
  <c r="L289" i="5"/>
  <c r="G289" i="5"/>
  <c r="I289" i="5"/>
  <c r="N353" i="5"/>
  <c r="M353" i="5"/>
  <c r="K353" i="5"/>
  <c r="L353" i="5"/>
  <c r="G353" i="5"/>
  <c r="I353" i="5"/>
  <c r="N359" i="5"/>
  <c r="L359" i="5"/>
  <c r="M359" i="5"/>
  <c r="K359" i="5"/>
  <c r="G359" i="5"/>
  <c r="I359" i="5"/>
  <c r="N184" i="5"/>
  <c r="K184" i="5"/>
  <c r="L184" i="5"/>
  <c r="I184" i="5"/>
  <c r="G184" i="5"/>
  <c r="M184" i="5"/>
  <c r="M50" i="5"/>
  <c r="N50" i="5"/>
  <c r="L50" i="5"/>
  <c r="K50" i="5"/>
  <c r="I50" i="5"/>
  <c r="G50" i="5"/>
  <c r="M130" i="5"/>
  <c r="N130" i="5"/>
  <c r="K130" i="5"/>
  <c r="L130" i="5"/>
  <c r="I130" i="5"/>
  <c r="G130" i="5"/>
  <c r="M194" i="5"/>
  <c r="N194" i="5"/>
  <c r="K194" i="5"/>
  <c r="L194" i="5"/>
  <c r="I194" i="5"/>
  <c r="G194" i="5"/>
  <c r="M266" i="5"/>
  <c r="L266" i="5"/>
  <c r="K266" i="5"/>
  <c r="I266" i="5"/>
  <c r="G266" i="5"/>
  <c r="N266" i="5"/>
  <c r="M338" i="5"/>
  <c r="L338" i="5"/>
  <c r="K338" i="5"/>
  <c r="I338" i="5"/>
  <c r="G338" i="5"/>
  <c r="N338" i="5"/>
  <c r="N311" i="5"/>
  <c r="L311" i="5"/>
  <c r="K311" i="5"/>
  <c r="I311" i="5"/>
  <c r="M311" i="5"/>
  <c r="G311" i="5"/>
  <c r="N136" i="5"/>
  <c r="M136" i="5"/>
  <c r="L136" i="5"/>
  <c r="K136" i="5"/>
  <c r="I136" i="5"/>
  <c r="G136" i="5"/>
  <c r="M35" i="5"/>
  <c r="N35" i="5"/>
  <c r="G35" i="5"/>
  <c r="K35" i="5"/>
  <c r="I35" i="5"/>
  <c r="L35" i="5"/>
  <c r="M99" i="5"/>
  <c r="N99" i="5"/>
  <c r="L99" i="5"/>
  <c r="G99" i="5"/>
  <c r="K99" i="5"/>
  <c r="I99" i="5"/>
  <c r="M163" i="5"/>
  <c r="N163" i="5"/>
  <c r="G163" i="5"/>
  <c r="K163" i="5"/>
  <c r="I163" i="5"/>
  <c r="L163" i="5"/>
  <c r="M227" i="5"/>
  <c r="N227" i="5"/>
  <c r="K227" i="5"/>
  <c r="L227" i="5"/>
  <c r="G227" i="5"/>
  <c r="I227" i="5"/>
  <c r="M291" i="5"/>
  <c r="K291" i="5"/>
  <c r="G291" i="5"/>
  <c r="I291" i="5"/>
  <c r="L291" i="5"/>
  <c r="N291" i="5"/>
  <c r="N363" i="5"/>
  <c r="M363" i="5"/>
  <c r="K363" i="5"/>
  <c r="I363" i="5"/>
  <c r="G363" i="5"/>
  <c r="L363" i="5"/>
  <c r="N157" i="5"/>
  <c r="M157" i="5"/>
  <c r="L157" i="5"/>
  <c r="I157" i="5"/>
  <c r="K157" i="5"/>
  <c r="G157" i="5"/>
  <c r="N285" i="5"/>
  <c r="M285" i="5"/>
  <c r="L285" i="5"/>
  <c r="I285" i="5"/>
  <c r="K285" i="5"/>
  <c r="G285" i="5"/>
  <c r="N255" i="5"/>
  <c r="L255" i="5"/>
  <c r="M255" i="5"/>
  <c r="K255" i="5"/>
  <c r="I255" i="5"/>
  <c r="G255" i="5"/>
  <c r="N112" i="5"/>
  <c r="K112" i="5"/>
  <c r="L112" i="5"/>
  <c r="M112" i="5"/>
  <c r="I112" i="5"/>
  <c r="G112" i="5"/>
  <c r="N328" i="5"/>
  <c r="M328" i="5"/>
  <c r="L328" i="5"/>
  <c r="K328" i="5"/>
  <c r="I328" i="5"/>
  <c r="G328" i="5"/>
  <c r="N60" i="5"/>
  <c r="M60" i="5"/>
  <c r="L60" i="5"/>
  <c r="K60" i="5"/>
  <c r="G60" i="5"/>
  <c r="I60" i="5"/>
  <c r="N132" i="5"/>
  <c r="M132" i="5"/>
  <c r="L132" i="5"/>
  <c r="K132" i="5"/>
  <c r="G132" i="5"/>
  <c r="I132" i="5"/>
  <c r="N196" i="5"/>
  <c r="M196" i="5"/>
  <c r="L196" i="5"/>
  <c r="K196" i="5"/>
  <c r="G196" i="5"/>
  <c r="I196" i="5"/>
  <c r="N268" i="5"/>
  <c r="M268" i="5"/>
  <c r="L268" i="5"/>
  <c r="K268" i="5"/>
  <c r="I268" i="5"/>
  <c r="G268" i="5"/>
  <c r="N340" i="5"/>
  <c r="L340" i="5"/>
  <c r="M340" i="5"/>
  <c r="K340" i="5"/>
  <c r="I340" i="5"/>
  <c r="G340" i="5"/>
  <c r="N29" i="5"/>
  <c r="M29" i="5"/>
  <c r="L29" i="5"/>
  <c r="I29" i="5"/>
  <c r="K29" i="5"/>
  <c r="G29" i="5"/>
  <c r="N229" i="5"/>
  <c r="M229" i="5"/>
  <c r="I229" i="5"/>
  <c r="L229" i="5"/>
  <c r="G229" i="5"/>
  <c r="K229" i="5"/>
  <c r="N71" i="5"/>
  <c r="L71" i="5"/>
  <c r="K71" i="5"/>
  <c r="I71" i="5"/>
  <c r="G71" i="5"/>
  <c r="M71" i="5"/>
  <c r="N319" i="5"/>
  <c r="L319" i="5"/>
  <c r="K319" i="5"/>
  <c r="M319" i="5"/>
  <c r="I319" i="5"/>
  <c r="G319" i="5"/>
  <c r="N216" i="5"/>
  <c r="M216" i="5"/>
  <c r="L216" i="5"/>
  <c r="K216" i="5"/>
  <c r="I216" i="5"/>
  <c r="G216" i="5"/>
  <c r="N70" i="5"/>
  <c r="M70" i="5"/>
  <c r="L70" i="5"/>
  <c r="K70" i="5"/>
  <c r="I70" i="5"/>
  <c r="G70" i="5"/>
  <c r="N150" i="5"/>
  <c r="M150" i="5"/>
  <c r="K150" i="5"/>
  <c r="I150" i="5"/>
  <c r="L150" i="5"/>
  <c r="G150" i="5"/>
  <c r="N358" i="5"/>
  <c r="L358" i="5"/>
  <c r="G358" i="5"/>
  <c r="M358" i="5"/>
  <c r="K358" i="5"/>
  <c r="I358" i="5"/>
  <c r="N271" i="5"/>
  <c r="L271" i="5"/>
  <c r="K271" i="5"/>
  <c r="M271" i="5"/>
  <c r="I271" i="5"/>
  <c r="G271" i="5"/>
  <c r="N8" i="5"/>
  <c r="K8" i="5"/>
  <c r="M8" i="5"/>
  <c r="L8" i="5"/>
  <c r="I8" i="5"/>
  <c r="G8" i="5"/>
</calcChain>
</file>

<file path=xl/sharedStrings.xml><?xml version="1.0" encoding="utf-8"?>
<sst xmlns="http://schemas.openxmlformats.org/spreadsheetml/2006/main" count="31682" uniqueCount="13711">
  <si>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</si>
  <si>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</si>
  <si>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</si>
  <si>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</si>
  <si>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</si>
  <si>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</si>
  <si>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</si>
  <si>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</si>
  <si>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</si>
  <si>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</si>
  <si>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</si>
  <si>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</si>
  <si>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</si>
  <si>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</si>
  <si>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</si>
  <si>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FR873482.1</t>
  </si>
  <si>
    <t>plus</t>
  </si>
  <si>
    <t>chromosomal replication initiator protein dnaA</t>
  </si>
  <si>
    <t>dnaA</t>
  </si>
  <si>
    <t>protein-coding</t>
  </si>
  <si>
    <t>CCB94398.1</t>
  </si>
  <si>
    <t>SALIVA_0001</t>
  </si>
  <si>
    <t>beta subunit of DNA polymerase III</t>
  </si>
  <si>
    <t>dnaN</t>
  </si>
  <si>
    <t>CCB94399.1</t>
  </si>
  <si>
    <t>SALIVA_0002</t>
  </si>
  <si>
    <t>uncharacterized protein conserved in bacteria</t>
  </si>
  <si>
    <t>yaaA</t>
  </si>
  <si>
    <t>CCB94400.1</t>
  </si>
  <si>
    <t>SALIVA_0003</t>
  </si>
  <si>
    <t>GTP-dependent nucleic acid-binding protein</t>
  </si>
  <si>
    <t>engD</t>
  </si>
  <si>
    <t>CCB94401.1</t>
  </si>
  <si>
    <t>SALIVA_0004</t>
  </si>
  <si>
    <t>peptidyl-tRNA hydrolase (PTH)</t>
  </si>
  <si>
    <t>pth</t>
  </si>
  <si>
    <t>CCB94402.1</t>
  </si>
  <si>
    <t>SALIVA_0005</t>
  </si>
  <si>
    <t>transcription-repair coupling factor</t>
  </si>
  <si>
    <t>trcF</t>
  </si>
  <si>
    <t>CCB94403.1</t>
  </si>
  <si>
    <t>SALIVA_0006</t>
  </si>
  <si>
    <t>S4 RNA-binding domain protein</t>
  </si>
  <si>
    <t>yaab</t>
  </si>
  <si>
    <t>CCB94404.1</t>
  </si>
  <si>
    <t>SALIVA_0007</t>
  </si>
  <si>
    <t>putative cell-cycle protein, MesJ/Ycf62 family</t>
  </si>
  <si>
    <t>divIC</t>
  </si>
  <si>
    <t>CCB94405.1</t>
  </si>
  <si>
    <t>SALIVA_0008</t>
  </si>
  <si>
    <t>uncharacterized conserved protein</t>
  </si>
  <si>
    <t>yaaC</t>
  </si>
  <si>
    <t>CCB94406.1</t>
  </si>
  <si>
    <t>SALIVA_0009</t>
  </si>
  <si>
    <t>hypothetical protein</t>
  </si>
  <si>
    <t>yaaD</t>
  </si>
  <si>
    <t>CCB94407.1</t>
  </si>
  <si>
    <t>SALIVA_0010</t>
  </si>
  <si>
    <t>tRNA(Ile)-lysidine synthase (tRNA(Ile)-lysidine synthetase) (tRNA(Ile)-2-lysyl-cytidine synthase)</t>
  </si>
  <si>
    <t>tilS</t>
  </si>
  <si>
    <t>CCB94408.1</t>
  </si>
  <si>
    <t>SALIVA_0011</t>
  </si>
  <si>
    <t>hypoxanthine-guanine phosphoribosyltransferase (HGPRT) (HGPRTase)</t>
  </si>
  <si>
    <t>hpt</t>
  </si>
  <si>
    <t>CCB94409.1</t>
  </si>
  <si>
    <t>SALIVA_0012</t>
  </si>
  <si>
    <t>cell division protein</t>
  </si>
  <si>
    <t>ftsH</t>
  </si>
  <si>
    <t>CCB94410.1</t>
  </si>
  <si>
    <t>SALIVA_0013</t>
  </si>
  <si>
    <t>16S ribosomal RNA</t>
  </si>
  <si>
    <t>16S rRNA</t>
  </si>
  <si>
    <t>rRNA</t>
  </si>
  <si>
    <t>SALIVA_r0001</t>
  </si>
  <si>
    <t>tRNA-Ala</t>
  </si>
  <si>
    <t>tRNA</t>
  </si>
  <si>
    <t>SALIVA_0014</t>
  </si>
  <si>
    <t>23S ribosomal RNA</t>
  </si>
  <si>
    <t>23S rRNA</t>
  </si>
  <si>
    <t>SALIVA_r0002</t>
  </si>
  <si>
    <t>5S ribosomal RNA</t>
  </si>
  <si>
    <t>5S rRNA</t>
  </si>
  <si>
    <t>SALIVA_r0003</t>
  </si>
  <si>
    <t>tRNA-Val</t>
  </si>
  <si>
    <t>SALIVA_0015</t>
  </si>
  <si>
    <t>tRNA-Asp</t>
  </si>
  <si>
    <t>SALIVA_0016</t>
  </si>
  <si>
    <t>tRNA-Lys</t>
  </si>
  <si>
    <t>SALIVA_0017</t>
  </si>
  <si>
    <t>tRNA-Leu</t>
  </si>
  <si>
    <t>SALIVA_0018</t>
  </si>
  <si>
    <t>tRNA-Thr</t>
  </si>
  <si>
    <t>SALIVA_0019</t>
  </si>
  <si>
    <t>tRNA-Gly</t>
  </si>
  <si>
    <t>SALIVA_0020</t>
  </si>
  <si>
    <t>SALIVA_0021</t>
  </si>
  <si>
    <t>tRNA-Arg</t>
  </si>
  <si>
    <t>SALIVA_0022</t>
  </si>
  <si>
    <t>tRNA-Pro</t>
  </si>
  <si>
    <t>SALIVA_0023</t>
  </si>
  <si>
    <t>tRNA-Met</t>
  </si>
  <si>
    <t>SALIVA_0024</t>
  </si>
  <si>
    <t>SALIVA_0025</t>
  </si>
  <si>
    <t>tRNA-Ser</t>
  </si>
  <si>
    <t>SALIVA_0026</t>
  </si>
  <si>
    <t>SALIVA_0027</t>
  </si>
  <si>
    <t>tRNA-Phe</t>
  </si>
  <si>
    <t>SALIVA_0028</t>
  </si>
  <si>
    <t>SALIVA_0029</t>
  </si>
  <si>
    <t>tRNA-Ile</t>
  </si>
  <si>
    <t>SALIVA_0030</t>
  </si>
  <si>
    <t>SALIVA_0031</t>
  </si>
  <si>
    <t>rod shape-determining protein MreC</t>
  </si>
  <si>
    <t>mreC</t>
  </si>
  <si>
    <t>CCB94411.1</t>
  </si>
  <si>
    <t>SALIVA_0032</t>
  </si>
  <si>
    <t>rod shape-determining protein MreD</t>
  </si>
  <si>
    <t>mreD</t>
  </si>
  <si>
    <t>CCB94412.1</t>
  </si>
  <si>
    <t>SALIVA_0033</t>
  </si>
  <si>
    <t>glucan binding protein</t>
  </si>
  <si>
    <t>pcsB</t>
  </si>
  <si>
    <t>CCB94413.1</t>
  </si>
  <si>
    <t>SALIVA_0034</t>
  </si>
  <si>
    <t>ribose-phosphate pyrophosphokinase</t>
  </si>
  <si>
    <t>prsA1</t>
  </si>
  <si>
    <t>CCB94414.1</t>
  </si>
  <si>
    <t>SALIVA_0035</t>
  </si>
  <si>
    <t>aromatic amino acid aminotransferase</t>
  </si>
  <si>
    <t>araT</t>
  </si>
  <si>
    <t>CCB94415.1</t>
  </si>
  <si>
    <t>SALIVA_0036</t>
  </si>
  <si>
    <t>DNA repair protein recO (Recombination protein O)</t>
  </si>
  <si>
    <t>recO</t>
  </si>
  <si>
    <t>CCB94416.1</t>
  </si>
  <si>
    <t>SALIVA_0037</t>
  </si>
  <si>
    <t>fatty acid/phospholipid synthesis protein plsX</t>
  </si>
  <si>
    <t>plsX</t>
  </si>
  <si>
    <t>CCB94417.1</t>
  </si>
  <si>
    <t>SALIVA_0038</t>
  </si>
  <si>
    <t>acyl carrier protein</t>
  </si>
  <si>
    <t>acpP1</t>
  </si>
  <si>
    <t>CCB94418.1</t>
  </si>
  <si>
    <t>SALIVA_0039</t>
  </si>
  <si>
    <t>phosphoribosylaminoimidazole-succinocarboxamide synthase (SAICAR synthetase)</t>
  </si>
  <si>
    <t>purC</t>
  </si>
  <si>
    <t>CCB94419.1</t>
  </si>
  <si>
    <t>SALIVA_0040</t>
  </si>
  <si>
    <t>phosphoribosylformylglycinamidine synthase II (FGAM synthase) (FGAMS) (Formylglycinamide ribotide amidotransferase) (FGARAT) (Formylglycinamide ribotide synthetase)</t>
  </si>
  <si>
    <t>purL</t>
  </si>
  <si>
    <t>CCB94420.1</t>
  </si>
  <si>
    <t>SALIVA_0041</t>
  </si>
  <si>
    <t>amidophosphoribosyltransferase (PRPP amidotransferase)</t>
  </si>
  <si>
    <t>purF</t>
  </si>
  <si>
    <t>CCB94421.1</t>
  </si>
  <si>
    <t>SALIVA_0042</t>
  </si>
  <si>
    <t>phosphoribosylformylglycinamidine cyclo-ligase (AIRS) (Phosphoribosyl-aminoimidazole synthetase) (AIR synthase)</t>
  </si>
  <si>
    <t>purM</t>
  </si>
  <si>
    <t>CCB94422.1</t>
  </si>
  <si>
    <t>SALIVA_0044</t>
  </si>
  <si>
    <t>phosphoribosylglycinamide formyltransferase (5-phosphoribosylglycinamide transformylase) (GAR transformylase) (GART)</t>
  </si>
  <si>
    <t>purN</t>
  </si>
  <si>
    <t>CCB94423.1</t>
  </si>
  <si>
    <t>SALIVA_0045</t>
  </si>
  <si>
    <t>uncharacterized protein PM1201</t>
  </si>
  <si>
    <t>CCB94424.1</t>
  </si>
  <si>
    <t>SALIVA_0046</t>
  </si>
  <si>
    <t>bifunctional purine biosynthesis protein purH</t>
  </si>
  <si>
    <t>purH</t>
  </si>
  <si>
    <t>CCB94425.1</t>
  </si>
  <si>
    <t>SALIVA_0047</t>
  </si>
  <si>
    <t>CCB94426.1</t>
  </si>
  <si>
    <t>SALIVA_0048</t>
  </si>
  <si>
    <t>CCB94427.1</t>
  </si>
  <si>
    <t>SALIVA_0049</t>
  </si>
  <si>
    <t>rNA-directed DNA polymerase from retron EC86</t>
  </si>
  <si>
    <t>CCB94428.1</t>
  </si>
  <si>
    <t>SALIVA_0050</t>
  </si>
  <si>
    <t>minus</t>
  </si>
  <si>
    <t>cell wall protein, similar to choline binding protein</t>
  </si>
  <si>
    <t>cbpD1</t>
  </si>
  <si>
    <t>CCB94429.1</t>
  </si>
  <si>
    <t>SALIVA_0051</t>
  </si>
  <si>
    <t>CCB94430.1</t>
  </si>
  <si>
    <t>SALIVA_0052</t>
  </si>
  <si>
    <t>phosphoribosylamine--glycine ligase (GARS) (Glycinamide ribonucleotide synthetase) (Phosphoribosylglycinamide synthetase)</t>
  </si>
  <si>
    <t>purD</t>
  </si>
  <si>
    <t>CCB94431.1</t>
  </si>
  <si>
    <t>SALIVA_0053</t>
  </si>
  <si>
    <t>phosphoribosylaminoimidazole carboxylase catalytic subunit (AIR carboxylase) (AIRC)</t>
  </si>
  <si>
    <t>purE</t>
  </si>
  <si>
    <t>CCB94432.1</t>
  </si>
  <si>
    <t>SALIVA_0054</t>
  </si>
  <si>
    <t>phosphoribosylaminoimidazole carboxylase ATPase subunit (AIR carboxylase) (AIRC)</t>
  </si>
  <si>
    <t>purK</t>
  </si>
  <si>
    <t>CCB94433.1</t>
  </si>
  <si>
    <t>SALIVA_0055</t>
  </si>
  <si>
    <t>CCB94434.1</t>
  </si>
  <si>
    <t>SALIVA_0056</t>
  </si>
  <si>
    <t>CCB94435.1</t>
  </si>
  <si>
    <t>SALIVA_0057</t>
  </si>
  <si>
    <t>adenylosuccinate lyase (Adenylosuccinase) (ASL)</t>
  </si>
  <si>
    <t>purB</t>
  </si>
  <si>
    <t>CCB94436.1</t>
  </si>
  <si>
    <t>SALIVA_0058</t>
  </si>
  <si>
    <t>arginyl-tRNA synthetase (Arginine--tRNA ligase) (ArgRS)</t>
  </si>
  <si>
    <t>argS</t>
  </si>
  <si>
    <t>CCB94437.1</t>
  </si>
  <si>
    <t>SALIVA_0059</t>
  </si>
  <si>
    <t>arginine repressor</t>
  </si>
  <si>
    <t>argR</t>
  </si>
  <si>
    <t>CCB94438.1</t>
  </si>
  <si>
    <t>SALIVA_0060</t>
  </si>
  <si>
    <t>predicted membrane protein</t>
  </si>
  <si>
    <t>CCB94439.1</t>
  </si>
  <si>
    <t>SALIVA_0061</t>
  </si>
  <si>
    <t>DNA mismatch repair protein mutS</t>
  </si>
  <si>
    <t>mutS</t>
  </si>
  <si>
    <t>CCB94440.1</t>
  </si>
  <si>
    <t>SALIVA_0062</t>
  </si>
  <si>
    <t>CCB94441.1</t>
  </si>
  <si>
    <t>SALIVA_0063</t>
  </si>
  <si>
    <t>response regulator of the LytR/AlgR family</t>
  </si>
  <si>
    <t>CCB94442.1</t>
  </si>
  <si>
    <t>SALIVA_0064</t>
  </si>
  <si>
    <t>CCB94443.1</t>
  </si>
  <si>
    <t>SALIVA_0065</t>
  </si>
  <si>
    <t>DNA mismatch repair protein mutL</t>
  </si>
  <si>
    <t>mutL</t>
  </si>
  <si>
    <t>CCB94444.1</t>
  </si>
  <si>
    <t>SALIVA_0066</t>
  </si>
  <si>
    <t>predicted protein</t>
  </si>
  <si>
    <t>CCB94445.1</t>
  </si>
  <si>
    <t>SALIVA_0067</t>
  </si>
  <si>
    <t>holliday junction ATP-dependent DNA helicase ruvA</t>
  </si>
  <si>
    <t>ruvA</t>
  </si>
  <si>
    <t>CCB94446.1</t>
  </si>
  <si>
    <t>SALIVA_0068</t>
  </si>
  <si>
    <t>DNA-3-methyladenine glycosylase (3-methyladenine-DNA glycosidase) (TAG)</t>
  </si>
  <si>
    <t>tag</t>
  </si>
  <si>
    <t>CCB94447.1</t>
  </si>
  <si>
    <t>SALIVA_0069</t>
  </si>
  <si>
    <t>putative competence-damage inducible protein</t>
  </si>
  <si>
    <t>cinA</t>
  </si>
  <si>
    <t>CCB94448.1</t>
  </si>
  <si>
    <t>SALIVA_0070</t>
  </si>
  <si>
    <t>protein recA (Recombinase A)</t>
  </si>
  <si>
    <t>recA</t>
  </si>
  <si>
    <t>CCB94449.1</t>
  </si>
  <si>
    <t>SALIVA_0071</t>
  </si>
  <si>
    <t>regulatory protein spx, Arsenate reductase or related protein, glutaredoxin family</t>
  </si>
  <si>
    <t>trmA</t>
  </si>
  <si>
    <t>CCB94450.1</t>
  </si>
  <si>
    <t>SALIVA_0072</t>
  </si>
  <si>
    <t>SALIVA_r0004</t>
  </si>
  <si>
    <t>SALIVA_0073</t>
  </si>
  <si>
    <t>SALIVA_r0005</t>
  </si>
  <si>
    <t>SALIVA_r0006</t>
  </si>
  <si>
    <t>SALIVA_0074</t>
  </si>
  <si>
    <t>SALIVA_0075</t>
  </si>
  <si>
    <t>SALIVA_0076</t>
  </si>
  <si>
    <t>tRNA-Glu</t>
  </si>
  <si>
    <t>SALIVA_0077</t>
  </si>
  <si>
    <t>SALIVA_0078</t>
  </si>
  <si>
    <t>SALIVA_0079</t>
  </si>
  <si>
    <t>SALIVA_0080</t>
  </si>
  <si>
    <t>tRNA-Tyr</t>
  </si>
  <si>
    <t>SALIVA_0081</t>
  </si>
  <si>
    <t>tRNA-Trp</t>
  </si>
  <si>
    <t>SALIVA_0082</t>
  </si>
  <si>
    <t>tRNA-His</t>
  </si>
  <si>
    <t>SALIVA_0083</t>
  </si>
  <si>
    <t>tRNA-Gln</t>
  </si>
  <si>
    <t>SALIVA_0084</t>
  </si>
  <si>
    <t>SALIVA_0085</t>
  </si>
  <si>
    <t>DNA polymerase III polC-type (PolIII)</t>
  </si>
  <si>
    <t>polC</t>
  </si>
  <si>
    <t>CCB94451.1</t>
  </si>
  <si>
    <t>SALIVA_0086</t>
  </si>
  <si>
    <t>aminopeptidase pepS</t>
  </si>
  <si>
    <t>pepS</t>
  </si>
  <si>
    <t>CCB94452.1</t>
  </si>
  <si>
    <t>SALIVA_0087</t>
  </si>
  <si>
    <t>CCB94453.1</t>
  </si>
  <si>
    <t>SALIVA_0088</t>
  </si>
  <si>
    <t>transcriptional regulator, MarR family</t>
  </si>
  <si>
    <t>mexR</t>
  </si>
  <si>
    <t>CCB94454.1</t>
  </si>
  <si>
    <t>SALIVA_0089</t>
  </si>
  <si>
    <t>predicted flavoprotein</t>
  </si>
  <si>
    <t>CCB94455.1</t>
  </si>
  <si>
    <t>SALIVA_0090</t>
  </si>
  <si>
    <t>tRNA-Cys</t>
  </si>
  <si>
    <t>SALIVA_0091</t>
  </si>
  <si>
    <t>NADH dehydrogenase (alkyl hydroperoxide reductase)</t>
  </si>
  <si>
    <t>ahpF</t>
  </si>
  <si>
    <t>CCB94456.1</t>
  </si>
  <si>
    <t>SALIVA_0092</t>
  </si>
  <si>
    <t>alkyl hydroperoxide reductase subunit C</t>
  </si>
  <si>
    <t>ahpC</t>
  </si>
  <si>
    <t>CCB94457.1</t>
  </si>
  <si>
    <t>SALIVA_0093</t>
  </si>
  <si>
    <t>30S ribosomal protein S2</t>
  </si>
  <si>
    <t>rpsB</t>
  </si>
  <si>
    <t>CCB94458.1</t>
  </si>
  <si>
    <t>SALIVA_0094</t>
  </si>
  <si>
    <t>elongation factor Ts (EF-Ts)</t>
  </si>
  <si>
    <t>tsf</t>
  </si>
  <si>
    <t>CCB94459.1</t>
  </si>
  <si>
    <t>SALIVA_0095</t>
  </si>
  <si>
    <t>CCB94460.1</t>
  </si>
  <si>
    <t>SALIVA_0096</t>
  </si>
  <si>
    <t>transcriptional regulator of class III stress genes (heat shock response)</t>
  </si>
  <si>
    <t>ctsR</t>
  </si>
  <si>
    <t>CCB94461.1</t>
  </si>
  <si>
    <t>SALIVA_0097</t>
  </si>
  <si>
    <t>ATP-dependent Clp protease, ATP-binding subunit</t>
  </si>
  <si>
    <t>clpC</t>
  </si>
  <si>
    <t>CCB94462.1</t>
  </si>
  <si>
    <t>SALIVA_0098</t>
  </si>
  <si>
    <t>D-alanyl-D-alanine carboxypeptidase dacA precursor</t>
  </si>
  <si>
    <t>dacA1</t>
  </si>
  <si>
    <t>CCB94463.1</t>
  </si>
  <si>
    <t>SALIVA_0099</t>
  </si>
  <si>
    <t>putative D-alanyl-D-alanine carboxypeptidase; penicillin-binding protein</t>
  </si>
  <si>
    <t>dacA</t>
  </si>
  <si>
    <t>CCB94464.1</t>
  </si>
  <si>
    <t>SALIVA_0100</t>
  </si>
  <si>
    <t>polyribonucleotide nucleotidyltransferase</t>
  </si>
  <si>
    <t>pnp</t>
  </si>
  <si>
    <t>CCB94465.1</t>
  </si>
  <si>
    <t>SALIVA_0101</t>
  </si>
  <si>
    <t>CCB94466.1</t>
  </si>
  <si>
    <t>SALIVA_0102</t>
  </si>
  <si>
    <t>serine O-acetyltransferase; serine acetyltransferase</t>
  </si>
  <si>
    <t>cysE</t>
  </si>
  <si>
    <t>CCB94467.1</t>
  </si>
  <si>
    <t>SALIVA_0103</t>
  </si>
  <si>
    <t>CCB94468.1</t>
  </si>
  <si>
    <t>SALIVA_0104</t>
  </si>
  <si>
    <t>CCB94469.1</t>
  </si>
  <si>
    <t>SALIVA_0105</t>
  </si>
  <si>
    <t>cysteine--tRNA ligase (Cysteinyl-tRNA synthetase) (CysRS)</t>
  </si>
  <si>
    <t>cysS</t>
  </si>
  <si>
    <t>CCB94470.1</t>
  </si>
  <si>
    <t>SALIVA_0106</t>
  </si>
  <si>
    <t>ribonuclease III family protein</t>
  </si>
  <si>
    <t>CCB94471.1</t>
  </si>
  <si>
    <t>SALIVA_0107</t>
  </si>
  <si>
    <t>CCB94472.1</t>
  </si>
  <si>
    <t>SALIVA_0108</t>
  </si>
  <si>
    <t>putative trmH family tRNA/rRNA methyltransferase yacO</t>
  </si>
  <si>
    <t>trmH</t>
  </si>
  <si>
    <t>CCB94473.1</t>
  </si>
  <si>
    <t>SALIVA_0109</t>
  </si>
  <si>
    <t>uncharacterized protein</t>
  </si>
  <si>
    <t>CCB94474.1</t>
  </si>
  <si>
    <t>SALIVA_0110</t>
  </si>
  <si>
    <t>CCB94475.1</t>
  </si>
  <si>
    <t>SALIVA_0111</t>
  </si>
  <si>
    <t>CCB94476.1</t>
  </si>
  <si>
    <t>SALIVA_0112</t>
  </si>
  <si>
    <t>50S ribosomal protein L13</t>
  </si>
  <si>
    <t>rplM</t>
  </si>
  <si>
    <t>CCB94477.1</t>
  </si>
  <si>
    <t>SALIVA_0113</t>
  </si>
  <si>
    <t>30S ribosomal protein S9</t>
  </si>
  <si>
    <t>rpsI</t>
  </si>
  <si>
    <t>CCB94478.1</t>
  </si>
  <si>
    <t>SALIVA_0114</t>
  </si>
  <si>
    <t>CCB94479.1</t>
  </si>
  <si>
    <t>SALIVA_0115</t>
  </si>
  <si>
    <t>putative transcriptional repressor CopY</t>
  </si>
  <si>
    <t>copY</t>
  </si>
  <si>
    <t>CCB94480.1</t>
  </si>
  <si>
    <t>SALIVA_0116</t>
  </si>
  <si>
    <t>putative copper exporting ATPase B</t>
  </si>
  <si>
    <t>copB</t>
  </si>
  <si>
    <t>CCB94481.1</t>
  </si>
  <si>
    <t>SALIVA_0117</t>
  </si>
  <si>
    <t>putative cadmium resistance protein</t>
  </si>
  <si>
    <t>cad</t>
  </si>
  <si>
    <t>CCB94482.1</t>
  </si>
  <si>
    <t>SALIVA_0118</t>
  </si>
  <si>
    <t>cadmium efflux system accessory protein (cadmium resistance regulatory protein)</t>
  </si>
  <si>
    <t>cadC</t>
  </si>
  <si>
    <t>CCB94483.1</t>
  </si>
  <si>
    <t>SALIVA_0119</t>
  </si>
  <si>
    <t>putative membrane protein</t>
  </si>
  <si>
    <t>CCB94484.1</t>
  </si>
  <si>
    <t>SALIVA_0120</t>
  </si>
  <si>
    <t>putative transcriptional regulator, XRE family</t>
  </si>
  <si>
    <t>CCB94485.1</t>
  </si>
  <si>
    <t>SALIVA_0121</t>
  </si>
  <si>
    <t>CCB94486.1</t>
  </si>
  <si>
    <t>SALIVA_0122</t>
  </si>
  <si>
    <t>sortase B putative</t>
  </si>
  <si>
    <t>srtB</t>
  </si>
  <si>
    <t>CCB94487.1</t>
  </si>
  <si>
    <t>SALIVA_0123</t>
  </si>
  <si>
    <t>CCB94488.1</t>
  </si>
  <si>
    <t>SALIVA_0124</t>
  </si>
  <si>
    <t>ACT domain-containing protein</t>
  </si>
  <si>
    <t>CCB94489.1</t>
  </si>
  <si>
    <t>SALIVA_0125</t>
  </si>
  <si>
    <t>CCB94490.1</t>
  </si>
  <si>
    <t>SALIVA_0126</t>
  </si>
  <si>
    <t>phosphoglycerate mutase 2 paralog</t>
  </si>
  <si>
    <t>gpmB</t>
  </si>
  <si>
    <t>CCB94491.1</t>
  </si>
  <si>
    <t>SALIVA_0128</t>
  </si>
  <si>
    <t>putative D,D-carboxypeptidase (D-alanyl-D-alanine carboxypeptidase)</t>
  </si>
  <si>
    <t>CCB94492.1</t>
  </si>
  <si>
    <t>SALIVA_0129</t>
  </si>
  <si>
    <t>N-acetylmuramidase</t>
  </si>
  <si>
    <t>acmC</t>
  </si>
  <si>
    <t>CCB94493.1</t>
  </si>
  <si>
    <t>SALIVA_0130</t>
  </si>
  <si>
    <t>heat-inducible transcription repressor hrcA</t>
  </si>
  <si>
    <t>hrcA</t>
  </si>
  <si>
    <t>CCB94494.1</t>
  </si>
  <si>
    <t>SALIVA_0131</t>
  </si>
  <si>
    <t>heat shock protein, chaperonin</t>
  </si>
  <si>
    <t>grpE</t>
  </si>
  <si>
    <t>CCB94495.1</t>
  </si>
  <si>
    <t>SALIVA_0132</t>
  </si>
  <si>
    <t>chaperone protein dnaK (Heat shock protein 70) (Heat shock 70 kDa protein) (HSP70)</t>
  </si>
  <si>
    <t>dnaK</t>
  </si>
  <si>
    <t>CCB94496.1</t>
  </si>
  <si>
    <t>SALIVA_0133</t>
  </si>
  <si>
    <t>chaperone protein dnaJ</t>
  </si>
  <si>
    <t>dnaJ</t>
  </si>
  <si>
    <t>CCB94497.1</t>
  </si>
  <si>
    <t>SALIVA_0134</t>
  </si>
  <si>
    <t>tRNA pseudouridine synthase A (tRNA-uridine isomerase I) (tRNA pseudouridylate synthase I)</t>
  </si>
  <si>
    <t>truA</t>
  </si>
  <si>
    <t>CCB94498.1</t>
  </si>
  <si>
    <t>SALIVA_0135</t>
  </si>
  <si>
    <t>phosphomethylpyrimidine kinase (HMP-phosphate kinase) (HMP-P kinase)</t>
  </si>
  <si>
    <t>thiD</t>
  </si>
  <si>
    <t>CCB94499.1</t>
  </si>
  <si>
    <t>SALIVA_0136</t>
  </si>
  <si>
    <t>uncharacterized conserved protein, membrane protein putative</t>
  </si>
  <si>
    <t>CCB94500.1</t>
  </si>
  <si>
    <t>SALIVA_0137</t>
  </si>
  <si>
    <t>SALIVA_r0007</t>
  </si>
  <si>
    <t>SALIVA_0138</t>
  </si>
  <si>
    <t>SALIVA_r0008</t>
  </si>
  <si>
    <t>SALIVA_r0009</t>
  </si>
  <si>
    <t>SALIVA_0139</t>
  </si>
  <si>
    <t>SALIVA_0140</t>
  </si>
  <si>
    <t>SALIVA_0141</t>
  </si>
  <si>
    <t>SALIVA_0142</t>
  </si>
  <si>
    <t>SALIVA_0143</t>
  </si>
  <si>
    <t>SALIVA_0144</t>
  </si>
  <si>
    <t>SALIVA_0145</t>
  </si>
  <si>
    <t>SALIVA_0146</t>
  </si>
  <si>
    <t>SALIVA_0147</t>
  </si>
  <si>
    <t>SALIVA_r0010</t>
  </si>
  <si>
    <t>SALIVA_0148</t>
  </si>
  <si>
    <t>SALIVA_r0011</t>
  </si>
  <si>
    <t>SALIVA_r0012</t>
  </si>
  <si>
    <t>tRNA-Asn</t>
  </si>
  <si>
    <t>SALIVA_0149</t>
  </si>
  <si>
    <t>comX</t>
  </si>
  <si>
    <t>CCB94501.1</t>
  </si>
  <si>
    <t>SALIVA_0150</t>
  </si>
  <si>
    <t>mechanosensitive ion channel (MscS) family protein</t>
  </si>
  <si>
    <t>CCB94502.1</t>
  </si>
  <si>
    <t>SALIVA_0151</t>
  </si>
  <si>
    <t>trigger factor (TF)</t>
  </si>
  <si>
    <t>tig</t>
  </si>
  <si>
    <t>CCB94503.1</t>
  </si>
  <si>
    <t>SALIVA_0152</t>
  </si>
  <si>
    <t>DNA-directed RNA polymerase delta chain</t>
  </si>
  <si>
    <t>rpoE</t>
  </si>
  <si>
    <t>CCB94504.1</t>
  </si>
  <si>
    <t>SALIVA_0153</t>
  </si>
  <si>
    <t>CTP synthase (UTP--ammonia ligase) (CTP synthetase)</t>
  </si>
  <si>
    <t>pyrG</t>
  </si>
  <si>
    <t>CCB94505.1</t>
  </si>
  <si>
    <t>SALIVA_0154</t>
  </si>
  <si>
    <t>CCB94506.1</t>
  </si>
  <si>
    <t>SALIVA_0155</t>
  </si>
  <si>
    <t>mutT/nudix family protein</t>
  </si>
  <si>
    <t>mutT</t>
  </si>
  <si>
    <t>CCB94507.1</t>
  </si>
  <si>
    <t>SALIVA_0156</t>
  </si>
  <si>
    <t>ribosomal protein L11 methyltransferase (L11 Mtase)</t>
  </si>
  <si>
    <t>prmA</t>
  </si>
  <si>
    <t>CCB94508.1</t>
  </si>
  <si>
    <t>SALIVA_0157</t>
  </si>
  <si>
    <t>rsmE</t>
  </si>
  <si>
    <t>CCB94509.1</t>
  </si>
  <si>
    <t>SALIVA_0158</t>
  </si>
  <si>
    <t>5-nucleotidase/2, 3-cyclic phosphodiesterase or related esterase</t>
  </si>
  <si>
    <t>CCB94510.1</t>
  </si>
  <si>
    <t>SALIVA_0159</t>
  </si>
  <si>
    <t>ribonucleotide reductase (NrdI family protein)</t>
  </si>
  <si>
    <t>nrdI</t>
  </si>
  <si>
    <t>CCB94511.1</t>
  </si>
  <si>
    <t>SALIVA_0160</t>
  </si>
  <si>
    <t>putative GTP pyrophosphokinase (ATP:GTP 3-pyrophosphotransferase) (ppGpp synthetase I) ((p)ppGpp synthetase) (Stringent response-like protein)</t>
  </si>
  <si>
    <t>relA</t>
  </si>
  <si>
    <t>CCB94512.1</t>
  </si>
  <si>
    <t>SALIVA_0161</t>
  </si>
  <si>
    <t>D-tyrosyl-tRNA(Tyr) deacylase</t>
  </si>
  <si>
    <t>dtd</t>
  </si>
  <si>
    <t>CCB94513.1</t>
  </si>
  <si>
    <t>SALIVA_0162</t>
  </si>
  <si>
    <t>CCB94514.1</t>
  </si>
  <si>
    <t>SALIVA_0163</t>
  </si>
  <si>
    <t>threonine dehydratase biosynthetic (threonine deaminase)</t>
  </si>
  <si>
    <t>ilvA</t>
  </si>
  <si>
    <t>CCB94515.1</t>
  </si>
  <si>
    <t>SALIVA_0164</t>
  </si>
  <si>
    <t>peptide deformylase (PDF) (polypeptide deformylase)</t>
  </si>
  <si>
    <t>def</t>
  </si>
  <si>
    <t>CCB94516.1</t>
  </si>
  <si>
    <t>SALIVA_0165</t>
  </si>
  <si>
    <t>putative transcriptional regulator</t>
  </si>
  <si>
    <t>CCB94517.1</t>
  </si>
  <si>
    <t>SALIVA_0166</t>
  </si>
  <si>
    <t>conserved hypothetical, predicted membrane protein (TMS12)</t>
  </si>
  <si>
    <t>CCB94518.1</t>
  </si>
  <si>
    <t>SALIVA_0167</t>
  </si>
  <si>
    <t>30S ribosomal protein S15</t>
  </si>
  <si>
    <t>rpsO</t>
  </si>
  <si>
    <t>CCB94519.1</t>
  </si>
  <si>
    <t>SALIVA_0168</t>
  </si>
  <si>
    <t>conserved hypothetical, predicted membrane protein (TMS5)</t>
  </si>
  <si>
    <t>CCB94520.1</t>
  </si>
  <si>
    <t>SALIVA_0169</t>
  </si>
  <si>
    <t>CCB94521.1</t>
  </si>
  <si>
    <t>SALIVA_0170</t>
  </si>
  <si>
    <t>polar amino acid ABC uptake transporter ATP-binding protein</t>
  </si>
  <si>
    <t>CCB94522.1</t>
  </si>
  <si>
    <t>SALIVA_0171</t>
  </si>
  <si>
    <t>polar amino acid ABC uptake transporter substrate binding protein/membrane-spanning protein</t>
  </si>
  <si>
    <t>CCB94523.1</t>
  </si>
  <si>
    <t>SALIVA_0172</t>
  </si>
  <si>
    <t>undecaprenyl-diphosphatase (Undecaprenyl pyrophosphate phosphatase) (Bacitracin resistance protein)</t>
  </si>
  <si>
    <t>uppP</t>
  </si>
  <si>
    <t>CCB94524.1</t>
  </si>
  <si>
    <t>SALIVA_0173</t>
  </si>
  <si>
    <t>CCB94525.1</t>
  </si>
  <si>
    <t>SALIVA_0174</t>
  </si>
  <si>
    <t>adapter protein mecA</t>
  </si>
  <si>
    <t>mecA</t>
  </si>
  <si>
    <t>CCB94526.1</t>
  </si>
  <si>
    <t>SALIVA_0175</t>
  </si>
  <si>
    <t>exopolysaccharide biosynthesis protein,glycosyltransferase</t>
  </si>
  <si>
    <t>rgpG</t>
  </si>
  <si>
    <t>CCB94527.1</t>
  </si>
  <si>
    <t>SALIVA_0176</t>
  </si>
  <si>
    <t>ABC-type transport system</t>
  </si>
  <si>
    <t>CCB94528.1</t>
  </si>
  <si>
    <t>SALIVA_0177</t>
  </si>
  <si>
    <t>CCB94529.1</t>
  </si>
  <si>
    <t>SALIVA_0178</t>
  </si>
  <si>
    <t>putative cysteine desulfurase</t>
  </si>
  <si>
    <t>csd</t>
  </si>
  <si>
    <t>CCB94530.1</t>
  </si>
  <si>
    <t>SALIVA_0179</t>
  </si>
  <si>
    <t>putative uncharacterized protein nifU</t>
  </si>
  <si>
    <t>nifU</t>
  </si>
  <si>
    <t>CCB94531.1</t>
  </si>
  <si>
    <t>SALIVA_0180</t>
  </si>
  <si>
    <t>CCB94532.1</t>
  </si>
  <si>
    <t>SALIVA_0181</t>
  </si>
  <si>
    <t>CCB94533.1</t>
  </si>
  <si>
    <t>SALIVA_0182</t>
  </si>
  <si>
    <t>33 kDa chaperonin (heat shock protein 33 homolog) (HSP33)</t>
  </si>
  <si>
    <t>hslO</t>
  </si>
  <si>
    <t>CCB94534.1</t>
  </si>
  <si>
    <t>SALIVA_0183</t>
  </si>
  <si>
    <t>putative tRNA-dihydrouridine synthase 1</t>
  </si>
  <si>
    <t>dus1</t>
  </si>
  <si>
    <t>CCB94535.1</t>
  </si>
  <si>
    <t>SALIVA_0184</t>
  </si>
  <si>
    <t>CCB94536.1</t>
  </si>
  <si>
    <t>SALIVA_0185</t>
  </si>
  <si>
    <t>Zinc (Zn2+) ABC uptake transporter ATP-binding protein</t>
  </si>
  <si>
    <t>adcC</t>
  </si>
  <si>
    <t>CCB94537.1</t>
  </si>
  <si>
    <t>SALIVA_0186</t>
  </si>
  <si>
    <t>Zinc ABC transporter permease protein</t>
  </si>
  <si>
    <t>adcB</t>
  </si>
  <si>
    <t>CCB94538.1</t>
  </si>
  <si>
    <t>SALIVA_0187</t>
  </si>
  <si>
    <t>auxin efflux carrier (AEC) family permease</t>
  </si>
  <si>
    <t>CCB94539.1</t>
  </si>
  <si>
    <t>SALIVA_0188</t>
  </si>
  <si>
    <t>PTS system glucose-specific EIICBA component (EIICBA-Glc)</t>
  </si>
  <si>
    <t>PTSG</t>
  </si>
  <si>
    <t>CCB94540.1</t>
  </si>
  <si>
    <t>SALIVA_0189</t>
  </si>
  <si>
    <t>CCB94541.1</t>
  </si>
  <si>
    <t>SALIVA_0190</t>
  </si>
  <si>
    <t>glucose-6-phosphate isomerase (GPI) (Phosphoglucose isomerase) (PGI) (Phosphohexose isomerase) (PHI)</t>
  </si>
  <si>
    <t>pgi</t>
  </si>
  <si>
    <t>CCB94542.1</t>
  </si>
  <si>
    <t>SALIVA_0191</t>
  </si>
  <si>
    <t>positive transcriptional regulator MutR family</t>
  </si>
  <si>
    <t>CCB94543.1</t>
  </si>
  <si>
    <t>SALIVA_0192</t>
  </si>
  <si>
    <t>lipid A export ATP-binding/permease protein msbA</t>
  </si>
  <si>
    <t>msbA</t>
  </si>
  <si>
    <t>CCB94544.1</t>
  </si>
  <si>
    <t>SALIVA_0193</t>
  </si>
  <si>
    <t>UPF0082 protein stu0195</t>
  </si>
  <si>
    <t>CCB94545.1</t>
  </si>
  <si>
    <t>SALIVA_0194</t>
  </si>
  <si>
    <t>putative preprotein translocase, YajC subunit</t>
  </si>
  <si>
    <t>CCB94546.1</t>
  </si>
  <si>
    <t>SALIVA_0195</t>
  </si>
  <si>
    <t>undecaprenyl pyrophosphate synthetase (UPP synthetase)</t>
  </si>
  <si>
    <t>uppS</t>
  </si>
  <si>
    <t>CCB94547.1</t>
  </si>
  <si>
    <t>SALIVA_0196</t>
  </si>
  <si>
    <t>phosphatidate cytidylyltransferase (CDP-diglyceride pyrophosphorylase)</t>
  </si>
  <si>
    <t>cdsA</t>
  </si>
  <si>
    <t>CCB94548.1</t>
  </si>
  <si>
    <t>SALIVA_0197</t>
  </si>
  <si>
    <t>putative zinc metalloprotease SpyM3_1689/SPs1691</t>
  </si>
  <si>
    <t>eep</t>
  </si>
  <si>
    <t>CCB94549.1</t>
  </si>
  <si>
    <t>SALIVA_0198</t>
  </si>
  <si>
    <t>prolyl-tRNA synthetase (Proline--tRNA ligase) (ProRS)</t>
  </si>
  <si>
    <t>proS</t>
  </si>
  <si>
    <t>CCB94550.1</t>
  </si>
  <si>
    <t>SALIVA_0199</t>
  </si>
  <si>
    <t>ABC transporter substrate binding/membrane-spanning protein</t>
  </si>
  <si>
    <t>CCB94551.1</t>
  </si>
  <si>
    <t>SALIVA_0200</t>
  </si>
  <si>
    <t>phosphonates import ATP-binding protein phnC</t>
  </si>
  <si>
    <t>phnC</t>
  </si>
  <si>
    <t>CCB94552.1</t>
  </si>
  <si>
    <t>SALIVA_0201</t>
  </si>
  <si>
    <t>10 kDa chaperonin (protein Cpn10) (GroES protein)</t>
  </si>
  <si>
    <t>groES</t>
  </si>
  <si>
    <t>CCB94553.1</t>
  </si>
  <si>
    <t>SALIVA_0202</t>
  </si>
  <si>
    <t>60 kDa chaperonin (protein Cpn60) (GroEL protein)</t>
  </si>
  <si>
    <t>groEL</t>
  </si>
  <si>
    <t>CCB94554.1</t>
  </si>
  <si>
    <t>SALIVA_0203</t>
  </si>
  <si>
    <t>CCB94555.1</t>
  </si>
  <si>
    <t>SALIVA_0204</t>
  </si>
  <si>
    <t>CCB94556.1</t>
  </si>
  <si>
    <t>SALIVA_0205</t>
  </si>
  <si>
    <t>CCB94557.1</t>
  </si>
  <si>
    <t>SALIVA_0206</t>
  </si>
  <si>
    <t>uncharacterized RNA pseudouridine synthase yhcT (RNA-uridine isomerase) (RNA pseudouridylate synthase)</t>
  </si>
  <si>
    <t>yhcT</t>
  </si>
  <si>
    <t>CCB94558.1</t>
  </si>
  <si>
    <t>SALIVA_0207</t>
  </si>
  <si>
    <t>penicillin-binding protein 2A (peptidoglycan glycosyltransferase) (HMW classe A)</t>
  </si>
  <si>
    <t>pbp2A</t>
  </si>
  <si>
    <t>CCB94559.1</t>
  </si>
  <si>
    <t>SALIVA_0208</t>
  </si>
  <si>
    <t>preprotein translocase SecE subunit</t>
  </si>
  <si>
    <t>secE</t>
  </si>
  <si>
    <t>CCB94560.1</t>
  </si>
  <si>
    <t>SALIVA_0209</t>
  </si>
  <si>
    <t>transcription antitermination protein nusG</t>
  </si>
  <si>
    <t>nusG</t>
  </si>
  <si>
    <t>CCB94561.1</t>
  </si>
  <si>
    <t>SALIVA_0210</t>
  </si>
  <si>
    <t>putative uncharacterized protein (phosphatidylglycerophosphatase B)</t>
  </si>
  <si>
    <t>CCB94562.1</t>
  </si>
  <si>
    <t>SALIVA_0211</t>
  </si>
  <si>
    <t>putative hydrolase M6_Spy0533</t>
  </si>
  <si>
    <t>CCB94563.1</t>
  </si>
  <si>
    <t>SALIVA_0212</t>
  </si>
  <si>
    <t>transcriptional regulator, DeoR family</t>
  </si>
  <si>
    <t>CCB94564.1</t>
  </si>
  <si>
    <t>SALIVA_0213</t>
  </si>
  <si>
    <t>leucyl-tRNA synthetase (Leucine--tRNA ligase) (LeuRS)</t>
  </si>
  <si>
    <t>leuS</t>
  </si>
  <si>
    <t>CCB94565.1</t>
  </si>
  <si>
    <t>SALIVA_0214</t>
  </si>
  <si>
    <t>HTH-type transcriptional regulator</t>
  </si>
  <si>
    <t>CCB94566.1</t>
  </si>
  <si>
    <t>SALIVA_0215</t>
  </si>
  <si>
    <t>acyl-coenzyme A thioesterase 4 (Acyl-CoA thioesterase 4) (Peroxisomal acyl coenzyme A thioester hydrolase Ib) (Peroxisomal long-chain acyl-CoA thioesterase Ib) (PTE-Ib) (PTE-2b)</t>
  </si>
  <si>
    <t>acot4</t>
  </si>
  <si>
    <t>CCB94567.1</t>
  </si>
  <si>
    <t>SALIVA_0216</t>
  </si>
  <si>
    <t>CCB94568.1</t>
  </si>
  <si>
    <t>SALIVA_0217</t>
  </si>
  <si>
    <t>CCB94569.1</t>
  </si>
  <si>
    <t>SALIVA_0218</t>
  </si>
  <si>
    <t>HTH-type transcriptional activator hxlR</t>
  </si>
  <si>
    <t>hxlR</t>
  </si>
  <si>
    <t>CCB94570.1</t>
  </si>
  <si>
    <t>SALIVA_0219</t>
  </si>
  <si>
    <t>nod factor export ATP-binding protein I (nodulation ATP-binding protein I)</t>
  </si>
  <si>
    <t>nodI</t>
  </si>
  <si>
    <t>CCB94571.1</t>
  </si>
  <si>
    <t>SALIVA_0220</t>
  </si>
  <si>
    <t>putative ABC transporter, integral membrane protein</t>
  </si>
  <si>
    <t>CCB94572.1</t>
  </si>
  <si>
    <t>SALIVA_0221</t>
  </si>
  <si>
    <t>CCB94573.1</t>
  </si>
  <si>
    <t>SALIVA_0222</t>
  </si>
  <si>
    <t>CCB94574.1</t>
  </si>
  <si>
    <t>SALIVA_0223</t>
  </si>
  <si>
    <t>HTH-type transcriptional activator tipA</t>
  </si>
  <si>
    <t>tipA</t>
  </si>
  <si>
    <t>CCB94575.1</t>
  </si>
  <si>
    <t>SALIVA_0224</t>
  </si>
  <si>
    <t>lipoprotein-releasing system ATP-binding protein lolD</t>
  </si>
  <si>
    <t>lolD</t>
  </si>
  <si>
    <t>CCB94576.1</t>
  </si>
  <si>
    <t>SALIVA_0225</t>
  </si>
  <si>
    <t>CCB94577.1</t>
  </si>
  <si>
    <t>SALIVA_0226</t>
  </si>
  <si>
    <t>nicotinate phosphoribosyltransferase</t>
  </si>
  <si>
    <t>pncB</t>
  </si>
  <si>
    <t>CCB94578.1</t>
  </si>
  <si>
    <t>SALIVA_0227</t>
  </si>
  <si>
    <t>NH(3)-dependent NAD(+) synthetase</t>
  </si>
  <si>
    <t>nadE</t>
  </si>
  <si>
    <t>CCB94579.1</t>
  </si>
  <si>
    <t>SALIVA_0228</t>
  </si>
  <si>
    <t>conserved hypothetical, predicted membrane protein (TMS3)</t>
  </si>
  <si>
    <t>CCB94580.1</t>
  </si>
  <si>
    <t>SALIVA_0229</t>
  </si>
  <si>
    <t>aminopeptidase C (bleomycin hydrolase)</t>
  </si>
  <si>
    <t>pepC</t>
  </si>
  <si>
    <t>CCB94581.1</t>
  </si>
  <si>
    <t>SALIVA_0230</t>
  </si>
  <si>
    <t>penicillin-binding protein 1A (peptidoglycan glycosyltransferase) (HMW classe A)</t>
  </si>
  <si>
    <t>pbp1a</t>
  </si>
  <si>
    <t>CCB94582.1</t>
  </si>
  <si>
    <t>SALIVA_0231</t>
  </si>
  <si>
    <t>holliday junction resolvase recU (recombination protein U homolog)</t>
  </si>
  <si>
    <t>recU</t>
  </si>
  <si>
    <t>CCB94583.1</t>
  </si>
  <si>
    <t>SALIVA_0232</t>
  </si>
  <si>
    <t>UPF0398 protein STER_0279</t>
  </si>
  <si>
    <t>CCB94584.1</t>
  </si>
  <si>
    <t>SALIVA_0233</t>
  </si>
  <si>
    <t>cell cycle protein gpsB (guiding PBP1-shuttling protein)</t>
  </si>
  <si>
    <t>gpsB</t>
  </si>
  <si>
    <t>CCB94585.1</t>
  </si>
  <si>
    <t>SALIVA_0234</t>
  </si>
  <si>
    <t>putative N6-adenine-specific DNA methylase</t>
  </si>
  <si>
    <t>CCB94586.1</t>
  </si>
  <si>
    <t>SALIVA_0235</t>
  </si>
  <si>
    <t>CCB94587.1</t>
  </si>
  <si>
    <t>SALIVA_0236</t>
  </si>
  <si>
    <t>Snf2 family protein, ATP-dependent RNA helicase</t>
  </si>
  <si>
    <t>snf</t>
  </si>
  <si>
    <t>CCB94588.1</t>
  </si>
  <si>
    <t>SALIVA_0237</t>
  </si>
  <si>
    <t>SalivA0238</t>
  </si>
  <si>
    <t>CCB94589.1</t>
  </si>
  <si>
    <t>SALIVA_0238</t>
  </si>
  <si>
    <t>uDP-N-acetylmuramate--L-alanine ligase (UDP-N-acetylmuramoyl-L-alanine synthetase)</t>
  </si>
  <si>
    <t>murC</t>
  </si>
  <si>
    <t>CCB94590.1</t>
  </si>
  <si>
    <t>SALIVA_0239</t>
  </si>
  <si>
    <t>acetyltransferase, GNAT family</t>
  </si>
  <si>
    <t>CCB94591.1</t>
  </si>
  <si>
    <t>SALIVA_0240</t>
  </si>
  <si>
    <t>aminodeoxychorismate lyase</t>
  </si>
  <si>
    <t>pabC</t>
  </si>
  <si>
    <t>CCB94592.1</t>
  </si>
  <si>
    <t>SALIVA_0241</t>
  </si>
  <si>
    <t>transcription elongation factor greA (transcript cleavage factor greA)</t>
  </si>
  <si>
    <t>greA</t>
  </si>
  <si>
    <t>CCB94593.1</t>
  </si>
  <si>
    <t>SALIVA_0242</t>
  </si>
  <si>
    <t>preprotein translocase subunit YidC</t>
  </si>
  <si>
    <t>CCB94594.1</t>
  </si>
  <si>
    <t>SALIVA_0243</t>
  </si>
  <si>
    <t>acylphosphatase (acylphosphate phosphohydrolase)</t>
  </si>
  <si>
    <t>acyP</t>
  </si>
  <si>
    <t>CCB94595.1</t>
  </si>
  <si>
    <t>SALIVA_0244</t>
  </si>
  <si>
    <t>rRNA methyltransferase</t>
  </si>
  <si>
    <t>spoU</t>
  </si>
  <si>
    <t>CCB94596.1</t>
  </si>
  <si>
    <t>SALIVA_0245</t>
  </si>
  <si>
    <t>CCB94597.1</t>
  </si>
  <si>
    <t>SALIVA_0246</t>
  </si>
  <si>
    <t>CCB94598.1</t>
  </si>
  <si>
    <t>SALIVA_0247</t>
  </si>
  <si>
    <t>CCB94599.1</t>
  </si>
  <si>
    <t>SALIVA_0248</t>
  </si>
  <si>
    <t>diaminopimelate decarboxylase</t>
  </si>
  <si>
    <t>lysA</t>
  </si>
  <si>
    <t>CCB94600.1</t>
  </si>
  <si>
    <t>SALIVA_0249</t>
  </si>
  <si>
    <t>transcriptional regulator, TetR/AcrR family</t>
  </si>
  <si>
    <t>CCB94601.1</t>
  </si>
  <si>
    <t>SALIVA_0250</t>
  </si>
  <si>
    <t>conserved uncharacterized protein</t>
  </si>
  <si>
    <t>CCB94602.1</t>
  </si>
  <si>
    <t>SALIVA_0251</t>
  </si>
  <si>
    <t>glutamate racemase</t>
  </si>
  <si>
    <t>murI</t>
  </si>
  <si>
    <t>CCB94603.1</t>
  </si>
  <si>
    <t>SALIVA_0252</t>
  </si>
  <si>
    <t>nucleoside-triphosphatase</t>
  </si>
  <si>
    <t>xerD</t>
  </si>
  <si>
    <t>CCB94604.1</t>
  </si>
  <si>
    <t>SALIVA_0253</t>
  </si>
  <si>
    <t>uncharacterized conserved protein, putative phosphoesterase</t>
  </si>
  <si>
    <t>CCB94605.1</t>
  </si>
  <si>
    <t>SALIVA_0254</t>
  </si>
  <si>
    <t>CBS domain containing protein</t>
  </si>
  <si>
    <t>CCB94606.1</t>
  </si>
  <si>
    <t>SALIVA_0255</t>
  </si>
  <si>
    <t>integrase/recombinase, tyrosine family</t>
  </si>
  <si>
    <t>CCB94607.1</t>
  </si>
  <si>
    <t>SALIVA_0256</t>
  </si>
  <si>
    <t>segregation and condensation protein A</t>
  </si>
  <si>
    <t>scpA</t>
  </si>
  <si>
    <t>CCB94608.1</t>
  </si>
  <si>
    <t>SALIVA_0257</t>
  </si>
  <si>
    <t>condensin subunit ScpB</t>
  </si>
  <si>
    <t>CCB94609.1</t>
  </si>
  <si>
    <t>SALIVA_0258</t>
  </si>
  <si>
    <t>pseudouridine synthase</t>
  </si>
  <si>
    <t>rluB</t>
  </si>
  <si>
    <t>CCB94610.1</t>
  </si>
  <si>
    <t>SALIVA_0259</t>
  </si>
  <si>
    <t>UPF0161 protein, conserved</t>
  </si>
  <si>
    <t>CCB94611.1</t>
  </si>
  <si>
    <t>SALIVA_0260</t>
  </si>
  <si>
    <t>K+ transporter (Trk), membrane-spanning protein</t>
  </si>
  <si>
    <t>CCB94612.1</t>
  </si>
  <si>
    <t>SALIVA_0261</t>
  </si>
  <si>
    <t>K+ transport system, NAD-binding component</t>
  </si>
  <si>
    <t>trkA1</t>
  </si>
  <si>
    <t>CCB94613.1</t>
  </si>
  <si>
    <t>SALIVA_0262</t>
  </si>
  <si>
    <t>uncharacterized tRNA/rRNA methyltransferase yibK</t>
  </si>
  <si>
    <t>yibK</t>
  </si>
  <si>
    <t>CCB94614.1</t>
  </si>
  <si>
    <t>SALIVA_0263</t>
  </si>
  <si>
    <t>CCB94615.1</t>
  </si>
  <si>
    <t>SALIVA_0264</t>
  </si>
  <si>
    <t>conserved hypothetical, predicted membrane protein (TMS6), putative phosphatase</t>
  </si>
  <si>
    <t>CCB94616.1</t>
  </si>
  <si>
    <t>SALIVA_0265</t>
  </si>
  <si>
    <t>transcriptional regulator</t>
  </si>
  <si>
    <t>plcR</t>
  </si>
  <si>
    <t>CCB94617.1</t>
  </si>
  <si>
    <t>SALIVA_0266</t>
  </si>
  <si>
    <t>transport/processing ATP-binding protein comA</t>
  </si>
  <si>
    <t>comA</t>
  </si>
  <si>
    <t>CCB94618.1</t>
  </si>
  <si>
    <t>SALIVA_0267</t>
  </si>
  <si>
    <t>membrane protein</t>
  </si>
  <si>
    <t>CCB94619.1</t>
  </si>
  <si>
    <t>SALIVA_0268</t>
  </si>
  <si>
    <t>urea cluster protein</t>
  </si>
  <si>
    <t>CCB94620.1</t>
  </si>
  <si>
    <t>SALIVA_0269</t>
  </si>
  <si>
    <t>urea transporter</t>
  </si>
  <si>
    <t>CCB94621.1</t>
  </si>
  <si>
    <t>SALIVA_0270</t>
  </si>
  <si>
    <t>urease subunit gamma (urea amidohydrolase subunit gamma)</t>
  </si>
  <si>
    <t>ureA</t>
  </si>
  <si>
    <t>CCB94622.1</t>
  </si>
  <si>
    <t>SALIVA_0271</t>
  </si>
  <si>
    <t>urease subunit beta (urea amidohydrolase subunit beta)</t>
  </si>
  <si>
    <t>ureB</t>
  </si>
  <si>
    <t>CCB94623.1</t>
  </si>
  <si>
    <t>SALIVA_0272</t>
  </si>
  <si>
    <t>urease subunit alpha (urea amidohydrolase subunit alpha)</t>
  </si>
  <si>
    <t>ureC</t>
  </si>
  <si>
    <t>CCB94624.1</t>
  </si>
  <si>
    <t>SALIVA_0273</t>
  </si>
  <si>
    <t>urease accessory protein ureE</t>
  </si>
  <si>
    <t>ureE</t>
  </si>
  <si>
    <t>CCB94625.1</t>
  </si>
  <si>
    <t>SALIVA_0274</t>
  </si>
  <si>
    <t>urease accessory protein ureF</t>
  </si>
  <si>
    <t>ureF</t>
  </si>
  <si>
    <t>CCB94626.1</t>
  </si>
  <si>
    <t>SALIVA_0275</t>
  </si>
  <si>
    <t>urease accessory protein ureG</t>
  </si>
  <si>
    <t>ureG</t>
  </si>
  <si>
    <t>CCB94627.1</t>
  </si>
  <si>
    <t>SALIVA_0276</t>
  </si>
  <si>
    <t>urease accessory protein ureD</t>
  </si>
  <si>
    <t>ureD</t>
  </si>
  <si>
    <t>CCB94628.1</t>
  </si>
  <si>
    <t>SALIVA_0277</t>
  </si>
  <si>
    <t>cobalamin biosynthesis protein, putative transporter</t>
  </si>
  <si>
    <t>cbiM</t>
  </si>
  <si>
    <t>CCB94629.1</t>
  </si>
  <si>
    <t>SALIVA_0278</t>
  </si>
  <si>
    <t>ABC-type cobalt transport system, permease component CbiQ or related transporter</t>
  </si>
  <si>
    <t>cbiQ</t>
  </si>
  <si>
    <t>CCB94630.1</t>
  </si>
  <si>
    <t>SALIVA_0279</t>
  </si>
  <si>
    <t>cobalt import ATP-binding protein cbiO</t>
  </si>
  <si>
    <t>cbiO</t>
  </si>
  <si>
    <t>CCB94631.1</t>
  </si>
  <si>
    <t>SALIVA_0280</t>
  </si>
  <si>
    <t>ABC-type amino acid transport/signal transduction system, periplasmic component/domain</t>
  </si>
  <si>
    <t>atmA</t>
  </si>
  <si>
    <t>CCB94632.1</t>
  </si>
  <si>
    <t>SALIVA_0281</t>
  </si>
  <si>
    <t>ABC-type metal ion transport system, periplasmic component/surface antigen</t>
  </si>
  <si>
    <t>atmB</t>
  </si>
  <si>
    <t>CCB94633.1</t>
  </si>
  <si>
    <t>SALIVA_0282</t>
  </si>
  <si>
    <t>succinyl-diaminopimelate desuccinylase</t>
  </si>
  <si>
    <t>CCB94634.1</t>
  </si>
  <si>
    <t>SALIVA_0283</t>
  </si>
  <si>
    <t>methionine import ATP-binding protein metN</t>
  </si>
  <si>
    <t>atmD</t>
  </si>
  <si>
    <t>CCB94635.1</t>
  </si>
  <si>
    <t>SALIVA_0284</t>
  </si>
  <si>
    <t>ABC-type metal ion transport system, permease component</t>
  </si>
  <si>
    <t>atmE</t>
  </si>
  <si>
    <t>CCB94636.1</t>
  </si>
  <si>
    <t>SALIVA_0285</t>
  </si>
  <si>
    <t>serine/threonine transporter sstT (Na(+)/serine-threonine symporter)</t>
  </si>
  <si>
    <t>sstT</t>
  </si>
  <si>
    <t>CCB94637.1</t>
  </si>
  <si>
    <t>SALIVA_0286</t>
  </si>
  <si>
    <t>CCB94638.1</t>
  </si>
  <si>
    <t>SALIVA_0287</t>
  </si>
  <si>
    <t>trkA2</t>
  </si>
  <si>
    <t>CCB94639.1</t>
  </si>
  <si>
    <t>SALIVA_0288</t>
  </si>
  <si>
    <t>trkH2</t>
  </si>
  <si>
    <t>CCB94640.1</t>
  </si>
  <si>
    <t>SALIVA_0289</t>
  </si>
  <si>
    <t>methyltransferase gidB (Glucose-inhibited division protein B)</t>
  </si>
  <si>
    <t>gidB</t>
  </si>
  <si>
    <t>CCB94641.1</t>
  </si>
  <si>
    <t>SALIVA_0290</t>
  </si>
  <si>
    <t>CCB94642.1</t>
  </si>
  <si>
    <t>SALIVA_0291</t>
  </si>
  <si>
    <t>SALIVA_0292</t>
  </si>
  <si>
    <t>SALIVA_0294</t>
  </si>
  <si>
    <t>sensor protein</t>
  </si>
  <si>
    <t>hk01</t>
  </si>
  <si>
    <t>SALIVA_0295</t>
  </si>
  <si>
    <t>transcriptional repressor nrdR</t>
  </si>
  <si>
    <t>nrdR</t>
  </si>
  <si>
    <t>SALIVA_0296</t>
  </si>
  <si>
    <t>chromosome replication initiation / membrane attachment protein DnaB</t>
  </si>
  <si>
    <t>dnaB</t>
  </si>
  <si>
    <t>SALIVA_0297</t>
  </si>
  <si>
    <t>primosome component (helicase loader) DnaI</t>
  </si>
  <si>
    <t>dnaI</t>
  </si>
  <si>
    <t>SALIVA_0298</t>
  </si>
  <si>
    <t>GTP-binding protein engA</t>
  </si>
  <si>
    <t>engA</t>
  </si>
  <si>
    <t>SALIVA_0299</t>
  </si>
  <si>
    <t>SALIVA_0300</t>
  </si>
  <si>
    <t>seryl-tRNA synthetase (seryl-tRNA(Ser/Sec) synthetase) (serine--tRNA ligase) (SerRS)</t>
  </si>
  <si>
    <t>serS</t>
  </si>
  <si>
    <t>SALIVA_0301</t>
  </si>
  <si>
    <t>SALIVA_0302</t>
  </si>
  <si>
    <t>mannose PTS system component IID</t>
  </si>
  <si>
    <t>manN</t>
  </si>
  <si>
    <t>SALIVA_0303</t>
  </si>
  <si>
    <t>mannose PTS system component IIC</t>
  </si>
  <si>
    <t>manM</t>
  </si>
  <si>
    <t>SALIVA_0304</t>
  </si>
  <si>
    <t>mannose PTS system component IIAB</t>
  </si>
  <si>
    <t>manL</t>
  </si>
  <si>
    <t>SALIVA_0305</t>
  </si>
  <si>
    <t>SALIVA_0306</t>
  </si>
  <si>
    <t>ptnD</t>
  </si>
  <si>
    <t>SALIVA_0307</t>
  </si>
  <si>
    <t>putative mannose-specific phosphotransferase system component IIC (PTS system, mannose-specific IIC component)</t>
  </si>
  <si>
    <t>SALIVA_0308</t>
  </si>
  <si>
    <t>PTS system mannose-specific EIIAB component (EIIAB-Man)</t>
  </si>
  <si>
    <t>manX</t>
  </si>
  <si>
    <t>SALIVA_0309</t>
  </si>
  <si>
    <t>uncharacterized conserved protein, putative hydrolase</t>
  </si>
  <si>
    <t>SALIVA_0310</t>
  </si>
  <si>
    <t>predicted hydrolases of the HAD superfamily</t>
  </si>
  <si>
    <t>yidA</t>
  </si>
  <si>
    <t>SALIVA_0311</t>
  </si>
  <si>
    <t>putative xanthine/uracil permease family protein</t>
  </si>
  <si>
    <t>SALIVA_0312</t>
  </si>
  <si>
    <t>uncharacterized conserved protein, putative ATPase or kinase</t>
  </si>
  <si>
    <t>SALIVA_0313</t>
  </si>
  <si>
    <t>SALIVA_0314</t>
  </si>
  <si>
    <t>SALIVA_0315</t>
  </si>
  <si>
    <t>UPF0090 protein</t>
  </si>
  <si>
    <t>SALIVA_0316</t>
  </si>
  <si>
    <t>transcription elongation factor</t>
  </si>
  <si>
    <t>nusA</t>
  </si>
  <si>
    <t>SALIVA_0317</t>
  </si>
  <si>
    <t>uncharacterized conserved protein, predicted nucleic-acid-binding protein</t>
  </si>
  <si>
    <t>SALIVA_0318</t>
  </si>
  <si>
    <t>LSU ribosomal protein L7AE</t>
  </si>
  <si>
    <t>SALIVA_0319</t>
  </si>
  <si>
    <t>translation initiation factor IF-2</t>
  </si>
  <si>
    <t>infB</t>
  </si>
  <si>
    <t>SALIVA_0320</t>
  </si>
  <si>
    <t>ribosome-binding factor A</t>
  </si>
  <si>
    <t>rbfA</t>
  </si>
  <si>
    <t>SALIVA_0321</t>
  </si>
  <si>
    <t>SALIVA_0322</t>
  </si>
  <si>
    <t>putative peptidoglycan branched peptide synthesis protein,alanine adding enzyme</t>
  </si>
  <si>
    <t>murO</t>
  </si>
  <si>
    <t>SALIVA_0323</t>
  </si>
  <si>
    <t>uDP-N-acetylmuramoyl-L-alanyl-D-glutamate--L-lysine ligase (UDP-MurNAc-L-Ala-D-Glu:L-Lys ligase) (L-lysine-adding enzyme) (UDP-N-acetylmuramyl-tripeptide synthetase) (UDP-MurNAc-tripeptide synthetase)</t>
  </si>
  <si>
    <t>murE</t>
  </si>
  <si>
    <t>SALIVA_0324</t>
  </si>
  <si>
    <t>putative polysaccharide transporter</t>
  </si>
  <si>
    <t>SALIVA_0325</t>
  </si>
  <si>
    <t>cation-transporting ATPase pacL</t>
  </si>
  <si>
    <t>pacL</t>
  </si>
  <si>
    <t>SALIVA_0326</t>
  </si>
  <si>
    <t>cystathionine gamma-synthase (CGS) (O-succinylhomoserine (thiol)-lyase)</t>
  </si>
  <si>
    <t>metB</t>
  </si>
  <si>
    <t>SALIVA_0327</t>
  </si>
  <si>
    <t>putative aminotransferase B, possible cystathionine beta-lyase</t>
  </si>
  <si>
    <t>patB</t>
  </si>
  <si>
    <t>SALIVA_0328</t>
  </si>
  <si>
    <t>fructan hydrolase; exo-beta-D-fructosidase</t>
  </si>
  <si>
    <t>fruB</t>
  </si>
  <si>
    <t>SALIVA_0329</t>
  </si>
  <si>
    <t>levansucrase precursor (beta-D-fructofuranosyl transferase) (sucrose 6-fructosyl transferase)</t>
  </si>
  <si>
    <t>ftf</t>
  </si>
  <si>
    <t>SALIVA_0330</t>
  </si>
  <si>
    <t>uracil phosphoribosyltransferase (UMP pyrophosphorylase) (UPRTase)</t>
  </si>
  <si>
    <t>upp</t>
  </si>
  <si>
    <t>SALIVA_0331</t>
  </si>
  <si>
    <t>ATP-dependent Clp protease proteolytic subunit (endopeptidase Clp)</t>
  </si>
  <si>
    <t>clpP</t>
  </si>
  <si>
    <t>SALIVA_0332</t>
  </si>
  <si>
    <t>SALIVA_0333</t>
  </si>
  <si>
    <t>SALIVA_0334</t>
  </si>
  <si>
    <t>branched-chain amino acid ABC uptake transporter substrate-binding protein</t>
  </si>
  <si>
    <t>livJ</t>
  </si>
  <si>
    <t>SALIVA_0335</t>
  </si>
  <si>
    <t>branched-chain amino acid ABC uptake transporter membrane-spanning protein</t>
  </si>
  <si>
    <t>livH</t>
  </si>
  <si>
    <t>SALIVA_0336</t>
  </si>
  <si>
    <t>uncharacterized ABC-type transport system,permease component (Branched-chain amino acid ABC uptake transporter membrane-spanning protein)</t>
  </si>
  <si>
    <t>livM</t>
  </si>
  <si>
    <t>SALIVA_0337</t>
  </si>
  <si>
    <t>ABC-type branched-chain amino acid transport system, ATPase component</t>
  </si>
  <si>
    <t>livG</t>
  </si>
  <si>
    <t>SALIVA_0338</t>
  </si>
  <si>
    <t>livF</t>
  </si>
  <si>
    <t>SALIVA_0339</t>
  </si>
  <si>
    <t>putative CBS domain protein</t>
  </si>
  <si>
    <t>SALIVA_0340</t>
  </si>
  <si>
    <t>cysteine synthase</t>
  </si>
  <si>
    <t>cysM</t>
  </si>
  <si>
    <t>SALIVA_0341</t>
  </si>
  <si>
    <t>SALIVA_0342</t>
  </si>
  <si>
    <t>comF operon protein 1 (ATP-dependent helicase comFA)</t>
  </si>
  <si>
    <t>comFA</t>
  </si>
  <si>
    <t>SALIVA_0343</t>
  </si>
  <si>
    <t>late competence protein</t>
  </si>
  <si>
    <t>comFC</t>
  </si>
  <si>
    <t>SALIVA_0344</t>
  </si>
  <si>
    <t>ribosomal subunit interface protein, ribosomal protein S30AE family</t>
  </si>
  <si>
    <t>SALIVA_0345</t>
  </si>
  <si>
    <t>SALIVA_r0013</t>
  </si>
  <si>
    <t>SALIVA_0346</t>
  </si>
  <si>
    <t>SALIVA_r0014</t>
  </si>
  <si>
    <t>SALIVA_r0015</t>
  </si>
  <si>
    <t>SALIVA_0347</t>
  </si>
  <si>
    <t>SALIVA_0348</t>
  </si>
  <si>
    <t>SALIVA_0349</t>
  </si>
  <si>
    <t>SALIVA_0350</t>
  </si>
  <si>
    <t>SALIVA_0351</t>
  </si>
  <si>
    <t>SALIVA_0352</t>
  </si>
  <si>
    <t>putative manganese-dependent inorganic pyrophosphatase (Pyrophosphate phospho-hydrolase) (PPase)</t>
  </si>
  <si>
    <t>ppaC</t>
  </si>
  <si>
    <t>CCB94696.1</t>
  </si>
  <si>
    <t>SALIVA_0353</t>
  </si>
  <si>
    <t>CCB94697.1</t>
  </si>
  <si>
    <t>SALIVA_0354</t>
  </si>
  <si>
    <t>uncharacterized domain/protein associated with RNase G and E</t>
  </si>
  <si>
    <t>CCB94698.1</t>
  </si>
  <si>
    <t>SALIVA_0355</t>
  </si>
  <si>
    <t>regulatory protein recX</t>
  </si>
  <si>
    <t>recX</t>
  </si>
  <si>
    <t>CCB94699.1</t>
  </si>
  <si>
    <t>SALIVA_0356</t>
  </si>
  <si>
    <t>tRNA methyltransferase, TrmA family</t>
  </si>
  <si>
    <t>CCB94700.1</t>
  </si>
  <si>
    <t>SALIVA_0357</t>
  </si>
  <si>
    <t>aspartate--ammonia ligase (Asparagine synthetase A)</t>
  </si>
  <si>
    <t>asnA</t>
  </si>
  <si>
    <t>CCB94701.1</t>
  </si>
  <si>
    <t>SALIVA_0358</t>
  </si>
  <si>
    <t>aspartokinase</t>
  </si>
  <si>
    <t>lysC</t>
  </si>
  <si>
    <t>CCB94702.1</t>
  </si>
  <si>
    <t>SALIVA_0359</t>
  </si>
  <si>
    <t>predicted sugar phosphatase of HAD family</t>
  </si>
  <si>
    <t>CCB94703.1</t>
  </si>
  <si>
    <t>SALIVA_0360</t>
  </si>
  <si>
    <t>putative enoyl-CoA hydratase paaG</t>
  </si>
  <si>
    <t>phaB</t>
  </si>
  <si>
    <t>CCB94704.1</t>
  </si>
  <si>
    <t>SALIVA_0361</t>
  </si>
  <si>
    <t>CCB94705.1</t>
  </si>
  <si>
    <t>SALIVA_0362</t>
  </si>
  <si>
    <t>3-oxoacyl-[acyl-carrier-protein] synthase 3 (3-oxoacyl-[acyl-carrier-protein] synthase III) (Beta-ketoacyl-ACP synthase III) (KAS III)</t>
  </si>
  <si>
    <t>fabH</t>
  </si>
  <si>
    <t>CCB94706.1</t>
  </si>
  <si>
    <t>SALIVA_0363</t>
  </si>
  <si>
    <t>acp</t>
  </si>
  <si>
    <t>CCB94707.1</t>
  </si>
  <si>
    <t>SALIVA_0364</t>
  </si>
  <si>
    <t>putative trans-2-enoyl-ACP reductase II (enoyl-[acyl-carrier protein] reductase) (NADH)</t>
  </si>
  <si>
    <t>fabK</t>
  </si>
  <si>
    <t>CCB94708.1</t>
  </si>
  <si>
    <t>SALIVA_0365</t>
  </si>
  <si>
    <t>malonyl CoA-acyl carrier protein transacylase (MCT)</t>
  </si>
  <si>
    <t>fabD</t>
  </si>
  <si>
    <t>CCB94709.1</t>
  </si>
  <si>
    <t>SALIVA_0366</t>
  </si>
  <si>
    <t>3-oxoacyl-[acyl-carrier-protein] reductase (3-ketoacyl-acyl carrier protein reductase)</t>
  </si>
  <si>
    <t>fabG</t>
  </si>
  <si>
    <t>CCB94710.1</t>
  </si>
  <si>
    <t>SALIVA_0367</t>
  </si>
  <si>
    <t>3-oxoacyl-[acyl-carrier-protein] synthase 2 (3-oxoacyl-[acyl-carrier-protein] synthase II) (Beta-ketoacyl-ACP synthase II) (KAS II)</t>
  </si>
  <si>
    <t>fabF</t>
  </si>
  <si>
    <t>CCB94711.1</t>
  </si>
  <si>
    <t>SALIVA_0368</t>
  </si>
  <si>
    <t>putative biotin carboxyl carrier protein of acetyl-CoA carboxylase</t>
  </si>
  <si>
    <t>accB</t>
  </si>
  <si>
    <t>CCB94712.1</t>
  </si>
  <si>
    <t>SALIVA_0369</t>
  </si>
  <si>
    <t>(3R)-hydroxymyristoyl-[acyl-carrier-protein] dehydratase ((3R)-hydroxymyristoyl ACP dehydrase)</t>
  </si>
  <si>
    <t>fabZ</t>
  </si>
  <si>
    <t>CCB94713.1</t>
  </si>
  <si>
    <t>SALIVA_0370</t>
  </si>
  <si>
    <t>CCB94714.1</t>
  </si>
  <si>
    <t>SALIVA_0374</t>
  </si>
  <si>
    <t>acetyl-coenzyme A carboxylase carboxyl transferase subunit beta (ACCase beta chain)</t>
  </si>
  <si>
    <t>accD</t>
  </si>
  <si>
    <t>CCB94715.1</t>
  </si>
  <si>
    <t>SALIVA_0377</t>
  </si>
  <si>
    <t>acetyl-coenzyme A carboxylase carboxyl transferase subunit alpha (acetyl-CoA carboxylase carboxyltransferase subunit alpha) (ACCase subunit alpha)</t>
  </si>
  <si>
    <t>accA</t>
  </si>
  <si>
    <t>CCB94716.1</t>
  </si>
  <si>
    <t>SALIVA_0378</t>
  </si>
  <si>
    <t>S-ribosylhomocysteine lyase (autoinducer-2 production protein luxS) (AI-2 synthesis protein)</t>
  </si>
  <si>
    <t>luxS</t>
  </si>
  <si>
    <t>CCB94717.1</t>
  </si>
  <si>
    <t>SALIVA_0379</t>
  </si>
  <si>
    <t>uncharacterized conserved protein, predicted HD superfamily hydrolase</t>
  </si>
  <si>
    <t>CCB94718.1</t>
  </si>
  <si>
    <t>SALIVA_0380</t>
  </si>
  <si>
    <t>transcriptional repressor</t>
  </si>
  <si>
    <t>fruR</t>
  </si>
  <si>
    <t>CCB94719.1</t>
  </si>
  <si>
    <t>SALIVA_0381</t>
  </si>
  <si>
    <t>1-phosphofructokinase (fructose 1-phosphate kinase)</t>
  </si>
  <si>
    <t>CCB94720.1</t>
  </si>
  <si>
    <t>SALIVA_0382</t>
  </si>
  <si>
    <t>PTS system fructose-specific EIIABC component (EIIABC-Fru)</t>
  </si>
  <si>
    <t>fruA</t>
  </si>
  <si>
    <t>CCB94721.1</t>
  </si>
  <si>
    <t>SALIVA_0383</t>
  </si>
  <si>
    <t>glutathione reductase (GRase) (GR)</t>
  </si>
  <si>
    <t>gor</t>
  </si>
  <si>
    <t>CCB94722.1</t>
  </si>
  <si>
    <t>SALIVA_0384</t>
  </si>
  <si>
    <t>CCB94723.1</t>
  </si>
  <si>
    <t>SALIVA_0385</t>
  </si>
  <si>
    <t>folylpolyglutamate synthase (folylpoly-gamma-glutamate synthetase) (FPGS) (tetrahydrofolate synthase) (tetrahydrofolylpolyglutamate synthase)</t>
  </si>
  <si>
    <t>folC1</t>
  </si>
  <si>
    <t>CCB94724.1</t>
  </si>
  <si>
    <t>SALIVA_0386</t>
  </si>
  <si>
    <t>CCB94725.1</t>
  </si>
  <si>
    <t>SALIVA_0387</t>
  </si>
  <si>
    <t>putative cysteine desulfurase (NifS protein homolog)</t>
  </si>
  <si>
    <t>iscS</t>
  </si>
  <si>
    <t>CCB94726.1</t>
  </si>
  <si>
    <t>SALIVA_0388</t>
  </si>
  <si>
    <t>thiamine biosynthesis protein</t>
  </si>
  <si>
    <t>thiI</t>
  </si>
  <si>
    <t>CCB94727.1</t>
  </si>
  <si>
    <t>SALIVA_0389</t>
  </si>
  <si>
    <t>glycosyltransferase</t>
  </si>
  <si>
    <t>CCB94728.1</t>
  </si>
  <si>
    <t>SALIVA_0390</t>
  </si>
  <si>
    <t>CCB94729.1</t>
  </si>
  <si>
    <t>SALIVA_0391</t>
  </si>
  <si>
    <t>CCB94730.1</t>
  </si>
  <si>
    <t>SALIVA_0392</t>
  </si>
  <si>
    <t>50S ribosomal protein L21</t>
  </si>
  <si>
    <t>rplU</t>
  </si>
  <si>
    <t>CCB94731.1</t>
  </si>
  <si>
    <t>SALIVA_0393</t>
  </si>
  <si>
    <t>50S ribosomal protein L27</t>
  </si>
  <si>
    <t>rpmA</t>
  </si>
  <si>
    <t>CCB94732.1</t>
  </si>
  <si>
    <t>SALIVA_0394</t>
  </si>
  <si>
    <t>acetyltransferase, including N-acetylase of ribosomal protein</t>
  </si>
  <si>
    <t>CCB94733.1</t>
  </si>
  <si>
    <t>SALIVA_0395</t>
  </si>
  <si>
    <t>CCB94734.1</t>
  </si>
  <si>
    <t>SALIVA_0396</t>
  </si>
  <si>
    <t>CCB94735.1</t>
  </si>
  <si>
    <t>SALIVA_0397</t>
  </si>
  <si>
    <t>dihydrodipicolinate reductase (DHPR)</t>
  </si>
  <si>
    <t>dapB</t>
  </si>
  <si>
    <t>CCB94736.1</t>
  </si>
  <si>
    <t>SALIVA_0398</t>
  </si>
  <si>
    <t>CCA-adding enzyme (tRNA nucleotidyltransferase) (tRNA adenylyl-/cytidylyl-transferase) (tRNA CCA-pyrophosphorylase) (tRNA-NT)</t>
  </si>
  <si>
    <t>cca</t>
  </si>
  <si>
    <t>CCB94737.1</t>
  </si>
  <si>
    <t>SALIVA_0399</t>
  </si>
  <si>
    <t>ABC transporter, drug resistance ATPase-1 (drug RA1) family, ATP binding protein</t>
  </si>
  <si>
    <t>CCB94738.1</t>
  </si>
  <si>
    <t>SALIVA_0400</t>
  </si>
  <si>
    <t>CCB94739.1</t>
  </si>
  <si>
    <t>SALIVA_0401</t>
  </si>
  <si>
    <t>CCB94740.1</t>
  </si>
  <si>
    <t>SALIVA_0402</t>
  </si>
  <si>
    <t>putative nicotinamide-nucleotide adenylyltransferase</t>
  </si>
  <si>
    <t>nadR</t>
  </si>
  <si>
    <t>CCB94741.1</t>
  </si>
  <si>
    <t>SALIVA_0403</t>
  </si>
  <si>
    <t>NADP-specific glutamate dehydrogenase (NADP-GDH)</t>
  </si>
  <si>
    <t>gdhA</t>
  </si>
  <si>
    <t>CCB94742.1</t>
  </si>
  <si>
    <t>SALIVA_0404</t>
  </si>
  <si>
    <t>hypothetical membrane spanning protein</t>
  </si>
  <si>
    <t>CCB94743.1</t>
  </si>
  <si>
    <t>SALIVA_0405</t>
  </si>
  <si>
    <t>peptide deformylase (PDF) (Polypeptide deformylase)</t>
  </si>
  <si>
    <t>def1</t>
  </si>
  <si>
    <t>CCB94744.1</t>
  </si>
  <si>
    <t>SALIVA_0406</t>
  </si>
  <si>
    <t>CCB94745.1</t>
  </si>
  <si>
    <t>SALIVA_0407</t>
  </si>
  <si>
    <t>multidrug ABC exporter (drugE2) family, ATP binding/membrane-spanning protein</t>
  </si>
  <si>
    <t>lmrA1</t>
  </si>
  <si>
    <t>CCB94746.1</t>
  </si>
  <si>
    <t>SALIVA_0408</t>
  </si>
  <si>
    <t>lmrA2</t>
  </si>
  <si>
    <t>CCB94747.1</t>
  </si>
  <si>
    <t>SALIVA_0409</t>
  </si>
  <si>
    <t>puromycin N-acetyltransferase</t>
  </si>
  <si>
    <t>pac</t>
  </si>
  <si>
    <t>CCB94748.1</t>
  </si>
  <si>
    <t>SALIVA_0410</t>
  </si>
  <si>
    <t>putative uncharacterized protein (GTP pyrophosphokinase)</t>
  </si>
  <si>
    <t>CCB94749.1</t>
  </si>
  <si>
    <t>SALIVA_0411</t>
  </si>
  <si>
    <t>transcriptional regulatory protein dltR</t>
  </si>
  <si>
    <t>dltR</t>
  </si>
  <si>
    <t>CCB94750.1</t>
  </si>
  <si>
    <t>SALIVA_0412</t>
  </si>
  <si>
    <t>CCB94751.1</t>
  </si>
  <si>
    <t>SALIVA_0413</t>
  </si>
  <si>
    <t>uridylate kinase (UK) (uridine monophosphate kinase) (UMP kinase) (UMPK)</t>
  </si>
  <si>
    <t>pyrH</t>
  </si>
  <si>
    <t>CCB94752.1</t>
  </si>
  <si>
    <t>SALIVA_0415</t>
  </si>
  <si>
    <t>ribosome recycling factor (ribosome-releasing factor) (RRF)</t>
  </si>
  <si>
    <t>frr</t>
  </si>
  <si>
    <t>CCB94753.1</t>
  </si>
  <si>
    <t>SALIVA_0416</t>
  </si>
  <si>
    <t>predicted RNA-binding protein containing S1-like domain</t>
  </si>
  <si>
    <t>CCB94754.1</t>
  </si>
  <si>
    <t>SALIVA_0417</t>
  </si>
  <si>
    <t>UPF0346 protein str0441</t>
  </si>
  <si>
    <t>CCB94755.1</t>
  </si>
  <si>
    <t>SALIVA_0418</t>
  </si>
  <si>
    <t>group B streptococcal surface immunogenic protein</t>
  </si>
  <si>
    <t>CCB94756.1</t>
  </si>
  <si>
    <t>SALIVA_0419</t>
  </si>
  <si>
    <t>phosphate starvation-inducible protein PhoH,predicted ATPase</t>
  </si>
  <si>
    <t>CCB94757.1</t>
  </si>
  <si>
    <t>SALIVA_0420</t>
  </si>
  <si>
    <t>CCB94758.1</t>
  </si>
  <si>
    <t>SALIVA_0421</t>
  </si>
  <si>
    <t>CCB94759.1</t>
  </si>
  <si>
    <t>SALIVA_0423</t>
  </si>
  <si>
    <t>CCB94760.1</t>
  </si>
  <si>
    <t>SALIVA_0424</t>
  </si>
  <si>
    <t>CCB94761.1</t>
  </si>
  <si>
    <t>SALIVA_0425</t>
  </si>
  <si>
    <t>CCB94762.1</t>
  </si>
  <si>
    <t>SALIVA_0426</t>
  </si>
  <si>
    <t>methionyl-tRNA synthetase (methionine--tRNA ligase) (MetRS)</t>
  </si>
  <si>
    <t>metG</t>
  </si>
  <si>
    <t>CCB94763.1</t>
  </si>
  <si>
    <t>SALIVA_0427</t>
  </si>
  <si>
    <t>putative reductase</t>
  </si>
  <si>
    <t>p100/11E</t>
  </si>
  <si>
    <t>CCB94764.1</t>
  </si>
  <si>
    <t>SALIVA_0428</t>
  </si>
  <si>
    <t>transcriptional regulator, LysR family</t>
  </si>
  <si>
    <t>sapR</t>
  </si>
  <si>
    <t>CCB94765.1</t>
  </si>
  <si>
    <t>SALIVA_0429</t>
  </si>
  <si>
    <t>CCB94766.1</t>
  </si>
  <si>
    <t>SALIVA_0430</t>
  </si>
  <si>
    <t>CCB94767.1</t>
  </si>
  <si>
    <t>SALIVA_0431</t>
  </si>
  <si>
    <t>competence protein, transcription factor</t>
  </si>
  <si>
    <t>coiA</t>
  </si>
  <si>
    <t>CCB94768.1</t>
  </si>
  <si>
    <t>SALIVA_0432</t>
  </si>
  <si>
    <t>group B oligopeptidase pepB</t>
  </si>
  <si>
    <t>pepB</t>
  </si>
  <si>
    <t>CCB94769.1</t>
  </si>
  <si>
    <t>SALIVA_0433</t>
  </si>
  <si>
    <t>oxalate:formate antiporter</t>
  </si>
  <si>
    <t>oxlT</t>
  </si>
  <si>
    <t>CCB94770.1</t>
  </si>
  <si>
    <t>SALIVA_0434</t>
  </si>
  <si>
    <t>putative caffeoyl-CoA O-methyltransferase At1g67980 (trans-caffeoyl-CoA 3-O-methyltransferase) (CCoAOMT) (CCoAMT)</t>
  </si>
  <si>
    <t>CCB94771.1</t>
  </si>
  <si>
    <t>SALIVA_0435</t>
  </si>
  <si>
    <t>CCB94772.1</t>
  </si>
  <si>
    <t>SALIVA_0436</t>
  </si>
  <si>
    <t>CCB94773.1</t>
  </si>
  <si>
    <t>SALIVA_0439</t>
  </si>
  <si>
    <t>CCB94774.1</t>
  </si>
  <si>
    <t>SALIVA_0440</t>
  </si>
  <si>
    <t>alanyl-tRNA synthetase (alanine--tRNA ligase) (AlaRS)</t>
  </si>
  <si>
    <t>alaS</t>
  </si>
  <si>
    <t>CCB94775.1</t>
  </si>
  <si>
    <t>SALIVA_0441</t>
  </si>
  <si>
    <t>CCB94776.1</t>
  </si>
  <si>
    <t>SALIVA_0442</t>
  </si>
  <si>
    <t>putative D,D-carboxypeptidase</t>
  </si>
  <si>
    <t>CCB94777.1</t>
  </si>
  <si>
    <t>SALIVA_0443</t>
  </si>
  <si>
    <t>putative hydrolase NIT3</t>
  </si>
  <si>
    <t>niT3</t>
  </si>
  <si>
    <t>CCB94778.1</t>
  </si>
  <si>
    <t>SALIVA_0444</t>
  </si>
  <si>
    <t>transaminase mtnE</t>
  </si>
  <si>
    <t>mtnE</t>
  </si>
  <si>
    <t>CCB94779.1</t>
  </si>
  <si>
    <t>SALIVA_0445</t>
  </si>
  <si>
    <t>N-acetyl-gamma-glutamyl-phosphate reductase (AGPR) (N-acetyl-glutamate semialdehyde dehydrogenase) (NAGSA dehydrogenase)</t>
  </si>
  <si>
    <t>argC</t>
  </si>
  <si>
    <t>CCB94780.1</t>
  </si>
  <si>
    <t>SALIVA_0446</t>
  </si>
  <si>
    <t>arginine biosynthesis bifunctional protein ArgJ</t>
  </si>
  <si>
    <t>argJ</t>
  </si>
  <si>
    <t>CCB94781.1</t>
  </si>
  <si>
    <t>SALIVA_0447</t>
  </si>
  <si>
    <t>acetylglutamate kinase (NAG kinase) (AGK) (N-acetyl-L-glutamate 5-phosphotransferase)</t>
  </si>
  <si>
    <t>argB</t>
  </si>
  <si>
    <t>CCB94782.1</t>
  </si>
  <si>
    <t>SALIVA_0449</t>
  </si>
  <si>
    <t>acetylornithine aminotransferase (ACOAT)</t>
  </si>
  <si>
    <t>argD</t>
  </si>
  <si>
    <t>CCB94783.1</t>
  </si>
  <si>
    <t>SALIVA_0450</t>
  </si>
  <si>
    <t>predicted xylanase/chitin deacetylase</t>
  </si>
  <si>
    <t>CCB94784.1</t>
  </si>
  <si>
    <t>SALIVA_0451</t>
  </si>
  <si>
    <t>homoserine dehydrogenase</t>
  </si>
  <si>
    <t>hom</t>
  </si>
  <si>
    <t>CCB94785.1</t>
  </si>
  <si>
    <t>SALIVA_0452</t>
  </si>
  <si>
    <t>homoserine kinase (HSK) (HK)</t>
  </si>
  <si>
    <t>thrB</t>
  </si>
  <si>
    <t>CCB94786.1</t>
  </si>
  <si>
    <t>SALIVA_0453</t>
  </si>
  <si>
    <t>predicted permease</t>
  </si>
  <si>
    <t>CCB94787.1</t>
  </si>
  <si>
    <t>SALIVA_0454</t>
  </si>
  <si>
    <t>CCB94788.1</t>
  </si>
  <si>
    <t>SALIVA_0455</t>
  </si>
  <si>
    <t>CCB94789.1</t>
  </si>
  <si>
    <t>SALIVA_0456</t>
  </si>
  <si>
    <t>CCB94790.1</t>
  </si>
  <si>
    <t>SALIVA_0457</t>
  </si>
  <si>
    <t>CCB94791.1</t>
  </si>
  <si>
    <t>SALIVA_0458</t>
  </si>
  <si>
    <t>valyl-tRNA synthetase (valine--tRNA ligase) (valRS)</t>
  </si>
  <si>
    <t>valS</t>
  </si>
  <si>
    <t>CCB94792.1</t>
  </si>
  <si>
    <t>SALIVA_0459</t>
  </si>
  <si>
    <t>CCB94793.1</t>
  </si>
  <si>
    <t>SALIVA_0460</t>
  </si>
  <si>
    <t>CCB94794.1</t>
  </si>
  <si>
    <t>SALIVA_0461</t>
  </si>
  <si>
    <t>ATP synthase C chain (lipid-binding protein)</t>
  </si>
  <si>
    <t>atpE</t>
  </si>
  <si>
    <t>CCB94795.1</t>
  </si>
  <si>
    <t>SALIVA_0462</t>
  </si>
  <si>
    <t>ATP synthase A chain</t>
  </si>
  <si>
    <t>atpB</t>
  </si>
  <si>
    <t>CCB94796.1</t>
  </si>
  <si>
    <t>SALIVA_0463</t>
  </si>
  <si>
    <t>ATP synthase B chain</t>
  </si>
  <si>
    <t>atpF</t>
  </si>
  <si>
    <t>CCB94797.1</t>
  </si>
  <si>
    <t>SALIVA_0464</t>
  </si>
  <si>
    <t>ATP synthase delta chain</t>
  </si>
  <si>
    <t>atpH</t>
  </si>
  <si>
    <t>CCB94798.1</t>
  </si>
  <si>
    <t>SALIVA_0465</t>
  </si>
  <si>
    <t>ATP synthase subunit alpha (ATPase subunit alpha) (ATP synthase F1 sector subunit alpha)</t>
  </si>
  <si>
    <t>atpA</t>
  </si>
  <si>
    <t>CCB94799.1</t>
  </si>
  <si>
    <t>SALIVA_0466</t>
  </si>
  <si>
    <t>ATP synthase gamma chain (ATP synthase F1 sector gamma subunit)</t>
  </si>
  <si>
    <t>atpG</t>
  </si>
  <si>
    <t>CCB94800.1</t>
  </si>
  <si>
    <t>SALIVA_0467</t>
  </si>
  <si>
    <t>ATP synthase subunit beta (ATPase subunit beta) (ATP synthase F1 sector subunit beta)</t>
  </si>
  <si>
    <t>atpD</t>
  </si>
  <si>
    <t>CCB94801.1</t>
  </si>
  <si>
    <t>SALIVA_0468</t>
  </si>
  <si>
    <t>ATP synthase epsilon chain (ATP synthase F1 sector epsilon subunit)</t>
  </si>
  <si>
    <t>atpC</t>
  </si>
  <si>
    <t>CCB94802.1</t>
  </si>
  <si>
    <t>SALIVA_0469</t>
  </si>
  <si>
    <t>ftsW</t>
  </si>
  <si>
    <t>CCB94803.1</t>
  </si>
  <si>
    <t>SALIVA_0470</t>
  </si>
  <si>
    <t>elongation factor Tu (EF-Tu)</t>
  </si>
  <si>
    <t>tuf</t>
  </si>
  <si>
    <t>CCB94804.1</t>
  </si>
  <si>
    <t>SALIVA_0471</t>
  </si>
  <si>
    <t>triosephosphate isomerase (TIM) (triose-phosphate isomerase)</t>
  </si>
  <si>
    <t>tpiA</t>
  </si>
  <si>
    <t>CCB94805.1</t>
  </si>
  <si>
    <t>SALIVA_0472</t>
  </si>
  <si>
    <t>transketolase (TK)</t>
  </si>
  <si>
    <t>tkt</t>
  </si>
  <si>
    <t>CCB94806.1</t>
  </si>
  <si>
    <t>SALIVA_0473</t>
  </si>
  <si>
    <t>SALIVA_0474</t>
  </si>
  <si>
    <t>thymidylate kinase (dTMP kinase)</t>
  </si>
  <si>
    <t>tmk</t>
  </si>
  <si>
    <t>CCB94807.1</t>
  </si>
  <si>
    <t>SALIVA_0475</t>
  </si>
  <si>
    <t>DNA polymerase III subunit delta</t>
  </si>
  <si>
    <t>holB</t>
  </si>
  <si>
    <t>CCB94808.1</t>
  </si>
  <si>
    <t>SALIVA_0476</t>
  </si>
  <si>
    <t>signal peptidase II</t>
  </si>
  <si>
    <t>CCB94809.1</t>
  </si>
  <si>
    <t>SALIVA_0477</t>
  </si>
  <si>
    <t>regulator of replication initiation timing</t>
  </si>
  <si>
    <t>CCB94810.1</t>
  </si>
  <si>
    <t>SALIVA_0478</t>
  </si>
  <si>
    <t>CCB94811.1</t>
  </si>
  <si>
    <t>SALIVA_0479</t>
  </si>
  <si>
    <t>ammonia permease</t>
  </si>
  <si>
    <t>CCB94812.1</t>
  </si>
  <si>
    <t>SALIVA_0480</t>
  </si>
  <si>
    <t>nitrogen regulatory protein P-II</t>
  </si>
  <si>
    <t>gnlB</t>
  </si>
  <si>
    <t>CCB94813.1</t>
  </si>
  <si>
    <t>SALIVA_0481</t>
  </si>
  <si>
    <t>muramidase (flagellum-specific)</t>
  </si>
  <si>
    <t>CCB94814.1</t>
  </si>
  <si>
    <t>SALIVA_0483</t>
  </si>
  <si>
    <t>CCB94815.1</t>
  </si>
  <si>
    <t>SALIVA_0484</t>
  </si>
  <si>
    <t>CCB94816.1</t>
  </si>
  <si>
    <t>SALIVA_0485</t>
  </si>
  <si>
    <t>CCB94817.1</t>
  </si>
  <si>
    <t>SALIVA_0486</t>
  </si>
  <si>
    <t>phosphoglycerate kinase</t>
  </si>
  <si>
    <t>pgk</t>
  </si>
  <si>
    <t>CCB94818.1</t>
  </si>
  <si>
    <t>SALIVA_0487</t>
  </si>
  <si>
    <t>N-acetylglucosamine-6-phosphate deacetylase (GlcNAc 6-P deacetylase)</t>
  </si>
  <si>
    <t>manD</t>
  </si>
  <si>
    <t>CCB94819.1</t>
  </si>
  <si>
    <t>SALIVA_0488</t>
  </si>
  <si>
    <t>hypothetical conserved protein</t>
  </si>
  <si>
    <t>CCB94820.1</t>
  </si>
  <si>
    <t>SALIVA_0489</t>
  </si>
  <si>
    <t>glycyl-tRNA synthetase alpha subunit (glycine--tRNA ligase alpha subunit) (GlyRS)</t>
  </si>
  <si>
    <t>glyQ</t>
  </si>
  <si>
    <t>CCB94821.1</t>
  </si>
  <si>
    <t>SALIVA_0490</t>
  </si>
  <si>
    <t>glycyl-tRNA synthetase beta subunit (glycine--tRNA ligase beta subunit) (GlyRS)</t>
  </si>
  <si>
    <t>glyS</t>
  </si>
  <si>
    <t>CCB94822.1</t>
  </si>
  <si>
    <t>SALIVA_0491</t>
  </si>
  <si>
    <t>UPF0291 protein spr1327</t>
  </si>
  <si>
    <t>CCB94823.1</t>
  </si>
  <si>
    <t>SALIVA_0492</t>
  </si>
  <si>
    <t>D-Serine/D-alanine/glycine:H+ symporter</t>
  </si>
  <si>
    <t>cycA</t>
  </si>
  <si>
    <t>CCB94824.1</t>
  </si>
  <si>
    <t>SALIVA_0493</t>
  </si>
  <si>
    <t>nucleotidyltransferase/DNA polymerase</t>
  </si>
  <si>
    <t>CCB94825.1</t>
  </si>
  <si>
    <t>SALIVA_0494</t>
  </si>
  <si>
    <t>PTS system beta-glucoside-specific EIIBCA component (EIIBCA-Bgl)</t>
  </si>
  <si>
    <t>bglP</t>
  </si>
  <si>
    <t>CCB94826.1</t>
  </si>
  <si>
    <t>SALIVA_0495</t>
  </si>
  <si>
    <t>peptidyl-prolyl cis-trans isomerase</t>
  </si>
  <si>
    <t>ppiA</t>
  </si>
  <si>
    <t>CCB94827.1</t>
  </si>
  <si>
    <t>SALIVA_0496</t>
  </si>
  <si>
    <t>CCB94828.1</t>
  </si>
  <si>
    <t>SALIVA_0497</t>
  </si>
  <si>
    <t>CCB94829.1</t>
  </si>
  <si>
    <t>SALIVA_0498</t>
  </si>
  <si>
    <t>CCB94830.1</t>
  </si>
  <si>
    <t>SALIVA_0499</t>
  </si>
  <si>
    <t>CCB94831.1</t>
  </si>
  <si>
    <t>SALIVA_0500</t>
  </si>
  <si>
    <t>cysR</t>
  </si>
  <si>
    <t>CCB94832.1</t>
  </si>
  <si>
    <t>SALIVA_0501</t>
  </si>
  <si>
    <t>lipoprotein signal peptidase (prolipoprotein signal peptidase) (signal peptidase II) (SPase II)</t>
  </si>
  <si>
    <t>lspA</t>
  </si>
  <si>
    <t>CCB94833.1</t>
  </si>
  <si>
    <t>SALIVA_0502</t>
  </si>
  <si>
    <t>rluD</t>
  </si>
  <si>
    <t>CCB94834.1</t>
  </si>
  <si>
    <t>SALIVA_0503</t>
  </si>
  <si>
    <t>bifunctional protein pyrR [Includes: Pyrimidine operon regulatory protein; Uracil phosphoribosyltransferase (UPRTase)]</t>
  </si>
  <si>
    <t>pyrR</t>
  </si>
  <si>
    <t>CCB94835.1</t>
  </si>
  <si>
    <t>SALIVA_0504</t>
  </si>
  <si>
    <t>uracil permease</t>
  </si>
  <si>
    <t>pyrP</t>
  </si>
  <si>
    <t>CCB94836.1</t>
  </si>
  <si>
    <t>SALIVA_0505</t>
  </si>
  <si>
    <t>aspartate carbamoyltransferase (aspartate transcarbamylase) (ATCase)</t>
  </si>
  <si>
    <t>pyrB</t>
  </si>
  <si>
    <t>CCB94837.1</t>
  </si>
  <si>
    <t>SALIVA_0506</t>
  </si>
  <si>
    <t>carbamoyl-phosphate synthase small chain (carbamoyl-phosphate synthetase glutamine chain)</t>
  </si>
  <si>
    <t>carA</t>
  </si>
  <si>
    <t>CCB94838.1</t>
  </si>
  <si>
    <t>SALIVA_0507</t>
  </si>
  <si>
    <t>carbamoyl-phosphate synthase large chain (carbamoyl-phosphate synthetase ammonia chain)</t>
  </si>
  <si>
    <t>carB</t>
  </si>
  <si>
    <t>CCB94839.1</t>
  </si>
  <si>
    <t>SALIVA_0508</t>
  </si>
  <si>
    <t>CCB94840.1</t>
  </si>
  <si>
    <t>SALIVA_0509</t>
  </si>
  <si>
    <t>suB0736 undefined product 713459:714787 forward MW:48595</t>
  </si>
  <si>
    <t>CCB94841.1</t>
  </si>
  <si>
    <t>SALIVA_0510</t>
  </si>
  <si>
    <t>CCB94842.1</t>
  </si>
  <si>
    <t>SALIVA_0511</t>
  </si>
  <si>
    <t>uncharacterized ABC transporter permease yknZ</t>
  </si>
  <si>
    <t>yknZ</t>
  </si>
  <si>
    <t>CCB94843.1</t>
  </si>
  <si>
    <t>SALIVA_0512</t>
  </si>
  <si>
    <t>50S ribosomal protein L10</t>
  </si>
  <si>
    <t>rplJ</t>
  </si>
  <si>
    <t>CCB94844.1</t>
  </si>
  <si>
    <t>SALIVA_0513</t>
  </si>
  <si>
    <t>50S ribosomal protein L7/L12</t>
  </si>
  <si>
    <t>rplL</t>
  </si>
  <si>
    <t>CCB94845.1</t>
  </si>
  <si>
    <t>SALIVA_0514</t>
  </si>
  <si>
    <t>CCB94846.1</t>
  </si>
  <si>
    <t>SALIVA_2087</t>
  </si>
  <si>
    <t>CCB94847.1</t>
  </si>
  <si>
    <t>SALIVA_0515</t>
  </si>
  <si>
    <t>CCB94848.1</t>
  </si>
  <si>
    <t>SALIVA_0516</t>
  </si>
  <si>
    <t>CCB94849.1</t>
  </si>
  <si>
    <t>SALIVA_0517</t>
  </si>
  <si>
    <t>CCB94850.1</t>
  </si>
  <si>
    <t>SALIVA_0518</t>
  </si>
  <si>
    <t>CCB94851.1</t>
  </si>
  <si>
    <t>SALIVA_0520</t>
  </si>
  <si>
    <t>CCB94852.1</t>
  </si>
  <si>
    <t>SALIVA_0521</t>
  </si>
  <si>
    <t>histidine kinase</t>
  </si>
  <si>
    <t>hk09</t>
  </si>
  <si>
    <t>CCB94853.1</t>
  </si>
  <si>
    <t>SALIVA_0523</t>
  </si>
  <si>
    <t>response regulator (homolog to BlpR Spn)</t>
  </si>
  <si>
    <t>rr09</t>
  </si>
  <si>
    <t>CCB94854.1</t>
  </si>
  <si>
    <t>SALIVA_0524</t>
  </si>
  <si>
    <t>CCB94855.1</t>
  </si>
  <si>
    <t>SALIVA_0526</t>
  </si>
  <si>
    <t>IS657, transposase, IS200 family</t>
  </si>
  <si>
    <t>tnp657</t>
  </si>
  <si>
    <t>CCB94856.1</t>
  </si>
  <si>
    <t>SALIVA_0527</t>
  </si>
  <si>
    <t>two-component sensor histidine kinase</t>
  </si>
  <si>
    <t>nisK</t>
  </si>
  <si>
    <t>CCB94857.1</t>
  </si>
  <si>
    <t>SALIVA_2088</t>
  </si>
  <si>
    <t>nisin biosynthesis regulatory protein nisR</t>
  </si>
  <si>
    <t>nisR</t>
  </si>
  <si>
    <t>CCB94858.1</t>
  </si>
  <si>
    <t>SALIVA_0528</t>
  </si>
  <si>
    <t>CCB94859.1</t>
  </si>
  <si>
    <t>SALIVA_0529</t>
  </si>
  <si>
    <t>putative asparagine synthetase</t>
  </si>
  <si>
    <t>CCB94860.1</t>
  </si>
  <si>
    <t>SALIVA_0530</t>
  </si>
  <si>
    <t>CCB94861.1</t>
  </si>
  <si>
    <t>SALIVA_0531</t>
  </si>
  <si>
    <t>lantibiotic transport ATP-binding protein srtF</t>
  </si>
  <si>
    <t>srtF</t>
  </si>
  <si>
    <t>CCB94862.1</t>
  </si>
  <si>
    <t>SALIVA_0532</t>
  </si>
  <si>
    <t>CCB94863.1</t>
  </si>
  <si>
    <t>SALIVA_0533</t>
  </si>
  <si>
    <t>CCB94864.1</t>
  </si>
  <si>
    <t>SALIVA_2089</t>
  </si>
  <si>
    <t>CCB94865.1</t>
  </si>
  <si>
    <t>SALIVA_0534</t>
  </si>
  <si>
    <t>CCB94866.1</t>
  </si>
  <si>
    <t>SALIVA_0535</t>
  </si>
  <si>
    <t>CCB94867.1</t>
  </si>
  <si>
    <t>SALIVA_0536</t>
  </si>
  <si>
    <t>CCB94868.1</t>
  </si>
  <si>
    <t>SALIVA_0537</t>
  </si>
  <si>
    <t>CCB94869.1</t>
  </si>
  <si>
    <t>SALIVA_0538</t>
  </si>
  <si>
    <t>CCB94870.1</t>
  </si>
  <si>
    <t>SALIVA_0539</t>
  </si>
  <si>
    <t>CCB94871.1</t>
  </si>
  <si>
    <t>SALIVA_0540</t>
  </si>
  <si>
    <t>CCB94872.1</t>
  </si>
  <si>
    <t>SALIVA_0541</t>
  </si>
  <si>
    <t>CCB94873.1</t>
  </si>
  <si>
    <t>SALIVA_2090</t>
  </si>
  <si>
    <t>CCB94874.1</t>
  </si>
  <si>
    <t>SALIVA_0542</t>
  </si>
  <si>
    <t>integrase</t>
  </si>
  <si>
    <t>CCB94875.1</t>
  </si>
  <si>
    <t>SALIVA_0543</t>
  </si>
  <si>
    <t>lipid/multidrug/protein-type ABC exporter, ATP binding/membrane-spanning protein</t>
  </si>
  <si>
    <t>CCB94876.1</t>
  </si>
  <si>
    <t>SALIVA_0544</t>
  </si>
  <si>
    <t>CCB94877.1</t>
  </si>
  <si>
    <t>SALIVA_0545</t>
  </si>
  <si>
    <t>S-adenosylmethionine:tRNA ribosyltransferase-isomerase (queuosine biosynthesis protein queA)</t>
  </si>
  <si>
    <t>queA</t>
  </si>
  <si>
    <t>CCB94878.1</t>
  </si>
  <si>
    <t>SALIVA_0546</t>
  </si>
  <si>
    <t>glucosamine-6-phosphate deaminase (glucosamine-6-phosphate isomerase) (GlcN6P deaminase) (GNPDA)</t>
  </si>
  <si>
    <t>nagB</t>
  </si>
  <si>
    <t>CCB94879.1</t>
  </si>
  <si>
    <t>SALIVA_0547</t>
  </si>
  <si>
    <t>predicted signal transduction protein with a C-terminal HATPase domain</t>
  </si>
  <si>
    <t>CCB94880.1</t>
  </si>
  <si>
    <t>SALIVA_0548</t>
  </si>
  <si>
    <t>CCB94881.1</t>
  </si>
  <si>
    <t>SALIVA_0549</t>
  </si>
  <si>
    <t>ABC-type multidrug transport system, ATPase component</t>
  </si>
  <si>
    <t>CCB94882.1</t>
  </si>
  <si>
    <t>SALIVA_0550</t>
  </si>
  <si>
    <t>ABC transporter membrane-spanning protein</t>
  </si>
  <si>
    <t>CCB94883.1</t>
  </si>
  <si>
    <t>SALIVA_0551</t>
  </si>
  <si>
    <t>UPF0176 protein str0548</t>
  </si>
  <si>
    <t>CCB94884.1</t>
  </si>
  <si>
    <t>SALIVA_0552</t>
  </si>
  <si>
    <t>transcriptional regulator, XRE (Cro/CI) family</t>
  </si>
  <si>
    <t>CCB94885.1</t>
  </si>
  <si>
    <t>SALIVA_0553</t>
  </si>
  <si>
    <t>CCB94886.1</t>
  </si>
  <si>
    <t>SALIVA_0554</t>
  </si>
  <si>
    <t>putative phosphorylase, Pnp/Udp family</t>
  </si>
  <si>
    <t>CCB94887.1</t>
  </si>
  <si>
    <t>SALIVA_0555</t>
  </si>
  <si>
    <t>CCB94888.1</t>
  </si>
  <si>
    <t>SALIVA_0556</t>
  </si>
  <si>
    <t>rsuA1</t>
  </si>
  <si>
    <t>CCB94889.1</t>
  </si>
  <si>
    <t>SALIVA_0557</t>
  </si>
  <si>
    <t>aminoacylase/N-acyl-L-amino acid amidohydrolase/hippurate hydrolase</t>
  </si>
  <si>
    <t>hipO1</t>
  </si>
  <si>
    <t>CCB94890.1</t>
  </si>
  <si>
    <t>SALIVA_0558</t>
  </si>
  <si>
    <t>CCB94891.1</t>
  </si>
  <si>
    <t>SALIVA_0559</t>
  </si>
  <si>
    <t>alanine dehydrogenase</t>
  </si>
  <si>
    <t>ald</t>
  </si>
  <si>
    <t>CCB94892.1</t>
  </si>
  <si>
    <t>SALIVA_0560</t>
  </si>
  <si>
    <t>CCB94893.1</t>
  </si>
  <si>
    <t>SALIVA_0561</t>
  </si>
  <si>
    <t>3-oxoadipate enol-lactonase 2 (3-oxoadipate enol-lactonase II) (enol-lactone hydrolase II) (beta-ketoadipate enol-lactone hydrolase II)</t>
  </si>
  <si>
    <t>catD</t>
  </si>
  <si>
    <t>CCB94894.1</t>
  </si>
  <si>
    <t>SALIVA_0562</t>
  </si>
  <si>
    <t>dihydrolipoyl dehydrogenase (dihydrolipoamide dehydrogenase) (E3 component of 2-oxoglutarate dehydrogenase complex)</t>
  </si>
  <si>
    <t>lpd</t>
  </si>
  <si>
    <t>CCB94895.1</t>
  </si>
  <si>
    <t>SALIVA_0563</t>
  </si>
  <si>
    <t>mevalonate kinase (MK)</t>
  </si>
  <si>
    <t>mvk</t>
  </si>
  <si>
    <t>CCB94896.1</t>
  </si>
  <si>
    <t>SALIVA_0564</t>
  </si>
  <si>
    <t>diphosphomevalonate decarboxylase</t>
  </si>
  <si>
    <t>mvd1</t>
  </si>
  <si>
    <t>CCB94897.1</t>
  </si>
  <si>
    <t>SALIVA_0565</t>
  </si>
  <si>
    <t>phosphomevalonate kinase</t>
  </si>
  <si>
    <t>mvaK2</t>
  </si>
  <si>
    <t>CCB94898.1</t>
  </si>
  <si>
    <t>SALIVA_0566</t>
  </si>
  <si>
    <t>isopentenyl-diphosphate delta-isomerase (IPP isomerase) (isopentenyl pyrophosphate isomerase)</t>
  </si>
  <si>
    <t>fni</t>
  </si>
  <si>
    <t>CCB94899.1</t>
  </si>
  <si>
    <t>SALIVA_0567</t>
  </si>
  <si>
    <t>Nod factor export ATP-binding protein I (nodulation ATP-binding protein I)</t>
  </si>
  <si>
    <t>CCB94900.1</t>
  </si>
  <si>
    <t>SALIVA_0568</t>
  </si>
  <si>
    <t>CCB94901.1</t>
  </si>
  <si>
    <t>SALIVA_0569</t>
  </si>
  <si>
    <t>magnesium-transporting ATPase, P-type 1 (Mg(2+) transport ATPase, P-type 1)</t>
  </si>
  <si>
    <t>mgtA</t>
  </si>
  <si>
    <t>CCB94902.1</t>
  </si>
  <si>
    <t>SALIVA_0571</t>
  </si>
  <si>
    <t>bifunctional protein glmU [Includes: UDP-N-acetylglucosamine pyrophosphorylase (EC 2.7.7.23) (N-acetylglucosamine-1-phosphate uridyltransferase); Glucosamine-1-phosphate N-acetyltransferase]</t>
  </si>
  <si>
    <t>glmU</t>
  </si>
  <si>
    <t>CCB94903.1</t>
  </si>
  <si>
    <t>SALIVA_0572</t>
  </si>
  <si>
    <t>ADP-ribose pyrophosphatase</t>
  </si>
  <si>
    <t>nudF</t>
  </si>
  <si>
    <t>CCB94904.1</t>
  </si>
  <si>
    <t>SALIVA_0573</t>
  </si>
  <si>
    <t>CCB94905.1</t>
  </si>
  <si>
    <t>SALIVA_0574</t>
  </si>
  <si>
    <t>adenosylhomocysteine nucleosidase (MTA/SAH nucleosidase)</t>
  </si>
  <si>
    <t>pfs</t>
  </si>
  <si>
    <t>CCB94906.1</t>
  </si>
  <si>
    <t>SALIVA_0575</t>
  </si>
  <si>
    <t>CCB94907.1</t>
  </si>
  <si>
    <t>SALIVA_0576</t>
  </si>
  <si>
    <t>putative sugar transferase (glycosyltransferase)</t>
  </si>
  <si>
    <t>CCB94908.1</t>
  </si>
  <si>
    <t>SALIVA_0577</t>
  </si>
  <si>
    <t>glycosyl transferase, family 1</t>
  </si>
  <si>
    <t>SPT14</t>
  </si>
  <si>
    <t>CCB94909.1</t>
  </si>
  <si>
    <t>SALIVA_0578</t>
  </si>
  <si>
    <t>CCB94910.1</t>
  </si>
  <si>
    <t>SALIVA_0579</t>
  </si>
  <si>
    <t>threonyl-tRNA synthetase (threonine--tRNA ligase) (ThrRS)</t>
  </si>
  <si>
    <t>thrS</t>
  </si>
  <si>
    <t>CCB94911.1</t>
  </si>
  <si>
    <t>SALIVA_0580</t>
  </si>
  <si>
    <t>CCB94912.1</t>
  </si>
  <si>
    <t>SALIVA_0581</t>
  </si>
  <si>
    <t>CCB94913.1</t>
  </si>
  <si>
    <t>SALIVA_0582</t>
  </si>
  <si>
    <t>conserved domain protein</t>
  </si>
  <si>
    <t>CCB94914.1</t>
  </si>
  <si>
    <t>SALIVA_0583</t>
  </si>
  <si>
    <t>predicted membrane protein, hemolysin III homolog</t>
  </si>
  <si>
    <t>CCB94915.1</t>
  </si>
  <si>
    <t>SALIVA_0584</t>
  </si>
  <si>
    <t>putative uncharacterized protein SAG1318</t>
  </si>
  <si>
    <t>CCB94916.1</t>
  </si>
  <si>
    <t>SALIVA_0585</t>
  </si>
  <si>
    <t>3-hydroxy-3-methylglutaryl-coenzyme A reductase (HMG-CoA reductase)</t>
  </si>
  <si>
    <t>mvaA</t>
  </si>
  <si>
    <t>CCB94917.1</t>
  </si>
  <si>
    <t>SALIVA_0586</t>
  </si>
  <si>
    <t>hydroxymethylglutaryl-CoA synthase</t>
  </si>
  <si>
    <t>hmcM</t>
  </si>
  <si>
    <t>CCB94918.1</t>
  </si>
  <si>
    <t>SALIVA_0587</t>
  </si>
  <si>
    <t>thymidylate synthase (TS) (TSase)</t>
  </si>
  <si>
    <t>thyA</t>
  </si>
  <si>
    <t>CCB94919.1</t>
  </si>
  <si>
    <t>SALIVA_0588</t>
  </si>
  <si>
    <t>dihydrofolate reductase</t>
  </si>
  <si>
    <t>folA</t>
  </si>
  <si>
    <t>CCB94920.1</t>
  </si>
  <si>
    <t>SALIVA_0589</t>
  </si>
  <si>
    <t>CCB94921.1</t>
  </si>
  <si>
    <t>SALIVA_0590</t>
  </si>
  <si>
    <t>ATP-dependent Clp protease ATP-binding subunit clpX</t>
  </si>
  <si>
    <t>clpX</t>
  </si>
  <si>
    <t>CCB94922.1</t>
  </si>
  <si>
    <t>SALIVA_0591</t>
  </si>
  <si>
    <t>putative GTP-binding protein engB</t>
  </si>
  <si>
    <t>engB</t>
  </si>
  <si>
    <t>CCB94923.1</t>
  </si>
  <si>
    <t>SALIVA_0592</t>
  </si>
  <si>
    <t>amino acid permease</t>
  </si>
  <si>
    <t>CCB94924.1</t>
  </si>
  <si>
    <t>SALIVA_0594</t>
  </si>
  <si>
    <t>homocysteine S-methyltransferase 1</t>
  </si>
  <si>
    <t>hMT-1</t>
  </si>
  <si>
    <t>CCB94925.1</t>
  </si>
  <si>
    <t>SALIVA_0595</t>
  </si>
  <si>
    <t>CCB94926.1</t>
  </si>
  <si>
    <t>SALIVA_0596</t>
  </si>
  <si>
    <t>CCB94927.1</t>
  </si>
  <si>
    <t>SALIVA_0597</t>
  </si>
  <si>
    <t>UPF0078 membrane protein str0587</t>
  </si>
  <si>
    <t>CCB94928.1</t>
  </si>
  <si>
    <t>SALIVA_0598</t>
  </si>
  <si>
    <t>DNA topoisomerase 4 subunit B (topoisomerase IV subunit B)</t>
  </si>
  <si>
    <t>parE</t>
  </si>
  <si>
    <t>CCB94929.1</t>
  </si>
  <si>
    <t>SALIVA_0599</t>
  </si>
  <si>
    <t>CCB94930.1</t>
  </si>
  <si>
    <t>SALIVA_0600</t>
  </si>
  <si>
    <t>CCB94931.1</t>
  </si>
  <si>
    <t>SALIVA_0601</t>
  </si>
  <si>
    <t>DNA topoisomerase 4 subunit A (topoisomerase IV subunit A)</t>
  </si>
  <si>
    <t>parC</t>
  </si>
  <si>
    <t>CCB94932.1</t>
  </si>
  <si>
    <t>SALIVA_0602</t>
  </si>
  <si>
    <t>branched-chain-amino-acid aminotransferase (BCAT)</t>
  </si>
  <si>
    <t>ilvE</t>
  </si>
  <si>
    <t>CCB94933.1</t>
  </si>
  <si>
    <t>SALIVA_0603</t>
  </si>
  <si>
    <t>CCB94934.1</t>
  </si>
  <si>
    <t>SALIVA_0604</t>
  </si>
  <si>
    <t>SALIVA_0605</t>
  </si>
  <si>
    <t>SALIVA_0606</t>
  </si>
  <si>
    <t>30S ribosomal protein S1</t>
  </si>
  <si>
    <t>rpsA</t>
  </si>
  <si>
    <t>CCB94935.1</t>
  </si>
  <si>
    <t>SALIVA_0607</t>
  </si>
  <si>
    <t>SALIVA_0608</t>
  </si>
  <si>
    <t>putative lipoprotein</t>
  </si>
  <si>
    <t>CCB94936.1</t>
  </si>
  <si>
    <t>SALIVA_0609</t>
  </si>
  <si>
    <t>CCB94937.1</t>
  </si>
  <si>
    <t>SALIVA_0610</t>
  </si>
  <si>
    <t>peptidoglycan branched peptide synthesis protein,alanine adding enzyme</t>
  </si>
  <si>
    <t>murN</t>
  </si>
  <si>
    <t>CCB94938.1</t>
  </si>
  <si>
    <t>SALIVA_0611</t>
  </si>
  <si>
    <t>putative oxidoreductase yulF</t>
  </si>
  <si>
    <t>yulF</t>
  </si>
  <si>
    <t>CCB94939.1</t>
  </si>
  <si>
    <t>SALIVA_0612</t>
  </si>
  <si>
    <t>CCB94940.1</t>
  </si>
  <si>
    <t>SALIVA_0613</t>
  </si>
  <si>
    <t>putative mutator protein (7,8-dihydro-8-oxoguanine-triphosphatase)</t>
  </si>
  <si>
    <t>CCB94941.1</t>
  </si>
  <si>
    <t>SALIVA_0614</t>
  </si>
  <si>
    <t>ATP-dependent Clp protease</t>
  </si>
  <si>
    <t>clpE</t>
  </si>
  <si>
    <t>CCB94942.1</t>
  </si>
  <si>
    <t>SALIVA_0615</t>
  </si>
  <si>
    <t>ornithine carbamoyltransferase (OTCase)</t>
  </si>
  <si>
    <t>argF</t>
  </si>
  <si>
    <t>CCB94943.1</t>
  </si>
  <si>
    <t>SALIVA_0616</t>
  </si>
  <si>
    <t>CCB94944.1</t>
  </si>
  <si>
    <t>SALIVA_0617</t>
  </si>
  <si>
    <t>polar amino acid ABC uptake transporter membrane-spanning protein</t>
  </si>
  <si>
    <t>CCB94945.1</t>
  </si>
  <si>
    <t>SALIVA_0618</t>
  </si>
  <si>
    <t>CCB94946.1</t>
  </si>
  <si>
    <t>SALIVA_0619</t>
  </si>
  <si>
    <t>ferrous ion transport protein A</t>
  </si>
  <si>
    <t>feoA</t>
  </si>
  <si>
    <t>CCB94947.1</t>
  </si>
  <si>
    <t>SALIVA_0620</t>
  </si>
  <si>
    <t>ferrous ion transport protein B</t>
  </si>
  <si>
    <t>feoB</t>
  </si>
  <si>
    <t>CCB94948.1</t>
  </si>
  <si>
    <t>SALIVA_0621</t>
  </si>
  <si>
    <t>CCB94949.1</t>
  </si>
  <si>
    <t>SALIVA_0622</t>
  </si>
  <si>
    <t>arylesterase-related protein</t>
  </si>
  <si>
    <t>CCB94950.1</t>
  </si>
  <si>
    <t>SALIVA_0623</t>
  </si>
  <si>
    <t>bifunctional protein folD [Includes: Methylenetetrahydrofolate dehydrogenase (EC 1.5.1.5); Methenyltetrahydrofolate cyclohydrolase]</t>
  </si>
  <si>
    <t>folD</t>
  </si>
  <si>
    <t>CCB94951.1</t>
  </si>
  <si>
    <t>SALIVA_0624</t>
  </si>
  <si>
    <t>NAD-dependent DNA ligase LigA</t>
  </si>
  <si>
    <t>ligA</t>
  </si>
  <si>
    <t>CCB94952.1</t>
  </si>
  <si>
    <t>SALIVA_0625</t>
  </si>
  <si>
    <t>penicillin-binding protein 2B</t>
  </si>
  <si>
    <t>pbp2b</t>
  </si>
  <si>
    <t>CCB94953.1</t>
  </si>
  <si>
    <t>SALIVA_0626</t>
  </si>
  <si>
    <t>recombination protein recR</t>
  </si>
  <si>
    <t>recR</t>
  </si>
  <si>
    <t>CCB94954.1</t>
  </si>
  <si>
    <t>SALIVA_0627</t>
  </si>
  <si>
    <t>transcription antiterminator licT</t>
  </si>
  <si>
    <t>licT</t>
  </si>
  <si>
    <t>CCB94955.1</t>
  </si>
  <si>
    <t>SALIVA_0628</t>
  </si>
  <si>
    <t>putative metalloprotease ykjF</t>
  </si>
  <si>
    <t>ykjF</t>
  </si>
  <si>
    <t>CCB94956.1</t>
  </si>
  <si>
    <t>SALIVA_0629</t>
  </si>
  <si>
    <t>diacylglycerol kinase (DAGK) (diglyceride kinase) (DGK)</t>
  </si>
  <si>
    <t>dgkA</t>
  </si>
  <si>
    <t>CCB94957.1</t>
  </si>
  <si>
    <t>SALIVA_0630</t>
  </si>
  <si>
    <t>GTP-binding protein</t>
  </si>
  <si>
    <t>era</t>
  </si>
  <si>
    <t>CCB94958.1</t>
  </si>
  <si>
    <t>SALIVA_0631</t>
  </si>
  <si>
    <t>formamidopyrimidine-DNA glycosylase (EC 3.2.2.23) (fapy-DNA glycosylase) (DNA-(apurinic or apyrimidinic site) lyase mutM) (AP lyase mutM)</t>
  </si>
  <si>
    <t>mutM</t>
  </si>
  <si>
    <t>CCB94959.1</t>
  </si>
  <si>
    <t>SALIVA_0632</t>
  </si>
  <si>
    <t>dephospho-CoA kinase (Dephosphocoenzyme A kinase)</t>
  </si>
  <si>
    <t>coaE</t>
  </si>
  <si>
    <t>CCB94960.1</t>
  </si>
  <si>
    <t>SALIVA_0633</t>
  </si>
  <si>
    <t>drug:H+ antiporter-1 (DHA1) family protein</t>
  </si>
  <si>
    <t>pmrA</t>
  </si>
  <si>
    <t>CCB94961.1</t>
  </si>
  <si>
    <t>SALIVA_0634</t>
  </si>
  <si>
    <t>preprotein translocase subunit SecG</t>
  </si>
  <si>
    <t>CCB94962.1</t>
  </si>
  <si>
    <t>SALIVA_0635</t>
  </si>
  <si>
    <t>exoribonuclease R</t>
  </si>
  <si>
    <t>rnr1</t>
  </si>
  <si>
    <t>CCB94963.1</t>
  </si>
  <si>
    <t>SALIVA_0636</t>
  </si>
  <si>
    <t>SsrA-binding protein</t>
  </si>
  <si>
    <t>smpB</t>
  </si>
  <si>
    <t>CCB94964.1</t>
  </si>
  <si>
    <t>SALIVA_0637</t>
  </si>
  <si>
    <t>pplB</t>
  </si>
  <si>
    <t>CCB94965.1</t>
  </si>
  <si>
    <t>SALIVA_0638</t>
  </si>
  <si>
    <t>predicted RNA binding protein (contains ribosomal protein S1 domain)</t>
  </si>
  <si>
    <t>CCB94966.1</t>
  </si>
  <si>
    <t>SALIVA_0639</t>
  </si>
  <si>
    <t>Xaa-Pro dipeptidase (X-Pro dipeptidase) (proline dipeptidase) (prolidase) (imidodipeptidase)</t>
  </si>
  <si>
    <t>pepQ</t>
  </si>
  <si>
    <t>CCB94967.1</t>
  </si>
  <si>
    <t>SALIVA_0640</t>
  </si>
  <si>
    <t>catabolite control protein</t>
  </si>
  <si>
    <t>ccpA</t>
  </si>
  <si>
    <t>CCB94968.1</t>
  </si>
  <si>
    <t>SALIVA_0641</t>
  </si>
  <si>
    <t>SUB1332 undefined product 1320397:1321476 reverse MW:41202</t>
  </si>
  <si>
    <t>CCB94969.1</t>
  </si>
  <si>
    <t>SALIVA_0642</t>
  </si>
  <si>
    <t>glycerate kinase</t>
  </si>
  <si>
    <t>glxK</t>
  </si>
  <si>
    <t>CCB94970.1</t>
  </si>
  <si>
    <t>SALIVA_0643</t>
  </si>
  <si>
    <t>glycogen synthase</t>
  </si>
  <si>
    <t>glgA</t>
  </si>
  <si>
    <t>CCB94971.1</t>
  </si>
  <si>
    <t>SALIVA_0644</t>
  </si>
  <si>
    <t>enolase (2-phosphoglycerate dehydratase) (2-phospho-D-glycerate hydro-lyase)</t>
  </si>
  <si>
    <t>eno</t>
  </si>
  <si>
    <t>CCB94972.1</t>
  </si>
  <si>
    <t>SALIVA_0645</t>
  </si>
  <si>
    <t>CCB94973.1</t>
  </si>
  <si>
    <t>SALIVA_0646</t>
  </si>
  <si>
    <t>CCB94974.1</t>
  </si>
  <si>
    <t>SALIVA_0647</t>
  </si>
  <si>
    <t>putative uncharacterized protein (methyltransferase)</t>
  </si>
  <si>
    <t>CCB94975.1</t>
  </si>
  <si>
    <t>SALIVA_0648</t>
  </si>
  <si>
    <t>3-dehydroquinate dehydratase (3-dehydroquinase) (type I DHQase)</t>
  </si>
  <si>
    <t>aroD</t>
  </si>
  <si>
    <t>CCB94976.1</t>
  </si>
  <si>
    <t>SALIVA_0649</t>
  </si>
  <si>
    <t>shikimate dehydrogenase</t>
  </si>
  <si>
    <t>aroE</t>
  </si>
  <si>
    <t>CCB94977.1</t>
  </si>
  <si>
    <t>SALIVA_0650</t>
  </si>
  <si>
    <t>3-dehydroquinate synthase</t>
  </si>
  <si>
    <t>aroB</t>
  </si>
  <si>
    <t>CCB94978.1</t>
  </si>
  <si>
    <t>SALIVA_0651</t>
  </si>
  <si>
    <t>chorismate synthase (5-enolpyruvylshikimate-3-phosphate phospholyase)</t>
  </si>
  <si>
    <t>aroC</t>
  </si>
  <si>
    <t>CCB94979.1</t>
  </si>
  <si>
    <t>SALIVA_0652</t>
  </si>
  <si>
    <t>prephenate dehydrogenase (PDH)</t>
  </si>
  <si>
    <t>tyrA</t>
  </si>
  <si>
    <t>CCB94980.1</t>
  </si>
  <si>
    <t>SALIVA_0653</t>
  </si>
  <si>
    <t>UPF0342 protein str0643</t>
  </si>
  <si>
    <t>CCB94981.1</t>
  </si>
  <si>
    <t>SALIVA_0654</t>
  </si>
  <si>
    <t>L-lactate dehydrogenase 1 (L-LDH 1)</t>
  </si>
  <si>
    <t>ldh1</t>
  </si>
  <si>
    <t>CCB94982.1</t>
  </si>
  <si>
    <t>SALIVA_0655</t>
  </si>
  <si>
    <t>3-phosphoshikimate 1-carboxyvinyltransferase (5-enolpyruvylshikimate-3-phosphate synthase) (EPSP synthase) (EPSPS)</t>
  </si>
  <si>
    <t>aroA</t>
  </si>
  <si>
    <t>CCB94983.1</t>
  </si>
  <si>
    <t>SALIVA_0656</t>
  </si>
  <si>
    <t>shikimate kinase (SK)</t>
  </si>
  <si>
    <t>aroK</t>
  </si>
  <si>
    <t>CCB94984.1</t>
  </si>
  <si>
    <t>SALIVA_0657</t>
  </si>
  <si>
    <t>prephenate dehydratase (PDT)</t>
  </si>
  <si>
    <t>pheA</t>
  </si>
  <si>
    <t>CCB94985.1</t>
  </si>
  <si>
    <t>SALIVA_0658</t>
  </si>
  <si>
    <t>transcriptional regulator, LytR family</t>
  </si>
  <si>
    <t>CCB94986.1</t>
  </si>
  <si>
    <t>SALIVA_0659</t>
  </si>
  <si>
    <t>tellurite resistance protein or related permease</t>
  </si>
  <si>
    <t>CCB94987.1</t>
  </si>
  <si>
    <t>SALIVA_0660</t>
  </si>
  <si>
    <t>acyl-CoA dehydrogenase</t>
  </si>
  <si>
    <t>CCB94988.1</t>
  </si>
  <si>
    <t>SALIVA_0661</t>
  </si>
  <si>
    <t>CCB94989.1</t>
  </si>
  <si>
    <t>SALIVA_0662</t>
  </si>
  <si>
    <t>CCB94990.1</t>
  </si>
  <si>
    <t>SALIVA_0663</t>
  </si>
  <si>
    <t>CCB94991.1</t>
  </si>
  <si>
    <t>SALIVA_0664</t>
  </si>
  <si>
    <t>uncharacterized low-complexity protein</t>
  </si>
  <si>
    <t>CCB94992.1</t>
  </si>
  <si>
    <t>SALIVA_0665</t>
  </si>
  <si>
    <t>CCB94993.1</t>
  </si>
  <si>
    <t>SALIVA_0666</t>
  </si>
  <si>
    <t>CCB94994.1</t>
  </si>
  <si>
    <t>SALIVA_0667</t>
  </si>
  <si>
    <t>CCB94995.1</t>
  </si>
  <si>
    <t>SALIVA_0668</t>
  </si>
  <si>
    <t>CCB94996.1</t>
  </si>
  <si>
    <t>SALIVA_0670</t>
  </si>
  <si>
    <t>CCB94997.1</t>
  </si>
  <si>
    <t>SALIVA_0671</t>
  </si>
  <si>
    <t>CCB94998.1</t>
  </si>
  <si>
    <t>SALIVA_0672</t>
  </si>
  <si>
    <t>CCB94999.1</t>
  </si>
  <si>
    <t>SALIVA_0674</t>
  </si>
  <si>
    <t>hypothetical cytosolic protein</t>
  </si>
  <si>
    <t>CCB95000.1</t>
  </si>
  <si>
    <t>SALIVA_0675</t>
  </si>
  <si>
    <t>putative alpha/beta superfamily hydrolase</t>
  </si>
  <si>
    <t>CCB95001.1</t>
  </si>
  <si>
    <t>SALIVA_0676</t>
  </si>
  <si>
    <t>SSU0885 undefined product 918269:918760 reverse MW:19375</t>
  </si>
  <si>
    <t>CCB95002.1</t>
  </si>
  <si>
    <t>SALIVA_0677</t>
  </si>
  <si>
    <t>uncharacterized transporter yycB</t>
  </si>
  <si>
    <t>yycB</t>
  </si>
  <si>
    <t>CCB95003.1</t>
  </si>
  <si>
    <t>SALIVA_0678</t>
  </si>
  <si>
    <t>UPF0230 protein spr0652</t>
  </si>
  <si>
    <t>CCB95004.1</t>
  </si>
  <si>
    <t>SALIVA_0679</t>
  </si>
  <si>
    <t>transcriptional regulator, TetR family</t>
  </si>
  <si>
    <t>CCB95005.1</t>
  </si>
  <si>
    <t>SALIVA_0680</t>
  </si>
  <si>
    <t>cutC-like protein M6_Spy0363</t>
  </si>
  <si>
    <t>CCB95006.1</t>
  </si>
  <si>
    <t>SALIVA_0681</t>
  </si>
  <si>
    <t>CCB95007.1</t>
  </si>
  <si>
    <t>SALIVA_0682</t>
  </si>
  <si>
    <t>CCB95008.1</t>
  </si>
  <si>
    <t>SALIVA_0683</t>
  </si>
  <si>
    <t>permease of the major facilitator superfamily</t>
  </si>
  <si>
    <t>CCB95009.1</t>
  </si>
  <si>
    <t>SALIVA_0684</t>
  </si>
  <si>
    <t>CCB95010.1</t>
  </si>
  <si>
    <t>SALIVA_0685</t>
  </si>
  <si>
    <t>CCB95011.1</t>
  </si>
  <si>
    <t>SALIVA_0686</t>
  </si>
  <si>
    <t>CCB95012.1</t>
  </si>
  <si>
    <t>SALIVA_0687</t>
  </si>
  <si>
    <t>putative ferrichrome ABC transporter (permease)</t>
  </si>
  <si>
    <t>fhuB</t>
  </si>
  <si>
    <t>CCB95013.1</t>
  </si>
  <si>
    <t>SALIVA_0688</t>
  </si>
  <si>
    <t>hemin import ATP-binding protein hmuV</t>
  </si>
  <si>
    <t>hmuV</t>
  </si>
  <si>
    <t>CCB95014.1</t>
  </si>
  <si>
    <t>SALIVA_0689</t>
  </si>
  <si>
    <t>putative iron(III) dicitrate-binding periplasmic protein</t>
  </si>
  <si>
    <t>CCB95015.1</t>
  </si>
  <si>
    <t>SALIVA_0690</t>
  </si>
  <si>
    <t>predicted esterase of alpha/beta hydrolase superfamily, YBBA B. subtilis ortholog</t>
  </si>
  <si>
    <t>CCB95016.1</t>
  </si>
  <si>
    <t>SALIVA_0691</t>
  </si>
  <si>
    <t>CCB95017.1</t>
  </si>
  <si>
    <t>SALIVA_0692</t>
  </si>
  <si>
    <t>CCB95018.1</t>
  </si>
  <si>
    <t>SALIVA_0693</t>
  </si>
  <si>
    <t>CCB95019.1</t>
  </si>
  <si>
    <t>SALIVA_0694</t>
  </si>
  <si>
    <t>CCB95020.1</t>
  </si>
  <si>
    <t>SALIVA_0695</t>
  </si>
  <si>
    <t>lpdA</t>
  </si>
  <si>
    <t>CCB95021.1</t>
  </si>
  <si>
    <t>SALIVA_0696</t>
  </si>
  <si>
    <t>acetoin:2,6-dichlorophenolindophenol oxidoreductase alpha subunit (acetoin:DCPIP oxidoreductase-alpha) (AO:DCPIP OR)</t>
  </si>
  <si>
    <t>acoA</t>
  </si>
  <si>
    <t>CCB95022.1</t>
  </si>
  <si>
    <t>SALIVA_0697</t>
  </si>
  <si>
    <t>acetoin:2,6-dichlorophenolindophenol oxidoreductase subunit beta (Acetoin:DCPIP oxidoreductase-beta) (AO:DCPIP OR) (TPP-dependent acetoin dehydrogenase E1 subunit beta)</t>
  </si>
  <si>
    <t>acoB</t>
  </si>
  <si>
    <t>CCB95023.1</t>
  </si>
  <si>
    <t>SALIVA_0698</t>
  </si>
  <si>
    <t>dihydrolipoyllysine-residue acetyltransferase component of acetoin cleaving system</t>
  </si>
  <si>
    <t>acoC</t>
  </si>
  <si>
    <t>CCB95024.1</t>
  </si>
  <si>
    <t>SALIVA_0699</t>
  </si>
  <si>
    <t>SAM-dependent methyltransferase</t>
  </si>
  <si>
    <t>CCB95025.1</t>
  </si>
  <si>
    <t>SALIVA_0700</t>
  </si>
  <si>
    <t>putative transcriptional regulator (TetR family)</t>
  </si>
  <si>
    <t>CCB95026.1</t>
  </si>
  <si>
    <t>SALIVA_0701</t>
  </si>
  <si>
    <t>CCB95027.1</t>
  </si>
  <si>
    <t>SALIVA_0702</t>
  </si>
  <si>
    <t>conserved protein, amino terminal protease family</t>
  </si>
  <si>
    <t>CCB95028.1</t>
  </si>
  <si>
    <t>SALIVA_0703</t>
  </si>
  <si>
    <t>CCB95029.1</t>
  </si>
  <si>
    <t>SALIVA_0704</t>
  </si>
  <si>
    <t>CCB95030.1</t>
  </si>
  <si>
    <t>SALIVA_0705</t>
  </si>
  <si>
    <t>CCB95031.1</t>
  </si>
  <si>
    <t>SALIVA_0706</t>
  </si>
  <si>
    <t>putative uncharacterized protein SAG0888</t>
  </si>
  <si>
    <t>CCB95032.1</t>
  </si>
  <si>
    <t>SALIVA_0707</t>
  </si>
  <si>
    <t>putative uncharacterized protein SAG0889</t>
  </si>
  <si>
    <t>CCB95033.1</t>
  </si>
  <si>
    <t>SALIVA_0708</t>
  </si>
  <si>
    <t>CCB95034.1</t>
  </si>
  <si>
    <t>SALIVA_0709</t>
  </si>
  <si>
    <t>CCB95035.1</t>
  </si>
  <si>
    <t>SALIVA_0710</t>
  </si>
  <si>
    <t>CCB95036.1</t>
  </si>
  <si>
    <t>SALIVA_0711</t>
  </si>
  <si>
    <t>putative uncharacterized protein yhbF</t>
  </si>
  <si>
    <t>yhbF</t>
  </si>
  <si>
    <t>CCB95037.1</t>
  </si>
  <si>
    <t>SALIVA_0712</t>
  </si>
  <si>
    <t>CCB95038.1</t>
  </si>
  <si>
    <t>SALIVA_0713</t>
  </si>
  <si>
    <t>putative sulfate transporter ychM</t>
  </si>
  <si>
    <t>ychM</t>
  </si>
  <si>
    <t>CCB95039.1</t>
  </si>
  <si>
    <t>SALIVA_0714</t>
  </si>
  <si>
    <t>CRISPR-associated endonuclease, Csn1 family</t>
  </si>
  <si>
    <t>CCB95040.1</t>
  </si>
  <si>
    <t>SALIVA_0715</t>
  </si>
  <si>
    <t>CCB95041.1</t>
  </si>
  <si>
    <t>SALIVA_0716</t>
  </si>
  <si>
    <t>CCB95042.1</t>
  </si>
  <si>
    <t>SALIVA_0717</t>
  </si>
  <si>
    <t>CCB95043.1</t>
  </si>
  <si>
    <t>SALIVA_0718</t>
  </si>
  <si>
    <t>CCB95044.1</t>
  </si>
  <si>
    <t>SALIVA_3000</t>
  </si>
  <si>
    <t>CCB95045.1</t>
  </si>
  <si>
    <t>SALIVA_0719</t>
  </si>
  <si>
    <t>CCB95046.1</t>
  </si>
  <si>
    <t>SALIVA_0720</t>
  </si>
  <si>
    <t>CCB95047.1</t>
  </si>
  <si>
    <t>SALIVA_0721</t>
  </si>
  <si>
    <t>tex</t>
  </si>
  <si>
    <t>CCB95048.1</t>
  </si>
  <si>
    <t>SALIVA_0722</t>
  </si>
  <si>
    <t>metallopeptidase, SprT family</t>
  </si>
  <si>
    <t>CCB95049.1</t>
  </si>
  <si>
    <t>SALIVA_0723</t>
  </si>
  <si>
    <t>putative stress-responsive transcriptional regulator</t>
  </si>
  <si>
    <t>CCB95050.1</t>
  </si>
  <si>
    <t>SALIVA_0724</t>
  </si>
  <si>
    <t>HPr kinase/phosphorylase</t>
  </si>
  <si>
    <t>hprK</t>
  </si>
  <si>
    <t>CCB95051.1</t>
  </si>
  <si>
    <t>SALIVA_0725</t>
  </si>
  <si>
    <t>prolipoprotein diacylglyceryl transferase</t>
  </si>
  <si>
    <t>lgt</t>
  </si>
  <si>
    <t>CCB95052.1</t>
  </si>
  <si>
    <t>SALIVA_0726</t>
  </si>
  <si>
    <t>CCB95053.1</t>
  </si>
  <si>
    <t>SALIVA_0727</t>
  </si>
  <si>
    <t>CCB95054.1</t>
  </si>
  <si>
    <t>SALIVA_0728</t>
  </si>
  <si>
    <t>CCB95055.1</t>
  </si>
  <si>
    <t>SALIVA_0729</t>
  </si>
  <si>
    <t>peptidase, U32 family</t>
  </si>
  <si>
    <t>yuhB</t>
  </si>
  <si>
    <t>CCB95056.1</t>
  </si>
  <si>
    <t>SALIVA_0730</t>
  </si>
  <si>
    <t>yegQ</t>
  </si>
  <si>
    <t>CCB95057.1</t>
  </si>
  <si>
    <t>SALIVA_0731</t>
  </si>
  <si>
    <t>helper of Tim protein 13</t>
  </si>
  <si>
    <t>hOT13</t>
  </si>
  <si>
    <t>CCB95058.1</t>
  </si>
  <si>
    <t>SALIVA_0732</t>
  </si>
  <si>
    <t>biotin synthase</t>
  </si>
  <si>
    <t>bioY-1</t>
  </si>
  <si>
    <t>CCB95059.1</t>
  </si>
  <si>
    <t>SALIVA_0733</t>
  </si>
  <si>
    <t>CCB95060.1</t>
  </si>
  <si>
    <t>SALIVA_0734</t>
  </si>
  <si>
    <t>CCB95061.1</t>
  </si>
  <si>
    <t>SALIVA_0735</t>
  </si>
  <si>
    <t>Mn2+ and Fe2+ transporter of the NRAMP family</t>
  </si>
  <si>
    <t>CCB95062.1</t>
  </si>
  <si>
    <t>SALIVA_0736</t>
  </si>
  <si>
    <t>CCB95063.1</t>
  </si>
  <si>
    <t>SALIVA_0737</t>
  </si>
  <si>
    <t>CTP pyrophosphohydrolase</t>
  </si>
  <si>
    <t>nudG</t>
  </si>
  <si>
    <t>CCB95064.1</t>
  </si>
  <si>
    <t>SALIVA_0738</t>
  </si>
  <si>
    <t>SUB1336 undefined product 1324245:1327112 reverse MW:109963</t>
  </si>
  <si>
    <t>CCB95065.1</t>
  </si>
  <si>
    <t>SALIVA_0739</t>
  </si>
  <si>
    <t>CCB95066.1</t>
  </si>
  <si>
    <t>SALIVA_0740</t>
  </si>
  <si>
    <t>lysyl-tRNA synthetase</t>
  </si>
  <si>
    <t>lysS</t>
  </si>
  <si>
    <t>CCB95067.1</t>
  </si>
  <si>
    <t>SALIVA_0741</t>
  </si>
  <si>
    <t>CCB95068.1</t>
  </si>
  <si>
    <t>SALIVA_0742</t>
  </si>
  <si>
    <t>CCB95069.1</t>
  </si>
  <si>
    <t>SALIVA_0743</t>
  </si>
  <si>
    <t>predicted hydrolase (HAD superfamily)</t>
  </si>
  <si>
    <t>CCB95070.1</t>
  </si>
  <si>
    <t>SALIVA_0744</t>
  </si>
  <si>
    <t>CCB95071.1</t>
  </si>
  <si>
    <t>SALIVA_0745</t>
  </si>
  <si>
    <t>putative phosphoglycerate mutase gpmB (phosphoglyceromutase) (PGAM)</t>
  </si>
  <si>
    <t>CCB95072.1</t>
  </si>
  <si>
    <t>SALIVA_0746</t>
  </si>
  <si>
    <t>CCB95073.1</t>
  </si>
  <si>
    <t>SALIVA_0747</t>
  </si>
  <si>
    <t>putative endolysin, phage associated (N-acetylmuramoyl-L-alanine amidase)</t>
  </si>
  <si>
    <t>CCB95074.1</t>
  </si>
  <si>
    <t>SALIVA_0748</t>
  </si>
  <si>
    <t>CCB95075.1</t>
  </si>
  <si>
    <t>SALIVA_0749</t>
  </si>
  <si>
    <t>uncharacterized protein yxeH</t>
  </si>
  <si>
    <t>yxeH</t>
  </si>
  <si>
    <t>CCB95076.1</t>
  </si>
  <si>
    <t>SALIVA_0750</t>
  </si>
  <si>
    <t>CCB95077.1</t>
  </si>
  <si>
    <t>SALIVA_0751</t>
  </si>
  <si>
    <t>suB1079 undefined product 1051177:1052352 reverse MW:44904</t>
  </si>
  <si>
    <t>CCB95078.1</t>
  </si>
  <si>
    <t>SALIVA_0752</t>
  </si>
  <si>
    <t>oxidoreductase, short chain dehydrogenase/reductase family</t>
  </si>
  <si>
    <t>ydfG</t>
  </si>
  <si>
    <t>CCB95079.1</t>
  </si>
  <si>
    <t>SALIVA_0753</t>
  </si>
  <si>
    <t>putative type I restriction enzyme</t>
  </si>
  <si>
    <t>CCB95080.1</t>
  </si>
  <si>
    <t>SALIVA_0754</t>
  </si>
  <si>
    <t>type I restriction enzyme EcoR124II M protein (M.EcoR124II)</t>
  </si>
  <si>
    <t>hsdM</t>
  </si>
  <si>
    <t>CCB95081.1</t>
  </si>
  <si>
    <t>SALIVA_0755</t>
  </si>
  <si>
    <t>putative type-1 restriction enzyme MjaXP specificity protein</t>
  </si>
  <si>
    <t>CCB95082.1</t>
  </si>
  <si>
    <t>SALIVA_0756</t>
  </si>
  <si>
    <t>CCB95083.1</t>
  </si>
  <si>
    <t>SALIVA_0757</t>
  </si>
  <si>
    <t>CCB95084.1</t>
  </si>
  <si>
    <t>SALIVA_0758</t>
  </si>
  <si>
    <t>CCB95085.1</t>
  </si>
  <si>
    <t>SALIVA_0759</t>
  </si>
  <si>
    <t>putative plasmid maintenance system antidote protein, XRE family</t>
  </si>
  <si>
    <t>CCB95086.1</t>
  </si>
  <si>
    <t>SALIVA_0760</t>
  </si>
  <si>
    <t>CCB95087.1</t>
  </si>
  <si>
    <t>SALIVA_0761</t>
  </si>
  <si>
    <t>CCB95088.1</t>
  </si>
  <si>
    <t>SALIVA_0762</t>
  </si>
  <si>
    <t>deoxyribonuclease</t>
  </si>
  <si>
    <t>CCB95089.1</t>
  </si>
  <si>
    <t>SALIVA_0763</t>
  </si>
  <si>
    <t>cytoplasmic membrane protein</t>
  </si>
  <si>
    <t>lemA</t>
  </si>
  <si>
    <t>CCB95090.1</t>
  </si>
  <si>
    <t>SALIVA_0764</t>
  </si>
  <si>
    <t>putative protease htpX homolog</t>
  </si>
  <si>
    <t>htpX</t>
  </si>
  <si>
    <t>CCB95091.1</t>
  </si>
  <si>
    <t>SALIVA_0765</t>
  </si>
  <si>
    <t>iron-dependent transcriptional regulator</t>
  </si>
  <si>
    <t>mntR</t>
  </si>
  <si>
    <t>CCB95092.1</t>
  </si>
  <si>
    <t>SALIVA_0766</t>
  </si>
  <si>
    <t>manganese ABC transporter substrate-binding lipoprotein precursor (adhesin B) (saliva-binding protein)</t>
  </si>
  <si>
    <t>mntA</t>
  </si>
  <si>
    <t>CCB95093.1</t>
  </si>
  <si>
    <t>SALIVA_0767</t>
  </si>
  <si>
    <t>manganese transport system membrane protein mntC</t>
  </si>
  <si>
    <t>mntC</t>
  </si>
  <si>
    <t>CCB95094.1</t>
  </si>
  <si>
    <t>SALIVA_0768</t>
  </si>
  <si>
    <t>putative manganese transport system ATP-binding protein mntB, hypothetical ABC transporter ATP-binding protein in scaA 5 region (ORF1)</t>
  </si>
  <si>
    <t>mntB</t>
  </si>
  <si>
    <t>CCB95095.1</t>
  </si>
  <si>
    <t>SALIVA_0769</t>
  </si>
  <si>
    <t>CCB95096.1</t>
  </si>
  <si>
    <t>SALIVA_0770</t>
  </si>
  <si>
    <t>CCB95097.1</t>
  </si>
  <si>
    <t>SALIVA_0771</t>
  </si>
  <si>
    <t>phosphoenolpyruvate carboxylase (PEPCase) (PEPC)</t>
  </si>
  <si>
    <t>ppc</t>
  </si>
  <si>
    <t>CCB95098.1</t>
  </si>
  <si>
    <t>SALIVA_0772</t>
  </si>
  <si>
    <t>DNA polymerase III delta subunit</t>
  </si>
  <si>
    <t>holA</t>
  </si>
  <si>
    <t>CCB95099.1</t>
  </si>
  <si>
    <t>SALIVA_0773</t>
  </si>
  <si>
    <t>superoxide dismutase</t>
  </si>
  <si>
    <t>sodA</t>
  </si>
  <si>
    <t>CCB95100.1</t>
  </si>
  <si>
    <t>SALIVA_0774</t>
  </si>
  <si>
    <t>CCB95101.1</t>
  </si>
  <si>
    <t>SALIVA_0775</t>
  </si>
  <si>
    <t>type IV prepilin peptidase-related protein</t>
  </si>
  <si>
    <t>CCB95102.1</t>
  </si>
  <si>
    <t>SALIVA_0776</t>
  </si>
  <si>
    <t>DNA protection during starvation protein</t>
  </si>
  <si>
    <t>dps</t>
  </si>
  <si>
    <t>CCB95103.1</t>
  </si>
  <si>
    <t>SALIVA_0778</t>
  </si>
  <si>
    <t>Fe2+/Zn2+ uptake regulation protein</t>
  </si>
  <si>
    <t>CCB95104.1</t>
  </si>
  <si>
    <t>SALIVA_0779</t>
  </si>
  <si>
    <t>CCB95105.1</t>
  </si>
  <si>
    <t>SALIVA_0780</t>
  </si>
  <si>
    <t>glucokinase (glucose kinase)</t>
  </si>
  <si>
    <t>glcK</t>
  </si>
  <si>
    <t>CCB95106.1</t>
  </si>
  <si>
    <t>SALIVA_0781</t>
  </si>
  <si>
    <t>GTP-binding protein TypA/BipA (tyrosine phosphorylated protein A)</t>
  </si>
  <si>
    <t>typA</t>
  </si>
  <si>
    <t>CCB95107.1</t>
  </si>
  <si>
    <t>SALIVA_0783</t>
  </si>
  <si>
    <t>CCB95108.1</t>
  </si>
  <si>
    <t>SALIVA_0784</t>
  </si>
  <si>
    <t>uDP-N-acetylmuramoylalanine--D-glutamate ligase</t>
  </si>
  <si>
    <t>murD</t>
  </si>
  <si>
    <t>CCB95109.1</t>
  </si>
  <si>
    <t>SALIVA_0785</t>
  </si>
  <si>
    <t>UDP-N-acetylglucosamine--N-acetylmuramyl-(pentapeptide) pyrophosphoryl-undecaprenol N-acetylglucosamine transferase (Undecaprenyl-PP-MurNAc-pentapeptide-UDPGlcNAc GlcNAc transferase)</t>
  </si>
  <si>
    <t>murG</t>
  </si>
  <si>
    <t>CCB95110.1</t>
  </si>
  <si>
    <t>SALIVA_0786</t>
  </si>
  <si>
    <t>cell division protein FtsQ</t>
  </si>
  <si>
    <t>ftsQ</t>
  </si>
  <si>
    <t>CCB95111.1</t>
  </si>
  <si>
    <t>SALIVA_0787</t>
  </si>
  <si>
    <t>cell division protein FtsA</t>
  </si>
  <si>
    <t>CCB95112.1</t>
  </si>
  <si>
    <t>SALIVA_0788</t>
  </si>
  <si>
    <t>cell division protein FtsZ</t>
  </si>
  <si>
    <t>CCB95113.1</t>
  </si>
  <si>
    <t>SALIVA_0789</t>
  </si>
  <si>
    <t>isoleucyl-tRNA synthetase</t>
  </si>
  <si>
    <t>ileS</t>
  </si>
  <si>
    <t>CCB95114.1</t>
  </si>
  <si>
    <t>SALIVA_0790</t>
  </si>
  <si>
    <t>CCB95115.1</t>
  </si>
  <si>
    <t>SALIVA_0792</t>
  </si>
  <si>
    <t>cell division membrane protein</t>
  </si>
  <si>
    <t>CCB95116.1</t>
  </si>
  <si>
    <t>SALIVA_0793</t>
  </si>
  <si>
    <t>cell division protein, contains S4-like domain</t>
  </si>
  <si>
    <t>CCB95117.1</t>
  </si>
  <si>
    <t>SALIVA_0794</t>
  </si>
  <si>
    <t>cell division initiation protein</t>
  </si>
  <si>
    <t>divIVA</t>
  </si>
  <si>
    <t>CCB95118.1</t>
  </si>
  <si>
    <t>SALIVA_0795</t>
  </si>
  <si>
    <t>isoleucyl-tRNA synthetase (isoleucine--tRNA ligase) (IleRS)</t>
  </si>
  <si>
    <t>CCB95119.1</t>
  </si>
  <si>
    <t>SALIVA_0796</t>
  </si>
  <si>
    <t>ribonucleoside-diphosphate reductase subunit beta (ribonucleotide reductase small subunit)</t>
  </si>
  <si>
    <t>nrdF</t>
  </si>
  <si>
    <t>CCB95120.1</t>
  </si>
  <si>
    <t>SALIVA_0797</t>
  </si>
  <si>
    <t>ribonucleoside-diphosphate reductase</t>
  </si>
  <si>
    <t>nrdE</t>
  </si>
  <si>
    <t>CCB95121.1</t>
  </si>
  <si>
    <t>SALIVA_0798</t>
  </si>
  <si>
    <t>ribonucleoside-diphosphate reductase class Ib glutaredoxin subunit</t>
  </si>
  <si>
    <t>CCB95122.1</t>
  </si>
  <si>
    <t>SALIVA_0799</t>
  </si>
  <si>
    <t>aconitate hydratase (aconitase) (citrate hydro-lyase)</t>
  </si>
  <si>
    <t>acn</t>
  </si>
  <si>
    <t>CCB95123.1</t>
  </si>
  <si>
    <t>SALIVA_0800</t>
  </si>
  <si>
    <t>citrate synthase</t>
  </si>
  <si>
    <t>citZ</t>
  </si>
  <si>
    <t>CCB95124.1</t>
  </si>
  <si>
    <t>SALIVA_0801</t>
  </si>
  <si>
    <t>isocitrate dehydrogenase [NADP] (IDH) (oxalosuccinate decarboxylase) (NADP(+)-specific ICDH) (IDP)</t>
  </si>
  <si>
    <t>icd</t>
  </si>
  <si>
    <t>CCB95125.1</t>
  </si>
  <si>
    <t>SALIVA_0802</t>
  </si>
  <si>
    <t>phosphocarrier protein HPr (histidine-containing protein)</t>
  </si>
  <si>
    <t>PTSH</t>
  </si>
  <si>
    <t>CCB95126.1</t>
  </si>
  <si>
    <t>SALIVA_0803</t>
  </si>
  <si>
    <t>phosphoenolpyruvate-protein phosphotransferase (phosphotransferase system, enzyme I)</t>
  </si>
  <si>
    <t>PTSI</t>
  </si>
  <si>
    <t>CCB95127.1</t>
  </si>
  <si>
    <t>SALIVA_0804</t>
  </si>
  <si>
    <t>NADP-dependent glyceraldehyde-3-phosphate dehydrogenase (non-phosphorylating glyceraldehyde 3-phosphate dehydrogenase) (glyceraldehyde-3-phosphate dehydrogenase [NADP+]) (triosephosphate dehydrogenase)</t>
  </si>
  <si>
    <t>gapN</t>
  </si>
  <si>
    <t>CCB95128.1</t>
  </si>
  <si>
    <t>SALIVA_0805</t>
  </si>
  <si>
    <t>putative uncharacterized protein SPR0785</t>
  </si>
  <si>
    <t>CCB95129.1</t>
  </si>
  <si>
    <t>SALIVA_0806</t>
  </si>
  <si>
    <t>SSU0839 undefined product 867045:867791 reverse MW:28720</t>
  </si>
  <si>
    <t>CCB95130.1</t>
  </si>
  <si>
    <t>SALIVA_0807</t>
  </si>
  <si>
    <t>CCB95131.1</t>
  </si>
  <si>
    <t>SALIVA_0808</t>
  </si>
  <si>
    <t>ATP-dependent RNA helicase</t>
  </si>
  <si>
    <t>deaD</t>
  </si>
  <si>
    <t>CCB95132.1</t>
  </si>
  <si>
    <t>SALIVA_0809</t>
  </si>
  <si>
    <t>uridine kinase (Uridine monophosphokinase) (Cytidine monophosphokinase)</t>
  </si>
  <si>
    <t>udk</t>
  </si>
  <si>
    <t>CCB95133.1</t>
  </si>
  <si>
    <t>SALIVA_0810</t>
  </si>
  <si>
    <t>CCB95134.1</t>
  </si>
  <si>
    <t>SALIVA_0811</t>
  </si>
  <si>
    <t>CCB95135.1</t>
  </si>
  <si>
    <t>SALIVA_0812</t>
  </si>
  <si>
    <t>oxidoreductase</t>
  </si>
  <si>
    <t>CCB95136.1</t>
  </si>
  <si>
    <t>SALIVA_0813</t>
  </si>
  <si>
    <t>CCB95137.1</t>
  </si>
  <si>
    <t>SALIVA_0814</t>
  </si>
  <si>
    <t>cobyric acid synthase</t>
  </si>
  <si>
    <t>CCB95138.1</t>
  </si>
  <si>
    <t>SALIVA_0815</t>
  </si>
  <si>
    <t>uDP-N-acetylmuramoylalanyl-D-glutamate--2,6-diaminopimelate ligase</t>
  </si>
  <si>
    <t>CCB95139.1</t>
  </si>
  <si>
    <t>SALIVA_0816</t>
  </si>
  <si>
    <t>CCB95140.1</t>
  </si>
  <si>
    <t>SALIVA_0817</t>
  </si>
  <si>
    <t>CCB95141.1</t>
  </si>
  <si>
    <t>SALIVA_0818</t>
  </si>
  <si>
    <t>phosphoglucosamine mutase</t>
  </si>
  <si>
    <t>glmM</t>
  </si>
  <si>
    <t>CCB95142.1</t>
  </si>
  <si>
    <t>SALIVA_0820</t>
  </si>
  <si>
    <t>CCB95143.1</t>
  </si>
  <si>
    <t>SALIVA_0821</t>
  </si>
  <si>
    <t>CCB95144.1</t>
  </si>
  <si>
    <t>SALIVA_0822</t>
  </si>
  <si>
    <t>CCB95145.1</t>
  </si>
  <si>
    <t>SALIVA_0823</t>
  </si>
  <si>
    <t>Zinc transporter zupT</t>
  </si>
  <si>
    <t>zupT</t>
  </si>
  <si>
    <t>CCB95146.1</t>
  </si>
  <si>
    <t>SALIVA_0824</t>
  </si>
  <si>
    <t>uncharacterized oxidoreductase yurR</t>
  </si>
  <si>
    <t>yurR</t>
  </si>
  <si>
    <t>CCB95147.1</t>
  </si>
  <si>
    <t>SALIVA_0825</t>
  </si>
  <si>
    <t>bglB</t>
  </si>
  <si>
    <t>CCB95148.1</t>
  </si>
  <si>
    <t>SALIVA_0826</t>
  </si>
  <si>
    <t>glucose-1-phosphate thymidylyltransferase</t>
  </si>
  <si>
    <t>rmlA</t>
  </si>
  <si>
    <t>CCB95149.1</t>
  </si>
  <si>
    <t>SALIVA_0828</t>
  </si>
  <si>
    <t>DTDP-4-keto-L-rhamnose reductase</t>
  </si>
  <si>
    <t>rmlC</t>
  </si>
  <si>
    <t>CCB95150.1</t>
  </si>
  <si>
    <t>SALIVA_0829</t>
  </si>
  <si>
    <t>dTDP-glucose 4,6-dehydratase</t>
  </si>
  <si>
    <t>rmlB</t>
  </si>
  <si>
    <t>CCB95151.1</t>
  </si>
  <si>
    <t>SALIVA_0830</t>
  </si>
  <si>
    <t>CCB95152.1</t>
  </si>
  <si>
    <t>SALIVA_0831</t>
  </si>
  <si>
    <t>CCB95153.1</t>
  </si>
  <si>
    <t>SALIVA_0832</t>
  </si>
  <si>
    <t>coproporphyrinogen III oxidase</t>
  </si>
  <si>
    <t>hemN</t>
  </si>
  <si>
    <t>CCB95154.1</t>
  </si>
  <si>
    <t>SALIVA_0833</t>
  </si>
  <si>
    <t>Oleoyl-[acyl-carrier protein] thioesterase (Putative)</t>
  </si>
  <si>
    <t>fat</t>
  </si>
  <si>
    <t>CCB95155.1</t>
  </si>
  <si>
    <t>SALIVA_0834</t>
  </si>
  <si>
    <t>4-nitrophenylphosphatase (PNPPase)</t>
  </si>
  <si>
    <t>pho2</t>
  </si>
  <si>
    <t>CCB95156.1</t>
  </si>
  <si>
    <t>SALIVA_0835</t>
  </si>
  <si>
    <t>CCB95157.1</t>
  </si>
  <si>
    <t>SALIVA_0836</t>
  </si>
  <si>
    <t>putative histidinol-phosphatase (HolPase)</t>
  </si>
  <si>
    <t>hisK</t>
  </si>
  <si>
    <t>CCB95158.1</t>
  </si>
  <si>
    <t>SALIVA_0837</t>
  </si>
  <si>
    <t>SSU1684 undefined product 1699404:1700342 forward MW:33193</t>
  </si>
  <si>
    <t>CCB95159.1</t>
  </si>
  <si>
    <t>SALIVA_0838</t>
  </si>
  <si>
    <t>CCB95160.1</t>
  </si>
  <si>
    <t>SALIVA_0839</t>
  </si>
  <si>
    <t>histidinol-phosphate aminotransferase (Imidazole acetol-phosphate transaminase)</t>
  </si>
  <si>
    <t>hisC</t>
  </si>
  <si>
    <t>CCB95161.1</t>
  </si>
  <si>
    <t>SALIVA_0840</t>
  </si>
  <si>
    <t>ATP phosphoribosyltransferase regulatory subunit</t>
  </si>
  <si>
    <t>hisZ</t>
  </si>
  <si>
    <t>CCB95162.1</t>
  </si>
  <si>
    <t>SALIVA_0841</t>
  </si>
  <si>
    <t>ATP phosphoribosyltransferase (ATP-PRTase) (ATP-PRT)</t>
  </si>
  <si>
    <t>hisG</t>
  </si>
  <si>
    <t>CCB95163.1</t>
  </si>
  <si>
    <t>SALIVA_0842</t>
  </si>
  <si>
    <t>histidinol dehydrogenase (HDH)</t>
  </si>
  <si>
    <t>hisD</t>
  </si>
  <si>
    <t>CCB95164.1</t>
  </si>
  <si>
    <t>SALIVA_0843</t>
  </si>
  <si>
    <t>Imidazoleglycerol-phosphate dehydratase (IGPD)</t>
  </si>
  <si>
    <t>hisB</t>
  </si>
  <si>
    <t>CCB95165.1</t>
  </si>
  <si>
    <t>SALIVA_0844</t>
  </si>
  <si>
    <t>Imidazole glycerol phosphate synthase subunit hisH (IGP synthase glutamine amidotransferase subunit) (IGP synthase subunit hisH) (ImGP synthase subunit hisH) (IGPS subunit hisH)</t>
  </si>
  <si>
    <t>hisH</t>
  </si>
  <si>
    <t>CCB95166.1</t>
  </si>
  <si>
    <t>SALIVA_0845</t>
  </si>
  <si>
    <t>1-(5-phosphoribosyl)-5-[(5-phosphoribosylamino)methylideneamino] imidazole-4-carboxamide isomerase (Phosphoribosylformimino-5-aminoimidazole carboxamide ribotide isomerase)</t>
  </si>
  <si>
    <t>hisA</t>
  </si>
  <si>
    <t>CCB95167.1</t>
  </si>
  <si>
    <t>SALIVA_0846</t>
  </si>
  <si>
    <t>Imidazole glycerol phosphate synthase subunit hisF (IGP synthase cyclase subunit) (IGP synthase subunit hisF) (ImGP synthase subunit hisF) (IGPS subunit hisF)</t>
  </si>
  <si>
    <t>hisF</t>
  </si>
  <si>
    <t>CCB95168.1</t>
  </si>
  <si>
    <t>SALIVA_0847</t>
  </si>
  <si>
    <t>phosphoribosyl-AMP cyclohydrolase (PRA-CH)</t>
  </si>
  <si>
    <t>hisI</t>
  </si>
  <si>
    <t>CCB95169.1</t>
  </si>
  <si>
    <t>SALIVA_0848</t>
  </si>
  <si>
    <t>phosphoribosyl-ATP pyrophosphatase (PRA-PH)</t>
  </si>
  <si>
    <t>hisE</t>
  </si>
  <si>
    <t>CCB95170.1</t>
  </si>
  <si>
    <t>SALIVA_0849</t>
  </si>
  <si>
    <t>CCB95171.1</t>
  </si>
  <si>
    <t>SALIVA_0850</t>
  </si>
  <si>
    <t>CCB95172.1</t>
  </si>
  <si>
    <t>SALIVA_0851</t>
  </si>
  <si>
    <t>SSU0992 undefined product 1005506:1006249 reverse MW:29107</t>
  </si>
  <si>
    <t>CCB95173.1</t>
  </si>
  <si>
    <t>SALIVA_0852</t>
  </si>
  <si>
    <t>CCB95174.1</t>
  </si>
  <si>
    <t>SALIVA_0853</t>
  </si>
  <si>
    <t>SSU1683 undefined product 1698365:1699417 forward MW:39408</t>
  </si>
  <si>
    <t>CCB95175.1</t>
  </si>
  <si>
    <t>SALIVA_0854</t>
  </si>
  <si>
    <t>glucosyltransferase-S precursor (GTF-S) (Dextransucrase) (Sucrose 6-glucosyltransferase)</t>
  </si>
  <si>
    <t>gtfD</t>
  </si>
  <si>
    <t>CCB95176.1</t>
  </si>
  <si>
    <t>SALIVA_0855</t>
  </si>
  <si>
    <t>CCB95177.1</t>
  </si>
  <si>
    <t>SALIVA_0856</t>
  </si>
  <si>
    <t>glucosyltransferase-I precursor (GTF-I) (Dextransucrase) (Sucrose 6-glucosyltransferase)</t>
  </si>
  <si>
    <t>gtfB</t>
  </si>
  <si>
    <t>CCB95178.1</t>
  </si>
  <si>
    <t>SALIVA_0857</t>
  </si>
  <si>
    <t>rodA</t>
  </si>
  <si>
    <t>CCB95179.1</t>
  </si>
  <si>
    <t>SALIVA_0858</t>
  </si>
  <si>
    <t>hflX</t>
  </si>
  <si>
    <t>CCB95180.1</t>
  </si>
  <si>
    <t>SALIVA_0859</t>
  </si>
  <si>
    <t>tRNA delta(2)-isopentenylpyrophosphate transferase</t>
  </si>
  <si>
    <t>miaA</t>
  </si>
  <si>
    <t>CCB95181.1</t>
  </si>
  <si>
    <t>SALIVA_0860</t>
  </si>
  <si>
    <t>ribonuclease Z (RNase Z) (tRNAse Z) (tRNA 3 endonuclease)</t>
  </si>
  <si>
    <t>rnz</t>
  </si>
  <si>
    <t>CCB95182.1</t>
  </si>
  <si>
    <t>SALIVA_0861</t>
  </si>
  <si>
    <t>uncharacterized oxidoreductase yqjQ</t>
  </si>
  <si>
    <t>yqjQ</t>
  </si>
  <si>
    <t>CCB95183.1</t>
  </si>
  <si>
    <t>SALIVA_0862</t>
  </si>
  <si>
    <t>protein smtA</t>
  </si>
  <si>
    <t>smtA</t>
  </si>
  <si>
    <t>CCB95184.1</t>
  </si>
  <si>
    <t>SALIVA_0863</t>
  </si>
  <si>
    <t>ribosomal-protein-alanine acetyltransferase</t>
  </si>
  <si>
    <t>CCB95185.1</t>
  </si>
  <si>
    <t>SALIVA_0864</t>
  </si>
  <si>
    <t>single strand DNA-specific exonuclease</t>
  </si>
  <si>
    <t>recJ</t>
  </si>
  <si>
    <t>CCB95186.1</t>
  </si>
  <si>
    <t>SALIVA_0865</t>
  </si>
  <si>
    <t>adenine phosphoribosyltransferase (APRT)</t>
  </si>
  <si>
    <t>apt</t>
  </si>
  <si>
    <t>CCB95187.1</t>
  </si>
  <si>
    <t>SALIVA_0866</t>
  </si>
  <si>
    <t>homoserine O-acetyltransferase (or homoserine O-succinyltransferase)</t>
  </si>
  <si>
    <t>metA</t>
  </si>
  <si>
    <t>CCB95188.1</t>
  </si>
  <si>
    <t>SALIVA_0867</t>
  </si>
  <si>
    <t>DNA replication protein dnaD</t>
  </si>
  <si>
    <t>dnaD</t>
  </si>
  <si>
    <t>CCB95189.1</t>
  </si>
  <si>
    <t>SALIVA_0868</t>
  </si>
  <si>
    <t>putative endonuclease III (DNA-(apurinic or apyrimidinic site) lyase)</t>
  </si>
  <si>
    <t>nth</t>
  </si>
  <si>
    <t>CCB95190.1</t>
  </si>
  <si>
    <t>SALIVA_0869</t>
  </si>
  <si>
    <t>CCB95191.1</t>
  </si>
  <si>
    <t>SALIVA_0870</t>
  </si>
  <si>
    <t>exodeoxyribonuclease 7 large subunit (Exodeoxyribonuclease VII large subunit) (Exonuclease VII large subunit)</t>
  </si>
  <si>
    <t>xseA</t>
  </si>
  <si>
    <t>CCB95192.1</t>
  </si>
  <si>
    <t>SALIVA_0871</t>
  </si>
  <si>
    <t>exodeoxyribonuclease 7 small subunit (Exodeoxyribonuclease VII small subunit) (Exonuclease VII small subunit)</t>
  </si>
  <si>
    <t>xseB</t>
  </si>
  <si>
    <t>CCB95193.1</t>
  </si>
  <si>
    <t>SALIVA_0872</t>
  </si>
  <si>
    <t>Geranyltranstransferase, farnesyl diphosphate synthase</t>
  </si>
  <si>
    <t>ispA</t>
  </si>
  <si>
    <t>CCB95194.1</t>
  </si>
  <si>
    <t>SALIVA_0873</t>
  </si>
  <si>
    <t>predicted rRNA methylase</t>
  </si>
  <si>
    <t>CCB95195.1</t>
  </si>
  <si>
    <t>SALIVA_0874</t>
  </si>
  <si>
    <t>transcriptional regulator, ArgR family</t>
  </si>
  <si>
    <t>CCB95196.1</t>
  </si>
  <si>
    <t>SALIVA_0875</t>
  </si>
  <si>
    <t>ATPase</t>
  </si>
  <si>
    <t>recN</t>
  </si>
  <si>
    <t>CCB95197.1</t>
  </si>
  <si>
    <t>SALIVA_0876</t>
  </si>
  <si>
    <t>CCB95198.1</t>
  </si>
  <si>
    <t>SALIVA_0877</t>
  </si>
  <si>
    <t>CCB95199.1</t>
  </si>
  <si>
    <t>SALIVA_0878</t>
  </si>
  <si>
    <t>CCB95200.1</t>
  </si>
  <si>
    <t>SALIVA_0879</t>
  </si>
  <si>
    <t>DNA-binding protein HU</t>
  </si>
  <si>
    <t>hup</t>
  </si>
  <si>
    <t>CCB95201.1</t>
  </si>
  <si>
    <t>SALIVA_0880</t>
  </si>
  <si>
    <t>CCB95202.1</t>
  </si>
  <si>
    <t>SALIVA_0881</t>
  </si>
  <si>
    <t>dihydroorotate dehydrogenase (Dihydroorotate oxidase) (DHOdehase) (DHODase) (DHOD)</t>
  </si>
  <si>
    <t>pyrD</t>
  </si>
  <si>
    <t>CCB95203.1</t>
  </si>
  <si>
    <t>SALIVA_0882</t>
  </si>
  <si>
    <t>2,3-bisphosphoglycerate-dependent phosphoglycerate mutase (Phosphoglyceromutase) (PGAM) (BPG-dependent PGAM) (dPGM)</t>
  </si>
  <si>
    <t>gpmA</t>
  </si>
  <si>
    <t>CCB95204.1</t>
  </si>
  <si>
    <t>SALIVA_0883</t>
  </si>
  <si>
    <t>2-isopropylmalate synthase (Alpha-isopropylmalate synthase) (Alpha-IPM synthetase)</t>
  </si>
  <si>
    <t>leuA</t>
  </si>
  <si>
    <t>CCB95205.1</t>
  </si>
  <si>
    <t>SALIVA_0885</t>
  </si>
  <si>
    <t>3-isopropylmalate dehydrogenase (Beta-IPM dehydrogenase) (IMDH) (3-IPM-DH)</t>
  </si>
  <si>
    <t>leuB</t>
  </si>
  <si>
    <t>CCB95206.1</t>
  </si>
  <si>
    <t>SALIVA_0886</t>
  </si>
  <si>
    <t>CCB95207.1</t>
  </si>
  <si>
    <t>SALIVA_0887</t>
  </si>
  <si>
    <t>3-isopropylmalate dehydratase large subunit (Isopropylmalate isomerase) (Alpha-IPM isomerase) (IPMI)</t>
  </si>
  <si>
    <t>leuC</t>
  </si>
  <si>
    <t>CCB95208.1</t>
  </si>
  <si>
    <t>SALIVA_0888</t>
  </si>
  <si>
    <t>3-isopropylmalate dehydratase small subunit (Isopropylmalate isomerase) (Alpha-IPM isomerase) (IPMI)</t>
  </si>
  <si>
    <t>leuD</t>
  </si>
  <si>
    <t>CCB95209.1</t>
  </si>
  <si>
    <t>SALIVA_0889</t>
  </si>
  <si>
    <t>DNA polymerase III subunit alpha</t>
  </si>
  <si>
    <t>dnaE</t>
  </si>
  <si>
    <t>CCB95210.1</t>
  </si>
  <si>
    <t>SALIVA_0890</t>
  </si>
  <si>
    <t>6-phosphofructokinase (Phosphofructokinase) (Phosphohexokinase)</t>
  </si>
  <si>
    <t>pfkA</t>
  </si>
  <si>
    <t>CCB95211.1</t>
  </si>
  <si>
    <t>SALIVA_0891</t>
  </si>
  <si>
    <t>pyruvate kinase</t>
  </si>
  <si>
    <t>pyk</t>
  </si>
  <si>
    <t>CCB95212.1</t>
  </si>
  <si>
    <t>SALIVA_0892</t>
  </si>
  <si>
    <t>CCB95213.1</t>
  </si>
  <si>
    <t>SALIVA_0893</t>
  </si>
  <si>
    <t>CCB95214.1</t>
  </si>
  <si>
    <t>SALIVA_0894</t>
  </si>
  <si>
    <t>ABC transporter substrate binding protein</t>
  </si>
  <si>
    <t>CCB95215.1</t>
  </si>
  <si>
    <t>SALIVA_0895</t>
  </si>
  <si>
    <t>CCB95216.1</t>
  </si>
  <si>
    <t>SALIVA_0896</t>
  </si>
  <si>
    <t>CCB95217.1</t>
  </si>
  <si>
    <t>SALIVA_0897</t>
  </si>
  <si>
    <t>metallo-beta-lactamase superfamily protein</t>
  </si>
  <si>
    <t>CCB95218.1</t>
  </si>
  <si>
    <t>SALIVA_0898</t>
  </si>
  <si>
    <t>Esterase</t>
  </si>
  <si>
    <t>estA</t>
  </si>
  <si>
    <t>CCB95219.1</t>
  </si>
  <si>
    <t>SALIVA_0899</t>
  </si>
  <si>
    <t>predicted Zn-dependent protease</t>
  </si>
  <si>
    <t>CCB95220.1</t>
  </si>
  <si>
    <t>SALIVA_0900</t>
  </si>
  <si>
    <t>CCB95221.1</t>
  </si>
  <si>
    <t>SALIVA_0901</t>
  </si>
  <si>
    <t>flavodoxins</t>
  </si>
  <si>
    <t>CCB95222.1</t>
  </si>
  <si>
    <t>SALIVA_0902</t>
  </si>
  <si>
    <t>ribonuclease HII</t>
  </si>
  <si>
    <t>rnhB</t>
  </si>
  <si>
    <t>CCB95223.1</t>
  </si>
  <si>
    <t>SALIVA_0903</t>
  </si>
  <si>
    <t>chorismate mutase</t>
  </si>
  <si>
    <t>CCB95224.1</t>
  </si>
  <si>
    <t>SALIVA_0904</t>
  </si>
  <si>
    <t>CCB95225.1</t>
  </si>
  <si>
    <t>SALIVA_0905</t>
  </si>
  <si>
    <t>50S ribosomal protein L19</t>
  </si>
  <si>
    <t>rplS</t>
  </si>
  <si>
    <t>CCB95226.1</t>
  </si>
  <si>
    <t>SALIVA_0906</t>
  </si>
  <si>
    <t>SALIVA_0907</t>
  </si>
  <si>
    <t>CCB95227.1</t>
  </si>
  <si>
    <t>SALIVA_0908</t>
  </si>
  <si>
    <t>orF2</t>
  </si>
  <si>
    <t>CCB95228.1</t>
  </si>
  <si>
    <t>SALIVA_0909</t>
  </si>
  <si>
    <t>putative cI-like repressor, metallo-prtoeinase motif-phage-associated (Putative uncharacterized protein SPs0513)</t>
  </si>
  <si>
    <t>CCB95229.1</t>
  </si>
  <si>
    <t>SALIVA_0910</t>
  </si>
  <si>
    <t>prophage LambdaSa03, transcriptional regulator,Cro/CI family</t>
  </si>
  <si>
    <t>CCB95230.1</t>
  </si>
  <si>
    <t>SALIVA_0911</t>
  </si>
  <si>
    <t>prophage pi2 protein 05</t>
  </si>
  <si>
    <t>pi205</t>
  </si>
  <si>
    <t>CCB95231.1</t>
  </si>
  <si>
    <t>SALIVA_0912</t>
  </si>
  <si>
    <t>CCB95232.1</t>
  </si>
  <si>
    <t>SALIVA_0913</t>
  </si>
  <si>
    <t>hypothetical phage protein</t>
  </si>
  <si>
    <t>CCB95233.1</t>
  </si>
  <si>
    <t>SALIVA_0914</t>
  </si>
  <si>
    <t>phage antirepressor protein</t>
  </si>
  <si>
    <t>CCB95234.1</t>
  </si>
  <si>
    <t>SALIVA_0915</t>
  </si>
  <si>
    <t>CCB95235.1</t>
  </si>
  <si>
    <t>SALIVA_0916</t>
  </si>
  <si>
    <t>CCB95236.1</t>
  </si>
  <si>
    <t>SALIVA_0917</t>
  </si>
  <si>
    <t>CCB95237.1</t>
  </si>
  <si>
    <t>SALIVA_0918</t>
  </si>
  <si>
    <t>CCB95238.1</t>
  </si>
  <si>
    <t>SALIVA_0919</t>
  </si>
  <si>
    <t>putative DNA replication protein</t>
  </si>
  <si>
    <t>CCB95239.1</t>
  </si>
  <si>
    <t>SALIVA_0920</t>
  </si>
  <si>
    <t>putative phage DNA replication protein</t>
  </si>
  <si>
    <t>CCB95240.1</t>
  </si>
  <si>
    <t>SALIVA_0921</t>
  </si>
  <si>
    <t>orF6b</t>
  </si>
  <si>
    <t>orf6b</t>
  </si>
  <si>
    <t>CCB95241.1</t>
  </si>
  <si>
    <t>SALIVA_0922</t>
  </si>
  <si>
    <t>CCB95242.1</t>
  </si>
  <si>
    <t>SALIVA_0923</t>
  </si>
  <si>
    <t>phage protein</t>
  </si>
  <si>
    <t>CCB95243.1</t>
  </si>
  <si>
    <t>SALIVA_0924</t>
  </si>
  <si>
    <t>single-stranded DNA-binding protein</t>
  </si>
  <si>
    <t>ssbC</t>
  </si>
  <si>
    <t>CCB95244.1</t>
  </si>
  <si>
    <t>SALIVA_0925</t>
  </si>
  <si>
    <t>uncharacterized protein yqaN</t>
  </si>
  <si>
    <t>yqaN</t>
  </si>
  <si>
    <t>CCB95245.1</t>
  </si>
  <si>
    <t>SALIVA_0926</t>
  </si>
  <si>
    <t>Gp89</t>
  </si>
  <si>
    <t>CCB95246.1</t>
  </si>
  <si>
    <t>SALIVA_0927</t>
  </si>
  <si>
    <t>orF21</t>
  </si>
  <si>
    <t>CCB95247.1</t>
  </si>
  <si>
    <t>SALIVA_0929</t>
  </si>
  <si>
    <t>putative uncharacterized protein SPs0621 (Putative uncharacterized protein)</t>
  </si>
  <si>
    <t>CCB95248.1</t>
  </si>
  <si>
    <t>SALIVA_0930</t>
  </si>
  <si>
    <t>orF18</t>
  </si>
  <si>
    <t>orf18</t>
  </si>
  <si>
    <t>CCB95249.1</t>
  </si>
  <si>
    <t>SALIVA_0931</t>
  </si>
  <si>
    <t>putative uncharacterized protein (Phage protein)</t>
  </si>
  <si>
    <t>CCB95250.1</t>
  </si>
  <si>
    <t>SALIVA_0932</t>
  </si>
  <si>
    <t>CCB95251.1</t>
  </si>
  <si>
    <t>SALIVA_2091</t>
  </si>
  <si>
    <t>prophage pi3 protein 27, terminase small subunit</t>
  </si>
  <si>
    <t>pi327</t>
  </si>
  <si>
    <t>CCB95252.1</t>
  </si>
  <si>
    <t>SALIVA_0933</t>
  </si>
  <si>
    <t>putative terminase large subunit</t>
  </si>
  <si>
    <t>CCB95253.1</t>
  </si>
  <si>
    <t>SALIVA_0934</t>
  </si>
  <si>
    <t>orF23</t>
  </si>
  <si>
    <t>orf23</t>
  </si>
  <si>
    <t>CCB95254.1</t>
  </si>
  <si>
    <t>SALIVA_0935</t>
  </si>
  <si>
    <t>prophage pi3 protein 24</t>
  </si>
  <si>
    <t>pi324</t>
  </si>
  <si>
    <t>CCB95255.1</t>
  </si>
  <si>
    <t>SALIVA_0936</t>
  </si>
  <si>
    <t>ATP-dependent Clp protease proteolytic subunit</t>
  </si>
  <si>
    <t>CCB95256.1</t>
  </si>
  <si>
    <t>SALIVA_0937</t>
  </si>
  <si>
    <t>prophage pi3 protein 22, major head protein</t>
  </si>
  <si>
    <t>pi322</t>
  </si>
  <si>
    <t>CCB95257.1</t>
  </si>
  <si>
    <t>SALIVA_0938</t>
  </si>
  <si>
    <t>prophage pi3 protein 21</t>
  </si>
  <si>
    <t>pi321</t>
  </si>
  <si>
    <t>CCB95258.1</t>
  </si>
  <si>
    <t>SALIVA_0939</t>
  </si>
  <si>
    <t>prophage pi1 protein 39</t>
  </si>
  <si>
    <t>pi139</t>
  </si>
  <si>
    <t>CCB95259.1</t>
  </si>
  <si>
    <t>SALIVA_0940</t>
  </si>
  <si>
    <t>phage head-tail joining protein</t>
  </si>
  <si>
    <t>CCB95260.1</t>
  </si>
  <si>
    <t>SALIVA_0941</t>
  </si>
  <si>
    <t>phage tail protein</t>
  </si>
  <si>
    <t>CCB95261.1</t>
  </si>
  <si>
    <t>SALIVA_0942</t>
  </si>
  <si>
    <t>prophage pi1 protein 42, small major structural protein</t>
  </si>
  <si>
    <t>pi142</t>
  </si>
  <si>
    <t>CCB95262.1</t>
  </si>
  <si>
    <t>SALIVA_0943</t>
  </si>
  <si>
    <t>orF32</t>
  </si>
  <si>
    <t>orf32</t>
  </si>
  <si>
    <t>CCB95263.1</t>
  </si>
  <si>
    <t>SALIVA_0944</t>
  </si>
  <si>
    <t>CCB95264.1</t>
  </si>
  <si>
    <t>SALIVA_0945</t>
  </si>
  <si>
    <t>orf1626 gp</t>
  </si>
  <si>
    <t>orf1626</t>
  </si>
  <si>
    <t>CCB95265.1</t>
  </si>
  <si>
    <t>SALIVA_0946</t>
  </si>
  <si>
    <t>CCB95266.1</t>
  </si>
  <si>
    <t>SALIVA_0947</t>
  </si>
  <si>
    <t>CCB95267.1</t>
  </si>
  <si>
    <t>SALIVA_0949</t>
  </si>
  <si>
    <t>CCB95268.1</t>
  </si>
  <si>
    <t>SALIVA_0950</t>
  </si>
  <si>
    <t>CCB95269.1</t>
  </si>
  <si>
    <t>SALIVA_0951</t>
  </si>
  <si>
    <t>putative uncharacterized protein 54</t>
  </si>
  <si>
    <t>CCB95270.1</t>
  </si>
  <si>
    <t>SALIVA_0952</t>
  </si>
  <si>
    <t>lin2375 protein</t>
  </si>
  <si>
    <t>CCB95271.1</t>
  </si>
  <si>
    <t>SALIVA_0953</t>
  </si>
  <si>
    <t>CCB95272.1</t>
  </si>
  <si>
    <t>SALIVA_0954</t>
  </si>
  <si>
    <t>CCB95273.1</t>
  </si>
  <si>
    <t>SALIVA_0955</t>
  </si>
  <si>
    <t>CCB95274.1</t>
  </si>
  <si>
    <t>SALIVA_0956</t>
  </si>
  <si>
    <t>CCB95275.1</t>
  </si>
  <si>
    <t>SALIVA_0957</t>
  </si>
  <si>
    <t>CCB95276.1</t>
  </si>
  <si>
    <t>SALIVA_0958</t>
  </si>
  <si>
    <t>CCB95277.1</t>
  </si>
  <si>
    <t>SALIVA_0959</t>
  </si>
  <si>
    <t>CCB95278.1</t>
  </si>
  <si>
    <t>SALIVA_0960</t>
  </si>
  <si>
    <t>CCB95279.1</t>
  </si>
  <si>
    <t>SALIVA_0961</t>
  </si>
  <si>
    <t>GAF domain-containing protein</t>
  </si>
  <si>
    <t>CCB95280.1</t>
  </si>
  <si>
    <t>SALIVA_0962</t>
  </si>
  <si>
    <t>DNA polymerase III subunit gamma/tau</t>
  </si>
  <si>
    <t>dnaX</t>
  </si>
  <si>
    <t>CCB95281.1</t>
  </si>
  <si>
    <t>SALIVA_0963</t>
  </si>
  <si>
    <t>bifunctional protein birA [Includes: Biotin operon repressor; Biotin--[acetyl-CoA-carboxylase] synthetase (Biotin--protein ligase)]</t>
  </si>
  <si>
    <t>birA</t>
  </si>
  <si>
    <t>CCB95282.1</t>
  </si>
  <si>
    <t>SALIVA_0965</t>
  </si>
  <si>
    <t>methionine adenosyltransferase (S-adenosylmethionine synthetase) (AdoMet synthetase) (MAT)</t>
  </si>
  <si>
    <t>metK</t>
  </si>
  <si>
    <t>CCB95283.1</t>
  </si>
  <si>
    <t>SALIVA_0966</t>
  </si>
  <si>
    <t>CCB95284.1</t>
  </si>
  <si>
    <t>SALIVA_0967</t>
  </si>
  <si>
    <t>uncharacterized conserved membrane protein</t>
  </si>
  <si>
    <t>CCB95285.1</t>
  </si>
  <si>
    <t>SALIVA_0968</t>
  </si>
  <si>
    <t>CCB95286.1</t>
  </si>
  <si>
    <t>SALIVA_0969</t>
  </si>
  <si>
    <t>CCB95287.1</t>
  </si>
  <si>
    <t>SALIVA_0970</t>
  </si>
  <si>
    <t>transmembrane protein, ortholog TM1408</t>
  </si>
  <si>
    <t>CCB95288.1</t>
  </si>
  <si>
    <t>SALIVA_0971</t>
  </si>
  <si>
    <t>CCB95289.1</t>
  </si>
  <si>
    <t>SALIVA_0972</t>
  </si>
  <si>
    <t>putative uncharacterized protein SAG1555</t>
  </si>
  <si>
    <t>CCB95290.1</t>
  </si>
  <si>
    <t>SALIVA_0973</t>
  </si>
  <si>
    <t>CCB95291.1</t>
  </si>
  <si>
    <t>SALIVA_0974</t>
  </si>
  <si>
    <t>CCB95292.1</t>
  </si>
  <si>
    <t>SALIVA_0975</t>
  </si>
  <si>
    <t>uDP-glucose 4-epimerase (UDP-galactose 4-epimerase) (Galactowaldenase)</t>
  </si>
  <si>
    <t>galE</t>
  </si>
  <si>
    <t>CCB95293.1</t>
  </si>
  <si>
    <t>SALIVA_0976</t>
  </si>
  <si>
    <t>CCB95294.1</t>
  </si>
  <si>
    <t>SALIVA_0977</t>
  </si>
  <si>
    <t>uDP-N-acetylglucosamine 1-carboxyvinyltransferase 1 (Enoylpyruvate transferase 1) (UDP-N-acetylglucosamine enolpyruvyl transferase 1) (EPT 1)</t>
  </si>
  <si>
    <t>murA1</t>
  </si>
  <si>
    <t>CCB95295.1</t>
  </si>
  <si>
    <t>SALIVA_0978</t>
  </si>
  <si>
    <t>CCB95296.1</t>
  </si>
  <si>
    <t>SALIVA_0979</t>
  </si>
  <si>
    <t>competence associated membrane nuclease</t>
  </si>
  <si>
    <t>endA</t>
  </si>
  <si>
    <t>CCB95297.1</t>
  </si>
  <si>
    <t>SALIVA_0980</t>
  </si>
  <si>
    <t>ABC-type amino acid transport system, permease component</t>
  </si>
  <si>
    <t>CCB95298.1</t>
  </si>
  <si>
    <t>SALIVA_0981</t>
  </si>
  <si>
    <t>CCB95299.1</t>
  </si>
  <si>
    <t>SALIVA_0982</t>
  </si>
  <si>
    <t>polar amino acid ABC uptake transporter substrate binding protein</t>
  </si>
  <si>
    <t>CCB95300.1</t>
  </si>
  <si>
    <t>SALIVA_0983</t>
  </si>
  <si>
    <t>CCB95301.1</t>
  </si>
  <si>
    <t>SALIVA_0984</t>
  </si>
  <si>
    <t>CCB95302.1</t>
  </si>
  <si>
    <t>SALIVA_0985</t>
  </si>
  <si>
    <t>CCB95303.1</t>
  </si>
  <si>
    <t>SALIVA_0986</t>
  </si>
  <si>
    <t>CCB95304.1</t>
  </si>
  <si>
    <t>SALIVA_0987</t>
  </si>
  <si>
    <t>CCB95305.1</t>
  </si>
  <si>
    <t>SALIVA_0988</t>
  </si>
  <si>
    <t>response regulator (Homolog to RR02/MicA Spn &amp; RR02 Sth &amp;VicR Spy)</t>
  </si>
  <si>
    <t>rr05</t>
  </si>
  <si>
    <t>CCB95306.1</t>
  </si>
  <si>
    <t>SALIVA_0989</t>
  </si>
  <si>
    <t>Sensor protein</t>
  </si>
  <si>
    <t>hk05</t>
  </si>
  <si>
    <t>CCB95307.1</t>
  </si>
  <si>
    <t>SALIVA_0990</t>
  </si>
  <si>
    <t>putative hydrolase</t>
  </si>
  <si>
    <t>vicX</t>
  </si>
  <si>
    <t>CCB95308.1</t>
  </si>
  <si>
    <t>SALIVA_0991</t>
  </si>
  <si>
    <t>3-isopropylmalate dehydrogenase</t>
  </si>
  <si>
    <t>CCB95309.1</t>
  </si>
  <si>
    <t>SALIVA_0992</t>
  </si>
  <si>
    <t>murM</t>
  </si>
  <si>
    <t>CCB95310.1</t>
  </si>
  <si>
    <t>SALIVA_0993</t>
  </si>
  <si>
    <t>phosphatase yidA</t>
  </si>
  <si>
    <t>CCB95311.1</t>
  </si>
  <si>
    <t>SALIVA_0994</t>
  </si>
  <si>
    <t>CCB95312.1</t>
  </si>
  <si>
    <t>SALIVA_0995</t>
  </si>
  <si>
    <t>CCB95313.1</t>
  </si>
  <si>
    <t>SALIVA_0996</t>
  </si>
  <si>
    <t>CCB95314.1</t>
  </si>
  <si>
    <t>SALIVA_0997</t>
  </si>
  <si>
    <t>NADPH-dependent oxidoreductase</t>
  </si>
  <si>
    <t>nfrA</t>
  </si>
  <si>
    <t>CCB95315.1</t>
  </si>
  <si>
    <t>SALIVA_0998</t>
  </si>
  <si>
    <t>CCB95316.1</t>
  </si>
  <si>
    <t>SALIVA_0999</t>
  </si>
  <si>
    <t>CCB95317.1</t>
  </si>
  <si>
    <t>SALIVA_1000</t>
  </si>
  <si>
    <t>peptide chain release factor 2</t>
  </si>
  <si>
    <t>prfB</t>
  </si>
  <si>
    <t>CCB95318.1</t>
  </si>
  <si>
    <t>SALIVA_1002</t>
  </si>
  <si>
    <t>cell division ATP-binding protein FtsE</t>
  </si>
  <si>
    <t>ftsE</t>
  </si>
  <si>
    <t>CCB95319.1</t>
  </si>
  <si>
    <t>SALIVA_1003</t>
  </si>
  <si>
    <t>cell division protein FtsX</t>
  </si>
  <si>
    <t>ftsX</t>
  </si>
  <si>
    <t>CCB95320.1</t>
  </si>
  <si>
    <t>SALIVA_1004</t>
  </si>
  <si>
    <t>mutator mutT protein (7,8-dihydro-8-oxoguanine-triphosphatase) (8-oxo-dGTPase) (dGTP pyrophosphohydrolase)</t>
  </si>
  <si>
    <t>mutX</t>
  </si>
  <si>
    <t>CCB95321.1</t>
  </si>
  <si>
    <t>SALIVA_1005</t>
  </si>
  <si>
    <t>CCB95322.1</t>
  </si>
  <si>
    <t>SALIVA_1006</t>
  </si>
  <si>
    <t>CCB95323.1</t>
  </si>
  <si>
    <t>SALIVA_1007</t>
  </si>
  <si>
    <t>signal peptidase I</t>
  </si>
  <si>
    <t>sipB</t>
  </si>
  <si>
    <t>CCB95324.1</t>
  </si>
  <si>
    <t>SALIVA_1008</t>
  </si>
  <si>
    <t>CCB95325.1</t>
  </si>
  <si>
    <t>SALIVA_1009</t>
  </si>
  <si>
    <t>peptidase T (Tripeptide aminopeptidase) (Aminotripeptidase) (Tripeptidase)</t>
  </si>
  <si>
    <t>pepT</t>
  </si>
  <si>
    <t>CCB95326.1</t>
  </si>
  <si>
    <t>SALIVA_1010</t>
  </si>
  <si>
    <t>CCB95327.1</t>
  </si>
  <si>
    <t>SALIVA_1011</t>
  </si>
  <si>
    <t>CCB95328.1</t>
  </si>
  <si>
    <t>SALIVA_1012</t>
  </si>
  <si>
    <t>cytidylate kinase (CK) (Cytidine monophosphate kinase) (CMP kinase)</t>
  </si>
  <si>
    <t>cmk</t>
  </si>
  <si>
    <t>CCB95329.1</t>
  </si>
  <si>
    <t>SALIVA_1013</t>
  </si>
  <si>
    <t>translation initiation factor IF-3</t>
  </si>
  <si>
    <t>infC</t>
  </si>
  <si>
    <t>CCB95330.1</t>
  </si>
  <si>
    <t>SALIVA_1014</t>
  </si>
  <si>
    <t>50S ribosomal protein L35</t>
  </si>
  <si>
    <t>rpmI</t>
  </si>
  <si>
    <t>CCB95331.1</t>
  </si>
  <si>
    <t>SALIVA_1015</t>
  </si>
  <si>
    <t>50S ribosomal protein L20</t>
  </si>
  <si>
    <t>rplT</t>
  </si>
  <si>
    <t>CCB95332.1</t>
  </si>
  <si>
    <t>SALIVA_1016</t>
  </si>
  <si>
    <t>CCB95333.1</t>
  </si>
  <si>
    <t>SALIVA_1017</t>
  </si>
  <si>
    <t>uncharacterized protein yybC</t>
  </si>
  <si>
    <t>yybC</t>
  </si>
  <si>
    <t>CCB95334.1</t>
  </si>
  <si>
    <t>SALIVA_1018</t>
  </si>
  <si>
    <t>putative tautomerase</t>
  </si>
  <si>
    <t>CCB95335.1</t>
  </si>
  <si>
    <t>SALIVA_1019</t>
  </si>
  <si>
    <t>beta-Ala-Xaa dipeptidase (Beta-Ala-His dipeptidase) (Peptidase V)</t>
  </si>
  <si>
    <t>pepV</t>
  </si>
  <si>
    <t>CCB95336.1</t>
  </si>
  <si>
    <t>SALIVA_1020</t>
  </si>
  <si>
    <t>uracil-DNA glycosylase</t>
  </si>
  <si>
    <t>CCB95337.1</t>
  </si>
  <si>
    <t>SALIVA_1021</t>
  </si>
  <si>
    <t>CCB95338.1</t>
  </si>
  <si>
    <t>SALIVA_1022</t>
  </si>
  <si>
    <t>CCB95339.1</t>
  </si>
  <si>
    <t>SALIVA_1023</t>
  </si>
  <si>
    <t>ribose-5-phosphate isomerase A (Phosphoriboisomerase A) (PRI)</t>
  </si>
  <si>
    <t>rpiA</t>
  </si>
  <si>
    <t>CCB95340.1</t>
  </si>
  <si>
    <t>SALIVA_1024</t>
  </si>
  <si>
    <t>phosphopentomutase (Phosphodeoxyribomutase)</t>
  </si>
  <si>
    <t>deoB</t>
  </si>
  <si>
    <t>CCB95341.1</t>
  </si>
  <si>
    <t>SALIVA_1025</t>
  </si>
  <si>
    <t>phosphopentomutase</t>
  </si>
  <si>
    <t>CCB95342.1</t>
  </si>
  <si>
    <t>SALIVA_1026</t>
  </si>
  <si>
    <t>purine nucleoside phosphorylase 1 (Purine nucleoside phosphorylase I) (PU-NPase I) (PNP I) (Inosine phosphorylase)</t>
  </si>
  <si>
    <t>punA</t>
  </si>
  <si>
    <t>CCB95343.1</t>
  </si>
  <si>
    <t>SALIVA_1027</t>
  </si>
  <si>
    <t>SSU1745 undefined product 1762477:1763148 reverse MW:25823</t>
  </si>
  <si>
    <t>CCB95344.1</t>
  </si>
  <si>
    <t>SALIVA_1028</t>
  </si>
  <si>
    <t>Voltage-gated ClC-type chloride channel clcB</t>
  </si>
  <si>
    <t>clcB</t>
  </si>
  <si>
    <t>CCB95345.1</t>
  </si>
  <si>
    <t>SALIVA_1030</t>
  </si>
  <si>
    <t>GMP synthase</t>
  </si>
  <si>
    <t>guaA</t>
  </si>
  <si>
    <t>CCB95346.1</t>
  </si>
  <si>
    <t>SALIVA_1031</t>
  </si>
  <si>
    <t>purine nucleoside phosphorylase deoD-type (PNP) (Fragment)</t>
  </si>
  <si>
    <t>deoD</t>
  </si>
  <si>
    <t>CCB95347.1</t>
  </si>
  <si>
    <t>SALIVA_1032</t>
  </si>
  <si>
    <t>epsA</t>
  </si>
  <si>
    <t>CCB95348.1</t>
  </si>
  <si>
    <t>SALIVA_1033</t>
  </si>
  <si>
    <t>Tyrosine-protein phosphatase cpsB</t>
  </si>
  <si>
    <t>cpsB</t>
  </si>
  <si>
    <t>CCB95349.1</t>
  </si>
  <si>
    <t>SALIVA_1034</t>
  </si>
  <si>
    <t>exopolysaccharide exporter accessory protein</t>
  </si>
  <si>
    <t>epsC</t>
  </si>
  <si>
    <t>CCB95350.1</t>
  </si>
  <si>
    <t>SALIVA_1035</t>
  </si>
  <si>
    <t>Tyrosine-protein kinase cpsD</t>
  </si>
  <si>
    <t>cpsD</t>
  </si>
  <si>
    <t>CCB95351.1</t>
  </si>
  <si>
    <t>SALIVA_1036</t>
  </si>
  <si>
    <t>Galactosyl transferase cpsE</t>
  </si>
  <si>
    <t>cpsE</t>
  </si>
  <si>
    <t>CCB95352.1</t>
  </si>
  <si>
    <t>SALIVA_1037</t>
  </si>
  <si>
    <t>putative rhamnosyl transferase</t>
  </si>
  <si>
    <t>epsF</t>
  </si>
  <si>
    <t>CCB95353.1</t>
  </si>
  <si>
    <t>SALIVA_1038</t>
  </si>
  <si>
    <t>epsG</t>
  </si>
  <si>
    <t>CCB95354.1</t>
  </si>
  <si>
    <t>SALIVA_1039</t>
  </si>
  <si>
    <t>putative capsular polysaccharide biosynthesis protein</t>
  </si>
  <si>
    <t>epsH</t>
  </si>
  <si>
    <t>CCB95355.1</t>
  </si>
  <si>
    <t>SALIVA_1040</t>
  </si>
  <si>
    <t>exopolysaccharide biosynthesis protein, sugar transferase</t>
  </si>
  <si>
    <t>epsI</t>
  </si>
  <si>
    <t>CCB95356.1</t>
  </si>
  <si>
    <t>SALIVA_1041</t>
  </si>
  <si>
    <t>glycosyl transferase</t>
  </si>
  <si>
    <t>epsJ</t>
  </si>
  <si>
    <t>CCB95357.1</t>
  </si>
  <si>
    <t>SALIVA_1042</t>
  </si>
  <si>
    <t>polysaccharide polymerase</t>
  </si>
  <si>
    <t>epsK</t>
  </si>
  <si>
    <t>CCB95358.1</t>
  </si>
  <si>
    <t>SALIVA_1043</t>
  </si>
  <si>
    <t>polysaccharide Transporter, PST family</t>
  </si>
  <si>
    <t>epsL</t>
  </si>
  <si>
    <t>CCB95359.1</t>
  </si>
  <si>
    <t>SALIVA_1044</t>
  </si>
  <si>
    <t>uDP-galactopyranose mutase</t>
  </si>
  <si>
    <t>glf</t>
  </si>
  <si>
    <t>CCB95360.1</t>
  </si>
  <si>
    <t>SALIVA_1045</t>
  </si>
  <si>
    <t>capsular polysaccharide phosphotransferase wcwK (Stealth protein wcwK)</t>
  </si>
  <si>
    <t>wcwK</t>
  </si>
  <si>
    <t>CCB95361.1</t>
  </si>
  <si>
    <t>SALIVA_1046</t>
  </si>
  <si>
    <t>Galactofuranosyltransferase</t>
  </si>
  <si>
    <t>epsN</t>
  </si>
  <si>
    <t>CCB95362.1</t>
  </si>
  <si>
    <t>SALIVA_1047</t>
  </si>
  <si>
    <t>CCB95363.1</t>
  </si>
  <si>
    <t>SALIVA_1048</t>
  </si>
  <si>
    <t>phosphatase ybjI</t>
  </si>
  <si>
    <t>ybjI</t>
  </si>
  <si>
    <t>CCB95364.1</t>
  </si>
  <si>
    <t>SALIVA_1049</t>
  </si>
  <si>
    <t>putative phosphoglycerate mutase gpmB (Phosphoglyceromutase) (PGAM)</t>
  </si>
  <si>
    <t>CCB95365.1</t>
  </si>
  <si>
    <t>SALIVA_1050</t>
  </si>
  <si>
    <t>CCB95366.1</t>
  </si>
  <si>
    <t>SALIVA_1051</t>
  </si>
  <si>
    <t>phosphoglycerate mutase (Putative)</t>
  </si>
  <si>
    <t>pgm5</t>
  </si>
  <si>
    <t>CCB95367.1</t>
  </si>
  <si>
    <t>SALIVA_1052</t>
  </si>
  <si>
    <t>CCB95368.1</t>
  </si>
  <si>
    <t>SALIVA_1053</t>
  </si>
  <si>
    <t>6-phospho-beta-glucosidase</t>
  </si>
  <si>
    <t>bglA</t>
  </si>
  <si>
    <t>CCB95369.1</t>
  </si>
  <si>
    <t>SALIVA_1054</t>
  </si>
  <si>
    <t>CCB95370.1</t>
  </si>
  <si>
    <t>SALIVA_1055</t>
  </si>
  <si>
    <t>2-octaprenylphenol hydroxylase</t>
  </si>
  <si>
    <t>CCB95371.1</t>
  </si>
  <si>
    <t>SALIVA_1056</t>
  </si>
  <si>
    <t>CCB95372.1</t>
  </si>
  <si>
    <t>SALIVA_1057</t>
  </si>
  <si>
    <t>Serine protease</t>
  </si>
  <si>
    <t>CCB95373.1</t>
  </si>
  <si>
    <t>SALIVA_1058</t>
  </si>
  <si>
    <t>putative DD-carboxypeptidase</t>
  </si>
  <si>
    <t>dacA3</t>
  </si>
  <si>
    <t>CCB95374.1</t>
  </si>
  <si>
    <t>SALIVA_1059</t>
  </si>
  <si>
    <t>cation efflux protein</t>
  </si>
  <si>
    <t>CCB95375.1</t>
  </si>
  <si>
    <t>SALIVA_1060</t>
  </si>
  <si>
    <t>ung</t>
  </si>
  <si>
    <t>CCB95376.1</t>
  </si>
  <si>
    <t>SALIVA_1061</t>
  </si>
  <si>
    <t>dihydroorotase (DHOase)</t>
  </si>
  <si>
    <t>pyrC</t>
  </si>
  <si>
    <t>CCB95377.1</t>
  </si>
  <si>
    <t>SALIVA_1062</t>
  </si>
  <si>
    <t>CCB95378.1</t>
  </si>
  <si>
    <t>SALIVA_1063</t>
  </si>
  <si>
    <t>CCB95379.1</t>
  </si>
  <si>
    <t>SALIVA_1064</t>
  </si>
  <si>
    <t>CCB95380.1</t>
  </si>
  <si>
    <t>SALIVA_1065</t>
  </si>
  <si>
    <t>acetoin dehydrogenase complex, E1 component,alpha subunit</t>
  </si>
  <si>
    <t>CCB95381.1</t>
  </si>
  <si>
    <t>SALIVA_1066</t>
  </si>
  <si>
    <t>acetoin dehydrogenase complex, E1 component, beta subunit</t>
  </si>
  <si>
    <t>CCB95382.1</t>
  </si>
  <si>
    <t>SALIVA_1067</t>
  </si>
  <si>
    <t>acetoin/pyruvate dehydrogenase complex, E2 component, dihydrolipoamide succinyltransferase</t>
  </si>
  <si>
    <t>CCB95383.1</t>
  </si>
  <si>
    <t>SALIVA_1068</t>
  </si>
  <si>
    <t>putative dihydrolipoamide dehydrogenase</t>
  </si>
  <si>
    <t>adhD</t>
  </si>
  <si>
    <t>CCB95384.1</t>
  </si>
  <si>
    <t>SALIVA_1069</t>
  </si>
  <si>
    <t>CCB95385.1</t>
  </si>
  <si>
    <t>SALIVA_1070</t>
  </si>
  <si>
    <t>SSU1127 undefined product 1145568:1148675 reverse MW:113187</t>
  </si>
  <si>
    <t>CCB95386.1</t>
  </si>
  <si>
    <t>SALIVA_1071</t>
  </si>
  <si>
    <t>alkaline amylopullulanase</t>
  </si>
  <si>
    <t>pulA</t>
  </si>
  <si>
    <t>CCB95387.1</t>
  </si>
  <si>
    <t>SALIVA_1072</t>
  </si>
  <si>
    <t>CCB95388.1</t>
  </si>
  <si>
    <t>SALIVA_1073</t>
  </si>
  <si>
    <t>predicted iron-dependent peroxidase</t>
  </si>
  <si>
    <t>CCB95389.1</t>
  </si>
  <si>
    <t>SALIVA_1074</t>
  </si>
  <si>
    <t>predicted membrane protein of the lead (Pb2+) uptake porter (PbrT) family</t>
  </si>
  <si>
    <t>CCB95390.1</t>
  </si>
  <si>
    <t>SALIVA_1075</t>
  </si>
  <si>
    <t>Sec-independent protein translocase protein tatC</t>
  </si>
  <si>
    <t>tatC</t>
  </si>
  <si>
    <t>CCB95391.1</t>
  </si>
  <si>
    <t>SALIVA_1076</t>
  </si>
  <si>
    <t>Sec-independent protein secretion pathway component</t>
  </si>
  <si>
    <t>CCB95392.1</t>
  </si>
  <si>
    <t>SALIVA_1077</t>
  </si>
  <si>
    <t>CCB95393.1</t>
  </si>
  <si>
    <t>SALIVA_1078</t>
  </si>
  <si>
    <t>putative MalK ABC-type sugar transport systems,ATPase components</t>
  </si>
  <si>
    <t>malK</t>
  </si>
  <si>
    <t>CCB95394.1</t>
  </si>
  <si>
    <t>SALIVA_1079</t>
  </si>
  <si>
    <t>maltodextrin transport system permease protein malD</t>
  </si>
  <si>
    <t>malD</t>
  </si>
  <si>
    <t>CCB95395.1</t>
  </si>
  <si>
    <t>SALIVA_1080</t>
  </si>
  <si>
    <t>maltodextrin transport system permease protein malC</t>
  </si>
  <si>
    <t>malC</t>
  </si>
  <si>
    <t>CCB95396.1</t>
  </si>
  <si>
    <t>SALIVA_1081</t>
  </si>
  <si>
    <t>maltose/maltodextrin-binding protein precursor</t>
  </si>
  <si>
    <t>malE</t>
  </si>
  <si>
    <t>CCB95397.1</t>
  </si>
  <si>
    <t>SALIVA_1082</t>
  </si>
  <si>
    <t>HTH-type transcriptional regulator malR (Maltose operon transcriptional repressor)</t>
  </si>
  <si>
    <t>malR</t>
  </si>
  <si>
    <t>CCB95398.1</t>
  </si>
  <si>
    <t>SALIVA_1083</t>
  </si>
  <si>
    <t>4-alpha-glucanotransferase (Amylomaltase) (Disproportionating enzyme) (D-enzyme)</t>
  </si>
  <si>
    <t>malQ</t>
  </si>
  <si>
    <t>CCB95399.1</t>
  </si>
  <si>
    <t>SALIVA_1084</t>
  </si>
  <si>
    <t>phosphorylase</t>
  </si>
  <si>
    <t>glgP</t>
  </si>
  <si>
    <t>CCB95400.1</t>
  </si>
  <si>
    <t>SALIVA_1085</t>
  </si>
  <si>
    <t>CCB95401.1</t>
  </si>
  <si>
    <t>SALIVA_1087</t>
  </si>
  <si>
    <t>putative lipoate-protein ligase A (Lipoate--protein ligase)</t>
  </si>
  <si>
    <t>lplA</t>
  </si>
  <si>
    <t>CCB95402.1</t>
  </si>
  <si>
    <t>SALIVA_1088</t>
  </si>
  <si>
    <t>Tyrosine recombinase xerC</t>
  </si>
  <si>
    <t>xerC</t>
  </si>
  <si>
    <t>CCB95403.1</t>
  </si>
  <si>
    <t>SALIVA_1089</t>
  </si>
  <si>
    <t>aminopeptidase N (Lysyl aminopeptidase) (Lys-AP) (Alanine aminopeptidase)</t>
  </si>
  <si>
    <t>pepN</t>
  </si>
  <si>
    <t>CCB95404.1</t>
  </si>
  <si>
    <t>SALIVA_1090</t>
  </si>
  <si>
    <t>phosphate uptake regulator, PhoU</t>
  </si>
  <si>
    <t>CCB95405.1</t>
  </si>
  <si>
    <t>SALIVA_1091</t>
  </si>
  <si>
    <t>phosphate import ATP-binding protein pstB 2 (Phosphate-transporting ATPase 2) (ABC phosphate transporter 2)</t>
  </si>
  <si>
    <t>pstB2</t>
  </si>
  <si>
    <t>CCB95406.1</t>
  </si>
  <si>
    <t>SALIVA_1092</t>
  </si>
  <si>
    <t>phosphate import ATP-binding protein pstB 1 (Phosphate-transporting ATPase 1) (ABC phosphate transporter 1)</t>
  </si>
  <si>
    <t>pstB1</t>
  </si>
  <si>
    <t>CCB95407.1</t>
  </si>
  <si>
    <t>SALIVA_1093</t>
  </si>
  <si>
    <t>phosphate ABC transporter permease protein</t>
  </si>
  <si>
    <t>pstC2</t>
  </si>
  <si>
    <t>CCB95408.1</t>
  </si>
  <si>
    <t>SALIVA_1094</t>
  </si>
  <si>
    <t>ABC-type phosphate transport system, permease component</t>
  </si>
  <si>
    <t>CCB95409.1</t>
  </si>
  <si>
    <t>SALIVA_1095</t>
  </si>
  <si>
    <t>ABC-type phosphate transport system, periplasmic component</t>
  </si>
  <si>
    <t>CCB95410.1</t>
  </si>
  <si>
    <t>SALIVA_1096</t>
  </si>
  <si>
    <t>putative rRNA methyltransferase</t>
  </si>
  <si>
    <t>sunL like</t>
  </si>
  <si>
    <t>CCB95411.1</t>
  </si>
  <si>
    <t>SALIVA_1097</t>
  </si>
  <si>
    <t>inositol-1-monophosphatase (IMPase) (Inositol-1-phosphatase) (I-1-Pase)</t>
  </si>
  <si>
    <t>suhB</t>
  </si>
  <si>
    <t>CCB95412.1</t>
  </si>
  <si>
    <t>SALIVA_1098</t>
  </si>
  <si>
    <t>UPF0223 protein stu0998</t>
  </si>
  <si>
    <t>CCB95413.1</t>
  </si>
  <si>
    <t>SALIVA_1099</t>
  </si>
  <si>
    <t>regulatory protein spx, Arsenate reductase family protein</t>
  </si>
  <si>
    <t>arsC</t>
  </si>
  <si>
    <t>CCB95414.1</t>
  </si>
  <si>
    <t>SALIVA_1100</t>
  </si>
  <si>
    <t>riboflavin kinase / FMN adenylyltransferase</t>
  </si>
  <si>
    <t>ribC</t>
  </si>
  <si>
    <t>CCB95415.1</t>
  </si>
  <si>
    <t>SALIVA_1101</t>
  </si>
  <si>
    <t>tRNA pseudouridine synthase B (tRNA pseudouridine 55 synthase) (Psi55 synthase) (tRNA-uridine isomerase) (tRNA pseudouridylate synthase)</t>
  </si>
  <si>
    <t>truB</t>
  </si>
  <si>
    <t>CCB95416.1</t>
  </si>
  <si>
    <t>SALIVA_1102</t>
  </si>
  <si>
    <t>CCB95417.1</t>
  </si>
  <si>
    <t>SALIVA_1103</t>
  </si>
  <si>
    <t>CCB95418.1</t>
  </si>
  <si>
    <t>SALIVA_1104</t>
  </si>
  <si>
    <t>restriction endonuclease S subunit</t>
  </si>
  <si>
    <t>hsdS</t>
  </si>
  <si>
    <t>CCB95419.1</t>
  </si>
  <si>
    <t>SALIVA_1105</t>
  </si>
  <si>
    <t>putative thiol peroxidase</t>
  </si>
  <si>
    <t>tpx</t>
  </si>
  <si>
    <t>CCB95420.1</t>
  </si>
  <si>
    <t>SALIVA_1106</t>
  </si>
  <si>
    <t>CCB95421.1</t>
  </si>
  <si>
    <t>SALIVA_1107</t>
  </si>
  <si>
    <t>O-acetylhomoserine sulfhydrylase (O-acetylhomoserine (thiol)-lyase) (OAH sulfhydrylase) (Homocysteine synthase)</t>
  </si>
  <si>
    <t>cysD</t>
  </si>
  <si>
    <t>CCB95422.1</t>
  </si>
  <si>
    <t>SALIVA_1108</t>
  </si>
  <si>
    <t>ATP-dependent DNA helicase pcrA</t>
  </si>
  <si>
    <t>pcrA</t>
  </si>
  <si>
    <t>CCB95423.1</t>
  </si>
  <si>
    <t>SALIVA_1109</t>
  </si>
  <si>
    <t>alanine (Or glycine):Na+ symporter</t>
  </si>
  <si>
    <t>dagA</t>
  </si>
  <si>
    <t>CCB95424.1</t>
  </si>
  <si>
    <t>SALIVA_1110</t>
  </si>
  <si>
    <t>tRNA modification GTPase trmE</t>
  </si>
  <si>
    <t>trmE</t>
  </si>
  <si>
    <t>CCB95425.1</t>
  </si>
  <si>
    <t>SALIVA_1111</t>
  </si>
  <si>
    <t>putative transcriptional regulator (AraC family)</t>
  </si>
  <si>
    <t>bglC</t>
  </si>
  <si>
    <t>CCB95426.1</t>
  </si>
  <si>
    <t>SALIVA_1112</t>
  </si>
  <si>
    <t>5-nucleotidase putative</t>
  </si>
  <si>
    <t>CCB95427.1</t>
  </si>
  <si>
    <t>SALIVA_1113</t>
  </si>
  <si>
    <t>CCB95428.1</t>
  </si>
  <si>
    <t>SALIVA_2092</t>
  </si>
  <si>
    <t>CCB95429.1</t>
  </si>
  <si>
    <t>SALIVA_2093</t>
  </si>
  <si>
    <t>putative amino-acid ABC transporter permease protein</t>
  </si>
  <si>
    <t>CCB95430.1</t>
  </si>
  <si>
    <t>SALIVA_1114</t>
  </si>
  <si>
    <t>CCB95431.1</t>
  </si>
  <si>
    <t>SALIVA_1116</t>
  </si>
  <si>
    <t>6-aminohexanoate-cyclic-dimer hydrolase (Nylon oligomers-degrading enzyme EI)</t>
  </si>
  <si>
    <t>nylA</t>
  </si>
  <si>
    <t>CCB95432.1</t>
  </si>
  <si>
    <t>SALIVA_1117</t>
  </si>
  <si>
    <t>orotate phosphoribosyltransferase (OPRT) (OPRTase)</t>
  </si>
  <si>
    <t>pyrE</t>
  </si>
  <si>
    <t>CCB95433.1</t>
  </si>
  <si>
    <t>SALIVA_1118</t>
  </si>
  <si>
    <t>orotidine 5-phosphate decarboxylase (OMP decarboxylase) (OMPDCase) (OMPdecase)</t>
  </si>
  <si>
    <t>pyrF</t>
  </si>
  <si>
    <t>CCB95434.1</t>
  </si>
  <si>
    <t>SALIVA_1119</t>
  </si>
  <si>
    <t>CCB95435.1</t>
  </si>
  <si>
    <t>SALIVA_1120</t>
  </si>
  <si>
    <t>CCB95436.1</t>
  </si>
  <si>
    <t>SALIVA_1121</t>
  </si>
  <si>
    <t>dihydroorotate dehydrogenase B, catalytic subunit (Dihydroorotate oxidase B) (DHOdehase B) (DHODase B) (DHOD B)</t>
  </si>
  <si>
    <t>pyrDB</t>
  </si>
  <si>
    <t>CCB95437.1</t>
  </si>
  <si>
    <t>SALIVA_1122</t>
  </si>
  <si>
    <t>dihydroorotate oxidase, electron transfer subunit</t>
  </si>
  <si>
    <t>pyrK</t>
  </si>
  <si>
    <t>CCB95438.1</t>
  </si>
  <si>
    <t>SALIVA_1124</t>
  </si>
  <si>
    <t>4-methyl-5(Beta-hydroxyethyl)-thiazole monophosphate synthesis protein</t>
  </si>
  <si>
    <t>thiJ</t>
  </si>
  <si>
    <t>CCB95439.1</t>
  </si>
  <si>
    <t>SALIVA_1125</t>
  </si>
  <si>
    <t>CCB95440.1</t>
  </si>
  <si>
    <t>SALIVA_1126</t>
  </si>
  <si>
    <t>fibronectin-binding protein-like protein A</t>
  </si>
  <si>
    <t>fbp</t>
  </si>
  <si>
    <t>CCB95441.1</t>
  </si>
  <si>
    <t>SALIVA_1127</t>
  </si>
  <si>
    <t>CCB95442.1</t>
  </si>
  <si>
    <t>SALIVA_1128</t>
  </si>
  <si>
    <t>dinF protein (MATE efflux family protein DinF)</t>
  </si>
  <si>
    <t>dinF</t>
  </si>
  <si>
    <t>CCB95443.1</t>
  </si>
  <si>
    <t>SALIVA_1129</t>
  </si>
  <si>
    <t>ferric anguibactin-binding protein precursor</t>
  </si>
  <si>
    <t>fatB</t>
  </si>
  <si>
    <t>CCB95444.1</t>
  </si>
  <si>
    <t>SALIVA_1130</t>
  </si>
  <si>
    <t>CCB95445.1</t>
  </si>
  <si>
    <t>SALIVA_1131</t>
  </si>
  <si>
    <t>CCB95446.1</t>
  </si>
  <si>
    <t>SALIVA_1132</t>
  </si>
  <si>
    <t>CCB95447.1</t>
  </si>
  <si>
    <t>SALIVA_1133</t>
  </si>
  <si>
    <t>putative pyrophosphatase ppaX</t>
  </si>
  <si>
    <t>ppaX</t>
  </si>
  <si>
    <t>CCB95448.1</t>
  </si>
  <si>
    <t>SALIVA_1134</t>
  </si>
  <si>
    <t>phosphorylase, Pnp/Udp family</t>
  </si>
  <si>
    <t>CCB95449.1</t>
  </si>
  <si>
    <t>SALIVA_1135</t>
  </si>
  <si>
    <t>CCB95450.1</t>
  </si>
  <si>
    <t>SALIVA_1136</t>
  </si>
  <si>
    <t>inner membrane transport permease ybhR</t>
  </si>
  <si>
    <t>ybhR</t>
  </si>
  <si>
    <t>CCB95451.1</t>
  </si>
  <si>
    <t>SALIVA_1137</t>
  </si>
  <si>
    <t>putative ABC transporter, ATP-binding protein</t>
  </si>
  <si>
    <t>CCB95452.1</t>
  </si>
  <si>
    <t>SALIVA_1138</t>
  </si>
  <si>
    <t>CCB95453.1</t>
  </si>
  <si>
    <t>SALIVA_1139</t>
  </si>
  <si>
    <t>alcohol dehydrogenase</t>
  </si>
  <si>
    <t>adhB</t>
  </si>
  <si>
    <t>CCB95454.1</t>
  </si>
  <si>
    <t>SALIVA_1140</t>
  </si>
  <si>
    <t>ferrochelatase (Protoheme ferro-lyase) (Heme synthetase)</t>
  </si>
  <si>
    <t>hemH</t>
  </si>
  <si>
    <t>CCB95455.1</t>
  </si>
  <si>
    <t>SALIVA_1141</t>
  </si>
  <si>
    <t>cation diffusion facilitor (CDF) family protein</t>
  </si>
  <si>
    <t>CCB95456.1</t>
  </si>
  <si>
    <t>SALIVA_1142</t>
  </si>
  <si>
    <t>CCB95457.1</t>
  </si>
  <si>
    <t>SALIVA_1143</t>
  </si>
  <si>
    <t>CCB95458.1</t>
  </si>
  <si>
    <t>SALIVA_1144</t>
  </si>
  <si>
    <t>CCB95459.1</t>
  </si>
  <si>
    <t>SALIVA_1145</t>
  </si>
  <si>
    <t>CCB95460.1</t>
  </si>
  <si>
    <t>SALIVA_1146</t>
  </si>
  <si>
    <t>CCB95461.1</t>
  </si>
  <si>
    <t>SALIVA_1147</t>
  </si>
  <si>
    <t>uncharacterized sensory transduction protein ycbL</t>
  </si>
  <si>
    <t>rr08</t>
  </si>
  <si>
    <t>CCB95462.1</t>
  </si>
  <si>
    <t>SALIVA_1148</t>
  </si>
  <si>
    <t>hk08</t>
  </si>
  <si>
    <t>CCB95463.1</t>
  </si>
  <si>
    <t>SALIVA_1149</t>
  </si>
  <si>
    <t>CCB95464.1</t>
  </si>
  <si>
    <t>SALIVA_1150</t>
  </si>
  <si>
    <t>CCB95465.1</t>
  </si>
  <si>
    <t>SALIVA_1151</t>
  </si>
  <si>
    <t>cobalt import ATP-binding protein cbiO 1</t>
  </si>
  <si>
    <t>cbiO1</t>
  </si>
  <si>
    <t>CCB95466.1</t>
  </si>
  <si>
    <t>SALIVA_1152</t>
  </si>
  <si>
    <t>ABC transporter permease protein</t>
  </si>
  <si>
    <t>ychF</t>
  </si>
  <si>
    <t>CCB95467.1</t>
  </si>
  <si>
    <t>SALIVA_1153</t>
  </si>
  <si>
    <t>signal transduction histidine kinase, LytS</t>
  </si>
  <si>
    <t>CCB95468.1</t>
  </si>
  <si>
    <t>SALIVA_1154</t>
  </si>
  <si>
    <t>putative isomerase MAWBP-1</t>
  </si>
  <si>
    <t>mawbp1</t>
  </si>
  <si>
    <t>CCB95469.1</t>
  </si>
  <si>
    <t>SALIVA_1155</t>
  </si>
  <si>
    <t>CCB95470.1</t>
  </si>
  <si>
    <t>SALIVA_1156</t>
  </si>
  <si>
    <t>CCB95471.1</t>
  </si>
  <si>
    <t>SALIVA_1157</t>
  </si>
  <si>
    <t>ylbB</t>
  </si>
  <si>
    <t>CCB95472.1</t>
  </si>
  <si>
    <t>SALIVA_1158</t>
  </si>
  <si>
    <t>transposase</t>
  </si>
  <si>
    <t>CCB95473.1</t>
  </si>
  <si>
    <t>SALIVA_1159</t>
  </si>
  <si>
    <t>putative DNA repair endonuclease</t>
  </si>
  <si>
    <t>CCB95474.1</t>
  </si>
  <si>
    <t>SALIVA_1160</t>
  </si>
  <si>
    <t>glycine betaine/L-proline ABC transporter,permease/glycine betaine/L-proline-binding protein</t>
  </si>
  <si>
    <t>CCB95475.1</t>
  </si>
  <si>
    <t>SALIVA_1161</t>
  </si>
  <si>
    <t>choline/proline/glycine betaine ABC uptake transporter ATP-binding protein</t>
  </si>
  <si>
    <t>proV</t>
  </si>
  <si>
    <t>CCB95476.1</t>
  </si>
  <si>
    <t>SALIVA_1162</t>
  </si>
  <si>
    <t>uncharacterized oxidoreductase ytfG</t>
  </si>
  <si>
    <t>ytfG</t>
  </si>
  <si>
    <t>CCB95477.1</t>
  </si>
  <si>
    <t>SALIVA_1163</t>
  </si>
  <si>
    <t>CCB95478.1</t>
  </si>
  <si>
    <t>SALIVA_1164</t>
  </si>
  <si>
    <t>UPF0189 protein in tap1-dppD intergenic region</t>
  </si>
  <si>
    <t>CCB95479.1</t>
  </si>
  <si>
    <t>SALIVA_1165</t>
  </si>
  <si>
    <t>putative uncharacterized protein (SIR2 family protein)</t>
  </si>
  <si>
    <t>CCB95480.1</t>
  </si>
  <si>
    <t>SALIVA_1166</t>
  </si>
  <si>
    <t>CCB95481.1</t>
  </si>
  <si>
    <t>SALIVA_1167</t>
  </si>
  <si>
    <t>alpha-acetolactate decarboxylase</t>
  </si>
  <si>
    <t>aldB</t>
  </si>
  <si>
    <t>CCB95482.1</t>
  </si>
  <si>
    <t>SALIVA_1168</t>
  </si>
  <si>
    <t>acetolactate synthase (Acetohydroxy-acid synthase) (ALS)</t>
  </si>
  <si>
    <t>alsS</t>
  </si>
  <si>
    <t>CCB95483.1</t>
  </si>
  <si>
    <t>SALIVA_1169</t>
  </si>
  <si>
    <t>CCB95484.1</t>
  </si>
  <si>
    <t>SALIVA_1170</t>
  </si>
  <si>
    <t>CCB95485.1</t>
  </si>
  <si>
    <t>SALIVA_1171</t>
  </si>
  <si>
    <t>GTP-binding protein lepA</t>
  </si>
  <si>
    <t>lepA</t>
  </si>
  <si>
    <t>CCB95486.1</t>
  </si>
  <si>
    <t>SALIVA_1172</t>
  </si>
  <si>
    <t>CCB95487.1</t>
  </si>
  <si>
    <t>SALIVA_1173</t>
  </si>
  <si>
    <t>acetoin(diacetyl) reductase (AR) (Acetoin dehydrogenase) (Meso-2,3-butanediol dehydrogenase)</t>
  </si>
  <si>
    <t>butA</t>
  </si>
  <si>
    <t>CCB95488.1</t>
  </si>
  <si>
    <t>SALIVA_1174</t>
  </si>
  <si>
    <t>rhodanese-related sulfurtransferase</t>
  </si>
  <si>
    <t>CCB95489.1</t>
  </si>
  <si>
    <t>SALIVA_1175</t>
  </si>
  <si>
    <t>nucleoside diphosphate kinase (NDK) (NDP kinase) (Nucleoside-2-P kinase)</t>
  </si>
  <si>
    <t>ndk</t>
  </si>
  <si>
    <t>CCB95490.1</t>
  </si>
  <si>
    <t>SALIVA_1176</t>
  </si>
  <si>
    <t>possible homocysteine S-methyltransferase</t>
  </si>
  <si>
    <t>CCB95491.1</t>
  </si>
  <si>
    <t>SALIVA_1177</t>
  </si>
  <si>
    <t>tRNA uridine 5-carboxymethylaminomethyl modification enzyme gid</t>
  </si>
  <si>
    <t>gid</t>
  </si>
  <si>
    <t>CCB95492.1</t>
  </si>
  <si>
    <t>SALIVA_1178</t>
  </si>
  <si>
    <t>hk04</t>
  </si>
  <si>
    <t>CCB95493.1</t>
  </si>
  <si>
    <t>SALIVA_1179</t>
  </si>
  <si>
    <t>response regulator (Homolog to spaR Bsu &amp; DvnR Cdi)</t>
  </si>
  <si>
    <t>rr04</t>
  </si>
  <si>
    <t>CCB95494.1</t>
  </si>
  <si>
    <t>SALIVA_1180</t>
  </si>
  <si>
    <t>DNA topoisomerase</t>
  </si>
  <si>
    <t>topA</t>
  </si>
  <si>
    <t>CCB95495.1</t>
  </si>
  <si>
    <t>SALIVA_1182</t>
  </si>
  <si>
    <t>DNA processing protein, Smf family</t>
  </si>
  <si>
    <t>dprA</t>
  </si>
  <si>
    <t>CCB95496.1</t>
  </si>
  <si>
    <t>SALIVA_1183</t>
  </si>
  <si>
    <t>sugar kinase and transcription regulator</t>
  </si>
  <si>
    <t>CCB95497.1</t>
  </si>
  <si>
    <t>SALIVA_1184</t>
  </si>
  <si>
    <t>ribonuclease HII (RNase HII)</t>
  </si>
  <si>
    <t>CCB95498.1</t>
  </si>
  <si>
    <t>SALIVA_1185</t>
  </si>
  <si>
    <t>CCB95499.1</t>
  </si>
  <si>
    <t>SALIVA_1186</t>
  </si>
  <si>
    <t>ynaB like</t>
  </si>
  <si>
    <t>CCB95500.1</t>
  </si>
  <si>
    <t>SALIVA_1187</t>
  </si>
  <si>
    <t>predicted small molecule binding protein (Contains 3H domain)</t>
  </si>
  <si>
    <t>CCB95501.1</t>
  </si>
  <si>
    <t>SALIVA_1188</t>
  </si>
  <si>
    <t>CCB95502.1</t>
  </si>
  <si>
    <t>SALIVA_1189</t>
  </si>
  <si>
    <t>signal recognition particle subunit FFH/SRP54 (Srp54)</t>
  </si>
  <si>
    <t>CCB95503.1</t>
  </si>
  <si>
    <t>SALIVA_1190</t>
  </si>
  <si>
    <t>UPF0122 protein STER_0914</t>
  </si>
  <si>
    <t>CCB95504.1</t>
  </si>
  <si>
    <t>SALIVA_1191</t>
  </si>
  <si>
    <t>transcriptional regulator, GntR family</t>
  </si>
  <si>
    <t>CCB95505.1</t>
  </si>
  <si>
    <t>SALIVA_1192</t>
  </si>
  <si>
    <t>GMP synthase [glutamine-hydrolyzing] (Glutamine amidotransferase) (GMP synthetase)</t>
  </si>
  <si>
    <t>CCB95506.1</t>
  </si>
  <si>
    <t>SALIVA_1193</t>
  </si>
  <si>
    <t>ribosomal-protein-serine acetyltransferase (Acetylating enzyme for N-terminal of ribosomal protein L7/L12)</t>
  </si>
  <si>
    <t>rimL</t>
  </si>
  <si>
    <t>CCB95507.1</t>
  </si>
  <si>
    <t>SALIVA_1194</t>
  </si>
  <si>
    <t>alcohol dehydrogenase 1 (Alcohol dehydrogenase I) (ADH I)</t>
  </si>
  <si>
    <t>adhA</t>
  </si>
  <si>
    <t>CCB95508.1</t>
  </si>
  <si>
    <t>SALIVA_1195</t>
  </si>
  <si>
    <t>CCB95509.1</t>
  </si>
  <si>
    <t>SALIVA_1196</t>
  </si>
  <si>
    <t>CCB95510.1</t>
  </si>
  <si>
    <t>SALIVA_1197</t>
  </si>
  <si>
    <t>DNA polymerase IV 2 (Pol IV 2)</t>
  </si>
  <si>
    <t>dinB2</t>
  </si>
  <si>
    <t>CCB95511.1</t>
  </si>
  <si>
    <t>SALIVA_1198</t>
  </si>
  <si>
    <t>CCB95512.1</t>
  </si>
  <si>
    <t>SALIVA_1199</t>
  </si>
  <si>
    <t>ABC-type polar amino acid transport system,ATPase component</t>
  </si>
  <si>
    <t>CCB95513.1</t>
  </si>
  <si>
    <t>SALIVA_1200</t>
  </si>
  <si>
    <t>CCB95514.1</t>
  </si>
  <si>
    <t>SALIVA_1201</t>
  </si>
  <si>
    <t>uncharacterized Zn-ribbon-containing protein</t>
  </si>
  <si>
    <t>CCB95515.1</t>
  </si>
  <si>
    <t>SALIVA_1202</t>
  </si>
  <si>
    <t>glutamine-fructose-6-phosphate transaminase,(Glucosamine--fructose-6-phosphate aminotransferase) [isomerizing] (Hexosephosphate aminotransferase) (D-fructose-6-phosphate amidotransferase) (GFAT) (L-glutamine-D-fructose-6-phosphate amidotransferase) (Glucosamine-6-phosphate synthase)</t>
  </si>
  <si>
    <t>glmS</t>
  </si>
  <si>
    <t>CCB95516.1</t>
  </si>
  <si>
    <t>SALIVA_1203</t>
  </si>
  <si>
    <t>possible methionine metabolism transcriptional regulator, LysR family</t>
  </si>
  <si>
    <t>metR</t>
  </si>
  <si>
    <t>CCB95517.1</t>
  </si>
  <si>
    <t>SALIVA_1204</t>
  </si>
  <si>
    <t>peptidoglycan hydrolase</t>
  </si>
  <si>
    <t>mur2</t>
  </si>
  <si>
    <t>CCB95518.1</t>
  </si>
  <si>
    <t>SALIVA_1205</t>
  </si>
  <si>
    <t>CCB95519.1</t>
  </si>
  <si>
    <t>SALIVA_1206</t>
  </si>
  <si>
    <t>CCB95520.1</t>
  </si>
  <si>
    <t>SALIVA_1207</t>
  </si>
  <si>
    <t>CCB95521.1</t>
  </si>
  <si>
    <t>SALIVA_1208</t>
  </si>
  <si>
    <t>Zinc (Zn2+) ABC uptake transporter substrate binding protein</t>
  </si>
  <si>
    <t>adcA</t>
  </si>
  <si>
    <t>CCB95522.1</t>
  </si>
  <si>
    <t>SALIVA_1209</t>
  </si>
  <si>
    <t>putative uncharacterized protein (Hypothetical membrane spanning protein)</t>
  </si>
  <si>
    <t>CCB95523.1</t>
  </si>
  <si>
    <t>SALIVA_1210</t>
  </si>
  <si>
    <t>putative dipeptidase A</t>
  </si>
  <si>
    <t>pepDA</t>
  </si>
  <si>
    <t>CCB95524.1</t>
  </si>
  <si>
    <t>SALIVA_1211</t>
  </si>
  <si>
    <t>CCB95525.1</t>
  </si>
  <si>
    <t>SALIVA_1212</t>
  </si>
  <si>
    <t>CCB95526.1</t>
  </si>
  <si>
    <t>SALIVA_1213</t>
  </si>
  <si>
    <t>UPF0042 protein stu0831</t>
  </si>
  <si>
    <t>CCB95527.1</t>
  </si>
  <si>
    <t>SALIVA_1214</t>
  </si>
  <si>
    <t>CCB95528.1</t>
  </si>
  <si>
    <t>SALIVA_1215</t>
  </si>
  <si>
    <t>CCB95529.1</t>
  </si>
  <si>
    <t>SALIVA_1216</t>
  </si>
  <si>
    <t>NADPH-dependent 7-cyano-7-deazaguanine reductase (7-cyano-7-carbaguanine reductase) (PreQ(0) reductase) (NADPH-dependent nitrile oxidoreductase)</t>
  </si>
  <si>
    <t>queF</t>
  </si>
  <si>
    <t>CCB95530.1</t>
  </si>
  <si>
    <t>SALIVA_1217</t>
  </si>
  <si>
    <t>pyruvate-formate lyase-activating enzyme</t>
  </si>
  <si>
    <t>CCB95531.1</t>
  </si>
  <si>
    <t>SALIVA_1218</t>
  </si>
  <si>
    <t>6-pyruvoyl tetrahydrobiopterin synthase,putative</t>
  </si>
  <si>
    <t>ptpS</t>
  </si>
  <si>
    <t>CCB95532.1</t>
  </si>
  <si>
    <t>SALIVA_1219</t>
  </si>
  <si>
    <t>queuosine biosynthesis protein queC</t>
  </si>
  <si>
    <t>queC</t>
  </si>
  <si>
    <t>CCB95533.1</t>
  </si>
  <si>
    <t>SALIVA_1220</t>
  </si>
  <si>
    <t>putative uncharacterized protein (putative endoribonuclease)</t>
  </si>
  <si>
    <t>hRSP12</t>
  </si>
  <si>
    <t>CCB95534.1</t>
  </si>
  <si>
    <t>SALIVA_1221</t>
  </si>
  <si>
    <t>CCB95535.1</t>
  </si>
  <si>
    <t>SALIVA_1222</t>
  </si>
  <si>
    <t>asparaginyl-tRNA synthetase (Asparagine--tRNA ligase) (AsnRS)</t>
  </si>
  <si>
    <t>asnS</t>
  </si>
  <si>
    <t>CCB95536.1</t>
  </si>
  <si>
    <t>SALIVA_1224</t>
  </si>
  <si>
    <t>aspartate aminotransferase (ASPAT) (Transaminase A)</t>
  </si>
  <si>
    <t>aspB</t>
  </si>
  <si>
    <t>CCB95537.1</t>
  </si>
  <si>
    <t>SALIVA_1225</t>
  </si>
  <si>
    <t>CCB95538.1</t>
  </si>
  <si>
    <t>SALIVA_1226</t>
  </si>
  <si>
    <t>DNA polymerase III, epsilon subunit:DnaQ exonuclease/DinG helicase</t>
  </si>
  <si>
    <t>CCB95539.1</t>
  </si>
  <si>
    <t>SALIVA_1227</t>
  </si>
  <si>
    <t>uncharacterized protein yqgX</t>
  </si>
  <si>
    <t>yqgX</t>
  </si>
  <si>
    <t>CCB95540.1</t>
  </si>
  <si>
    <t>SALIVA_1228</t>
  </si>
  <si>
    <t>carbohydrate ABC uptake transporter membrane-spanning protein</t>
  </si>
  <si>
    <t>CCB95541.1</t>
  </si>
  <si>
    <t>SALIVA_1229</t>
  </si>
  <si>
    <t>CCB95542.1</t>
  </si>
  <si>
    <t>SALIVA_1230</t>
  </si>
  <si>
    <t>carbohydrate ABC uptake transporter ATP-binding protein</t>
  </si>
  <si>
    <t>rbsA</t>
  </si>
  <si>
    <t>CCB95543.1</t>
  </si>
  <si>
    <t>SALIVA_1231</t>
  </si>
  <si>
    <t>CCB95544.1</t>
  </si>
  <si>
    <t>SALIVA_1232</t>
  </si>
  <si>
    <t>cytidine deaminase (CDA) (Cytidine aminohydrolase)</t>
  </si>
  <si>
    <t>cdd</t>
  </si>
  <si>
    <t>CCB95545.1</t>
  </si>
  <si>
    <t>SALIVA_1233</t>
  </si>
  <si>
    <t>deoxyribose-phosphate aldolase (Phosphodeoxyriboaldolase) (Deoxyriboaldolase) (DERA)</t>
  </si>
  <si>
    <t>deoC</t>
  </si>
  <si>
    <t>CCB95546.1</t>
  </si>
  <si>
    <t>SALIVA_1234</t>
  </si>
  <si>
    <t>pyrimidine-nucleoside phosphorylase (PYNP)</t>
  </si>
  <si>
    <t>pdp</t>
  </si>
  <si>
    <t>CCB95547.1</t>
  </si>
  <si>
    <t>SALIVA_1235</t>
  </si>
  <si>
    <t>16S rRNA m(2)G 1207 methyltransferase</t>
  </si>
  <si>
    <t>CCB95548.1</t>
  </si>
  <si>
    <t>SALIVA_1236</t>
  </si>
  <si>
    <t>pantothenate kinase (Pantothenic acid kinase)</t>
  </si>
  <si>
    <t>coaA</t>
  </si>
  <si>
    <t>CCB95549.1</t>
  </si>
  <si>
    <t>SALIVA_1237</t>
  </si>
  <si>
    <t>30S ribosomal protein S20</t>
  </si>
  <si>
    <t>rpsT</t>
  </si>
  <si>
    <t>CCB95550.1</t>
  </si>
  <si>
    <t>SALIVA_1238</t>
  </si>
  <si>
    <t>Sensor protein ciaH</t>
  </si>
  <si>
    <t>ciaH</t>
  </si>
  <si>
    <t>CCB95551.1</t>
  </si>
  <si>
    <t>SALIVA_1239</t>
  </si>
  <si>
    <t>transcriptional regulatory protein ciaR</t>
  </si>
  <si>
    <t>ciaR</t>
  </si>
  <si>
    <t>CCB95552.1</t>
  </si>
  <si>
    <t>SALIVA_1240</t>
  </si>
  <si>
    <t>formate--tetrahydrofolate ligase (Formyltetrahydrofolate synthetase) (FHS) (FTHFS)</t>
  </si>
  <si>
    <t>fhs</t>
  </si>
  <si>
    <t>CCB95553.1</t>
  </si>
  <si>
    <t>SALIVA_1241</t>
  </si>
  <si>
    <t>phosphopantothenate--cysteine ligase</t>
  </si>
  <si>
    <t>coaB</t>
  </si>
  <si>
    <t>CCB95554.1</t>
  </si>
  <si>
    <t>SALIVA_1242</t>
  </si>
  <si>
    <t>putative phosphopantothenoylcysteine decarboxylase (PPCDC)</t>
  </si>
  <si>
    <t>coaC</t>
  </si>
  <si>
    <t>CCB95555.1</t>
  </si>
  <si>
    <t>SALIVA_1243</t>
  </si>
  <si>
    <t>CCB95556.1</t>
  </si>
  <si>
    <t>SALIVA_1244</t>
  </si>
  <si>
    <t>CCB95557.1</t>
  </si>
  <si>
    <t>SALIVA_1245</t>
  </si>
  <si>
    <t>phosphoglucomutase</t>
  </si>
  <si>
    <t>pgmA</t>
  </si>
  <si>
    <t>CCB95558.1</t>
  </si>
  <si>
    <t>SALIVA_1246</t>
  </si>
  <si>
    <t>methylenetetrahydrofolate reductase</t>
  </si>
  <si>
    <t>metF</t>
  </si>
  <si>
    <t>CCB95559.1</t>
  </si>
  <si>
    <t>SALIVA_1247</t>
  </si>
  <si>
    <t>5-methyltetrahydropteroyltriglutamate--homocysteine S-methyltransferase (Methionine synthase, vitamin-B12 independent isozyme) (Cobalamin-independent methionine synthase)</t>
  </si>
  <si>
    <t>metE</t>
  </si>
  <si>
    <t>CCB95560.1</t>
  </si>
  <si>
    <t>SALIVA_1248</t>
  </si>
  <si>
    <t>CCB95561.1</t>
  </si>
  <si>
    <t>SALIVA_1249</t>
  </si>
  <si>
    <t>para-aminobenzoate synthetase</t>
  </si>
  <si>
    <t>pabB</t>
  </si>
  <si>
    <t>CCB95562.1</t>
  </si>
  <si>
    <t>SALIVA_1250</t>
  </si>
  <si>
    <t>putative calcium-transporting ATPase 11, plasma membrane-type (Ca(2+)-ATPase isoform 11)</t>
  </si>
  <si>
    <t>acA11</t>
  </si>
  <si>
    <t>CCB95563.1</t>
  </si>
  <si>
    <t>SALIVA_1251</t>
  </si>
  <si>
    <t>extramembranal protein, D-alanyl transfer protein</t>
  </si>
  <si>
    <t>dltD</t>
  </si>
  <si>
    <t>CCB95564.1</t>
  </si>
  <si>
    <t>SALIVA_1252</t>
  </si>
  <si>
    <t>D-alanine--poly(phosphoribitol) ligase subunit 2 (D-alanyl carrier protein) (DCP)</t>
  </si>
  <si>
    <t>dltC</t>
  </si>
  <si>
    <t>CCB95565.1</t>
  </si>
  <si>
    <t>SALIVA_1253</t>
  </si>
  <si>
    <t>integral membrane protein, D-alanyl transfer protein</t>
  </si>
  <si>
    <t>dltB</t>
  </si>
  <si>
    <t>CCB95566.1</t>
  </si>
  <si>
    <t>SALIVA_1254</t>
  </si>
  <si>
    <t>D-alanine--poly(phosphoribitol) ligase subunit 1 (D-alanine-activating enzyme) (DAE) (D-alanine-D-alanyl carrier protein ligase) (DCL)</t>
  </si>
  <si>
    <t>dltA</t>
  </si>
  <si>
    <t>CCB95567.1</t>
  </si>
  <si>
    <t>SALIVA_1255</t>
  </si>
  <si>
    <t>CCB95568.1</t>
  </si>
  <si>
    <t>SALIVA_1256</t>
  </si>
  <si>
    <t>CCB95569.1</t>
  </si>
  <si>
    <t>SALIVA_1257</t>
  </si>
  <si>
    <t>CCB95570.1</t>
  </si>
  <si>
    <t>SALIVA_1258</t>
  </si>
  <si>
    <t>CCB95571.1</t>
  </si>
  <si>
    <t>SALIVA_1259</t>
  </si>
  <si>
    <t>Serine hydroxymethyltransferase (Serine methylase) (SHMT)</t>
  </si>
  <si>
    <t>glyA</t>
  </si>
  <si>
    <t>CCB95572.1</t>
  </si>
  <si>
    <t>SALIVA_1260</t>
  </si>
  <si>
    <t>CCB95573.1</t>
  </si>
  <si>
    <t>SALIVA_1261</t>
  </si>
  <si>
    <t>protein hemK homolog</t>
  </si>
  <si>
    <t>ywkE</t>
  </si>
  <si>
    <t>CCB95574.1</t>
  </si>
  <si>
    <t>SALIVA_1262</t>
  </si>
  <si>
    <t>peptide chain release factor 1 (RF-1)</t>
  </si>
  <si>
    <t>prfA</t>
  </si>
  <si>
    <t>CCB95575.1</t>
  </si>
  <si>
    <t>SALIVA_1263</t>
  </si>
  <si>
    <t>thymidine kinase</t>
  </si>
  <si>
    <t>tdk</t>
  </si>
  <si>
    <t>CCB95576.1</t>
  </si>
  <si>
    <t>SALIVA_1264</t>
  </si>
  <si>
    <t>adenosine deaminase (Adenosine aminohydrolase)</t>
  </si>
  <si>
    <t>add</t>
  </si>
  <si>
    <t>CCB95577.1</t>
  </si>
  <si>
    <t>SALIVA_1265</t>
  </si>
  <si>
    <t>glutathione S-transferase family</t>
  </si>
  <si>
    <t>CCB95578.1</t>
  </si>
  <si>
    <t>SALIVA_1266</t>
  </si>
  <si>
    <t>phosphoesterase, DHH family protein</t>
  </si>
  <si>
    <t>CCB95579.1</t>
  </si>
  <si>
    <t>SALIVA_1267</t>
  </si>
  <si>
    <t>lipoprotein</t>
  </si>
  <si>
    <t>apbE</t>
  </si>
  <si>
    <t>CCB95580.1</t>
  </si>
  <si>
    <t>SALIVA_1268</t>
  </si>
  <si>
    <t>50S ribosomal protein L31 type B</t>
  </si>
  <si>
    <t>rpmE2</t>
  </si>
  <si>
    <t>CCB95581.1</t>
  </si>
  <si>
    <t>SALIVA_1269</t>
  </si>
  <si>
    <t>conserved hypothetical, predicted membrane protein (TMS10)</t>
  </si>
  <si>
    <t>CCB95582.1</t>
  </si>
  <si>
    <t>SALIVA_1270</t>
  </si>
  <si>
    <t>CCB95583.1</t>
  </si>
  <si>
    <t>SALIVA_1271</t>
  </si>
  <si>
    <t>lactoylglutathione lyase or related lyase</t>
  </si>
  <si>
    <t>CCB95584.1</t>
  </si>
  <si>
    <t>SALIVA_1272</t>
  </si>
  <si>
    <t>sortase (Surface protein transpeptidase)</t>
  </si>
  <si>
    <t>CCB95585.1</t>
  </si>
  <si>
    <t>SALIVA_1273</t>
  </si>
  <si>
    <t>DNA gyrase subunit A</t>
  </si>
  <si>
    <t>gyrA</t>
  </si>
  <si>
    <t>CCB95586.1</t>
  </si>
  <si>
    <t>SALIVA_1274</t>
  </si>
  <si>
    <t>L-lactate dehydrogenase (L-LDH)</t>
  </si>
  <si>
    <t>ldh</t>
  </si>
  <si>
    <t>CCB95587.1</t>
  </si>
  <si>
    <t>SALIVA_1275</t>
  </si>
  <si>
    <t>putative NADH oxidase (NOXase)</t>
  </si>
  <si>
    <t>nox</t>
  </si>
  <si>
    <t>CCB95588.1</t>
  </si>
  <si>
    <t>SALIVA_1276</t>
  </si>
  <si>
    <t>ATPase component of ABC transporter with duplicated ATPase domains</t>
  </si>
  <si>
    <t>CCB95589.1</t>
  </si>
  <si>
    <t>SALIVA_1277</t>
  </si>
  <si>
    <t>CCB95590.1</t>
  </si>
  <si>
    <t>SALIVA_1278</t>
  </si>
  <si>
    <t>putative pyridoxal kinase (Pyridoxine kinase)</t>
  </si>
  <si>
    <t>pdxK</t>
  </si>
  <si>
    <t>CCB95591.1</t>
  </si>
  <si>
    <t>SALIVA_1279</t>
  </si>
  <si>
    <t>CCB95592.1</t>
  </si>
  <si>
    <t>SALIVA_1280</t>
  </si>
  <si>
    <t>CCB95593.1</t>
  </si>
  <si>
    <t>SALIVA_1281</t>
  </si>
  <si>
    <t>CCB95594.1</t>
  </si>
  <si>
    <t>SALIVA_1282</t>
  </si>
  <si>
    <t>putative uncharacterized protein (Anaerobic ribonucleoside-triphosphate reductase)</t>
  </si>
  <si>
    <t>CCB95595.1</t>
  </si>
  <si>
    <t>SALIVA_1283</t>
  </si>
  <si>
    <t>CCB95596.1</t>
  </si>
  <si>
    <t>SALIVA_1284</t>
  </si>
  <si>
    <t>phenylalanyl-tRNA synthetase beta chain (Phenylalanine--tRNA ligase beta chain) (PheRS)</t>
  </si>
  <si>
    <t>pheT</t>
  </si>
  <si>
    <t>CCB95597.1</t>
  </si>
  <si>
    <t>SALIVA_1285</t>
  </si>
  <si>
    <t>CCB95598.1</t>
  </si>
  <si>
    <t>SALIVA_1286</t>
  </si>
  <si>
    <t>phenylalanyl-tRNA synthetase alpha chain (Phenylalanine--tRNA ligase alpha chain) (PheRS)</t>
  </si>
  <si>
    <t>pheS</t>
  </si>
  <si>
    <t>CCB95599.1</t>
  </si>
  <si>
    <t>SALIVA_1287</t>
  </si>
  <si>
    <t>CCB95600.1</t>
  </si>
  <si>
    <t>SALIVA_1288</t>
  </si>
  <si>
    <t>CCB95601.1</t>
  </si>
  <si>
    <t>SALIVA_1289</t>
  </si>
  <si>
    <t>chromosome segregation SMC protein</t>
  </si>
  <si>
    <t>smc</t>
  </si>
  <si>
    <t>CCB95602.1</t>
  </si>
  <si>
    <t>SALIVA_1290</t>
  </si>
  <si>
    <t>ribonuclease 3 (Ribonuclease III) (RNase III)</t>
  </si>
  <si>
    <t>rnc</t>
  </si>
  <si>
    <t>CCB95603.1</t>
  </si>
  <si>
    <t>SALIVA_1291</t>
  </si>
  <si>
    <t>dihydrodipicolinate synthase (DHDPS)</t>
  </si>
  <si>
    <t>dapA</t>
  </si>
  <si>
    <t>CCB95604.1</t>
  </si>
  <si>
    <t>SALIVA_1292</t>
  </si>
  <si>
    <t>aspartate-semialdehyde dehydrogenase (ASA dehydrogenase) (ASADH)</t>
  </si>
  <si>
    <t>asd</t>
  </si>
  <si>
    <t>CCB95605.1</t>
  </si>
  <si>
    <t>SALIVA_1293</t>
  </si>
  <si>
    <t>CCB95606.1</t>
  </si>
  <si>
    <t>SALIVA_1294</t>
  </si>
  <si>
    <t>cardiolipin synthetase (Cardiolipin synthase) (CL synthase)</t>
  </si>
  <si>
    <t>cls</t>
  </si>
  <si>
    <t>CCB95607.1</t>
  </si>
  <si>
    <t>SALIVA_1295</t>
  </si>
  <si>
    <t>phosphinothricin acetyltransferase, putative,GNAT family acetyltransferase</t>
  </si>
  <si>
    <t>pat</t>
  </si>
  <si>
    <t>CCB95608.1</t>
  </si>
  <si>
    <t>SALIVA_1297</t>
  </si>
  <si>
    <t>CCB95609.1</t>
  </si>
  <si>
    <t>SALIVA_1298</t>
  </si>
  <si>
    <t>CCB95610.1</t>
  </si>
  <si>
    <t>SALIVA_1300</t>
  </si>
  <si>
    <t>glycine betaine transporter opuD</t>
  </si>
  <si>
    <t>opuD</t>
  </si>
  <si>
    <t>CCB95611.1</t>
  </si>
  <si>
    <t>SALIVA_1301</t>
  </si>
  <si>
    <t>CCB95612.1</t>
  </si>
  <si>
    <t>SALIVA_1302</t>
  </si>
  <si>
    <t>uvrABC system protein C (Protein uvrC) (Excinuclease ABC subunit C)</t>
  </si>
  <si>
    <t>uvrC</t>
  </si>
  <si>
    <t>CCB95613.1</t>
  </si>
  <si>
    <t>SALIVA_1303</t>
  </si>
  <si>
    <t>hydrolase, haloacid dehalogenase-like family</t>
  </si>
  <si>
    <t>CCB95614.1</t>
  </si>
  <si>
    <t>SALIVA_1304</t>
  </si>
  <si>
    <t>putative L-serine dehydratase, beta chain (SDH) (L-serine deaminase) (L-SD)</t>
  </si>
  <si>
    <t>sdaAB</t>
  </si>
  <si>
    <t>CCB95615.1</t>
  </si>
  <si>
    <t>SALIVA_1305</t>
  </si>
  <si>
    <t>putative L-serine dehydratase, alpha chain (SDH) (L-serine deaminase) (L-SD)</t>
  </si>
  <si>
    <t>sdaAA</t>
  </si>
  <si>
    <t>CCB95616.1</t>
  </si>
  <si>
    <t>SALIVA_1306</t>
  </si>
  <si>
    <t>fructan beta-fructosidase precursor (Exo-beta-D-fructosidase) (Fructanase)</t>
  </si>
  <si>
    <t>CCB95617.1</t>
  </si>
  <si>
    <t>SALIVA_1307</t>
  </si>
  <si>
    <t>CCB95618.1</t>
  </si>
  <si>
    <t>SALIVA_1309</t>
  </si>
  <si>
    <t>putative transposase</t>
  </si>
  <si>
    <t>tra</t>
  </si>
  <si>
    <t>CCB95619.1</t>
  </si>
  <si>
    <t>SALIVA_1310</t>
  </si>
  <si>
    <t>CCB95620.1</t>
  </si>
  <si>
    <t>SALIVA_1311</t>
  </si>
  <si>
    <t>CCB95621.1</t>
  </si>
  <si>
    <t>SALIVA_1312</t>
  </si>
  <si>
    <t>mutator protein MutT</t>
  </si>
  <si>
    <t>CCB95622.1</t>
  </si>
  <si>
    <t>SALIVA_1313</t>
  </si>
  <si>
    <t>CCB95623.1</t>
  </si>
  <si>
    <t>SALIVA_1314</t>
  </si>
  <si>
    <t>CCB95624.1</t>
  </si>
  <si>
    <t>SALIVA_1315</t>
  </si>
  <si>
    <t>CCB95625.1</t>
  </si>
  <si>
    <t>SALIVA_1316</t>
  </si>
  <si>
    <t>CCB95626.1</t>
  </si>
  <si>
    <t>SALIVA_1317</t>
  </si>
  <si>
    <t>CCB95627.1</t>
  </si>
  <si>
    <t>SALIVA_1318</t>
  </si>
  <si>
    <t>CCB95628.1</t>
  </si>
  <si>
    <t>SALIVA_1319</t>
  </si>
  <si>
    <t>CCB95629.1</t>
  </si>
  <si>
    <t>SALIVA_2094</t>
  </si>
  <si>
    <t>CCB95630.1</t>
  </si>
  <si>
    <t>SALIVA_1320</t>
  </si>
  <si>
    <t>CCB95631.1</t>
  </si>
  <si>
    <t>SALIVA_1321</t>
  </si>
  <si>
    <t>ABC-type uncharacterized transport system,permease component</t>
  </si>
  <si>
    <t>CCB95632.1</t>
  </si>
  <si>
    <t>SALIVA_1322</t>
  </si>
  <si>
    <t>CCB95633.1</t>
  </si>
  <si>
    <t>SALIVA_1323</t>
  </si>
  <si>
    <t>ABC transporter, ATP-binding protein</t>
  </si>
  <si>
    <t>CCB95634.1</t>
  </si>
  <si>
    <t>SALIVA_1324</t>
  </si>
  <si>
    <t>CCB95635.1</t>
  </si>
  <si>
    <t>SALIVA_1325</t>
  </si>
  <si>
    <t>DNA-binding response regulator (Rec-wHTH domains)</t>
  </si>
  <si>
    <t>CCB95636.1</t>
  </si>
  <si>
    <t>SALIVA_1326</t>
  </si>
  <si>
    <t>Sensor protein ydfH</t>
  </si>
  <si>
    <t>ydfH</t>
  </si>
  <si>
    <t>CCB95637.1</t>
  </si>
  <si>
    <t>SALIVA_1327</t>
  </si>
  <si>
    <t>ABC-type multidrug transport system, permease component</t>
  </si>
  <si>
    <t>CCB95638.1</t>
  </si>
  <si>
    <t>SALIVA_1328</t>
  </si>
  <si>
    <t>CCB95639.1</t>
  </si>
  <si>
    <t>SALIVA_1329</t>
  </si>
  <si>
    <t>CCB95640.1</t>
  </si>
  <si>
    <t>SALIVA_1330</t>
  </si>
  <si>
    <t>CCB95641.1</t>
  </si>
  <si>
    <t>SALIVA_1331</t>
  </si>
  <si>
    <t>CCB95642.1</t>
  </si>
  <si>
    <t>SALIVA_1332</t>
  </si>
  <si>
    <t>CCB95643.1</t>
  </si>
  <si>
    <t>SALIVA_1333</t>
  </si>
  <si>
    <t>metal dependent hydrolase</t>
  </si>
  <si>
    <t>CCB95644.1</t>
  </si>
  <si>
    <t>SALIVA_1334</t>
  </si>
  <si>
    <t>Sterol-4-alpha-carboxylate 3-dehydrogenase,decarboxylating</t>
  </si>
  <si>
    <t>Nsdhl</t>
  </si>
  <si>
    <t>CCB95645.1</t>
  </si>
  <si>
    <t>SALIVA_1335</t>
  </si>
  <si>
    <t>macrolide glycosyltransferase</t>
  </si>
  <si>
    <t>CCB95646.1</t>
  </si>
  <si>
    <t>SALIVA_1336</t>
  </si>
  <si>
    <t>Ketoacyl reductase hetN</t>
  </si>
  <si>
    <t>FNV0896</t>
  </si>
  <si>
    <t>CCB95647.1</t>
  </si>
  <si>
    <t>SALIVA_1337</t>
  </si>
  <si>
    <t>ceramide glucosyltransferase</t>
  </si>
  <si>
    <t>FNV0895</t>
  </si>
  <si>
    <t>CCB95648.1</t>
  </si>
  <si>
    <t>SALIVA_1338</t>
  </si>
  <si>
    <t>CCB95649.1</t>
  </si>
  <si>
    <t>SALIVA_1339</t>
  </si>
  <si>
    <t>Oleandomycin glycosyltransferase</t>
  </si>
  <si>
    <t>oleD</t>
  </si>
  <si>
    <t>CCB95650.1</t>
  </si>
  <si>
    <t>SALIVA_1340</t>
  </si>
  <si>
    <t>CCB95651.1</t>
  </si>
  <si>
    <t>SALIVA_1341</t>
  </si>
  <si>
    <t>CCB95652.1</t>
  </si>
  <si>
    <t>SALIVA_1342</t>
  </si>
  <si>
    <t>putative Chaperone protein hscC</t>
  </si>
  <si>
    <t>hscC</t>
  </si>
  <si>
    <t>CCB95653.1</t>
  </si>
  <si>
    <t>SALIVA_1343</t>
  </si>
  <si>
    <t>bile acid:Na+ symporter (BASS) family protein</t>
  </si>
  <si>
    <t>CCB95654.1</t>
  </si>
  <si>
    <t>SALIVA_1344</t>
  </si>
  <si>
    <t>cytidine/deoxycytidylate deaminase family protein</t>
  </si>
  <si>
    <t>CCB95655.1</t>
  </si>
  <si>
    <t>SALIVA_1345</t>
  </si>
  <si>
    <t>CCB95656.1</t>
  </si>
  <si>
    <t>SALIVA_1346</t>
  </si>
  <si>
    <t>CCB95657.1</t>
  </si>
  <si>
    <t>SALIVA_1347</t>
  </si>
  <si>
    <t>CCB95658.1</t>
  </si>
  <si>
    <t>SALIVA_1348</t>
  </si>
  <si>
    <t>CCB95659.1</t>
  </si>
  <si>
    <t>SALIVA_1349</t>
  </si>
  <si>
    <t>predicted Fe-S-cluster oxidoreductase</t>
  </si>
  <si>
    <t>CCB95660.1</t>
  </si>
  <si>
    <t>SALIVA_1350</t>
  </si>
  <si>
    <t>peptide-4 ABC exporter (Pep4E) family, substrate binding/membrane-spanning protein</t>
  </si>
  <si>
    <t>CCB95661.1</t>
  </si>
  <si>
    <t>SALIVA_1351</t>
  </si>
  <si>
    <t>CCB95662.1</t>
  </si>
  <si>
    <t>SALIVA_1352</t>
  </si>
  <si>
    <t>hk07</t>
  </si>
  <si>
    <t>CCB95663.1</t>
  </si>
  <si>
    <t>SALIVA_1353</t>
  </si>
  <si>
    <t>response regulator (Homolog to RR01Spn &amp; Sth)</t>
  </si>
  <si>
    <t>rr07</t>
  </si>
  <si>
    <t>CCB95664.1</t>
  </si>
  <si>
    <t>SALIVA_1354</t>
  </si>
  <si>
    <t>Xanthine phosphoribosyltransferase (XPRTase) (Fragment)</t>
  </si>
  <si>
    <t>xpt</t>
  </si>
  <si>
    <t>CCB95665.1</t>
  </si>
  <si>
    <t>SALIVA_1355</t>
  </si>
  <si>
    <t>Xanthine permease</t>
  </si>
  <si>
    <t>pbuX</t>
  </si>
  <si>
    <t>CCB95666.1</t>
  </si>
  <si>
    <t>SALIVA_1356</t>
  </si>
  <si>
    <t>CCB95667.1</t>
  </si>
  <si>
    <t>SALIVA_1357</t>
  </si>
  <si>
    <t>CCB95668.1</t>
  </si>
  <si>
    <t>SALIVA_1358</t>
  </si>
  <si>
    <t>CCB95669.1</t>
  </si>
  <si>
    <t>SALIVA_1359</t>
  </si>
  <si>
    <t>Na+-driven multidrug efflux pump</t>
  </si>
  <si>
    <t>CCB95670.1</t>
  </si>
  <si>
    <t>SALIVA_1360</t>
  </si>
  <si>
    <t>CCB95671.1</t>
  </si>
  <si>
    <t>SALIVA_1361</t>
  </si>
  <si>
    <t>peptide methionine sulfoxide reductase msrA/msrB 2 [Includes: Peptide methionine sulfoxide reductase msrA (EC 1.8.4.11) (Protein-methionine-S-oxide reductase) (Peptide-methionine (S)-S-oxide reductase) (Peptide Met(O) reductase); Peptide methionine sulfoxide reductase msrB (Peptide-methionine (R)-S-oxide reductase)]</t>
  </si>
  <si>
    <t>msrAB2</t>
  </si>
  <si>
    <t>CCB95672.1</t>
  </si>
  <si>
    <t>SALIVA_1362</t>
  </si>
  <si>
    <t>branched-chain amino acid permease</t>
  </si>
  <si>
    <t>brnQ</t>
  </si>
  <si>
    <t>CCB95673.1</t>
  </si>
  <si>
    <t>SALIVA_1363</t>
  </si>
  <si>
    <t>mannose-6-phosphate isomerase (Phosphomannose isomerase) (PMI) (Phosphohexomutase)</t>
  </si>
  <si>
    <t>pmi</t>
  </si>
  <si>
    <t>CCB95674.1</t>
  </si>
  <si>
    <t>SALIVA_1364</t>
  </si>
  <si>
    <t>CCB95675.1</t>
  </si>
  <si>
    <t>SALIVA_1365</t>
  </si>
  <si>
    <t>CCB95676.1</t>
  </si>
  <si>
    <t>SALIVA_1366</t>
  </si>
  <si>
    <t>CCB95677.1</t>
  </si>
  <si>
    <t>SALIVA_1367</t>
  </si>
  <si>
    <t>CCB95678.1</t>
  </si>
  <si>
    <t>SALIVA_1368</t>
  </si>
  <si>
    <t>CCB95679.1</t>
  </si>
  <si>
    <t>SALIVA_1369</t>
  </si>
  <si>
    <t>amino acid transporter</t>
  </si>
  <si>
    <t>CCB95680.1</t>
  </si>
  <si>
    <t>SALIVA_1370</t>
  </si>
  <si>
    <t>CCB95681.1</t>
  </si>
  <si>
    <t>SALIVA_1371</t>
  </si>
  <si>
    <t>glutathione peroxidase</t>
  </si>
  <si>
    <t>gpo</t>
  </si>
  <si>
    <t>CCB95682.1</t>
  </si>
  <si>
    <t>SALIVA_1372</t>
  </si>
  <si>
    <t>CCB95683.1</t>
  </si>
  <si>
    <t>SALIVA_1373</t>
  </si>
  <si>
    <t>CCB95684.1</t>
  </si>
  <si>
    <t>SALIVA_1374</t>
  </si>
  <si>
    <t>CCB95685.1</t>
  </si>
  <si>
    <t>SALIVA_1375</t>
  </si>
  <si>
    <t>CCB95686.1</t>
  </si>
  <si>
    <t>SALIVA_1376</t>
  </si>
  <si>
    <t>oxidoreductase ydhF</t>
  </si>
  <si>
    <t>ydhF</t>
  </si>
  <si>
    <t>CCB95687.1</t>
  </si>
  <si>
    <t>SALIVA_1377</t>
  </si>
  <si>
    <t>CCB95688.1</t>
  </si>
  <si>
    <t>SALIVA_1378</t>
  </si>
  <si>
    <t>CCB95689.1</t>
  </si>
  <si>
    <t>SALIVA_1379</t>
  </si>
  <si>
    <t>CCB95690.1</t>
  </si>
  <si>
    <t>SALIVA_1380</t>
  </si>
  <si>
    <t>CCB95691.1</t>
  </si>
  <si>
    <t>SALIVA_1381</t>
  </si>
  <si>
    <t>predicted ring-cleavage extradiol dioxygenase</t>
  </si>
  <si>
    <t>CCB95692.1</t>
  </si>
  <si>
    <t>SALIVA_1382</t>
  </si>
  <si>
    <t>transcriptional regulator, BadM/Rrf2 family</t>
  </si>
  <si>
    <t>CCB95693.1</t>
  </si>
  <si>
    <t>SALIVA_1383</t>
  </si>
  <si>
    <t>uncharacterized protein with an alpha/beta hydrolase fold</t>
  </si>
  <si>
    <t>CCB95694.1</t>
  </si>
  <si>
    <t>SALIVA_1384</t>
  </si>
  <si>
    <t>cellobiose PTS, EIIC</t>
  </si>
  <si>
    <t>celB</t>
  </si>
  <si>
    <t>CCB95695.1</t>
  </si>
  <si>
    <t>SALIVA_1385</t>
  </si>
  <si>
    <t>uncharacterized ABC transporter ATP-binding protein ycbN</t>
  </si>
  <si>
    <t>ycbN</t>
  </si>
  <si>
    <t>CCB95696.1</t>
  </si>
  <si>
    <t>SALIVA_1386</t>
  </si>
  <si>
    <t>CCB95697.1</t>
  </si>
  <si>
    <t>SALIVA_1387</t>
  </si>
  <si>
    <t>CCB95698.1</t>
  </si>
  <si>
    <t>SALIVA_1388</t>
  </si>
  <si>
    <t>Kinesin light chain</t>
  </si>
  <si>
    <t>CCB95699.1</t>
  </si>
  <si>
    <t>SALIVA_2095</t>
  </si>
  <si>
    <t>CCB95700.1</t>
  </si>
  <si>
    <t>SALIVA_2096</t>
  </si>
  <si>
    <t>CCB95701.1</t>
  </si>
  <si>
    <t>SALIVA_1390</t>
  </si>
  <si>
    <t>CCB95702.1</t>
  </si>
  <si>
    <t>SALIVA_1391</t>
  </si>
  <si>
    <t>ycbL</t>
  </si>
  <si>
    <t>CCB95703.1</t>
  </si>
  <si>
    <t>SALIVA_1392</t>
  </si>
  <si>
    <t>putative NAD(P)H nitroreductase ydgI</t>
  </si>
  <si>
    <t>ydgI</t>
  </si>
  <si>
    <t>CCB95704.1</t>
  </si>
  <si>
    <t>SALIVA_1393</t>
  </si>
  <si>
    <t>CCB95705.1</t>
  </si>
  <si>
    <t>SALIVA_1394</t>
  </si>
  <si>
    <t>SSU0829 undefined product 859341:859598 reverse MW:9981</t>
  </si>
  <si>
    <t>CCB95706.1</t>
  </si>
  <si>
    <t>SALIVA_1395</t>
  </si>
  <si>
    <t>SSU0830 undefined product 859582:859833 reverse MW:9325</t>
  </si>
  <si>
    <t>CCB95707.1</t>
  </si>
  <si>
    <t>SALIVA_1396</t>
  </si>
  <si>
    <t>CCB95708.1</t>
  </si>
  <si>
    <t>SALIVA_1397</t>
  </si>
  <si>
    <t>CCB95709.1</t>
  </si>
  <si>
    <t>SALIVA_1398</t>
  </si>
  <si>
    <t>beta-galactosidase (Lactase)</t>
  </si>
  <si>
    <t>lacZ</t>
  </si>
  <si>
    <t>CCB95710.1</t>
  </si>
  <si>
    <t>SALIVA_1399</t>
  </si>
  <si>
    <t>lactose permease (Lactose-proton symporter) (Lactose transport protein) [Includes: Putative phosphotransferase enzyme IIA component (Putative PTS system EIIA component)]</t>
  </si>
  <si>
    <t>lacS</t>
  </si>
  <si>
    <t>CCB95711.1</t>
  </si>
  <si>
    <t>SALIVA_1400</t>
  </si>
  <si>
    <t>aldose 1-epimerase (Mutarotase)</t>
  </si>
  <si>
    <t>galM</t>
  </si>
  <si>
    <t>CCB95712.1</t>
  </si>
  <si>
    <t>SALIVA_1401</t>
  </si>
  <si>
    <t>CCB95713.1</t>
  </si>
  <si>
    <t>SALIVA_1402</t>
  </si>
  <si>
    <t>Galactose-1-phosphate uridylyltransferase (Gal-1-P uridylyltransferase) (UDP-glucose--hexose-1-phosphate uridylyltransferase)</t>
  </si>
  <si>
    <t>galT</t>
  </si>
  <si>
    <t>CCB95714.1</t>
  </si>
  <si>
    <t>SALIVA_1403</t>
  </si>
  <si>
    <t>Galactokinase (Galactose kinase)</t>
  </si>
  <si>
    <t>galK</t>
  </si>
  <si>
    <t>CCB95715.1</t>
  </si>
  <si>
    <t>SALIVA_1404</t>
  </si>
  <si>
    <t>transcriptional regulator, LacI family</t>
  </si>
  <si>
    <t>galR</t>
  </si>
  <si>
    <t>CCB95716.1</t>
  </si>
  <si>
    <t>SALIVA_1405</t>
  </si>
  <si>
    <t>glucan 1,6-alpha-glucosidase (Dextran glucosidase) (Exo-1,6-alpha-glucosidase) (Glucodextranase)</t>
  </si>
  <si>
    <t>dexB</t>
  </si>
  <si>
    <t>CCB95717.1</t>
  </si>
  <si>
    <t>SALIVA_1406</t>
  </si>
  <si>
    <t>Sensor protein vanSB (Vancomycin B-type resistance protein vanSB) (Vancomycin histidine protein kinase)</t>
  </si>
  <si>
    <t>vanSB</t>
  </si>
  <si>
    <t>CCB95718.1</t>
  </si>
  <si>
    <t>SALIVA_1407</t>
  </si>
  <si>
    <t>response regulator (DNA-binding response regulator)</t>
  </si>
  <si>
    <t>ycf27</t>
  </si>
  <si>
    <t>CCB95719.1</t>
  </si>
  <si>
    <t>SALIVA_1408</t>
  </si>
  <si>
    <t>transmembrane protein Vexp3</t>
  </si>
  <si>
    <t>vex3</t>
  </si>
  <si>
    <t>CCB95720.1</t>
  </si>
  <si>
    <t>SALIVA_1409</t>
  </si>
  <si>
    <t>CCB95721.1</t>
  </si>
  <si>
    <t>SALIVA_1410</t>
  </si>
  <si>
    <t>transmembrane protein Vexp1</t>
  </si>
  <si>
    <t>CCB95722.1</t>
  </si>
  <si>
    <t>SALIVA_1411</t>
  </si>
  <si>
    <t>UPF0371 protein STER_1332</t>
  </si>
  <si>
    <t>CCB95723.1</t>
  </si>
  <si>
    <t>SALIVA_1412</t>
  </si>
  <si>
    <t>CCB95724.1</t>
  </si>
  <si>
    <t>SALIVA_1413</t>
  </si>
  <si>
    <t>glycerol dehydrogenase (GLDH)</t>
  </si>
  <si>
    <t>gldA</t>
  </si>
  <si>
    <t>CCB95725.1</t>
  </si>
  <si>
    <t>SALIVA_1414</t>
  </si>
  <si>
    <t>putative oxidoreductase ygjR</t>
  </si>
  <si>
    <t>ygjR</t>
  </si>
  <si>
    <t>CCB95726.1</t>
  </si>
  <si>
    <t>SALIVA_1415</t>
  </si>
  <si>
    <t>PTS-dependent dihydroxyacetone kinase,phosphotransferase subunit dhaM (Phosphotransferase enzyme IIA component) (PTS system EIIA component)</t>
  </si>
  <si>
    <t>dhaM</t>
  </si>
  <si>
    <t>CCB95727.1</t>
  </si>
  <si>
    <t>SALIVA_1416</t>
  </si>
  <si>
    <t>PTS-dependent dihydroxyacetone kinase,ADP-binding subunit dhaL</t>
  </si>
  <si>
    <t>dhaL</t>
  </si>
  <si>
    <t>CCB95728.1</t>
  </si>
  <si>
    <t>SALIVA_1417</t>
  </si>
  <si>
    <t>PTS-dependent dihydroxyacetone kinase,dihydroxyacetone-binding subunit dhaK</t>
  </si>
  <si>
    <t>dhaK</t>
  </si>
  <si>
    <t>CCB95729.1</t>
  </si>
  <si>
    <t>SALIVA_1418</t>
  </si>
  <si>
    <t>CCB95730.1</t>
  </si>
  <si>
    <t>SALIVA_1420</t>
  </si>
  <si>
    <t>Serine/threonine protein phosphatase</t>
  </si>
  <si>
    <t>CCB95731.1</t>
  </si>
  <si>
    <t>SALIVA_1421</t>
  </si>
  <si>
    <t>CCB95732.1</t>
  </si>
  <si>
    <t>SALIVA_1422</t>
  </si>
  <si>
    <t>Neutral endopeptidase (Endopeptidase O)</t>
  </si>
  <si>
    <t>pepO2</t>
  </si>
  <si>
    <t>CCB95733.1</t>
  </si>
  <si>
    <t>SALIVA_1423</t>
  </si>
  <si>
    <t>CCB95734.1</t>
  </si>
  <si>
    <t>SALIVA_1424</t>
  </si>
  <si>
    <t>uncharacterized protein VC_A0337</t>
  </si>
  <si>
    <t>CCB95735.1</t>
  </si>
  <si>
    <t>SALIVA_1425</t>
  </si>
  <si>
    <t>SSU1385 undefined product 1408544:1409146 reverse MW:22553</t>
  </si>
  <si>
    <t>CCB95736.1</t>
  </si>
  <si>
    <t>SALIVA_1426</t>
  </si>
  <si>
    <t>CCB95737.1</t>
  </si>
  <si>
    <t>SALIVA_1427</t>
  </si>
  <si>
    <t>CCB95738.1</t>
  </si>
  <si>
    <t>SALIVA_1428</t>
  </si>
  <si>
    <t>CCB95739.1</t>
  </si>
  <si>
    <t>SALIVA_1429</t>
  </si>
  <si>
    <t>CCB95740.1</t>
  </si>
  <si>
    <t>SALIVA_1430</t>
  </si>
  <si>
    <t>CCB95741.1</t>
  </si>
  <si>
    <t>SALIVA_1431</t>
  </si>
  <si>
    <t>CCB95742.1</t>
  </si>
  <si>
    <t>SALIVA_1432</t>
  </si>
  <si>
    <t>CCB95743.1</t>
  </si>
  <si>
    <t>SALIVA_1433</t>
  </si>
  <si>
    <t>CCB95744.1</t>
  </si>
  <si>
    <t>SALIVA_1434</t>
  </si>
  <si>
    <t>CCB95745.1</t>
  </si>
  <si>
    <t>SALIVA_1435</t>
  </si>
  <si>
    <t>glucan-binding protein A, GbpA</t>
  </si>
  <si>
    <t>gbpA</t>
  </si>
  <si>
    <t>CCB95746.1</t>
  </si>
  <si>
    <t>SALIVA_1436</t>
  </si>
  <si>
    <t>CCB95747.1</t>
  </si>
  <si>
    <t>SALIVA_1437</t>
  </si>
  <si>
    <t>glutamine amidotransferase subunit pdxT (Glutamine amidotransferase glutaminase subunit pdxT)</t>
  </si>
  <si>
    <t>pdxT</t>
  </si>
  <si>
    <t>CCB95748.1</t>
  </si>
  <si>
    <t>SALIVA_1438</t>
  </si>
  <si>
    <t>pyridoxal biosynthesis lyase pdxS</t>
  </si>
  <si>
    <t>pdxS</t>
  </si>
  <si>
    <t>CCB95749.1</t>
  </si>
  <si>
    <t>SALIVA_1439</t>
  </si>
  <si>
    <t>CCB95750.1</t>
  </si>
  <si>
    <t>SALIVA_1440</t>
  </si>
  <si>
    <t>CCB95751.1</t>
  </si>
  <si>
    <t>SALIVA_1441</t>
  </si>
  <si>
    <t>CCB95752.1</t>
  </si>
  <si>
    <t>SALIVA_1442</t>
  </si>
  <si>
    <t>CCB95753.1</t>
  </si>
  <si>
    <t>SALIVA_1443</t>
  </si>
  <si>
    <t>CCB95754.1</t>
  </si>
  <si>
    <t>SALIVA_1444</t>
  </si>
  <si>
    <t>CCB95755.1</t>
  </si>
  <si>
    <t>SALIVA_1445</t>
  </si>
  <si>
    <t>CCB95756.1</t>
  </si>
  <si>
    <t>SALIVA_1446</t>
  </si>
  <si>
    <t>CCB95757.1</t>
  </si>
  <si>
    <t>SALIVA_1447</t>
  </si>
  <si>
    <t>SSU0695 undefined product 722812:723576 forward MW:29131</t>
  </si>
  <si>
    <t>CCB95758.1</t>
  </si>
  <si>
    <t>SALIVA_1448</t>
  </si>
  <si>
    <t>lincomycin resistance protein lmrB</t>
  </si>
  <si>
    <t>lmrB</t>
  </si>
  <si>
    <t>CCB95759.1</t>
  </si>
  <si>
    <t>SALIVA_1449</t>
  </si>
  <si>
    <t>CCB95760.1</t>
  </si>
  <si>
    <t>SALIVA_1450</t>
  </si>
  <si>
    <t>maltose O-acetyltransferase (Maltose transacetylase)</t>
  </si>
  <si>
    <t>maa</t>
  </si>
  <si>
    <t>CCB95761.1</t>
  </si>
  <si>
    <t>SALIVA_1451</t>
  </si>
  <si>
    <t>YddR</t>
  </si>
  <si>
    <t>yddR</t>
  </si>
  <si>
    <t>CCB95762.1</t>
  </si>
  <si>
    <t>SALIVA_1452</t>
  </si>
  <si>
    <t>CCB95763.1</t>
  </si>
  <si>
    <t>SALIVA_1453</t>
  </si>
  <si>
    <t>CCB95764.1</t>
  </si>
  <si>
    <t>SALIVA_1454</t>
  </si>
  <si>
    <t>CCB95765.1</t>
  </si>
  <si>
    <t>SALIVA_1455</t>
  </si>
  <si>
    <t>CCB95766.1</t>
  </si>
  <si>
    <t>SALIVA_1456</t>
  </si>
  <si>
    <t>CCB95767.1</t>
  </si>
  <si>
    <t>SALIVA_1457</t>
  </si>
  <si>
    <t>CCB95768.1</t>
  </si>
  <si>
    <t>SALIVA_1458</t>
  </si>
  <si>
    <t>uncharacterized protein yefG (GalF transferase)</t>
  </si>
  <si>
    <t>yefG</t>
  </si>
  <si>
    <t>CCB95769.1</t>
  </si>
  <si>
    <t>SALIVA_1459</t>
  </si>
  <si>
    <t>CCB95770.1</t>
  </si>
  <si>
    <t>SALIVA_1460</t>
  </si>
  <si>
    <t>CCB95771.1</t>
  </si>
  <si>
    <t>SALIVA_1461</t>
  </si>
  <si>
    <t>CCB95772.1</t>
  </si>
  <si>
    <t>SALIVA_1462</t>
  </si>
  <si>
    <t>CCB95773.1</t>
  </si>
  <si>
    <t>SALIVA_1463</t>
  </si>
  <si>
    <t>protein translocase subunit secA</t>
  </si>
  <si>
    <t>secA</t>
  </si>
  <si>
    <t>CCB95774.1</t>
  </si>
  <si>
    <t>SALIVA_1464</t>
  </si>
  <si>
    <t>CCB95775.1</t>
  </si>
  <si>
    <t>SALIVA_1465</t>
  </si>
  <si>
    <t>CCB95776.1</t>
  </si>
  <si>
    <t>SALIVA_1466</t>
  </si>
  <si>
    <t>putative accessory secretory protein Asp1</t>
  </si>
  <si>
    <t>asp1</t>
  </si>
  <si>
    <t>CCB95777.1</t>
  </si>
  <si>
    <t>SALIVA_1467</t>
  </si>
  <si>
    <t>preprotein translocase subunit secY</t>
  </si>
  <si>
    <t>secY</t>
  </si>
  <si>
    <t>CCB95778.1</t>
  </si>
  <si>
    <t>SALIVA_1468</t>
  </si>
  <si>
    <t>CCB95779.1</t>
  </si>
  <si>
    <t>SALIVA_1469</t>
  </si>
  <si>
    <t>exonuclease</t>
  </si>
  <si>
    <t>sbcC</t>
  </si>
  <si>
    <t>CCB95780.1</t>
  </si>
  <si>
    <t>SALIVA_1470</t>
  </si>
  <si>
    <t>sbcD</t>
  </si>
  <si>
    <t>CCB95781.1</t>
  </si>
  <si>
    <t>SALIVA_1471</t>
  </si>
  <si>
    <t>CCB95782.1</t>
  </si>
  <si>
    <t>SALIVA_1472</t>
  </si>
  <si>
    <t>Zinc metalloprotease zmpB precursor</t>
  </si>
  <si>
    <t>zmpB</t>
  </si>
  <si>
    <t>CCB95783.1</t>
  </si>
  <si>
    <t>SALIVA_1473</t>
  </si>
  <si>
    <t>CCB95784.1</t>
  </si>
  <si>
    <t>SALIVA_1474</t>
  </si>
  <si>
    <t>CCB95785.1</t>
  </si>
  <si>
    <t>SALIVA_1475</t>
  </si>
  <si>
    <t>CCB95786.1</t>
  </si>
  <si>
    <t>SALIVA_1476</t>
  </si>
  <si>
    <t>yesS</t>
  </si>
  <si>
    <t>CCB95787.1</t>
  </si>
  <si>
    <t>SALIVA_1477</t>
  </si>
  <si>
    <t>uncharacterized ABC transporter ATP-binding protein TM_0288</t>
  </si>
  <si>
    <t>CCB95788.1</t>
  </si>
  <si>
    <t>SALIVA_1478</t>
  </si>
  <si>
    <t>uncharacterized ABC transporter ATP-binding protein yfiB</t>
  </si>
  <si>
    <t>yfiB</t>
  </si>
  <si>
    <t>CCB95789.1</t>
  </si>
  <si>
    <t>SALIVA_1479</t>
  </si>
  <si>
    <t>glutathione biosynthesis bifunctional protein gshAB (Gamma-GCS-GS) (GCS-GS) [Includes: Glutamate--cysteine ligase (EC 6.3.2.2) (Gamma-glutamylcysteine synthetase) (Gamma-ECS) (GCS); Glutathione synthetase (Glutathione synthase) (GSH synthetase) (GSH-S) (GSHase) (GS)]</t>
  </si>
  <si>
    <t>gshAB</t>
  </si>
  <si>
    <t>CCB95790.1</t>
  </si>
  <si>
    <t>SALIVA_1480</t>
  </si>
  <si>
    <t>CCB95791.1</t>
  </si>
  <si>
    <t>SALIVA_1481</t>
  </si>
  <si>
    <t>CCB95792.1</t>
  </si>
  <si>
    <t>SALIVA_1482</t>
  </si>
  <si>
    <t>putative uncharacterized protein yndA</t>
  </si>
  <si>
    <t>yndA</t>
  </si>
  <si>
    <t>CCB95793.1</t>
  </si>
  <si>
    <t>SALIVA_1483</t>
  </si>
  <si>
    <t>glycogen phosphorylase</t>
  </si>
  <si>
    <t>CCB95794.1</t>
  </si>
  <si>
    <t>SALIVA_1484</t>
  </si>
  <si>
    <t>glycogen synthase (Starch [bacterial glycogen] synthase)</t>
  </si>
  <si>
    <t>CCB95795.1</t>
  </si>
  <si>
    <t>SALIVA_1485</t>
  </si>
  <si>
    <t>glucose-1-phosphate adenylyltransferase (ADP-glucose synthase) (ADP-glucose pyrophosphorylase) (ADPGlc PPase)</t>
  </si>
  <si>
    <t>glgC</t>
  </si>
  <si>
    <t>CCB95796.1</t>
  </si>
  <si>
    <t>SALIVA_1486</t>
  </si>
  <si>
    <t>CCB95797.1</t>
  </si>
  <si>
    <t>SALIVA_1487</t>
  </si>
  <si>
    <t>1,4-alpha-glucan-branching enzyme (Glycogen-branching enzyme) (BE) (1,4-alpha-D-glucan:1,4-alpha-D-glucan 6-glucosyl-transferase)</t>
  </si>
  <si>
    <t>glgB</t>
  </si>
  <si>
    <t>CCB95798.1</t>
  </si>
  <si>
    <t>SALIVA_1488</t>
  </si>
  <si>
    <t>pullulanase, type I</t>
  </si>
  <si>
    <t>pulA-1</t>
  </si>
  <si>
    <t>CCB95799.1</t>
  </si>
  <si>
    <t>SALIVA_1489</t>
  </si>
  <si>
    <t>ftsK</t>
  </si>
  <si>
    <t>CCB95800.1</t>
  </si>
  <si>
    <t>SALIVA_1490</t>
  </si>
  <si>
    <t>thioredoxin reductase (TRXR) (General stress protein 35) (GSP35)</t>
  </si>
  <si>
    <t>trxB2</t>
  </si>
  <si>
    <t>CCB95801.1</t>
  </si>
  <si>
    <t>SALIVA_1491</t>
  </si>
  <si>
    <t>tRNA (guanine-N(1)-)-methyltransferase (M1G-methyltransferase) (tRNA [GM37] methyltransferase)</t>
  </si>
  <si>
    <t>trmD</t>
  </si>
  <si>
    <t>CCB95802.1</t>
  </si>
  <si>
    <t>SALIVA_1492</t>
  </si>
  <si>
    <t>putative 16S rRNA-processing protein rimM</t>
  </si>
  <si>
    <t>rimM</t>
  </si>
  <si>
    <t>CCB95803.1</t>
  </si>
  <si>
    <t>SALIVA_1493</t>
  </si>
  <si>
    <t>SALIVA_1494</t>
  </si>
  <si>
    <t>SALIVA_1495</t>
  </si>
  <si>
    <t>CCB95804.1</t>
  </si>
  <si>
    <t>SALIVA_1496</t>
  </si>
  <si>
    <t>putative two-component sensor histidine kinase (two-component sensor protein)</t>
  </si>
  <si>
    <t>yvqE</t>
  </si>
  <si>
    <t>CCB95805.1</t>
  </si>
  <si>
    <t>SALIVA_1497</t>
  </si>
  <si>
    <t>CCB95806.1</t>
  </si>
  <si>
    <t>SALIVA_1498</t>
  </si>
  <si>
    <t>SSU0958 undefined product 981911:982687 reverse MW:29579</t>
  </si>
  <si>
    <t>CCB95807.1</t>
  </si>
  <si>
    <t>SALIVA_1499</t>
  </si>
  <si>
    <t>putative serine/threonine-protein kinase pknB</t>
  </si>
  <si>
    <t>pknB</t>
  </si>
  <si>
    <t>CCB95808.1</t>
  </si>
  <si>
    <t>SALIVA_1500</t>
  </si>
  <si>
    <t>protein phosphatase prpC</t>
  </si>
  <si>
    <t>prpC</t>
  </si>
  <si>
    <t>CCB95809.1</t>
  </si>
  <si>
    <t>SALIVA_1501</t>
  </si>
  <si>
    <t>rNA-binding protein</t>
  </si>
  <si>
    <t>sunL</t>
  </si>
  <si>
    <t>CCB95810.1</t>
  </si>
  <si>
    <t>SALIVA_1502</t>
  </si>
  <si>
    <t>methionyl-tRNA formyltransferase</t>
  </si>
  <si>
    <t>fmt</t>
  </si>
  <si>
    <t>CCB95811.1</t>
  </si>
  <si>
    <t>SALIVA_1503</t>
  </si>
  <si>
    <t>primosomal protein N (ATP-dependent helicase priA) (Replication factor Y)</t>
  </si>
  <si>
    <t>priA</t>
  </si>
  <si>
    <t>CCB95812.1</t>
  </si>
  <si>
    <t>SALIVA_1504</t>
  </si>
  <si>
    <t>DNA-directed RNA polymerase subunit omega (RNAP omega subunit) (Transcriptase subunit omega) (RNA polymerase omega subunit)</t>
  </si>
  <si>
    <t>rpoZ</t>
  </si>
  <si>
    <t>CCB95813.1</t>
  </si>
  <si>
    <t>SALIVA_1505</t>
  </si>
  <si>
    <t>Guanylate kinase (GMP kinase)</t>
  </si>
  <si>
    <t>gmk</t>
  </si>
  <si>
    <t>CCB95814.1</t>
  </si>
  <si>
    <t>SALIVA_1506</t>
  </si>
  <si>
    <t>signal recognition particle receptor (Docking protein)</t>
  </si>
  <si>
    <t>ftsY</t>
  </si>
  <si>
    <t>CCB95815.1</t>
  </si>
  <si>
    <t>SALIVA_1507</t>
  </si>
  <si>
    <t>CCB95816.1</t>
  </si>
  <si>
    <t>SALIVA_1508</t>
  </si>
  <si>
    <t>CCB95817.1</t>
  </si>
  <si>
    <t>SALIVA_1509</t>
  </si>
  <si>
    <t>CCB95818.1</t>
  </si>
  <si>
    <t>SALIVA_1510</t>
  </si>
  <si>
    <t>CCB95819.1</t>
  </si>
  <si>
    <t>SALIVA_1511</t>
  </si>
  <si>
    <t>CCB95820.1</t>
  </si>
  <si>
    <t>SALIVA_1512</t>
  </si>
  <si>
    <t>Oligopeptide ABC uptake transporter ATP-binding protein</t>
  </si>
  <si>
    <t>amiF1</t>
  </si>
  <si>
    <t>CCB95821.1</t>
  </si>
  <si>
    <t>SALIVA_1513</t>
  </si>
  <si>
    <t>amiE</t>
  </si>
  <si>
    <t>CCB95822.1</t>
  </si>
  <si>
    <t>SALIVA_1514</t>
  </si>
  <si>
    <t>Oligopeptide ABC uptake transporter membrane-binding protein</t>
  </si>
  <si>
    <t>amiD</t>
  </si>
  <si>
    <t>CCB95823.1</t>
  </si>
  <si>
    <t>SALIVA_1515</t>
  </si>
  <si>
    <t>Oligopeptide ABC transporter membrane-binding protein</t>
  </si>
  <si>
    <t>amiC</t>
  </si>
  <si>
    <t>CCB95824.1</t>
  </si>
  <si>
    <t>SALIVA_1516</t>
  </si>
  <si>
    <t>Oligopeptide ABC uptake transporter substrate-binding protein</t>
  </si>
  <si>
    <t>amiA3</t>
  </si>
  <si>
    <t>CCB95825.1</t>
  </si>
  <si>
    <t>SALIVA_1517</t>
  </si>
  <si>
    <t>amiA2</t>
  </si>
  <si>
    <t>CCB95826.1</t>
  </si>
  <si>
    <t>SALIVA_1518</t>
  </si>
  <si>
    <t>phosphate acetyltransferase (Phosphotransacetylase) (Vegetative protein 43) (VEG43)</t>
  </si>
  <si>
    <t>pta</t>
  </si>
  <si>
    <t>CCB95827.1</t>
  </si>
  <si>
    <t>SALIVA_1519</t>
  </si>
  <si>
    <t>uncharacterized RNA pseudouridine synthase yjbO (RNA-uridine isomerase) (RNA pseudouridylate synthase)</t>
  </si>
  <si>
    <t>yjbO</t>
  </si>
  <si>
    <t>CCB95828.1</t>
  </si>
  <si>
    <t>SALIVA_1520</t>
  </si>
  <si>
    <t>putative inorganic polyphosphate/ATP-NAD kinase (Poly(P)/ATP NAD kinase)</t>
  </si>
  <si>
    <t>ppnK</t>
  </si>
  <si>
    <t>CCB95829.1</t>
  </si>
  <si>
    <t>SALIVA_1521</t>
  </si>
  <si>
    <t>putative GTP pyrophosphokinase</t>
  </si>
  <si>
    <t>CCB95830.1</t>
  </si>
  <si>
    <t>SALIVA_1522</t>
  </si>
  <si>
    <t>CCB95831.1</t>
  </si>
  <si>
    <t>SALIVA_1523</t>
  </si>
  <si>
    <t>prsA2</t>
  </si>
  <si>
    <t>CCB95832.1</t>
  </si>
  <si>
    <t>SALIVA_1524</t>
  </si>
  <si>
    <t>putative cysteine desulfurase (NifS protein homolog) (Aminotransferase (Class V))</t>
  </si>
  <si>
    <t>CCB95833.1</t>
  </si>
  <si>
    <t>SALIVA_1525</t>
  </si>
  <si>
    <t>CCB95834.1</t>
  </si>
  <si>
    <t>SALIVA_1526</t>
  </si>
  <si>
    <t>putative Redox-sensing transcriptional repressor rex</t>
  </si>
  <si>
    <t>rex</t>
  </si>
  <si>
    <t>CCB95835.1</t>
  </si>
  <si>
    <t>SALIVA_1527</t>
  </si>
  <si>
    <t>predicted glutamine amidotransferase</t>
  </si>
  <si>
    <t>CCB95836.1</t>
  </si>
  <si>
    <t>SALIVA_1528</t>
  </si>
  <si>
    <t>DNA repair protein radC homolog</t>
  </si>
  <si>
    <t>radC</t>
  </si>
  <si>
    <t>CCB95837.1</t>
  </si>
  <si>
    <t>SALIVA_1529</t>
  </si>
  <si>
    <t>CCB95838.1</t>
  </si>
  <si>
    <t>SALIVA_1530</t>
  </si>
  <si>
    <t>hypothetical, predicted membrane protein (TMS9)</t>
  </si>
  <si>
    <t>CCB95839.1</t>
  </si>
  <si>
    <t>SALIVA_1531</t>
  </si>
  <si>
    <t>CCB95840.1</t>
  </si>
  <si>
    <t>SALIVA_1532</t>
  </si>
  <si>
    <t>putative uncharacterized protein rgpFc (alpha-L-Rha alpha-1,2-L-rhamnosyltransferase/alpha-L-Rha alpha-1,3-L-rhamnosyltransferase)</t>
  </si>
  <si>
    <t>rgpFc</t>
  </si>
  <si>
    <t>CCB95841.1</t>
  </si>
  <si>
    <t>SALIVA_1533</t>
  </si>
  <si>
    <t>putative glycosyltransferase</t>
  </si>
  <si>
    <t>rgpEc</t>
  </si>
  <si>
    <t>CCB95842.1</t>
  </si>
  <si>
    <t>SALIVA_1534</t>
  </si>
  <si>
    <t>polysaccharide ABC transporter ATP-binding protein RgpD</t>
  </si>
  <si>
    <t>rgpD</t>
  </si>
  <si>
    <t>CCB95843.1</t>
  </si>
  <si>
    <t>SALIVA_1535</t>
  </si>
  <si>
    <t>polysaccharide ABC exporter membrane-spanning protein</t>
  </si>
  <si>
    <t>rgpC</t>
  </si>
  <si>
    <t>CCB95844.1</t>
  </si>
  <si>
    <t>SALIVA_1536</t>
  </si>
  <si>
    <t>putative rhamnosyltransferase</t>
  </si>
  <si>
    <t>rgpBc</t>
  </si>
  <si>
    <t>CCB95845.1</t>
  </si>
  <si>
    <t>SALIVA_1537</t>
  </si>
  <si>
    <t>putative uncharacterized protein rgpAc (Alpha-(1,2)-rhamnosyltransferase)</t>
  </si>
  <si>
    <t>rgpAc</t>
  </si>
  <si>
    <t>CCB95846.1</t>
  </si>
  <si>
    <t>SALIVA_1538</t>
  </si>
  <si>
    <t>dTDP-4-dehydrorhamnose reductase (dTDP-4-keto-L-rhamnose reductase) (dTDP-6-deoxy-L-mannose dehydrogenase) (dTDP-L-rhamnose synthetase)</t>
  </si>
  <si>
    <t>rmlD</t>
  </si>
  <si>
    <t>CCB95847.1</t>
  </si>
  <si>
    <t>SALIVA_1539</t>
  </si>
  <si>
    <t>putative glycosyltransferase csbB</t>
  </si>
  <si>
    <t>csbB</t>
  </si>
  <si>
    <t>CCB95848.1</t>
  </si>
  <si>
    <t>SALIVA_1540</t>
  </si>
  <si>
    <t>predicted metal-sulfur cluster biosynthetic enzyme</t>
  </si>
  <si>
    <t>CCB95849.1</t>
  </si>
  <si>
    <t>SALIVA_1541</t>
  </si>
  <si>
    <t>rNA polymerase sigma factor</t>
  </si>
  <si>
    <t>rpoD</t>
  </si>
  <si>
    <t>CCB95850.1</t>
  </si>
  <si>
    <t>SALIVA_1542</t>
  </si>
  <si>
    <t>DNA primase</t>
  </si>
  <si>
    <t>dnaG</t>
  </si>
  <si>
    <t>CCB95851.1</t>
  </si>
  <si>
    <t>SALIVA_1543</t>
  </si>
  <si>
    <t>putative large conductance mechanosensitive channel</t>
  </si>
  <si>
    <t>mscL</t>
  </si>
  <si>
    <t>CCB95852.1</t>
  </si>
  <si>
    <t>SALIVA_1544</t>
  </si>
  <si>
    <t>30S ribosomal protein S21</t>
  </si>
  <si>
    <t>rpsU</t>
  </si>
  <si>
    <t>CCB95853.1</t>
  </si>
  <si>
    <t>SALIVA_1545</t>
  </si>
  <si>
    <t>CCB95854.1</t>
  </si>
  <si>
    <t>SALIVA_1546</t>
  </si>
  <si>
    <t>aspartate aminotransferase (AspAT) (Transaminase A)</t>
  </si>
  <si>
    <t>aspC</t>
  </si>
  <si>
    <t>CCB95855.1</t>
  </si>
  <si>
    <t>SALIVA_1547</t>
  </si>
  <si>
    <t>CCB95856.1</t>
  </si>
  <si>
    <t>SALIVA_1548</t>
  </si>
  <si>
    <t>CCB95857.1</t>
  </si>
  <si>
    <t>SALIVA_1549</t>
  </si>
  <si>
    <t>CCB95858.1</t>
  </si>
  <si>
    <t>SALIVA_1550</t>
  </si>
  <si>
    <t>uvrABC system protein B (Protein uvrB) (Excinuclease ABC subunit B)</t>
  </si>
  <si>
    <t>uvrB</t>
  </si>
  <si>
    <t>CCB95859.1</t>
  </si>
  <si>
    <t>SALIVA_1551</t>
  </si>
  <si>
    <t>CCB95860.1</t>
  </si>
  <si>
    <t>SALIVA_1552</t>
  </si>
  <si>
    <t>suB0178 undefined product 177952:178881 forward MW:34167</t>
  </si>
  <si>
    <t>CCB95861.1</t>
  </si>
  <si>
    <t>SALIVA_1553</t>
  </si>
  <si>
    <t>glutamine ABC transporter permease and substrate binding protein</t>
  </si>
  <si>
    <t>glnP</t>
  </si>
  <si>
    <t>CCB95862.1</t>
  </si>
  <si>
    <t>SALIVA_1554</t>
  </si>
  <si>
    <t>glutamine ABC uptake transporter ATP-binding protein</t>
  </si>
  <si>
    <t>gnlQ</t>
  </si>
  <si>
    <t>CCB95863.1</t>
  </si>
  <si>
    <t>SALIVA_1555</t>
  </si>
  <si>
    <t>CCB95864.1</t>
  </si>
  <si>
    <t>SALIVA_1556</t>
  </si>
  <si>
    <t>GTP-binding protein, GTP1/Obg family</t>
  </si>
  <si>
    <t>obg</t>
  </si>
  <si>
    <t>CCB95865.1</t>
  </si>
  <si>
    <t>SALIVA_1557</t>
  </si>
  <si>
    <t>CCB95866.1</t>
  </si>
  <si>
    <t>SALIVA_1558</t>
  </si>
  <si>
    <t>rsuA2</t>
  </si>
  <si>
    <t>CCB95867.1</t>
  </si>
  <si>
    <t>SALIVA_1559</t>
  </si>
  <si>
    <t>CCB95868.1</t>
  </si>
  <si>
    <t>SALIVA_1560</t>
  </si>
  <si>
    <t>CCB95869.1</t>
  </si>
  <si>
    <t>SALIVA_1561</t>
  </si>
  <si>
    <t>predicted ribosomal protein</t>
  </si>
  <si>
    <t>CCB95870.1</t>
  </si>
  <si>
    <t>SALIVA_1562</t>
  </si>
  <si>
    <t>CCB95871.1</t>
  </si>
  <si>
    <t>SALIVA_1563</t>
  </si>
  <si>
    <t>permease of the drug/metabolite transporter (DMT) superfamily</t>
  </si>
  <si>
    <t>CCB95872.1</t>
  </si>
  <si>
    <t>SALIVA_1564</t>
  </si>
  <si>
    <t>CCB95873.1</t>
  </si>
  <si>
    <t>SALIVA_1565</t>
  </si>
  <si>
    <t>putative phosphoserine phosphatase</t>
  </si>
  <si>
    <t>serB</t>
  </si>
  <si>
    <t>CCB95874.1</t>
  </si>
  <si>
    <t>SALIVA_1566</t>
  </si>
  <si>
    <t>Septation ring formation regulator</t>
  </si>
  <si>
    <t>ezrA</t>
  </si>
  <si>
    <t>CCB95875.1</t>
  </si>
  <si>
    <t>SALIVA_1567</t>
  </si>
  <si>
    <t>DNA gyrase subunit B</t>
  </si>
  <si>
    <t>gyrB</t>
  </si>
  <si>
    <t>CCB95876.1</t>
  </si>
  <si>
    <t>SALIVA_1568</t>
  </si>
  <si>
    <t>putative HAD-superfamily hydrolase / phosphatase</t>
  </si>
  <si>
    <t>CCB95877.1</t>
  </si>
  <si>
    <t>SALIVA_1569</t>
  </si>
  <si>
    <t>putative effector of murein hydrolase</t>
  </si>
  <si>
    <t>CCB95878.1</t>
  </si>
  <si>
    <t>SALIVA_1570</t>
  </si>
  <si>
    <t>conserved hypothetical, predicted membrane protein (TMS4)</t>
  </si>
  <si>
    <t>CCB95879.1</t>
  </si>
  <si>
    <t>SALIVA_1571</t>
  </si>
  <si>
    <t>SALIVA_1572</t>
  </si>
  <si>
    <t>arsenate reductase or related protein,glutaredoxin family</t>
  </si>
  <si>
    <t>CCB95880.1</t>
  </si>
  <si>
    <t>SALIVA_1573</t>
  </si>
  <si>
    <t>putative methylated-DNA--protein-cysteine S-methyltransferase</t>
  </si>
  <si>
    <t>ogt</t>
  </si>
  <si>
    <t>CCB95881.1</t>
  </si>
  <si>
    <t>SALIVA_1574</t>
  </si>
  <si>
    <t>putative D-3-phosphoglycerate dehydrogenase</t>
  </si>
  <si>
    <t>serA</t>
  </si>
  <si>
    <t>CCB95882.1</t>
  </si>
  <si>
    <t>SALIVA_1575</t>
  </si>
  <si>
    <t>CCB95883.1</t>
  </si>
  <si>
    <t>SALIVA_1576</t>
  </si>
  <si>
    <t>phosphoserine aminotransferase (Phosphohydroxythreonine aminotransferase) (PSAT)</t>
  </si>
  <si>
    <t>serC</t>
  </si>
  <si>
    <t>CCB95884.1</t>
  </si>
  <si>
    <t>SALIVA_1577</t>
  </si>
  <si>
    <t>uncharacterized conserved protein,transcriptional regulator predicted</t>
  </si>
  <si>
    <t>CCB95885.1</t>
  </si>
  <si>
    <t>SALIVA_1578</t>
  </si>
  <si>
    <t>lactoylglutathione lyase (Methylglyoxalase) (Aldoketomutase) (Glyoxalase I) (Glx I) (Ketone-aldehyde mutase) (S-D-lactoylglutathione methylglyoxal lyase)</t>
  </si>
  <si>
    <t>gloA</t>
  </si>
  <si>
    <t>CCB95886.1</t>
  </si>
  <si>
    <t>SALIVA_1579</t>
  </si>
  <si>
    <t>uncharacterized conserved protein, membrane protease predicted ?</t>
  </si>
  <si>
    <t>CCB95887.1</t>
  </si>
  <si>
    <t>SALIVA_1580</t>
  </si>
  <si>
    <t>polyamine (Putrescine/spermidine) ABC uptake transporter subtrate binding protein</t>
  </si>
  <si>
    <t>potD</t>
  </si>
  <si>
    <t>CCB95888.1</t>
  </si>
  <si>
    <t>SALIVA_1581</t>
  </si>
  <si>
    <t>polyamine (Putrescine/spermidine) ABC uptake transporter membrane-spanning protein</t>
  </si>
  <si>
    <t>potC</t>
  </si>
  <si>
    <t>CCB95889.1</t>
  </si>
  <si>
    <t>SALIVA_1582</t>
  </si>
  <si>
    <t>potB</t>
  </si>
  <si>
    <t>CCB95890.1</t>
  </si>
  <si>
    <t>SALIVA_1583</t>
  </si>
  <si>
    <t>Spermidine/putrescine import ATP-binding protein potA</t>
  </si>
  <si>
    <t>potA</t>
  </si>
  <si>
    <t>CCB95891.1</t>
  </si>
  <si>
    <t>SALIVA_1584</t>
  </si>
  <si>
    <t>uDP-N-acetylenolpyruvoylglucosamine reductase (UDP-N-acetylmuramate dehydrogenase)</t>
  </si>
  <si>
    <t>murB</t>
  </si>
  <si>
    <t>CCB95892.1</t>
  </si>
  <si>
    <t>SALIVA_1586</t>
  </si>
  <si>
    <t>2-amino-4-hydroxy-6-hydroxymethyldihydropteridinepyrophosphokinase (7,8-dihydro-6-hydroxymethylpterin-pyrophosphokinase) (HPPK) (6-hydroxymethyl-7,8-dihydropterin pyrophosphokinase) (PPPK)</t>
  </si>
  <si>
    <t>folK</t>
  </si>
  <si>
    <t>CCB95893.1</t>
  </si>
  <si>
    <t>SALIVA_1587</t>
  </si>
  <si>
    <t>dihydroneopterin aldolase (DHNA)</t>
  </si>
  <si>
    <t>folB</t>
  </si>
  <si>
    <t>CCB95894.1</t>
  </si>
  <si>
    <t>SALIVA_1588</t>
  </si>
  <si>
    <t>alpha-amylase precursor (1,4-alpha-D-glucan glucanohydrolase)</t>
  </si>
  <si>
    <t>amyS</t>
  </si>
  <si>
    <t>CCB95895.1</t>
  </si>
  <si>
    <t>SALIVA_1589</t>
  </si>
  <si>
    <t>dihydropteroate synthase (DHPS) (Dihydropteroate pyrophosphorylase)</t>
  </si>
  <si>
    <t>folP</t>
  </si>
  <si>
    <t>CCB95896.1</t>
  </si>
  <si>
    <t>SALIVA_1590</t>
  </si>
  <si>
    <t>GTP cyclohydrolase 1 (GTP cyclohydrolase I) (GTP-CH-I)</t>
  </si>
  <si>
    <t>folE</t>
  </si>
  <si>
    <t>CCB95897.1</t>
  </si>
  <si>
    <t>SALIVA_1591</t>
  </si>
  <si>
    <t>aminoacid specific permease</t>
  </si>
  <si>
    <t>CCB95898.1</t>
  </si>
  <si>
    <t>SALIVA_1592</t>
  </si>
  <si>
    <t>folylpolyglutamate synthase (Folylpoly-gamma-glutamate synthetase) (FPGS) (Tetrahydrofolate synthase) (Tetrahydrofolylpolyglutamate synthase)</t>
  </si>
  <si>
    <t>folC</t>
  </si>
  <si>
    <t>CCB95899.1</t>
  </si>
  <si>
    <t>SALIVA_1593</t>
  </si>
  <si>
    <t>predicted RNA-binding protein (Contains KH domain)</t>
  </si>
  <si>
    <t>CCB95900.1</t>
  </si>
  <si>
    <t>SALIVA_1594</t>
  </si>
  <si>
    <t>30S ribosomal protein S16</t>
  </si>
  <si>
    <t>rpsP</t>
  </si>
  <si>
    <t>CCB95901.1</t>
  </si>
  <si>
    <t>SALIVA_1595</t>
  </si>
  <si>
    <t>CCB95902.1</t>
  </si>
  <si>
    <t>SALIVA_1596</t>
  </si>
  <si>
    <t>hk13</t>
  </si>
  <si>
    <t>CCB95903.1</t>
  </si>
  <si>
    <t>SALIVA_1597</t>
  </si>
  <si>
    <t>accessory gene regulator A</t>
  </si>
  <si>
    <t>agrA</t>
  </si>
  <si>
    <t>CCB95904.1</t>
  </si>
  <si>
    <t>SALIVA_1598</t>
  </si>
  <si>
    <t>CCB95905.1</t>
  </si>
  <si>
    <t>SALIVA_1599</t>
  </si>
  <si>
    <t>Tellurite resistance protein TehB</t>
  </si>
  <si>
    <t>tehB</t>
  </si>
  <si>
    <t>CCB95906.1</t>
  </si>
  <si>
    <t>SALIVA_1600</t>
  </si>
  <si>
    <t>CCB95907.1</t>
  </si>
  <si>
    <t>SALIVA_1601</t>
  </si>
  <si>
    <t>CCB95908.1</t>
  </si>
  <si>
    <t>SALIVA_1602</t>
  </si>
  <si>
    <t>CCB95909.1</t>
  </si>
  <si>
    <t>SALIVA_1603</t>
  </si>
  <si>
    <t>exodeoxyribonuclease</t>
  </si>
  <si>
    <t>exoA</t>
  </si>
  <si>
    <t>CCB95910.1</t>
  </si>
  <si>
    <t>SALIVA_1604</t>
  </si>
  <si>
    <t>CCB95911.1</t>
  </si>
  <si>
    <t>SALIVA_1605</t>
  </si>
  <si>
    <t>CCB95912.1</t>
  </si>
  <si>
    <t>SALIVA_1606</t>
  </si>
  <si>
    <t>CCB95913.1</t>
  </si>
  <si>
    <t>SALIVA_1607</t>
  </si>
  <si>
    <t>CCB95914.1</t>
  </si>
  <si>
    <t>SALIVA_1608</t>
  </si>
  <si>
    <t>uncharacterized conserved protein, Diacylglycerol kinase family predicted</t>
  </si>
  <si>
    <t>CCB95915.1</t>
  </si>
  <si>
    <t>SALIVA_1609</t>
  </si>
  <si>
    <t>DNA ligase (Polydeoxyribonucleotide synthase [NAD+])</t>
  </si>
  <si>
    <t>CCB95916.1</t>
  </si>
  <si>
    <t>SALIVA_1610</t>
  </si>
  <si>
    <t>CCB95917.1</t>
  </si>
  <si>
    <t>SALIVA_1611</t>
  </si>
  <si>
    <t>tRNA-processing ribonuclease BN,putative</t>
  </si>
  <si>
    <t>rbn</t>
  </si>
  <si>
    <t>CCB95918.1</t>
  </si>
  <si>
    <t>SALIVA_1612</t>
  </si>
  <si>
    <t>methionine aminopeptidase (MAP) (Peptidase M)</t>
  </si>
  <si>
    <t>map</t>
  </si>
  <si>
    <t>CCB95919.1</t>
  </si>
  <si>
    <t>SALIVA_1613</t>
  </si>
  <si>
    <t>str1558</t>
  </si>
  <si>
    <t>CCB95920.1</t>
  </si>
  <si>
    <t>SALIVA_1614</t>
  </si>
  <si>
    <t>SSU ribosomal protein S5P alanine acetyltransferase</t>
  </si>
  <si>
    <t>CCB95921.1</t>
  </si>
  <si>
    <t>SALIVA_1615</t>
  </si>
  <si>
    <t>uDP-N-acetylglucosamine 1-carboxyvinyltransferase 2 (Enoylpyruvate transferase 2) (UDP-N-acetylglucosamine enolpyruvyl transferase 2) (EPT 2)</t>
  </si>
  <si>
    <t>murA2</t>
  </si>
  <si>
    <t>CCB95922.1</t>
  </si>
  <si>
    <t>SALIVA_1616</t>
  </si>
  <si>
    <t>late competence protein required for DNA uptake,hydrolase</t>
  </si>
  <si>
    <t>comEC</t>
  </si>
  <si>
    <t>CCB95923.1</t>
  </si>
  <si>
    <t>SALIVA_1617</t>
  </si>
  <si>
    <t>late competence protein required for DNA binding and uptake</t>
  </si>
  <si>
    <t>comEA</t>
  </si>
  <si>
    <t>CCB95924.1</t>
  </si>
  <si>
    <t>SALIVA_1618</t>
  </si>
  <si>
    <t>putative 1-acylglycerol-3-phosphate O-acyltransferase</t>
  </si>
  <si>
    <t>CCB95925.1</t>
  </si>
  <si>
    <t>SALIVA_1619</t>
  </si>
  <si>
    <t>CCB95926.1</t>
  </si>
  <si>
    <t>SALIVA_1620</t>
  </si>
  <si>
    <t>putative methyltransferase</t>
  </si>
  <si>
    <t>CCB95927.1</t>
  </si>
  <si>
    <t>SALIVA_1621</t>
  </si>
  <si>
    <t>uncharacterized conserved protein,endo/exonuclease amino terminal GIY-YIG domain predicted</t>
  </si>
  <si>
    <t>CCB95928.1</t>
  </si>
  <si>
    <t>SALIVA_1622</t>
  </si>
  <si>
    <t>uncharacterized conserved protein, cell wall protein?</t>
  </si>
  <si>
    <t>CCB95929.1</t>
  </si>
  <si>
    <t>SALIVA_1623</t>
  </si>
  <si>
    <t>rheA</t>
  </si>
  <si>
    <t>CCB95930.1</t>
  </si>
  <si>
    <t>SALIVA_1624</t>
  </si>
  <si>
    <t>mg2+ and Co2+ transporter</t>
  </si>
  <si>
    <t>corA1</t>
  </si>
  <si>
    <t>CCB95931.1</t>
  </si>
  <si>
    <t>SALIVA_1625</t>
  </si>
  <si>
    <t>CCB95932.1</t>
  </si>
  <si>
    <t>SALIVA_1626</t>
  </si>
  <si>
    <t>conserved hypothetical, predicted membrane protein</t>
  </si>
  <si>
    <t>CCB95933.1</t>
  </si>
  <si>
    <t>SALIVA_1627</t>
  </si>
  <si>
    <t>peptide chain release factor 3 (RF-3)</t>
  </si>
  <si>
    <t>prfC</t>
  </si>
  <si>
    <t>CCB95934.1</t>
  </si>
  <si>
    <t>SALIVA_1628</t>
  </si>
  <si>
    <t>CCB95935.1</t>
  </si>
  <si>
    <t>SALIVA_1629</t>
  </si>
  <si>
    <t>uDP-N-acetylmuramoyl-tripeptide--D-alanyl-D-alanine ligase</t>
  </si>
  <si>
    <t>murF</t>
  </si>
  <si>
    <t>CCB95936.1</t>
  </si>
  <si>
    <t>SALIVA_1630</t>
  </si>
  <si>
    <t>CCB95937.1</t>
  </si>
  <si>
    <t>SALIVA_1631</t>
  </si>
  <si>
    <t>CCB95938.1</t>
  </si>
  <si>
    <t>SALIVA_1632</t>
  </si>
  <si>
    <t>CCB95939.1</t>
  </si>
  <si>
    <t>SALIVA_1633</t>
  </si>
  <si>
    <t>CCB95940.1</t>
  </si>
  <si>
    <t>SALIVA_1635</t>
  </si>
  <si>
    <t>CCB95941.1</t>
  </si>
  <si>
    <t>SALIVA_1636</t>
  </si>
  <si>
    <t>CCB95942.1</t>
  </si>
  <si>
    <t>SALIVA_1637</t>
  </si>
  <si>
    <t>CCB95943.1</t>
  </si>
  <si>
    <t>SALIVA_1638</t>
  </si>
  <si>
    <t>D-alanine--D-alanine ligase (D-alanylalanine synthetase) (D-Ala-D-Ala ligase)</t>
  </si>
  <si>
    <t>ddl</t>
  </si>
  <si>
    <t>CCB95944.1</t>
  </si>
  <si>
    <t>SALIVA_1639</t>
  </si>
  <si>
    <t>copper chaperone</t>
  </si>
  <si>
    <t>copZ</t>
  </si>
  <si>
    <t>CCB95945.1</t>
  </si>
  <si>
    <t>SALIVA_1640</t>
  </si>
  <si>
    <t>copper-transporting P-type ATPase copA (Protein copA)</t>
  </si>
  <si>
    <t>copA</t>
  </si>
  <si>
    <t>CCB95946.1</t>
  </si>
  <si>
    <t>SALIVA_1641</t>
  </si>
  <si>
    <t>predicted transcriptional regulator</t>
  </si>
  <si>
    <t>CCB95947.1</t>
  </si>
  <si>
    <t>SALIVA_1642</t>
  </si>
  <si>
    <t>CCB95948.1</t>
  </si>
  <si>
    <t>SALIVA_1643</t>
  </si>
  <si>
    <t>CCB95949.1</t>
  </si>
  <si>
    <t>SALIVA_1644</t>
  </si>
  <si>
    <t>tryptophan synthase alpha chain</t>
  </si>
  <si>
    <t>trpA</t>
  </si>
  <si>
    <t>CCB95950.1</t>
  </si>
  <si>
    <t>SALIVA_1645</t>
  </si>
  <si>
    <t>tryptophan synthase beta chain</t>
  </si>
  <si>
    <t>trpB</t>
  </si>
  <si>
    <t>CCB95951.1</t>
  </si>
  <si>
    <t>SALIVA_1646</t>
  </si>
  <si>
    <t>N-(5-phosphoribosyl)anthranilate isomerase</t>
  </si>
  <si>
    <t>trpF</t>
  </si>
  <si>
    <t>CCB95952.1</t>
  </si>
  <si>
    <t>SALIVA_1647</t>
  </si>
  <si>
    <t>indole-3-glycerol phosphate synthase (IGPS)</t>
  </si>
  <si>
    <t>trpC</t>
  </si>
  <si>
    <t>CCB95953.1</t>
  </si>
  <si>
    <t>SALIVA_1648</t>
  </si>
  <si>
    <t>anthranilate phosphoribosyltransferase</t>
  </si>
  <si>
    <t>trpD</t>
  </si>
  <si>
    <t>CCB95954.1</t>
  </si>
  <si>
    <t>SALIVA_1649</t>
  </si>
  <si>
    <t>anthranilate synthase component II (Glutamine amido-transferase)</t>
  </si>
  <si>
    <t>trpG</t>
  </si>
  <si>
    <t>CCB95955.1</t>
  </si>
  <si>
    <t>SALIVA_1650</t>
  </si>
  <si>
    <t>anthranilate synthase component 1 (Anthranilate synthase component I)</t>
  </si>
  <si>
    <t>trpE</t>
  </si>
  <si>
    <t>CCB95956.1</t>
  </si>
  <si>
    <t>SALIVA_1651</t>
  </si>
  <si>
    <t>putative chorismate mutase (EC 5.4.99.5)</t>
  </si>
  <si>
    <t>CCB95957.1</t>
  </si>
  <si>
    <t>SALIVA_1652</t>
  </si>
  <si>
    <t>CCB95958.1</t>
  </si>
  <si>
    <t>SALIVA_1653</t>
  </si>
  <si>
    <t>cation-P-type ATPase</t>
  </si>
  <si>
    <t>CTPE</t>
  </si>
  <si>
    <t>CCB95959.1</t>
  </si>
  <si>
    <t>SALIVA_1654</t>
  </si>
  <si>
    <t>CCB95960.1</t>
  </si>
  <si>
    <t>SALIVA_1655</t>
  </si>
  <si>
    <t>CCB95961.1</t>
  </si>
  <si>
    <t>SALIVA_1656</t>
  </si>
  <si>
    <t>CCB95962.1</t>
  </si>
  <si>
    <t>SALIVA_1657</t>
  </si>
  <si>
    <t>CCB95963.1</t>
  </si>
  <si>
    <t>SALIVA_1658</t>
  </si>
  <si>
    <t>CCB95964.1</t>
  </si>
  <si>
    <t>SALIVA_1659</t>
  </si>
  <si>
    <t>CCB95965.1</t>
  </si>
  <si>
    <t>SALIVA_1660</t>
  </si>
  <si>
    <t>transcriptional regulator, MerR family</t>
  </si>
  <si>
    <t>CCB95966.1</t>
  </si>
  <si>
    <t>SALIVA_1661</t>
  </si>
  <si>
    <t>DNA polymerase III, epsilon chain</t>
  </si>
  <si>
    <t>dnaQ</t>
  </si>
  <si>
    <t>CCB95967.1</t>
  </si>
  <si>
    <t>SALIVA_1662</t>
  </si>
  <si>
    <t>uncharacterized conserved protein, predicted DNA binding protein</t>
  </si>
  <si>
    <t>CCB95968.1</t>
  </si>
  <si>
    <t>SALIVA_1663</t>
  </si>
  <si>
    <t>CCB95969.1</t>
  </si>
  <si>
    <t>SALIVA_1664</t>
  </si>
  <si>
    <t>CCB95970.1</t>
  </si>
  <si>
    <t>SALIVA_1665</t>
  </si>
  <si>
    <t>CCB95971.1</t>
  </si>
  <si>
    <t>SALIVA_1666</t>
  </si>
  <si>
    <t>IS1193, transposase, ISL3 family</t>
  </si>
  <si>
    <t>CCB95972.1</t>
  </si>
  <si>
    <t>SALIVA_1667</t>
  </si>
  <si>
    <t>dihydroxy-acid dehydratase (DAD)</t>
  </si>
  <si>
    <t>ilvD</t>
  </si>
  <si>
    <t>CCB95973.1</t>
  </si>
  <si>
    <t>SALIVA_1668</t>
  </si>
  <si>
    <t>uncharacterized conserved protein, flavoprotein predicted</t>
  </si>
  <si>
    <t>CCB95974.1</t>
  </si>
  <si>
    <t>SALIVA_1669</t>
  </si>
  <si>
    <t>SALIVA_1670</t>
  </si>
  <si>
    <t>tRNA (guanine-N(7)-)-methyltransferase (tRNA(m7G46)-methyltransferase)</t>
  </si>
  <si>
    <t>trmB</t>
  </si>
  <si>
    <t>CCB95975.1</t>
  </si>
  <si>
    <t>SALIVA_1671</t>
  </si>
  <si>
    <t>predicted choline kinase</t>
  </si>
  <si>
    <t>CCB95976.1</t>
  </si>
  <si>
    <t>SALIVA_1672</t>
  </si>
  <si>
    <t>predicted ABC-type exoprotein transport system,permease component</t>
  </si>
  <si>
    <t>CCB95977.1</t>
  </si>
  <si>
    <t>SALIVA_1673</t>
  </si>
  <si>
    <t>CCB95978.1</t>
  </si>
  <si>
    <t>SALIVA_1674</t>
  </si>
  <si>
    <t>cell cycle regulation histidine triad (HIT) protein</t>
  </si>
  <si>
    <t>hit</t>
  </si>
  <si>
    <t>CCB95979.1</t>
  </si>
  <si>
    <t>SALIVA_1675</t>
  </si>
  <si>
    <t>CCB95980.1</t>
  </si>
  <si>
    <t>SALIVA_1676</t>
  </si>
  <si>
    <t>CCB95981.1</t>
  </si>
  <si>
    <t>SALIVA_1677</t>
  </si>
  <si>
    <t>CCB95982.1</t>
  </si>
  <si>
    <t>SALIVA_1678</t>
  </si>
  <si>
    <t>CCB95983.1</t>
  </si>
  <si>
    <t>SALIVA_1680</t>
  </si>
  <si>
    <t>clpL</t>
  </si>
  <si>
    <t>CCB95984.1</t>
  </si>
  <si>
    <t>SALIVA_1681</t>
  </si>
  <si>
    <t>Toxin yoeB</t>
  </si>
  <si>
    <t>yoeB</t>
  </si>
  <si>
    <t>CCB95985.1</t>
  </si>
  <si>
    <t>SALIVA_1682</t>
  </si>
  <si>
    <t>putative uncharacterized protein spr1586</t>
  </si>
  <si>
    <t>CCB95986.1</t>
  </si>
  <si>
    <t>SALIVA_1683</t>
  </si>
  <si>
    <t>CCB95987.1</t>
  </si>
  <si>
    <t>SALIVA_1684</t>
  </si>
  <si>
    <t>uncharacterized conserved protein, SAM-dependent methyltransferase predicted</t>
  </si>
  <si>
    <t>CCB95988.1</t>
  </si>
  <si>
    <t>SALIVA_1685</t>
  </si>
  <si>
    <t>CCB95989.1</t>
  </si>
  <si>
    <t>SALIVA_1686</t>
  </si>
  <si>
    <t>uncharacterized conserved protein, HD superfamily hydrolase predicted</t>
  </si>
  <si>
    <t>CCB95990.1</t>
  </si>
  <si>
    <t>SALIVA_1687</t>
  </si>
  <si>
    <t>putative nicotinate-nucleotide adenylyltransferase (Deamido-NAD(+) pyrophosphorylase) (Deamido-NAD(+) diphosphorylase) (Nicotinate mononucleotide adenylyltransferase) (NaMN adenylyltransferase)</t>
  </si>
  <si>
    <t>nadD</t>
  </si>
  <si>
    <t>CCB95991.1</t>
  </si>
  <si>
    <t>SALIVA_1688</t>
  </si>
  <si>
    <t>CCB95992.1</t>
  </si>
  <si>
    <t>SALIVA_1689</t>
  </si>
  <si>
    <t>putative GTP binding protein</t>
  </si>
  <si>
    <t>CCB95993.1</t>
  </si>
  <si>
    <t>SALIVA_1690</t>
  </si>
  <si>
    <t>uncharacterized conserved protein, HAD superfamily hydrolase predicted</t>
  </si>
  <si>
    <t>CCB95994.1</t>
  </si>
  <si>
    <t>SALIVA_1691</t>
  </si>
  <si>
    <t>drug/metabolite transporter (DMT) superfamily protein</t>
  </si>
  <si>
    <t>CCB95995.1</t>
  </si>
  <si>
    <t>SALIVA_1692</t>
  </si>
  <si>
    <t>sorbitol dehydrogenase (L-iditol 2-dehydrogenase) (Glucitol dehydrogenase)</t>
  </si>
  <si>
    <t>gutB</t>
  </si>
  <si>
    <t>CCB95996.1</t>
  </si>
  <si>
    <t>SALIVA_1693</t>
  </si>
  <si>
    <t>CCB95997.1</t>
  </si>
  <si>
    <t>SALIVA_1694</t>
  </si>
  <si>
    <t>CCB95998.1</t>
  </si>
  <si>
    <t>SALIVA_2097</t>
  </si>
  <si>
    <t>aspartyl/glutamyl-tRNA(Asn/Gln) amidotransferase subunit B (Asp/Glu-ADT subunit B)</t>
  </si>
  <si>
    <t>gatB</t>
  </si>
  <si>
    <t>CCB95999.1</t>
  </si>
  <si>
    <t>SALIVA_1695</t>
  </si>
  <si>
    <t>glutamyl-tRNA(Gln) amidotransferase subunit A (Glu-ADT subunit A)</t>
  </si>
  <si>
    <t>gatA</t>
  </si>
  <si>
    <t>CCB96000.1</t>
  </si>
  <si>
    <t>SALIVA_1696</t>
  </si>
  <si>
    <t>aspartyl/glutamyl-tRNA(Asn/Gln) amidotransferase subunit C (Asp/Glu-ADT subunit C)</t>
  </si>
  <si>
    <t>gatC</t>
  </si>
  <si>
    <t>CCB96001.1</t>
  </si>
  <si>
    <t>SALIVA_1697</t>
  </si>
  <si>
    <t>CCB96002.1</t>
  </si>
  <si>
    <t>SALIVA_1698</t>
  </si>
  <si>
    <t>CCB96003.1</t>
  </si>
  <si>
    <t>SALIVA_1699</t>
  </si>
  <si>
    <t>glycosyl transferase, family 2</t>
  </si>
  <si>
    <t>CCB96004.1</t>
  </si>
  <si>
    <t>SALIVA_1700</t>
  </si>
  <si>
    <t>glycosyl transferase, family 8</t>
  </si>
  <si>
    <t>CCB96005.1</t>
  </si>
  <si>
    <t>SALIVA_1701</t>
  </si>
  <si>
    <t>6-phospho-beta-glucosidase ascB</t>
  </si>
  <si>
    <t>bglA2</t>
  </si>
  <si>
    <t>CCB96006.1</t>
  </si>
  <si>
    <t>SALIVA_1702</t>
  </si>
  <si>
    <t>pyrazinamidase/nicotinamidase, putative ((isochorismate synthase))</t>
  </si>
  <si>
    <t>CCB96007.1</t>
  </si>
  <si>
    <t>SALIVA_1703</t>
  </si>
  <si>
    <t>transcriptional pleiotropic repressor codY</t>
  </si>
  <si>
    <t>codY</t>
  </si>
  <si>
    <t>CCB96008.1</t>
  </si>
  <si>
    <t>SALIVA_1704</t>
  </si>
  <si>
    <t>uncharacterized aminotransferase yfbQ</t>
  </si>
  <si>
    <t>aspC2</t>
  </si>
  <si>
    <t>CCB96009.1</t>
  </si>
  <si>
    <t>SALIVA_1705</t>
  </si>
  <si>
    <t>universal stress protein UspA or related nucleotide-binding protein</t>
  </si>
  <si>
    <t>CCB96010.1</t>
  </si>
  <si>
    <t>SALIVA_1706</t>
  </si>
  <si>
    <t>CCB96011.1</t>
  </si>
  <si>
    <t>SALIVA_1707</t>
  </si>
  <si>
    <t>pyruvate formate-lyase-activating enzyme (PFL-activating enzyme) (Formate-C-acetyltransferase-activating enzyme)</t>
  </si>
  <si>
    <t>pflA</t>
  </si>
  <si>
    <t>CCB96012.1</t>
  </si>
  <si>
    <t>SALIVA_1708</t>
  </si>
  <si>
    <t>CCB96013.1</t>
  </si>
  <si>
    <t>SALIVA_1709</t>
  </si>
  <si>
    <t>hemolysins or related protein containing CBS domains</t>
  </si>
  <si>
    <t>CCB96014.1</t>
  </si>
  <si>
    <t>SALIVA_1710</t>
  </si>
  <si>
    <t>ABC transporter ATP binding protein (molybdenum?)</t>
  </si>
  <si>
    <t>CCB96015.1</t>
  </si>
  <si>
    <t>SALIVA_1711</t>
  </si>
  <si>
    <t>Na+:H+ antiporter</t>
  </si>
  <si>
    <t>nha</t>
  </si>
  <si>
    <t>CCB96016.1</t>
  </si>
  <si>
    <t>SALIVA_1712</t>
  </si>
  <si>
    <t>CCB96017.1</t>
  </si>
  <si>
    <t>SALIVA_1713</t>
  </si>
  <si>
    <t>putative rRNA methylase (SAM-dependent methyltransferase superfamily)</t>
  </si>
  <si>
    <t>CCB96018.1</t>
  </si>
  <si>
    <t>SALIVA_1714</t>
  </si>
  <si>
    <t>fe-S oxidoreductase</t>
  </si>
  <si>
    <t>CCB96019.1</t>
  </si>
  <si>
    <t>SALIVA_1715</t>
  </si>
  <si>
    <t>ATP-dependent protease La</t>
  </si>
  <si>
    <t>lon</t>
  </si>
  <si>
    <t>CCB96020.1</t>
  </si>
  <si>
    <t>SALIVA_1716</t>
  </si>
  <si>
    <t>phosphopantetheine adenylyltransferase (Pantetheine-phosphate adenylyltransferase) (PPAT) (Dephospho-CoA pyrophosphorylase)</t>
  </si>
  <si>
    <t>coaD</t>
  </si>
  <si>
    <t>CCB96021.1</t>
  </si>
  <si>
    <t>SALIVA_1717</t>
  </si>
  <si>
    <t>putative methylase yhhF</t>
  </si>
  <si>
    <t>c_4258</t>
  </si>
  <si>
    <t>CCB96022.1</t>
  </si>
  <si>
    <t>SALIVA_1718</t>
  </si>
  <si>
    <t>thioredoxin reductase</t>
  </si>
  <si>
    <t>trxB1</t>
  </si>
  <si>
    <t>CCB96023.1</t>
  </si>
  <si>
    <t>SALIVA_1719</t>
  </si>
  <si>
    <t>CCB96024.1</t>
  </si>
  <si>
    <t>SALIVA_1720</t>
  </si>
  <si>
    <t>possible componentputative amino-acid import ATP-binding protein, possible cysteine uptake</t>
  </si>
  <si>
    <t>tcyC</t>
  </si>
  <si>
    <t>CCB96025.1</t>
  </si>
  <si>
    <t>SALIVA_1721</t>
  </si>
  <si>
    <t>ABC-type amino acid transport system, permease component, possible cysteine uptake</t>
  </si>
  <si>
    <t>tcyB</t>
  </si>
  <si>
    <t>CCB96026.1</t>
  </si>
  <si>
    <t>SALIVA_1722</t>
  </si>
  <si>
    <t>polar amino acid ABC uptake transporter substrate binding protein; possible cysteine uptake</t>
  </si>
  <si>
    <t>tcyA</t>
  </si>
  <si>
    <t>CCB96027.1</t>
  </si>
  <si>
    <t>SALIVA_1723</t>
  </si>
  <si>
    <t>predicted protein, beta-lactamase/transpeptidase-like predicted</t>
  </si>
  <si>
    <t>CCB96028.1</t>
  </si>
  <si>
    <t>SALIVA_1724</t>
  </si>
  <si>
    <t>DNA polymerase IV (Pol IV)</t>
  </si>
  <si>
    <t>dinB</t>
  </si>
  <si>
    <t>CCB96029.1</t>
  </si>
  <si>
    <t>SALIVA_1725</t>
  </si>
  <si>
    <t>formate acetyltransferase (Pyruvate formate-lyase)</t>
  </si>
  <si>
    <t>pfl</t>
  </si>
  <si>
    <t>CCB96030.1</t>
  </si>
  <si>
    <t>SALIVA_1726</t>
  </si>
  <si>
    <t>carbonic anhydrase precursor (Carbonate dehydratase)</t>
  </si>
  <si>
    <t>cah</t>
  </si>
  <si>
    <t>CCB96031.1</t>
  </si>
  <si>
    <t>SALIVA_1727</t>
  </si>
  <si>
    <t>CCB96032.1</t>
  </si>
  <si>
    <t>SALIVA_1728</t>
  </si>
  <si>
    <t>CCB96033.1</t>
  </si>
  <si>
    <t>SALIVA_1729</t>
  </si>
  <si>
    <t>CCB96034.1</t>
  </si>
  <si>
    <t>SALIVA_1730</t>
  </si>
  <si>
    <t>uncharacterized conserved protein,beta-lactamase/transpeptidase-like predicted</t>
  </si>
  <si>
    <t>CCB96035.1</t>
  </si>
  <si>
    <t>SALIVA_1731</t>
  </si>
  <si>
    <t>c3-degrading proteinase</t>
  </si>
  <si>
    <t>cppA</t>
  </si>
  <si>
    <t>CCB96036.1</t>
  </si>
  <si>
    <t>SALIVA_1732</t>
  </si>
  <si>
    <t>Abortive infection protein</t>
  </si>
  <si>
    <t>CCB96037.1</t>
  </si>
  <si>
    <t>SALIVA_1733</t>
  </si>
  <si>
    <t>glycerol uptake facilitator or related permease (Major Intrinsic Protein Family)</t>
  </si>
  <si>
    <t>gla</t>
  </si>
  <si>
    <t>CCB96038.1</t>
  </si>
  <si>
    <t>SALIVA_1734</t>
  </si>
  <si>
    <t>Xaa-Pro dipeptidyl-peptidase (X-Pro dipeptidyl-peptidase) (X-prolyl-dipeptidyl aminopeptidase) (X-PDAP)</t>
  </si>
  <si>
    <t>pepX</t>
  </si>
  <si>
    <t>CCB96039.1</t>
  </si>
  <si>
    <t>SALIVA_1735</t>
  </si>
  <si>
    <t>putative bacteriocin self-immunity protein</t>
  </si>
  <si>
    <t>blpX</t>
  </si>
  <si>
    <t>CCB96040.1</t>
  </si>
  <si>
    <t>SALIVA_1736</t>
  </si>
  <si>
    <t>CCB96041.1</t>
  </si>
  <si>
    <t>SALIVA_1737</t>
  </si>
  <si>
    <t>Xre-like reg</t>
  </si>
  <si>
    <t>CCB96042.1</t>
  </si>
  <si>
    <t>SALIVA_1738</t>
  </si>
  <si>
    <t>CCB96043.1</t>
  </si>
  <si>
    <t>SALIVA_1739</t>
  </si>
  <si>
    <t>CCB96044.1</t>
  </si>
  <si>
    <t>SALIVA_1740</t>
  </si>
  <si>
    <t>response regulator (Homolog to BlpR Spn)</t>
  </si>
  <si>
    <t>CCB96045.1</t>
  </si>
  <si>
    <t>SALIVA_1741</t>
  </si>
  <si>
    <t>CCB96046.1</t>
  </si>
  <si>
    <t>SALIVA_1742</t>
  </si>
  <si>
    <t>CCB96047.1</t>
  </si>
  <si>
    <t>SALIVA_1743</t>
  </si>
  <si>
    <t>CCB96048.1</t>
  </si>
  <si>
    <t>SALIVA_1744</t>
  </si>
  <si>
    <t>CCB96049.1</t>
  </si>
  <si>
    <t>SALIVA_1745</t>
  </si>
  <si>
    <t>CCB96050.1</t>
  </si>
  <si>
    <t>SALIVA_1746</t>
  </si>
  <si>
    <t>pore-forming peptide, putative bacteriocin</t>
  </si>
  <si>
    <t>blpU like</t>
  </si>
  <si>
    <t>CCB96051.1</t>
  </si>
  <si>
    <t>SALIVA_1747</t>
  </si>
  <si>
    <t>multidrug resistance-like ATP-binding protein mdlB</t>
  </si>
  <si>
    <t>mdlB</t>
  </si>
  <si>
    <t>CCB96052.1</t>
  </si>
  <si>
    <t>SALIVA_1748</t>
  </si>
  <si>
    <t>multidrug resistance-like ATP-binding protein mdlA</t>
  </si>
  <si>
    <t>mdlA</t>
  </si>
  <si>
    <t>CCB96053.1</t>
  </si>
  <si>
    <t>SALIVA_1749</t>
  </si>
  <si>
    <t>CCB96054.1</t>
  </si>
  <si>
    <t>SALIVA_1750</t>
  </si>
  <si>
    <t>glycopeptide antibiotics resistance protein</t>
  </si>
  <si>
    <t>CCB96055.1</t>
  </si>
  <si>
    <t>SALIVA_1751</t>
  </si>
  <si>
    <t>predicted Fe-S-cluster redox enzyme</t>
  </si>
  <si>
    <t>CCB96056.1</t>
  </si>
  <si>
    <t>SALIVA_1752</t>
  </si>
  <si>
    <t>CCB96057.1</t>
  </si>
  <si>
    <t>SALIVA_1753</t>
  </si>
  <si>
    <t>putative 5-nucleotidase</t>
  </si>
  <si>
    <t>CCB96058.1</t>
  </si>
  <si>
    <t>SALIVA_1754</t>
  </si>
  <si>
    <t>CCB96059.1</t>
  </si>
  <si>
    <t>SALIVA_1755</t>
  </si>
  <si>
    <t>putative ATP-dependent RNA helicase</t>
  </si>
  <si>
    <t>rheB</t>
  </si>
  <si>
    <t>CCB96060.1</t>
  </si>
  <si>
    <t>SALIVA_1756</t>
  </si>
  <si>
    <t>phospho-N-acetylmuramoyl-pentapeptide-transferase (UDP-MurNAc-pentapeptide phosphotransferase)</t>
  </si>
  <si>
    <t>mraY</t>
  </si>
  <si>
    <t>CCB96061.1</t>
  </si>
  <si>
    <t>SALIVA_1757</t>
  </si>
  <si>
    <t>penicillin-binding protein 2X</t>
  </si>
  <si>
    <t>pbp2X</t>
  </si>
  <si>
    <t>CCB96062.1</t>
  </si>
  <si>
    <t>SALIVA_1758</t>
  </si>
  <si>
    <t>cell division protein FtsL</t>
  </si>
  <si>
    <t>CCB96063.1</t>
  </si>
  <si>
    <t>SALIVA_1759</t>
  </si>
  <si>
    <t>S-adenosyl-L-methionine-dependent methyltransferase mraW</t>
  </si>
  <si>
    <t>mraW</t>
  </si>
  <si>
    <t>CCB96064.1</t>
  </si>
  <si>
    <t>SALIVA_1760</t>
  </si>
  <si>
    <t>probably non functional protein</t>
  </si>
  <si>
    <t>ytaD2</t>
  </si>
  <si>
    <t>CCB96065.1</t>
  </si>
  <si>
    <t>SALIVA_1761</t>
  </si>
  <si>
    <t>CCB96066.1</t>
  </si>
  <si>
    <t>SALIVA_1762</t>
  </si>
  <si>
    <t>CCB96067.1</t>
  </si>
  <si>
    <t>SALIVA_1763</t>
  </si>
  <si>
    <t>CCB96068.1</t>
  </si>
  <si>
    <t>SALIVA_1764</t>
  </si>
  <si>
    <t>CCB96069.1</t>
  </si>
  <si>
    <t>SALIVA_1765</t>
  </si>
  <si>
    <t>CCB96070.1</t>
  </si>
  <si>
    <t>SALIVA_1766</t>
  </si>
  <si>
    <t>Gamma-glutamyl phosphate reductase (GPR) (Glutamate-5-semialdehyde dehydrogenase) (Glutamyl-gamma-semialdehyde dehydrogenase) (GSA dehydrogenase)</t>
  </si>
  <si>
    <t>proA</t>
  </si>
  <si>
    <t>CCB96071.1</t>
  </si>
  <si>
    <t>SALIVA_1767</t>
  </si>
  <si>
    <t>glutamate 5-kinase (Gamma-glutamyl kinase) (GK)</t>
  </si>
  <si>
    <t>proB</t>
  </si>
  <si>
    <t>CCB96072.1</t>
  </si>
  <si>
    <t>SALIVA_1768</t>
  </si>
  <si>
    <t>ABC transporter, permease protein</t>
  </si>
  <si>
    <t>CCB96073.1</t>
  </si>
  <si>
    <t>SALIVA_1769</t>
  </si>
  <si>
    <t>CCB96074.1</t>
  </si>
  <si>
    <t>SALIVA_1770</t>
  </si>
  <si>
    <t>CCB96075.1</t>
  </si>
  <si>
    <t>SALIVA_1771</t>
  </si>
  <si>
    <t>ATP-dependent nuclease subunit A (ATP-dependent helicase addA)</t>
  </si>
  <si>
    <t>addA</t>
  </si>
  <si>
    <t>CCB96076.1</t>
  </si>
  <si>
    <t>SALIVA_1772</t>
  </si>
  <si>
    <t>ATP-dependent nuclease subunit B (ATP-dependent helicase addB)</t>
  </si>
  <si>
    <t>addB</t>
  </si>
  <si>
    <t>CCB96077.1</t>
  </si>
  <si>
    <t>SALIVA_1773</t>
  </si>
  <si>
    <t>putative histidine kinase (Sensory transduction protein kinase)</t>
  </si>
  <si>
    <t>fasC</t>
  </si>
  <si>
    <t>CCB96078.1</t>
  </si>
  <si>
    <t>SALIVA_1774</t>
  </si>
  <si>
    <t>CCB96079.1</t>
  </si>
  <si>
    <t>SALIVA_1775</t>
  </si>
  <si>
    <t>CCB96080.1</t>
  </si>
  <si>
    <t>SALIVA_1776</t>
  </si>
  <si>
    <t>CCB96081.1</t>
  </si>
  <si>
    <t>SALIVA_1777</t>
  </si>
  <si>
    <t>CCB96082.1</t>
  </si>
  <si>
    <t>SALIVA_1778</t>
  </si>
  <si>
    <t>putative ABC transporter (ATP-binding protein) (ABC transporter ATP-binding protein)</t>
  </si>
  <si>
    <t>CCB96083.1</t>
  </si>
  <si>
    <t>SALIVA_1779</t>
  </si>
  <si>
    <t>CCB96084.1</t>
  </si>
  <si>
    <t>SALIVA_1780</t>
  </si>
  <si>
    <t>putative Chaperone protein hscA</t>
  </si>
  <si>
    <t>hscA</t>
  </si>
  <si>
    <t>CCB96085.1</t>
  </si>
  <si>
    <t>SALIVA_1781</t>
  </si>
  <si>
    <t>CCB96086.1</t>
  </si>
  <si>
    <t>SALIVA_1783</t>
  </si>
  <si>
    <t>CCB96087.1</t>
  </si>
  <si>
    <t>SALIVA_1784</t>
  </si>
  <si>
    <t>CCB96088.1</t>
  </si>
  <si>
    <t>SALIVA_1785</t>
  </si>
  <si>
    <t>CCB96089.1</t>
  </si>
  <si>
    <t>SALIVA_1786</t>
  </si>
  <si>
    <t>alanine aminotransferase</t>
  </si>
  <si>
    <t>CCB96090.1</t>
  </si>
  <si>
    <t>SALIVA_1787</t>
  </si>
  <si>
    <t>putative L-asparaginase (L-ASNase) (L-asparagine amidohydrolase)</t>
  </si>
  <si>
    <t>ansB</t>
  </si>
  <si>
    <t>CCB96091.1</t>
  </si>
  <si>
    <t>SALIVA_1788</t>
  </si>
  <si>
    <t>CCB96092.1</t>
  </si>
  <si>
    <t>SALIVA_1789</t>
  </si>
  <si>
    <t>CCB96093.1</t>
  </si>
  <si>
    <t>SALIVA_1790</t>
  </si>
  <si>
    <t>CCB96094.1</t>
  </si>
  <si>
    <t>SALIVA_1791</t>
  </si>
  <si>
    <t>CCB96095.1</t>
  </si>
  <si>
    <t>SALIVA_1792</t>
  </si>
  <si>
    <t>CCB96096.1</t>
  </si>
  <si>
    <t>SALIVA_1794</t>
  </si>
  <si>
    <t>ATP-dependent DNA helicase recG</t>
  </si>
  <si>
    <t>recG</t>
  </si>
  <si>
    <t>CCB96097.1</t>
  </si>
  <si>
    <t>SALIVA_1795</t>
  </si>
  <si>
    <t>alanine racemase</t>
  </si>
  <si>
    <t>alr</t>
  </si>
  <si>
    <t>CCB96098.1</t>
  </si>
  <si>
    <t>SALIVA_1796</t>
  </si>
  <si>
    <t>holo-[acyl-carrier-protein] synthase (Holo-ACP synthase) (4-phosphopantetheinyl transferase acpS)</t>
  </si>
  <si>
    <t>acpS</t>
  </si>
  <si>
    <t>CCB96099.1</t>
  </si>
  <si>
    <t>SALIVA_1797</t>
  </si>
  <si>
    <t>phospho-2-dehydro-3-deoxyheptonate aldolase, Tyr-sensitive (Phospho-2-keto-3-deoxyheptonate aldolase) (3-deoxy-D-arabino-heptulosonate 7-phosphate synthase) (DAHP synthetase)</t>
  </si>
  <si>
    <t>aroF</t>
  </si>
  <si>
    <t>CCB96100.1</t>
  </si>
  <si>
    <t>SALIVA_1798</t>
  </si>
  <si>
    <t>CCB96101.1</t>
  </si>
  <si>
    <t>SALIVA_1799</t>
  </si>
  <si>
    <t>CCB96102.1</t>
  </si>
  <si>
    <t>SALIVA_1800</t>
  </si>
  <si>
    <t>CCB96103.1</t>
  </si>
  <si>
    <t>SALIVA_1801</t>
  </si>
  <si>
    <t>CCB96104.1</t>
  </si>
  <si>
    <t>SALIVA_1802</t>
  </si>
  <si>
    <t>fructokinase</t>
  </si>
  <si>
    <t>scrK</t>
  </si>
  <si>
    <t>CCB96105.1</t>
  </si>
  <si>
    <t>SALIVA_1803</t>
  </si>
  <si>
    <t>PTS system sucrose-specific EIIBCA component (EIIBCA-Scr) (EII-Scr) [Includes: Sucrose-specific phosphotransferase enzyme IIB component (EC 2.7.1.69) (PTS system sucrose-specific EIIB component); Sucrose permease IIC component (PTS system sucrose-specific EIIC component); Sucrose-specific phosphotransferase enzyme IIA component (PTS system sucrose-specific EIIA component)]</t>
  </si>
  <si>
    <t>scrA</t>
  </si>
  <si>
    <t>CCB96106.1</t>
  </si>
  <si>
    <t>SALIVA_1804</t>
  </si>
  <si>
    <t>sucrose-6-phosphate hydrolase (Sucrase) (Invertase)</t>
  </si>
  <si>
    <t>scrB</t>
  </si>
  <si>
    <t>CCB96107.1</t>
  </si>
  <si>
    <t>SALIVA_1805</t>
  </si>
  <si>
    <t>scrR</t>
  </si>
  <si>
    <t>CCB96108.1</t>
  </si>
  <si>
    <t>SALIVA_1806</t>
  </si>
  <si>
    <t>N utilization substance protein B homolog (Protein nusB)</t>
  </si>
  <si>
    <t>nusB</t>
  </si>
  <si>
    <t>CCB96109.1</t>
  </si>
  <si>
    <t>SALIVA_1807</t>
  </si>
  <si>
    <t>CCB96110.1</t>
  </si>
  <si>
    <t>SALIVA_1808</t>
  </si>
  <si>
    <t>elongation factor P (EF-P)</t>
  </si>
  <si>
    <t>efp</t>
  </si>
  <si>
    <t>CCB96111.1</t>
  </si>
  <si>
    <t>SALIVA_1809</t>
  </si>
  <si>
    <t>comEB</t>
  </si>
  <si>
    <t>CCB96112.1</t>
  </si>
  <si>
    <t>SALIVA_1810</t>
  </si>
  <si>
    <t>aminopeptidase P; XAA-pro aminopeptidase</t>
  </si>
  <si>
    <t>pepP</t>
  </si>
  <si>
    <t>CCB96113.1</t>
  </si>
  <si>
    <t>SALIVA_1811</t>
  </si>
  <si>
    <t>uncharacterized, Thioredoxin-like predicted</t>
  </si>
  <si>
    <t>CCB96114.1</t>
  </si>
  <si>
    <t>SALIVA_1812</t>
  </si>
  <si>
    <t>CCB96115.1</t>
  </si>
  <si>
    <t>SALIVA_1814</t>
  </si>
  <si>
    <t>CCB96116.1</t>
  </si>
  <si>
    <t>SALIVA_1815</t>
  </si>
  <si>
    <t>CCB96117.1</t>
  </si>
  <si>
    <t>SALIVA_1817</t>
  </si>
  <si>
    <t>excinuclease ABC subunit A</t>
  </si>
  <si>
    <t>uvrA</t>
  </si>
  <si>
    <t>CCB96118.1</t>
  </si>
  <si>
    <t>SALIVA_1818</t>
  </si>
  <si>
    <t>corA cation transporter (MIT) family protein</t>
  </si>
  <si>
    <t>corA2</t>
  </si>
  <si>
    <t>CCB96119.1</t>
  </si>
  <si>
    <t>SALIVA_1819</t>
  </si>
  <si>
    <t>CCB96120.1</t>
  </si>
  <si>
    <t>SALIVA_1820</t>
  </si>
  <si>
    <t>CCB96121.1</t>
  </si>
  <si>
    <t>SALIVA_1821</t>
  </si>
  <si>
    <t>30S ribosomal protein S18</t>
  </si>
  <si>
    <t>rpsR</t>
  </si>
  <si>
    <t>CCB96122.1</t>
  </si>
  <si>
    <t>SALIVA_1822</t>
  </si>
  <si>
    <t>CCB96123.1</t>
  </si>
  <si>
    <t>SALIVA_1823</t>
  </si>
  <si>
    <t>30S ribosomal protein S6</t>
  </si>
  <si>
    <t>rpsF</t>
  </si>
  <si>
    <t>CCB96124.1</t>
  </si>
  <si>
    <t>SALIVA_1824</t>
  </si>
  <si>
    <t>CCB96125.1</t>
  </si>
  <si>
    <t>SALIVA_1825</t>
  </si>
  <si>
    <t>A/G-specific adenine glycosylase</t>
  </si>
  <si>
    <t>mutY</t>
  </si>
  <si>
    <t>CCB96126.1</t>
  </si>
  <si>
    <t>SALIVA_1827</t>
  </si>
  <si>
    <t>CCB96127.1</t>
  </si>
  <si>
    <t>SALIVA_1828</t>
  </si>
  <si>
    <t>CCB96128.1</t>
  </si>
  <si>
    <t>SALIVA_1829</t>
  </si>
  <si>
    <t>CCB96129.1</t>
  </si>
  <si>
    <t>SALIVA_1830</t>
  </si>
  <si>
    <t>DNA polymerase I</t>
  </si>
  <si>
    <t>polA</t>
  </si>
  <si>
    <t>CCB96130.1</t>
  </si>
  <si>
    <t>SALIVA_1831</t>
  </si>
  <si>
    <t>DNA mismatch repair protein</t>
  </si>
  <si>
    <t>mutS2</t>
  </si>
  <si>
    <t>CCB96131.1</t>
  </si>
  <si>
    <t>SALIVA_1832</t>
  </si>
  <si>
    <t>predicted membrane ancor connecting MutS2 with cell-division Z-ring</t>
  </si>
  <si>
    <t>CCB96132.1</t>
  </si>
  <si>
    <t>SALIVA_1833</t>
  </si>
  <si>
    <t>CCB96133.1</t>
  </si>
  <si>
    <t>SALIVA_1834</t>
  </si>
  <si>
    <t>ribonuclease HIII (RNase HIII)</t>
  </si>
  <si>
    <t>rnhC</t>
  </si>
  <si>
    <t>CCB96134.1</t>
  </si>
  <si>
    <t>SALIVA_1835</t>
  </si>
  <si>
    <t>sipA</t>
  </si>
  <si>
    <t>CCB96135.1</t>
  </si>
  <si>
    <t>SALIVA_1836</t>
  </si>
  <si>
    <t>putative exodeoxyribonuclease V (Alpha subunit) (Exodeoxyribonuclease V alpha chain)</t>
  </si>
  <si>
    <t>recD</t>
  </si>
  <si>
    <t>CCB96136.1</t>
  </si>
  <si>
    <t>SALIVA_1837</t>
  </si>
  <si>
    <t>CCB96137.1</t>
  </si>
  <si>
    <t>SALIVA_1838</t>
  </si>
  <si>
    <t>branched chain amino acid exporter (LIV-E) family protein</t>
  </si>
  <si>
    <t>livE</t>
  </si>
  <si>
    <t>CCB96138.1</t>
  </si>
  <si>
    <t>SALIVA_1839</t>
  </si>
  <si>
    <t>putative O-sialoglycoprotein endopeptidase (Glycoprotease)</t>
  </si>
  <si>
    <t>gcp</t>
  </si>
  <si>
    <t>CCB96139.1</t>
  </si>
  <si>
    <t>SALIVA_1840</t>
  </si>
  <si>
    <t>ribosomal-protein-alanine N-acetyltransferase</t>
  </si>
  <si>
    <t>rimI2</t>
  </si>
  <si>
    <t>CCB96140.1</t>
  </si>
  <si>
    <t>SALIVA_1841</t>
  </si>
  <si>
    <t>glycoprotein endopeptidase</t>
  </si>
  <si>
    <t>CCB96141.1</t>
  </si>
  <si>
    <t>SALIVA_1842</t>
  </si>
  <si>
    <t>CCB96142.1</t>
  </si>
  <si>
    <t>SALIVA_1843</t>
  </si>
  <si>
    <t>metallo-beta-lactamase superfamily protein,putative mRNA degradation ribonucleases J1/J2</t>
  </si>
  <si>
    <t>rnjA</t>
  </si>
  <si>
    <t>CCB96143.1</t>
  </si>
  <si>
    <t>SALIVA_1844</t>
  </si>
  <si>
    <t>CCB96144.1</t>
  </si>
  <si>
    <t>SALIVA_1845</t>
  </si>
  <si>
    <t>CCB96145.1</t>
  </si>
  <si>
    <t>SALIVA_1846</t>
  </si>
  <si>
    <t>glutamine synthetase (Glutamate--ammonia ligase)</t>
  </si>
  <si>
    <t>glnA</t>
  </si>
  <si>
    <t>CCB96146.1</t>
  </si>
  <si>
    <t>SALIVA_1847</t>
  </si>
  <si>
    <t>glnR</t>
  </si>
  <si>
    <t>CCB96147.1</t>
  </si>
  <si>
    <t>SALIVA_1848</t>
  </si>
  <si>
    <t>CCB96148.1</t>
  </si>
  <si>
    <t>SALIVA_1849</t>
  </si>
  <si>
    <t>CCB96149.1</t>
  </si>
  <si>
    <t>SALIVA_1850</t>
  </si>
  <si>
    <t>predicted protein, possible membrane</t>
  </si>
  <si>
    <t>CCB96150.1</t>
  </si>
  <si>
    <t>SALIVA_1851</t>
  </si>
  <si>
    <t>glyceraldehyde-3-phosphate dehydrogenase (GAPDH) (Plasminogen-binding protein) (Plasmin receptor)</t>
  </si>
  <si>
    <t>gap</t>
  </si>
  <si>
    <t>CCB96151.1</t>
  </si>
  <si>
    <t>SALIVA_1852</t>
  </si>
  <si>
    <t>elongation factor G (EF-G)</t>
  </si>
  <si>
    <t>fusA</t>
  </si>
  <si>
    <t>CCB96152.1</t>
  </si>
  <si>
    <t>SALIVA_1853</t>
  </si>
  <si>
    <t>30S ribosomal protein S7</t>
  </si>
  <si>
    <t>rpsG</t>
  </si>
  <si>
    <t>CCB96153.1</t>
  </si>
  <si>
    <t>SALIVA_1854</t>
  </si>
  <si>
    <t>30S ribosomal protein S12</t>
  </si>
  <si>
    <t>rpsL</t>
  </si>
  <si>
    <t>CCB96154.1</t>
  </si>
  <si>
    <t>SALIVA_1855</t>
  </si>
  <si>
    <t>purine operon repressor</t>
  </si>
  <si>
    <t>purR</t>
  </si>
  <si>
    <t>CCB96155.1</t>
  </si>
  <si>
    <t>SALIVA_1856</t>
  </si>
  <si>
    <t>3-5 exoribonuclease yhaM</t>
  </si>
  <si>
    <t>yhaM</t>
  </si>
  <si>
    <t>CCB96156.1</t>
  </si>
  <si>
    <t>SALIVA_1857</t>
  </si>
  <si>
    <t>uncharacterized conserved protein, RmuC domain protein</t>
  </si>
  <si>
    <t>CCB96157.1</t>
  </si>
  <si>
    <t>SALIVA_1858</t>
  </si>
  <si>
    <t>putative Thiamine pyrophosphokinase (TPK) (Thiamine diphosphokinase)</t>
  </si>
  <si>
    <t>thiN</t>
  </si>
  <si>
    <t>CCB96158.1</t>
  </si>
  <si>
    <t>SALIVA_1859</t>
  </si>
  <si>
    <t>ribulose-phosphate 3-epimerase (Pentose-5-phosphate 3-epimerase) (PPE) (R5P3E)</t>
  </si>
  <si>
    <t>rpe</t>
  </si>
  <si>
    <t>CCB96159.1</t>
  </si>
  <si>
    <t>SALIVA_1860</t>
  </si>
  <si>
    <t>putative GTPase engC</t>
  </si>
  <si>
    <t>engC</t>
  </si>
  <si>
    <t>CCB96160.1</t>
  </si>
  <si>
    <t>SALIVA_1861</t>
  </si>
  <si>
    <t>SALIVA_1862</t>
  </si>
  <si>
    <t>dimethyladenosine transferase (S-adenosylmethionine-6-N, N-adenosyl(rRNA) dimethyltransferase) (16S rRNA dimethylase) (High level kasugamycin resistance protein ksgA) (Kasugamycin dimethyltransferase)</t>
  </si>
  <si>
    <t>ksgA</t>
  </si>
  <si>
    <t>CCB96161.1</t>
  </si>
  <si>
    <t>SALIVA_1863</t>
  </si>
  <si>
    <t>Topoisomerase/primase ou RNAse M5</t>
  </si>
  <si>
    <t>CCB96162.1</t>
  </si>
  <si>
    <t>SALIVA_1864</t>
  </si>
  <si>
    <t>putative deoxyribonuclease</t>
  </si>
  <si>
    <t>tatD</t>
  </si>
  <si>
    <t>CCB96163.1</t>
  </si>
  <si>
    <t>SALIVA_1865</t>
  </si>
  <si>
    <t>uncharacterized conserved protein, CoA-binding domain-containing protein</t>
  </si>
  <si>
    <t>CCB96164.1</t>
  </si>
  <si>
    <t>SALIVA_1866</t>
  </si>
  <si>
    <t>thiol-disulfide isomerase and thioredoxins</t>
  </si>
  <si>
    <t>CCB96165.1</t>
  </si>
  <si>
    <t>SALIVA_1867</t>
  </si>
  <si>
    <t>uncharacterized conserved protein, appr-1-p processing enzyme family domain</t>
  </si>
  <si>
    <t>CCB96166.1</t>
  </si>
  <si>
    <t>SALIVA_1868</t>
  </si>
  <si>
    <t>uncharacterized conserved protein, thioesterase</t>
  </si>
  <si>
    <t>CCB96167.1</t>
  </si>
  <si>
    <t>SALIVA_1869</t>
  </si>
  <si>
    <t>thioredoxin domain containing protein</t>
  </si>
  <si>
    <t>CCB96168.1</t>
  </si>
  <si>
    <t>SALIVA_1870</t>
  </si>
  <si>
    <t>SALIVA_1871</t>
  </si>
  <si>
    <t>SALIVA_r0016</t>
  </si>
  <si>
    <t>SALIVA_r0017</t>
  </si>
  <si>
    <t>SALIVA_1872</t>
  </si>
  <si>
    <t>SALIVA_r0018</t>
  </si>
  <si>
    <t>queuine tRNA-ribosyltransferase (tRNA-guanine transglycosylase) (Guanine insertion enzyme)</t>
  </si>
  <si>
    <t>tgt</t>
  </si>
  <si>
    <t>CCB96169.1</t>
  </si>
  <si>
    <t>SALIVA_1873</t>
  </si>
  <si>
    <t>CCB96170.1</t>
  </si>
  <si>
    <t>SALIVA_1874</t>
  </si>
  <si>
    <t>putative NADPH-quinone reductase</t>
  </si>
  <si>
    <t>CCB96171.1</t>
  </si>
  <si>
    <t>SALIVA_1875</t>
  </si>
  <si>
    <t>CCB96172.1</t>
  </si>
  <si>
    <t>SALIVA_1876</t>
  </si>
  <si>
    <t>putative uncharacterized protein jag</t>
  </si>
  <si>
    <t>jag</t>
  </si>
  <si>
    <t>CCB96173.1</t>
  </si>
  <si>
    <t>SALIVA_1877</t>
  </si>
  <si>
    <t>cytochrome oxidase biogenesis (Oxa1) family protein, similar to SpoIIIJ, or Preprotein translocase subunit YidC</t>
  </si>
  <si>
    <t>CCB96174.1</t>
  </si>
  <si>
    <t>SALIVA_1878</t>
  </si>
  <si>
    <t>ribonuclease P protein component (RNaseP protein) (RNase P protein) (Protein C5)</t>
  </si>
  <si>
    <t>rnpA</t>
  </si>
  <si>
    <t>CCB96175.1</t>
  </si>
  <si>
    <t>SALIVA_1879</t>
  </si>
  <si>
    <t>argininosuccinate lyase (ASAL) (Arginosuccinase)</t>
  </si>
  <si>
    <t>argH</t>
  </si>
  <si>
    <t>CCB96176.1</t>
  </si>
  <si>
    <t>SALIVA_1880</t>
  </si>
  <si>
    <t>argininosuccinate synthase (Citrulline--aspartate ligase)</t>
  </si>
  <si>
    <t>argG</t>
  </si>
  <si>
    <t>CCB96177.1</t>
  </si>
  <si>
    <t>SALIVA_1881</t>
  </si>
  <si>
    <t>CCB96178.1</t>
  </si>
  <si>
    <t>SALIVA_1883</t>
  </si>
  <si>
    <t>CCB96179.1</t>
  </si>
  <si>
    <t>SALIVA_1884</t>
  </si>
  <si>
    <t>CCB96180.1</t>
  </si>
  <si>
    <t>SALIVA_1885</t>
  </si>
  <si>
    <t>CCB96181.1</t>
  </si>
  <si>
    <t>SALIVA_1886</t>
  </si>
  <si>
    <t>CCB96182.1</t>
  </si>
  <si>
    <t>SALIVA_1887</t>
  </si>
  <si>
    <t>glutamyl-tRNA synthetase (Glutamate--tRNA ligase) (GluRS)</t>
  </si>
  <si>
    <t>gltX</t>
  </si>
  <si>
    <t>CCB96183.1</t>
  </si>
  <si>
    <t>SALIVA_1888</t>
  </si>
  <si>
    <t>amiA1</t>
  </si>
  <si>
    <t>CCB96184.1</t>
  </si>
  <si>
    <t>SALIVA_1889</t>
  </si>
  <si>
    <t>50S ribosomal protein L1</t>
  </si>
  <si>
    <t>rplA</t>
  </si>
  <si>
    <t>CCB96185.1</t>
  </si>
  <si>
    <t>SALIVA_1890</t>
  </si>
  <si>
    <t>50S ribosomal protein L11</t>
  </si>
  <si>
    <t>rplK</t>
  </si>
  <si>
    <t>CCB96186.1</t>
  </si>
  <si>
    <t>SALIVA_1891</t>
  </si>
  <si>
    <t>CCB96187.1</t>
  </si>
  <si>
    <t>SALIVA_1892</t>
  </si>
  <si>
    <t>carbonic anhydrase-related protein</t>
  </si>
  <si>
    <t>CCB96188.1</t>
  </si>
  <si>
    <t>SALIVA_1893</t>
  </si>
  <si>
    <t>CCB96189.1</t>
  </si>
  <si>
    <t>SALIVA_1894</t>
  </si>
  <si>
    <t>DNA repair protein radA</t>
  </si>
  <si>
    <t>radA</t>
  </si>
  <si>
    <t>CCB96190.1</t>
  </si>
  <si>
    <t>SALIVA_1895</t>
  </si>
  <si>
    <t>uncharacterized conserved protein,isochorismatase hydrolase family</t>
  </si>
  <si>
    <t>CCB96191.1</t>
  </si>
  <si>
    <t>SALIVA_1896</t>
  </si>
  <si>
    <t>deoxyuridine 5-triphosphate nucleotidohydrolase (dUTPase) (dUTP pyrophosphatase)</t>
  </si>
  <si>
    <t>dut</t>
  </si>
  <si>
    <t>CCB96192.1</t>
  </si>
  <si>
    <t>SALIVA_1897</t>
  </si>
  <si>
    <t>conserved hypothetical, NADPH-dependent FMN reductase domain protein</t>
  </si>
  <si>
    <t>CCB96193.1</t>
  </si>
  <si>
    <t>SALIVA_1898</t>
  </si>
  <si>
    <t>CCB96194.1</t>
  </si>
  <si>
    <t>SALIVA_1899</t>
  </si>
  <si>
    <t>formate/nitrite transporter family protein</t>
  </si>
  <si>
    <t>CCB96195.1</t>
  </si>
  <si>
    <t>SALIVA_1900</t>
  </si>
  <si>
    <t>CCB96196.1</t>
  </si>
  <si>
    <t>SALIVA_1901</t>
  </si>
  <si>
    <t>glycerol-3-phosphate dehydrogenase [NAD(P)+] (NAD(P)H-dependent glycerol-3-phosphate dehydrogenase)</t>
  </si>
  <si>
    <t>gpsA</t>
  </si>
  <si>
    <t>CCB96197.1</t>
  </si>
  <si>
    <t>SALIVA_1902</t>
  </si>
  <si>
    <t>uTP--glucose-1-phosphate uridylyltransferase (UDP-glucose pyrophosphorylase) (UDPGP) (Alpha-D-glucosyl-1-phosphate uridylyltransferase) (Uridine diphosphoglucose pyrophosphorylase)</t>
  </si>
  <si>
    <t>galU</t>
  </si>
  <si>
    <t>CCB96198.1</t>
  </si>
  <si>
    <t>SALIVA_1903</t>
  </si>
  <si>
    <t>conserved hypothetical, predicted membrane protein (TSM6)</t>
  </si>
  <si>
    <t>CCB96199.1</t>
  </si>
  <si>
    <t>SALIVA_1904</t>
  </si>
  <si>
    <t>5-formyltetrahydrofolate cyclo-ligase (5,10-methenyl-tetrahydrofolate synthetase) (Methenyl-THF synthetase) (MTHFS)</t>
  </si>
  <si>
    <t>mTHFS</t>
  </si>
  <si>
    <t>CCB96200.1</t>
  </si>
  <si>
    <t>SALIVA_1905</t>
  </si>
  <si>
    <t>hipO3</t>
  </si>
  <si>
    <t>CCB96201.1</t>
  </si>
  <si>
    <t>SALIVA_1906</t>
  </si>
  <si>
    <t>2,3,4,5-tetrahydropyridine-2-carboxylate N-succinyltransferase</t>
  </si>
  <si>
    <t>dapD</t>
  </si>
  <si>
    <t>CCB96202.1</t>
  </si>
  <si>
    <t>SALIVA_1907</t>
  </si>
  <si>
    <t>uncharacterized conserved protein, hydrolase (HAD family)</t>
  </si>
  <si>
    <t>CCB96203.1</t>
  </si>
  <si>
    <t>SALIVA_1908</t>
  </si>
  <si>
    <t>rRNA (guanine-N1-)-methyltransferase</t>
  </si>
  <si>
    <t>rrmA</t>
  </si>
  <si>
    <t>CCB96204.1</t>
  </si>
  <si>
    <t>SALIVA_1909</t>
  </si>
  <si>
    <t>CCB96205.1</t>
  </si>
  <si>
    <t>SALIVA_1910</t>
  </si>
  <si>
    <t>CCB96206.1</t>
  </si>
  <si>
    <t>SALIVA_1911</t>
  </si>
  <si>
    <t>CCB96207.1</t>
  </si>
  <si>
    <t>SALIVA_1912</t>
  </si>
  <si>
    <t>putative cytidine/deoxycytidylate deaminase family protein</t>
  </si>
  <si>
    <t>yaaJ</t>
  </si>
  <si>
    <t>CCB96208.1</t>
  </si>
  <si>
    <t>SALIVA_1913</t>
  </si>
  <si>
    <t>ssbA</t>
  </si>
  <si>
    <t>CCB96209.1</t>
  </si>
  <si>
    <t>SALIVA_1914</t>
  </si>
  <si>
    <t>phenylalanyl-tRNA synthetase (beta subunit)</t>
  </si>
  <si>
    <t>CCB96210.1</t>
  </si>
  <si>
    <t>SALIVA_1915</t>
  </si>
  <si>
    <t>CCB96211.1</t>
  </si>
  <si>
    <t>SALIVA_1916</t>
  </si>
  <si>
    <t>thioredoxin</t>
  </si>
  <si>
    <t>trxA2</t>
  </si>
  <si>
    <t>CCB96212.1</t>
  </si>
  <si>
    <t>SALIVA_1917</t>
  </si>
  <si>
    <t>CCB96213.1</t>
  </si>
  <si>
    <t>SALIVA_1918</t>
  </si>
  <si>
    <t>glutamyl aminopeptidase</t>
  </si>
  <si>
    <t>pepA</t>
  </si>
  <si>
    <t>CCB96214.1</t>
  </si>
  <si>
    <t>SALIVA_1919</t>
  </si>
  <si>
    <t>pyrroline-5-carboxylate reductase (P5C reductase) (P5CR)</t>
  </si>
  <si>
    <t>proC</t>
  </si>
  <si>
    <t>CCB96215.1</t>
  </si>
  <si>
    <t>SALIVA_1920</t>
  </si>
  <si>
    <t>CCB96216.1</t>
  </si>
  <si>
    <t>SALIVA_1921</t>
  </si>
  <si>
    <t>CCB96217.1</t>
  </si>
  <si>
    <t>SALIVA_1922</t>
  </si>
  <si>
    <t>uncharacterized conserved protein, CAAX protease</t>
  </si>
  <si>
    <t>CCB96218.1</t>
  </si>
  <si>
    <t>SALIVA_1923</t>
  </si>
  <si>
    <t>CCB96219.1</t>
  </si>
  <si>
    <t>SALIVA_1924</t>
  </si>
  <si>
    <t>acetate kinase (Acetokinase)</t>
  </si>
  <si>
    <t>ackA</t>
  </si>
  <si>
    <t>CCB96220.1</t>
  </si>
  <si>
    <t>SALIVA_1925</t>
  </si>
  <si>
    <t>possible adenine-specific methyltransferase</t>
  </si>
  <si>
    <t>CCB96221.1</t>
  </si>
  <si>
    <t>SALIVA_1926</t>
  </si>
  <si>
    <t>CCB96222.1</t>
  </si>
  <si>
    <t>SALIVA_1927</t>
  </si>
  <si>
    <t>competence protein ComGF</t>
  </si>
  <si>
    <t>comGF</t>
  </si>
  <si>
    <t>CCB96223.1</t>
  </si>
  <si>
    <t>SALIVA_1928</t>
  </si>
  <si>
    <t>CCB96224.1</t>
  </si>
  <si>
    <t>SALIVA_1929</t>
  </si>
  <si>
    <t>competence protein</t>
  </si>
  <si>
    <t>comGD</t>
  </si>
  <si>
    <t>CCB96225.1</t>
  </si>
  <si>
    <t>SALIVA_1930</t>
  </si>
  <si>
    <t>competence protein ComGC</t>
  </si>
  <si>
    <t>comGC</t>
  </si>
  <si>
    <t>CCB96226.1</t>
  </si>
  <si>
    <t>SALIVA_1931</t>
  </si>
  <si>
    <t>late competence protein, ABC transporter subunit</t>
  </si>
  <si>
    <t>comGB</t>
  </si>
  <si>
    <t>CCB96227.1</t>
  </si>
  <si>
    <t>SALIVA_1932</t>
  </si>
  <si>
    <t>comGA</t>
  </si>
  <si>
    <t>CCB96228.1</t>
  </si>
  <si>
    <t>SALIVA_1933</t>
  </si>
  <si>
    <t>uncharacterized protein conserved</t>
  </si>
  <si>
    <t>CCB96229.1</t>
  </si>
  <si>
    <t>SALIVA_1934</t>
  </si>
  <si>
    <t>DNA-directed RNA polymerase subunit beta (RNAP subunit beta) (Transcriptase subunit beta) (RNA polymerase subunit beta)</t>
  </si>
  <si>
    <t>rpoC</t>
  </si>
  <si>
    <t>CCB96230.1</t>
  </si>
  <si>
    <t>SALIVA_1935</t>
  </si>
  <si>
    <t>rpoB</t>
  </si>
  <si>
    <t>CCB96231.1</t>
  </si>
  <si>
    <t>SALIVA_1936</t>
  </si>
  <si>
    <t>penicillin-binding protein 1B (peptidoglycan glycosyltransferase) (HMW classe A)</t>
  </si>
  <si>
    <t>pbp1b</t>
  </si>
  <si>
    <t>CCB96232.1</t>
  </si>
  <si>
    <t>SALIVA_1937</t>
  </si>
  <si>
    <t>Tyrosyl-tRNA synthetase 1 (Tyrosine--tRNA ligase 1) (TyrRS 1)</t>
  </si>
  <si>
    <t>tyrS1</t>
  </si>
  <si>
    <t>CCB96233.1</t>
  </si>
  <si>
    <t>SALIVA_1938</t>
  </si>
  <si>
    <t>Ketol-acid reductoisomerase (Acetohydroxy-acid isomeroreductase) (Alpha-keto-beta-hydroxylacil reductoisomerase)</t>
  </si>
  <si>
    <t>ilvC</t>
  </si>
  <si>
    <t>CCB96234.1</t>
  </si>
  <si>
    <t>SALIVA_1939</t>
  </si>
  <si>
    <t>acetolactate synthase small subunit (Acetohydroxy-acid synthase small subunit) (AHAS) (ALS)</t>
  </si>
  <si>
    <t>ilvH</t>
  </si>
  <si>
    <t>CCB96235.1</t>
  </si>
  <si>
    <t>SALIVA_1940</t>
  </si>
  <si>
    <t>acetolactate synthase</t>
  </si>
  <si>
    <t>ilvB</t>
  </si>
  <si>
    <t>CCB96236.1</t>
  </si>
  <si>
    <t>SALIVA_1941</t>
  </si>
  <si>
    <t>CCB96237.1</t>
  </si>
  <si>
    <t>SALIVA_1942</t>
  </si>
  <si>
    <t>CCB96238.1</t>
  </si>
  <si>
    <t>SALIVA_1943</t>
  </si>
  <si>
    <t>putative alkaline-shock protein</t>
  </si>
  <si>
    <t>asp</t>
  </si>
  <si>
    <t>CCB96239.1</t>
  </si>
  <si>
    <t>SALIVA_1944</t>
  </si>
  <si>
    <t>putative MATE family multidrug efflux pumps</t>
  </si>
  <si>
    <t>CCB96240.1</t>
  </si>
  <si>
    <t>SALIVA_1945</t>
  </si>
  <si>
    <t>threonine synthase (TS)</t>
  </si>
  <si>
    <t>thrc</t>
  </si>
  <si>
    <t>CCB96241.1</t>
  </si>
  <si>
    <t>SALIVA_1946</t>
  </si>
  <si>
    <t>CCB96242.1</t>
  </si>
  <si>
    <t>SALIVA_1947</t>
  </si>
  <si>
    <t>CCB96243.1</t>
  </si>
  <si>
    <t>SALIVA_1948</t>
  </si>
  <si>
    <t>aldehyde-alcohol dehydrogenase 2 [Includes: Alcohol dehydrogenase (EC 1.1.1.1) (ADH); Acetaldehyde dehydrogenase (ACDH)]</t>
  </si>
  <si>
    <t>adhE</t>
  </si>
  <si>
    <t>CCB96244.1</t>
  </si>
  <si>
    <t>SALIVA_1949</t>
  </si>
  <si>
    <t>pepO</t>
  </si>
  <si>
    <t>CCB96245.1</t>
  </si>
  <si>
    <t>SALIVA_1950</t>
  </si>
  <si>
    <t>trehalose-6-phosphate hydrolase (Alpha,alpha-phosphotrehalase)</t>
  </si>
  <si>
    <t>treA</t>
  </si>
  <si>
    <t>CCB96246.1</t>
  </si>
  <si>
    <t>SALIVA_1951</t>
  </si>
  <si>
    <t>CCB96247.1</t>
  </si>
  <si>
    <t>SALIVA_1952</t>
  </si>
  <si>
    <t>PTS system trehalose-specific EIIBC component (EIIBC-Tre) (EII-Tre) [Includes: Trehalose-specific phosphotransferase enzyme IIB component (PTS system trehalose-specific EIIB component); Trehalose permease IIC component (PTS system trehalose-specific EIIC component)]</t>
  </si>
  <si>
    <t>treP</t>
  </si>
  <si>
    <t>CCB96248.1</t>
  </si>
  <si>
    <t>SALIVA_1953</t>
  </si>
  <si>
    <t>trehalose operon transcriptional repressor</t>
  </si>
  <si>
    <t>treR</t>
  </si>
  <si>
    <t>CCB96249.1</t>
  </si>
  <si>
    <t>SALIVA_1954</t>
  </si>
  <si>
    <t>CCB96250.1</t>
  </si>
  <si>
    <t>SALIVA_1955</t>
  </si>
  <si>
    <t>CCB96251.1</t>
  </si>
  <si>
    <t>SALIVA_1956</t>
  </si>
  <si>
    <t>CCB96252.1</t>
  </si>
  <si>
    <t>SALIVA_1957</t>
  </si>
  <si>
    <t>fructose-bisphosphate aldolase</t>
  </si>
  <si>
    <t>fba</t>
  </si>
  <si>
    <t>CCB96253.1</t>
  </si>
  <si>
    <t>SALIVA_1958</t>
  </si>
  <si>
    <t>SALIVA_1959</t>
  </si>
  <si>
    <t>uncharacterized conserved protein, putative gamma-glutamylcysteine synthetase</t>
  </si>
  <si>
    <t>CCB96254.1</t>
  </si>
  <si>
    <t>SALIVA_1960</t>
  </si>
  <si>
    <t>50S ribosomal protein L17</t>
  </si>
  <si>
    <t>rplQ</t>
  </si>
  <si>
    <t>CCB96255.1</t>
  </si>
  <si>
    <t>SALIVA_1961</t>
  </si>
  <si>
    <t>DNA-directed RNA polymerase subunit alpha (RNAP subunit alpha) (Transcriptase subunit alpha) (RNA polymerase subunit alpha)</t>
  </si>
  <si>
    <t>rpoA</t>
  </si>
  <si>
    <t>CCB96256.1</t>
  </si>
  <si>
    <t>SALIVA_1962</t>
  </si>
  <si>
    <t>30S ribosomal protein S11</t>
  </si>
  <si>
    <t>rpsK</t>
  </si>
  <si>
    <t>CCB96257.1</t>
  </si>
  <si>
    <t>SALIVA_1963</t>
  </si>
  <si>
    <t>30S ribosomal protein S13</t>
  </si>
  <si>
    <t>rpsM</t>
  </si>
  <si>
    <t>CCB96258.1</t>
  </si>
  <si>
    <t>SALIVA_1964</t>
  </si>
  <si>
    <t>50S ribosomal protein L36</t>
  </si>
  <si>
    <t>rpmJ</t>
  </si>
  <si>
    <t>CCB96259.1</t>
  </si>
  <si>
    <t>SALIVA_1965</t>
  </si>
  <si>
    <t>translation initiation factor IF-1</t>
  </si>
  <si>
    <t>infA</t>
  </si>
  <si>
    <t>CCB96260.1</t>
  </si>
  <si>
    <t>SALIVA_1966</t>
  </si>
  <si>
    <t>adenylate kinase (AK) (ATP-AMP transphosphorylase)</t>
  </si>
  <si>
    <t>adk</t>
  </si>
  <si>
    <t>CCB96261.1</t>
  </si>
  <si>
    <t>SALIVA_1967</t>
  </si>
  <si>
    <t>preprotein translocase SecY subunit</t>
  </si>
  <si>
    <t>CCB96262.1</t>
  </si>
  <si>
    <t>SALIVA_1968</t>
  </si>
  <si>
    <t>50S ribosomal protein L15</t>
  </si>
  <si>
    <t>rplO</t>
  </si>
  <si>
    <t>CCB96263.1</t>
  </si>
  <si>
    <t>SALIVA_1969</t>
  </si>
  <si>
    <t>50S ribosomal protein L30</t>
  </si>
  <si>
    <t>rpmD</t>
  </si>
  <si>
    <t>CCB96264.1</t>
  </si>
  <si>
    <t>SALIVA_1970</t>
  </si>
  <si>
    <t>30S ribosomal protein S5</t>
  </si>
  <si>
    <t>rpsE</t>
  </si>
  <si>
    <t>CCB96265.1</t>
  </si>
  <si>
    <t>SALIVA_1971</t>
  </si>
  <si>
    <t>50S ribosomal protein L18</t>
  </si>
  <si>
    <t>rplR</t>
  </si>
  <si>
    <t>CCB96266.1</t>
  </si>
  <si>
    <t>SALIVA_1972</t>
  </si>
  <si>
    <t>50S ribosomal protein L6</t>
  </si>
  <si>
    <t>rplF</t>
  </si>
  <si>
    <t>CCB96267.1</t>
  </si>
  <si>
    <t>SALIVA_1973</t>
  </si>
  <si>
    <t>30S ribosomal protein S8</t>
  </si>
  <si>
    <t>rpsH</t>
  </si>
  <si>
    <t>CCB96268.1</t>
  </si>
  <si>
    <t>SALIVA_1974</t>
  </si>
  <si>
    <t>30S ribosomal protein S14 type Z</t>
  </si>
  <si>
    <t>rpsZ</t>
  </si>
  <si>
    <t>CCB96269.1</t>
  </si>
  <si>
    <t>SALIVA_1975</t>
  </si>
  <si>
    <t>50S ribosomal protein L5</t>
  </si>
  <si>
    <t>rplE</t>
  </si>
  <si>
    <t>CCB96270.1</t>
  </si>
  <si>
    <t>SALIVA_1976</t>
  </si>
  <si>
    <t>50S ribosomal protein L24</t>
  </si>
  <si>
    <t>rplX</t>
  </si>
  <si>
    <t>CCB96271.1</t>
  </si>
  <si>
    <t>SALIVA_1977</t>
  </si>
  <si>
    <t>50S ribosomal protein L14</t>
  </si>
  <si>
    <t>rplN</t>
  </si>
  <si>
    <t>CCB96272.1</t>
  </si>
  <si>
    <t>SALIVA_1978</t>
  </si>
  <si>
    <t>30S ribosomal protein S17</t>
  </si>
  <si>
    <t>rpsQ</t>
  </si>
  <si>
    <t>CCB96273.1</t>
  </si>
  <si>
    <t>SALIVA_1979</t>
  </si>
  <si>
    <t>50S ribosomal protein L29</t>
  </si>
  <si>
    <t>rpmC</t>
  </si>
  <si>
    <t>CCB96274.1</t>
  </si>
  <si>
    <t>SALIVA_1980</t>
  </si>
  <si>
    <t>50S ribosomal protein L16</t>
  </si>
  <si>
    <t>rplP</t>
  </si>
  <si>
    <t>CCB96275.1</t>
  </si>
  <si>
    <t>SALIVA_1981</t>
  </si>
  <si>
    <t>30S ribosomal protein S3</t>
  </si>
  <si>
    <t>rpsC</t>
  </si>
  <si>
    <t>CCB96276.1</t>
  </si>
  <si>
    <t>SALIVA_1982</t>
  </si>
  <si>
    <t>50S ribosomal protein L22</t>
  </si>
  <si>
    <t>rplV</t>
  </si>
  <si>
    <t>CCB96277.1</t>
  </si>
  <si>
    <t>SALIVA_1983</t>
  </si>
  <si>
    <t>30S ribosomal protein S19</t>
  </si>
  <si>
    <t>rpsS</t>
  </si>
  <si>
    <t>CCB96278.1</t>
  </si>
  <si>
    <t>SALIVA_1984</t>
  </si>
  <si>
    <t>50S ribosomal protein L2</t>
  </si>
  <si>
    <t>rplB</t>
  </si>
  <si>
    <t>CCB96279.1</t>
  </si>
  <si>
    <t>SALIVA_1985</t>
  </si>
  <si>
    <t>50S ribosomal protein L23</t>
  </si>
  <si>
    <t>rplW</t>
  </si>
  <si>
    <t>CCB96280.1</t>
  </si>
  <si>
    <t>SALIVA_1986</t>
  </si>
  <si>
    <t>50S ribosomal protein L4</t>
  </si>
  <si>
    <t>rplD</t>
  </si>
  <si>
    <t>CCB96281.1</t>
  </si>
  <si>
    <t>SALIVA_1987</t>
  </si>
  <si>
    <t>50S ribosomal protein L3</t>
  </si>
  <si>
    <t>rplC</t>
  </si>
  <si>
    <t>CCB96282.1</t>
  </si>
  <si>
    <t>SALIVA_1988</t>
  </si>
  <si>
    <t>30S ribosomal protein S10</t>
  </si>
  <si>
    <t>rpsJ</t>
  </si>
  <si>
    <t>CCB96283.1</t>
  </si>
  <si>
    <t>SALIVA_1989</t>
  </si>
  <si>
    <t>holliday junction ATP-dependent DNA helicase ruvB</t>
  </si>
  <si>
    <t>ruvB</t>
  </si>
  <si>
    <t>CCB96284.1</t>
  </si>
  <si>
    <t>SALIVA_1990</t>
  </si>
  <si>
    <t>O-acetyltransferase oatA</t>
  </si>
  <si>
    <t>oatA</t>
  </si>
  <si>
    <t>CCB96285.1</t>
  </si>
  <si>
    <t>SALIVA_1991</t>
  </si>
  <si>
    <t>uncharacterized conserved protein, MORN repeat family protein</t>
  </si>
  <si>
    <t>CCB96286.1</t>
  </si>
  <si>
    <t>SALIVA_1992</t>
  </si>
  <si>
    <t>protein-tyrosine phosphatase</t>
  </si>
  <si>
    <t>CCB96287.1</t>
  </si>
  <si>
    <t>SALIVA_1993</t>
  </si>
  <si>
    <t>adenylosuccinate synthetase (IMP--aspartate ligase) (AdSS) (AMPSase)</t>
  </si>
  <si>
    <t>purA</t>
  </si>
  <si>
    <t>CCB96288.1</t>
  </si>
  <si>
    <t>SALIVA_1994</t>
  </si>
  <si>
    <t>DNA topology modulation protein</t>
  </si>
  <si>
    <t>flaR</t>
  </si>
  <si>
    <t>CCB96289.1</t>
  </si>
  <si>
    <t>SALIVA_1995</t>
  </si>
  <si>
    <t>CCB96290.1</t>
  </si>
  <si>
    <t>SALIVA_1997</t>
  </si>
  <si>
    <t>CCB96291.1</t>
  </si>
  <si>
    <t>SALIVA_1998</t>
  </si>
  <si>
    <t>transcriptional regulator, xre family</t>
  </si>
  <si>
    <t>xre</t>
  </si>
  <si>
    <t>CCB96292.1</t>
  </si>
  <si>
    <t>SALIVA_1999</t>
  </si>
  <si>
    <t>replication initiator protein</t>
  </si>
  <si>
    <t>rip</t>
  </si>
  <si>
    <t>CCB96293.1</t>
  </si>
  <si>
    <t>SALIVA_2000</t>
  </si>
  <si>
    <t>CCB96294.1</t>
  </si>
  <si>
    <t>SALIVA_2001</t>
  </si>
  <si>
    <t>integrase/recombinase, phage associated</t>
  </si>
  <si>
    <t>int</t>
  </si>
  <si>
    <t>CCB96295.1</t>
  </si>
  <si>
    <t>SALIVA_2002</t>
  </si>
  <si>
    <t>SALIVA_2003</t>
  </si>
  <si>
    <t>chromosome segregation helicase</t>
  </si>
  <si>
    <t>cshA</t>
  </si>
  <si>
    <t>CCB96296.1</t>
  </si>
  <si>
    <t>SALIVA_2004</t>
  </si>
  <si>
    <t>50S ribosomal protein L28</t>
  </si>
  <si>
    <t>rpmB</t>
  </si>
  <si>
    <t>CCB96297.1</t>
  </si>
  <si>
    <t>SALIVA_2005</t>
  </si>
  <si>
    <t>CCB96298.1</t>
  </si>
  <si>
    <t>SALIVA_2006</t>
  </si>
  <si>
    <t>putative Holliday junction resolvase</t>
  </si>
  <si>
    <t>ybeB</t>
  </si>
  <si>
    <t>CCB96299.1</t>
  </si>
  <si>
    <t>SALIVA_2007</t>
  </si>
  <si>
    <t>UPF0473 protein stu1961</t>
  </si>
  <si>
    <t>CCB96300.1</t>
  </si>
  <si>
    <t>SALIVA_2008</t>
  </si>
  <si>
    <t>CCB96301.1</t>
  </si>
  <si>
    <t>SALIVA_2009</t>
  </si>
  <si>
    <t>anaerobic ribonucleoside-triphosphate reductase</t>
  </si>
  <si>
    <t>nrdD</t>
  </si>
  <si>
    <t>CCB96302.1</t>
  </si>
  <si>
    <t>SALIVA_2010</t>
  </si>
  <si>
    <t>CCB96303.1</t>
  </si>
  <si>
    <t>SALIVA_2011</t>
  </si>
  <si>
    <t>CCB96304.1</t>
  </si>
  <si>
    <t>SALIVA_2012</t>
  </si>
  <si>
    <t>anaerobic ribonucleoside-triphosphate reductase activating protein</t>
  </si>
  <si>
    <t>nrdG</t>
  </si>
  <si>
    <t>CCB96305.1</t>
  </si>
  <si>
    <t>SALIVA_2013</t>
  </si>
  <si>
    <t>CCB96306.1</t>
  </si>
  <si>
    <t>SALIVA_2014</t>
  </si>
  <si>
    <t>CCB96307.1</t>
  </si>
  <si>
    <t>SALIVA_2015</t>
  </si>
  <si>
    <t>aspartyl-tRNA synthetase (Aspartate--tRNA ligase) (AspRS)</t>
  </si>
  <si>
    <t>aspS</t>
  </si>
  <si>
    <t>CCB96308.1</t>
  </si>
  <si>
    <t>SALIVA_2016</t>
  </si>
  <si>
    <t>CCB96309.1</t>
  </si>
  <si>
    <t>SALIVA_2017</t>
  </si>
  <si>
    <t>histidyl-tRNA synthetase (Histidine--tRNA ligase) (HisRS)</t>
  </si>
  <si>
    <t>hisS</t>
  </si>
  <si>
    <t>CCB96310.1</t>
  </si>
  <si>
    <t>SALIVA_2018</t>
  </si>
  <si>
    <t>PTS system sucrose-specific EIIBC component (EIIBC-Scr) (EII-Scr) [Includes: Sucrose-specific phosphotransferase enzyme IIB component (PTS system sucrose-specific EIIB component); Sucrose permease IIC component (PTS system sucrose-specific EIIC component)]</t>
  </si>
  <si>
    <t>sacP</t>
  </si>
  <si>
    <t>CCB96311.1</t>
  </si>
  <si>
    <t>SALIVA_2019</t>
  </si>
  <si>
    <t>putative methylcobalamin:homocysteine methyltransferase (Methionine synthase)</t>
  </si>
  <si>
    <t>CCB96312.1</t>
  </si>
  <si>
    <t>SALIVA_2020</t>
  </si>
  <si>
    <t>50S ribosomal protein L32</t>
  </si>
  <si>
    <t>rpmF</t>
  </si>
  <si>
    <t>CCB96313.1</t>
  </si>
  <si>
    <t>SALIVA_2021</t>
  </si>
  <si>
    <t>50S ribosomal protein L33</t>
  </si>
  <si>
    <t>rpmGB</t>
  </si>
  <si>
    <t>CCB96314.1</t>
  </si>
  <si>
    <t>SALIVA_2022</t>
  </si>
  <si>
    <t>CCB96315.1</t>
  </si>
  <si>
    <t>SALIVA_2023</t>
  </si>
  <si>
    <t>CCB96316.1</t>
  </si>
  <si>
    <t>SALIVA_2024</t>
  </si>
  <si>
    <t>CCB96317.1</t>
  </si>
  <si>
    <t>SALIVA_2098</t>
  </si>
  <si>
    <t>CCB96318.1</t>
  </si>
  <si>
    <t>SALIVA_2099</t>
  </si>
  <si>
    <t>suB0782 undefined product 764400:764714 forward MW:11955</t>
  </si>
  <si>
    <t>CCB96319.1</t>
  </si>
  <si>
    <t>SALIVA_2025</t>
  </si>
  <si>
    <t>putative cell division protein, ftsK like</t>
  </si>
  <si>
    <t>ftsK2</t>
  </si>
  <si>
    <t>CCB96320.1</t>
  </si>
  <si>
    <t>SALIVA_2026</t>
  </si>
  <si>
    <t>CCB96321.1</t>
  </si>
  <si>
    <t>SALIVA_2027</t>
  </si>
  <si>
    <t>replication protein</t>
  </si>
  <si>
    <t>repF</t>
  </si>
  <si>
    <t>CCB96322.1</t>
  </si>
  <si>
    <t>SALIVA_2028</t>
  </si>
  <si>
    <t>CCB96323.1</t>
  </si>
  <si>
    <t>SALIVA_2029</t>
  </si>
  <si>
    <t>DNA polymerase III subunit beta</t>
  </si>
  <si>
    <t>CCB96324.1</t>
  </si>
  <si>
    <t>SALIVA_2030</t>
  </si>
  <si>
    <t>Serine/threonine kinase</t>
  </si>
  <si>
    <t>sps1</t>
  </si>
  <si>
    <t>CCB96325.1</t>
  </si>
  <si>
    <t>SALIVA_2031</t>
  </si>
  <si>
    <t>transposase for IS660 (Divided with OB1837 and OB1838)</t>
  </si>
  <si>
    <t>CCB96326.1</t>
  </si>
  <si>
    <t>SALIVA_2032</t>
  </si>
  <si>
    <t>transposase for IS660</t>
  </si>
  <si>
    <t>CCB96327.1</t>
  </si>
  <si>
    <t>SALIVA_2033</t>
  </si>
  <si>
    <t>yvgB</t>
  </si>
  <si>
    <t>CCB96328.1</t>
  </si>
  <si>
    <t>SALIVA_2035</t>
  </si>
  <si>
    <t>yvgC</t>
  </si>
  <si>
    <t>CCB96329.1</t>
  </si>
  <si>
    <t>SALIVA_2036</t>
  </si>
  <si>
    <t>yvgD</t>
  </si>
  <si>
    <t>CCB96330.1</t>
  </si>
  <si>
    <t>SALIVA_2037</t>
  </si>
  <si>
    <t>CCB96331.1</t>
  </si>
  <si>
    <t>SALIVA_2038</t>
  </si>
  <si>
    <t>CCB96332.1</t>
  </si>
  <si>
    <t>SALIVA_2039</t>
  </si>
  <si>
    <t>Dolichyl-phosphate beta-D-mannosyltransferase</t>
  </si>
  <si>
    <t>CCB96333.1</t>
  </si>
  <si>
    <t>SALIVA_2040</t>
  </si>
  <si>
    <t>cellulose synthase catalytic subunit [UDP-forming]</t>
  </si>
  <si>
    <t>bcsA</t>
  </si>
  <si>
    <t>CCB96334.1</t>
  </si>
  <si>
    <t>SALIVA_2041</t>
  </si>
  <si>
    <t>CCB96335.1</t>
  </si>
  <si>
    <t>SALIVA_2042</t>
  </si>
  <si>
    <t>yvgJA</t>
  </si>
  <si>
    <t>CCB96336.1</t>
  </si>
  <si>
    <t>SALIVA_2043</t>
  </si>
  <si>
    <t>CCB96337.1</t>
  </si>
  <si>
    <t>SALIVA_2044</t>
  </si>
  <si>
    <t>CCB96338.1</t>
  </si>
  <si>
    <t>SALIVA_2045</t>
  </si>
  <si>
    <t>CCB96339.1</t>
  </si>
  <si>
    <t>SALIVA_2046</t>
  </si>
  <si>
    <t>nudix hydrolase 3</t>
  </si>
  <si>
    <t>ndx-3</t>
  </si>
  <si>
    <t>CCB96340.1</t>
  </si>
  <si>
    <t>SALIVA_2047</t>
  </si>
  <si>
    <t>transcription regulator (Putative)</t>
  </si>
  <si>
    <t>CCB96341.1</t>
  </si>
  <si>
    <t>SALIVA_2048</t>
  </si>
  <si>
    <t>CCB96342.1</t>
  </si>
  <si>
    <t>SALIVA_2049</t>
  </si>
  <si>
    <t>CCB96343.1</t>
  </si>
  <si>
    <t>SALIVA_2050</t>
  </si>
  <si>
    <t>CCB96344.1</t>
  </si>
  <si>
    <t>SALIVA_2051</t>
  </si>
  <si>
    <t>CCB96345.1</t>
  </si>
  <si>
    <t>SALIVA_2052</t>
  </si>
  <si>
    <t>CCB96346.1</t>
  </si>
  <si>
    <t>SALIVA_2053</t>
  </si>
  <si>
    <t>CCB96347.1</t>
  </si>
  <si>
    <t>SALIVA_2054</t>
  </si>
  <si>
    <t>30S ribosomal protein S4</t>
  </si>
  <si>
    <t>rpsD</t>
  </si>
  <si>
    <t>CCB96348.1</t>
  </si>
  <si>
    <t>SALIVA_2055</t>
  </si>
  <si>
    <t>CCB96349.1</t>
  </si>
  <si>
    <t>SALIVA_2056</t>
  </si>
  <si>
    <t>replicative DNA helicase</t>
  </si>
  <si>
    <t>dnaC</t>
  </si>
  <si>
    <t>CCB96350.1</t>
  </si>
  <si>
    <t>SALIVA_2057</t>
  </si>
  <si>
    <t>50S ribosomal protein L9</t>
  </si>
  <si>
    <t>rplI</t>
  </si>
  <si>
    <t>CCB96351.1</t>
  </si>
  <si>
    <t>SALIVA_2058</t>
  </si>
  <si>
    <t>uncharacterized conserved protein,phosphoesterase domain</t>
  </si>
  <si>
    <t>CCB96352.1</t>
  </si>
  <si>
    <t>SALIVA_2059</t>
  </si>
  <si>
    <t>tRNA uridine 5-carboxymethylaminomethyl modification enzyme gidA (Glucose-inhibited division protein A)</t>
  </si>
  <si>
    <t>gidA</t>
  </si>
  <si>
    <t>CCB96353.1</t>
  </si>
  <si>
    <t>SALIVA_2060</t>
  </si>
  <si>
    <t>marC family integral membrane protein</t>
  </si>
  <si>
    <t>CCB96354.1</t>
  </si>
  <si>
    <t>SALIVA_2061</t>
  </si>
  <si>
    <t>putative tRNA (5-methylaminomethyl-2-thiouridylate)-methyltransferase</t>
  </si>
  <si>
    <t>trmU</t>
  </si>
  <si>
    <t>CCB96355.1</t>
  </si>
  <si>
    <t>SALIVA_2062</t>
  </si>
  <si>
    <t>CCB96356.1</t>
  </si>
  <si>
    <t>SALIVA_2063</t>
  </si>
  <si>
    <t>uncharacterized conserved protein,Transglycosylase SLT domain</t>
  </si>
  <si>
    <t>CCB96357.1</t>
  </si>
  <si>
    <t>SALIVA_2064</t>
  </si>
  <si>
    <t>uncharacterized conserved protein, LysM domain</t>
  </si>
  <si>
    <t>CCB96358.1</t>
  </si>
  <si>
    <t>SALIVA_2065</t>
  </si>
  <si>
    <t>CCB96359.1</t>
  </si>
  <si>
    <t>SALIVA_2066</t>
  </si>
  <si>
    <t>CCB96360.1</t>
  </si>
  <si>
    <t>SALIVA_2067</t>
  </si>
  <si>
    <t>cobalt import ATP-binding protein cbiO 2</t>
  </si>
  <si>
    <t>cbiO2</t>
  </si>
  <si>
    <t>CCB96361.1</t>
  </si>
  <si>
    <t>SALIVA_2068</t>
  </si>
  <si>
    <t>cDP-diacylglycerol--glycerol-3-phosphate 3-phosphatidyltransferase (Phosphatidylglycerophosphate synthase) (PGP synthase)</t>
  </si>
  <si>
    <t>pgsA</t>
  </si>
  <si>
    <t>CCB96362.1</t>
  </si>
  <si>
    <t>SALIVA_2069</t>
  </si>
  <si>
    <t>CCB96363.1</t>
  </si>
  <si>
    <t>SALIVA_2070</t>
  </si>
  <si>
    <t>peptidase, M16 family</t>
  </si>
  <si>
    <t>mpp</t>
  </si>
  <si>
    <t>CCB96364.1</t>
  </si>
  <si>
    <t>SALIVA_2071</t>
  </si>
  <si>
    <t>Zinc protease</t>
  </si>
  <si>
    <t>CCB96365.1</t>
  </si>
  <si>
    <t>SALIVA_2072</t>
  </si>
  <si>
    <t>S4-like RNA binding protein</t>
  </si>
  <si>
    <t>CCB96366.1</t>
  </si>
  <si>
    <t>SALIVA_2073</t>
  </si>
  <si>
    <t>DNA replication and repair protein recF</t>
  </si>
  <si>
    <t>recF</t>
  </si>
  <si>
    <t>CCB96367.1</t>
  </si>
  <si>
    <t>SALIVA_2074</t>
  </si>
  <si>
    <t>inosine-5'-monophosphate dehydrogenase(IMP dehydrogenase) (IMPDH) (IMPD) (Superoxide-inducibleprotein 12) (SOI12). 488 bp</t>
  </si>
  <si>
    <t>guaB</t>
  </si>
  <si>
    <t>CCB96368.1</t>
  </si>
  <si>
    <t>SALIVA_2075</t>
  </si>
  <si>
    <t>tryptophanyl-tRNA synthetase (Tryptophan--tRNA ligase) (TrpRS)</t>
  </si>
  <si>
    <t>trpS</t>
  </si>
  <si>
    <t>CCB96369.1</t>
  </si>
  <si>
    <t>SALIVA_2076</t>
  </si>
  <si>
    <t>CCB96370.1</t>
  </si>
  <si>
    <t>SALIVA_2077</t>
  </si>
  <si>
    <t>ABC transporter, drug resistance ATPase-2 (drug RA2) family, ATP binding protein</t>
  </si>
  <si>
    <t>CCB96371.1</t>
  </si>
  <si>
    <t>SALIVA_2078</t>
  </si>
  <si>
    <t>CCB96372.1</t>
  </si>
  <si>
    <t>SALIVA_2079</t>
  </si>
  <si>
    <t>SALIVA_2080</t>
  </si>
  <si>
    <t>SALIVA_2081</t>
  </si>
  <si>
    <t>SALIVA_2082</t>
  </si>
  <si>
    <t>uncharacterized conserved protein, predicted membrane portein</t>
  </si>
  <si>
    <t>CCB96373.1</t>
  </si>
  <si>
    <t>SALIVA_2083</t>
  </si>
  <si>
    <t>CCB96374.1</t>
  </si>
  <si>
    <t>SALIVA_2084</t>
  </si>
  <si>
    <t>Serine protease do-like htrA (HtrALl)</t>
  </si>
  <si>
    <t>htrA</t>
  </si>
  <si>
    <t>CCB96375.1</t>
  </si>
  <si>
    <t>SALIVA_2085</t>
  </si>
  <si>
    <t>chromosome segregation DNA-binding protein</t>
  </si>
  <si>
    <t>CCB96376.1</t>
  </si>
  <si>
    <t>SALIVA_2086</t>
  </si>
  <si>
    <t>3.1.1.29</t>
  </si>
  <si>
    <t>6.3.4.-</t>
  </si>
  <si>
    <t>2.4.2.8</t>
  </si>
  <si>
    <t>3.4.24.-</t>
  </si>
  <si>
    <t>2.7.6.1</t>
  </si>
  <si>
    <t>2.6.1.57</t>
  </si>
  <si>
    <t>6.3.2.6</t>
  </si>
  <si>
    <t>6.3.5.3</t>
  </si>
  <si>
    <t>2.4.2.14</t>
  </si>
  <si>
    <t>6.3.3.1</t>
  </si>
  <si>
    <t>2.1.2.2</t>
  </si>
  <si>
    <t>3.5.4.10</t>
  </si>
  <si>
    <t>2.7.7.49</t>
  </si>
  <si>
    <t>6.3.4.13</t>
  </si>
  <si>
    <t>4.1.1.21</t>
  </si>
  <si>
    <t>4.3.2.2</t>
  </si>
  <si>
    <t>6.1.1.19</t>
  </si>
  <si>
    <t>3.6.1.-</t>
  </si>
  <si>
    <t>3.2.2.20</t>
  </si>
  <si>
    <t>2.7.7.7</t>
  </si>
  <si>
    <t>3.4.11.-</t>
  </si>
  <si>
    <t>1.6.99.3</t>
  </si>
  <si>
    <t>1.11.1.15</t>
  </si>
  <si>
    <t>3.4.16.4</t>
  </si>
  <si>
    <t>2.7.7.8</t>
  </si>
  <si>
    <t>2.3.1.30</t>
  </si>
  <si>
    <t>6.1.1.16</t>
  </si>
  <si>
    <t>2.1.1.-</t>
  </si>
  <si>
    <t>3.6.3.4</t>
  </si>
  <si>
    <t>5.4.2.1</t>
  </si>
  <si>
    <t>3.5.1.28</t>
  </si>
  <si>
    <t>5.4.99.12</t>
  </si>
  <si>
    <t>2.7.4.7</t>
  </si>
  <si>
    <t>2.7.7.6</t>
  </si>
  <si>
    <t>6.3.4.2</t>
  </si>
  <si>
    <t>2.7.6.5</t>
  </si>
  <si>
    <t>3.1.-.-</t>
  </si>
  <si>
    <t>4.3.1.19</t>
  </si>
  <si>
    <t>3.5.1.88</t>
  </si>
  <si>
    <t>3.6.1.27</t>
  </si>
  <si>
    <t>2.8.1.7</t>
  </si>
  <si>
    <t>1.-.-.-</t>
  </si>
  <si>
    <t>2.7.1.-</t>
  </si>
  <si>
    <t>5.3.1.9</t>
  </si>
  <si>
    <t>3.6.3.-</t>
  </si>
  <si>
    <t>2.5.1.31</t>
  </si>
  <si>
    <t>2.7.7.41</t>
  </si>
  <si>
    <t>6.1.1.15</t>
  </si>
  <si>
    <t>3.6.3.28</t>
  </si>
  <si>
    <t>5.4.99.-</t>
  </si>
  <si>
    <t>3.1.3.27</t>
  </si>
  <si>
    <t>3.-.-.-</t>
  </si>
  <si>
    <t>6.1.1.4</t>
  </si>
  <si>
    <t>3.1.2.2</t>
  </si>
  <si>
    <t>6.3.4.21</t>
  </si>
  <si>
    <t>6.3.1.5</t>
  </si>
  <si>
    <t>3.4.22.40</t>
  </si>
  <si>
    <t>2.4.1.129</t>
  </si>
  <si>
    <t>3.1.22.-</t>
  </si>
  <si>
    <t>3.6.-.-</t>
  </si>
  <si>
    <t>6.3.2.8</t>
  </si>
  <si>
    <t>3.6.1.7</t>
  </si>
  <si>
    <t>4.1.1.20</t>
  </si>
  <si>
    <t>5.1.1.3</t>
  </si>
  <si>
    <t>3.6.1.15</t>
  </si>
  <si>
    <t>3.1.4.-</t>
  </si>
  <si>
    <t>3.4.22.-</t>
  </si>
  <si>
    <t>3.5.1.5</t>
  </si>
  <si>
    <t>3.5.1.18</t>
  </si>
  <si>
    <t>2.1.-.-</t>
  </si>
  <si>
    <t>CCB94643.1</t>
  </si>
  <si>
    <t>CCB94644.1</t>
  </si>
  <si>
    <t>CCB94645.1</t>
  </si>
  <si>
    <t>CCB94646.1</t>
  </si>
  <si>
    <t>CCB94647.1</t>
  </si>
  <si>
    <t>CCB94648.1</t>
  </si>
  <si>
    <t>CCB94649.1</t>
  </si>
  <si>
    <t>CCB94650.1</t>
  </si>
  <si>
    <t>CCB94651.1</t>
  </si>
  <si>
    <t>CCB94652.1</t>
  </si>
  <si>
    <t>CCB94653.1</t>
  </si>
  <si>
    <t>CCB94654.1</t>
  </si>
  <si>
    <t>CCB94655.1</t>
  </si>
  <si>
    <t>CCB94656.1</t>
  </si>
  <si>
    <t>CCB94657.1</t>
  </si>
  <si>
    <t>CCB94658.1</t>
  </si>
  <si>
    <t>CCB94659.1</t>
  </si>
  <si>
    <t>CCB94660.1</t>
  </si>
  <si>
    <t>CCB94661.1</t>
  </si>
  <si>
    <t>CCB94662.1</t>
  </si>
  <si>
    <t>CCB94663.1</t>
  </si>
  <si>
    <t>CCB94664.1</t>
  </si>
  <si>
    <t>CCB94665.1</t>
  </si>
  <si>
    <t>CCB94666.1</t>
  </si>
  <si>
    <t>CCB94667.1</t>
  </si>
  <si>
    <t>CCB94668.1</t>
  </si>
  <si>
    <t>CCB94669.1</t>
  </si>
  <si>
    <t>CCB94670.1</t>
  </si>
  <si>
    <t>CCB94671.1</t>
  </si>
  <si>
    <t>CCB94672.1</t>
  </si>
  <si>
    <t>CCB94673.1</t>
  </si>
  <si>
    <t>CCB94674.1</t>
  </si>
  <si>
    <t>CCB94675.1</t>
  </si>
  <si>
    <t>CCB94676.1</t>
  </si>
  <si>
    <t>CCB94677.1</t>
  </si>
  <si>
    <t>CCB94678.1</t>
  </si>
  <si>
    <t>CCB94679.1</t>
  </si>
  <si>
    <t>CCB94680.1</t>
  </si>
  <si>
    <t>CCB94681.1</t>
  </si>
  <si>
    <t>CCB94682.1</t>
  </si>
  <si>
    <t>CCB94683.1</t>
  </si>
  <si>
    <t>CCB94684.1</t>
  </si>
  <si>
    <t>CCB94685.1</t>
  </si>
  <si>
    <t>CCB94686.1</t>
  </si>
  <si>
    <t>CCB94687.1</t>
  </si>
  <si>
    <t>CCB94688.1</t>
  </si>
  <si>
    <t>CCB94689.1</t>
  </si>
  <si>
    <t>CCB94690.1</t>
  </si>
  <si>
    <t>CCB94691.1</t>
  </si>
  <si>
    <t>CCB94692.1</t>
  </si>
  <si>
    <t>CCB94693.1</t>
  </si>
  <si>
    <t>CCB94694.1</t>
  </si>
  <si>
    <t>CCB94695.1</t>
  </si>
  <si>
    <t>2.7.13.3</t>
  </si>
  <si>
    <t>6.1.1.11</t>
  </si>
  <si>
    <t>2.7.1.69</t>
  </si>
  <si>
    <t>6.3.2.7</t>
  </si>
  <si>
    <t>2.5.1.48</t>
  </si>
  <si>
    <t>2.6.1.-</t>
  </si>
  <si>
    <t>2.4.1.10</t>
  </si>
  <si>
    <t>2.4.2.9</t>
  </si>
  <si>
    <t>3.4.21.92</t>
  </si>
  <si>
    <t>2.5.1.47</t>
  </si>
  <si>
    <t>3.6.1.1</t>
  </si>
  <si>
    <t>6.3.1.1</t>
  </si>
  <si>
    <t>2.7.2.4</t>
  </si>
  <si>
    <t>4.2.1.17</t>
  </si>
  <si>
    <t>2.3.1.41</t>
  </si>
  <si>
    <t>1.3.1.9</t>
  </si>
  <si>
    <t>2.3.1.39</t>
  </si>
  <si>
    <t>1.1.1.100</t>
  </si>
  <si>
    <t>2.3.1.179</t>
  </si>
  <si>
    <t>6.4.1.2</t>
  </si>
  <si>
    <t>4.2.1.-</t>
  </si>
  <si>
    <t>4.4.1.21</t>
  </si>
  <si>
    <t>2.7.1.56</t>
  </si>
  <si>
    <t>1.8.1.7</t>
  </si>
  <si>
    <t>6.3.2.17</t>
  </si>
  <si>
    <t>1.17.1.8</t>
  </si>
  <si>
    <t>3.6.1.13</t>
  </si>
  <si>
    <t>2.7.7.1</t>
  </si>
  <si>
    <t>1.4.1.4</t>
  </si>
  <si>
    <t>2.3.-.-</t>
  </si>
  <si>
    <t>2.7.4.22</t>
  </si>
  <si>
    <t>6.1.1.10</t>
  </si>
  <si>
    <t>1.1.-.-</t>
  </si>
  <si>
    <t>2.1.1.104</t>
  </si>
  <si>
    <t>6.1.1.7</t>
  </si>
  <si>
    <t>3.5.-.-</t>
  </si>
  <si>
    <t>1.2.1.38</t>
  </si>
  <si>
    <t>2.3.1.1</t>
  </si>
  <si>
    <t>2.7.2.8</t>
  </si>
  <si>
    <t>2.6.1.11</t>
  </si>
  <si>
    <t>1.1.1.3</t>
  </si>
  <si>
    <t>2.7.1.39</t>
  </si>
  <si>
    <t>6.1.1.9</t>
  </si>
  <si>
    <t>3.6.3.14</t>
  </si>
  <si>
    <t>5.3.1.1</t>
  </si>
  <si>
    <t>2.2.1.1</t>
  </si>
  <si>
    <t>2.7.4.9</t>
  </si>
  <si>
    <t>3.4.23.36</t>
  </si>
  <si>
    <t>2.7.2.3</t>
  </si>
  <si>
    <t>3.5.1.25</t>
  </si>
  <si>
    <t>6.1.1.14</t>
  </si>
  <si>
    <t>5.2.1.8</t>
  </si>
  <si>
    <t>2.1.3.2</t>
  </si>
  <si>
    <t>6.3.5.5</t>
  </si>
  <si>
    <t>2.7.3.-</t>
  </si>
  <si>
    <t>5.-.-.-</t>
  </si>
  <si>
    <t>3.5.99.6</t>
  </si>
  <si>
    <t>1.4.1.1</t>
  </si>
  <si>
    <t>3.1.1.24</t>
  </si>
  <si>
    <t>1.8.1.4</t>
  </si>
  <si>
    <t>2.7.1.36</t>
  </si>
  <si>
    <t>4.1.1.33</t>
  </si>
  <si>
    <t>2.7.4.2</t>
  </si>
  <si>
    <t>5.3.3.2</t>
  </si>
  <si>
    <t>3.6.3.2</t>
  </si>
  <si>
    <t>2.3.1.157</t>
  </si>
  <si>
    <t>3.2.2.9</t>
  </si>
  <si>
    <t>2.4.1.-</t>
  </si>
  <si>
    <t>6.1.1.3</t>
  </si>
  <si>
    <t>1.1.1.88</t>
  </si>
  <si>
    <t>2.3.3.10</t>
  </si>
  <si>
    <t>2.1.1.45</t>
  </si>
  <si>
    <t>1.5.1.3</t>
  </si>
  <si>
    <t>2.1.1.10</t>
  </si>
  <si>
    <t>5.99.1.-</t>
  </si>
  <si>
    <t>2.6.1.42</t>
  </si>
  <si>
    <t>2.1.3.3</t>
  </si>
  <si>
    <t>3.5.4.9</t>
  </si>
  <si>
    <t>2.3.2.-</t>
  </si>
  <si>
    <t>2.7.1.107</t>
  </si>
  <si>
    <t>4.2.99.18</t>
  </si>
  <si>
    <t>2.7.1.24</t>
  </si>
  <si>
    <t>3.4.13.9</t>
  </si>
  <si>
    <t>2.7.1.31</t>
  </si>
  <si>
    <t>2.4.1.21</t>
  </si>
  <si>
    <t>4.2.1.11</t>
  </si>
  <si>
    <t>4.2.1.10</t>
  </si>
  <si>
    <t>1.1.1.25</t>
  </si>
  <si>
    <t>4.2.3.4</t>
  </si>
  <si>
    <t>4.2.3.5</t>
  </si>
  <si>
    <t>1.3.1.12</t>
  </si>
  <si>
    <t>1.1.1.27</t>
  </si>
  <si>
    <t>2.5.1.19</t>
  </si>
  <si>
    <t>2.7.1.71</t>
  </si>
  <si>
    <t>4.2.1.51</t>
  </si>
  <si>
    <t>1.3.99.3</t>
  </si>
  <si>
    <t>1.1.1.-</t>
  </si>
  <si>
    <t>2.3.1.12</t>
  </si>
  <si>
    <t>2.7.4.-</t>
  </si>
  <si>
    <t>2.4.99.-</t>
  </si>
  <si>
    <t>3.4.-.-</t>
  </si>
  <si>
    <t>2.8.1.6</t>
  </si>
  <si>
    <t>6.1.1.6</t>
  </si>
  <si>
    <t>3.1.21.3</t>
  </si>
  <si>
    <t>2.1.1.72</t>
  </si>
  <si>
    <t>4.1.1.31</t>
  </si>
  <si>
    <t>1.15.1.1</t>
  </si>
  <si>
    <t>1.16.-.-</t>
  </si>
  <si>
    <t>2.7.1.2</t>
  </si>
  <si>
    <t>6.3.2.9</t>
  </si>
  <si>
    <t>2.4.1.227</t>
  </si>
  <si>
    <t>6.1.1.5</t>
  </si>
  <si>
    <t>1.17.4.1</t>
  </si>
  <si>
    <t>4.2.1.3</t>
  </si>
  <si>
    <t>2.3.3.1</t>
  </si>
  <si>
    <t>1.1.1.42</t>
  </si>
  <si>
    <t>2.7.11.-</t>
  </si>
  <si>
    <t>2.7.3.9</t>
  </si>
  <si>
    <t>1.2.1.9</t>
  </si>
  <si>
    <t>2.7.1.48</t>
  </si>
  <si>
    <t>6.3.5.-</t>
  </si>
  <si>
    <t>6.3.2.13</t>
  </si>
  <si>
    <t>5.4.2.10</t>
  </si>
  <si>
    <t>2.7.7.24</t>
  </si>
  <si>
    <t>5.1.3.13</t>
  </si>
  <si>
    <t>4.2.1.46</t>
  </si>
  <si>
    <t>3.1.2.14</t>
  </si>
  <si>
    <t>3.1.3.41</t>
  </si>
  <si>
    <t>3.1.3.15</t>
  </si>
  <si>
    <t>2.6.1.9</t>
  </si>
  <si>
    <t>2.4.2.17</t>
  </si>
  <si>
    <t>1.1.1.23</t>
  </si>
  <si>
    <t>4.2.1.19</t>
  </si>
  <si>
    <t>2.4.2.-</t>
  </si>
  <si>
    <t>5.3.1.16</t>
  </si>
  <si>
    <t>4.1.3.-</t>
  </si>
  <si>
    <t>3.5.4.19</t>
  </si>
  <si>
    <t>3.6.1.31</t>
  </si>
  <si>
    <t>2.4.1.5</t>
  </si>
  <si>
    <t>2.5.1.75</t>
  </si>
  <si>
    <t>3.1.26.11</t>
  </si>
  <si>
    <t>2.3.1.128</t>
  </si>
  <si>
    <t>2.4.2.7</t>
  </si>
  <si>
    <t>2.3.1.31</t>
  </si>
  <si>
    <t>3.1.11.6</t>
  </si>
  <si>
    <t>2.5.1.10</t>
  </si>
  <si>
    <t>1.3.98.1</t>
  </si>
  <si>
    <t>2.3.3.13</t>
  </si>
  <si>
    <t>1.1.1.85</t>
  </si>
  <si>
    <t>4.2.1.33</t>
  </si>
  <si>
    <t>2.7.1.11</t>
  </si>
  <si>
    <t>2.7.1.40</t>
  </si>
  <si>
    <t>3.1.26.4</t>
  </si>
  <si>
    <t>5.4.99.5</t>
  </si>
  <si>
    <t>6.3.4.15</t>
  </si>
  <si>
    <t>2.5.1.6</t>
  </si>
  <si>
    <t>5.1.3.2</t>
  </si>
  <si>
    <t>3.1.3.-</t>
  </si>
  <si>
    <t>1.6.-.-</t>
  </si>
  <si>
    <t>3.4.11.4</t>
  </si>
  <si>
    <t>2.7.4.14</t>
  </si>
  <si>
    <t>5.3.2.-</t>
  </si>
  <si>
    <t>3.4.13.-</t>
  </si>
  <si>
    <t>5.3.1.6</t>
  </si>
  <si>
    <t>5.4.2.7</t>
  </si>
  <si>
    <t>2.4.2.1</t>
  </si>
  <si>
    <t>6.3.5.2</t>
  </si>
  <si>
    <t>3.1.3.48</t>
  </si>
  <si>
    <t>2.7.10.2</t>
  </si>
  <si>
    <t>2.7.8.-</t>
  </si>
  <si>
    <t>2.4.-.-</t>
  </si>
  <si>
    <t>5.4.99.9</t>
  </si>
  <si>
    <t>2.7.-.-</t>
  </si>
  <si>
    <t>3.2.1.86</t>
  </si>
  <si>
    <t>1.14.13.-</t>
  </si>
  <si>
    <t>3.4.21.-</t>
  </si>
  <si>
    <t>3.2.2.-</t>
  </si>
  <si>
    <t>3.5.2.3</t>
  </si>
  <si>
    <t>1.2.4.1</t>
  </si>
  <si>
    <t>3.2.1.1</t>
  </si>
  <si>
    <t>2.4.1.25</t>
  </si>
  <si>
    <t>2.4.1.1</t>
  </si>
  <si>
    <t>2.7.7.63</t>
  </si>
  <si>
    <t>3.4.11.2</t>
  </si>
  <si>
    <t>3.6.3.27</t>
  </si>
  <si>
    <t>3.1.3.25</t>
  </si>
  <si>
    <t>2.7.7.2</t>
  </si>
  <si>
    <t>1.11.1.-</t>
  </si>
  <si>
    <t>2.5.1.49</t>
  </si>
  <si>
    <t>3.5.2.12</t>
  </si>
  <si>
    <t>2.4.2.10</t>
  </si>
  <si>
    <t>4.1.1.23</t>
  </si>
  <si>
    <t>3.2.-.-</t>
  </si>
  <si>
    <t>1.1.1.1</t>
  </si>
  <si>
    <t>4.99.1.1</t>
  </si>
  <si>
    <t>5.1.-.-</t>
  </si>
  <si>
    <t>3.6.3.32</t>
  </si>
  <si>
    <t>4.1.1.5</t>
  </si>
  <si>
    <t>2.2.1.6</t>
  </si>
  <si>
    <t>1.1.1.304</t>
  </si>
  <si>
    <t>2.7.4.6</t>
  </si>
  <si>
    <t>5.99.1.2</t>
  </si>
  <si>
    <t>2.3.1.-</t>
  </si>
  <si>
    <t>1.7.1.13</t>
  </si>
  <si>
    <t>4.2.3.12</t>
  </si>
  <si>
    <t>6.1.1.22</t>
  </si>
  <si>
    <t>2.6.1.1</t>
  </si>
  <si>
    <t>3.5.4.5</t>
  </si>
  <si>
    <t>4.1.2.4</t>
  </si>
  <si>
    <t>2.4.2.2</t>
  </si>
  <si>
    <t>2.1.1.171</t>
  </si>
  <si>
    <t>2.7.1.33</t>
  </si>
  <si>
    <t>6.3.4.3</t>
  </si>
  <si>
    <t>6.3.2.5</t>
  </si>
  <si>
    <t>4.1.1.36</t>
  </si>
  <si>
    <t>5.4.2.2</t>
  </si>
  <si>
    <t>1.5.1.20</t>
  </si>
  <si>
    <t>2.1.1.14</t>
  </si>
  <si>
    <t>3.6.3.8</t>
  </si>
  <si>
    <t>6.1.1.13</t>
  </si>
  <si>
    <t>2.1.2.1</t>
  </si>
  <si>
    <t>2.7.1.21</t>
  </si>
  <si>
    <t>3.5.4.4</t>
  </si>
  <si>
    <t>5.99.1.3</t>
  </si>
  <si>
    <t>2.7.1.35</t>
  </si>
  <si>
    <t>1.17.4.2</t>
  </si>
  <si>
    <t>6.1.1.20</t>
  </si>
  <si>
    <t>3.1.26.3</t>
  </si>
  <si>
    <t>4.3.3.7</t>
  </si>
  <si>
    <t>1.2.1.11</t>
  </si>
  <si>
    <t>2.3.1.183</t>
  </si>
  <si>
    <t>4.3.1.17</t>
  </si>
  <si>
    <t>3.2.1.80</t>
  </si>
  <si>
    <t>2.3.1.180</t>
  </si>
  <si>
    <t>1.1.1.170</t>
  </si>
  <si>
    <t>1.3.1.-</t>
  </si>
  <si>
    <t>2.4.1.80</t>
  </si>
  <si>
    <t>2.4.2.22</t>
  </si>
  <si>
    <t>1.8.4.12</t>
  </si>
  <si>
    <t>5.3.1.8</t>
  </si>
  <si>
    <t>1.11.1.9</t>
  </si>
  <si>
    <t>3.2.1.23</t>
  </si>
  <si>
    <t>5.1.3.3</t>
  </si>
  <si>
    <t>2.7.7.12</t>
  </si>
  <si>
    <t>2.7.1.6</t>
  </si>
  <si>
    <t>3.2.1.70</t>
  </si>
  <si>
    <t>1.1.1.6</t>
  </si>
  <si>
    <t>3.1.3.16</t>
  </si>
  <si>
    <t>2.6.-.-</t>
  </si>
  <si>
    <t>4.-.-.-</t>
  </si>
  <si>
    <t>2.3.1.79</t>
  </si>
  <si>
    <t>3.1.11.-</t>
  </si>
  <si>
    <t>6.3.2.3</t>
  </si>
  <si>
    <t>2.7.7.27</t>
  </si>
  <si>
    <t>2.4.1.18</t>
  </si>
  <si>
    <t>3.2.1.41</t>
  </si>
  <si>
    <t>1.8.1.9</t>
  </si>
  <si>
    <t>2.1.1.31</t>
  </si>
  <si>
    <t>2.7.11.1</t>
  </si>
  <si>
    <t>2.1.2.9</t>
  </si>
  <si>
    <t>2.7.4.8</t>
  </si>
  <si>
    <t>2.3.1.8</t>
  </si>
  <si>
    <t>2.7.1.23</t>
  </si>
  <si>
    <t>3.6.3.25</t>
  </si>
  <si>
    <t>1.1.1.133</t>
  </si>
  <si>
    <t>2.7.7.-</t>
  </si>
  <si>
    <t>3.1.3.3</t>
  </si>
  <si>
    <t>2.1.1.63</t>
  </si>
  <si>
    <t>1.1.1.95</t>
  </si>
  <si>
    <t>2.6.1.52</t>
  </si>
  <si>
    <t>4.4.1.5</t>
  </si>
  <si>
    <t>3.6.3.31</t>
  </si>
  <si>
    <t>1.3.1.98</t>
  </si>
  <si>
    <t>2.7.6.3</t>
  </si>
  <si>
    <t>4.1.2.25</t>
  </si>
  <si>
    <t>2.5.1.15</t>
  </si>
  <si>
    <t>3.5.4.16</t>
  </si>
  <si>
    <t>3.1.11.2</t>
  </si>
  <si>
    <t>3.4.11.18</t>
  </si>
  <si>
    <t>2.5.1.7</t>
  </si>
  <si>
    <t>2.3.1.51</t>
  </si>
  <si>
    <t>6.3.2.10</t>
  </si>
  <si>
    <t>6.3.2.4</t>
  </si>
  <si>
    <t>4.2.1.20</t>
  </si>
  <si>
    <t>5.3.1.24</t>
  </si>
  <si>
    <t>4.1.1.48</t>
  </si>
  <si>
    <t>2.4.2.18</t>
  </si>
  <si>
    <t>4.1.3.27</t>
  </si>
  <si>
    <t>4.2.1.9</t>
  </si>
  <si>
    <t>2.1.1.33</t>
  </si>
  <si>
    <t>3.6.1.17</t>
  </si>
  <si>
    <t>2.7.7.18</t>
  </si>
  <si>
    <t>1.1.1.14</t>
  </si>
  <si>
    <t>3.5.1.19</t>
  </si>
  <si>
    <t>1.97.1.4</t>
  </si>
  <si>
    <t>1.8.-.-</t>
  </si>
  <si>
    <t>3.4.21.53</t>
  </si>
  <si>
    <t>2.7.7.3</t>
  </si>
  <si>
    <t>2.3.1.54</t>
  </si>
  <si>
    <t>4.2.1.1</t>
  </si>
  <si>
    <t>3.4.14.11</t>
  </si>
  <si>
    <t>3.6.3.44</t>
  </si>
  <si>
    <t>3.1.3.5</t>
  </si>
  <si>
    <t>2.7.8.13</t>
  </si>
  <si>
    <t>1.2.1.41</t>
  </si>
  <si>
    <t>2.7.2.11</t>
  </si>
  <si>
    <t>3.5.1.1</t>
  </si>
  <si>
    <t>5.1.1.1</t>
  </si>
  <si>
    <t>2.7.8.7</t>
  </si>
  <si>
    <t>2.5.1.54</t>
  </si>
  <si>
    <t>2.7.1.4</t>
  </si>
  <si>
    <t>3.2.1.26</t>
  </si>
  <si>
    <t>3.4.21.89</t>
  </si>
  <si>
    <t>3.1.11.5</t>
  </si>
  <si>
    <t>3.4.24.57</t>
  </si>
  <si>
    <t>6.3.1.2</t>
  </si>
  <si>
    <t>1.2.1.12</t>
  </si>
  <si>
    <t>2.7.6.2</t>
  </si>
  <si>
    <t>5.1.3.1</t>
  </si>
  <si>
    <t>2.4.2.29</t>
  </si>
  <si>
    <t>3.1.26.5</t>
  </si>
  <si>
    <t>4.3.2.1</t>
  </si>
  <si>
    <t>6.3.4.5</t>
  </si>
  <si>
    <t>6.1.1.17</t>
  </si>
  <si>
    <t>3.6.1.23</t>
  </si>
  <si>
    <t>1.1.1.94</t>
  </si>
  <si>
    <t>2.7.7.9</t>
  </si>
  <si>
    <t>6.3.3.2</t>
  </si>
  <si>
    <t>2.3.1.117</t>
  </si>
  <si>
    <t>3.4.11.7</t>
  </si>
  <si>
    <t>1.5.1.2</t>
  </si>
  <si>
    <t>2.7.2.1</t>
  </si>
  <si>
    <t>6.1.1.1</t>
  </si>
  <si>
    <t>1.1.1.86</t>
  </si>
  <si>
    <t>4.2.3.1</t>
  </si>
  <si>
    <t>1.2.1.10</t>
  </si>
  <si>
    <t>3.2.1.93</t>
  </si>
  <si>
    <t>4.1.2.13</t>
  </si>
  <si>
    <t>2.7.4.3</t>
  </si>
  <si>
    <t>6.3.4.4</t>
  </si>
  <si>
    <t>6.1.1.12</t>
  </si>
  <si>
    <t>6.1.1.21</t>
  </si>
  <si>
    <t>2.4.1.83</t>
  </si>
  <si>
    <t>2.4.1.12</t>
  </si>
  <si>
    <t>2.1.1.61</t>
  </si>
  <si>
    <t>2.7.8.5</t>
  </si>
  <si>
    <t>3.4.99.-</t>
  </si>
  <si>
    <t>1.1.1.205</t>
  </si>
  <si>
    <t>6.1.1.2</t>
  </si>
  <si>
    <t>2.6.1.16</t>
  </si>
  <si>
    <t>Protein assession</t>
  </si>
  <si>
    <t>EC number</t>
  </si>
  <si>
    <t>KEGG Enzyme URL</t>
  </si>
  <si>
    <t>KEGG Reaction URL</t>
  </si>
  <si>
    <t>Reactants</t>
  </si>
  <si>
    <t>Products</t>
  </si>
  <si>
    <t xml:space="preserve">https://www.genome.jp/entry/ec:1.1.1.1 </t>
  </si>
  <si>
    <t xml:space="preserve">https://www.genome.jp/entry/R00623 </t>
  </si>
  <si>
    <t>https://www.genome.jp/entry/R00754</t>
  </si>
  <si>
    <t>C00226|C00003</t>
  </si>
  <si>
    <t>C00071|C00004|C00080</t>
  </si>
  <si>
    <t>C00469|C00003</t>
  </si>
  <si>
    <t>C00084|C00004|C00080</t>
  </si>
  <si>
    <t>https://www.genome.jp/entry/R02124</t>
  </si>
  <si>
    <t>https://www.genome.jp/entry/R04805</t>
  </si>
  <si>
    <t>https://www.genome.jp/entry/R02878</t>
  </si>
  <si>
    <t>https://www.genome.jp/entry/R04880</t>
  </si>
  <si>
    <t>https://www.genome.jp/entry/R05233</t>
  </si>
  <si>
    <t xml:space="preserve">https://www.genome.jp/entry/R05234 </t>
  </si>
  <si>
    <t>https://www.genome.jp/entry/R06917</t>
  </si>
  <si>
    <t>https://www.genome.jp/entry/ R06927</t>
  </si>
  <si>
    <t>https://www.genome.jp/entry/ R08306</t>
  </si>
  <si>
    <t>https://www.genome.jp/entry/R08557</t>
  </si>
  <si>
    <t>https://www.genome.jp/entry/R08558</t>
  </si>
  <si>
    <t>https://www.genome.jp/entry/R10783</t>
  </si>
  <si>
    <t>https://www.genome.jp/entry/R08310</t>
  </si>
  <si>
    <t>https://www.genome.jp/entry/R02246</t>
  </si>
  <si>
    <t>https://www.genome.jp/entry/ R07105</t>
  </si>
  <si>
    <t>https://www.genome.jp/entry/ec:1.1.1.1</t>
  </si>
  <si>
    <t>C00473|C00003</t>
  </si>
  <si>
    <t xml:space="preserve">https://www.genome.jp/entry/R00624  </t>
  </si>
  <si>
    <t>C00376|C00004|C00080</t>
  </si>
  <si>
    <t>C00756|C00003</t>
  </si>
  <si>
    <t>C01545|C00004|C00080</t>
  </si>
  <si>
    <t>C05444|C00003</t>
  </si>
  <si>
    <t>C05445|C00004|C00080</t>
  </si>
  <si>
    <t>C05577|C00004|C00080</t>
  </si>
  <si>
    <t>C05576|C00003</t>
  </si>
  <si>
    <t>C06611|C00003</t>
  </si>
  <si>
    <t xml:space="preserve">C06612|C00003 </t>
  </si>
  <si>
    <t>C14089|C00003</t>
  </si>
  <si>
    <t>C02909|C00003</t>
  </si>
  <si>
    <t>C16586|C00003</t>
  </si>
  <si>
    <t xml:space="preserve">C00114|C00003 </t>
  </si>
  <si>
    <t>C00114|C00006</t>
  </si>
  <si>
    <t>C16310|C00004|C00080</t>
  </si>
  <si>
    <t xml:space="preserve">C01612|C00003 </t>
  </si>
  <si>
    <t>C16595|C00003</t>
  </si>
  <si>
    <t>C00418|C00003</t>
  </si>
  <si>
    <t>C06899|C00004|C00080</t>
  </si>
  <si>
    <t>C06613|C00004|C00080</t>
  </si>
  <si>
    <t>C14090|C00004|C00080</t>
  </si>
  <si>
    <t>C14099|C00004|C00080</t>
  </si>
  <si>
    <t>C16587|C00004|C00080</t>
  </si>
  <si>
    <t>C16348|C00004|C00080</t>
  </si>
  <si>
    <t>C00576|C00004|C00080</t>
  </si>
  <si>
    <t>C00576|C00005|C00080</t>
  </si>
  <si>
    <t>C08492|C00003</t>
  </si>
  <si>
    <t>C01450|C00004|C00080</t>
  </si>
  <si>
    <t>C00772|C00004|C00080</t>
  </si>
  <si>
    <t>C07490|C00003|C00001</t>
  </si>
  <si>
    <t>C16596|C00004|C00080</t>
  </si>
  <si>
    <t xml:space="preserve">https://www.genome.jp/entry/ec:1.1.1.100 </t>
  </si>
  <si>
    <t xml:space="preserve">https://www.genome.jp/entry/R02767 </t>
  </si>
  <si>
    <t>https://www.genome.jp/entry/R04533</t>
  </si>
  <si>
    <t>https://www.genome.jp/entry/R04534</t>
  </si>
  <si>
    <t>https://www.genome.jp/entry/R04536</t>
  </si>
  <si>
    <t>https://www.genome.jp/entry/R04543</t>
  </si>
  <si>
    <t>https://www.genome.jp/entry/R04566</t>
  </si>
  <si>
    <t>https://www.genome.jp/entry/R04953</t>
  </si>
  <si>
    <t>https://www.genome.jp/entry/R04964</t>
  </si>
  <si>
    <t>https://www.genome.jp/entry/R07763</t>
  </si>
  <si>
    <t xml:space="preserve">https://www.genome.jp/entry/R10116 </t>
  </si>
  <si>
    <t>https://www.genome.jp/entry/R10120</t>
  </si>
  <si>
    <t>C01271|C00006 </t>
  </si>
  <si>
    <t xml:space="preserve">C04618|C00006 </t>
  </si>
  <si>
    <t>C04619|C00006</t>
  </si>
  <si>
    <t>C04620|C00006</t>
  </si>
  <si>
    <t>C04633|C00006</t>
  </si>
  <si>
    <t>C04688|C00006</t>
  </si>
  <si>
    <t>C05747|C00006</t>
  </si>
  <si>
    <t>C05757|C00006</t>
  </si>
  <si>
    <t>C16219|C00005|C00080</t>
  </si>
  <si>
    <t>C20372|C00005|C00080</t>
  </si>
  <si>
    <t>C20376|C00005|C00080</t>
  </si>
  <si>
    <t>C00685|C00005|C00080</t>
  </si>
  <si>
    <t>C05744|C00005|C00080</t>
  </si>
  <si>
    <t>C05753|C00005</t>
  </si>
  <si>
    <t>C05750|C00005|C00080</t>
  </si>
  <si>
    <t>C05762|C00005|C00080</t>
  </si>
  <si>
    <t>C05759|C00005|C00080</t>
  </si>
  <si>
    <t>C05746|C00005|C00080</t>
  </si>
  <si>
    <t>C05756|C00005|C00080</t>
  </si>
  <si>
    <t>C16220|C00006</t>
  </si>
  <si>
    <t>C20373|C00006</t>
  </si>
  <si>
    <t>https://www.genome.jp/entry/R02777</t>
  </si>
  <si>
    <t>https://www.genome.jp/entry/ec:1.1.1.133</t>
  </si>
  <si>
    <t>https://www.genome.jp/entry/ec:1.1.1.14</t>
  </si>
  <si>
    <t>https://www.genome.jp/entry/ec:1.1.1.170</t>
  </si>
  <si>
    <t>https://www.genome.jp/entry/ec:1.1.1.205</t>
  </si>
  <si>
    <t>https://www.genome.jp/entry/ec:1.1.1.23</t>
  </si>
  <si>
    <t>https://www.genome.jp/entry/ec:1.1.1.25</t>
  </si>
  <si>
    <t>https://www.genome.jp/entry/ec:1.1.1.27</t>
  </si>
  <si>
    <t>https://www.genome.jp/entry/ec:1.1.1.3</t>
  </si>
  <si>
    <t>https://www.genome.jp/entry/R07145</t>
  </si>
  <si>
    <t>C03319|C00006</t>
  </si>
  <si>
    <t>C01507|C00003</t>
  </si>
  <si>
    <t>C00688|C00005|C00080</t>
  </si>
  <si>
    <t>C00247|C00004|C00080</t>
  </si>
  <si>
    <t xml:space="preserve">https://www.genome.jp/entry/R12366 </t>
  </si>
  <si>
    <t>https://www.genome.jp/entry/R04483</t>
  </si>
  <si>
    <t>https://www.genome.jp/entry/R12406</t>
  </si>
  <si>
    <t>https://www.genome.jp/entry/R07149</t>
  </si>
  <si>
    <t>https://www.genome.jp/entry/R07494</t>
  </si>
  <si>
    <t>https://www.genome.jp/entry/R12404</t>
  </si>
  <si>
    <t>https://www.genome.jp/entry/R04328</t>
  </si>
  <si>
    <t xml:space="preserve">C22111|C00003 </t>
  </si>
  <si>
    <t>C04840|C00003</t>
  </si>
  <si>
    <t>C22111|C00006</t>
  </si>
  <si>
    <t>C04840|C00006</t>
  </si>
  <si>
    <t>C15808|C00006</t>
  </si>
  <si>
    <t>C22112|C00006</t>
  </si>
  <si>
    <t>C01876|C00004|C00011|C00080</t>
  </si>
  <si>
    <t>C04453|C00011|C00004|C00080</t>
  </si>
  <si>
    <t>C01876|C00011|C00005|C00080</t>
  </si>
  <si>
    <t>C04453|C00011|C00005|C00080</t>
  </si>
  <si>
    <t>C15816|C00005|C00080|C00011</t>
  </si>
  <si>
    <t>C22136|C00005|C00080|C00011</t>
  </si>
  <si>
    <t>https://www.genome.jp/entry/R01130</t>
  </si>
  <si>
    <t>C00130|C00003|C00001</t>
  </si>
  <si>
    <t>C00655|C00004|C00080</t>
  </si>
  <si>
    <t>https://www.genome.jp/entry/R01158</t>
  </si>
  <si>
    <t>https://www.genome.jp/entry/R02413</t>
  </si>
  <si>
    <t>https://www.genome.jp/entry/R12885</t>
  </si>
  <si>
    <t>C00493|C00006</t>
  </si>
  <si>
    <t xml:space="preserve">C02637|C00006 </t>
  </si>
  <si>
    <t>C02637|C00005|C00080</t>
  </si>
  <si>
    <t>C22438|C00005|C00080</t>
  </si>
  <si>
    <t>https://www.genome.jp/entry/R00703</t>
  </si>
  <si>
    <t>C00186|C00003</t>
  </si>
  <si>
    <t>C00022|C00004|C00080</t>
  </si>
  <si>
    <t xml:space="preserve">https://www.genome.jp/entry/R01773 </t>
  </si>
  <si>
    <t>https://www.genome.jp/entry/R01775</t>
  </si>
  <si>
    <t>C00263|C00003</t>
  </si>
  <si>
    <t>C00263|C00006</t>
  </si>
  <si>
    <t>C00441|C00004|C00080</t>
  </si>
  <si>
    <t>C00441|C00005|C00080</t>
  </si>
  <si>
    <t>https://www.genome.jp/entry/ec:1.1.1.304</t>
  </si>
  <si>
    <t>https://www.genome.jp/entry/R09078</t>
  </si>
  <si>
    <t>C00741|C00004|C00080</t>
  </si>
  <si>
    <t>C01769|C00003</t>
  </si>
  <si>
    <t>https://www.genome.jp/entry/ec:1.1.1.42</t>
  </si>
  <si>
    <t>https://www.genome.jp/entry/R00267</t>
  </si>
  <si>
    <t>https://www.genome.jp/entry/R00268</t>
  </si>
  <si>
    <t>C05379</t>
  </si>
  <si>
    <t>https://www.genome.jp/entry/R01899</t>
  </si>
  <si>
    <t>C00311|C00006</t>
  </si>
  <si>
    <t>C00026|C00011|C00005|C00080</t>
  </si>
  <si>
    <t>C00026|C00011</t>
  </si>
  <si>
    <t>C05379|C00005|C00080</t>
  </si>
  <si>
    <t>https://www.genome.jp/entry/ec:1.1.1.6</t>
  </si>
  <si>
    <t>https://www.genome.jp/entry/R01034</t>
  </si>
  <si>
    <t>C00116|C00003</t>
  </si>
  <si>
    <t>C00184|C00004|C00080</t>
  </si>
  <si>
    <t>https://www.genome.jp/entry/ec:1.1.1.85</t>
  </si>
  <si>
    <t>https://www.genome.jp/entry/R01652</t>
  </si>
  <si>
    <t>C04236</t>
  </si>
  <si>
    <t>https://www.genome.jp/entry/R04426</t>
  </si>
  <si>
    <t>https://www.genome.jp/entry/R10052</t>
  </si>
  <si>
    <t>https://www.genome.jp/entry/R00994</t>
  </si>
  <si>
    <t>C04236|C00004|C00080</t>
  </si>
  <si>
    <t>C00233|C00011|C00004|C00080</t>
  </si>
  <si>
    <t>C06032|C00003</t>
  </si>
  <si>
    <t>C00233|C00011</t>
  </si>
  <si>
    <t>C04411|C00003</t>
  </si>
  <si>
    <t>C00109|C00011|C00004|C00080</t>
  </si>
  <si>
    <t>https://www.genome.jp/entry/ec:1.1.1.86</t>
  </si>
  <si>
    <t>https://www.genome.jp/entry/ec:1.1.1.88</t>
  </si>
  <si>
    <t>https://www.genome.jp/entry/ec:1.1.1.94</t>
  </si>
  <si>
    <t>https://www.genome.jp/entry/ec:1.1.1.95</t>
  </si>
  <si>
    <t>https://www.genome.jp/entry/ec:1.11.1.9</t>
  </si>
  <si>
    <t>https://www.genome.jp/entry/R04439</t>
  </si>
  <si>
    <t>https://www.genome.jp/entry/R03051</t>
  </si>
  <si>
    <t>https://www.genome.jp/entry/R04440</t>
  </si>
  <si>
    <t>https://www.genome.jp/entry/R05068</t>
  </si>
  <si>
    <t>https://www.genome.jp/entry/R05069</t>
  </si>
  <si>
    <t>C06006</t>
  </si>
  <si>
    <t>C14463</t>
  </si>
  <si>
    <t>https://www.genome.jp/entry/R05071</t>
  </si>
  <si>
    <t>C06010</t>
  </si>
  <si>
    <t>C04181</t>
  </si>
  <si>
    <t>C04272|C00006</t>
  </si>
  <si>
    <t>C00900|C00005|C00080</t>
  </si>
  <si>
    <t>C06007|C00006</t>
  </si>
  <si>
    <t>C06010|C00005|C00080</t>
  </si>
  <si>
    <t>C04039|C00006</t>
  </si>
  <si>
    <t>C04181|C00005|C00080</t>
  </si>
  <si>
    <t>C14463|C00005|C00080</t>
  </si>
  <si>
    <t>https://www.genome.jp/entry/R02081</t>
  </si>
  <si>
    <t>https://www.genome.jp/entry/R00842</t>
  </si>
  <si>
    <t>https://www.genome.jp/entry/R00844</t>
  </si>
  <si>
    <t>C00111|C00005|C00080</t>
  </si>
  <si>
    <t>C00111|C00004|C00080</t>
  </si>
  <si>
    <t>C00093|C00006</t>
  </si>
  <si>
    <t>C00093|C00003</t>
  </si>
  <si>
    <t>https://www.genome.jp/entry/R01513</t>
  </si>
  <si>
    <t>https://www.genome.jp/entry/R08198</t>
  </si>
  <si>
    <t>C00026|C00004|C00080</t>
  </si>
  <si>
    <t>C03232|C00004|C00080</t>
  </si>
  <si>
    <t>C02630|C00003</t>
  </si>
  <si>
    <t>C00197|C00003</t>
  </si>
  <si>
    <t>https://www.genome.jp/entry/R00274</t>
  </si>
  <si>
    <t>https://www.genome.jp/entry/ec:1.15.1.1</t>
  </si>
  <si>
    <t>https://www.genome.jp/entry/R00275</t>
  </si>
  <si>
    <t>C00027|C00007</t>
  </si>
  <si>
    <t>https://www.genome.jp/entry/ec:1.17.1.8</t>
  </si>
  <si>
    <t>https://www.genome.jp/entry/R04198</t>
  </si>
  <si>
    <t>https://www.genome.jp/entry/R04199</t>
  </si>
  <si>
    <t>C20258|C00005|C00080</t>
  </si>
  <si>
    <t>C20258|C00004|C00080</t>
  </si>
  <si>
    <t>C03972|C00006|C00001</t>
  </si>
  <si>
    <t>C03972|C00003|C00001</t>
  </si>
  <si>
    <t>https://www.genome.jp/entry/ec:1.17.4.1</t>
  </si>
  <si>
    <t>https://www.genome.jp/entry/R04294</t>
  </si>
  <si>
    <t>https://www.genome.jp/entry/R02017</t>
  </si>
  <si>
    <t>https://www.genome.jp/entry/R02018</t>
  </si>
  <si>
    <t>https://www.genome.jp/entry/R02019</t>
  </si>
  <si>
    <t>https://www.genome.jp/entry/R02024</t>
  </si>
  <si>
    <t>https://www.genome.jp/entry/R08363</t>
  </si>
  <si>
    <t>https://www.genome.jp/entry/R08364</t>
  </si>
  <si>
    <t>https://www.genome.jp/entry/R11893</t>
  </si>
  <si>
    <t>C21748|C00342</t>
  </si>
  <si>
    <t>C03723|C02090</t>
  </si>
  <si>
    <t>C03723|C16663</t>
  </si>
  <si>
    <t>C00342|C00112</t>
  </si>
  <si>
    <t>C00342|C00015</t>
  </si>
  <si>
    <t>C00342|C00008</t>
  </si>
  <si>
    <t>C03723|C00342</t>
  </si>
  <si>
    <t>C00035|C00342</t>
  </si>
  <si>
    <t>C21750|C00343|C00001</t>
  </si>
  <si>
    <t>C04232|C03170|C00001</t>
  </si>
  <si>
    <t>C04232|C16664|C00001</t>
  </si>
  <si>
    <t>C00705|C00343|C00001</t>
  </si>
  <si>
    <t>C00361|C00343|C00001</t>
  </si>
  <si>
    <t>C01346|C00343|C00001</t>
  </si>
  <si>
    <t>C00206|C00343|C00001</t>
  </si>
  <si>
    <t>C04232|C00343|C00001</t>
  </si>
  <si>
    <t>https://www.genome.jp/entry/ec:1.17.4.2</t>
  </si>
  <si>
    <t>https://www.genome.jp/entry/R04315</t>
  </si>
  <si>
    <t>https://www.genome.jp/entry/R02014</t>
  </si>
  <si>
    <t>https://www.genome.jp/entry/R02020</t>
  </si>
  <si>
    <t>https://www.genome.jp/entry/R02022</t>
  </si>
  <si>
    <t>https://www.genome.jp/entry/R02023</t>
  </si>
  <si>
    <t>C03802|C00342</t>
  </si>
  <si>
    <t>C00002|C00342</t>
  </si>
  <si>
    <t>C00044|C00342</t>
  </si>
  <si>
    <t>C00063|C00342</t>
  </si>
  <si>
    <t>C00075|C00342</t>
  </si>
  <si>
    <t>https://www.genome.jp/entry/ec:1.2.1.10</t>
  </si>
  <si>
    <t>https://www.genome.jp/entry/R00228</t>
  </si>
  <si>
    <t>C00024|C00004|C00080</t>
  </si>
  <si>
    <t>https://www.genome.jp/entry/R01172</t>
  </si>
  <si>
    <t>C00136|C00004|C00080</t>
  </si>
  <si>
    <t>https://www.genome.jp/entry/ec:1.2.1.11</t>
  </si>
  <si>
    <t>https://www.genome.jp/entry/R02291</t>
  </si>
  <si>
    <t>C03082|C00005|C00080</t>
  </si>
  <si>
    <t>https://www.genome.jp/entry/ec:1.2.1.12</t>
  </si>
  <si>
    <t>https://www.genome.jp/entry/R01061</t>
  </si>
  <si>
    <t>C00236|C00004|C00080</t>
  </si>
  <si>
    <t>https://www.genome.jp/entry/ec:1.2.1.38</t>
  </si>
  <si>
    <t>https://www.genome.jp/entry/R03443</t>
  </si>
  <si>
    <t>C04133|C00005|C00080</t>
  </si>
  <si>
    <t>https://www.genome.jp/entry/ec:1.2.1.41</t>
  </si>
  <si>
    <t>https://www.genome.jp/entry/R03313</t>
  </si>
  <si>
    <t>C03287|C00005|C00080</t>
  </si>
  <si>
    <t>https://www.genome.jp/entry/ec:1.2.1.9</t>
  </si>
  <si>
    <t>https://www.genome.jp/entry/R01058</t>
  </si>
  <si>
    <t>https://www.genome.jp/entry/ec:1.2.4.1</t>
  </si>
  <si>
    <t>https://www.genome.jp/entry/R01699</t>
  </si>
  <si>
    <t>C00197|C00005|C00080</t>
  </si>
  <si>
    <t>C16255|C00011</t>
  </si>
  <si>
    <t>https://www.genome.jp/entry/R00014</t>
  </si>
  <si>
    <t>C05125|C00011</t>
  </si>
  <si>
    <t xml:space="preserve">C00022|C00068 </t>
  </si>
  <si>
    <t>https://www.genome.jp/entry/R03270</t>
  </si>
  <si>
    <t>C16255|C00068</t>
  </si>
  <si>
    <t>https://www.genome.jp/entry/ec:1.3.1.12</t>
  </si>
  <si>
    <t>https://www.genome.jp/entry/R01728</t>
  </si>
  <si>
    <t>C01179|C00011|C00004|C00080</t>
  </si>
  <si>
    <t>https://www.genome.jp/entry/ec:1.3.1.9</t>
  </si>
  <si>
    <t>https://www.genome.jp/entry/R01403</t>
  </si>
  <si>
    <t>C00173|C00003</t>
  </si>
  <si>
    <t>C00693|C00004|C00080</t>
  </si>
  <si>
    <t>https://www.genome.jp/entry/R04429</t>
  </si>
  <si>
    <t>C04246|C00004|C00080</t>
  </si>
  <si>
    <t>https://www.genome.jp/entry/R04724</t>
  </si>
  <si>
    <t>C05758|C00004|C00080</t>
  </si>
  <si>
    <t>https://www.genome.jp/entry/R04955</t>
  </si>
  <si>
    <t>C05748|C00004|C00080</t>
  </si>
  <si>
    <t>https://www.genome.jp/entry/R04958</t>
  </si>
  <si>
    <t>C05751|C00004|C00080</t>
  </si>
  <si>
    <t>https://www.genome.jp/entry/R04961</t>
  </si>
  <si>
    <t>C05754|C00004|C00080</t>
  </si>
  <si>
    <t>https://www.genome.jp/entry/R04966</t>
  </si>
  <si>
    <t>C05760|C00004|C00080</t>
  </si>
  <si>
    <t>https://www.genome.jp/entry/R04969</t>
  </si>
  <si>
    <t>C05763|C00004|C00080</t>
  </si>
  <si>
    <t>https://www.genome.jp/entry/R07765</t>
  </si>
  <si>
    <t>C04088|C00003</t>
  </si>
  <si>
    <t>https://www.genome.jp/entry/ec:1.3.1.98</t>
  </si>
  <si>
    <t>https://www.genome.jp/entry/R03192</t>
  </si>
  <si>
    <t>https://www.genome.jp/entry/R03191</t>
  </si>
  <si>
    <t>C04631|C00004|C00080</t>
  </si>
  <si>
    <t>C04631|C00005|C00080</t>
  </si>
  <si>
    <t>https://www.genome.jp/entry/ec:1.3.98.1</t>
  </si>
  <si>
    <t>https://www.genome.jp/entry/R01867</t>
  </si>
  <si>
    <t>C00295|C00042</t>
  </si>
  <si>
    <t>https://www.genome.jp/entry/ec:1.4.1.1</t>
  </si>
  <si>
    <t>https://www.genome.jp/entry/R00396</t>
  </si>
  <si>
    <t>https://www.genome.jp/entry/R00145</t>
  </si>
  <si>
    <t>C00041|C00003|C00001</t>
  </si>
  <si>
    <t>https://www.genome.jp/entry/R00146</t>
  </si>
  <si>
    <t>https://www.genome.jp/entry/R00365</t>
  </si>
  <si>
    <t>C00022|C00014|C00004|C00080</t>
  </si>
  <si>
    <t>C00161|C00014|C00004|C00080</t>
  </si>
  <si>
    <t>C00161|C00014|C00005|C00080</t>
  </si>
  <si>
    <t>C00048|C00014|C00004|C00080</t>
  </si>
  <si>
    <t>C05167|C00001|C00003</t>
  </si>
  <si>
    <t>C05167|C00001|C00006</t>
  </si>
  <si>
    <t>C00037|C00001|C00003</t>
  </si>
  <si>
    <t>https://www.genome.jp/entry/ec:1.4.1.4</t>
  </si>
  <si>
    <t>https://www.genome.jp/entry/R00248</t>
  </si>
  <si>
    <t>C00026|C00014|C00005|C00080</t>
  </si>
  <si>
    <t>https://www.genome.jp/entry/ec:1.5.1.2</t>
  </si>
  <si>
    <t>https://www.genome.jp/entry/R01248</t>
  </si>
  <si>
    <t>https://www.genome.jp/entry/R01251</t>
  </si>
  <si>
    <t>https://www.genome.jp/entry/R03291</t>
  </si>
  <si>
    <t>https://www.genome.jp/entry/R03293</t>
  </si>
  <si>
    <t>C04281|C00005|C00080</t>
  </si>
  <si>
    <t>C04281|C00004|C00080</t>
  </si>
  <si>
    <t>C03912|C00005|C00080</t>
  </si>
  <si>
    <t>C03912|C00004|C00080</t>
  </si>
  <si>
    <t>https://www.genome.jp/entry/ec:1.5.1.20</t>
  </si>
  <si>
    <t>https://www.genome.jp/entry/R01224</t>
  </si>
  <si>
    <t>https://www.genome.jp/entry/R07168</t>
  </si>
  <si>
    <t>C00143|C00004|C00080</t>
  </si>
  <si>
    <t>C00143|C00005|C00080</t>
  </si>
  <si>
    <t>https://www.genome.jp/entry/ec:1.5.1.3</t>
  </si>
  <si>
    <t>https://www.genome.jp/entry/R00939</t>
  </si>
  <si>
    <t>https://www.genome.jp/entry/R00936</t>
  </si>
  <si>
    <t>https://www.genome.jp/entry/R00937</t>
  </si>
  <si>
    <t>https://www.genome.jp/entry/R00940</t>
  </si>
  <si>
    <t>https://www.genome.jp/entry/R02235</t>
  </si>
  <si>
    <t>https://www.genome.jp/entry/R02236</t>
  </si>
  <si>
    <t>https://www.genome.jp/entry/R11765</t>
  </si>
  <si>
    <t>C02953|C00005|C00080</t>
  </si>
  <si>
    <t>C00504|C00005|C00080</t>
  </si>
  <si>
    <t>C00504|C00004|C00080</t>
  </si>
  <si>
    <t>C00415|C00004|C00080</t>
  </si>
  <si>
    <t>C00415|C00005|C00080</t>
  </si>
  <si>
    <t>C00272|C00006</t>
  </si>
  <si>
    <t>https://www.genome.jp/entry/ec:1.7.1.13</t>
  </si>
  <si>
    <t>https://www.genome.jp/entry/R07605</t>
  </si>
  <si>
    <t>https://www.genome.jp/entry/ec:1.8.1.4</t>
  </si>
  <si>
    <t>https://www.genome.jp/entry/R08550</t>
  </si>
  <si>
    <t>https://www.genome.jp/entry/R03815</t>
  </si>
  <si>
    <t>https://www.genome.jp/entry/R07618</t>
  </si>
  <si>
    <t>https://www.genome.jp/entry/R01698</t>
  </si>
  <si>
    <t>C00248|C00004|C00080</t>
  </si>
  <si>
    <t>C15972|C00004|C00080</t>
  </si>
  <si>
    <t>C02051|C00004|C00080</t>
  </si>
  <si>
    <t>C16237|C00004|C00080</t>
  </si>
  <si>
    <t>https://www.genome.jp/entry/ec:1.8.1.7</t>
  </si>
  <si>
    <t>https://www.genome.jp/entry/R00115</t>
  </si>
  <si>
    <t>https://www.genome.jp/entry/R00094</t>
  </si>
  <si>
    <t>C00127|C00005|C00080</t>
  </si>
  <si>
    <t>C00127|C00004|C00080</t>
  </si>
  <si>
    <t>https://www.genome.jp/entry/ec:1.8.1.9</t>
  </si>
  <si>
    <t>https://www.genome.jp/entry/R02016</t>
  </si>
  <si>
    <t>https://www.genome.jp/entry/R00900</t>
  </si>
  <si>
    <t>C05526|C00005</t>
  </si>
  <si>
    <t>C00343|C00005|C00080</t>
  </si>
  <si>
    <t>https://www.genome.jp/entry/R03596</t>
  </si>
  <si>
    <t>https://www.genome.jp/entry/R09372</t>
  </si>
  <si>
    <t>https://www.genome.jp/entry/ec:1.8.4.12</t>
  </si>
  <si>
    <t>https://www.genome.jp/entry/R07607</t>
  </si>
  <si>
    <t>C15653|C00342</t>
  </si>
  <si>
    <t>https://www.genome.jp/entry/ec:1.97.1.4</t>
  </si>
  <si>
    <t>https://www.genome.jp/entry/R04710</t>
  </si>
  <si>
    <t>C05198|C00073|C05199|C05312</t>
  </si>
  <si>
    <t>https://www.genome.jp/entry/ec:2.1.1.10</t>
  </si>
  <si>
    <t>https://www.genome.jp/entry/R11063</t>
  </si>
  <si>
    <t>https://www.genome.jp/entry/R00650</t>
  </si>
  <si>
    <t>C00021|C00073</t>
  </si>
  <si>
    <t>https://www.genome.jp/entry/ec:2.1.1.104</t>
  </si>
  <si>
    <t>https://www.genome.jp/entry/R01942</t>
  </si>
  <si>
    <t>https://www.genome.jp/entry/R06578</t>
  </si>
  <si>
    <t>C00411|C00021</t>
  </si>
  <si>
    <t>C00021|C00406</t>
  </si>
  <si>
    <t>C12203|C00019</t>
  </si>
  <si>
    <t>https://www.genome.jp/entry/ec:2.1.1.14</t>
  </si>
  <si>
    <t>C03172|C00155</t>
  </si>
  <si>
    <t>https://www.genome.jp/entry/R04405</t>
  </si>
  <si>
    <t>https://www.genome.jp/entry/R09365</t>
  </si>
  <si>
    <t>C05335|C04144</t>
  </si>
  <si>
    <t>C04144|C00073</t>
  </si>
  <si>
    <t>https://www.genome.jp/entry/ec:2.1.1.171</t>
  </si>
  <si>
    <t>https://www.genome.jp/entry/R07234</t>
  </si>
  <si>
    <t>C00021|C04153</t>
  </si>
  <si>
    <t>https://www.genome.jp/entry/ec:2.1.1.33</t>
  </si>
  <si>
    <t>https://www.genome.jp/entry/R00600</t>
  </si>
  <si>
    <t>C00021|C04160</t>
  </si>
  <si>
    <t>https://www.genome.jp/entry/ec:2.1.1.45</t>
  </si>
  <si>
    <t>https://www.genome.jp/entry/R02101</t>
  </si>
  <si>
    <t>C00415|C00364</t>
  </si>
  <si>
    <t>https://www.genome.jp/entry/ec:2.1.1.61</t>
  </si>
  <si>
    <t>https://www.genome.jp/entry/R00601</t>
  </si>
  <si>
    <t>C00021|C04728</t>
  </si>
  <si>
    <t>https://www.genome.jp/entry/ec:2.1.1.63</t>
  </si>
  <si>
    <t>https://www.genome.jp/entry/R04314</t>
  </si>
  <si>
    <t>C03800|C11475</t>
  </si>
  <si>
    <t>https://www.genome.jp/entry/ec:2.1.1.72</t>
  </si>
  <si>
    <t>https://www.genome.jp/entry/R02961</t>
  </si>
  <si>
    <t>C00021|C03391</t>
  </si>
  <si>
    <t>https://www.genome.jp/entry/ec:2.1.2.1</t>
  </si>
  <si>
    <t>https://www.genome.jp/entry/R00945</t>
  </si>
  <si>
    <t>https://www.genome.jp/entry/R09099</t>
  </si>
  <si>
    <t>C04377|C00037|C00001</t>
  </si>
  <si>
    <t>C00101|C00065</t>
  </si>
  <si>
    <t>https://www.genome.jp/entry/ec:2.1.2.2</t>
  </si>
  <si>
    <t>https://www.genome.jp/entry/R04325</t>
  </si>
  <si>
    <t>https://www.genome.jp/entry/R04326</t>
  </si>
  <si>
    <t>C04376|C00101</t>
  </si>
  <si>
    <t>C00101|C04376</t>
  </si>
  <si>
    <t>https://www.genome.jp/entry/ec:2.1.2.9</t>
  </si>
  <si>
    <t>https://www.genome.jp/entry/R03940</t>
  </si>
  <si>
    <t>C00101|C03294</t>
  </si>
  <si>
    <t>C02430|C00234</t>
  </si>
  <si>
    <t>https://www.genome.jp/entry/ec:2.1.3.2</t>
  </si>
  <si>
    <t>https://www.genome.jp/entry/R01397</t>
  </si>
  <si>
    <t>C00009|C00438</t>
  </si>
  <si>
    <t>https://www.genome.jp/entry/ec:2.1.3.3</t>
  </si>
  <si>
    <t>https://www.genome.jp/entry/R01398</t>
  </si>
  <si>
    <t>C00009|C00327</t>
  </si>
  <si>
    <t>https://www.genome.jp/entry/ec:2.2.1.1</t>
  </si>
  <si>
    <t>https://www.genome.jp/entry/R01641</t>
  </si>
  <si>
    <t>https://www.genome.jp/entry/R01067</t>
  </si>
  <si>
    <t>https://www.genome.jp/entry/R01830</t>
  </si>
  <si>
    <t>https://www.genome.jp/entry/R06590</t>
  </si>
  <si>
    <t>https://www.genome.jp/entry/R06861</t>
  </si>
  <si>
    <t>C00231|C00068</t>
  </si>
  <si>
    <t>https://www.genome.jp/entry/R06863</t>
  </si>
  <si>
    <t>C13378|C00117</t>
  </si>
  <si>
    <t>C13378|C00118</t>
  </si>
  <si>
    <t>C12215|C05382</t>
  </si>
  <si>
    <t>C00279|C00231</t>
  </si>
  <si>
    <t>C00117|C00231</t>
  </si>
  <si>
    <t>C05345|C00118</t>
  </si>
  <si>
    <t>https://www.genome.jp/entry/ec:2.2.1.6</t>
  </si>
  <si>
    <t>https://www.genome.jp/entry/R00006</t>
  </si>
  <si>
    <t>https://www.genome.jp/entry/R00226</t>
  </si>
  <si>
    <t>https://www.genome.jp/entry/R03050</t>
  </si>
  <si>
    <t>C00900|C00068</t>
  </si>
  <si>
    <t>C00022|C00068</t>
  </si>
  <si>
    <t>C05125|C00022</t>
  </si>
  <si>
    <t>https://www.genome.jp/entry/R04672</t>
  </si>
  <si>
    <t>https://www.genome.jp/entry/R04673</t>
  </si>
  <si>
    <t>https://www.genome.jp/entry/R08648</t>
  </si>
  <si>
    <t>C06006|C00068</t>
  </si>
  <si>
    <t>C06006|C00011</t>
  </si>
  <si>
    <t>C06010|C00068</t>
  </si>
  <si>
    <t>C00109|C05125</t>
  </si>
  <si>
    <t>https://www.genome.jp/entry/ec:2.3.1.1</t>
  </si>
  <si>
    <t>https://www.genome.jp/entry/R00259</t>
  </si>
  <si>
    <t>https://www.genome.jp/entry/ec:2.3.1.117</t>
  </si>
  <si>
    <t>https://www.genome.jp/entry/R04365</t>
  </si>
  <si>
    <t>https://www.genome.jp/entry/ec:2.3.1.12</t>
  </si>
  <si>
    <t>https://www.genome.jp/entry/R02569</t>
  </si>
  <si>
    <t>https://www.genome.jp/entry/ec:2.3.1.157</t>
  </si>
  <si>
    <t>https://www.genome.jp/entry/R05332</t>
  </si>
  <si>
    <t>C00024|C06156</t>
  </si>
  <si>
    <t>https://www.genome.jp/entry/ec:2.3.1.179</t>
  </si>
  <si>
    <t>https://www.genome.jp/entry/R02768</t>
  </si>
  <si>
    <t>C00685|C00011|C00229</t>
  </si>
  <si>
    <t>C00010|C04501</t>
  </si>
  <si>
    <t>C00010|C16255</t>
  </si>
  <si>
    <t>C00024|C15973</t>
  </si>
  <si>
    <t>C00010|C04462</t>
  </si>
  <si>
    <t>C00010|C00624</t>
  </si>
  <si>
    <t>https://www.genome.jp/entry/R04355</t>
  </si>
  <si>
    <t>C03939|C01209</t>
  </si>
  <si>
    <t>C05744|C00011|C00229</t>
  </si>
  <si>
    <t>https://www.genome.jp/entry/R04726</t>
  </si>
  <si>
    <t>https://www.genome.jp/entry/R04952</t>
  </si>
  <si>
    <t>https://www.genome.jp/entry/R04957</t>
  </si>
  <si>
    <t>https://www.genome.jp/entry/R04960</t>
  </si>
  <si>
    <t>https://www.genome.jp/entry/R04963</t>
  </si>
  <si>
    <t>https://www.genome.jp/entry/R04968</t>
  </si>
  <si>
    <t>https://www.genome.jp/entry/R07762</t>
  </si>
  <si>
    <t>https://www.genome.jp/entry/R10115</t>
  </si>
  <si>
    <t>https://www.genome.jp/entry/R10119</t>
  </si>
  <si>
    <t>C05752|C01209</t>
  </si>
  <si>
    <t>C05755|C01209</t>
  </si>
  <si>
    <t xml:space="preserve">C05761|C01209 </t>
  </si>
  <si>
    <t>C05764|C01209</t>
  </si>
  <si>
    <t>C05759|C00011|C00229</t>
  </si>
  <si>
    <t>C05746|C00011|C00229</t>
  </si>
  <si>
    <t>C05750|C00011|C00229</t>
  </si>
  <si>
    <t>C05753|C00011|C00229</t>
  </si>
  <si>
    <t>C05756|C00011|C00229</t>
  </si>
  <si>
    <t>C05762|C00011|C00229</t>
  </si>
  <si>
    <t>C16219|C00229|C00011</t>
  </si>
  <si>
    <t>C20372|C00011|C00229</t>
  </si>
  <si>
    <t>C20376|C00011|C00229</t>
  </si>
  <si>
    <t>https://www.genome.jp/entry/ec:2.3.1.180</t>
  </si>
  <si>
    <t>https://www.genome.jp/entry/R10707</t>
  </si>
  <si>
    <t>C05744|C00010|C00011</t>
  </si>
  <si>
    <t>https://www.genome.jp/entry/ec:2.3.1.183</t>
  </si>
  <si>
    <t>https://www.genome.jp/entry/ec:2.3.1.30</t>
  </si>
  <si>
    <t>https://www.genome.jp/entry/ec:2.3.1.31</t>
  </si>
  <si>
    <t>https://www.genome.jp/entry/ec:2.3.1.39</t>
  </si>
  <si>
    <t>https://www.genome.jp/entry/ec:2.3.1.41</t>
  </si>
  <si>
    <t>https://www.genome.jp/entry/ec:2.3.1.51</t>
  </si>
  <si>
    <t>https://www.genome.jp/entry/ec:2.3.1.54</t>
  </si>
  <si>
    <t>https://www.genome.jp/entry/ec:2.3.1.79</t>
  </si>
  <si>
    <t>https://www.genome.jp/entry/ec:2.3.1.8</t>
  </si>
  <si>
    <t>https://www.genome.jp/entry/ec:2.3.3.1</t>
  </si>
  <si>
    <t>https://www.genome.jp/entry/ec:2.3.3.10</t>
  </si>
  <si>
    <t>https://www.genome.jp/entry/R08938</t>
  </si>
  <si>
    <t>https://www.genome.jp/entry/R08871</t>
  </si>
  <si>
    <t>C00010|C17952</t>
  </si>
  <si>
    <t>C17949|C00010</t>
  </si>
  <si>
    <t>https://www.genome.jp/entry/R00586</t>
  </si>
  <si>
    <t>https://www.genome.jp/entry/R01776</t>
  </si>
  <si>
    <t>C00010|C01077</t>
  </si>
  <si>
    <t>C00979|C00010</t>
  </si>
  <si>
    <t>C00024|C00263</t>
  </si>
  <si>
    <t>https://www.genome.jp/entry/R01626</t>
  </si>
  <si>
    <t>C00010|C01209</t>
  </si>
  <si>
    <t>C05223|C01209</t>
  </si>
  <si>
    <t>C05745|C01209</t>
  </si>
  <si>
    <t>C05749|C01209</t>
  </si>
  <si>
    <t>C05761|C01209</t>
  </si>
  <si>
    <t>C19673|C01209</t>
  </si>
  <si>
    <t>C20375|C01209</t>
  </si>
  <si>
    <t>https://www.genome.jp/entry/R02241</t>
  </si>
  <si>
    <t>https://www.genome.jp/entry/R02760</t>
  </si>
  <si>
    <t>https://www.genome.jp/entry/R09381</t>
  </si>
  <si>
    <t>C00681|C00040</t>
  </si>
  <si>
    <t>C00010|C00416</t>
  </si>
  <si>
    <t>C00229|C00416</t>
  </si>
  <si>
    <t>C00416|C00010</t>
  </si>
  <si>
    <t>C00605|C00681</t>
  </si>
  <si>
    <t>C00173|C00681</t>
  </si>
  <si>
    <t>https://www.genome.jp/entry/R00212</t>
  </si>
  <si>
    <t>https://www.genome.jp/entry/R06987</t>
  </si>
  <si>
    <t>C00010|C00022</t>
  </si>
  <si>
    <t>C00100|C00058</t>
  </si>
  <si>
    <t>C00024|C00058</t>
  </si>
  <si>
    <t>C00109|C00010</t>
  </si>
  <si>
    <t>https://www.genome.jp/entry/R01556</t>
  </si>
  <si>
    <t>https://www.genome.jp/entry/R06251</t>
  </si>
  <si>
    <t>https://www.genome.jp/entry/R00230</t>
  </si>
  <si>
    <t>https://www.genome.jp/entry/ec:2.3.3.13</t>
  </si>
  <si>
    <t>https://www.genome.jp/entry/R00921</t>
  </si>
  <si>
    <t>C00010|C02130</t>
  </si>
  <si>
    <t>C00010|G10592</t>
  </si>
  <si>
    <t>C00010|C00227</t>
  </si>
  <si>
    <t>C02876|C00010</t>
  </si>
  <si>
    <t>C00024|C00208</t>
  </si>
  <si>
    <t>C00024|G00275</t>
  </si>
  <si>
    <t>C00024|C00009</t>
  </si>
  <si>
    <t>C00100|C00009</t>
  </si>
  <si>
    <t>https://www.genome.jp/entry/R00351</t>
  </si>
  <si>
    <t>C00158|C00010</t>
  </si>
  <si>
    <t>https://www.genome.jp/entry/R01978</t>
  </si>
  <si>
    <t>https://www.genome.jp/entry/R01213</t>
  </si>
  <si>
    <t>C00356|C00010</t>
  </si>
  <si>
    <t>C02504|C00010</t>
  </si>
  <si>
    <t>C00024|C00001|C00036</t>
  </si>
  <si>
    <t>C00024|C00001|C00332</t>
  </si>
  <si>
    <t>C00024|C00141|C00001</t>
  </si>
  <si>
    <t>https://www.genome.jp/entry/ec:2.4.1.1</t>
  </si>
  <si>
    <t>https://www.genome.jp/entry/R01821</t>
  </si>
  <si>
    <t>https://www.genome.jp/entry/R06050</t>
  </si>
  <si>
    <t>https://www.genome.jp/entry/R02111</t>
  </si>
  <si>
    <t>https://www.genome.jp/entry/R06185</t>
  </si>
  <si>
    <t>https://www.genome.jp/entry/ec:2.4.1.10</t>
  </si>
  <si>
    <t>https://www.genome.jp/entry/R05140</t>
  </si>
  <si>
    <t>https://www.genome.jp/entry/R06079</t>
  </si>
  <si>
    <t>C00718|C00103</t>
  </si>
  <si>
    <t>G10495|C00103</t>
  </si>
  <si>
    <t>C00089|C06215</t>
  </si>
  <si>
    <t>C00718|C00009</t>
  </si>
  <si>
    <t>C00369|C00009</t>
  </si>
  <si>
    <t>C00031|C06215</t>
  </si>
  <si>
    <t>https://www.genome.jp/entry/ec:2.4.1.12</t>
  </si>
  <si>
    <t>https://www.genome.jp/entry/R02889</t>
  </si>
  <si>
    <t>https://www.genome.jp/entry/R06023</t>
  </si>
  <si>
    <t>https://www.genome.jp/entry/ec:2.4.1.18</t>
  </si>
  <si>
    <t>https://www.genome.jp/entry/R02110</t>
  </si>
  <si>
    <t>C00718</t>
  </si>
  <si>
    <t>C00369</t>
  </si>
  <si>
    <t>https://www.genome.jp/entry/R06186</t>
  </si>
  <si>
    <t>G10545</t>
  </si>
  <si>
    <t>G10495 </t>
  </si>
  <si>
    <t>https://www.genome.jp/entry/ec:2.4.1.21</t>
  </si>
  <si>
    <t>https://www.genome.jp/entry/R02421</t>
  </si>
  <si>
    <t>https://www.genome.jp/entry/R06049</t>
  </si>
  <si>
    <t>https://www.genome.jp/entry/ec:2.4.1.227</t>
  </si>
  <si>
    <t>C00029|C00760</t>
  </si>
  <si>
    <t>C00015|C00760</t>
  </si>
  <si>
    <t>C00008|C00718</t>
  </si>
  <si>
    <t>https://www.genome.jp/entry/R05662</t>
  </si>
  <si>
    <t>https://www.genome.jp/entry/R06173</t>
  </si>
  <si>
    <t>https://www.genome.jp/entry/R05032</t>
  </si>
  <si>
    <t>https://www.genome.jp/entry/R06172</t>
  </si>
  <si>
    <t>https://www.genome.jp/entry/R06174</t>
  </si>
  <si>
    <t>C05893|C00015</t>
  </si>
  <si>
    <t>G10553|G10619</t>
  </si>
  <si>
    <t>C05898|C00015</t>
  </si>
  <si>
    <t>G10550|G10619</t>
  </si>
  <si>
    <t>G10555|G10619</t>
  </si>
  <si>
    <t>C04851|C00043</t>
  </si>
  <si>
    <t>G10552|G10610</t>
  </si>
  <si>
    <t>C05897|C00043</t>
  </si>
  <si>
    <t>G10551|G10610</t>
  </si>
  <si>
    <t>G10556|G10610</t>
  </si>
  <si>
    <t>https://www.genome.jp/entry/ec:2.4.1.25</t>
  </si>
  <si>
    <t>https://www.genome.jp/entry/R05196</t>
  </si>
  <si>
    <t>https://www.genome.jp/entry/R06069</t>
  </si>
  <si>
    <t>https://www.genome.jp/entry/ec:2.4.1.5</t>
  </si>
  <si>
    <t>https://www.genome.jp/entry/R02120</t>
  </si>
  <si>
    <t>https://www.genome.jp/entry/R06066</t>
  </si>
  <si>
    <t>C00089|C00372</t>
  </si>
  <si>
    <t>C00095|C00372</t>
  </si>
  <si>
    <t>https://www.genome.jp/entry/ec:2.4.1.80</t>
  </si>
  <si>
    <t>https://www.genome.jp/entry/R01497</t>
  </si>
  <si>
    <t>https://www.genome.jp/entry/R06275</t>
  </si>
  <si>
    <t>C00029|C00195</t>
  </si>
  <si>
    <t>G10608|C00195</t>
  </si>
  <si>
    <t>C00015|C01190</t>
  </si>
  <si>
    <t>G10619|G10238</t>
  </si>
  <si>
    <t>https://www.genome.jp/entry/ec:2.4.1.83</t>
  </si>
  <si>
    <t>https://www.genome.jp/entry/R01009</t>
  </si>
  <si>
    <t>C00035|C03862</t>
  </si>
  <si>
    <t>https://www.genome.jp/entry/ec:2.4.2.1</t>
  </si>
  <si>
    <t>https://www.genome.jp/entry/R08368</t>
  </si>
  <si>
    <t>https://www.genome.jp/entry/R01561</t>
  </si>
  <si>
    <t>https://www.genome.jp/entry/R01863</t>
  </si>
  <si>
    <t>C00294|C00009</t>
  </si>
  <si>
    <t>https://www.genome.jp/entry/R02147</t>
  </si>
  <si>
    <t>https://www.genome.jp/entry/R02297</t>
  </si>
  <si>
    <t>https://www.genome.jp/entry/R10244</t>
  </si>
  <si>
    <t>https://www.genome.jp/entry/R01969</t>
  </si>
  <si>
    <t>https://www.genome.jp/entry/R02557</t>
  </si>
  <si>
    <t>https://www.genome.jp/entry/R02748</t>
  </si>
  <si>
    <t>https://www.genome.jp/entry/R02294</t>
  </si>
  <si>
    <t>https://www.genome.jp/entry/R02295</t>
  </si>
  <si>
    <t>C00212|C00009</t>
  </si>
  <si>
    <t>C00387|C00009</t>
  </si>
  <si>
    <t>C03150|C00009</t>
  </si>
  <si>
    <t>C15587|C00620</t>
  </si>
  <si>
    <t>C00147|C00620</t>
  </si>
  <si>
    <t>C00262|C00620</t>
  </si>
  <si>
    <t>C00242|C00620</t>
  </si>
  <si>
    <t>C00385|C00620</t>
  </si>
  <si>
    <t>C15587|C00672</t>
  </si>
  <si>
    <t>C00242|C00672</t>
  </si>
  <si>
    <t>C00147|C00672</t>
  </si>
  <si>
    <t>C00262|C00672</t>
  </si>
  <si>
    <t>C00153|C00620</t>
  </si>
  <si>
    <t>C00253|C00620|C00080</t>
  </si>
  <si>
    <t>https://www.genome.jp/entry/ec:2.4.2.10</t>
  </si>
  <si>
    <t>https://www.genome.jp/entry/R01870</t>
  </si>
  <si>
    <t>https://www.genome.jp/entry/R08231</t>
  </si>
  <si>
    <t>C00295|C00119</t>
  </si>
  <si>
    <t>C16634|C00013</t>
  </si>
  <si>
    <t>C01103|C00013</t>
  </si>
  <si>
    <t>https://www.genome.jp/entry/ec:2.4.2.14</t>
  </si>
  <si>
    <t>https://www.genome.jp/entry/R01072</t>
  </si>
  <si>
    <t>C00064|C00119|C00001</t>
  </si>
  <si>
    <t>https://www.genome.jp/entry/ec:2.4.2.17</t>
  </si>
  <si>
    <t>https://www.genome.jp/entry/R01071</t>
  </si>
  <si>
    <t>C00002|C00119</t>
  </si>
  <si>
    <t>https://www.genome.jp/entry/ec:2.4.2.18</t>
  </si>
  <si>
    <t>https://www.genome.jp/entry/R01073</t>
  </si>
  <si>
    <t>C00108|C00119</t>
  </si>
  <si>
    <t>https://www.genome.jp/entry/ec:2.4.2.2</t>
  </si>
  <si>
    <t>https://www.genome.jp/entry/R01570</t>
  </si>
  <si>
    <t>https://www.genome.jp/entry/R01876</t>
  </si>
  <si>
    <t>https://www.genome.jp/entry/R02296</t>
  </si>
  <si>
    <t>https://www.genome.jp/entry/R02484</t>
  </si>
  <si>
    <t>https://www.genome.jp/entry/R02298</t>
  </si>
  <si>
    <t>C00299|C00009</t>
  </si>
  <si>
    <t>C00178|C00672</t>
  </si>
  <si>
    <t>C00106|C00620</t>
  </si>
  <si>
    <t>C00380|C00620</t>
  </si>
  <si>
    <t>C00106|C00672</t>
  </si>
  <si>
    <t>C00396|C00620|C00080</t>
  </si>
  <si>
    <t>https://www.genome.jp/entry/ec:2.4.2.22</t>
  </si>
  <si>
    <t>https://www.genome.jp/entry/R02142</t>
  </si>
  <si>
    <t>https://www.genome.jp/entry/R01229</t>
  </si>
  <si>
    <t>C00385|C00119</t>
  </si>
  <si>
    <t>C00242|C00119</t>
  </si>
  <si>
    <t>https://www.genome.jp/entry/ec:2.4.2.29</t>
  </si>
  <si>
    <t>https://www.genome.jp/entry/R10209</t>
  </si>
  <si>
    <t>C20446|C00242</t>
  </si>
  <si>
    <t>C01977|C16675</t>
  </si>
  <si>
    <t>https://www.genome.jp/entry/ec:2.4.2.7</t>
  </si>
  <si>
    <t>https://www.genome.jp/entry/R00190</t>
  </si>
  <si>
    <t>https://www.genome.jp/entry/R04378</t>
  </si>
  <si>
    <t>C00147|C00119</t>
  </si>
  <si>
    <t>C04051|C00119</t>
  </si>
  <si>
    <t>https://www.genome.jp/entry/ec:2.4.2.8</t>
  </si>
  <si>
    <t>https://www.genome.jp/entry/R01132</t>
  </si>
  <si>
    <t>https://www.genome.jp/entry/R08237</t>
  </si>
  <si>
    <t>https://www.genome.jp/entry/R08238</t>
  </si>
  <si>
    <t>https://www.genome.jp/entry/R08245</t>
  </si>
  <si>
    <t>C00262|C00119</t>
  </si>
  <si>
    <t>C04646|C00013</t>
  </si>
  <si>
    <t>C16615|C00013</t>
  </si>
  <si>
    <t>C16619|C00013</t>
  </si>
  <si>
    <t>C00144|C00013</t>
  </si>
  <si>
    <t>C00655|C00013</t>
  </si>
  <si>
    <t>C02380|C00119</t>
  </si>
  <si>
    <t>C16614|C00119</t>
  </si>
  <si>
    <t>C07648|C00119</t>
  </si>
  <si>
    <t>https://www.genome.jp/entry/ec:2.4.2.9</t>
  </si>
  <si>
    <t>https://www.genome.jp/entry/R00966</t>
  </si>
  <si>
    <t>C00105|C00013</t>
  </si>
  <si>
    <t>C00106|C00119</t>
  </si>
  <si>
    <t>https://www.genome.jp/entry/ec:2.5.1.10</t>
  </si>
  <si>
    <t>https://www.genome.jp/entry/R02003</t>
  </si>
  <si>
    <t>https://www.genome.jp/entry/ec:2.5.1.15</t>
  </si>
  <si>
    <t>https://www.genome.jp/entry/R03067</t>
  </si>
  <si>
    <t>https://www.genome.jp/entry/R03066</t>
  </si>
  <si>
    <t>https://www.genome.jp/entry/ec:2.5.1.19</t>
  </si>
  <si>
    <t>https://www.genome.jp/entry/R03460</t>
  </si>
  <si>
    <t>https://www.genome.jp/entry/ec:2.5.1.31</t>
  </si>
  <si>
    <t>https://www.genome.jp/entry/R06447</t>
  </si>
  <si>
    <t>https://www.genome.jp/entry/ec:2.5.1.47</t>
  </si>
  <si>
    <t>https://www.genome.jp/entry/R00897</t>
  </si>
  <si>
    <t>https://www.genome.jp/entry/R03601</t>
  </si>
  <si>
    <t>https://www.genome.jp/entry/R04859</t>
  </si>
  <si>
    <t>https://www.genome.jp/entry/R07274</t>
  </si>
  <si>
    <t>C00013|C00448</t>
  </si>
  <si>
    <t>C00013|C00921</t>
  </si>
  <si>
    <t>C00921|C00001</t>
  </si>
  <si>
    <t>C00009|C01269</t>
  </si>
  <si>
    <t>C00097|C00033</t>
  </si>
  <si>
    <t>C05688|C00033</t>
  </si>
  <si>
    <t>C00097|C00094|C00343|C00033</t>
  </si>
  <si>
    <t>C00097|C00009</t>
  </si>
  <si>
    <t>C00341|C00129</t>
  </si>
  <si>
    <t>C04807|C00568</t>
  </si>
  <si>
    <t>C01300|C00568</t>
  </si>
  <si>
    <t>C00074|C03175</t>
  </si>
  <si>
    <t>C00979|C00283</t>
  </si>
  <si>
    <t>C00979|C01528</t>
  </si>
  <si>
    <t>C00979|C00320|C00342|C00080</t>
  </si>
  <si>
    <t>C01005|C00283</t>
  </si>
  <si>
    <t>https://www.genome.jp/entry/ec:2.5.1.48</t>
  </si>
  <si>
    <t>https://www.genome.jp/entry/ec:2.5.1.49</t>
  </si>
  <si>
    <t>https://www.genome.jp/entry/ec:2.5.1.54</t>
  </si>
  <si>
    <t>https://www.genome.jp/entry/ec:2.5.1.6</t>
  </si>
  <si>
    <t>https://www.genome.jp/entry/ec:2.5.1.7</t>
  </si>
  <si>
    <t>https://www.genome.jp/entry/ec:2.5.1.75</t>
  </si>
  <si>
    <t>https://www.genome.jp/entry/R03260</t>
  </si>
  <si>
    <t>https://www.genome.jp/entry/R00999</t>
  </si>
  <si>
    <t>https://www.genome.jp/entry/R01288</t>
  </si>
  <si>
    <t>https://www.genome.jp/entry/R02508</t>
  </si>
  <si>
    <t>https://www.genome.jp/entry/R03217</t>
  </si>
  <si>
    <t>https://www.genome.jp/entry/R04944</t>
  </si>
  <si>
    <t>https://www.genome.jp/entry/R04945</t>
  </si>
  <si>
    <t>https://www.genome.jp/entry/R04946</t>
  </si>
  <si>
    <t>C01118|C00097</t>
  </si>
  <si>
    <t>C01118|C00001</t>
  </si>
  <si>
    <t>C01118|C00283</t>
  </si>
  <si>
    <t>C00542|C00042</t>
  </si>
  <si>
    <t>C01077|C00097</t>
  </si>
  <si>
    <t>C05702|C05688</t>
  </si>
  <si>
    <t>C01077|C05688</t>
  </si>
  <si>
    <t>C01118|C05688</t>
  </si>
  <si>
    <t>C02291|C00042</t>
  </si>
  <si>
    <t>C00109|C00042|C00014</t>
  </si>
  <si>
    <t>C02291|C00033</t>
  </si>
  <si>
    <t>C05699|C00009</t>
  </si>
  <si>
    <t>C05699|C00033</t>
  </si>
  <si>
    <t>C05699|C00042</t>
  </si>
  <si>
    <t>https://www.genome.jp/entry/R00651</t>
  </si>
  <si>
    <t>https://www.genome.jp/entry/R01287</t>
  </si>
  <si>
    <t>C00073|C00033</t>
  </si>
  <si>
    <t>C00155|C00033</t>
  </si>
  <si>
    <t>C01077|C00409</t>
  </si>
  <si>
    <t>C01077|C00283</t>
  </si>
  <si>
    <t>https://www.genome.jp/entry/R01826</t>
  </si>
  <si>
    <t>C04691|C00009</t>
  </si>
  <si>
    <t>C00074|C00279|C00001</t>
  </si>
  <si>
    <t>https://www.genome.jp/entry/R00177</t>
  </si>
  <si>
    <t>C00002|C00073|C00001</t>
  </si>
  <si>
    <t>https://www.genome.jp/entry/R04771</t>
  </si>
  <si>
    <t>C00009|C00013|C05691</t>
  </si>
  <si>
    <t>C00002|C05335|C00001</t>
  </si>
  <si>
    <t>https://www.genome.jp/entry/R00660</t>
  </si>
  <si>
    <t>C04631|C00009</t>
  </si>
  <si>
    <t>C00074|C00043</t>
  </si>
  <si>
    <t>https://www.genome.jp/entry/R01122</t>
  </si>
  <si>
    <t>C00013|C04432</t>
  </si>
  <si>
    <t>C00235|C17324</t>
  </si>
  <si>
    <t>https://www.genome.jp/entry/ec:2.6.1.1</t>
  </si>
  <si>
    <t>https://www.genome.jp/entry/R00355</t>
  </si>
  <si>
    <t>https://www.genome.jp/entry/R00694</t>
  </si>
  <si>
    <t>https://www.genome.jp/entry/R00734</t>
  </si>
  <si>
    <t>https://www.genome.jp/entry/R00895</t>
  </si>
  <si>
    <t>https://www.genome.jp/entry/R00896</t>
  </si>
  <si>
    <t>https://www.genome.jp/entry/R02433</t>
  </si>
  <si>
    <t>https://www.genome.jp/entry/R02619</t>
  </si>
  <si>
    <t>https://www.genome.jp/entry/R05052</t>
  </si>
  <si>
    <t>C00036|C00025</t>
  </si>
  <si>
    <t>C00166|C00025</t>
  </si>
  <si>
    <t>C01179|C00025</t>
  </si>
  <si>
    <t>C00957|C00025</t>
  </si>
  <si>
    <t>C00957|C00302</t>
  </si>
  <si>
    <t>C05528|C00025</t>
  </si>
  <si>
    <t>C05527|C00025</t>
  </si>
  <si>
    <t>C05946|C00025</t>
  </si>
  <si>
    <t>C00049|C00026</t>
  </si>
  <si>
    <t>C00079|C00026</t>
  </si>
  <si>
    <t>C00082|C00026</t>
  </si>
  <si>
    <t>C00097|C00026</t>
  </si>
  <si>
    <t>C00506|C00026</t>
  </si>
  <si>
    <t>C00606|C00026</t>
  </si>
  <si>
    <t>C05947|C00026</t>
  </si>
  <si>
    <t>https://www.genome.jp/entry/ec:2.6.1.11</t>
  </si>
  <si>
    <t>https://www.genome.jp/entry/R02283</t>
  </si>
  <si>
    <t>C01250|C00025</t>
  </si>
  <si>
    <t>C00437|C00026</t>
  </si>
  <si>
    <t>https://www.genome.jp/entry/ec:2.6.1.16</t>
  </si>
  <si>
    <t>https://www.genome.jp/entry/R00768</t>
  </si>
  <si>
    <t>C00025|C00352</t>
  </si>
  <si>
    <t>C00064|C00085</t>
  </si>
  <si>
    <t>https://www.genome.jp/entry/ec:2.6.1.42</t>
  </si>
  <si>
    <t>https://www.genome.jp/entry/R01090</t>
  </si>
  <si>
    <t>https://www.genome.jp/entry/R01214</t>
  </si>
  <si>
    <t>https://www.genome.jp/entry/R02199</t>
  </si>
  <si>
    <t>https://www.genome.jp/entry/R10991</t>
  </si>
  <si>
    <t>C00233|C00025</t>
  </si>
  <si>
    <t>C00141|C00025</t>
  </si>
  <si>
    <t>C00671|C00025</t>
  </si>
  <si>
    <t>C00123|C00026</t>
  </si>
  <si>
    <t>C00183|C00026</t>
  </si>
  <si>
    <t>C00407|C00026</t>
  </si>
  <si>
    <t>C02356|C00026</t>
  </si>
  <si>
    <t>https://www.genome.jp/entry/ec:2.6.1.52</t>
  </si>
  <si>
    <t>https://www.genome.jp/entry/R04173</t>
  </si>
  <si>
    <t>https://www.genome.jp/entry/R05085</t>
  </si>
  <si>
    <t>C01005|C00026</t>
  </si>
  <si>
    <t>C06055|C00026</t>
  </si>
  <si>
    <t>C03232|C00025</t>
  </si>
  <si>
    <t>C06054|C00025</t>
  </si>
  <si>
    <t>https://www.genome.jp/entry/ec:2.6.1.57</t>
  </si>
  <si>
    <t>https://www.genome.jp/entry/R03120</t>
  </si>
  <si>
    <t>https://www.genome.jp/entry/R10845</t>
  </si>
  <si>
    <t>https://www.genome.jp/entry/R01731</t>
  </si>
  <si>
    <t>https://www.genome.jp/entry/R07396</t>
  </si>
  <si>
    <t>C00073|C00026</t>
  </si>
  <si>
    <t>C00049|C00254</t>
  </si>
  <si>
    <t>C20646|C00025</t>
  </si>
  <si>
    <t>C00972|C00025</t>
  </si>
  <si>
    <t>C01180|C00025</t>
  </si>
  <si>
    <t>C00036|C00826</t>
  </si>
  <si>
    <t>C20895|C00026</t>
  </si>
  <si>
    <t>C01021|C00026</t>
  </si>
  <si>
    <t>https://www.genome.jp/entry/ec:2.6.1.9</t>
  </si>
  <si>
    <t>https://www.genome.jp/entry/R03243</t>
  </si>
  <si>
    <t>C01267|C00025</t>
  </si>
  <si>
    <t>C01100|C00026</t>
  </si>
  <si>
    <t>https://www.genome.jp/entry/ec:2.7.1.107</t>
  </si>
  <si>
    <t>https://www.genome.jp/entry/R02240</t>
  </si>
  <si>
    <t>C00008|C00416</t>
  </si>
  <si>
    <t>C00002|C00641</t>
  </si>
  <si>
    <t>https://www.genome.jp/entry/ec:2.7.1.11</t>
  </si>
  <si>
    <t>https://www.genome.jp/entry/R04779</t>
  </si>
  <si>
    <t>https://www.genome.jp/entry/R00756</t>
  </si>
  <si>
    <t>https://www.genome.jp/entry/R00767</t>
  </si>
  <si>
    <t>https://www.genome.jp/entry/R00769</t>
  </si>
  <si>
    <t>https://www.genome.jp/entry/R00770</t>
  </si>
  <si>
    <t>https://www.genome.jp/entry/R01843</t>
  </si>
  <si>
    <t>https://www.genome.jp/entry/R03236</t>
  </si>
  <si>
    <t>https://www.genome.jp/entry/R03237</t>
  </si>
  <si>
    <t>https://www.genome.jp/entry/R03238</t>
  </si>
  <si>
    <t>https://www.genome.jp/entry/R03239</t>
  </si>
  <si>
    <t>C00008|C05378</t>
  </si>
  <si>
    <t>C00008|C00354</t>
  </si>
  <si>
    <t>C00112|C00354</t>
  </si>
  <si>
    <t>C00015|C00354</t>
  </si>
  <si>
    <t>C00104|C00354</t>
  </si>
  <si>
    <t>C00008|C00447</t>
  </si>
  <si>
    <t>C03785|C00008</t>
  </si>
  <si>
    <t>C00112|C03785</t>
  </si>
  <si>
    <t>C00015|C03785</t>
  </si>
  <si>
    <t>C00104|C03785</t>
  </si>
  <si>
    <t>C00002|C05345</t>
  </si>
  <si>
    <t>C00002|C00085</t>
  </si>
  <si>
    <t>C00063|C00085</t>
  </si>
  <si>
    <t>C00075|C00085</t>
  </si>
  <si>
    <t>C00081|C00085</t>
  </si>
  <si>
    <t>C00002|C05382</t>
  </si>
  <si>
    <t>C01097|C00002</t>
  </si>
  <si>
    <t>C00063|C01097</t>
  </si>
  <si>
    <t xml:space="preserve">C00075|C01097 </t>
  </si>
  <si>
    <t>C00081|C01097</t>
  </si>
  <si>
    <t>https://www.genome.jp/entry/ec:2.7.1.2</t>
  </si>
  <si>
    <t>https://www.genome.jp/entry/R00299</t>
  </si>
  <si>
    <t>https://www.genome.jp/entry/R01600</t>
  </si>
  <si>
    <t>https://www.genome.jp/entry/R01786</t>
  </si>
  <si>
    <t>C00008|C00092</t>
  </si>
  <si>
    <t>C00008|C01172</t>
  </si>
  <si>
    <t>C00008|C00668</t>
  </si>
  <si>
    <t>C00002|C00221</t>
  </si>
  <si>
    <t>C00002|C00267</t>
  </si>
  <si>
    <t>https://www.genome.jp/entry/ec:2.7.1.21</t>
  </si>
  <si>
    <t>https://www.genome.jp/entry/R01567</t>
  </si>
  <si>
    <t>https://www.genome.jp/entry/R02099</t>
  </si>
  <si>
    <t>https://www.genome.jp/entry/R08233</t>
  </si>
  <si>
    <t>C00008|C00364</t>
  </si>
  <si>
    <t>C00008|C00365</t>
  </si>
  <si>
    <t>C04242|C00008</t>
  </si>
  <si>
    <t>C00002|C00214</t>
  </si>
  <si>
    <t>C00002|C00526</t>
  </si>
  <si>
    <t>C11736|C00002</t>
  </si>
  <si>
    <t>https://www.genome.jp/entry/ec:2.7.1.23</t>
  </si>
  <si>
    <t>https://www.genome.jp/entry/R00104</t>
  </si>
  <si>
    <t>C00008|C00006</t>
  </si>
  <si>
    <t>C00002|C00003</t>
  </si>
  <si>
    <t>https://www.genome.jp/entry/ec:2.7.1.24</t>
  </si>
  <si>
    <t>https://www.genome.jp/entry/ec:2.7.1.31</t>
  </si>
  <si>
    <t>https://www.genome.jp/entry/ec:2.7.1.33</t>
  </si>
  <si>
    <t>https://www.genome.jp/entry/ec:2.7.1.35</t>
  </si>
  <si>
    <t>https://www.genome.jp/entry/R00130</t>
  </si>
  <si>
    <t>C00008|C00010</t>
  </si>
  <si>
    <t>C00002|C00882</t>
  </si>
  <si>
    <t>https://www.genome.jp/entry/R01514</t>
  </si>
  <si>
    <t>C00008|C00197</t>
  </si>
  <si>
    <t>C00002|C00258</t>
  </si>
  <si>
    <t>https://www.genome.jp/entry/R03018</t>
  </si>
  <si>
    <t>https://www.genome.jp/entry/R02971</t>
  </si>
  <si>
    <t>https://www.genome.jp/entry/R04391</t>
  </si>
  <si>
    <t>C00008|C03492</t>
  </si>
  <si>
    <t>C00008|C01134</t>
  </si>
  <si>
    <t>C00008|C04352</t>
  </si>
  <si>
    <t>C00002|C00864</t>
  </si>
  <si>
    <t>C00002|C00831</t>
  </si>
  <si>
    <t>C00002|C04079</t>
  </si>
  <si>
    <t>https://www.genome.jp/entry/ec:2.7.1.36</t>
  </si>
  <si>
    <t>https://www.genome.jp/entry/ec:2.7.1.39</t>
  </si>
  <si>
    <t>https://www.genome.jp/entry/ec:2.7.1.4</t>
  </si>
  <si>
    <t>https://www.genome.jp/entry/ec:2.7.1.40</t>
  </si>
  <si>
    <t>https://www.genome.jp/entry/R00174</t>
  </si>
  <si>
    <t>https://www.genome.jp/entry/R01909</t>
  </si>
  <si>
    <t>https://www.genome.jp/entry/R02493</t>
  </si>
  <si>
    <t>C00008|C00018</t>
  </si>
  <si>
    <t>C00008|C00627</t>
  </si>
  <si>
    <t>C00008|C00647</t>
  </si>
  <si>
    <t>C00002|C00250</t>
  </si>
  <si>
    <t>C00002|C00314</t>
  </si>
  <si>
    <t>C00002|C00534</t>
  </si>
  <si>
    <t>https://www.genome.jp/entry/R02245</t>
  </si>
  <si>
    <t>C00002|C00418</t>
  </si>
  <si>
    <t>C00008|C01107</t>
  </si>
  <si>
    <t>https://www.genome.jp/entry/R01771</t>
  </si>
  <si>
    <t>C00008|C01102</t>
  </si>
  <si>
    <t>C00002|C00263</t>
  </si>
  <si>
    <t>https://www.genome.jp/entry/R00760</t>
  </si>
  <si>
    <t>https://www.genome.jp/entry/R00867</t>
  </si>
  <si>
    <t>https://www.genome.jp/entry/R03920</t>
  </si>
  <si>
    <t>C00008|C00085</t>
  </si>
  <si>
    <t>C00008|C05345</t>
  </si>
  <si>
    <t>C00002|C00095</t>
  </si>
  <si>
    <t>C00002|C02336</t>
  </si>
  <si>
    <t>https://www.genome.jp/entry/R00200</t>
  </si>
  <si>
    <t>https://www.genome.jp/entry/R00430</t>
  </si>
  <si>
    <t>https://www.genome.jp/entry/R00572</t>
  </si>
  <si>
    <t>https://www.genome.jp/entry/R00659</t>
  </si>
  <si>
    <t>https://www.genome.jp/entry/R00724</t>
  </si>
  <si>
    <t>https://www.genome.jp/entry/R01138</t>
  </si>
  <si>
    <t>https://www.genome.jp/entry/R01858</t>
  </si>
  <si>
    <t>https://www.genome.jp/entry/R02320</t>
  </si>
  <si>
    <t>C00008|C00074</t>
  </si>
  <si>
    <t>C00035|C00074</t>
  </si>
  <si>
    <t>C00112|C00074</t>
  </si>
  <si>
    <t>C00015|C00074</t>
  </si>
  <si>
    <t>C00104|C00074</t>
  </si>
  <si>
    <t>C00206|C00074</t>
  </si>
  <si>
    <t>C00361|C00074</t>
  </si>
  <si>
    <t>C00454|C00074</t>
  </si>
  <si>
    <t>C00002|C00022</t>
  </si>
  <si>
    <t>C00044|C00022</t>
  </si>
  <si>
    <t>C00063|C00022</t>
  </si>
  <si>
    <t>C00075|C00022</t>
  </si>
  <si>
    <t>C00081|C00022</t>
  </si>
  <si>
    <t>C00131|C00022</t>
  </si>
  <si>
    <t>C00286|C00022</t>
  </si>
  <si>
    <t>C00201|C00022</t>
  </si>
  <si>
    <t>https://www.genome.jp/entry/ec:2.7.1.48</t>
  </si>
  <si>
    <t>https://www.genome.jp/entry/R00513</t>
  </si>
  <si>
    <t>https://www.genome.jp/entry/R00964</t>
  </si>
  <si>
    <t>https://www.genome.jp/entry/R00517</t>
  </si>
  <si>
    <t>https://www.genome.jp/entry/R00968</t>
  </si>
  <si>
    <t>https://www.genome.jp/entry/R08232</t>
  </si>
  <si>
    <t>C00008|C00055</t>
  </si>
  <si>
    <t>C00008|C00105</t>
  </si>
  <si>
    <t>C00035|C00055</t>
  </si>
  <si>
    <t>C00035|C00105</t>
  </si>
  <si>
    <t>C16634|C00008</t>
  </si>
  <si>
    <t>C00002|C00475</t>
  </si>
  <si>
    <t>C00002|C00299</t>
  </si>
  <si>
    <t>C00044|C00475</t>
  </si>
  <si>
    <t>C00044|C00299</t>
  </si>
  <si>
    <t>C16633|C00002</t>
  </si>
  <si>
    <t>https://www.genome.jp/entry/ec:2.7.1.56</t>
  </si>
  <si>
    <t>https://www.genome.jp/entry/R13203</t>
  </si>
  <si>
    <t>https://www.genome.jp/entry/R02071</t>
  </si>
  <si>
    <t>C00002|C01094</t>
  </si>
  <si>
    <t>https://www.genome.jp/entry/ec:2.7.1.6</t>
  </si>
  <si>
    <t>https://www.genome.jp/entry/R01092</t>
  </si>
  <si>
    <t>C00008|C00446</t>
  </si>
  <si>
    <t>C00002|C00984</t>
  </si>
  <si>
    <t>https://www.genome.jp/entry/ec:2.7.1.71</t>
  </si>
  <si>
    <t>https://www.genome.jp/entry/R02412</t>
  </si>
  <si>
    <t>C00002|C00493</t>
  </si>
  <si>
    <t>C00008|C03175</t>
  </si>
  <si>
    <t>https://www.genome.jp/entry/ec:2.7.10.2</t>
  </si>
  <si>
    <t>https://www.genome.jp/entry/R02584</t>
  </si>
  <si>
    <t>C00008|C01167</t>
  </si>
  <si>
    <t>C00002|C00585</t>
  </si>
  <si>
    <t>https://www.genome.jp/entry/ec:2.7.11.1</t>
  </si>
  <si>
    <t>https://www.genome.jp/entry/R00162</t>
  </si>
  <si>
    <t>https://www.genome.jp/entry/R03632</t>
  </si>
  <si>
    <t>C00008|C02729</t>
  </si>
  <si>
    <t>C00008|C00562</t>
  </si>
  <si>
    <t>C00002|C00017</t>
  </si>
  <si>
    <t>C00002|C01609</t>
  </si>
  <si>
    <t>https://www.genome.jp/entry/ec:2.7.2.1</t>
  </si>
  <si>
    <t>https://www.genome.jp/entry/R00315</t>
  </si>
  <si>
    <t>https://www.genome.jp/entry/R01353</t>
  </si>
  <si>
    <t>C00008|C00227</t>
  </si>
  <si>
    <t>C00008|C02876</t>
  </si>
  <si>
    <t>C00002|C00033</t>
  </si>
  <si>
    <t>C00002|C00163</t>
  </si>
  <si>
    <t>https://www.genome.jp/entry/ec:2.7.2.11</t>
  </si>
  <si>
    <t>https://www.genome.jp/entry/R00239</t>
  </si>
  <si>
    <t>C00008|C03287</t>
  </si>
  <si>
    <t>C00002|C00025</t>
  </si>
  <si>
    <t>https://www.genome.jp/entry/ec:2.7.2.3</t>
  </si>
  <si>
    <t>https://www.genome.jp/entry/R01512</t>
  </si>
  <si>
    <t>C00008|C00236</t>
  </si>
  <si>
    <t>C00002|C00197</t>
  </si>
  <si>
    <t>https://www.genome.jp/entry/ec:2.7.2.4</t>
  </si>
  <si>
    <t>https://www.genome.jp/entry/R00480</t>
  </si>
  <si>
    <t>C00002|C00049</t>
  </si>
  <si>
    <t>C00008|C03082</t>
  </si>
  <si>
    <t>https://www.genome.jp/entry/ec:2.7.2.8</t>
  </si>
  <si>
    <t>https://www.genome.jp/entry/R02649</t>
  </si>
  <si>
    <t>C00008|C04133</t>
  </si>
  <si>
    <t>C00002|C00624</t>
  </si>
  <si>
    <t>https://www.genome.jp/entry/ec:2.7.3.9</t>
  </si>
  <si>
    <t>https://www.genome.jp/entry/R02628</t>
  </si>
  <si>
    <t>C00022|C04261</t>
  </si>
  <si>
    <t>C00074|C00615</t>
  </si>
  <si>
    <t>https://www.genome.jp/entry/ec:2.7.4.14</t>
  </si>
  <si>
    <t>https://www.genome.jp/entry/R00158</t>
  </si>
  <si>
    <t>https://www.genome.jp/entry/R00512</t>
  </si>
  <si>
    <t>https://www.genome.jp/entry/R01665</t>
  </si>
  <si>
    <t>https://www.genome.jp/entry/R11891</t>
  </si>
  <si>
    <t>https://www.genome.jp/entry/R11892</t>
  </si>
  <si>
    <t>C00008|C00015</t>
  </si>
  <si>
    <t>C00008|C00112</t>
  </si>
  <si>
    <t>C00008|C00705</t>
  </si>
  <si>
    <t>C00008|C21748</t>
  </si>
  <si>
    <t>C00008|C21750</t>
  </si>
  <si>
    <t>C00002|C00105</t>
  </si>
  <si>
    <t>C00002|C00055</t>
  </si>
  <si>
    <t>C00002|C00239</t>
  </si>
  <si>
    <t>C00002|C16634</t>
  </si>
  <si>
    <t>C00002|C04242</t>
  </si>
  <si>
    <t>https://www.genome.jp/entry/ec:2.7.4.2</t>
  </si>
  <si>
    <t>https://www.genome.jp/entry/R03245</t>
  </si>
  <si>
    <t>C00008|C01143</t>
  </si>
  <si>
    <t>C00002|C01107</t>
  </si>
  <si>
    <t>https://www.genome.jp/entry/ec:2.7.4.22</t>
  </si>
  <si>
    <t>https://www.genome.jp/entry/ec:2.7.4.3</t>
  </si>
  <si>
    <t>https://www.genome.jp/entry/R00127</t>
  </si>
  <si>
    <t>https://www.genome.jp/entry/R01547</t>
  </si>
  <si>
    <t>https://www.genome.jp/entry/R11319</t>
  </si>
  <si>
    <t>C00008|C00206</t>
  </si>
  <si>
    <t>C03028|C00020</t>
  </si>
  <si>
    <t>C00002|C00020</t>
  </si>
  <si>
    <t>C00002|C00360</t>
  </si>
  <si>
    <t>C00068|C00008</t>
  </si>
  <si>
    <t>https://www.genome.jp/entry/ec:2.7.4.6</t>
  </si>
  <si>
    <t>https://www.genome.jp/entry/R00331</t>
  </si>
  <si>
    <t>https://www.genome.jp/entry/R00124</t>
  </si>
  <si>
    <t>https://www.genome.jp/entry/R00139</t>
  </si>
  <si>
    <t>https://www.genome.jp/entry/R00156</t>
  </si>
  <si>
    <t>https://www.genome.jp/entry/R00330</t>
  </si>
  <si>
    <t>https://www.genome.jp/entry/R00570</t>
  </si>
  <si>
    <t>https://www.genome.jp/entry/R00722</t>
  </si>
  <si>
    <t>https://www.genome.jp/entry/R01137</t>
  </si>
  <si>
    <t>https://www.genome.jp/entry/R01857</t>
  </si>
  <si>
    <t>https://www.genome.jp/entry/R02093</t>
  </si>
  <si>
    <t>https://www.genome.jp/entry/R02326</t>
  </si>
  <si>
    <t>https://www.genome.jp/entry/R02331</t>
  </si>
  <si>
    <t>https://www.genome.jp/entry/R03530</t>
  </si>
  <si>
    <t>https://www.genome.jp/entry/R12853</t>
  </si>
  <si>
    <t>https://www.genome.jp/entry/R11894</t>
  </si>
  <si>
    <t>https://www.genome.jp/entry/R11895</t>
  </si>
  <si>
    <t>C00002|C00454</t>
  </si>
  <si>
    <t>C00002|C00008</t>
  </si>
  <si>
    <t>C11038|C00002</t>
  </si>
  <si>
    <t>C00002|C00015</t>
  </si>
  <si>
    <t>C00002|C00035</t>
  </si>
  <si>
    <t>C00002|C00112</t>
  </si>
  <si>
    <t>C00002|C00104</t>
  </si>
  <si>
    <t>C00002|C00206</t>
  </si>
  <si>
    <t>C00002|C00361</t>
  </si>
  <si>
    <t>C00002|C00363</t>
  </si>
  <si>
    <t>C00002|C00705</t>
  </si>
  <si>
    <t>C00002|C01346</t>
  </si>
  <si>
    <t>C00002|C01344</t>
  </si>
  <si>
    <t>C22442|C00002</t>
  </si>
  <si>
    <t>C00002|C21748</t>
  </si>
  <si>
    <t>C00002|C21750</t>
  </si>
  <si>
    <t>C00008|C00201</t>
  </si>
  <si>
    <t>C00008|C00002</t>
  </si>
  <si>
    <t>C11039|C00008</t>
  </si>
  <si>
    <t>C00008|C00075</t>
  </si>
  <si>
    <t>C00008|C00044</t>
  </si>
  <si>
    <t>C00008|C00063</t>
  </si>
  <si>
    <t>C00008|C00081</t>
  </si>
  <si>
    <t>C00008|C00131</t>
  </si>
  <si>
    <t>C00008|C00286</t>
  </si>
  <si>
    <t>C00008|C00459</t>
  </si>
  <si>
    <t>C00008|C00458</t>
  </si>
  <si>
    <t>C00008|C00460</t>
  </si>
  <si>
    <t>C00008|C01345</t>
  </si>
  <si>
    <t>C22443|C00008</t>
  </si>
  <si>
    <t>C00008|C21749</t>
  </si>
  <si>
    <t>C00008|C21751</t>
  </si>
  <si>
    <t>https://www.genome.jp/entry/ec:2.7.4.7</t>
  </si>
  <si>
    <t>https://www.genome.jp/entry/R04509</t>
  </si>
  <si>
    <t>C00002|C04556</t>
  </si>
  <si>
    <t>C00008|C04752</t>
  </si>
  <si>
    <t>https://www.genome.jp/entry/ec:2.7.4.8</t>
  </si>
  <si>
    <t>https://www.genome.jp/entry/R00332</t>
  </si>
  <si>
    <t>https://www.genome.jp/entry/R02090</t>
  </si>
  <si>
    <t>https://www.genome.jp/entry/R12852</t>
  </si>
  <si>
    <t>C00008|C00035</t>
  </si>
  <si>
    <t>C00008|C00361</t>
  </si>
  <si>
    <t>C22442|C00008</t>
  </si>
  <si>
    <t>C00002|C00144</t>
  </si>
  <si>
    <t>C00002|C00362</t>
  </si>
  <si>
    <t>C22441|C00002</t>
  </si>
  <si>
    <t>https://www.genome.jp/entry/ec:2.7.4.9</t>
  </si>
  <si>
    <t>https://www.genome.jp/entry/R02094</t>
  </si>
  <si>
    <t>https://www.genome.jp/entry/R02098</t>
  </si>
  <si>
    <t>C00008|C00363</t>
  </si>
  <si>
    <t>C00008|C01346</t>
  </si>
  <si>
    <t>C00002|C00364</t>
  </si>
  <si>
    <t>C00002|C00365</t>
  </si>
  <si>
    <t>https://www.genome.jp/entry/ec:2.7.6.1</t>
  </si>
  <si>
    <t>https://www.genome.jp/entry/R01049</t>
  </si>
  <si>
    <t>C00020|C00119</t>
  </si>
  <si>
    <t>C00002|C00117</t>
  </si>
  <si>
    <t>https://www.genome.jp/entry/ec:2.7.6.2</t>
  </si>
  <si>
    <t>https://www.genome.jp/entry/R00619</t>
  </si>
  <si>
    <t>C00020|C00068</t>
  </si>
  <si>
    <t>C00002|C00378</t>
  </si>
  <si>
    <t>https://www.genome.jp/entry/ec:2.7.6.3</t>
  </si>
  <si>
    <t>https://www.genome.jp/entry/R03503</t>
  </si>
  <si>
    <t>C00002|C01300</t>
  </si>
  <si>
    <t>C00020|C04807</t>
  </si>
  <si>
    <t>https://www.genome.jp/entry/ec:2.7.6.5</t>
  </si>
  <si>
    <t>https://www.genome.jp/entry/R00429</t>
  </si>
  <si>
    <t>C00020|C04494</t>
  </si>
  <si>
    <t>C00002|C00044</t>
  </si>
  <si>
    <t>https://www.genome.jp/entry/ec:2.7.7.1</t>
  </si>
  <si>
    <t>https://www.genome.jp/entry/R00137</t>
  </si>
  <si>
    <t>C00013|C00003</t>
  </si>
  <si>
    <t>C00002|C00455</t>
  </si>
  <si>
    <t>https://www.genome.jp/entry/R03005</t>
  </si>
  <si>
    <t>C00002|C01185</t>
  </si>
  <si>
    <t>C00013|C00857</t>
  </si>
  <si>
    <t>https://www.genome.jp/entry/ec:2.7.7.12</t>
  </si>
  <si>
    <t>https://www.genome.jp/entry/R00955</t>
  </si>
  <si>
    <t>C00029|C00446</t>
  </si>
  <si>
    <t>C00103|C00052</t>
  </si>
  <si>
    <t>https://www.genome.jp/entry/ec:2.7.7.18</t>
  </si>
  <si>
    <t>https://www.genome.jp/entry/ec:2.7.7.2</t>
  </si>
  <si>
    <t>https://www.genome.jp/entry/R00161</t>
  </si>
  <si>
    <t>C00002|C00061</t>
  </si>
  <si>
    <t>C00013|C00016</t>
  </si>
  <si>
    <t>https://www.genome.jp/entry/ec:2.7.7.24</t>
  </si>
  <si>
    <t>https://www.genome.jp/entry/R02328</t>
  </si>
  <si>
    <t>C00013|C00842</t>
  </si>
  <si>
    <t>C00459|C00103</t>
  </si>
  <si>
    <t>https://www.genome.jp/entry/ec:2.7.7.27</t>
  </si>
  <si>
    <t>https://www.genome.jp/entry/R00948</t>
  </si>
  <si>
    <t>C00002|C00103</t>
  </si>
  <si>
    <t>C00013|C00498</t>
  </si>
  <si>
    <t>https://www.genome.jp/entry/ec:2.7.7.3</t>
  </si>
  <si>
    <t>https://www.genome.jp/entry/R03035</t>
  </si>
  <si>
    <t>C00013|C00882</t>
  </si>
  <si>
    <t>C00002|C01134</t>
  </si>
  <si>
    <t>https://www.genome.jp/entry/ec:2.7.7.41</t>
  </si>
  <si>
    <t>https://www.genome.jp/entry/R01799</t>
  </si>
  <si>
    <t>C00013|C00269</t>
  </si>
  <si>
    <t>C00063|C00416</t>
  </si>
  <si>
    <t>https://www.genome.jp/entry/ec:2.7.7.49</t>
  </si>
  <si>
    <t>https://www.genome.jp/entry/R00379</t>
  </si>
  <si>
    <t>https://www.genome.jp/entry/ec:2.7.7.6</t>
  </si>
  <si>
    <t>https://www.genome.jp/entry/R00444</t>
  </si>
  <si>
    <t>https://www.genome.jp/entry/R00435</t>
  </si>
  <si>
    <t>https://www.genome.jp/entry/R00441</t>
  </si>
  <si>
    <t>https://www.genome.jp/entry/R00442</t>
  </si>
  <si>
    <t>https://www.genome.jp/entry/R00443</t>
  </si>
  <si>
    <t>https://www.genome.jp/entry/R10813</t>
  </si>
  <si>
    <t>C00201|C00046</t>
  </si>
  <si>
    <t>C00002|C00046</t>
  </si>
  <si>
    <t>C00044|C00046</t>
  </si>
  <si>
    <t>C00063|C00046</t>
  </si>
  <si>
    <t>C00075|C00046</t>
  </si>
  <si>
    <t>C00013|C00046</t>
  </si>
  <si>
    <t>https://www.genome.jp/entry/ec:2.7.7.7</t>
  </si>
  <si>
    <t>https://www.genome.jp/entry/R00375</t>
  </si>
  <si>
    <t>https://www.genome.jp/entry/R00376</t>
  </si>
  <si>
    <t>https://www.genome.jp/entry/R00377</t>
  </si>
  <si>
    <t>https://www.genome.jp/entry/R00378</t>
  </si>
  <si>
    <t>https://www.genome.jp/entry/R11029</t>
  </si>
  <si>
    <t>C11039</t>
  </si>
  <si>
    <t>C21031</t>
  </si>
  <si>
    <t>C00131|C00039</t>
  </si>
  <si>
    <t>C00286|C00039</t>
  </si>
  <si>
    <t>C00458|C00039</t>
  </si>
  <si>
    <t>C00459|C00039</t>
  </si>
  <si>
    <t>C00013|C00039</t>
  </si>
  <si>
    <t>https://www.genome.jp/entry/ec:2.7.7.8</t>
  </si>
  <si>
    <t>https://www.genome.jp/entry/R07282</t>
  </si>
  <si>
    <t>https://www.genome.jp/entry/R00437</t>
  </si>
  <si>
    <t>https://www.genome.jp/entry/R00438</t>
  </si>
  <si>
    <t>https://www.genome.jp/entry/R00439</t>
  </si>
  <si>
    <t>https://www.genome.jp/entry/R00440</t>
  </si>
  <si>
    <t>C00046|C00454</t>
  </si>
  <si>
    <t>C00046|C00008</t>
  </si>
  <si>
    <t>C00046|C00015</t>
  </si>
  <si>
    <t>C00046|C00035</t>
  </si>
  <si>
    <t>C00046|C00112</t>
  </si>
  <si>
    <t>C00046|C00009</t>
  </si>
  <si>
    <t>https://www.genome.jp/entry/ec:2.7.7.9</t>
  </si>
  <si>
    <t>https://www.genome.jp/entry/R00289</t>
  </si>
  <si>
    <t>C00013|C00029</t>
  </si>
  <si>
    <t>C00075|C00103</t>
  </si>
  <si>
    <t>https://www.genome.jp/entry/ec:2.7.8.13</t>
  </si>
  <si>
    <t>https://www.genome.jp/entry/R05629</t>
  </si>
  <si>
    <t>https://www.genome.jp/entry/R05630</t>
  </si>
  <si>
    <t>C00105|C04851</t>
  </si>
  <si>
    <t>C00105|C05897</t>
  </si>
  <si>
    <t>C04702|C17556</t>
  </si>
  <si>
    <t>C04882|C17556</t>
  </si>
  <si>
    <t>https://www.genome.jp/entry/ec:2.7.8.5</t>
  </si>
  <si>
    <t>https://www.genome.jp/entry/R01801</t>
  </si>
  <si>
    <t>C00269|C00093</t>
  </si>
  <si>
    <t>C00055|C03892</t>
  </si>
  <si>
    <t>https://www.genome.jp/entry/ec:2.7.8.7</t>
  </si>
  <si>
    <t>https://www.genome.jp/entry/R01625</t>
  </si>
  <si>
    <t>https://www.genome.jp/entry/ec:2.8.1.6</t>
  </si>
  <si>
    <t>https://www.genome.jp/entry/R01078</t>
  </si>
  <si>
    <t>https://www.genome.jp/entry/ec:2.8.1.7</t>
  </si>
  <si>
    <t>https://www.genome.jp/entry/R07460</t>
  </si>
  <si>
    <t>https://www.genome.jp/entry/R11528</t>
  </si>
  <si>
    <t>https://www.genome.jp/entry/R11529</t>
  </si>
  <si>
    <t>C15811|C00097</t>
  </si>
  <si>
    <t>C00097|C02743</t>
  </si>
  <si>
    <t>C15812|C02743</t>
  </si>
  <si>
    <t>C00054|C00229</t>
  </si>
  <si>
    <t>C15812|C00041</t>
  </si>
  <si>
    <t>C00041|C21440</t>
  </si>
  <si>
    <t>C15811|C21440</t>
  </si>
  <si>
    <t>C00010|C03688 </t>
  </si>
  <si>
    <t>https://www.genome.jp/entry/ec:3.1.1.24</t>
  </si>
  <si>
    <t>https://www.genome.jp/entry/R02991</t>
  </si>
  <si>
    <t>C00846</t>
  </si>
  <si>
    <t>https://www.genome.jp/entry/ec:3.1.1.29</t>
  </si>
  <si>
    <t>https://www.genome.jp/entry/R04238</t>
  </si>
  <si>
    <t>C03523|C00066</t>
  </si>
  <si>
    <t>C03880|C00001</t>
  </si>
  <si>
    <t>C03586|C00001</t>
  </si>
  <si>
    <t>https://www.genome.jp/entry/ec:3.1.2.14</t>
  </si>
  <si>
    <t>https://www.genome.jp/entry/R02814</t>
  </si>
  <si>
    <t>https://www.genome.jp/entry/R01706</t>
  </si>
  <si>
    <t>https://www.genome.jp/entry/R04014</t>
  </si>
  <si>
    <t>https://www.genome.jp/entry/R08159</t>
  </si>
  <si>
    <t>https://www.genome.jp/entry/R08162</t>
  </si>
  <si>
    <t>https://www.genome.jp/entry/R08163</t>
  </si>
  <si>
    <t>https://www.genome.jp/entry/R12329</t>
  </si>
  <si>
    <t>C00229|C00638</t>
  </si>
  <si>
    <t>C00229|C01530</t>
  </si>
  <si>
    <t>C00229|C08362</t>
  </si>
  <si>
    <t>C00229|C06424</t>
  </si>
  <si>
    <t>C00229|C02679</t>
  </si>
  <si>
    <t>C00229|C00249</t>
  </si>
  <si>
    <t>C00229|C00712</t>
  </si>
  <si>
    <t>C04088|C00001</t>
  </si>
  <si>
    <t>C16520|C00001</t>
  </si>
  <si>
    <t>C05761|C00001</t>
  </si>
  <si>
    <t>C05223|C00001</t>
  </si>
  <si>
    <t>C05764|C00001</t>
  </si>
  <si>
    <t>C01203|C00001</t>
  </si>
  <si>
    <t>https://www.genome.jp/entry/ec:3.1.2.2</t>
  </si>
  <si>
    <t>https://www.genome.jp/entry/R01274</t>
  </si>
  <si>
    <t>https://www.genome.jp/entry/R08174</t>
  </si>
  <si>
    <t>https://www.genome.jp/entry/R08175</t>
  </si>
  <si>
    <t>https://www.genome.jp/entry/R08176</t>
  </si>
  <si>
    <t>https://www.genome.jp/entry/R08177</t>
  </si>
  <si>
    <t>https://www.genome.jp/entry/R08178</t>
  </si>
  <si>
    <t>https://www.genome.jp/entry/R08179</t>
  </si>
  <si>
    <t>https://www.genome.jp/entry/R08180</t>
  </si>
  <si>
    <t>https://www.genome.jp/entry/R08181</t>
  </si>
  <si>
    <t>https://www.genome.jp/entry/R08182</t>
  </si>
  <si>
    <t>https://www.genome.jp/entry/R08183</t>
  </si>
  <si>
    <t>https://www.genome.jp/entry/R09450</t>
  </si>
  <si>
    <t>C00010|C00249</t>
  </si>
  <si>
    <t>C00010|C01530</t>
  </si>
  <si>
    <t>C00010|C06425</t>
  </si>
  <si>
    <t>C00010|C00712</t>
  </si>
  <si>
    <t>C00010|C01595</t>
  </si>
  <si>
    <t>C00010|C06427</t>
  </si>
  <si>
    <t>C00010|C06428</t>
  </si>
  <si>
    <t>C00010|C06429</t>
  </si>
  <si>
    <t>C00010|C06426</t>
  </si>
  <si>
    <t>C00010|C03242</t>
  </si>
  <si>
    <t>C00010|C00219</t>
  </si>
  <si>
    <t>C00638|C00010</t>
  </si>
  <si>
    <t>C00154|C00001</t>
  </si>
  <si>
    <t>C00412|C00001</t>
  </si>
  <si>
    <t>C02041|C00001</t>
  </si>
  <si>
    <t>C00510|C00001</t>
  </si>
  <si>
    <t>C02050|C00001</t>
  </si>
  <si>
    <t>C16162|C00001</t>
  </si>
  <si>
    <t>C16165|C00001</t>
  </si>
  <si>
    <t>C16169|C00001</t>
  </si>
  <si>
    <t>C03035|C00001</t>
  </si>
  <si>
    <t>C03595|C00001</t>
  </si>
  <si>
    <t>C02249|C00001</t>
  </si>
  <si>
    <t>C02843|C00001</t>
  </si>
  <si>
    <t>https://www.genome.jp/entry/ec:3.1.3.15</t>
  </si>
  <si>
    <t>https://www.genome.jp/entry/R03013</t>
  </si>
  <si>
    <t>C00860|C00009</t>
  </si>
  <si>
    <t>C01100|C00001</t>
  </si>
  <si>
    <t>https://www.genome.jp/entry/ec:3.1.3.16</t>
  </si>
  <si>
    <t>https://www.genome.jp/entry/R00164</t>
  </si>
  <si>
    <t>C00017|C00009</t>
  </si>
  <si>
    <t>C00562|C00001</t>
  </si>
  <si>
    <t>https://www.genome.jp/entry/ec:3.1.3.25</t>
  </si>
  <si>
    <t>https://www.genome.jp/entry/R07343</t>
  </si>
  <si>
    <t>https://www.genome.jp/entry/R01185</t>
  </si>
  <si>
    <t>https://www.genome.jp/entry/R01186</t>
  </si>
  <si>
    <t>https://www.genome.jp/entry/R01187</t>
  </si>
  <si>
    <t>C00137|C00009</t>
  </si>
  <si>
    <t>C15585|C00001</t>
  </si>
  <si>
    <t>C01177|C00001</t>
  </si>
  <si>
    <t>C03546|C00001</t>
  </si>
  <si>
    <t>C04006|C00001</t>
  </si>
  <si>
    <t>https://www.genome.jp/entry/ec:3.1.3.27</t>
  </si>
  <si>
    <t>https://www.genome.jp/entry/R02029</t>
  </si>
  <si>
    <t>C00344|C00009</t>
  </si>
  <si>
    <t>C03892|C00001</t>
  </si>
  <si>
    <t>https://www.genome.jp/entry/ec:3.1.3.3</t>
  </si>
  <si>
    <t>https://www.genome.jp/entry/R00582</t>
  </si>
  <si>
    <t>https://www.genome.jp/entry/R02853</t>
  </si>
  <si>
    <t>C00065|C00009</t>
  </si>
  <si>
    <t>C00740|C00009</t>
  </si>
  <si>
    <t>C01005|C00001</t>
  </si>
  <si>
    <t>C02532|C00001</t>
  </si>
  <si>
    <t>https://www.genome.jp/entry/ec:3.1.3.41</t>
  </si>
  <si>
    <t>https://www.genome.jp/entry/R03024</t>
  </si>
  <si>
    <t>C00870|C00009</t>
  </si>
  <si>
    <t>C03360|C00001</t>
  </si>
  <si>
    <t>https://www.genome.jp/entry/ec:3.1.3.48</t>
  </si>
  <si>
    <t>https://www.genome.jp/entry/ec:3.1.3.5</t>
  </si>
  <si>
    <t>https://www.genome.jp/entry/ec:3.2.1.1</t>
  </si>
  <si>
    <t>https://www.genome.jp/entry/ec:3.2.1.23</t>
  </si>
  <si>
    <t>https://www.genome.jp/entry/ec:3.2.1.26</t>
  </si>
  <si>
    <t>https://www.genome.jp/entry/ec:3.2.1.80</t>
  </si>
  <si>
    <t>https://www.genome.jp/entry/ec:3.2.1.86</t>
  </si>
  <si>
    <t>https://www.genome.jp/entry/ec:3.2.1.93</t>
  </si>
  <si>
    <t>https://www.genome.jp/entry/R02585</t>
  </si>
  <si>
    <t>C00585|C00009</t>
  </si>
  <si>
    <t>C01167|C00001</t>
  </si>
  <si>
    <t>https://www.genome.jp/entry/R07297</t>
  </si>
  <si>
    <t>https://www.genome.jp/entry/R00183</t>
  </si>
  <si>
    <t>https://www.genome.jp/entry/R00511</t>
  </si>
  <si>
    <t>https://www.genome.jp/entry/R00963</t>
  </si>
  <si>
    <t>https://www.genome.jp/entry/R01126</t>
  </si>
  <si>
    <t>https://www.genome.jp/entry/R01227</t>
  </si>
  <si>
    <t>https://www.genome.jp/entry/R02323</t>
  </si>
  <si>
    <t>https://www.genome.jp/entry/R02719</t>
  </si>
  <si>
    <t>https://www.genome.jp/entry/R03346</t>
  </si>
  <si>
    <t>https://www.genome.jp/entry/R01569</t>
  </si>
  <si>
    <t>https://www.genome.jp/entry/R01664</t>
  </si>
  <si>
    <t>https://www.genome.jp/entry/R01968</t>
  </si>
  <si>
    <t>https://www.genome.jp/entry/R02088</t>
  </si>
  <si>
    <t>https://www.genome.jp/entry/R02102</t>
  </si>
  <si>
    <t>https://www.genome.jp/entry/R12958</t>
  </si>
  <si>
    <t>C00911|C00009</t>
  </si>
  <si>
    <t>C00475|C00009</t>
  </si>
  <si>
    <t>C01762|C00009</t>
  </si>
  <si>
    <t>C05841|C00009</t>
  </si>
  <si>
    <t>C00214|C00009</t>
  </si>
  <si>
    <t>C00881|C00009</t>
  </si>
  <si>
    <t>C00330|C00009</t>
  </si>
  <si>
    <t>C00559|C00009</t>
  </si>
  <si>
    <t>C00526|C00009</t>
  </si>
  <si>
    <t>C05512|C00009</t>
  </si>
  <si>
    <t>C02520|C00001</t>
  </si>
  <si>
    <t>C00020|C00001</t>
  </si>
  <si>
    <t>C00055|C00001</t>
  </si>
  <si>
    <t>C00105|C00001</t>
  </si>
  <si>
    <t>C00130|C00001</t>
  </si>
  <si>
    <t>C00144|C00001</t>
  </si>
  <si>
    <t>C00455|C00001</t>
  </si>
  <si>
    <t>C00655|C00001</t>
  </si>
  <si>
    <t>C01185|C00001</t>
  </si>
  <si>
    <t>C00364|C00001</t>
  </si>
  <si>
    <t>C00239|C00001</t>
  </si>
  <si>
    <t>C00362|C00001</t>
  </si>
  <si>
    <t>C00360|C00001</t>
  </si>
  <si>
    <t>C00365|C00001</t>
  </si>
  <si>
    <t>C06196|C00001</t>
  </si>
  <si>
    <t>https://www.genome.jp/entry/R02108</t>
  </si>
  <si>
    <t>https://www.genome.jp/entry/R02112</t>
  </si>
  <si>
    <t>https://www.genome.jp/entry/R06209</t>
  </si>
  <si>
    <t>https://www.genome.jp/entry/R11262</t>
  </si>
  <si>
    <t>C00208</t>
  </si>
  <si>
    <t>C00721|C00369</t>
  </si>
  <si>
    <t>C00721|C00208</t>
  </si>
  <si>
    <t>C00369|C00001</t>
  </si>
  <si>
    <t>C01935|C00001</t>
  </si>
  <si>
    <t>https://www.genome.jp/entry/R01100</t>
  </si>
  <si>
    <t>https://www.genome.jp/entry/R01105</t>
  </si>
  <si>
    <t>https://www.genome.jp/entry/R01678</t>
  </si>
  <si>
    <t>https://www.genome.jp/entry/R03355</t>
  </si>
  <si>
    <t>https://www.genome.jp/entry/R04633</t>
  </si>
  <si>
    <t>https://www.genome.jp/entry/R04783</t>
  </si>
  <si>
    <t>https://www.genome.jp/entry/R05112</t>
  </si>
  <si>
    <t>https://www.genome.jp/entry/R05994</t>
  </si>
  <si>
    <t>https://www.genome.jp/entry/R06010</t>
  </si>
  <si>
    <t>https://www.genome.jp/entry/R06098</t>
  </si>
  <si>
    <t>https://www.genome.jp/entry/R06099</t>
  </si>
  <si>
    <t>https://www.genome.jp/entry/R06114</t>
  </si>
  <si>
    <t>https://www.genome.jp/entry/R06144</t>
  </si>
  <si>
    <t>https://www.genome.jp/entry/R06202</t>
  </si>
  <si>
    <t>https://www.genome.jp/entry/R07807</t>
  </si>
  <si>
    <t>C00031|C00962</t>
  </si>
  <si>
    <t>C00124|C05796</t>
  </si>
  <si>
    <t>C00267|C00124</t>
  </si>
  <si>
    <t>C01190|C00124</t>
  </si>
  <si>
    <t>C04884|C00124</t>
  </si>
  <si>
    <t>C05394|C00221</t>
  </si>
  <si>
    <t>C06135|C00124</t>
  </si>
  <si>
    <t>G00123|C00124</t>
  </si>
  <si>
    <t>G00109|C00124</t>
  </si>
  <si>
    <t>G10238|C00124</t>
  </si>
  <si>
    <t>G13073|C00124</t>
  </si>
  <si>
    <t>C05796|C00001</t>
  </si>
  <si>
    <t>C00243|C00001</t>
  </si>
  <si>
    <t>C01290|C00001</t>
  </si>
  <si>
    <t>C04911|C00001</t>
  </si>
  <si>
    <t>C05403|C00001</t>
  </si>
  <si>
    <t>C06136|C00001</t>
  </si>
  <si>
    <t>G00124|C00001</t>
  </si>
  <si>
    <t>G00110|C00001</t>
  </si>
  <si>
    <t>G10504|C00001</t>
  </si>
  <si>
    <t>G00092|C00001</t>
  </si>
  <si>
    <t>G01977|C00001</t>
  </si>
  <si>
    <t>https://www.genome.jp/entry/R00801</t>
  </si>
  <si>
    <t>https://www.genome.jp/entry/R00802</t>
  </si>
  <si>
    <t>https://www.genome.jp/entry/R02410</t>
  </si>
  <si>
    <t>https://www.genome.jp/entry/R03635</t>
  </si>
  <si>
    <t>https://www.genome.jp/entry/R03921</t>
  </si>
  <si>
    <t>https://www.genome.jp/entry/R06087</t>
  </si>
  <si>
    <t>https://www.genome.jp/entry/R06088</t>
  </si>
  <si>
    <t>https://www.genome.jp/entry/R06100</t>
  </si>
  <si>
    <t>https://www.genome.jp/entry/R06101</t>
  </si>
  <si>
    <t>https://www.genome.jp/entry/R06102</t>
  </si>
  <si>
    <t>C00095|C00031</t>
  </si>
  <si>
    <t>C02336|C00267</t>
  </si>
  <si>
    <t>C05402|C00095</t>
  </si>
  <si>
    <t>C05404|C00095</t>
  </si>
  <si>
    <t>C00095|C00092</t>
  </si>
  <si>
    <t>G01275|C00095</t>
  </si>
  <si>
    <t>G00501|C00095</t>
  </si>
  <si>
    <t>C02336|C00668</t>
  </si>
  <si>
    <t>C00089|C00001</t>
  </si>
  <si>
    <t>C00492|C00001</t>
  </si>
  <si>
    <t>C01613|C00001</t>
  </si>
  <si>
    <t xml:space="preserve">C16688|C00001 </t>
  </si>
  <si>
    <t>G00370|C00001</t>
  </si>
  <si>
    <t>G10508|C00001</t>
  </si>
  <si>
    <t>https://www.genome.jp/entry/R00879</t>
  </si>
  <si>
    <t>https://www.genome.jp/entry/R06208</t>
  </si>
  <si>
    <t>https://www.genome.jp/entry/R00839</t>
  </si>
  <si>
    <t>https://www.genome.jp/entry/R06112</t>
  </si>
  <si>
    <t>https://www.genome.jp/entry/R05133</t>
  </si>
  <si>
    <t>https://www.genome.jp/entry/R05134</t>
  </si>
  <si>
    <t>C00031|C00092</t>
  </si>
  <si>
    <t>C00530|C01172</t>
  </si>
  <si>
    <t>C02323|C01172</t>
  </si>
  <si>
    <t>C04534|C00001</t>
  </si>
  <si>
    <t>https://www.genome.jp/entry/R00837</t>
  </si>
  <si>
    <t>https://www.genome.jp/entry/R06113</t>
  </si>
  <si>
    <t>C00001|C00689</t>
  </si>
  <si>
    <t>C00001|G09795</t>
  </si>
  <si>
    <t>https://www.genome.jp/entry/ec:3.2.2.9</t>
  </si>
  <si>
    <t>https://www.genome.jp/entry/R00194</t>
  </si>
  <si>
    <t>https://www.genome.jp/entry/R01401</t>
  </si>
  <si>
    <t>https://www.genome.jp/entry/R12621</t>
  </si>
  <si>
    <t>C03539|C00147</t>
  </si>
  <si>
    <t>C00147|C03089</t>
  </si>
  <si>
    <t>C22288|C00147</t>
  </si>
  <si>
    <t>C00021|C00001</t>
  </si>
  <si>
    <t>C05198|C00001</t>
  </si>
  <si>
    <t>https://www.genome.jp/entry/ec:3.4.11.2</t>
  </si>
  <si>
    <t>https://www.genome.jp/entry/R00899</t>
  </si>
  <si>
    <t>https://www.genome.jp/entry/R04951</t>
  </si>
  <si>
    <t>C00097|C00037</t>
  </si>
  <si>
    <t>C05726|C00037</t>
  </si>
  <si>
    <t>C01419|C00001</t>
  </si>
  <si>
    <t>C05729|C00001</t>
  </si>
  <si>
    <t>https://www.genome.jp/entry/ec:3.5.1.1</t>
  </si>
  <si>
    <t>https://www.genome.jp/entry/R00485</t>
  </si>
  <si>
    <t>https://www.genome.jp/entry/R06134</t>
  </si>
  <si>
    <t>C00049|C00014</t>
  </si>
  <si>
    <t>C00060|C00014</t>
  </si>
  <si>
    <t>C00152|C00001</t>
  </si>
  <si>
    <t>https://www.genome.jp/entry/ec:3.5.1.18</t>
  </si>
  <si>
    <t>https://www.genome.jp/entry/R02734</t>
  </si>
  <si>
    <t>C00042|C00666</t>
  </si>
  <si>
    <t>C04421|C00001</t>
  </si>
  <si>
    <t>https://www.genome.jp/entry/ec:3.5.1.19</t>
  </si>
  <si>
    <t>https://www.genome.jp/entry/ec:3.5.1.25</t>
  </si>
  <si>
    <t>https://www.genome.jp/entry/ec:3.5.1.28</t>
  </si>
  <si>
    <t>https://www.genome.jp/entry/ec:3.5.1.5</t>
  </si>
  <si>
    <t>https://www.genome.jp/entry/ec:3.5.1.88</t>
  </si>
  <si>
    <t>https://www.genome.jp/entry/ec:3.5.2.12</t>
  </si>
  <si>
    <t>https://www.genome.jp/entry/ec:3.5.2.3</t>
  </si>
  <si>
    <t>https://www.genome.jp/entry/ec:3.5.4.10</t>
  </si>
  <si>
    <t>https://www.genome.jp/entry/ec:3.5.4.16</t>
  </si>
  <si>
    <t>https://www.genome.jp/entry/R01268</t>
  </si>
  <si>
    <t>C00253|C00014</t>
  </si>
  <si>
    <t>C00153|C00001</t>
  </si>
  <si>
    <t>C00241|C00001</t>
  </si>
  <si>
    <t>https://www.genome.jp/entry/R02059</t>
  </si>
  <si>
    <t>C00352|C00033</t>
  </si>
  <si>
    <t>C00357|C00001</t>
  </si>
  <si>
    <t>https://www.genome.jp/entry/R04112</t>
  </si>
  <si>
    <t>C02999|C00001</t>
  </si>
  <si>
    <t>https://www.genome.jp/entry/R12185</t>
  </si>
  <si>
    <t>https://www.genome.jp/entry/R13420</t>
  </si>
  <si>
    <t>https://www.genome.jp/entry/R13421</t>
  </si>
  <si>
    <t>https://www.genome.jp/entry/R00131</t>
  </si>
  <si>
    <t>C01563|C00001</t>
  </si>
  <si>
    <t>C01563|C00014</t>
  </si>
  <si>
    <t>https://www.genome.jp/entry/R05635</t>
  </si>
  <si>
    <t>https://www.genome.jp/entry/R04268</t>
  </si>
  <si>
    <t>C11440|C00058</t>
  </si>
  <si>
    <t>C00058|C03617</t>
  </si>
  <si>
    <t>C11439|C00001</t>
  </si>
  <si>
    <t>C04258|C00001</t>
  </si>
  <si>
    <t>https://www.genome.jp/entry/R03448</t>
  </si>
  <si>
    <t>C01255</t>
  </si>
  <si>
    <t>C04277|C00001</t>
  </si>
  <si>
    <t>https://www.genome.jp/entry/R01993</t>
  </si>
  <si>
    <t>C00438</t>
  </si>
  <si>
    <t>C00337|C00001</t>
  </si>
  <si>
    <t>https://www.genome.jp/entry/R01127</t>
  </si>
  <si>
    <t>C04734</t>
  </si>
  <si>
    <t>https://www.genome.jp/entry/R00424</t>
  </si>
  <si>
    <t>https://www.genome.jp/entry/ec:3.5.4.19</t>
  </si>
  <si>
    <t>https://www.genome.jp/entry/R00428</t>
  </si>
  <si>
    <t>C05922</t>
  </si>
  <si>
    <t>https://www.genome.jp/entry/R04639</t>
  </si>
  <si>
    <t>C06148</t>
  </si>
  <si>
    <t>https://www.genome.jp/entry/R05046</t>
  </si>
  <si>
    <t>https://www.genome.jp/entry/R05048</t>
  </si>
  <si>
    <t>C05923</t>
  </si>
  <si>
    <t>C00044|C00001</t>
  </si>
  <si>
    <t>C04895|C00001</t>
  </si>
  <si>
    <t>C05922|C00001</t>
  </si>
  <si>
    <t>C04895|C00058</t>
  </si>
  <si>
    <t>C05923|C00058</t>
  </si>
  <si>
    <t>https://www.genome.jp/entry/R04037</t>
  </si>
  <si>
    <t>C04896</t>
  </si>
  <si>
    <t>C02741|C00001</t>
  </si>
  <si>
    <t>https://www.genome.jp/entry/ec:3.5.4.4</t>
  </si>
  <si>
    <t>https://www.genome.jp/entry/R01560</t>
  </si>
  <si>
    <t>https://www.genome.jp/entry/R02556</t>
  </si>
  <si>
    <t>C00294|C00014</t>
  </si>
  <si>
    <t>C05512|C00014</t>
  </si>
  <si>
    <t>C00212|C00001</t>
  </si>
  <si>
    <t>C00559|C00001</t>
  </si>
  <si>
    <t>https://www.genome.jp/entry/ec:3.5.4.5</t>
  </si>
  <si>
    <t>https://www.genome.jp/entry/R01878</t>
  </si>
  <si>
    <t>https://www.genome.jp/entry/R02485</t>
  </si>
  <si>
    <t>https://www.genome.jp/entry/R08221</t>
  </si>
  <si>
    <t>C00299|C00014</t>
  </si>
  <si>
    <t>C00526|C00014</t>
  </si>
  <si>
    <t>C12739|C00014</t>
  </si>
  <si>
    <t>C00475|C00001</t>
  </si>
  <si>
    <t>C16635|C00001</t>
  </si>
  <si>
    <t>https://www.genome.jp/entry/ec:3.5.4.9</t>
  </si>
  <si>
    <t>https://www.genome.jp/entry/R01655</t>
  </si>
  <si>
    <t>C00234|C00080</t>
  </si>
  <si>
    <t>https://www.genome.jp/entry/ec:3.5.99.6</t>
  </si>
  <si>
    <t>https://www.genome.jp/entry/R00765</t>
  </si>
  <si>
    <t>C00085|C00014</t>
  </si>
  <si>
    <t>C00352|C00001</t>
  </si>
  <si>
    <t>https://www.genome.jp/entry/ec:3.6.1.1</t>
  </si>
  <si>
    <t>https://www.genome.jp/entry/R00004</t>
  </si>
  <si>
    <t>C00013|C00001</t>
  </si>
  <si>
    <t>https://www.genome.jp/entry/ec:3.6.1.13</t>
  </si>
  <si>
    <t>https://www.genome.jp/entry/R01054</t>
  </si>
  <si>
    <t>C00020|C00117</t>
  </si>
  <si>
    <t>C00301|C00001</t>
  </si>
  <si>
    <t>https://www.genome.jp/entry/ec:3.6.1.15</t>
  </si>
  <si>
    <t>https://www.genome.jp/entry/R02319</t>
  </si>
  <si>
    <t>https://www.genome.jp/entry/R00086</t>
  </si>
  <si>
    <t>https://www.genome.jp/entry/R00615</t>
  </si>
  <si>
    <t>C00454|C00009</t>
  </si>
  <si>
    <t>C00008|C00009</t>
  </si>
  <si>
    <t>C01081|C00009</t>
  </si>
  <si>
    <t>C00201|C00001</t>
  </si>
  <si>
    <t>C00002|C00001</t>
  </si>
  <si>
    <t>C00068|C00001</t>
  </si>
  <si>
    <t>https://www.genome.jp/entry/ec:3.6.1.17</t>
  </si>
  <si>
    <t>https://www.genome.jp/entry/R01232</t>
  </si>
  <si>
    <t>https://www.genome.jp/entry/R00184</t>
  </si>
  <si>
    <t>https://www.genome.jp/entry/R00969</t>
  </si>
  <si>
    <t>https://www.genome.jp/entry/R02805</t>
  </si>
  <si>
    <t>C00044|C00144</t>
  </si>
  <si>
    <t>C00075|C00105</t>
  </si>
  <si>
    <t>C00700|C00655</t>
  </si>
  <si>
    <t>C01260|C00001</t>
  </si>
  <si>
    <t>C06198|C00001</t>
  </si>
  <si>
    <t>https://www.genome.jp/entry/ec:3.6.1.23</t>
  </si>
  <si>
    <t>https://www.genome.jp/entry/R02100</t>
  </si>
  <si>
    <t>https://www.genome.jp/entry/R11896</t>
  </si>
  <si>
    <t>C00365|C00013</t>
  </si>
  <si>
    <t>C04242|C00013</t>
  </si>
  <si>
    <t>C00460|C00001</t>
  </si>
  <si>
    <t>C21751|C00001</t>
  </si>
  <si>
    <t>https://www.genome.jp/entry/ec:3.6.1.27</t>
  </si>
  <si>
    <t>https://www.genome.jp/entry/R05627</t>
  </si>
  <si>
    <t>C17556|C00009</t>
  </si>
  <si>
    <t>C04574|C00001</t>
  </si>
  <si>
    <t>https://www.genome.jp/entry/ec:3.6.1.31</t>
  </si>
  <si>
    <t>https://www.genome.jp/entry/R04035</t>
  </si>
  <si>
    <t>C02741|C00013</t>
  </si>
  <si>
    <t>C02739|C00001</t>
  </si>
  <si>
    <t>https://www.genome.jp/entry/ec:3.6.1.7</t>
  </si>
  <si>
    <t>https://www.genome.jp/entry/R00539</t>
  </si>
  <si>
    <t>https://www.genome.jp/entry/R00317</t>
  </si>
  <si>
    <t>https://www.genome.jp/entry/R01421</t>
  </si>
  <si>
    <t>https://www.genome.jp/entry/R01515</t>
  </si>
  <si>
    <t>C00060|C00009</t>
  </si>
  <si>
    <t>C00033|C00009</t>
  </si>
  <si>
    <t>C00180|C00009</t>
  </si>
  <si>
    <t>C00197|C00009</t>
  </si>
  <si>
    <t>C02133|C00001</t>
  </si>
  <si>
    <t>C00227|C00001</t>
  </si>
  <si>
    <t>C06206|C00001</t>
  </si>
  <si>
    <t>C00236|C00001</t>
  </si>
  <si>
    <t>https://www.genome.jp/entry/ec:4.1.1.20</t>
  </si>
  <si>
    <t>https://www.genome.jp/entry/R00451</t>
  </si>
  <si>
    <t>C00680</t>
  </si>
  <si>
    <t>https://www.genome.jp/entry/ec:4.1.1.21</t>
  </si>
  <si>
    <t>https://www.genome.jp/entry/R04209</t>
  </si>
  <si>
    <t>C04751</t>
  </si>
  <si>
    <t>C00047|C00011</t>
  </si>
  <si>
    <t>C03373|C00011</t>
  </si>
  <si>
    <t>https://www.genome.jp/entry/ec:4.1.1.23</t>
  </si>
  <si>
    <t>https://www.genome.jp/entry/R00965</t>
  </si>
  <si>
    <t>C01103 </t>
  </si>
  <si>
    <t>C00105|C00011</t>
  </si>
  <si>
    <t>https://www.genome.jp/entry/ec:4.1.1.31</t>
  </si>
  <si>
    <t>https://www.genome.jp/entry/R00345</t>
  </si>
  <si>
    <t>C00001|C00074|C00011</t>
  </si>
  <si>
    <t>C00009|C00036</t>
  </si>
  <si>
    <t>https://www.genome.jp/entry/ec:4.1.1.33</t>
  </si>
  <si>
    <t>https://www.genome.jp/entry/R01121</t>
  </si>
  <si>
    <t>C00008|C00009|C00129|C00011</t>
  </si>
  <si>
    <t>C00002|C01143</t>
  </si>
  <si>
    <t>https://www.genome.jp/entry/ec:4.1.1.36</t>
  </si>
  <si>
    <t>https://www.genome.jp/entry/R03269</t>
  </si>
  <si>
    <t>C04352</t>
  </si>
  <si>
    <t>C01134|C00011</t>
  </si>
  <si>
    <t>https://www.genome.jp/entry/ec:4.1.1.48</t>
  </si>
  <si>
    <t>https://www.genome.jp/entry/R03508</t>
  </si>
  <si>
    <t>C01302</t>
  </si>
  <si>
    <t>C03506|C00011|C00001</t>
  </si>
  <si>
    <t>https://www.genome.jp/entry/ec:4.1.1.5</t>
  </si>
  <si>
    <t>https://www.genome.jp/entry/R02948</t>
  </si>
  <si>
    <t>C00810|C00011</t>
  </si>
  <si>
    <t>https://www.genome.jp/entry/ec:4.1.2.13</t>
  </si>
  <si>
    <t>https://www.genome.jp/entry/R01068</t>
  </si>
  <si>
    <t>C00354</t>
  </si>
  <si>
    <t>https://www.genome.jp/entry/R01070</t>
  </si>
  <si>
    <t>C05378</t>
  </si>
  <si>
    <t>https://www.genome.jp/entry/R01829</t>
  </si>
  <si>
    <t>C00447</t>
  </si>
  <si>
    <t>https://www.genome.jp/entry/R02568</t>
  </si>
  <si>
    <t>C01094</t>
  </si>
  <si>
    <t>C00111|C00118</t>
  </si>
  <si>
    <t>C00111|C00279</t>
  </si>
  <si>
    <t>C00111|C00577</t>
  </si>
  <si>
    <t>https://www.genome.jp/entry/ec:4.1.2.25</t>
  </si>
  <si>
    <t>https://www.genome.jp/entry/R03504</t>
  </si>
  <si>
    <t>C04874</t>
  </si>
  <si>
    <t>C00266|C01300</t>
  </si>
  <si>
    <t>https://www.genome.jp/entry/ec:4.1.2.4</t>
  </si>
  <si>
    <t>https://www.genome.jp/entry/R01066</t>
  </si>
  <si>
    <t>C00673</t>
  </si>
  <si>
    <t>C00118|C00084</t>
  </si>
  <si>
    <t>https://www.genome.jp/entry/ec:4.1.3.27</t>
  </si>
  <si>
    <t>https://www.genome.jp/entry/R00986</t>
  </si>
  <si>
    <t>https://www.genome.jp/entry/R00985</t>
  </si>
  <si>
    <t>C00108|C00022|C00025</t>
  </si>
  <si>
    <t>C00108|C00022|C00001</t>
  </si>
  <si>
    <t>C00251|C00064</t>
  </si>
  <si>
    <t>C00251|C00014</t>
  </si>
  <si>
    <t>https://www.genome.jp/entry/ec:4.2.1.1</t>
  </si>
  <si>
    <t>https://www.genome.jp/entry/R00132</t>
  </si>
  <si>
    <t>C01353</t>
  </si>
  <si>
    <t>C00011|C00001</t>
  </si>
  <si>
    <t>https://www.genome.jp/entry/R10092</t>
  </si>
  <si>
    <t>C00288|C00080</t>
  </si>
  <si>
    <t>https://www.genome.jp/entry/ec:4.2.1.10</t>
  </si>
  <si>
    <t>https://www.genome.jp/entry/R03084</t>
  </si>
  <si>
    <t>C00944</t>
  </si>
  <si>
    <t>C02637|C00001</t>
  </si>
  <si>
    <t>https://www.genome.jp/entry/ec:4.2.1.11</t>
  </si>
  <si>
    <t>https://www.genome.jp/entry/R00658</t>
  </si>
  <si>
    <t>C00631</t>
  </si>
  <si>
    <t>C00074|C00001</t>
  </si>
  <si>
    <t>https://www.genome.jp/entry/R04206</t>
  </si>
  <si>
    <t>C03356</t>
  </si>
  <si>
    <t>C04309|C00001</t>
  </si>
  <si>
    <t>https://www.genome.jp/entry/ec:4.2.1.17</t>
  </si>
  <si>
    <t>https://www.genome.jp/entry/R02685</t>
  </si>
  <si>
    <t>C00640</t>
  </si>
  <si>
    <t>C00658|C00001</t>
  </si>
  <si>
    <t>https://www.genome.jp/entry/R03026</t>
  </si>
  <si>
    <t>C01144</t>
  </si>
  <si>
    <t>C00877|C00001</t>
  </si>
  <si>
    <t>https://www.genome.jp/entry/R03045</t>
  </si>
  <si>
    <t>C05668</t>
  </si>
  <si>
    <t>C00894|C00001</t>
  </si>
  <si>
    <t>https://www.genome.jp/entry/R04170</t>
  </si>
  <si>
    <t>C05262</t>
  </si>
  <si>
    <t>C03221|C00001</t>
  </si>
  <si>
    <t>https://www.genome.jp/entry/R04204</t>
  </si>
  <si>
    <t>C04405</t>
  </si>
  <si>
    <t>C03345|C00001</t>
  </si>
  <si>
    <t>https://www.genome.jp/entry/R04224</t>
  </si>
  <si>
    <t>C03460|C00001</t>
  </si>
  <si>
    <t>C06000</t>
  </si>
  <si>
    <t>https://www.genome.jp/entry/R04738</t>
  </si>
  <si>
    <t>C05258</t>
  </si>
  <si>
    <t>C05272|C00001</t>
  </si>
  <si>
    <t>https://www.genome.jp/entry/R04740</t>
  </si>
  <si>
    <t>C05260</t>
  </si>
  <si>
    <t>C05273|C00001</t>
  </si>
  <si>
    <t>https://www.genome.jp/entry/R04744</t>
  </si>
  <si>
    <t>C05264 </t>
  </si>
  <si>
    <t>C05275|C00001</t>
  </si>
  <si>
    <t>https://www.genome.jp/entry/R04746</t>
  </si>
  <si>
    <t>C05266 </t>
  </si>
  <si>
    <t>C05276|C00001</t>
  </si>
  <si>
    <t>https://www.genome.jp/entry/R04749</t>
  </si>
  <si>
    <t>C05268</t>
  </si>
  <si>
    <t>C05271|C00001</t>
  </si>
  <si>
    <t>https://www.genome.jp/entry/R07889</t>
  </si>
  <si>
    <t>C16329</t>
  </si>
  <si>
    <t>C16328|C00001</t>
  </si>
  <si>
    <t>https://www.genome.jp/entry/R07893</t>
  </si>
  <si>
    <t>C16333</t>
  </si>
  <si>
    <t>C16332|C00001</t>
  </si>
  <si>
    <t>https://www.genome.jp/entry/R07897</t>
  </si>
  <si>
    <t>C16337 </t>
  </si>
  <si>
    <t>C16336|C00001</t>
  </si>
  <si>
    <t>https://www.genome.jp/entry/R07314</t>
  </si>
  <si>
    <t>C05067|C00001</t>
  </si>
  <si>
    <t>https://www.genome.jp/entry/R03224</t>
  </si>
  <si>
    <t>C01086</t>
  </si>
  <si>
    <t>C01122|C00001</t>
  </si>
  <si>
    <t>https://www.genome.jp/entry/R04137</t>
  </si>
  <si>
    <t>C05998</t>
  </si>
  <si>
    <t>C03069|C00001</t>
  </si>
  <si>
    <t>https://www.genome.jp/entry/R05595</t>
  </si>
  <si>
    <t>C05116</t>
  </si>
  <si>
    <t>https://www.genome.jp/entry/R06411</t>
  </si>
  <si>
    <t>C11946|C00001</t>
  </si>
  <si>
    <t>C11947</t>
  </si>
  <si>
    <t>https://www.genome.jp/entry/R06412</t>
  </si>
  <si>
    <t>C11945|C00001</t>
  </si>
  <si>
    <t>https://www.genome.jp/entry/R06942</t>
  </si>
  <si>
    <t>C14144|C00001</t>
  </si>
  <si>
    <t>C14145</t>
  </si>
  <si>
    <t>https://www.genome.jp/entry/R08093</t>
  </si>
  <si>
    <t>C16469</t>
  </si>
  <si>
    <t>G10531|C00001 </t>
  </si>
  <si>
    <t>C00014|C00288 </t>
  </si>
  <si>
    <t>C00086|C00001 </t>
  </si>
  <si>
    <r>
      <t>C16468</t>
    </r>
    <r>
      <rPr>
        <sz val="11"/>
        <color theme="1"/>
        <rFont val="Calibri"/>
        <family val="2"/>
      </rPr>
      <t>|C00001</t>
    </r>
  </si>
  <si>
    <t>https://www.genome.jp/entry/ec:4.2.1.19</t>
  </si>
  <si>
    <t>https://www.genome.jp/entry/R03457</t>
  </si>
  <si>
    <t>C04666</t>
  </si>
  <si>
    <t>C01267|C00001</t>
  </si>
  <si>
    <t>https://www.genome.jp/entry/ec:4.2.1.20</t>
  </si>
  <si>
    <t>https://www.genome.jp/entry/R00674</t>
  </si>
  <si>
    <t>https://www.genome.jp/entry/R02340</t>
  </si>
  <si>
    <t>C03506</t>
  </si>
  <si>
    <t>https://www.genome.jp/entry/R02722</t>
  </si>
  <si>
    <t>C00078|C00001</t>
  </si>
  <si>
    <t>C00463|C00118</t>
  </si>
  <si>
    <t>C00078|C00118|C00001</t>
  </si>
  <si>
    <t>C00065|C03506</t>
  </si>
  <si>
    <t>https://www.genome.jp/entry/ec:4.2.1.3</t>
  </si>
  <si>
    <t>https://www.genome.jp/entry/R01324</t>
  </si>
  <si>
    <t>C00158</t>
  </si>
  <si>
    <t>C00311</t>
  </si>
  <si>
    <t>https://www.genome.jp/entry/R01325</t>
  </si>
  <si>
    <t>C00417|C00001</t>
  </si>
  <si>
    <t>https://www.genome.jp/entry/R01900</t>
  </si>
  <si>
    <t>https://www.genome.jp/entry/ec:4.2.1.33</t>
  </si>
  <si>
    <t>https://www.genome.jp/entry/R03968</t>
  </si>
  <si>
    <t>C02504</t>
  </si>
  <si>
    <t>C02631|C00001</t>
  </si>
  <si>
    <t>https://www.genome.jp/entry/R04001</t>
  </si>
  <si>
    <t>C04411 </t>
  </si>
  <si>
    <t>https://www.genome.jp/entry/R10170</t>
  </si>
  <si>
    <t>C04411</t>
  </si>
  <si>
    <t>https://www.genome.jp/entry/ec:4.2.1.46</t>
  </si>
  <si>
    <t>https://www.genome.jp/entry/R06513</t>
  </si>
  <si>
    <t>C00842</t>
  </si>
  <si>
    <t>C11907|C00001</t>
  </si>
  <si>
    <t>https://www.genome.jp/entry/ec:4.2.1.51</t>
  </si>
  <si>
    <t>https://www.genome.jp/entry/R01373</t>
  </si>
  <si>
    <t>C00254 </t>
  </si>
  <si>
    <t>C00166|C00001|C00011</t>
  </si>
  <si>
    <t>https://www.genome.jp/entry/R00691</t>
  </si>
  <si>
    <t>C00826</t>
  </si>
  <si>
    <t>C00079|C00001|C00011</t>
  </si>
  <si>
    <t>https://www.genome.jp/entry/ec:4.2.1.9</t>
  </si>
  <si>
    <t>https://www.genome.jp/entry/R01209</t>
  </si>
  <si>
    <t>C04039</t>
  </si>
  <si>
    <t>https://www.genome.jp/entry/R04441</t>
  </si>
  <si>
    <t>C04272</t>
  </si>
  <si>
    <t>https://www.genome.jp/entry/R05070</t>
  </si>
  <si>
    <t>C06007</t>
  </si>
  <si>
    <t>C00671|C00001</t>
  </si>
  <si>
    <t>C00141|C00001</t>
  </si>
  <si>
    <t>https://www.genome.jp/entry/ec:4.2.3.1</t>
  </si>
  <si>
    <t>https://www.genome.jp/entry/R01466</t>
  </si>
  <si>
    <t>https://www.genome.jp/entry/R05086</t>
  </si>
  <si>
    <t>C00188|C00009</t>
  </si>
  <si>
    <t>C06056|C00009</t>
  </si>
  <si>
    <t>C01102|C00001</t>
  </si>
  <si>
    <t>C06055|C00001</t>
  </si>
  <si>
    <t>https://www.genome.jp/entry/ec:4.2.3.12</t>
  </si>
  <si>
    <t>https://www.genome.jp/entry/R04286</t>
  </si>
  <si>
    <t>C04895</t>
  </si>
  <si>
    <t>C03684|C00536</t>
  </si>
  <si>
    <t>https://www.genome.jp/entry/ec:4.2.3.4</t>
  </si>
  <si>
    <t>https://www.genome.jp/entry/R03083</t>
  </si>
  <si>
    <t>C04691</t>
  </si>
  <si>
    <t>C00944|C00009</t>
  </si>
  <si>
    <t>https://www.genome.jp/entry/ec:4.2.3.5</t>
  </si>
  <si>
    <t>https://www.genome.jp/entry/R01714</t>
  </si>
  <si>
    <t>C01269</t>
  </si>
  <si>
    <t>C00251|C00009</t>
  </si>
  <si>
    <t>https://www.genome.jp/entry/ec:4.3.1.17</t>
  </si>
  <si>
    <t>https://www.genome.jp/entry/R00220</t>
  </si>
  <si>
    <t>C00065</t>
  </si>
  <si>
    <t>https://www.genome.jp/entry/R00590</t>
  </si>
  <si>
    <t>https://www.genome.jp/entry/R11099</t>
  </si>
  <si>
    <t>https://www.genome.jp/entry/R11100</t>
  </si>
  <si>
    <t>C02218</t>
  </si>
  <si>
    <t>C20904</t>
  </si>
  <si>
    <t>https://www.genome.jp/entry/R06131</t>
  </si>
  <si>
    <t>C05167</t>
  </si>
  <si>
    <t>C00022|C00014</t>
  </si>
  <si>
    <t>C02218|C00001</t>
  </si>
  <si>
    <t>C00161|C00014</t>
  </si>
  <si>
    <t>https://www.genome.jp/entry/ec:4.3.1.19</t>
  </si>
  <si>
    <t>https://www.genome.jp/entry/R00996</t>
  </si>
  <si>
    <t>C00188 </t>
  </si>
  <si>
    <t>https://www.genome.jp/entry/R11098</t>
  </si>
  <si>
    <t>https://www.genome.jp/entry/R11101</t>
  </si>
  <si>
    <t>C17234 </t>
  </si>
  <si>
    <t>C20905</t>
  </si>
  <si>
    <t>C05167 </t>
  </si>
  <si>
    <t>C00109|C00014</t>
  </si>
  <si>
    <t>https://www.genome.jp/entry/ec:4.3.2.1</t>
  </si>
  <si>
    <t>https://www.genome.jp/entry/R01086</t>
  </si>
  <si>
    <t>C03406</t>
  </si>
  <si>
    <t>C00122|C00062</t>
  </si>
  <si>
    <t>https://www.genome.jp/entry/ec:4.3.2.2</t>
  </si>
  <si>
    <t>https://www.genome.jp/entry/R01083</t>
  </si>
  <si>
    <t>C03794 </t>
  </si>
  <si>
    <t>https://www.genome.jp/entry/R04559</t>
  </si>
  <si>
    <t>C04823</t>
  </si>
  <si>
    <t>https://www.genome.jp/entry/R12851</t>
  </si>
  <si>
    <t>C22395 </t>
  </si>
  <si>
    <t>C00122|C00020</t>
  </si>
  <si>
    <t>C00122|C04677</t>
  </si>
  <si>
    <t>C22441|C00122</t>
  </si>
  <si>
    <t>https://www.genome.jp/entry/ec:4.3.3.7</t>
  </si>
  <si>
    <t>https://www.genome.jp/entry/R10147</t>
  </si>
  <si>
    <t>C20258|C00001</t>
  </si>
  <si>
    <t>https://www.genome.jp/entry/ec:4.4.1.21</t>
  </si>
  <si>
    <t>https://www.genome.jp/entry/R01291</t>
  </si>
  <si>
    <t>C03539</t>
  </si>
  <si>
    <t>C11838|C00155</t>
  </si>
  <si>
    <t>https://www.genome.jp/entry/ec:4.4.1.5</t>
  </si>
  <si>
    <t>https://www.genome.jp/entry/R02530</t>
  </si>
  <si>
    <t>C03451</t>
  </si>
  <si>
    <t>C00051|C00546</t>
  </si>
  <si>
    <t>https://www.genome.jp/entry/ec:5.1.1.1</t>
  </si>
  <si>
    <t>https://www.genome.jp/entry/R00401</t>
  </si>
  <si>
    <t>C00041</t>
  </si>
  <si>
    <t>C00133</t>
  </si>
  <si>
    <t>https://www.genome.jp/entry/ec:5.1.1.3</t>
  </si>
  <si>
    <t>https://www.genome.jp/entry/R00260</t>
  </si>
  <si>
    <t>C00025</t>
  </si>
  <si>
    <t>C00217</t>
  </si>
  <si>
    <t>https://www.genome.jp/entry/ec:5.1.3.1</t>
  </si>
  <si>
    <t>https://www.genome.jp/entry/R01529</t>
  </si>
  <si>
    <t>C00199</t>
  </si>
  <si>
    <t>C00231</t>
  </si>
  <si>
    <t>https://www.genome.jp/entry/ec:5.1.3.13</t>
  </si>
  <si>
    <t>https://www.genome.jp/entry/R06514</t>
  </si>
  <si>
    <t>C11907</t>
  </si>
  <si>
    <t>C00688</t>
  </si>
  <si>
    <t>https://www.genome.jp/entry/ec:5.1.3.2</t>
  </si>
  <si>
    <t>https://www.genome.jp/entry/R00291</t>
  </si>
  <si>
    <t>C00029 </t>
  </si>
  <si>
    <t>https://www.genome.jp/entry/R00418</t>
  </si>
  <si>
    <t>C00043</t>
  </si>
  <si>
    <t>C00203</t>
  </si>
  <si>
    <t>https://www.genome.jp/entry/R02984</t>
  </si>
  <si>
    <t>C02097</t>
  </si>
  <si>
    <t>https://www.genome.jp/entry/ec:5.1.3.3</t>
  </si>
  <si>
    <t>https://www.genome.jp/entry/R01602</t>
  </si>
  <si>
    <t>C00267 </t>
  </si>
  <si>
    <t>C00221</t>
  </si>
  <si>
    <t>https://www.genome.jp/entry/R10619</t>
  </si>
  <si>
    <t>C00124</t>
  </si>
  <si>
    <t>C00984</t>
  </si>
  <si>
    <t>https://www.genome.jp/entry/ec:5.2.1.8</t>
  </si>
  <si>
    <t>https://www.genome.jp/entry/R04273</t>
  </si>
  <si>
    <t>C03798</t>
  </si>
  <si>
    <t>C03633</t>
  </si>
  <si>
    <t>https://www.genome.jp/entry/ec:5.3.1.1</t>
  </si>
  <si>
    <t>https://www.genome.jp/entry/R01015</t>
  </si>
  <si>
    <t>C00118</t>
  </si>
  <si>
    <t>C00111</t>
  </si>
  <si>
    <t>https://www.genome.jp/entry/ec:5.3.1.16</t>
  </si>
  <si>
    <t>https://www.genome.jp/entry/R04640</t>
  </si>
  <si>
    <t>C04916</t>
  </si>
  <si>
    <t>https://www.genome.jp/entry/ec:5.3.1.24</t>
  </si>
  <si>
    <t>https://www.genome.jp/entry/R03509</t>
  </si>
  <si>
    <t>C04302</t>
  </si>
  <si>
    <t>https://www.genome.jp/entry/ec:5.3.1.6</t>
  </si>
  <si>
    <t>https://www.genome.jp/entry/R01056</t>
  </si>
  <si>
    <t>C00117 </t>
  </si>
  <si>
    <t>https://www.genome.jp/entry/R09030</t>
  </si>
  <si>
    <t>C02962</t>
  </si>
  <si>
    <t>C18096</t>
  </si>
  <si>
    <t>https://www.genome.jp/entry/ec:5.3.1.8</t>
  </si>
  <si>
    <t>https://www.genome.jp/entry/R00772</t>
  </si>
  <si>
    <t>C00275</t>
  </si>
  <si>
    <t>C00085</t>
  </si>
  <si>
    <t>https://www.genome.jp/entry/R01819</t>
  </si>
  <si>
    <t>C00275 </t>
  </si>
  <si>
    <t>C05345</t>
  </si>
  <si>
    <t>https://www.genome.jp/entry/ec:5.3.1.9</t>
  </si>
  <si>
    <t>https://www.genome.jp/entry/R02740</t>
  </si>
  <si>
    <t>C00668</t>
  </si>
  <si>
    <t>https://www.genome.jp/entry/R00771</t>
  </si>
  <si>
    <t>C00092</t>
  </si>
  <si>
    <t>https://www.genome.jp/entry/R02739</t>
  </si>
  <si>
    <t>C01172</t>
  </si>
  <si>
    <t>https://www.genome.jp/entry/R03321</t>
  </si>
  <si>
    <t>https://www.genome.jp/entry/R13199</t>
  </si>
  <si>
    <t>https://www.genome.jp/entry/ec:5.3.3.2</t>
  </si>
  <si>
    <t>https://www.genome.jp/entry/R01123</t>
  </si>
  <si>
    <t>C00129 </t>
  </si>
  <si>
    <t>C00235</t>
  </si>
  <si>
    <t>https://www.genome.jp/entry/ec:5.4.2.10</t>
  </si>
  <si>
    <t>https://www.genome.jp/entry/R02060</t>
  </si>
  <si>
    <t>C06156</t>
  </si>
  <si>
    <t>C00352</t>
  </si>
  <si>
    <t>https://www.genome.jp/entry/ec:5.4.2.2</t>
  </si>
  <si>
    <t>https://www.genome.jp/entry/R08639</t>
  </si>
  <si>
    <t>C00103 </t>
  </si>
  <si>
    <t>https://www.genome.jp/entry/R00959</t>
  </si>
  <si>
    <t xml:space="preserve">C00103 </t>
  </si>
  <si>
    <t>https://www.genome.jp/entry/R01057</t>
  </si>
  <si>
    <t>C00620</t>
  </si>
  <si>
    <t>C00117</t>
  </si>
  <si>
    <t>https://www.genome.jp/entry/R03319</t>
  </si>
  <si>
    <t>C01171</t>
  </si>
  <si>
    <t>C03735</t>
  </si>
  <si>
    <t>https://www.genome.jp/entry/ec:5.4.2.7</t>
  </si>
  <si>
    <t>https://www.genome.jp/entry/R02749</t>
  </si>
  <si>
    <t>C00672</t>
  </si>
  <si>
    <t>https://www.genome.jp/entry/ec:5.4.99.12</t>
  </si>
  <si>
    <t>https://www.genome.jp/entry/R03020</t>
  </si>
  <si>
    <t>C00868</t>
  </si>
  <si>
    <t>C02764</t>
  </si>
  <si>
    <t>https://www.genome.jp/entry/ec:5.4.99.5</t>
  </si>
  <si>
    <t>https://www.genome.jp/entry/R01715</t>
  </si>
  <si>
    <t>C00251</t>
  </si>
  <si>
    <t>C00254</t>
  </si>
  <si>
    <t>https://www.genome.jp/entry/ec:5.4.99.9</t>
  </si>
  <si>
    <t>https://www.genome.jp/entry/R00505</t>
  </si>
  <si>
    <t>C00052 </t>
  </si>
  <si>
    <t>C03733</t>
  </si>
  <si>
    <t>https://www.genome.jp/entry/R09009</t>
  </si>
  <si>
    <t>C00935 </t>
  </si>
  <si>
    <t>C18094</t>
  </si>
  <si>
    <t>https://www.genome.jp/entry/ec:6.1.1.1</t>
  </si>
  <si>
    <t>https://www.genome.jp/entry/R02918</t>
  </si>
  <si>
    <t>C00020|C00013|C02839</t>
  </si>
  <si>
    <t>C00002|C00082|C00787</t>
  </si>
  <si>
    <t>https://www.genome.jp/entry/ec:6.1.1.10</t>
  </si>
  <si>
    <t>https://www.genome.jp/entry/R03659</t>
  </si>
  <si>
    <t>https://www.genome.jp/entry/R04773</t>
  </si>
  <si>
    <t>C00020|C00013|C02430</t>
  </si>
  <si>
    <t>C00020|C00013|C05336</t>
  </si>
  <si>
    <t>C00002|C05335|C01647</t>
  </si>
  <si>
    <t>https://www.genome.jp/entry/ec:6.1.1.11</t>
  </si>
  <si>
    <t>https://www.genome.jp/entry/R03662</t>
  </si>
  <si>
    <t>C00020|C00013|C02553</t>
  </si>
  <si>
    <t>C00002|C00065|C01650</t>
  </si>
  <si>
    <t>https://www.genome.jp/entry/R08218</t>
  </si>
  <si>
    <t>C00020|C00013|C06481</t>
  </si>
  <si>
    <t>https://www.genome.jp/entry/ec:6.1.1.12</t>
  </si>
  <si>
    <t>https://www.genome.jp/entry/R05577</t>
  </si>
  <si>
    <t>C02984|C00013|C00020</t>
  </si>
  <si>
    <t>https://www.genome.jp/entry/ec:6.1.1.13</t>
  </si>
  <si>
    <t>https://www.genome.jp/entry/R02718</t>
  </si>
  <si>
    <t>C00002|C00133|C00653</t>
  </si>
  <si>
    <t>https://www.genome.jp/entry/R12812</t>
  </si>
  <si>
    <t>https://www.genome.jp/entry/R12863</t>
  </si>
  <si>
    <t>https://www.genome.jp/entry/R12867</t>
  </si>
  <si>
    <t>https://www.genome.jp/entry/R12871</t>
  </si>
  <si>
    <t>https://www.genome.jp/entry/R12873</t>
  </si>
  <si>
    <t>https://www.genome.jp/entry/R12875</t>
  </si>
  <si>
    <t>https://www.genome.jp/entry/R12904</t>
  </si>
  <si>
    <t>C00020|C00013|C04260</t>
  </si>
  <si>
    <t>C00020|C00013|G13186</t>
  </si>
  <si>
    <t>C00020|C00013|G13180</t>
  </si>
  <si>
    <t>C00020|C00013|G13171</t>
  </si>
  <si>
    <t>C00020|C00013|G13177</t>
  </si>
  <si>
    <t>C00020|C00013|G13179</t>
  </si>
  <si>
    <t>C00020|C00013|G13193</t>
  </si>
  <si>
    <t>C00002|C00133|G13170</t>
  </si>
  <si>
    <t>C00002|C00133|G13176</t>
  </si>
  <si>
    <t>C00002|C00133|G13192</t>
  </si>
  <si>
    <t>https://www.genome.jp/entry/ec:6.1.1.14</t>
  </si>
  <si>
    <t>https://www.genome.jp/entry/R03654</t>
  </si>
  <si>
    <t>C00002|C00037|C01642</t>
  </si>
  <si>
    <t>C00020|C00013|C02412</t>
  </si>
  <si>
    <t>https://www.genome.jp/entry/ec:6.1.1.15</t>
  </si>
  <si>
    <t>https://www.genome.jp/entry/R03661</t>
  </si>
  <si>
    <t>C00020|C00013|C02702</t>
  </si>
  <si>
    <t>https://www.genome.jp/entry/ec:6.1.1.16</t>
  </si>
  <si>
    <t>https://www.genome.jp/entry/R03650</t>
  </si>
  <si>
    <t>C00002|C00097|C01639</t>
  </si>
  <si>
    <t>C00020|C00013|C03125</t>
  </si>
  <si>
    <t>https://www.genome.jp/entry/ec:6.1.1.17</t>
  </si>
  <si>
    <t>https://www.genome.jp/entry/R05578</t>
  </si>
  <si>
    <t>C02987|C00013|C00020</t>
  </si>
  <si>
    <t>C01641|C00025|C00002</t>
  </si>
  <si>
    <t>https://www.genome.jp/entry/ec:6.1.1.19</t>
  </si>
  <si>
    <t>https://www.genome.jp/entry/R03646</t>
  </si>
  <si>
    <t>C00020|C00013|C02163</t>
  </si>
  <si>
    <t>C00002|C00062|C01636</t>
  </si>
  <si>
    <t>https://www.genome.jp/entry/ec:6.1.1.2</t>
  </si>
  <si>
    <t>https://www.genome.jp/entry/R03664</t>
  </si>
  <si>
    <t>C00020|C00013|C03512</t>
  </si>
  <si>
    <t>C00002|C00078|C01652</t>
  </si>
  <si>
    <t>https://www.genome.jp/entry/ec:6.1.1.20</t>
  </si>
  <si>
    <t>https://www.genome.jp/entry/R03660</t>
  </si>
  <si>
    <t>C00002|C00079|C01648</t>
  </si>
  <si>
    <t>C00020|C00013|C03511</t>
  </si>
  <si>
    <t>https://www.genome.jp/entry/ec:6.1.1.21</t>
  </si>
  <si>
    <t>https://www.genome.jp/entry/R03655</t>
  </si>
  <si>
    <t>C00002|C00135|C01643</t>
  </si>
  <si>
    <t>C00020|C00013|C02988</t>
  </si>
  <si>
    <t>https://www.genome.jp/entry/ec:6.1.1.22</t>
  </si>
  <si>
    <t>https://www.genome.jp/entry/R03648</t>
  </si>
  <si>
    <t>C00002|C00152|C01637</t>
  </si>
  <si>
    <t>C00020|C00013|C03402</t>
  </si>
  <si>
    <t>https://www.genome.jp/entry/ec:6.1.1.3</t>
  </si>
  <si>
    <t>https://www.genome.jp/entry/R03663</t>
  </si>
  <si>
    <t>C00020|C00013|C02992</t>
  </si>
  <si>
    <t>C00002|C00188|C01651</t>
  </si>
  <si>
    <t>https://www.genome.jp/entry/ec:6.1.1.4</t>
  </si>
  <si>
    <t>https://www.genome.jp/entry/R03657</t>
  </si>
  <si>
    <t>C00020|C00013|C02047</t>
  </si>
  <si>
    <t>C00002|C00123|C01645</t>
  </si>
  <si>
    <t>https://www.genome.jp/entry/ec:6.1.1.5</t>
  </si>
  <si>
    <t>https://www.genome.jp/entry/R03656</t>
  </si>
  <si>
    <t>C00020|C00013|C03127</t>
  </si>
  <si>
    <t>C00002|C00407|C01644</t>
  </si>
  <si>
    <t>https://www.genome.jp/entry/ec:6.1.1.6</t>
  </si>
  <si>
    <t>https://www.genome.jp/entry/R03658</t>
  </si>
  <si>
    <t>C00020|C00013|C01931</t>
  </si>
  <si>
    <t>https://www.genome.jp/entry/ec:6.1.1.7</t>
  </si>
  <si>
    <t>https://www.genome.jp/entry/R03038</t>
  </si>
  <si>
    <t>C00020|C00013|C00886</t>
  </si>
  <si>
    <t>C00002|C00041|C01635</t>
  </si>
  <si>
    <t>https://www.genome.jp/entry/ec:6.1.1.9</t>
  </si>
  <si>
    <t>https://www.genome.jp/entry/R03665</t>
  </si>
  <si>
    <t>C00020|C00013|C02554</t>
  </si>
  <si>
    <t>C00002|C00183|C01653</t>
  </si>
  <si>
    <t>https://www.genome.jp/entry/R00483</t>
  </si>
  <si>
    <t>https://www.genome.jp/entry/ec:6.3.1.2</t>
  </si>
  <si>
    <t>https://www.genome.jp/entry/ec:6.3.1.1</t>
  </si>
  <si>
    <t>https://www.genome.jp/entry/R00253</t>
  </si>
  <si>
    <t>https://www.genome.jp/entry/ec:6.3.1.5</t>
  </si>
  <si>
    <t>https://www.genome.jp/entry/R00189</t>
  </si>
  <si>
    <t>https://www.genome.jp/entry/ec:6.3.2.10</t>
  </si>
  <si>
    <t>https://www.genome.jp/entry/R04573</t>
  </si>
  <si>
    <t>https://www.genome.jp/entry/R04617</t>
  </si>
  <si>
    <t>https://www.genome.jp/entry/ec:6.3.2.13</t>
  </si>
  <si>
    <t>https://www.genome.jp/entry/R02788</t>
  </si>
  <si>
    <t>https://www.genome.jp/entry/ec:6.3.2.17</t>
  </si>
  <si>
    <t>https://www.genome.jp/entry/R04241</t>
  </si>
  <si>
    <t>https://www.genome.jp/entry/R00942</t>
  </si>
  <si>
    <t>https://www.genome.jp/entry/R01654</t>
  </si>
  <si>
    <t>https://www.genome.jp/entry/R02237</t>
  </si>
  <si>
    <t>https://www.genome.jp/entry/R05197</t>
  </si>
  <si>
    <t>C00020|C00013|C00152</t>
  </si>
  <si>
    <t>C00008|C00009|C00064</t>
  </si>
  <si>
    <t>C00020|C00013|C00003</t>
  </si>
  <si>
    <t>C00008|C00009|C04702</t>
  </si>
  <si>
    <t>C00008|C00009|C04882</t>
  </si>
  <si>
    <t>C00008|C00009|C04877</t>
  </si>
  <si>
    <t>C00008|C00009|C09332</t>
  </si>
  <si>
    <t>C00008|C00009|C05928</t>
  </si>
  <si>
    <t>C00008|C00009|C00415</t>
  </si>
  <si>
    <t>C00002|C00025|C00014</t>
  </si>
  <si>
    <t>C00002|C05892|C00993</t>
  </si>
  <si>
    <t>C00002|C04877|C00993</t>
  </si>
  <si>
    <t>C00002|C00692|C00680</t>
  </si>
  <si>
    <t>C00002|C00101|C00025</t>
  </si>
  <si>
    <t>C00002|C00234|C00025</t>
  </si>
  <si>
    <t>C00002|C00921|C00025</t>
  </si>
  <si>
    <t>https://www.genome.jp/entry/ec:6.3.2.3</t>
  </si>
  <si>
    <t>https://www.genome.jp/entry/R00497</t>
  </si>
  <si>
    <t>https://www.genome.jp/entry/R10994</t>
  </si>
  <si>
    <t>https://www.genome.jp/entry/ec:6.3.2.4</t>
  </si>
  <si>
    <t>https://www.genome.jp/entry/R01150</t>
  </si>
  <si>
    <t>https://www.genome.jp/entry/ec:6.3.2.5</t>
  </si>
  <si>
    <t>https://www.genome.jp/entry/R04231</t>
  </si>
  <si>
    <t>https://www.genome.jp/entry/ec:6.3.2.6</t>
  </si>
  <si>
    <t>https://www.genome.jp/entry/R04591</t>
  </si>
  <si>
    <t>https://www.genome.jp/entry/ec:6.3.2.7</t>
  </si>
  <si>
    <t>https://www.genome.jp/entry/R02786</t>
  </si>
  <si>
    <t>https://www.genome.jp/entry/ec:6.3.2.8</t>
  </si>
  <si>
    <t>https://www.genome.jp/entry/R03193</t>
  </si>
  <si>
    <t>https://www.genome.jp/entry/ec:6.3.2.9</t>
  </si>
  <si>
    <t>https://www.genome.jp/entry/R02783</t>
  </si>
  <si>
    <t>https://www.genome.jp/entry/ec:6.3.3.1</t>
  </si>
  <si>
    <t>https://www.genome.jp/entry/R04208</t>
  </si>
  <si>
    <t>https://www.genome.jp/entry/ec:6.3.3.2</t>
  </si>
  <si>
    <t>https://www.genome.jp/entry/R02301</t>
  </si>
  <si>
    <t>https://www.genome.jp/entry/ec:6.3.4.13</t>
  </si>
  <si>
    <t>https://www.genome.jp/entry/R04144</t>
  </si>
  <si>
    <t>https://www.genome.jp/entry/ec:6.3.4.15</t>
  </si>
  <si>
    <t>https://www.genome.jp/entry/R04562</t>
  </si>
  <si>
    <t>https://www.genome.jp/entry/R01074</t>
  </si>
  <si>
    <t>https://www.genome.jp/entry/R05145</t>
  </si>
  <si>
    <t>https://www.genome.jp/entry/ec:6.3.4.2</t>
  </si>
  <si>
    <t>https://www.genome.jp/entry/R00256</t>
  </si>
  <si>
    <t>https://www.genome.jp/entry/R00571</t>
  </si>
  <si>
    <t>https://www.genome.jp/entry/R00573</t>
  </si>
  <si>
    <t>https://www.genome.jp/entry/ec:6.3.4.21</t>
  </si>
  <si>
    <t>https://www.genome.jp/entry/R01724</t>
  </si>
  <si>
    <t>https://www.genome.jp/entry/ec:6.3.4.3</t>
  </si>
  <si>
    <t>https://www.genome.jp/entry/R00943</t>
  </si>
  <si>
    <t>https://www.genome.jp/entry/ec:6.3.4.4</t>
  </si>
  <si>
    <t>https://www.genome.jp/entry/R01135</t>
  </si>
  <si>
    <t>https://www.genome.jp/entry/ec:6.3.4.5</t>
  </si>
  <si>
    <t>https://www.genome.jp/entry/R01954</t>
  </si>
  <si>
    <t>https://www.genome.jp/entry/ec:6.3.5.2</t>
  </si>
  <si>
    <t>https://www.genome.jp/entry/R01230</t>
  </si>
  <si>
    <t>https://www.genome.jp/entry/R01231</t>
  </si>
  <si>
    <t>https://www.genome.jp/entry/R08244</t>
  </si>
  <si>
    <t>https://www.genome.jp/entry/ec:6.3.5.3</t>
  </si>
  <si>
    <t>https://www.genome.jp/entry/R04463</t>
  </si>
  <si>
    <t>https://www.genome.jp/entry/ec:6.3.5.5</t>
  </si>
  <si>
    <t>https://www.genome.jp/entry/R00575</t>
  </si>
  <si>
    <t>https://www.genome.jp/entry/R01395</t>
  </si>
  <si>
    <t>https://www.genome.jp/entry/R10948</t>
  </si>
  <si>
    <t>https://www.genome.jp/entry/R10949</t>
  </si>
  <si>
    <t>https://www.genome.jp/entry/R07641</t>
  </si>
  <si>
    <t>https://www.genome.jp/entry/ec:6.4.1.2</t>
  </si>
  <si>
    <t>https://www.genome.jp/entry/R00742</t>
  </si>
  <si>
    <t>C00002|C21015|C00037</t>
  </si>
  <si>
    <t>C00063|C03492|C00097</t>
  </si>
  <si>
    <t>C00002|C04751|C00049</t>
  </si>
  <si>
    <t>C00002|C00692|C00047</t>
  </si>
  <si>
    <t>C00002|C01050|C00041</t>
  </si>
  <si>
    <t>C00002|C04640</t>
  </si>
  <si>
    <t>C00002|C03479|C00080</t>
  </si>
  <si>
    <t>C00002|C03090|C00037</t>
  </si>
  <si>
    <t>C00002|C00120</t>
  </si>
  <si>
    <t>C00064|C00001</t>
  </si>
  <si>
    <t>C00002|C00075|C00064|C00001</t>
  </si>
  <si>
    <t>C01185|C00013|C00008|C00009</t>
  </si>
  <si>
    <t>C00101|C00058|C00002</t>
  </si>
  <si>
    <t>C00044|C00130|C00049</t>
  </si>
  <si>
    <t>C00002|C00327|C00049</t>
  </si>
  <si>
    <t>C00002|C00655|C00014</t>
  </si>
  <si>
    <t>C00002|C04376|C00064|C00001</t>
  </si>
  <si>
    <t>C00002|C01563</t>
  </si>
  <si>
    <t>C00014|C20969</t>
  </si>
  <si>
    <t>C00008|C00009|C00051</t>
  </si>
  <si>
    <t>C00008|C00009|C21016</t>
  </si>
  <si>
    <t>C00008|C00009|C00993</t>
  </si>
  <si>
    <t>C00055|C00013|C04352</t>
  </si>
  <si>
    <t>C00008|C00009|C04823</t>
  </si>
  <si>
    <t>C00008|C00009|C05892</t>
  </si>
  <si>
    <t>C00008|C00009|C01212</t>
  </si>
  <si>
    <t>C00008|C00009|C00692</t>
  </si>
  <si>
    <t>C00008|C00009|C03373</t>
  </si>
  <si>
    <t>C00008|C00009|C00445</t>
  </si>
  <si>
    <t>C00008|C00009|C03838</t>
  </si>
  <si>
    <t>C00020|C00013|C04681</t>
  </si>
  <si>
    <t>C00013|C05921</t>
  </si>
  <si>
    <t>C00020|C06250</t>
  </si>
  <si>
    <t>C00025|C00014</t>
  </si>
  <si>
    <t>C00008|C00009|C00063</t>
  </si>
  <si>
    <t>C00008|C00009|C00063|C00025</t>
  </si>
  <si>
    <t>C00008|C00009|C00234</t>
  </si>
  <si>
    <t>C00035|C00009|C03794</t>
  </si>
  <si>
    <t>C00020|C00013|C03406</t>
  </si>
  <si>
    <t>C00020|C00013|C00144</t>
  </si>
  <si>
    <t>C16619|C00020|C00013|C00025</t>
  </si>
  <si>
    <t>C00008|C00009|C04640|C00025</t>
  </si>
  <si>
    <t>C00008|C00169</t>
  </si>
  <si>
    <t>C00008|C20969</t>
  </si>
  <si>
    <t>C01563|C00009</t>
  </si>
  <si>
    <t>C00008|C00009|C00083</t>
  </si>
  <si>
    <t>C00002|C00669|C00037 </t>
  </si>
  <si>
    <t>C00002|C00655|C00064|C00001 </t>
  </si>
  <si>
    <t>C00020|C00013|C00144|C00025</t>
  </si>
  <si>
    <t>C16618|C00002|C00064|C00001 </t>
  </si>
  <si>
    <t>C00002|C00288 </t>
  </si>
  <si>
    <t>C00002|C00024|C00288 </t>
  </si>
  <si>
    <t>C20377|C00006</t>
  </si>
  <si>
    <t>C00101|C00006 </t>
  </si>
  <si>
    <t>C00101|C00003 </t>
  </si>
  <si>
    <t>C01189|C00011|C00001|C00006</t>
  </si>
  <si>
    <t>C00860|C00003|C00001</t>
  </si>
  <si>
    <t>C00418|C00010|C00003</t>
  </si>
  <si>
    <t>C00027|C00051</t>
  </si>
  <si>
    <t>C16675|C00006 </t>
  </si>
  <si>
    <t>C00051|C00006 </t>
  </si>
  <si>
    <t>C00051|C00003</t>
  </si>
  <si>
    <t>C01528|C00006|C00001 </t>
  </si>
  <si>
    <t>C00005|C00080|C18902 </t>
  </si>
  <si>
    <t>G10495|C00009</t>
  </si>
  <si>
    <t>C00031|G10499</t>
  </si>
  <si>
    <t>G10481|G10608 </t>
  </si>
  <si>
    <t>G10495|G11109 </t>
  </si>
  <si>
    <t>G10502|G00370</t>
  </si>
  <si>
    <t>C00718|C00031 </t>
  </si>
  <si>
    <t>G10495|C00031 </t>
  </si>
  <si>
    <r>
      <t>C00448|</t>
    </r>
    <r>
      <rPr>
        <sz val="11"/>
        <rFont val="Calibri"/>
        <family val="2"/>
      </rPr>
      <t>C00129</t>
    </r>
  </si>
  <si>
    <t>C00677|C00039</t>
  </si>
  <si>
    <t>C00201 </t>
  </si>
  <si>
    <t>C01909|C17023|C00019|C05359|C00080 </t>
  </si>
  <si>
    <t>G10545|C00001</t>
  </si>
  <si>
    <t>G10534|C00001 </t>
  </si>
  <si>
    <t>C01355|C00001</t>
  </si>
  <si>
    <t>G10535|C00001</t>
  </si>
  <si>
    <t>C00086|C00001</t>
  </si>
  <si>
    <t>C00002|C03541|C00025</t>
  </si>
  <si>
    <t>C00002|C05928|C00025 </t>
  </si>
  <si>
    <t>C00002|C00133</t>
  </si>
  <si>
    <t>C00002|C00064|C00288|C00001</t>
  </si>
  <si>
    <t>C00002|C00288|C00014</t>
  </si>
  <si>
    <t>C05111|C00007|C00005|C00080</t>
  </si>
  <si>
    <t>C00135|C00004|C00080</t>
  </si>
  <si>
    <t>C00356|C00004|C00080</t>
  </si>
  <si>
    <t>C00127|C00001</t>
  </si>
  <si>
    <t>C15996|C00005|C00080</t>
  </si>
  <si>
    <t>C05684|C00005|C00080</t>
  </si>
  <si>
    <t>C00006|C00001|C05703</t>
  </si>
  <si>
    <t>C00073</t>
  </si>
  <si>
    <t>C00022</t>
  </si>
  <si>
    <t>G00370|G10499</t>
  </si>
  <si>
    <t>G10481|G10619</t>
  </si>
  <si>
    <t>G10495|G11113</t>
  </si>
  <si>
    <t>G00275</t>
  </si>
  <si>
    <t>G10502|C00095</t>
  </si>
  <si>
    <r>
      <t>C04574|</t>
    </r>
    <r>
      <rPr>
        <sz val="11"/>
        <rFont val="Calibri"/>
        <family val="2"/>
      </rPr>
      <t>C00013</t>
    </r>
  </si>
  <si>
    <t>C00008</t>
  </si>
  <si>
    <t>C20864|C00013</t>
  </si>
  <si>
    <t>C00120|C00073|C05198</t>
  </si>
  <si>
    <t>G10545|G10545</t>
  </si>
  <si>
    <t>C00124|G10534</t>
  </si>
  <si>
    <t>C00095|C01355</t>
  </si>
  <si>
    <t>C00095|G10535</t>
  </si>
  <si>
    <t>C00288|C00014</t>
  </si>
  <si>
    <t>C00011|C00014</t>
  </si>
  <si>
    <t>C00009</t>
  </si>
  <si>
    <t>C00020|C00013|G13175</t>
  </si>
  <si>
    <t>C00008|C00009|C03541</t>
  </si>
  <si>
    <t>C00008|C00009|C05929</t>
  </si>
  <si>
    <t>C00253|C00119|C00002|C00001|C00080</t>
  </si>
  <si>
    <t>C00008|C00009|C00025|C00169</t>
  </si>
  <si>
    <t>C00008|C00009|C00169</t>
  </si>
  <si>
    <t>C00103</t>
  </si>
  <si>
    <t>C00704|C00080</t>
  </si>
  <si>
    <t>C00226</t>
  </si>
  <si>
    <t>C00003</t>
  </si>
  <si>
    <t>C00469</t>
  </si>
  <si>
    <t>C00473</t>
  </si>
  <si>
    <t>C00756</t>
  </si>
  <si>
    <t>C05444</t>
  </si>
  <si>
    <t>C05576</t>
  </si>
  <si>
    <t>C06611</t>
  </si>
  <si>
    <t>C06612</t>
  </si>
  <si>
    <t>C14089</t>
  </si>
  <si>
    <t>C02909</t>
  </si>
  <si>
    <t>C16586</t>
  </si>
  <si>
    <t>C00114</t>
  </si>
  <si>
    <t>C00006</t>
  </si>
  <si>
    <t>C16310</t>
  </si>
  <si>
    <t>C00004</t>
  </si>
  <si>
    <t>C00080</t>
  </si>
  <si>
    <t>C01612</t>
  </si>
  <si>
    <t>C16595</t>
  </si>
  <si>
    <t>C00418</t>
  </si>
  <si>
    <t>C06899</t>
  </si>
  <si>
    <t>C01271</t>
  </si>
  <si>
    <t>C04618</t>
  </si>
  <si>
    <t>C04619</t>
  </si>
  <si>
    <t>C04620</t>
  </si>
  <si>
    <t>C04633</t>
  </si>
  <si>
    <t>C04688</t>
  </si>
  <si>
    <t>C05747</t>
  </si>
  <si>
    <t>C05757</t>
  </si>
  <si>
    <t>C16219</t>
  </si>
  <si>
    <t>C00005</t>
  </si>
  <si>
    <t>C20372</t>
  </si>
  <si>
    <t>C20376</t>
  </si>
  <si>
    <t>C03319</t>
  </si>
  <si>
    <t>C01507</t>
  </si>
  <si>
    <t>C22111</t>
  </si>
  <si>
    <t>C04840</t>
  </si>
  <si>
    <t>C15808</t>
  </si>
  <si>
    <t>C22112</t>
  </si>
  <si>
    <t>C01189</t>
  </si>
  <si>
    <t>C00011</t>
  </si>
  <si>
    <t>C00001</t>
  </si>
  <si>
    <t>C00130</t>
  </si>
  <si>
    <t>C00860</t>
  </si>
  <si>
    <t>C00493</t>
  </si>
  <si>
    <t>C02637</t>
  </si>
  <si>
    <t>C00186</t>
  </si>
  <si>
    <t>C00263</t>
  </si>
  <si>
    <t>C00741</t>
  </si>
  <si>
    <t>C00116</t>
  </si>
  <si>
    <t>C00233</t>
  </si>
  <si>
    <t>C00109</t>
  </si>
  <si>
    <t>C00900</t>
  </si>
  <si>
    <t>C00010</t>
  </si>
  <si>
    <t>C00093</t>
  </si>
  <si>
    <t>C00197</t>
  </si>
  <si>
    <t>C02630</t>
  </si>
  <si>
    <t>C00027</t>
  </si>
  <si>
    <t>C00051</t>
  </si>
  <si>
    <t>C00704</t>
  </si>
  <si>
    <t>C03972</t>
  </si>
  <si>
    <t>C04232</t>
  </si>
  <si>
    <t>C00343</t>
  </si>
  <si>
    <t>C00206</t>
  </si>
  <si>
    <t>C01346</t>
  </si>
  <si>
    <t>C00361</t>
  </si>
  <si>
    <t>C00705</t>
  </si>
  <si>
    <t>C16664</t>
  </si>
  <si>
    <t>C03170</t>
  </si>
  <si>
    <t>C21750</t>
  </si>
  <si>
    <t>C00677</t>
  </si>
  <si>
    <t>C00131</t>
  </si>
  <si>
    <t>C00286</t>
  </si>
  <si>
    <t>C00458</t>
  </si>
  <si>
    <t>C00460</t>
  </si>
  <si>
    <t>C00084</t>
  </si>
  <si>
    <t>C01412</t>
  </si>
  <si>
    <t>C00441</t>
  </si>
  <si>
    <t>C01250</t>
  </si>
  <si>
    <t>C01165</t>
  </si>
  <si>
    <t>C15972 </t>
  </si>
  <si>
    <t>C00068</t>
  </si>
  <si>
    <t>C05125</t>
  </si>
  <si>
    <t>C00173</t>
  </si>
  <si>
    <t>C05745</t>
  </si>
  <si>
    <t>C05223</t>
  </si>
  <si>
    <t>C05749</t>
  </si>
  <si>
    <t>C05752</t>
  </si>
  <si>
    <t>C05755</t>
  </si>
  <si>
    <t>C05761</t>
  </si>
  <si>
    <t>C05764</t>
  </si>
  <si>
    <t>C16221</t>
  </si>
  <si>
    <t>C01050</t>
  </si>
  <si>
    <t>C00337</t>
  </si>
  <si>
    <t>C00122 </t>
  </si>
  <si>
    <t>C00037</t>
  </si>
  <si>
    <t>C00148</t>
  </si>
  <si>
    <t>C01157</t>
  </si>
  <si>
    <t>C00440</t>
  </si>
  <si>
    <t>C00101</t>
  </si>
  <si>
    <t>C00415</t>
  </si>
  <si>
    <t>C00272</t>
  </si>
  <si>
    <t>C16675</t>
  </si>
  <si>
    <t>C16832</t>
  </si>
  <si>
    <t>C02972</t>
  </si>
  <si>
    <t>C15973</t>
  </si>
  <si>
    <t>C00579</t>
  </si>
  <si>
    <t>C00342</t>
  </si>
  <si>
    <t>C00097</t>
  </si>
  <si>
    <t>C01528</t>
  </si>
  <si>
    <t>C18902 </t>
  </si>
  <si>
    <t>C03023</t>
  </si>
  <si>
    <t>C00019</t>
  </si>
  <si>
    <t>C05196</t>
  </si>
  <si>
    <t>C05197 </t>
  </si>
  <si>
    <t>C03172</t>
  </si>
  <si>
    <t>C00155 </t>
  </si>
  <si>
    <t>C00323 </t>
  </si>
  <si>
    <t>C12203</t>
  </si>
  <si>
    <t>C04489</t>
  </si>
  <si>
    <t>C05698</t>
  </si>
  <si>
    <t>C00240 </t>
  </si>
  <si>
    <t>C00365</t>
  </si>
  <si>
    <t>C00143 </t>
  </si>
  <si>
    <t>C11478 </t>
  </si>
  <si>
    <t>C04250</t>
  </si>
  <si>
    <t>C00821 </t>
  </si>
  <si>
    <t>C01217 </t>
  </si>
  <si>
    <t>C00234</t>
  </si>
  <si>
    <t>C03838</t>
  </si>
  <si>
    <t>C00445</t>
  </si>
  <si>
    <t>C02430</t>
  </si>
  <si>
    <t>C00169</t>
  </si>
  <si>
    <t>C05382</t>
  </si>
  <si>
    <t>C00118 </t>
  </si>
  <si>
    <t>C12214</t>
  </si>
  <si>
    <t>C00024</t>
  </si>
  <si>
    <t>C00025 </t>
  </si>
  <si>
    <t>C00091</t>
  </si>
  <si>
    <t>C03939</t>
  </si>
  <si>
    <t>C01209</t>
  </si>
  <si>
    <t>C19673</t>
  </si>
  <si>
    <t>C20375</t>
  </si>
  <si>
    <t>C04650 </t>
  </si>
  <si>
    <t>C17962</t>
  </si>
  <si>
    <t>C00083</t>
  </si>
  <si>
    <t>C00416</t>
  </si>
  <si>
    <t>C00605</t>
  </si>
  <si>
    <t>C00681</t>
  </si>
  <si>
    <t>C00058</t>
  </si>
  <si>
    <t>C00100</t>
  </si>
  <si>
    <t>C00356</t>
  </si>
  <si>
    <t>G10495</t>
  </si>
  <si>
    <t>C06215</t>
  </si>
  <si>
    <t>C00029</t>
  </si>
  <si>
    <t>C00760</t>
  </si>
  <si>
    <t>G10481</t>
  </si>
  <si>
    <t>C00498</t>
  </si>
  <si>
    <t>G11109 </t>
  </si>
  <si>
    <t>C04851</t>
  </si>
  <si>
    <t>G10610</t>
  </si>
  <si>
    <t>C05897</t>
  </si>
  <si>
    <t>C00031 </t>
  </si>
  <si>
    <t>C00089</t>
  </si>
  <si>
    <t>C00372</t>
  </si>
  <si>
    <t>G10502</t>
  </si>
  <si>
    <t>G00370</t>
  </si>
  <si>
    <t>C00195</t>
  </si>
  <si>
    <t>G10608</t>
  </si>
  <si>
    <t>C00096</t>
  </si>
  <si>
    <t>C00110 </t>
  </si>
  <si>
    <t>C15586</t>
  </si>
  <si>
    <t>C00212</t>
  </si>
  <si>
    <t>C00294</t>
  </si>
  <si>
    <t>C00387</t>
  </si>
  <si>
    <t>C01762</t>
  </si>
  <si>
    <t>C20463</t>
  </si>
  <si>
    <t>C00330</t>
  </si>
  <si>
    <t>C00559</t>
  </si>
  <si>
    <t>C05512</t>
  </si>
  <si>
    <t>C03150</t>
  </si>
  <si>
    <t>C05841</t>
  </si>
  <si>
    <t>C01103</t>
  </si>
  <si>
    <t>C00013</t>
  </si>
  <si>
    <t>C07649</t>
  </si>
  <si>
    <t>C03090</t>
  </si>
  <si>
    <t>C02739</t>
  </si>
  <si>
    <t>C00214</t>
  </si>
  <si>
    <t>C00299</t>
  </si>
  <si>
    <t>C00475</t>
  </si>
  <si>
    <t>C00526</t>
  </si>
  <si>
    <t>C03169</t>
  </si>
  <si>
    <t>C00655</t>
  </si>
  <si>
    <t>C00144</t>
  </si>
  <si>
    <t>C01977</t>
  </si>
  <si>
    <t>C00020</t>
  </si>
  <si>
    <t>C04677</t>
  </si>
  <si>
    <t>C02380</t>
  </si>
  <si>
    <t>C00119</t>
  </si>
  <si>
    <t>C16614</t>
  </si>
  <si>
    <t>C07648</t>
  </si>
  <si>
    <t>C00105</t>
  </si>
  <si>
    <t>C00341</t>
  </si>
  <si>
    <t>C04807</t>
  </si>
  <si>
    <t>C00568</t>
  </si>
  <si>
    <t>C01300</t>
  </si>
  <si>
    <t>C00074</t>
  </si>
  <si>
    <t>C03175</t>
  </si>
  <si>
    <t>C00448</t>
  </si>
  <si>
    <t>C00979</t>
  </si>
  <si>
    <t>C00283</t>
  </si>
  <si>
    <t>C00320</t>
  </si>
  <si>
    <t>C01005</t>
  </si>
  <si>
    <t>C01118</t>
  </si>
  <si>
    <t>C00542</t>
  </si>
  <si>
    <t>C00042</t>
  </si>
  <si>
    <t>C01077</t>
  </si>
  <si>
    <t>C05702</t>
  </si>
  <si>
    <t>C00409</t>
  </si>
  <si>
    <t>C00279</t>
  </si>
  <si>
    <t>C00002</t>
  </si>
  <si>
    <t>C05335</t>
  </si>
  <si>
    <t>C17324</t>
  </si>
  <si>
    <t>C00049</t>
  </si>
  <si>
    <t>C00026</t>
  </si>
  <si>
    <t>C00079</t>
  </si>
  <si>
    <t>C00082</t>
  </si>
  <si>
    <t>C00506</t>
  </si>
  <si>
    <t>C00606</t>
  </si>
  <si>
    <t>C05947</t>
  </si>
  <si>
    <t>C00437</t>
  </si>
  <si>
    <t>C00064</t>
  </si>
  <si>
    <t>C00123</t>
  </si>
  <si>
    <t>C00183</t>
  </si>
  <si>
    <t>C00407</t>
  </si>
  <si>
    <t>C02356</t>
  </si>
  <si>
    <t>C06055</t>
  </si>
  <si>
    <t>C01021</t>
  </si>
  <si>
    <t>C20895</t>
  </si>
  <si>
    <t>C00036</t>
  </si>
  <si>
    <t>C01180</t>
  </si>
  <si>
    <t>C01100</t>
  </si>
  <si>
    <t>C00641</t>
  </si>
  <si>
    <t>C00063</t>
  </si>
  <si>
    <t>C00075</t>
  </si>
  <si>
    <t>C00081</t>
  </si>
  <si>
    <t>C01097</t>
  </si>
  <si>
    <t>C11736</t>
  </si>
  <si>
    <t>C00882</t>
  </si>
  <si>
    <t>C00258</t>
  </si>
  <si>
    <t>C00864</t>
  </si>
  <si>
    <t>C00831</t>
  </si>
  <si>
    <t>C04079</t>
  </si>
  <si>
    <t>C00250</t>
  </si>
  <si>
    <t>C00314</t>
  </si>
  <si>
    <t>C00534</t>
  </si>
  <si>
    <t>C00095</t>
  </si>
  <si>
    <t>C02336</t>
  </si>
  <si>
    <t>C00044</t>
  </si>
  <si>
    <t>C00201</t>
  </si>
  <si>
    <t>C16633</t>
  </si>
  <si>
    <t>C00585</t>
  </si>
  <si>
    <t>C00017</t>
  </si>
  <si>
    <t>C01609</t>
  </si>
  <si>
    <t>C00033</t>
  </si>
  <si>
    <t>C00163</t>
  </si>
  <si>
    <t>C00624</t>
  </si>
  <si>
    <t>C00615</t>
  </si>
  <si>
    <t>C00055</t>
  </si>
  <si>
    <t>C00239</t>
  </si>
  <si>
    <t>C16634</t>
  </si>
  <si>
    <t>C04242</t>
  </si>
  <si>
    <t>C01107</t>
  </si>
  <si>
    <t>C00360</t>
  </si>
  <si>
    <t>C00454</t>
  </si>
  <si>
    <t>C11038</t>
  </si>
  <si>
    <t>C00015</t>
  </si>
  <si>
    <t>C00035</t>
  </si>
  <si>
    <t>C00112</t>
  </si>
  <si>
    <t>C00104</t>
  </si>
  <si>
    <t>C00363</t>
  </si>
  <si>
    <t>C01344</t>
  </si>
  <si>
    <t>C22442</t>
  </si>
  <si>
    <t>C21748</t>
  </si>
  <si>
    <t>C04556</t>
  </si>
  <si>
    <t>C00362</t>
  </si>
  <si>
    <t>C22441</t>
  </si>
  <si>
    <t>C00364</t>
  </si>
  <si>
    <t>C00378</t>
  </si>
  <si>
    <t>C00455</t>
  </si>
  <si>
    <t>C01185</t>
  </si>
  <si>
    <t>C00446</t>
  </si>
  <si>
    <t>C00061</t>
  </si>
  <si>
    <t>C00459</t>
  </si>
  <si>
    <t>C01134</t>
  </si>
  <si>
    <t>C00039</t>
  </si>
  <si>
    <t>C00046</t>
  </si>
  <si>
    <t>C04702</t>
  </si>
  <si>
    <t>C17556</t>
  </si>
  <si>
    <t>C04882</t>
  </si>
  <si>
    <t>C00269</t>
  </si>
  <si>
    <t>C03688 </t>
  </si>
  <si>
    <t>C01909</t>
  </si>
  <si>
    <t>C17023</t>
  </si>
  <si>
    <t>C05359</t>
  </si>
  <si>
    <t>C15811</t>
  </si>
  <si>
    <t>C02743</t>
  </si>
  <si>
    <t>C15812</t>
  </si>
  <si>
    <t>C03586</t>
  </si>
  <si>
    <t>C03880</t>
  </si>
  <si>
    <t>C01203</t>
  </si>
  <si>
    <t>C16520</t>
  </si>
  <si>
    <t>C04088</t>
  </si>
  <si>
    <t>C20683</t>
  </si>
  <si>
    <t>C00154</t>
  </si>
  <si>
    <t>C00412</t>
  </si>
  <si>
    <t>C02041</t>
  </si>
  <si>
    <t>C00510</t>
  </si>
  <si>
    <t>C02050</t>
  </si>
  <si>
    <t>C16162</t>
  </si>
  <si>
    <t>C16165</t>
  </si>
  <si>
    <t>C16169</t>
  </si>
  <si>
    <t>C03035</t>
  </si>
  <si>
    <t>C03595</t>
  </si>
  <si>
    <t>C02249</t>
  </si>
  <si>
    <t>C02843</t>
  </si>
  <si>
    <t>C00562</t>
  </si>
  <si>
    <t>C15585</t>
  </si>
  <si>
    <t>C01177</t>
  </si>
  <si>
    <t>C03546</t>
  </si>
  <si>
    <t>C04006</t>
  </si>
  <si>
    <t>C03892</t>
  </si>
  <si>
    <t>C02532</t>
  </si>
  <si>
    <t>C03360</t>
  </si>
  <si>
    <t>C01167</t>
  </si>
  <si>
    <t>C02520</t>
  </si>
  <si>
    <t>C06196</t>
  </si>
  <si>
    <t>C01935</t>
  </si>
  <si>
    <t>C00243</t>
  </si>
  <si>
    <t>C05796</t>
  </si>
  <si>
    <t>C01290</t>
  </si>
  <si>
    <t>C04911</t>
  </si>
  <si>
    <t>C05403</t>
  </si>
  <si>
    <t>C06136</t>
  </si>
  <si>
    <t>G00124</t>
  </si>
  <si>
    <t>G00110</t>
  </si>
  <si>
    <t>G10504</t>
  </si>
  <si>
    <t>G00092</t>
  </si>
  <si>
    <t>G10531</t>
  </si>
  <si>
    <t>C00492</t>
  </si>
  <si>
    <t>C01613</t>
  </si>
  <si>
    <t>C16688</t>
  </si>
  <si>
    <t>G00249</t>
  </si>
  <si>
    <t>G00278</t>
  </si>
  <si>
    <t>G10508</t>
  </si>
  <si>
    <t>C01355</t>
  </si>
  <si>
    <t>C04534</t>
  </si>
  <si>
    <t>C06187</t>
  </si>
  <si>
    <t>C06188</t>
  </si>
  <si>
    <t>C00689</t>
  </si>
  <si>
    <t>G09795</t>
  </si>
  <si>
    <t>C00021</t>
  </si>
  <si>
    <t>C00170</t>
  </si>
  <si>
    <t>C05198</t>
  </si>
  <si>
    <t>C01419</t>
  </si>
  <si>
    <t>C05729</t>
  </si>
  <si>
    <t>C00152</t>
  </si>
  <si>
    <t>C00241</t>
  </si>
  <si>
    <t>C04421</t>
  </si>
  <si>
    <t>C00153</t>
  </si>
  <si>
    <t>C00357</t>
  </si>
  <si>
    <t>C02999</t>
  </si>
  <si>
    <t>C00014</t>
  </si>
  <si>
    <t>C00086</t>
  </si>
  <si>
    <t>C11439</t>
  </si>
  <si>
    <t>C04258</t>
  </si>
  <si>
    <t>C04277</t>
  </si>
  <si>
    <t>C02741</t>
  </si>
  <si>
    <t>C00881</t>
  </si>
  <si>
    <t>C16635</t>
  </si>
  <si>
    <t>C00301</t>
  </si>
  <si>
    <t>C01261</t>
  </si>
  <si>
    <t>C01260</t>
  </si>
  <si>
    <t>C06198</t>
  </si>
  <si>
    <t>C04392</t>
  </si>
  <si>
    <t>C21751</t>
  </si>
  <si>
    <t>C04574</t>
  </si>
  <si>
    <t>C02133</t>
  </si>
  <si>
    <t>C00227</t>
  </si>
  <si>
    <t>C06206</t>
  </si>
  <si>
    <t>C00236</t>
  </si>
  <si>
    <t>C01143</t>
  </si>
  <si>
    <t>C00288</t>
  </si>
  <si>
    <t>C03460</t>
  </si>
  <si>
    <t>C00877</t>
  </si>
  <si>
    <t>C11946</t>
  </si>
  <si>
    <t>C11945</t>
  </si>
  <si>
    <t>C14144</t>
  </si>
  <si>
    <t>C16468</t>
  </si>
  <si>
    <t>C01102</t>
  </si>
  <si>
    <t>C01638</t>
  </si>
  <si>
    <t>C01641</t>
  </si>
  <si>
    <t>C00062</t>
  </si>
  <si>
    <t>C00078</t>
  </si>
  <si>
    <t>C00135</t>
  </si>
  <si>
    <t>C00188</t>
  </si>
  <si>
    <t>C00047</t>
  </si>
  <si>
    <t>C00857</t>
  </si>
  <si>
    <t>C05892</t>
  </si>
  <si>
    <t>C04877</t>
  </si>
  <si>
    <t>C00692</t>
  </si>
  <si>
    <t>C03541</t>
  </si>
  <si>
    <t>C00921</t>
  </si>
  <si>
    <t>C05928</t>
  </si>
  <si>
    <t>C00669</t>
  </si>
  <si>
    <t>C21015</t>
  </si>
  <si>
    <t>C03492</t>
  </si>
  <si>
    <t>C01212</t>
  </si>
  <si>
    <t>C04640</t>
  </si>
  <si>
    <t>C03479</t>
  </si>
  <si>
    <t>C00120</t>
  </si>
  <si>
    <t>C05921</t>
  </si>
  <si>
    <t>C06249 </t>
  </si>
  <si>
    <t>C00327</t>
  </si>
  <si>
    <t>C16618</t>
  </si>
  <si>
    <t>C04376</t>
  </si>
  <si>
    <t>C01563</t>
  </si>
  <si>
    <t>C20969</t>
  </si>
  <si>
    <t>C00071</t>
  </si>
  <si>
    <t>C00376</t>
  </si>
  <si>
    <t>C01545</t>
  </si>
  <si>
    <t>C05445</t>
  </si>
  <si>
    <t>C05577</t>
  </si>
  <si>
    <t>C06613</t>
  </si>
  <si>
    <t>C16348</t>
  </si>
  <si>
    <t>C14090</t>
  </si>
  <si>
    <t>C14099</t>
  </si>
  <si>
    <t>C16587</t>
  </si>
  <si>
    <t>C00576</t>
  </si>
  <si>
    <t>C08492</t>
  </si>
  <si>
    <t>C01450</t>
  </si>
  <si>
    <t>C16596</t>
  </si>
  <si>
    <t>C00772</t>
  </si>
  <si>
    <t>C07490</t>
  </si>
  <si>
    <t>C00685</t>
  </si>
  <si>
    <t>C05744</t>
  </si>
  <si>
    <t>C05753</t>
  </si>
  <si>
    <t>C05750</t>
  </si>
  <si>
    <t>C05762</t>
  </si>
  <si>
    <t>C05759</t>
  </si>
  <si>
    <t>C05746</t>
  </si>
  <si>
    <t>C05756</t>
  </si>
  <si>
    <t>C16220</t>
  </si>
  <si>
    <t>C20373</t>
  </si>
  <si>
    <t>C20377</t>
  </si>
  <si>
    <t>C00247</t>
  </si>
  <si>
    <t>C01876</t>
  </si>
  <si>
    <t>C04453</t>
  </si>
  <si>
    <t>C15816</t>
  </si>
  <si>
    <t>C22136</t>
  </si>
  <si>
    <t>C05111</t>
  </si>
  <si>
    <t>C00007</t>
  </si>
  <si>
    <t>C22438</t>
  </si>
  <si>
    <t>C01769</t>
  </si>
  <si>
    <t>C00184</t>
  </si>
  <si>
    <t>C06032</t>
  </si>
  <si>
    <t>C03232</t>
  </si>
  <si>
    <t>C00127</t>
  </si>
  <si>
    <t>C20258</t>
  </si>
  <si>
    <t>C03723</t>
  </si>
  <si>
    <t>C16663</t>
  </si>
  <si>
    <t>C02090</t>
  </si>
  <si>
    <t>C03802</t>
  </si>
  <si>
    <t>C00136</t>
  </si>
  <si>
    <t>C03082</t>
  </si>
  <si>
    <t>C04133</t>
  </si>
  <si>
    <t>C03287</t>
  </si>
  <si>
    <t>C16255</t>
  </si>
  <si>
    <t>C01179</t>
  </si>
  <si>
    <t>C00693</t>
  </si>
  <si>
    <t>C04246</t>
  </si>
  <si>
    <t>C05758</t>
  </si>
  <si>
    <t>C05748</t>
  </si>
  <si>
    <t>C05751</t>
  </si>
  <si>
    <t>C05754</t>
  </si>
  <si>
    <t>C05760</t>
  </si>
  <si>
    <t>C05763</t>
  </si>
  <si>
    <t>C04631</t>
  </si>
  <si>
    <t>C00295</t>
  </si>
  <si>
    <t>C00161</t>
  </si>
  <si>
    <t>C00048</t>
  </si>
  <si>
    <t>C03912</t>
  </si>
  <si>
    <t>C04281</t>
  </si>
  <si>
    <t>C00504</t>
  </si>
  <si>
    <t>C02953</t>
  </si>
  <si>
    <t>C15996</t>
  </si>
  <si>
    <t>C16237</t>
  </si>
  <si>
    <t>C02051</t>
  </si>
  <si>
    <t>C15972</t>
  </si>
  <si>
    <t>C00248</t>
  </si>
  <si>
    <t>C05526</t>
  </si>
  <si>
    <t>C05684</t>
  </si>
  <si>
    <t>C05703</t>
  </si>
  <si>
    <t>C15653</t>
  </si>
  <si>
    <t>C05199</t>
  </si>
  <si>
    <t>C05312</t>
  </si>
  <si>
    <t>C00406</t>
  </si>
  <si>
    <t>C00411</t>
  </si>
  <si>
    <t>C04144</t>
  </si>
  <si>
    <t>C04153</t>
  </si>
  <si>
    <t>C04160</t>
  </si>
  <si>
    <t>C04728</t>
  </si>
  <si>
    <t>C03800</t>
  </si>
  <si>
    <t>C11475</t>
  </si>
  <si>
    <t>C03391</t>
  </si>
  <si>
    <t>C04377</t>
  </si>
  <si>
    <t>C03294</t>
  </si>
  <si>
    <t>C12215</t>
  </si>
  <si>
    <t>C13378</t>
  </si>
  <si>
    <t>C04462</t>
  </si>
  <si>
    <t>C04501</t>
  </si>
  <si>
    <t>C00229</t>
  </si>
  <si>
    <t>C17952</t>
  </si>
  <si>
    <t>C17949</t>
  </si>
  <si>
    <t>C00040</t>
  </si>
  <si>
    <t>C02130</t>
  </si>
  <si>
    <t>G10592</t>
  </si>
  <si>
    <t>C02876</t>
  </si>
  <si>
    <t>C00332</t>
  </si>
  <si>
    <t>C00141</t>
  </si>
  <si>
    <t>G10619</t>
  </si>
  <si>
    <t>G11113</t>
  </si>
  <si>
    <t>C05893</t>
  </si>
  <si>
    <t>C05898</t>
  </si>
  <si>
    <t>C01190</t>
  </si>
  <si>
    <t>G10238</t>
  </si>
  <si>
    <t>C03862</t>
  </si>
  <si>
    <t>C15587</t>
  </si>
  <si>
    <t>C00147</t>
  </si>
  <si>
    <t>C00262</t>
  </si>
  <si>
    <t>C00242</t>
  </si>
  <si>
    <t>C00385</t>
  </si>
  <si>
    <t>C00253</t>
  </si>
  <si>
    <t>C00108</t>
  </si>
  <si>
    <t>C00178</t>
  </si>
  <si>
    <t>C00106</t>
  </si>
  <si>
    <t>C00380</t>
  </si>
  <si>
    <t>C00396</t>
  </si>
  <si>
    <t>C20446</t>
  </si>
  <si>
    <t>C04051</t>
  </si>
  <si>
    <t>C04646</t>
  </si>
  <si>
    <t>C16615</t>
  </si>
  <si>
    <t>C16619</t>
  </si>
  <si>
    <t>C00094</t>
  </si>
  <si>
    <t>C02291</t>
  </si>
  <si>
    <t>C05699</t>
  </si>
  <si>
    <t>C05691</t>
  </si>
  <si>
    <t>C04432</t>
  </si>
  <si>
    <t>C00166</t>
  </si>
  <si>
    <t>C00957</t>
  </si>
  <si>
    <t>C00302</t>
  </si>
  <si>
    <t>C05528</t>
  </si>
  <si>
    <t>C05527</t>
  </si>
  <si>
    <t>C05946</t>
  </si>
  <si>
    <t>C00671</t>
  </si>
  <si>
    <t>C06054</t>
  </si>
  <si>
    <t>C00972</t>
  </si>
  <si>
    <t>C20646</t>
  </si>
  <si>
    <t>C01267</t>
  </si>
  <si>
    <t>C03785</t>
  </si>
  <si>
    <t>C00018</t>
  </si>
  <si>
    <t>C00627</t>
  </si>
  <si>
    <t>C00647</t>
  </si>
  <si>
    <t>C02729</t>
  </si>
  <si>
    <t>C04261</t>
  </si>
  <si>
    <t>C03028</t>
  </si>
  <si>
    <t>C01345</t>
  </si>
  <si>
    <t>C22443</t>
  </si>
  <si>
    <t>C21749</t>
  </si>
  <si>
    <t>C04752</t>
  </si>
  <si>
    <t>C04494</t>
  </si>
  <si>
    <t>C00052</t>
  </si>
  <si>
    <t>C00016</t>
  </si>
  <si>
    <t>C20864</t>
  </si>
  <si>
    <t>C00054</t>
  </si>
  <si>
    <t>C21440</t>
  </si>
  <si>
    <t>C03523</t>
  </si>
  <si>
    <t>C00066</t>
  </si>
  <si>
    <t>C00712</t>
  </si>
  <si>
    <t>C00249</t>
  </si>
  <si>
    <t>C02679</t>
  </si>
  <si>
    <t>C06424</t>
  </si>
  <si>
    <t>C08362</t>
  </si>
  <si>
    <t>C01530</t>
  </si>
  <si>
    <t>C00638</t>
  </si>
  <si>
    <t>C06425</t>
  </si>
  <si>
    <t>C01595</t>
  </si>
  <si>
    <t>C06427</t>
  </si>
  <si>
    <t>C06428</t>
  </si>
  <si>
    <t>C06429</t>
  </si>
  <si>
    <t>C06426</t>
  </si>
  <si>
    <t>C03242</t>
  </si>
  <si>
    <t>C00219</t>
  </si>
  <si>
    <t>C00137</t>
  </si>
  <si>
    <t>C00344</t>
  </si>
  <si>
    <t>C00740</t>
  </si>
  <si>
    <t>C00870</t>
  </si>
  <si>
    <t>C00911</t>
  </si>
  <si>
    <t>C00721</t>
  </si>
  <si>
    <t>C00962</t>
  </si>
  <si>
    <t>C04884</t>
  </si>
  <si>
    <t>C05394</t>
  </si>
  <si>
    <t>C06135</t>
  </si>
  <si>
    <t>G00123</t>
  </si>
  <si>
    <t>G00109</t>
  </si>
  <si>
    <t>C05402</t>
  </si>
  <si>
    <t>C05404</t>
  </si>
  <si>
    <t>G01275</t>
  </si>
  <si>
    <t>G00501</t>
  </si>
  <si>
    <t>C00530</t>
  </si>
  <si>
    <t>C02323</t>
  </si>
  <si>
    <t>C03089</t>
  </si>
  <si>
    <t>C22288</t>
  </si>
  <si>
    <t>C05726</t>
  </si>
  <si>
    <t>C00060</t>
  </si>
  <si>
    <t>C00666</t>
  </si>
  <si>
    <t>C11440</t>
  </si>
  <si>
    <t>C03617</t>
  </si>
  <si>
    <t>C12739</t>
  </si>
  <si>
    <t>C01081</t>
  </si>
  <si>
    <t>C00700</t>
  </si>
  <si>
    <t>C00180</t>
  </si>
  <si>
    <t>C03373</t>
  </si>
  <si>
    <t>C00810</t>
  </si>
  <si>
    <t>C00577</t>
  </si>
  <si>
    <t>C00266</t>
  </si>
  <si>
    <t>C04309</t>
  </si>
  <si>
    <t>C00658</t>
  </si>
  <si>
    <t>C00894</t>
  </si>
  <si>
    <t>C03221</t>
  </si>
  <si>
    <t>C03345</t>
  </si>
  <si>
    <t>C05272</t>
  </si>
  <si>
    <t>C05273</t>
  </si>
  <si>
    <t>C05275</t>
  </si>
  <si>
    <t>C05276</t>
  </si>
  <si>
    <t>C05271</t>
  </si>
  <si>
    <t>C16328</t>
  </si>
  <si>
    <t>C16332</t>
  </si>
  <si>
    <t>C16336</t>
  </si>
  <si>
    <t>C05067</t>
  </si>
  <si>
    <t>C01122</t>
  </si>
  <si>
    <t>C03069</t>
  </si>
  <si>
    <t>C00463</t>
  </si>
  <si>
    <t>C00417</t>
  </si>
  <si>
    <t>C02631</t>
  </si>
  <si>
    <t>C06056</t>
  </si>
  <si>
    <t>C03684</t>
  </si>
  <si>
    <t>C00536</t>
  </si>
  <si>
    <t>C11838</t>
  </si>
  <si>
    <t>C00546</t>
  </si>
  <si>
    <t>C02984</t>
  </si>
  <si>
    <t>C02987</t>
  </si>
  <si>
    <t>C06250</t>
  </si>
  <si>
    <t>Initial Concentration (mM)</t>
  </si>
  <si>
    <t>Object</t>
  </si>
  <si>
    <t>ATP</t>
  </si>
  <si>
    <t>NAD+</t>
  </si>
  <si>
    <t>NADH</t>
  </si>
  <si>
    <t>NADPH</t>
  </si>
  <si>
    <t>NADP+</t>
  </si>
  <si>
    <t>Oxygen</t>
  </si>
  <si>
    <t>ADP</t>
  </si>
  <si>
    <t>Orthophosphate</t>
  </si>
  <si>
    <t>CoA</t>
  </si>
  <si>
    <t>CO2</t>
  </si>
  <si>
    <t>Diphosphate</t>
  </si>
  <si>
    <t>Ammonia</t>
  </si>
  <si>
    <t>1_1_1_1</t>
  </si>
  <si>
    <t>1_1_1_100</t>
  </si>
  <si>
    <t>1_1_1_133</t>
  </si>
  <si>
    <t>1_1_1_14</t>
  </si>
  <si>
    <t>1_1_1_170</t>
  </si>
  <si>
    <t>1_1_1_205</t>
  </si>
  <si>
    <t>1_1_1_23</t>
  </si>
  <si>
    <t>1_1_1_25</t>
  </si>
  <si>
    <t>1_1_1_27</t>
  </si>
  <si>
    <t>1_1_1_3</t>
  </si>
  <si>
    <t>1_1_1_304</t>
  </si>
  <si>
    <t>1_1_1_42</t>
  </si>
  <si>
    <t>1_1_1_6</t>
  </si>
  <si>
    <t>1_1_1_85</t>
  </si>
  <si>
    <t>1_1_1_86</t>
  </si>
  <si>
    <t>1_1_1_88</t>
  </si>
  <si>
    <t>1_1_1_94</t>
  </si>
  <si>
    <t>1_1_1_95</t>
  </si>
  <si>
    <t>1_11_1_15</t>
  </si>
  <si>
    <t>1_11_1_9</t>
  </si>
  <si>
    <t>1_15_1_1</t>
  </si>
  <si>
    <t>1_17_1_8</t>
  </si>
  <si>
    <t>1_17_4_1</t>
  </si>
  <si>
    <t>1_17_4_2</t>
  </si>
  <si>
    <t>1_2_1_10</t>
  </si>
  <si>
    <t>1_2_1_11</t>
  </si>
  <si>
    <t>1_2_1_12</t>
  </si>
  <si>
    <t>1_2_1_38</t>
  </si>
  <si>
    <t>1_2_1_41</t>
  </si>
  <si>
    <t>1_2_1_9</t>
  </si>
  <si>
    <t>1_2_4_1</t>
  </si>
  <si>
    <t>1_3_1_12</t>
  </si>
  <si>
    <t>1_3_1_9</t>
  </si>
  <si>
    <t>1_3_1_98</t>
  </si>
  <si>
    <t>1_3_98_1</t>
  </si>
  <si>
    <t>1_3_99_3</t>
  </si>
  <si>
    <t>1_4_1_1</t>
  </si>
  <si>
    <t>1_4_1_4</t>
  </si>
  <si>
    <t>1_5_1_2</t>
  </si>
  <si>
    <t>1_5_1_20</t>
  </si>
  <si>
    <t>1_5_1_3</t>
  </si>
  <si>
    <t>1_6_99_3</t>
  </si>
  <si>
    <t>1_7_1_13</t>
  </si>
  <si>
    <t>1_8_1_4</t>
  </si>
  <si>
    <t>1_8_1_7</t>
  </si>
  <si>
    <t>1_8_1_9</t>
  </si>
  <si>
    <t>1_8_4_12</t>
  </si>
  <si>
    <t>1_97_1_4</t>
  </si>
  <si>
    <t>2_1_1_10</t>
  </si>
  <si>
    <t>2_1_1_104</t>
  </si>
  <si>
    <t>2_1_1_14</t>
  </si>
  <si>
    <t>2_1_1_171</t>
  </si>
  <si>
    <t>2_1_1_31</t>
  </si>
  <si>
    <t>2_1_1_33</t>
  </si>
  <si>
    <t>2_1_1_45</t>
  </si>
  <si>
    <t>2_1_1_61</t>
  </si>
  <si>
    <t>2_1_1_63</t>
  </si>
  <si>
    <t>2_1_1_72</t>
  </si>
  <si>
    <t>2_1_2_1</t>
  </si>
  <si>
    <t>2_1_2_2</t>
  </si>
  <si>
    <t>2_1_2_9</t>
  </si>
  <si>
    <t>2_1_3_2</t>
  </si>
  <si>
    <t>2_1_3_3</t>
  </si>
  <si>
    <t>2_2_1_1</t>
  </si>
  <si>
    <t>2_2_1_6</t>
  </si>
  <si>
    <t>2_3_1_1</t>
  </si>
  <si>
    <t>2_3_1_117</t>
  </si>
  <si>
    <t>2_3_1_12</t>
  </si>
  <si>
    <t>2_3_1_128</t>
  </si>
  <si>
    <t>2_3_1_157</t>
  </si>
  <si>
    <t>2_3_1_179</t>
  </si>
  <si>
    <t>2_3_1_180</t>
  </si>
  <si>
    <t>2_3_1_183</t>
  </si>
  <si>
    <t>2_3_1_30</t>
  </si>
  <si>
    <t>2_3_1_31</t>
  </si>
  <si>
    <t>2_3_1_39</t>
  </si>
  <si>
    <t>2_3_1_41</t>
  </si>
  <si>
    <t>2_3_1_51</t>
  </si>
  <si>
    <t>2_3_1_54</t>
  </si>
  <si>
    <t>2_3_1_79</t>
  </si>
  <si>
    <t>2_3_1_8</t>
  </si>
  <si>
    <t>2_3_3_1</t>
  </si>
  <si>
    <t>2_3_3_10</t>
  </si>
  <si>
    <t>2_3_3_13</t>
  </si>
  <si>
    <t>2_4_1_1</t>
  </si>
  <si>
    <t>2_4_1_10</t>
  </si>
  <si>
    <t>2_4_1_12</t>
  </si>
  <si>
    <t>2_4_1_129</t>
  </si>
  <si>
    <t>2_4_1_18</t>
  </si>
  <si>
    <t>2_4_1_21</t>
  </si>
  <si>
    <t>2_4_1_227</t>
  </si>
  <si>
    <t>2_4_1_25</t>
  </si>
  <si>
    <t>2_4_1_5</t>
  </si>
  <si>
    <t>2_4_1_80</t>
  </si>
  <si>
    <t>2_4_1_83</t>
  </si>
  <si>
    <t>2_4_2_1</t>
  </si>
  <si>
    <t>2_4_2_10</t>
  </si>
  <si>
    <t>2_4_2_14</t>
  </si>
  <si>
    <t>2_4_2_17</t>
  </si>
  <si>
    <t>2_4_2_18</t>
  </si>
  <si>
    <t>2_4_2_2</t>
  </si>
  <si>
    <t>2_4_2_22</t>
  </si>
  <si>
    <t>2_4_2_29</t>
  </si>
  <si>
    <t>2_4_2_7</t>
  </si>
  <si>
    <t>2_4_2_8</t>
  </si>
  <si>
    <t>2_4_2_9</t>
  </si>
  <si>
    <t>2_5_1_10</t>
  </si>
  <si>
    <t>2_5_1_15</t>
  </si>
  <si>
    <t>2_5_1_19</t>
  </si>
  <si>
    <t>2_5_1_31</t>
  </si>
  <si>
    <t>2_5_1_47</t>
  </si>
  <si>
    <t>2_5_1_48</t>
  </si>
  <si>
    <t>2_5_1_49</t>
  </si>
  <si>
    <t>2_5_1_54</t>
  </si>
  <si>
    <t>2_5_1_6</t>
  </si>
  <si>
    <t>2_5_1_7</t>
  </si>
  <si>
    <t>2_5_1_75</t>
  </si>
  <si>
    <t>2_6_1_1</t>
  </si>
  <si>
    <t>2_6_1_11</t>
  </si>
  <si>
    <t>2_6_1_16</t>
  </si>
  <si>
    <t>2_6_1_42</t>
  </si>
  <si>
    <t>2_6_1_52</t>
  </si>
  <si>
    <t>2_6_1_57</t>
  </si>
  <si>
    <t>2_6_1_9</t>
  </si>
  <si>
    <t>2_7_1_107</t>
  </si>
  <si>
    <t>2_7_1_11</t>
  </si>
  <si>
    <t>2_7_1_2</t>
  </si>
  <si>
    <t>2_7_1_21</t>
  </si>
  <si>
    <t>2_7_1_23</t>
  </si>
  <si>
    <t>2_7_1_24</t>
  </si>
  <si>
    <t>2_7_1_31</t>
  </si>
  <si>
    <t>2_7_1_33</t>
  </si>
  <si>
    <t>2_7_1_35</t>
  </si>
  <si>
    <t>2_7_1_36</t>
  </si>
  <si>
    <t>2_7_1_39</t>
  </si>
  <si>
    <t>2_7_1_4</t>
  </si>
  <si>
    <t>2_7_1_40</t>
  </si>
  <si>
    <t>2_7_1_48</t>
  </si>
  <si>
    <t>2_7_1_56</t>
  </si>
  <si>
    <t>2_7_1_6</t>
  </si>
  <si>
    <t>2_7_1_69</t>
  </si>
  <si>
    <t>2_7_1_71</t>
  </si>
  <si>
    <t>2_7_10_2</t>
  </si>
  <si>
    <t>2_7_11_1</t>
  </si>
  <si>
    <t>2_7_13_3</t>
  </si>
  <si>
    <t>2_7_2_1</t>
  </si>
  <si>
    <t>2_7_2_11</t>
  </si>
  <si>
    <t>2_7_2_3</t>
  </si>
  <si>
    <t>2_7_2_4</t>
  </si>
  <si>
    <t>2_7_2_8</t>
  </si>
  <si>
    <t>2_7_3_9</t>
  </si>
  <si>
    <t>2_7_4_14</t>
  </si>
  <si>
    <t>2_7_4_2</t>
  </si>
  <si>
    <t>2_7_4_22</t>
  </si>
  <si>
    <t>2_7_4_3</t>
  </si>
  <si>
    <t>2_7_4_6</t>
  </si>
  <si>
    <t>2_7_4_7</t>
  </si>
  <si>
    <t>2_7_4_8</t>
  </si>
  <si>
    <t>2_7_4_9</t>
  </si>
  <si>
    <t>2_7_6_1</t>
  </si>
  <si>
    <t>2_7_6_2</t>
  </si>
  <si>
    <t>2_7_6_3</t>
  </si>
  <si>
    <t>2_7_6_5</t>
  </si>
  <si>
    <t>2_7_7_1</t>
  </si>
  <si>
    <t>2_7_7_12</t>
  </si>
  <si>
    <t>2_7_7_18</t>
  </si>
  <si>
    <t>2_7_7_2</t>
  </si>
  <si>
    <t>2_7_7_24</t>
  </si>
  <si>
    <t>2_7_7_27</t>
  </si>
  <si>
    <t>2_7_7_3</t>
  </si>
  <si>
    <t>2_7_7_41</t>
  </si>
  <si>
    <t>2_7_7_49</t>
  </si>
  <si>
    <t>2_7_7_6</t>
  </si>
  <si>
    <t>2_7_7_63</t>
  </si>
  <si>
    <t>2_7_7_7</t>
  </si>
  <si>
    <t>2_7_7_8</t>
  </si>
  <si>
    <t>2_7_7_9</t>
  </si>
  <si>
    <t>2_7_8_13</t>
  </si>
  <si>
    <t>2_7_8_5</t>
  </si>
  <si>
    <t>2_7_8_7</t>
  </si>
  <si>
    <t>2_8_1_6</t>
  </si>
  <si>
    <t>2_8_1_7</t>
  </si>
  <si>
    <t>3_1_1_24</t>
  </si>
  <si>
    <t>3_1_1_29</t>
  </si>
  <si>
    <t>3_1_11_2</t>
  </si>
  <si>
    <t>3_1_11_5</t>
  </si>
  <si>
    <t>3_1_11_6</t>
  </si>
  <si>
    <t>3_1_2_14</t>
  </si>
  <si>
    <t>3_1_2_2</t>
  </si>
  <si>
    <t>3_1_21_3</t>
  </si>
  <si>
    <t>3_1_26_11</t>
  </si>
  <si>
    <t>3_1_26_3</t>
  </si>
  <si>
    <t>3_1_26_4</t>
  </si>
  <si>
    <t>3_1_26_5</t>
  </si>
  <si>
    <t>3_1_3_15</t>
  </si>
  <si>
    <t>3_1_3_16</t>
  </si>
  <si>
    <t>3_1_3_25</t>
  </si>
  <si>
    <t>3_1_3_27</t>
  </si>
  <si>
    <t>3_1_3_3</t>
  </si>
  <si>
    <t>3_1_3_41</t>
  </si>
  <si>
    <t>3_1_3_48</t>
  </si>
  <si>
    <t>3_1_3_5</t>
  </si>
  <si>
    <t>3_2_1_1</t>
  </si>
  <si>
    <t>3_2_1_23</t>
  </si>
  <si>
    <t>3_2_1_26</t>
  </si>
  <si>
    <t>3_2_1_41</t>
  </si>
  <si>
    <t>3_2_1_70</t>
  </si>
  <si>
    <t>3_2_1_80</t>
  </si>
  <si>
    <t>3_2_1_86</t>
  </si>
  <si>
    <t>3_2_1_93</t>
  </si>
  <si>
    <t>3_2_2_20</t>
  </si>
  <si>
    <t>3_2_2_9</t>
  </si>
  <si>
    <t>3_4_11_18</t>
  </si>
  <si>
    <t>3_4_11_2</t>
  </si>
  <si>
    <t>3_4_11_4</t>
  </si>
  <si>
    <t>3_4_11_7</t>
  </si>
  <si>
    <t>3_4_13_9</t>
  </si>
  <si>
    <t>3_4_14_11</t>
  </si>
  <si>
    <t>3_4_16_4</t>
  </si>
  <si>
    <t>3_4_21_53</t>
  </si>
  <si>
    <t>3_4_21_89</t>
  </si>
  <si>
    <t>3_4_21_92</t>
  </si>
  <si>
    <t>3_4_22_40</t>
  </si>
  <si>
    <t>3_4_23_36</t>
  </si>
  <si>
    <t>3_4_24_57</t>
  </si>
  <si>
    <t>3_5_1_1</t>
  </si>
  <si>
    <t>3_5_1_18</t>
  </si>
  <si>
    <t>3_5_1_19</t>
  </si>
  <si>
    <t>3_5_1_25</t>
  </si>
  <si>
    <t>3_5_1_28</t>
  </si>
  <si>
    <t>3_5_1_5</t>
  </si>
  <si>
    <t>3_5_1_88</t>
  </si>
  <si>
    <t>3_5_2_12</t>
  </si>
  <si>
    <t>3_5_2_3</t>
  </si>
  <si>
    <t>3_5_4_10</t>
  </si>
  <si>
    <t>3_5_4_16</t>
  </si>
  <si>
    <t>3_5_4_19</t>
  </si>
  <si>
    <t>3_5_4_4</t>
  </si>
  <si>
    <t>3_5_4_5</t>
  </si>
  <si>
    <t>3_5_4_9</t>
  </si>
  <si>
    <t>3_5_99_6</t>
  </si>
  <si>
    <t>3_6_1_1</t>
  </si>
  <si>
    <t>3_6_1_13</t>
  </si>
  <si>
    <t>3_6_1_15</t>
  </si>
  <si>
    <t>3_6_1_17</t>
  </si>
  <si>
    <t>3_6_1_23</t>
  </si>
  <si>
    <t>3_6_1_27</t>
  </si>
  <si>
    <t>3_6_1_31</t>
  </si>
  <si>
    <t>3_6_1_7</t>
  </si>
  <si>
    <t>3_6_3_14</t>
  </si>
  <si>
    <t>3_6_3_2</t>
  </si>
  <si>
    <t>3_6_3_25</t>
  </si>
  <si>
    <t>3_6_3_27</t>
  </si>
  <si>
    <t>3_6_3_28</t>
  </si>
  <si>
    <t>3_6_3_31</t>
  </si>
  <si>
    <t>3_6_3_32</t>
  </si>
  <si>
    <t>3_6_3_4</t>
  </si>
  <si>
    <t>3_6_3_44</t>
  </si>
  <si>
    <t>3_6_3_8</t>
  </si>
  <si>
    <t>4_1_1_20</t>
  </si>
  <si>
    <t>4_1_1_21</t>
  </si>
  <si>
    <t>4_1_1_23</t>
  </si>
  <si>
    <t>4_1_1_31</t>
  </si>
  <si>
    <t>4_1_1_33</t>
  </si>
  <si>
    <t>4_1_1_36</t>
  </si>
  <si>
    <t>4_1_1_48</t>
  </si>
  <si>
    <t>4_1_1_5</t>
  </si>
  <si>
    <t>4_1_2_13</t>
  </si>
  <si>
    <t>4_1_2_25</t>
  </si>
  <si>
    <t>4_1_2_4</t>
  </si>
  <si>
    <t>4_1_3_27</t>
  </si>
  <si>
    <t>4_2_1_1</t>
  </si>
  <si>
    <t>4_2_1_10</t>
  </si>
  <si>
    <t>4_2_1_11</t>
  </si>
  <si>
    <t>4_2_1_17</t>
  </si>
  <si>
    <t>4_2_1_19</t>
  </si>
  <si>
    <t>4_2_1_20</t>
  </si>
  <si>
    <t>4_2_1_3</t>
  </si>
  <si>
    <t>4_2_1_33</t>
  </si>
  <si>
    <t>4_2_1_46</t>
  </si>
  <si>
    <t>4_2_1_51</t>
  </si>
  <si>
    <t>4_2_1_9</t>
  </si>
  <si>
    <t>4_2_3_1</t>
  </si>
  <si>
    <t>4_2_3_12</t>
  </si>
  <si>
    <t>4_2_3_4</t>
  </si>
  <si>
    <t>4_2_3_5</t>
  </si>
  <si>
    <t>4_2_99_18</t>
  </si>
  <si>
    <t>4_3_1_17</t>
  </si>
  <si>
    <t>4_3_1_19</t>
  </si>
  <si>
    <t>4_3_2_1</t>
  </si>
  <si>
    <t>4_3_2_2</t>
  </si>
  <si>
    <t>4_3_3_7</t>
  </si>
  <si>
    <t>4_4_1_21</t>
  </si>
  <si>
    <t>4_4_1_5</t>
  </si>
  <si>
    <t>4_99_1_1</t>
  </si>
  <si>
    <t>5_1_1_1</t>
  </si>
  <si>
    <t>5_1_1_3</t>
  </si>
  <si>
    <t>5_1_3_1</t>
  </si>
  <si>
    <t>5_1_3_13</t>
  </si>
  <si>
    <t>5_1_3_2</t>
  </si>
  <si>
    <t>5_1_3_3</t>
  </si>
  <si>
    <t>5_2_1_8</t>
  </si>
  <si>
    <t>5_3_1_1</t>
  </si>
  <si>
    <t>5_3_1_16</t>
  </si>
  <si>
    <t>5_3_1_24</t>
  </si>
  <si>
    <t>5_3_1_6</t>
  </si>
  <si>
    <t>5_3_1_8</t>
  </si>
  <si>
    <t>5_3_1_9</t>
  </si>
  <si>
    <t>5_3_3_2</t>
  </si>
  <si>
    <t>5_4_2_1</t>
  </si>
  <si>
    <t>5_4_2_10</t>
  </si>
  <si>
    <t>5_4_2_2</t>
  </si>
  <si>
    <t>5_4_2_7</t>
  </si>
  <si>
    <t>5_4_99_12</t>
  </si>
  <si>
    <t>5_4_99_5</t>
  </si>
  <si>
    <t>5_4_99_9</t>
  </si>
  <si>
    <t>5_99_1_2</t>
  </si>
  <si>
    <t>5_99_1_3</t>
  </si>
  <si>
    <t>6_1_1_1</t>
  </si>
  <si>
    <t>6_1_1_10</t>
  </si>
  <si>
    <t>6_1_1_11</t>
  </si>
  <si>
    <t>6_1_1_12</t>
  </si>
  <si>
    <t>6_1_1_13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</si>
  <si>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</si>
  <si>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</si>
  <si>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</si>
  <si>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</si>
  <si>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</si>
  <si>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</si>
  <si>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</si>
  <si>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</si>
  <si>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</si>
  <si>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</si>
  <si>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</si>
  <si>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</si>
  <si>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</si>
  <si>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</si>
  <si>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</si>
  <si>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6_3_1_1</t>
  </si>
  <si>
    <t>6_3_1_2</t>
  </si>
  <si>
    <t>6_3_1_5</t>
  </si>
  <si>
    <t>6_3_2_10</t>
  </si>
  <si>
    <t>6_3_2_13</t>
  </si>
  <si>
    <t>6_3_2_17</t>
  </si>
  <si>
    <t>6_3_2_3</t>
  </si>
  <si>
    <t>6_3_2_4</t>
  </si>
  <si>
    <t>6_3_2_5</t>
  </si>
  <si>
    <t>6_3_2_6</t>
  </si>
  <si>
    <t>6_3_2_7</t>
  </si>
  <si>
    <t>6_3_2_8</t>
  </si>
  <si>
    <t>6_3_2_9</t>
  </si>
  <si>
    <t>6_3_3_1</t>
  </si>
  <si>
    <t>6_3_3_2</t>
  </si>
  <si>
    <t>6_3_4_13</t>
  </si>
  <si>
    <t>6_3_4_15</t>
  </si>
  <si>
    <t>6_3_4_2</t>
  </si>
  <si>
    <t>6_3_4_21</t>
  </si>
  <si>
    <t>6_3_4_3</t>
  </si>
  <si>
    <t>6_3_4_4</t>
  </si>
  <si>
    <t>6_3_4_5</t>
  </si>
  <si>
    <t>6_3_5_2</t>
  </si>
  <si>
    <t>6_3_5_3</t>
  </si>
  <si>
    <t>6_3_5_5</t>
  </si>
  <si>
    <t>6_4_1_2</t>
  </si>
  <si>
    <t>C00787</t>
  </si>
  <si>
    <t>C01647</t>
  </si>
  <si>
    <t>C01650</t>
  </si>
  <si>
    <t>C16636 </t>
  </si>
  <si>
    <t>C00653</t>
  </si>
  <si>
    <t>G13167 </t>
  </si>
  <si>
    <t>G13170</t>
  </si>
  <si>
    <t>G13174 </t>
  </si>
  <si>
    <t>G13176</t>
  </si>
  <si>
    <t>C01642</t>
  </si>
  <si>
    <t>C01649 </t>
  </si>
  <si>
    <t>C01639</t>
  </si>
  <si>
    <t>C01636</t>
  </si>
  <si>
    <t>C01652</t>
  </si>
  <si>
    <t>C01648</t>
  </si>
  <si>
    <t>C01643</t>
  </si>
  <si>
    <t>C01637</t>
  </si>
  <si>
    <t>C01651</t>
  </si>
  <si>
    <t>C01645</t>
  </si>
  <si>
    <t>C01644</t>
  </si>
  <si>
    <t>C01646 </t>
  </si>
  <si>
    <t>C01635</t>
  </si>
  <si>
    <t>C01653</t>
  </si>
  <si>
    <t>C00993</t>
  </si>
  <si>
    <t>C04735 </t>
  </si>
  <si>
    <t>C02839</t>
  </si>
  <si>
    <t>C05336</t>
  </si>
  <si>
    <t>C02553</t>
  </si>
  <si>
    <t>C06481</t>
  </si>
  <si>
    <t>C04260</t>
  </si>
  <si>
    <t>C02412</t>
  </si>
  <si>
    <t>C02702</t>
  </si>
  <si>
    <t>C03125</t>
  </si>
  <si>
    <t>C02163</t>
  </si>
  <si>
    <t>C03512</t>
  </si>
  <si>
    <t>C03511</t>
  </si>
  <si>
    <t>C02988</t>
  </si>
  <si>
    <t>C03402</t>
  </si>
  <si>
    <t>C02992</t>
  </si>
  <si>
    <t>C02047</t>
  </si>
  <si>
    <t>C03127</t>
  </si>
  <si>
    <t>C01931</t>
  </si>
  <si>
    <t>C00886</t>
  </si>
  <si>
    <t>C02554</t>
  </si>
  <si>
    <t>C09332</t>
  </si>
  <si>
    <t>C05929</t>
  </si>
  <si>
    <t>C21016</t>
  </si>
  <si>
    <t>C04681</t>
  </si>
  <si>
    <t>C03794</t>
  </si>
  <si>
    <t>C00109|C00025</t>
  </si>
  <si>
    <t xml:space="preserve">Metabolites </t>
  </si>
  <si>
    <t>H2O</t>
  </si>
  <si>
    <t>UDP</t>
  </si>
  <si>
    <t>FAD</t>
  </si>
  <si>
    <t>Protein</t>
  </si>
  <si>
    <t>Pyridoxal phosphate</t>
  </si>
  <si>
    <t>S-Adenosyl-L-methionine</t>
  </si>
  <si>
    <t>AMP</t>
  </si>
  <si>
    <t>S-Adenosyl-L-homocysteine</t>
  </si>
  <si>
    <t>Pyruvate</t>
  </si>
  <si>
    <t>Acetyl-CoA</t>
  </si>
  <si>
    <t>L-Glutamate</t>
  </si>
  <si>
    <t>2-Oxoglutarate</t>
  </si>
  <si>
    <t>Hydrogen peroxide</t>
  </si>
  <si>
    <t>UDP-glucose</t>
  </si>
  <si>
    <t>D-Glucose</t>
  </si>
  <si>
    <t>Acetate</t>
  </si>
  <si>
    <t>GDP</t>
  </si>
  <si>
    <t>Oxaloacetate</t>
  </si>
  <si>
    <t>Glycine</t>
  </si>
  <si>
    <t>DNA</t>
  </si>
  <si>
    <t>Acyl-CoA</t>
  </si>
  <si>
    <t>L-Alanine</t>
  </si>
  <si>
    <t>Succinate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</si>
  <si>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</si>
  <si>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</si>
  <si>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</si>
  <si>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</si>
  <si>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</si>
  <si>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</si>
  <si>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</si>
  <si>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UDP-alpha-D-galactose</t>
  </si>
  <si>
    <t>Adenosine 3',5'-bisphosphate</t>
  </si>
  <si>
    <t>Cytidine-5'-monophosphate</t>
  </si>
  <si>
    <t>Formate</t>
  </si>
  <si>
    <t>Carboxylate</t>
  </si>
  <si>
    <t>FMN</t>
  </si>
  <si>
    <t>L-Arginine</t>
  </si>
  <si>
    <t>CTP</t>
  </si>
  <si>
    <t>L-Glutamine</t>
  </si>
  <si>
    <t>L-Serine</t>
  </si>
  <si>
    <t>Thiamin diphosphate</t>
  </si>
  <si>
    <t>Aldehyde</t>
  </si>
  <si>
    <t>L-Methionine</t>
  </si>
  <si>
    <t>Phosphoenolpyruvate</t>
  </si>
  <si>
    <t>UTP</t>
  </si>
  <si>
    <t>L-Ornithine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</si>
  <si>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</si>
  <si>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</si>
  <si>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</si>
  <si>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</si>
  <si>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</si>
  <si>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</si>
  <si>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</si>
  <si>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 6-phosphate</t>
  </si>
  <si>
    <t>Urea</t>
  </si>
  <si>
    <t>Sucrose</t>
  </si>
  <si>
    <t>Succinyl-CoA</t>
  </si>
  <si>
    <t>D-Glucose 6-phosphate</t>
  </si>
  <si>
    <t>sn-Glycerol 3-phosphate</t>
  </si>
  <si>
    <t>Sulfite</t>
  </si>
  <si>
    <t>D-Fructose</t>
  </si>
  <si>
    <t>GDP-mannose</t>
  </si>
  <si>
    <t>L-Cysteine</t>
  </si>
  <si>
    <t>Propanoyl-CoA</t>
  </si>
  <si>
    <t>Tetrahydrofolate</t>
  </si>
  <si>
    <t>D-Glucose 1-phosphate</t>
  </si>
  <si>
    <t>IDP</t>
  </si>
  <si>
    <t>UMP</t>
  </si>
  <si>
    <t>Uracil</t>
  </si>
  <si>
    <t>Anthranilate</t>
  </si>
  <si>
    <t>2-Oxobutanoate</t>
  </si>
  <si>
    <t>Dolichyl phosphate</t>
  </si>
  <si>
    <t>Glycerone phosphate</t>
  </si>
  <si>
    <t>CDP</t>
  </si>
  <si>
    <t>Choline</t>
  </si>
  <si>
    <t>Glycerol</t>
  </si>
  <si>
    <t>D-Ribose 5-phosphate</t>
  </si>
  <si>
    <t>D-Glyceraldehyde 3-phosphate</t>
  </si>
  <si>
    <t>5-Phospho-alpha-D-ribose 1-diphosphate</t>
  </si>
  <si>
    <t>Biotin</t>
  </si>
  <si>
    <t>Fumarate</t>
  </si>
  <si>
    <t>L-Leucine</t>
  </si>
  <si>
    <t>D-Galactose</t>
  </si>
  <si>
    <t>Glutathione disulfide</t>
  </si>
  <si>
    <t>Isopentenyl diphosphate</t>
  </si>
  <si>
    <t>IMP</t>
  </si>
  <si>
    <t>dATP</t>
  </si>
  <si>
    <t>D-Alanine</t>
  </si>
  <si>
    <t>L-Histidine</t>
  </si>
  <si>
    <t>Butanoyl-CoA</t>
  </si>
  <si>
    <t>myo-Inositol</t>
  </si>
  <si>
    <t>3-Methyl-2-oxobutanoic acid</t>
  </si>
  <si>
    <t>5,10-Methylenetetrahydrofolate</t>
  </si>
  <si>
    <t>GMP</t>
  </si>
  <si>
    <t>Adenine</t>
  </si>
  <si>
    <t>L-Proline</t>
  </si>
  <si>
    <t>L-Asparagine</t>
  </si>
  <si>
    <t>Nicotinamide</t>
  </si>
  <si>
    <t>Palmitoyl-CoA</t>
  </si>
  <si>
    <t>L-Homocysteine</t>
  </si>
  <si>
    <t>Citrate</t>
  </si>
  <si>
    <t>2-Oxo acid</t>
  </si>
  <si>
    <t>Propanoate</t>
  </si>
  <si>
    <t>Phenylpyruvate</t>
  </si>
  <si>
    <t>Carbamoyl phosphate</t>
  </si>
  <si>
    <t>5'-Methylthioadenosine</t>
  </si>
  <si>
    <t>Acyl-[acyl-carrier protein]</t>
  </si>
  <si>
    <t>Thymine</t>
  </si>
  <si>
    <t>Benzoate</t>
  </si>
  <si>
    <t>L-Valine</t>
  </si>
  <si>
    <t>Glycerone</t>
  </si>
  <si>
    <t>(S)-Lactate</t>
  </si>
  <si>
    <t>L-Threonine</t>
  </si>
  <si>
    <t>N-Acylsphingosine</t>
  </si>
  <si>
    <t>3-Phospho-D-glycerate</t>
  </si>
  <si>
    <t>D-Ribulose 5-phosphate</t>
  </si>
  <si>
    <t>Nucleoside triphosphate</t>
  </si>
  <si>
    <t>UDP-N-acetyl-D-galactosamine</t>
  </si>
  <si>
    <t>dADP</t>
  </si>
  <si>
    <t>Maltose</t>
  </si>
  <si>
    <t>Adenosine</t>
  </si>
  <si>
    <t>Thymidine</t>
  </si>
  <si>
    <t>D-Glutamate</t>
  </si>
  <si>
    <t>Arachidonate</t>
  </si>
  <si>
    <t>beta-D-Glucose</t>
  </si>
  <si>
    <t>Primary alcohol</t>
  </si>
  <si>
    <t>Acetyl phosphate</t>
  </si>
  <si>
    <t>Acyl-carrier protein</t>
  </si>
  <si>
    <t>D-Xylulose 5-phosphate</t>
  </si>
  <si>
    <t>4-Methyl-2-oxopentanoate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</si>
  <si>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</si>
  <si>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</si>
  <si>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</si>
  <si>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</si>
  <si>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</si>
  <si>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</si>
  <si>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Lactose</t>
  </si>
  <si>
    <t>L-Sorbose</t>
  </si>
  <si>
    <t>Lipoamide</t>
  </si>
  <si>
    <t>Hexadecanoic acid</t>
  </si>
  <si>
    <t>Pyridoxal</t>
  </si>
  <si>
    <t>Chorismate</t>
  </si>
  <si>
    <t>Nicotinate</t>
  </si>
  <si>
    <t>Prephenate</t>
  </si>
  <si>
    <t>D-Glycerate</t>
  </si>
  <si>
    <t>Hypoxanthine</t>
  </si>
  <si>
    <t>L-Homoserine</t>
  </si>
  <si>
    <t>Glycolaldehyde</t>
  </si>
  <si>
    <t>alpha-D-Glucose</t>
  </si>
  <si>
    <t>CDP-diacylglycerol</t>
  </si>
  <si>
    <t>Tetrahydrobiopterin</t>
  </si>
  <si>
    <t>D-Mannose 6-phosphate</t>
  </si>
  <si>
    <t>D-Erythrose 4-phosphate</t>
  </si>
  <si>
    <t>Hydrogen sulfide</t>
  </si>
  <si>
    <t>dGTP</t>
  </si>
  <si>
    <t>HCO3-</t>
  </si>
  <si>
    <t>Inosine</t>
  </si>
  <si>
    <t>Orotic acid</t>
  </si>
  <si>
    <t>Uridine</t>
  </si>
  <si>
    <t>ADP-ribose</t>
  </si>
  <si>
    <t>Glutamate</t>
  </si>
  <si>
    <t>Isocitrate</t>
  </si>
  <si>
    <t>Pyridoxine</t>
  </si>
  <si>
    <t>Thiosulfate</t>
  </si>
  <si>
    <t>Caffeoyl-CoA</t>
  </si>
  <si>
    <t>L-Citrulline</t>
  </si>
  <si>
    <t>Deoxyguanosine</t>
  </si>
  <si>
    <t>Acetoacetyl-CoA</t>
  </si>
  <si>
    <t>(S)-Dihydroorotate</t>
  </si>
  <si>
    <t>Geranyl diphosphate</t>
  </si>
  <si>
    <t>Thioredoxin</t>
  </si>
  <si>
    <t>Thioredoxin disulfide</t>
  </si>
  <si>
    <t>Phosphatidylglycerol</t>
  </si>
  <si>
    <t>D-Glucosamine 6-phosphate</t>
  </si>
  <si>
    <t>D-Fructose 1,6-bisphosphate</t>
  </si>
  <si>
    <t>(S)-3-Hydroxy-3-methylglutaryl-CoA</t>
  </si>
  <si>
    <t>N-Acetyl-D-glucosamine 6-phosphate</t>
  </si>
  <si>
    <t>dAMP</t>
  </si>
  <si>
    <t>dGDP</t>
  </si>
  <si>
    <t>dGMP</t>
  </si>
  <si>
    <t>dTDP</t>
  </si>
  <si>
    <t>dTMP</t>
  </si>
  <si>
    <t>dUMP</t>
  </si>
  <si>
    <t>Starch</t>
  </si>
  <si>
    <t>Dextran</t>
  </si>
  <si>
    <t>Retinal</t>
  </si>
  <si>
    <t>Thiamine</t>
  </si>
  <si>
    <t>Cytosine</t>
  </si>
  <si>
    <t>Xanthine</t>
  </si>
  <si>
    <t>Guanosine</t>
  </si>
  <si>
    <t>Pyrimidine</t>
  </si>
  <si>
    <t>Feruloyl-CoA</t>
  </si>
  <si>
    <t>L-Isoleucine</t>
  </si>
  <si>
    <t>Methanethiol</t>
  </si>
  <si>
    <t>Sinapoyl-CoA</t>
  </si>
  <si>
    <t>Stearoyl-CoA</t>
  </si>
  <si>
    <t>Dihydrofolate</t>
  </si>
  <si>
    <t>Phosphatidate</t>
  </si>
  <si>
    <t>cis-Aconitate</t>
  </si>
  <si>
    <t>(R)-Mevalonate</t>
  </si>
  <si>
    <t>N-Acetylornithine</t>
  </si>
  <si>
    <t>N-Carbamoyl-L-aspartate</t>
  </si>
  <si>
    <t>5-Methyltetrahydrofolate</t>
  </si>
  <si>
    <t>L-Aspartate 4-semialdehyde</t>
  </si>
  <si>
    <t>5,10-Methenyltetrahydrofolate</t>
  </si>
  <si>
    <t>alpha-D-Galactose 1-phosphate</t>
  </si>
  <si>
    <t>Sedoheptulose 1,7-bisphosphate</t>
  </si>
  <si>
    <t>trans,trans-Farnesyl diphosphate</t>
  </si>
  <si>
    <t>NDP</t>
  </si>
  <si>
    <t>Nicotinamide D-ribonucleotide</t>
  </si>
  <si>
    <t>dCTP</t>
  </si>
  <si>
    <t>dTTP</t>
  </si>
  <si>
    <t>dUTP</t>
  </si>
  <si>
    <t>Indole</t>
  </si>
  <si>
    <t>Ethanol</t>
  </si>
  <si>
    <t>Retinol</t>
  </si>
  <si>
    <t>Cytidine</t>
  </si>
  <si>
    <t>Raffinose</t>
  </si>
  <si>
    <t>Shikimate</t>
  </si>
  <si>
    <t>ADP-glucose</t>
  </si>
  <si>
    <t>Folate</t>
  </si>
  <si>
    <t>L-Cysteate</t>
  </si>
  <si>
    <t>Oleoyl-CoA</t>
  </si>
  <si>
    <t>Deoxyuridine</t>
  </si>
  <si>
    <t>Hydroquinone</t>
  </si>
  <si>
    <t>Pyridoxamine</t>
  </si>
  <si>
    <t>Triphosphate</t>
  </si>
  <si>
    <t>Cystathionine</t>
  </si>
  <si>
    <t>Methylglyoxal</t>
  </si>
  <si>
    <t>Deoxyadenosine</t>
  </si>
  <si>
    <t>Phosphoprotein</t>
  </si>
  <si>
    <t>4-Aminobenzoate</t>
  </si>
  <si>
    <t>Betaine aldehyde</t>
  </si>
  <si>
    <t>D-Glyceraldehyde</t>
  </si>
  <si>
    <t>Dihydrolipoamide</t>
  </si>
  <si>
    <t>Protein tyrosine</t>
  </si>
  <si>
    <t>2,3-Dehydroacyl-CoA</t>
  </si>
  <si>
    <t>3-Sulfino-L-alanine</t>
  </si>
  <si>
    <t>Protein histidine</t>
  </si>
  <si>
    <t>alpha-D-Ribose 1-phosphate</t>
  </si>
  <si>
    <t>N-Acetyl-L-glutamate</t>
  </si>
  <si>
    <t>Pyridoxine phosphate</t>
  </si>
  <si>
    <t>2-Phospho-D-glycerate</t>
  </si>
  <si>
    <t>Long-chain fatty acid</t>
  </si>
  <si>
    <t>(3S)-3-Hydroxyacyl-CoA</t>
  </si>
  <si>
    <t>1,2-Diacyl-sn-glycerol</t>
  </si>
  <si>
    <t>Pyridoxamine phosphate</t>
  </si>
  <si>
    <t>Poly(ribitol phosphate)</t>
  </si>
  <si>
    <t>Xanthosine 5'-phosphate</t>
  </si>
  <si>
    <t>trans-2,3-Dehydroacyl-CoA</t>
  </si>
  <si>
    <t>LL-2,6-Diaminoheptanedioate</t>
  </si>
  <si>
    <t>alpha-D-Glucose 6-phosphate</t>
  </si>
  <si>
    <t>gamma-L-Glutamyl-L-cysteine</t>
  </si>
  <si>
    <t>(S)-3-Methyl-2-oxopentanoic acid</t>
  </si>
  <si>
    <t>2-Deoxy-D-ribose 1-phosphate</t>
  </si>
  <si>
    <t>2-Deoxy-D-ribose 5-phosphate</t>
  </si>
  <si>
    <t>Deoxynucleoside triphosphate</t>
  </si>
  <si>
    <t>meso-2,6-Diaminoheptanedioate</t>
  </si>
  <si>
    <t>1-Acyl-sn-glycerol 3-phosphate</t>
  </si>
  <si>
    <t>3-Oxoacyl-[acyl-carrier protein]</t>
  </si>
  <si>
    <t>dTDP-4-dehydro-beta-L-rhamnose</t>
  </si>
  <si>
    <t>Trehalose 6-phosphate</t>
  </si>
  <si>
    <t>UDP-N-acetylmuramoyl-L-alanyl-D-glutamate</t>
  </si>
  <si>
    <t>trans-2,3-Dehydroacyl-[acyl-carrier protein]</t>
  </si>
  <si>
    <t>XTP</t>
  </si>
  <si>
    <t>Superoxide</t>
  </si>
  <si>
    <t>dCDP</t>
  </si>
  <si>
    <t>(9Z)-Octadecenoic acid</t>
  </si>
  <si>
    <t>Amylose</t>
  </si>
  <si>
    <t>Dextrin</t>
  </si>
  <si>
    <t>D-Serine</t>
  </si>
  <si>
    <t>Diacetyl</t>
  </si>
  <si>
    <t>1-Octanol</t>
  </si>
  <si>
    <t>Cellulose</t>
  </si>
  <si>
    <t>Mevaldate</t>
  </si>
  <si>
    <t>tRNA(Tyr)</t>
  </si>
  <si>
    <t>(R)-Acetoin</t>
  </si>
  <si>
    <t>DNA adenine</t>
  </si>
  <si>
    <t>L-Arogenate</t>
  </si>
  <si>
    <t>Pantetheine</t>
  </si>
  <si>
    <t>dTDP-glucose</t>
  </si>
  <si>
    <t>3-Oxoadipate</t>
  </si>
  <si>
    <t>Deamino-NAD+</t>
  </si>
  <si>
    <t>L-Histidinol</t>
  </si>
  <si>
    <t>Pantothenate</t>
  </si>
  <si>
    <t xml:space="preserve">Enzymes </t>
  </si>
  <si>
    <t>Enztmes mRNA</t>
  </si>
  <si>
    <t>Enzymes Turnover (/s)</t>
  </si>
  <si>
    <t>Enzymes Km (mM)</t>
  </si>
  <si>
    <t xml:space="preserve">Enzyme mRNA Objects </t>
  </si>
  <si>
    <t>Enzyme Objects</t>
  </si>
  <si>
    <t>Enzyme mRNA Initial 
Concentration (mM)</t>
  </si>
  <si>
    <t>Enzyme Initial 
Concentration (Mm)</t>
  </si>
  <si>
    <t>Translation Rate Law</t>
  </si>
  <si>
    <t>Transcription Equation</t>
  </si>
  <si>
    <t>Translation Equation</t>
  </si>
  <si>
    <t>No.</t>
  </si>
  <si>
    <t>C00226+C00003</t>
  </si>
  <si>
    <t>C00071+C00004+C00080</t>
  </si>
  <si>
    <t>C00469+C00003</t>
  </si>
  <si>
    <t>C00084+C00004+C00080</t>
  </si>
  <si>
    <t>C00473+C00003</t>
  </si>
  <si>
    <t>C00376+C00004+C00080</t>
  </si>
  <si>
    <t>C00756+C00003</t>
  </si>
  <si>
    <t>C01545+C00004+C00080</t>
  </si>
  <si>
    <t>C05444+C00003</t>
  </si>
  <si>
    <t>C05445+C00004+C00080</t>
  </si>
  <si>
    <t>C05576+C00003</t>
  </si>
  <si>
    <t>C05577+C00004+C00080</t>
  </si>
  <si>
    <t>C06611+C00003</t>
  </si>
  <si>
    <t>C06613+C00004+C00080</t>
  </si>
  <si>
    <t xml:space="preserve">C06612+C00003 </t>
  </si>
  <si>
    <t>C16348+C00004+C00080</t>
  </si>
  <si>
    <t>C14089+C00003</t>
  </si>
  <si>
    <t>C14090+C00004+C00080</t>
  </si>
  <si>
    <t>C02909+C00003</t>
  </si>
  <si>
    <t>C14099+C00004+C00080</t>
  </si>
  <si>
    <t>C16586+C00003</t>
  </si>
  <si>
    <t>C16587+C00004+C00080</t>
  </si>
  <si>
    <t xml:space="preserve">C00114+C00003 </t>
  </si>
  <si>
    <t>C00576+C00004+C00080</t>
  </si>
  <si>
    <t>C00114+C00006</t>
  </si>
  <si>
    <t>C00576+C00005+C00080</t>
  </si>
  <si>
    <t>C16310+C00004+C00080</t>
  </si>
  <si>
    <t>C08492+C00003</t>
  </si>
  <si>
    <t xml:space="preserve">C01612+C00003 </t>
  </si>
  <si>
    <t>C01450+C00004+C00080</t>
  </si>
  <si>
    <t>C16595+C00003</t>
  </si>
  <si>
    <t>C16596+C00004+C00080</t>
  </si>
  <si>
    <t>C00418+C00003</t>
  </si>
  <si>
    <t>C00772+C00004+C00080</t>
  </si>
  <si>
    <t>C06899+C00004+C00080</t>
  </si>
  <si>
    <t>C07490+C00003+C00001</t>
  </si>
  <si>
    <t>C01271+C00006 </t>
  </si>
  <si>
    <t>C00685+C00005+C00080</t>
  </si>
  <si>
    <t xml:space="preserve">C04618+C00006 </t>
  </si>
  <si>
    <t>C05744+C00005+C00080</t>
  </si>
  <si>
    <t>C04619+C00006</t>
  </si>
  <si>
    <t>C05753+C00005</t>
  </si>
  <si>
    <t>C04620+C00006</t>
  </si>
  <si>
    <t>C05750+C00005+C00080</t>
  </si>
  <si>
    <t>C04633+C00006</t>
  </si>
  <si>
    <t>C05762+C00005+C00080</t>
  </si>
  <si>
    <t>C04688+C00006</t>
  </si>
  <si>
    <t>C05759+C00005+C00080</t>
  </si>
  <si>
    <t>C05747+C00006</t>
  </si>
  <si>
    <t>C05746+C00005+C00080</t>
  </si>
  <si>
    <t>C05757+C00006</t>
  </si>
  <si>
    <t>C05756+C00005+C00080</t>
  </si>
  <si>
    <t>C16219+C00005+C00080</t>
  </si>
  <si>
    <t>C16220+C00006</t>
  </si>
  <si>
    <t>C20372+C00005+C00080</t>
  </si>
  <si>
    <t>C20373+C00006</t>
  </si>
  <si>
    <t>C20376+C00005+C00080</t>
  </si>
  <si>
    <t>C20377+C00006</t>
  </si>
  <si>
    <t>C03319+C00006</t>
  </si>
  <si>
    <t>C00688+C00005+C00080</t>
  </si>
  <si>
    <t>C01507+C00003</t>
  </si>
  <si>
    <t>C00247+C00004+C00080</t>
  </si>
  <si>
    <t xml:space="preserve">C22111+C00003 </t>
  </si>
  <si>
    <t>C01876+C00004+C00011+C00080</t>
  </si>
  <si>
    <t>C04840+C00003</t>
  </si>
  <si>
    <t>C04453+C00011+C00004+C00080</t>
  </si>
  <si>
    <t>C22111+C00006</t>
  </si>
  <si>
    <t>C01876+C00011+C00005+C00080</t>
  </si>
  <si>
    <t>C04840+C00006</t>
  </si>
  <si>
    <t>C04453+C00011+C00005+C00080</t>
  </si>
  <si>
    <t>C15808+C00006</t>
  </si>
  <si>
    <t>C15816+C00005+C00080+C00011</t>
  </si>
  <si>
    <t>C22112+C00006</t>
  </si>
  <si>
    <t>C22136+C00005+C00080+C00011</t>
  </si>
  <si>
    <t>C01189+C00011+C00001+C00006</t>
  </si>
  <si>
    <t>C05111+C00007+C00005+C00080</t>
  </si>
  <si>
    <t>C00130+C00003+C00001</t>
  </si>
  <si>
    <t>C00655+C00004+C00080</t>
  </si>
  <si>
    <t>C00860+C00003+C00001</t>
  </si>
  <si>
    <t>C00135+C00004+C00080</t>
  </si>
  <si>
    <t>C00493+C00006</t>
  </si>
  <si>
    <t>C02637+C00005+C00080</t>
  </si>
  <si>
    <t xml:space="preserve">C02637+C00006 </t>
  </si>
  <si>
    <t>C22438+C00005+C00080</t>
  </si>
  <si>
    <t>C00186+C00003</t>
  </si>
  <si>
    <t>C00022+C00004+C00080</t>
  </si>
  <si>
    <t>C00263+C00003</t>
  </si>
  <si>
    <t>C00441+C00004+C00080</t>
  </si>
  <si>
    <t>C00263+C00006</t>
  </si>
  <si>
    <t>C00441+C00005+C00080</t>
  </si>
  <si>
    <t>C00741+C00004+C00080</t>
  </si>
  <si>
    <t>C01769+C00003</t>
  </si>
  <si>
    <t>C00311+C00006</t>
  </si>
  <si>
    <t>C00026+C00011+C00005+C00080</t>
  </si>
  <si>
    <t>C00026+C00011</t>
  </si>
  <si>
    <t>C05379+C00005+C00080</t>
  </si>
  <si>
    <t>C00116+C00003</t>
  </si>
  <si>
    <t>C00184+C00004+C00080</t>
  </si>
  <si>
    <t>C00233+C00011</t>
  </si>
  <si>
    <t>C04411+C00003</t>
  </si>
  <si>
    <t>C04236+C00004+C00080</t>
  </si>
  <si>
    <t>C00233+C00011+C00004+C00080</t>
  </si>
  <si>
    <t>C00109+C00011+C00004+C00080</t>
  </si>
  <si>
    <t>C06032+C00003</t>
  </si>
  <si>
    <t>C04272+C00006</t>
  </si>
  <si>
    <t>C06010+C00005+C00080</t>
  </si>
  <si>
    <t>C00900+C00005+C00080</t>
  </si>
  <si>
    <t>C04039+C00006</t>
  </si>
  <si>
    <t>C04181+C00005+C00080</t>
  </si>
  <si>
    <t>C06007+C00006</t>
  </si>
  <si>
    <t>C14463+C00005+C00080</t>
  </si>
  <si>
    <t>C00418+C00010+C00003</t>
  </si>
  <si>
    <t>C00356+C00004+C00080</t>
  </si>
  <si>
    <t>C00093+C00003</t>
  </si>
  <si>
    <t>C00111+C00004+C00080</t>
  </si>
  <si>
    <t>C00093+C00006</t>
  </si>
  <si>
    <t>C00111+C00005+C00080</t>
  </si>
  <si>
    <t>C00197+C00003</t>
  </si>
  <si>
    <t>C03232+C00004+C00080</t>
  </si>
  <si>
    <t>C02630+C00003</t>
  </si>
  <si>
    <t>C00026+C00004+C00080</t>
  </si>
  <si>
    <t>C00027+C00051</t>
  </si>
  <si>
    <t>C00127+C00001</t>
  </si>
  <si>
    <t>C00704+C00080</t>
  </si>
  <si>
    <t>C00027+C00007</t>
  </si>
  <si>
    <t>C03972+C00003+C00001</t>
  </si>
  <si>
    <t>C20258+C00004+C00080</t>
  </si>
  <si>
    <t>C03972+C00006+C00001</t>
  </si>
  <si>
    <t>C20258+C00005+C00080</t>
  </si>
  <si>
    <t>C04232+C00343+C00001</t>
  </si>
  <si>
    <t>C03723+C00342</t>
  </si>
  <si>
    <t>C00206+C00343+C00001</t>
  </si>
  <si>
    <t>C00342+C00008</t>
  </si>
  <si>
    <t>C01346+C00343+C00001</t>
  </si>
  <si>
    <t>C00342+C00015</t>
  </si>
  <si>
    <t>C00361+C00343+C00001</t>
  </si>
  <si>
    <t>C00035+C00342</t>
  </si>
  <si>
    <t>C00705+C00343+C00001</t>
  </si>
  <si>
    <t>C00342+C00112</t>
  </si>
  <si>
    <t>C04232+C16664+C00001</t>
  </si>
  <si>
    <t>C03723+C16663</t>
  </si>
  <si>
    <t>C04232+C03170+C00001</t>
  </si>
  <si>
    <t>C03723+C02090</t>
  </si>
  <si>
    <t>C21750+C00343+C00001</t>
  </si>
  <si>
    <t>C21748+C00342</t>
  </si>
  <si>
    <t>C00677+C00343+C00001 </t>
  </si>
  <si>
    <t>C03802+C00342</t>
  </si>
  <si>
    <t>C00131+C00343+C00001 </t>
  </si>
  <si>
    <t>C00002+C00342</t>
  </si>
  <si>
    <t>C00286+C00343+C00001 </t>
  </si>
  <si>
    <t>C00044+C00342</t>
  </si>
  <si>
    <t>C00458+C00343+C00001 </t>
  </si>
  <si>
    <t>C00063+C00342</t>
  </si>
  <si>
    <t>C00460+C00343+C00001 </t>
  </si>
  <si>
    <t>C00075+C00342</t>
  </si>
  <si>
    <t>C00084+C00010+C00003 </t>
  </si>
  <si>
    <t>C00024+C00004+C00080</t>
  </si>
  <si>
    <t>C01412+C00010+C00003 </t>
  </si>
  <si>
    <t>C00136+C00004+C00080</t>
  </si>
  <si>
    <t>C00441+C00009+C00006 </t>
  </si>
  <si>
    <t>C03082+C00005+C00080</t>
  </si>
  <si>
    <t>C00118+C00009+C00003 </t>
  </si>
  <si>
    <t>C00236+C00004+C00080</t>
  </si>
  <si>
    <t>C01250+C00009+C00006 </t>
  </si>
  <si>
    <t>C04133+C00005+C00080</t>
  </si>
  <si>
    <t>C01165+C00009+C00006 </t>
  </si>
  <si>
    <t>C03287+C00005+C00080</t>
  </si>
  <si>
    <t>C00118+C00006+C00001 </t>
  </si>
  <si>
    <t>C00197+C00005+C00080</t>
  </si>
  <si>
    <t>C00022+C15972 </t>
  </si>
  <si>
    <t>C16255+C00011</t>
  </si>
  <si>
    <t xml:space="preserve">C00022+C00068 </t>
  </si>
  <si>
    <t>C05125+C00011</t>
  </si>
  <si>
    <t>C05125+C15972 </t>
  </si>
  <si>
    <t>C16255+C00068</t>
  </si>
  <si>
    <t>C00254+C00003 </t>
  </si>
  <si>
    <t>C01179+C00011+C00004+C00080</t>
  </si>
  <si>
    <t>C00173+C00003</t>
  </si>
  <si>
    <t>C00693+C00004+C00080</t>
  </si>
  <si>
    <t>C05745+C00003 </t>
  </si>
  <si>
    <t>C04246+C00004+C00080</t>
  </si>
  <si>
    <t>C05223+C00003 </t>
  </si>
  <si>
    <t>C05758+C00004+C00080</t>
  </si>
  <si>
    <t>C05749+C00003 </t>
  </si>
  <si>
    <t>C05748+C00004+C00080</t>
  </si>
  <si>
    <t>C05752+C00003 </t>
  </si>
  <si>
    <t>C05751+C00004+C00080</t>
  </si>
  <si>
    <t>C05755+C00003 </t>
  </si>
  <si>
    <t>C05754+C00004+C00080</t>
  </si>
  <si>
    <t>C05761+C00003 </t>
  </si>
  <si>
    <t>C05760+C00004+C00080</t>
  </si>
  <si>
    <t>C05764+C00003 </t>
  </si>
  <si>
    <t>C05763+C00004+C00080</t>
  </si>
  <si>
    <t>C16221+C00004+C00080 </t>
  </si>
  <si>
    <t>C04088+C00003</t>
  </si>
  <si>
    <t>C01050+C00006 </t>
  </si>
  <si>
    <t>C04631+C00005+C00080</t>
  </si>
  <si>
    <t>C01050+C00003 </t>
  </si>
  <si>
    <t>C04631+C00004+C00080</t>
  </si>
  <si>
    <t>C00337+C00122 </t>
  </si>
  <si>
    <t>C00295+C00042</t>
  </si>
  <si>
    <t>C00041+C00003+C00001</t>
  </si>
  <si>
    <t>C00022+C00014+C00004+C00080</t>
  </si>
  <si>
    <t>C05167+C00001+C00003</t>
  </si>
  <si>
    <t>C00161+C00014+C00004+C00080</t>
  </si>
  <si>
    <t>C05167+C00001+C00006</t>
  </si>
  <si>
    <t>C00161+C00014+C00005+C00080</t>
  </si>
  <si>
    <t>C00037+C00001+C00003</t>
  </si>
  <si>
    <t>C00048+C00014+C00004+C00080</t>
  </si>
  <si>
    <t>C00025+C00006+C00001 </t>
  </si>
  <si>
    <t>C00026+C00014+C00005+C00080</t>
  </si>
  <si>
    <t>C05167+C00001+C00003 </t>
  </si>
  <si>
    <t>C05167+C00001+C00006 </t>
  </si>
  <si>
    <t>C00148+C00003 </t>
  </si>
  <si>
    <t>C03912+C00004+C00080</t>
  </si>
  <si>
    <t>C00148+C00006 </t>
  </si>
  <si>
    <t>C03912+C00005+C00080</t>
  </si>
  <si>
    <t>C01157+C00003 </t>
  </si>
  <si>
    <t>C04281+C00004+C00080</t>
  </si>
  <si>
    <t>C01157+C00006 </t>
  </si>
  <si>
    <t>C04281+C00005+C00080</t>
  </si>
  <si>
    <t>C00440+C00006 </t>
  </si>
  <si>
    <t>C00143+C00005+C00080</t>
  </si>
  <si>
    <t>C00440+C00003 </t>
  </si>
  <si>
    <t>C00143+C00004+C00080</t>
  </si>
  <si>
    <t>C00101+C00006 </t>
  </si>
  <si>
    <t>C00415+C00005+C00080</t>
  </si>
  <si>
    <t>C00101+C00003 </t>
  </si>
  <si>
    <t>C00415+C00004+C00080</t>
  </si>
  <si>
    <t>C00504+C00004+C00080</t>
  </si>
  <si>
    <t>C00504+C00005+C00080</t>
  </si>
  <si>
    <t>C00415+C00003 </t>
  </si>
  <si>
    <t>C00415+C00006 </t>
  </si>
  <si>
    <t>C00272+C00006</t>
  </si>
  <si>
    <t>C02953+C00005+C00080</t>
  </si>
  <si>
    <t>C16675+C00006 </t>
  </si>
  <si>
    <t>C15996+C00005+C00080</t>
  </si>
  <si>
    <t>C16832+C00003 </t>
  </si>
  <si>
    <t>C16237+C00004+C00080</t>
  </si>
  <si>
    <t>C02972+C00003 </t>
  </si>
  <si>
    <t>C02051+C00004+C00080</t>
  </si>
  <si>
    <t>C15973+C00003 </t>
  </si>
  <si>
    <t>C15972+C00004+C00080</t>
  </si>
  <si>
    <t>C00579+C00003 </t>
  </si>
  <si>
    <t>C00248+C00004+C00080</t>
  </si>
  <si>
    <t>C00051+C00006 </t>
  </si>
  <si>
    <t>C00127+C00005+C00080</t>
  </si>
  <si>
    <t>C00051+C00003</t>
  </si>
  <si>
    <t>C00127+C00004+C00080</t>
  </si>
  <si>
    <t>C00342+C00006 </t>
  </si>
  <si>
    <t>C00343+C00005+C00080</t>
  </si>
  <si>
    <t>C00097+C00051+C00006 </t>
  </si>
  <si>
    <t>C05526+C00005</t>
  </si>
  <si>
    <t>C01528+C00006+C00001 </t>
  </si>
  <si>
    <t>C05684+C00005+C00080</t>
  </si>
  <si>
    <t>C00005+C00080+C18902 </t>
  </si>
  <si>
    <t>C00006+C00001+C05703</t>
  </si>
  <si>
    <t>C03023+C00343+C00001 </t>
  </si>
  <si>
    <t>C15653+C00342</t>
  </si>
  <si>
    <t>C00019+C05196+C05197 </t>
  </si>
  <si>
    <t>C05198+C00073+C05199+C05312</t>
  </si>
  <si>
    <t>C03172+C00155</t>
  </si>
  <si>
    <t>C00019+C00155 </t>
  </si>
  <si>
    <t>C00021+C00073</t>
  </si>
  <si>
    <t>C00019+C00323 </t>
  </si>
  <si>
    <t>C00021+C00406</t>
  </si>
  <si>
    <t>C12203+C00019</t>
  </si>
  <si>
    <t>C00411+C00021</t>
  </si>
  <si>
    <t>C04489+C00155 </t>
  </si>
  <si>
    <t>C04144+C00073</t>
  </si>
  <si>
    <t>C05698+C04489 </t>
  </si>
  <si>
    <t>C05335+C04144</t>
  </si>
  <si>
    <t>C00019+C00240 </t>
  </si>
  <si>
    <t>C00021+C04153</t>
  </si>
  <si>
    <t>C00019+C01977 </t>
  </si>
  <si>
    <t>C00021+C04160</t>
  </si>
  <si>
    <t>C00365+C00143 </t>
  </si>
  <si>
    <t>C00415+C00364</t>
  </si>
  <si>
    <t>C00019+C11478 </t>
  </si>
  <si>
    <t>C00021+C04728</t>
  </si>
  <si>
    <t>C04250+C02743 </t>
  </si>
  <si>
    <t>C03800+C11475</t>
  </si>
  <si>
    <t>C00019+C00821 </t>
  </si>
  <si>
    <t>C00021+C03391</t>
  </si>
  <si>
    <t>C00143+C00037+C00001 </t>
  </si>
  <si>
    <t>C00101+C00065</t>
  </si>
  <si>
    <t>C00065+C01217 </t>
  </si>
  <si>
    <t>C04377+C00037+C00001</t>
  </si>
  <si>
    <t>C00234+C03838 </t>
  </si>
  <si>
    <t>C00101+C04376</t>
  </si>
  <si>
    <t>C03838+C00445+C00001 </t>
  </si>
  <si>
    <t>C04376+C00101</t>
  </si>
  <si>
    <t>C02430+C00234</t>
  </si>
  <si>
    <t>C00101+C03294</t>
  </si>
  <si>
    <t>C00169+C00049 </t>
  </si>
  <si>
    <t>C00009+C00438</t>
  </si>
  <si>
    <t>C00169+C00077 </t>
  </si>
  <si>
    <t>C00009+C00327</t>
  </si>
  <si>
    <t>C05382+C00118 </t>
  </si>
  <si>
    <t>C00117+C00231</t>
  </si>
  <si>
    <t>C00085+C00118 </t>
  </si>
  <si>
    <t>C00279+C00231</t>
  </si>
  <si>
    <t>C05345+C00118</t>
  </si>
  <si>
    <t>C12214+C00117 </t>
  </si>
  <si>
    <t>C12215+C05382</t>
  </si>
  <si>
    <t>C00231+C00068</t>
  </si>
  <si>
    <t>C13378+C00118</t>
  </si>
  <si>
    <t>C05382+C00068 </t>
  </si>
  <si>
    <t>C13378+C00117</t>
  </si>
  <si>
    <t>C00900+C00011 </t>
  </si>
  <si>
    <t>C06010+C00011 </t>
  </si>
  <si>
    <t>C00022+C00068</t>
  </si>
  <si>
    <t>C00900+C00068</t>
  </si>
  <si>
    <t>C05125+C00022</t>
  </si>
  <si>
    <t>C06010+C00068</t>
  </si>
  <si>
    <t>C00109+C05125</t>
  </si>
  <si>
    <t>C06006+C00068</t>
  </si>
  <si>
    <t>C00022+C00109 </t>
  </si>
  <si>
    <t>C06006+C00011</t>
  </si>
  <si>
    <t>C00024+C00025 </t>
  </si>
  <si>
    <t>C00010+C00624</t>
  </si>
  <si>
    <t>C00091+C03972+C00001 </t>
  </si>
  <si>
    <t>C00010+C04462</t>
  </si>
  <si>
    <t>C00024+C15973</t>
  </si>
  <si>
    <t>C00010+C16255</t>
  </si>
  <si>
    <t>C00024+C06156</t>
  </si>
  <si>
    <t>C00010+C04501</t>
  </si>
  <si>
    <t>C00173+C01209 </t>
  </si>
  <si>
    <t>C00685+C00011+C00229</t>
  </si>
  <si>
    <t>C03939+C01209</t>
  </si>
  <si>
    <t>C05744+C00011+C00229</t>
  </si>
  <si>
    <t>C05223+C01209 </t>
  </si>
  <si>
    <t>C05759+C00011+C00229</t>
  </si>
  <si>
    <t>C05745+C01209 </t>
  </si>
  <si>
    <t>C05746+C00011+C00229</t>
  </si>
  <si>
    <t>C05749+C01209 </t>
  </si>
  <si>
    <t>C05750+C00011+C00229</t>
  </si>
  <si>
    <t>C05752+C01209</t>
  </si>
  <si>
    <t>C05753+C00011+C00229</t>
  </si>
  <si>
    <t>C05755+C01209</t>
  </si>
  <si>
    <t>C05756+C00011+C00229</t>
  </si>
  <si>
    <t xml:space="preserve">C05761+C01209 </t>
  </si>
  <si>
    <t>C05762+C00011+C00229</t>
  </si>
  <si>
    <t>C05764+C01209</t>
  </si>
  <si>
    <t>C16219+C00229+C00011</t>
  </si>
  <si>
    <t>C19673+C01209 </t>
  </si>
  <si>
    <t>C20372+C00011+C00229</t>
  </si>
  <si>
    <t>C20375+C01209 </t>
  </si>
  <si>
    <t>C20376+C00011+C00229</t>
  </si>
  <si>
    <t>C00024+C01209 </t>
  </si>
  <si>
    <t>C05744+C00010+C00011</t>
  </si>
  <si>
    <t>C00024+C04650 </t>
  </si>
  <si>
    <t>C00010+C17952</t>
  </si>
  <si>
    <t>C17962+C00024 </t>
  </si>
  <si>
    <t>C17949+C00010</t>
  </si>
  <si>
    <t>C00065+C00024 </t>
  </si>
  <si>
    <t>C00979+C00010</t>
  </si>
  <si>
    <t>C00024+C00263</t>
  </si>
  <si>
    <t>C00010+C01077</t>
  </si>
  <si>
    <t>C00083+C00229 </t>
  </si>
  <si>
    <t>C00010+C01209</t>
  </si>
  <si>
    <t>C05223+C01209</t>
  </si>
  <si>
    <t>C05745+C01209</t>
  </si>
  <si>
    <t>C05749+C01209</t>
  </si>
  <si>
    <t>C05761+C01209</t>
  </si>
  <si>
    <t>C19673+C01209</t>
  </si>
  <si>
    <t>C20375+C01209</t>
  </si>
  <si>
    <t>C00416+C00010</t>
  </si>
  <si>
    <t>C00681+C00040</t>
  </si>
  <si>
    <t>C00605+C00681</t>
  </si>
  <si>
    <t>C00010+C00416</t>
  </si>
  <si>
    <t>C00173+C00681</t>
  </si>
  <si>
    <t>C00229+C00416</t>
  </si>
  <si>
    <t>C00024+C00058</t>
  </si>
  <si>
    <t>C00010+C00022</t>
  </si>
  <si>
    <t>C00109+C00010</t>
  </si>
  <si>
    <t>C00100+C00058</t>
  </si>
  <si>
    <t>C00024+C00208</t>
  </si>
  <si>
    <t>C00010+C02130</t>
  </si>
  <si>
    <t>C00024+G00275</t>
  </si>
  <si>
    <t>C00010+G10592</t>
  </si>
  <si>
    <t>C00024+C00009</t>
  </si>
  <si>
    <t>C00010+C00227</t>
  </si>
  <si>
    <t>C00100+C00009</t>
  </si>
  <si>
    <t>C02876+C00010</t>
  </si>
  <si>
    <t>C00158+C00010</t>
  </si>
  <si>
    <t>C00024+C00001+C00036</t>
  </si>
  <si>
    <t>C00356+C00010</t>
  </si>
  <si>
    <t>C00024+C00001+C00332</t>
  </si>
  <si>
    <t>C02504+C00010</t>
  </si>
  <si>
    <t>C00024+C00141+C00001</t>
  </si>
  <si>
    <t>C00718+C00009</t>
  </si>
  <si>
    <t>C00718+C00103</t>
  </si>
  <si>
    <t>G10495+C00009</t>
  </si>
  <si>
    <t>G10495+C00103</t>
  </si>
  <si>
    <t>C00369+C00009</t>
  </si>
  <si>
    <t>G10545+C00009 </t>
  </si>
  <si>
    <t>C00031+C06215</t>
  </si>
  <si>
    <t>C00089+C06215</t>
  </si>
  <si>
    <t>C00031+G10499</t>
  </si>
  <si>
    <t>G00370+G10499</t>
  </si>
  <si>
    <t>C00029+C00760</t>
  </si>
  <si>
    <t>C00015+C00760</t>
  </si>
  <si>
    <t>G10481+G10608 </t>
  </si>
  <si>
    <t>G10481+G10619</t>
  </si>
  <si>
    <t>C00498+C00718 </t>
  </si>
  <si>
    <t>C00008+C00718</t>
  </si>
  <si>
    <t>G10495+G11109 </t>
  </si>
  <si>
    <t>G10495+G11113</t>
  </si>
  <si>
    <t>C04851+C00043</t>
  </si>
  <si>
    <t>C05893+C00015</t>
  </si>
  <si>
    <t>G10552+G10610</t>
  </si>
  <si>
    <t>G10553+G10619</t>
  </si>
  <si>
    <t>C05897+C00043</t>
  </si>
  <si>
    <t>C05898+C00015</t>
  </si>
  <si>
    <t>G10551+G10610</t>
  </si>
  <si>
    <t>G10550+G10619</t>
  </si>
  <si>
    <t>G10556+G10610</t>
  </si>
  <si>
    <t>G10555+G10619</t>
  </si>
  <si>
    <t>C00718+C00031 </t>
  </si>
  <si>
    <t>G10495+C00031 </t>
  </si>
  <si>
    <t>C00089+C00372</t>
  </si>
  <si>
    <t>C00095+C00372</t>
  </si>
  <si>
    <t>G10502+G00370</t>
  </si>
  <si>
    <t>G10502+C00095</t>
  </si>
  <si>
    <t>C00029+C00195</t>
  </si>
  <si>
    <t>C00015+C01190</t>
  </si>
  <si>
    <t>G10608+C00195</t>
  </si>
  <si>
    <t>G10619+G10238</t>
  </si>
  <si>
    <t>C00096+C00110 </t>
  </si>
  <si>
    <t>C00035+C03862</t>
  </si>
  <si>
    <t>C15586+C00009 </t>
  </si>
  <si>
    <t>C15587+C00620</t>
  </si>
  <si>
    <t>C00212+C00009</t>
  </si>
  <si>
    <t>C00147+C00620</t>
  </si>
  <si>
    <t>C00294+C00009</t>
  </si>
  <si>
    <t>C00262+C00620</t>
  </si>
  <si>
    <t>C00387+C00009</t>
  </si>
  <si>
    <t>C00242+C00620</t>
  </si>
  <si>
    <t>C01762+C00009 </t>
  </si>
  <si>
    <t>C00385+C00620</t>
  </si>
  <si>
    <t>C20463+C00009 </t>
  </si>
  <si>
    <t>C15587+C00672</t>
  </si>
  <si>
    <t>C00330+C00009 </t>
  </si>
  <si>
    <t>C00242+C00672</t>
  </si>
  <si>
    <t>C00559+C00009 </t>
  </si>
  <si>
    <t>C00147+C00672</t>
  </si>
  <si>
    <t>C05512+C00009 </t>
  </si>
  <si>
    <t>C00262+C00672</t>
  </si>
  <si>
    <t>C03150+C00009</t>
  </si>
  <si>
    <t>C00153+C00620</t>
  </si>
  <si>
    <t>C05841+C00009 </t>
  </si>
  <si>
    <t>C00253+C00620+C00080</t>
  </si>
  <si>
    <t>C01103+C00013</t>
  </si>
  <si>
    <t>C00295+C00119</t>
  </si>
  <si>
    <t>C07649+C00119 </t>
  </si>
  <si>
    <t>C16634+C00013</t>
  </si>
  <si>
    <t>C03090+C00013+C00025 </t>
  </si>
  <si>
    <t>C00064+C00119+C00001</t>
  </si>
  <si>
    <t>C02739+C00013 </t>
  </si>
  <si>
    <t>C00002+C00119</t>
  </si>
  <si>
    <t>C04302+C00013 </t>
  </si>
  <si>
    <t>C00108+C00119</t>
  </si>
  <si>
    <t>C00214+C00009 </t>
  </si>
  <si>
    <t>C00178+C00672</t>
  </si>
  <si>
    <t>C00299+C00009</t>
  </si>
  <si>
    <t>C00106+C00620</t>
  </si>
  <si>
    <t>C00475+C00009 </t>
  </si>
  <si>
    <t>C00380+C00620</t>
  </si>
  <si>
    <t>C00526+C00009 </t>
  </si>
  <si>
    <t>C00106+C00672</t>
  </si>
  <si>
    <t>C03169+C00009 </t>
  </si>
  <si>
    <t>C00396+C00620+C00080</t>
  </si>
  <si>
    <t>C00655+C00013 </t>
  </si>
  <si>
    <t>C00385+C00119</t>
  </si>
  <si>
    <t>C00144+C00013 </t>
  </si>
  <si>
    <t>C00242+C00119</t>
  </si>
  <si>
    <t>C01977+C16675</t>
  </si>
  <si>
    <t>C20446+C00242</t>
  </si>
  <si>
    <t>C00020+C00013 </t>
  </si>
  <si>
    <t>C00147+C00119</t>
  </si>
  <si>
    <t>C04677+C00013 </t>
  </si>
  <si>
    <t>C04051+C00119</t>
  </si>
  <si>
    <t>C00130+C00013 </t>
  </si>
  <si>
    <t>C00262+C00119</t>
  </si>
  <si>
    <t>C00144+C00013</t>
  </si>
  <si>
    <t>C00655+C00013</t>
  </si>
  <si>
    <t>C02380+C00119</t>
  </si>
  <si>
    <t>C04646+C00013</t>
  </si>
  <si>
    <t>C16614+C00119</t>
  </si>
  <si>
    <t>C16615+C00013</t>
  </si>
  <si>
    <t>C07648+C00119</t>
  </si>
  <si>
    <t>C16619+C00013</t>
  </si>
  <si>
    <t>C00105+C00013</t>
  </si>
  <si>
    <t>C00106+C00119</t>
  </si>
  <si>
    <t>C00341+C00129</t>
  </si>
  <si>
    <t>C00013+C00448</t>
  </si>
  <si>
    <t>C04807+C00568</t>
  </si>
  <si>
    <t>C00013+C00921</t>
  </si>
  <si>
    <t>C01300+C00568</t>
  </si>
  <si>
    <t>C00921+C00001</t>
  </si>
  <si>
    <t>C00074+C03175</t>
  </si>
  <si>
    <t>C00009+C01269</t>
  </si>
  <si>
    <t>C00448+C00129</t>
  </si>
  <si>
    <t>C04574+C00013</t>
  </si>
  <si>
    <t>C00979+C00283</t>
  </si>
  <si>
    <t>C00097+C00033</t>
  </si>
  <si>
    <t>C00979+C01528</t>
  </si>
  <si>
    <t>C05688+C00033</t>
  </si>
  <si>
    <t>C00979+C00320+C00342+C00080</t>
  </si>
  <si>
    <t>C00097+C00094+C00343+C00033</t>
  </si>
  <si>
    <t>C01005+C00283</t>
  </si>
  <si>
    <t>C00097+C00009</t>
  </si>
  <si>
    <t>C01118+C00097</t>
  </si>
  <si>
    <t>C02291+C00042</t>
  </si>
  <si>
    <t>C01118+C00001</t>
  </si>
  <si>
    <t>C00109+C00042+C00014</t>
  </si>
  <si>
    <t>C01118+C00283</t>
  </si>
  <si>
    <t>C00542+C00042</t>
  </si>
  <si>
    <t>C01077+C00097</t>
  </si>
  <si>
    <t>C02291+C00033</t>
  </si>
  <si>
    <t>C05702+C05688</t>
  </si>
  <si>
    <t>C05699+C00009</t>
  </si>
  <si>
    <t>C01077+C05688</t>
  </si>
  <si>
    <t>C05699+C00033</t>
  </si>
  <si>
    <t>C01118+C05688</t>
  </si>
  <si>
    <t>C05699+C00042</t>
  </si>
  <si>
    <t>C01077+C00409</t>
  </si>
  <si>
    <t>C00073+C00033</t>
  </si>
  <si>
    <t>C01077+C00283</t>
  </si>
  <si>
    <t>C00155+C00033</t>
  </si>
  <si>
    <t>C00074+C00279+C00001</t>
  </si>
  <si>
    <t>C04691+C00009</t>
  </si>
  <si>
    <t>C00009+C00013+C00019 </t>
  </si>
  <si>
    <t>C00002+C00073+C00001</t>
  </si>
  <si>
    <t>C00002+C05335+C00001</t>
  </si>
  <si>
    <t>C00009+C00013+C05691</t>
  </si>
  <si>
    <t>C00074+C00043</t>
  </si>
  <si>
    <t>C04631+C00009</t>
  </si>
  <si>
    <t>C00235+C17324</t>
  </si>
  <si>
    <t>C00013+C04432</t>
  </si>
  <si>
    <t>C00049+C00026</t>
  </si>
  <si>
    <t>C00036+C00025</t>
  </si>
  <si>
    <t>C00079+C00026</t>
  </si>
  <si>
    <t>C00166+C00025</t>
  </si>
  <si>
    <t>C00082+C00026</t>
  </si>
  <si>
    <t>C01179+C00025</t>
  </si>
  <si>
    <t>C00097+C00026</t>
  </si>
  <si>
    <t>C00957+C00025</t>
  </si>
  <si>
    <t>C00957+C00302</t>
  </si>
  <si>
    <t>C00506+C00026</t>
  </si>
  <si>
    <t>C05528+C00025</t>
  </si>
  <si>
    <t>C00606+C00026</t>
  </si>
  <si>
    <t>C05527+C00025</t>
  </si>
  <si>
    <t>C05947+C00026</t>
  </si>
  <si>
    <t>C05946+C00025</t>
  </si>
  <si>
    <t>C00437+C00026</t>
  </si>
  <si>
    <t>C01250+C00025</t>
  </si>
  <si>
    <t>C00064+C00085</t>
  </si>
  <si>
    <t>C00025+C00352</t>
  </si>
  <si>
    <t>C00123+C00026</t>
  </si>
  <si>
    <t>C00233+C00025</t>
  </si>
  <si>
    <t>C00183+C00026</t>
  </si>
  <si>
    <t>C00141+C00025</t>
  </si>
  <si>
    <t>C00407+C00026</t>
  </si>
  <si>
    <t>C00671+C00025</t>
  </si>
  <si>
    <t>C02356+C00026</t>
  </si>
  <si>
    <t>C00109+C00025</t>
  </si>
  <si>
    <t>C01005+C00026</t>
  </si>
  <si>
    <t>C03232+C00025</t>
  </si>
  <si>
    <t>C06055+C00026</t>
  </si>
  <si>
    <t>C06054+C00025</t>
  </si>
  <si>
    <t>C01021+C00026</t>
  </si>
  <si>
    <t>C00972+C00025</t>
  </si>
  <si>
    <t>C20895+C00026</t>
  </si>
  <si>
    <t>C20646+C00025</t>
  </si>
  <si>
    <t>C00036+C00826</t>
  </si>
  <si>
    <t>C00049+C00254</t>
  </si>
  <si>
    <t>C01180+C00025</t>
  </si>
  <si>
    <t>C00073+C00026</t>
  </si>
  <si>
    <t>C01100+C00026</t>
  </si>
  <si>
    <t>C01267+C00025</t>
  </si>
  <si>
    <t>C00002+C00641</t>
  </si>
  <si>
    <t>C00008+C00416</t>
  </si>
  <si>
    <t>C00002+C05345</t>
  </si>
  <si>
    <t>C00008+C05378</t>
  </si>
  <si>
    <t>C00002+C00085</t>
  </si>
  <si>
    <t>C00008+C00354</t>
  </si>
  <si>
    <t>C00063+C00085</t>
  </si>
  <si>
    <t>C00112+C00354</t>
  </si>
  <si>
    <t>C00075+C00085</t>
  </si>
  <si>
    <t>C00015+C00354</t>
  </si>
  <si>
    <t>C00081+C00085</t>
  </si>
  <si>
    <t>C00104+C00354</t>
  </si>
  <si>
    <t>C00002+C05382</t>
  </si>
  <si>
    <t>C00008+C00447</t>
  </si>
  <si>
    <t>C01097+C00002</t>
  </si>
  <si>
    <t>C03785+C00008</t>
  </si>
  <si>
    <t>C00063+C01097</t>
  </si>
  <si>
    <t>C00112+C03785</t>
  </si>
  <si>
    <t xml:space="preserve">C00075+C01097 </t>
  </si>
  <si>
    <t>C00015+C03785</t>
  </si>
  <si>
    <t>C00081+C01097</t>
  </si>
  <si>
    <t>C00104+C03785</t>
  </si>
  <si>
    <t>C00002+C00031 </t>
  </si>
  <si>
    <t>C00008+C00092</t>
  </si>
  <si>
    <t>C00002+C00221</t>
  </si>
  <si>
    <t>C00008+C01172</t>
  </si>
  <si>
    <t>C00002+C00267</t>
  </si>
  <si>
    <t>C00008+C00668</t>
  </si>
  <si>
    <t>C00002+C00214</t>
  </si>
  <si>
    <t>C00008+C00364</t>
  </si>
  <si>
    <t>C00002+C00526</t>
  </si>
  <si>
    <t>C00008+C00365</t>
  </si>
  <si>
    <t>C11736+C00002</t>
  </si>
  <si>
    <t>C04242+C00008</t>
  </si>
  <si>
    <t>C00002+C00003</t>
  </si>
  <si>
    <t>C00008+C00006</t>
  </si>
  <si>
    <t>C00002+C00882</t>
  </si>
  <si>
    <t>C00008+C00010</t>
  </si>
  <si>
    <t>C00002+C00258</t>
  </si>
  <si>
    <t>C00008+C00197</t>
  </si>
  <si>
    <t>C00002+C00864</t>
  </si>
  <si>
    <t>C00008+C03492</t>
  </si>
  <si>
    <t>C00002+C00831</t>
  </si>
  <si>
    <t>C00008+C01134</t>
  </si>
  <si>
    <t>C00002+C04079</t>
  </si>
  <si>
    <t>C00008+C04352</t>
  </si>
  <si>
    <t>C00002+C00250</t>
  </si>
  <si>
    <t>C00008+C00018</t>
  </si>
  <si>
    <t>C00002+C00314</t>
  </si>
  <si>
    <t>C00008+C00627</t>
  </si>
  <si>
    <t>C00002+C00534</t>
  </si>
  <si>
    <t>C00008+C00647</t>
  </si>
  <si>
    <t>C00002+C00418</t>
  </si>
  <si>
    <t>C00008+C01107</t>
  </si>
  <si>
    <t>C00002+C00263</t>
  </si>
  <si>
    <t>C00008+C01102</t>
  </si>
  <si>
    <t>C00002+C00095</t>
  </si>
  <si>
    <t>C00008+C00085</t>
  </si>
  <si>
    <t>C00008+C05345</t>
  </si>
  <si>
    <t>C00002+C02336</t>
  </si>
  <si>
    <t>C00002+C00022</t>
  </si>
  <si>
    <t>C00008+C00074</t>
  </si>
  <si>
    <t>C00044+C00022</t>
  </si>
  <si>
    <t>C00035+C00074</t>
  </si>
  <si>
    <t>C00063+C00022</t>
  </si>
  <si>
    <t>C00112+C00074</t>
  </si>
  <si>
    <t>C00075+C00022</t>
  </si>
  <si>
    <t>C00015+C00074</t>
  </si>
  <si>
    <t>C00081+C00022</t>
  </si>
  <si>
    <t>C00104+C00074</t>
  </si>
  <si>
    <t>C00131+C00022</t>
  </si>
  <si>
    <t>C00206+C00074</t>
  </si>
  <si>
    <t>C00286+C00022</t>
  </si>
  <si>
    <t>C00361+C00074</t>
  </si>
  <si>
    <t>C00201+C00022</t>
  </si>
  <si>
    <t>C00454+C00074</t>
  </si>
  <si>
    <t>C00002+C00475</t>
  </si>
  <si>
    <t>C00008+C00055</t>
  </si>
  <si>
    <t>C00002+C00299</t>
  </si>
  <si>
    <t>C00008+C00105</t>
  </si>
  <si>
    <t>C00044+C00475</t>
  </si>
  <si>
    <t>C00035+C00055</t>
  </si>
  <si>
    <t>C00044+C00299</t>
  </si>
  <si>
    <t>C00035+C00105</t>
  </si>
  <si>
    <t>C16633+C00002</t>
  </si>
  <si>
    <t>C16634+C00008</t>
  </si>
  <si>
    <t>C00002+C01094</t>
  </si>
  <si>
    <t>C00002+C00984</t>
  </si>
  <si>
    <t>C00008+C00446</t>
  </si>
  <si>
    <t>C00002+C00493</t>
  </si>
  <si>
    <t>C00008+C03175</t>
  </si>
  <si>
    <t>C00002+C00585</t>
  </si>
  <si>
    <t>C00008+C01167</t>
  </si>
  <si>
    <t>C00002+C00017</t>
  </si>
  <si>
    <t>C00008+C00562</t>
  </si>
  <si>
    <t>C00002+C01609</t>
  </si>
  <si>
    <t>C00008+C02729</t>
  </si>
  <si>
    <t>C00002+C00033</t>
  </si>
  <si>
    <t>C00008+C00227</t>
  </si>
  <si>
    <t>C00002+C00163</t>
  </si>
  <si>
    <t>C00008+C02876</t>
  </si>
  <si>
    <t>C00002+C00025</t>
  </si>
  <si>
    <t>C00008+C03287</t>
  </si>
  <si>
    <t>C00002+C00197</t>
  </si>
  <si>
    <t>C00008+C00236</t>
  </si>
  <si>
    <t>C00002+C00049</t>
  </si>
  <si>
    <t>C00008+C03082</t>
  </si>
  <si>
    <t>C00002+C00624</t>
  </si>
  <si>
    <t>C00008+C04133</t>
  </si>
  <si>
    <t>C00074+C00615</t>
  </si>
  <si>
    <t>C00022+C04261</t>
  </si>
  <si>
    <t>C00002+C00105</t>
  </si>
  <si>
    <t>C00008+C00015</t>
  </si>
  <si>
    <t>C00002+C00055</t>
  </si>
  <si>
    <t>C00008+C00112</t>
  </si>
  <si>
    <t>C00002+C00239</t>
  </si>
  <si>
    <t>C00008+C00705</t>
  </si>
  <si>
    <t>C00002+C16634</t>
  </si>
  <si>
    <t>C00008+C21748</t>
  </si>
  <si>
    <t>C00002+C04242</t>
  </si>
  <si>
    <t>C00008+C21750</t>
  </si>
  <si>
    <t>C00002+C01107</t>
  </si>
  <si>
    <t>C00008+C01143</t>
  </si>
  <si>
    <t>C00002+C00020</t>
  </si>
  <si>
    <t>C00002+C00360</t>
  </si>
  <si>
    <t>C00008+C00206</t>
  </si>
  <si>
    <t>C00068+C00008</t>
  </si>
  <si>
    <t>C03028+C00020</t>
  </si>
  <si>
    <t>C00002+C00454</t>
  </si>
  <si>
    <t>C00008+C00201</t>
  </si>
  <si>
    <t>C00002+C00008</t>
  </si>
  <si>
    <t>C00008+C00002</t>
  </si>
  <si>
    <t>C11038+C00002</t>
  </si>
  <si>
    <t>C11039+C00008</t>
  </si>
  <si>
    <t>C00002+C00015</t>
  </si>
  <si>
    <t>C00008+C00075</t>
  </si>
  <si>
    <t>C00002+C00035</t>
  </si>
  <si>
    <t>C00008+C00044</t>
  </si>
  <si>
    <t>C00002+C00112</t>
  </si>
  <si>
    <t>C00008+C00063</t>
  </si>
  <si>
    <t>C00002+C00104</t>
  </si>
  <si>
    <t>C00008+C00081</t>
  </si>
  <si>
    <t>C00002+C00206</t>
  </si>
  <si>
    <t>C00008+C00131</t>
  </si>
  <si>
    <t>C00002+C00361</t>
  </si>
  <si>
    <t>C00008+C00286</t>
  </si>
  <si>
    <t>C00002+C00363</t>
  </si>
  <si>
    <t>C00008+C00459</t>
  </si>
  <si>
    <t>C00002+C00705</t>
  </si>
  <si>
    <t>C00008+C00458</t>
  </si>
  <si>
    <t>C00002+C01346</t>
  </si>
  <si>
    <t>C00008+C00460</t>
  </si>
  <si>
    <t>C00002+C01344</t>
  </si>
  <si>
    <t>C00008+C01345</t>
  </si>
  <si>
    <t>C22442+C00002</t>
  </si>
  <si>
    <t>C22443+C00008</t>
  </si>
  <si>
    <t>C00002+C21748</t>
  </si>
  <si>
    <t>C00008+C21749</t>
  </si>
  <si>
    <t>C00002+C21750</t>
  </si>
  <si>
    <t>C00008+C21751</t>
  </si>
  <si>
    <t>C00002+C04556</t>
  </si>
  <si>
    <t>C00008+C04752</t>
  </si>
  <si>
    <t>C00002+C00144</t>
  </si>
  <si>
    <t>C00008+C00035</t>
  </si>
  <si>
    <t>C00002+C00362</t>
  </si>
  <si>
    <t>C00008+C00361</t>
  </si>
  <si>
    <t>C22441+C00002</t>
  </si>
  <si>
    <t>C22442+C00008</t>
  </si>
  <si>
    <t>C00002+C00364</t>
  </si>
  <si>
    <t>C00008+C00363</t>
  </si>
  <si>
    <t>C00002+C00365</t>
  </si>
  <si>
    <t>C00008+C01346</t>
  </si>
  <si>
    <t>C00002+C00117</t>
  </si>
  <si>
    <t>C00020+C00119</t>
  </si>
  <si>
    <t>C00002+C00378</t>
  </si>
  <si>
    <t>C00020+C00068</t>
  </si>
  <si>
    <t>C00002+C01300</t>
  </si>
  <si>
    <t>C00020+C04807</t>
  </si>
  <si>
    <t>C00002+C00044</t>
  </si>
  <si>
    <t>C00020+C04494</t>
  </si>
  <si>
    <t>C00002+C00455</t>
  </si>
  <si>
    <t>C00013+C00003</t>
  </si>
  <si>
    <t>C00002+C01185</t>
  </si>
  <si>
    <t>C00013+C00857</t>
  </si>
  <si>
    <t>C00029+C00446</t>
  </si>
  <si>
    <t>C00103+C00052</t>
  </si>
  <si>
    <t>C00002+C00061</t>
  </si>
  <si>
    <t>C00013+C00016</t>
  </si>
  <si>
    <t>C00459+C00103</t>
  </si>
  <si>
    <t>C00013+C00842</t>
  </si>
  <si>
    <t>C00002+C00103</t>
  </si>
  <si>
    <t>C00013+C00498</t>
  </si>
  <si>
    <t>C00002+C01134</t>
  </si>
  <si>
    <t>C00013+C00882</t>
  </si>
  <si>
    <t>C00063+C00416</t>
  </si>
  <si>
    <t>C00013+C00269</t>
  </si>
  <si>
    <t>C00677+C00039</t>
  </si>
  <si>
    <t>C00013+C00039</t>
  </si>
  <si>
    <t>C00201+C00046</t>
  </si>
  <si>
    <t>C00013+C00046</t>
  </si>
  <si>
    <t>C00002+C00046</t>
  </si>
  <si>
    <t>C00044+C00046</t>
  </si>
  <si>
    <t>C00063+C00046</t>
  </si>
  <si>
    <t>C00075+C00046</t>
  </si>
  <si>
    <t>C20864+C00013</t>
  </si>
  <si>
    <t>C00131+C00039</t>
  </si>
  <si>
    <t>C00286+C00039</t>
  </si>
  <si>
    <t>C00458+C00039</t>
  </si>
  <si>
    <t>C00459+C00039</t>
  </si>
  <si>
    <t>C00046+C00009</t>
  </si>
  <si>
    <t>C00046+C00454</t>
  </si>
  <si>
    <t>C00046+C00008</t>
  </si>
  <si>
    <t>C00046+C00015</t>
  </si>
  <si>
    <t>C00046+C00035</t>
  </si>
  <si>
    <t>C00046+C00112</t>
  </si>
  <si>
    <t>C00075+C00103</t>
  </si>
  <si>
    <t>C00013+C00029</t>
  </si>
  <si>
    <t>C04702+C17556</t>
  </si>
  <si>
    <t>C00105+C04851</t>
  </si>
  <si>
    <t>C04882+C17556</t>
  </si>
  <si>
    <t>C00105+C05897</t>
  </si>
  <si>
    <t>C00269+C00093</t>
  </si>
  <si>
    <t>C00055+C03892</t>
  </si>
  <si>
    <t>C00010+C03688 </t>
  </si>
  <si>
    <t>C00054+C00229</t>
  </si>
  <si>
    <t>C01909+C17023+C00019+C05359+C00080 </t>
  </si>
  <si>
    <t>C00120+C00073+C05198</t>
  </si>
  <si>
    <t>C15811+C00097</t>
  </si>
  <si>
    <t>C15812+C00041</t>
  </si>
  <si>
    <t>C00097+C02743</t>
  </si>
  <si>
    <t>C00041+C21440</t>
  </si>
  <si>
    <t>C15812+C02743</t>
  </si>
  <si>
    <t>C15811+C21440</t>
  </si>
  <si>
    <t>C03586+C00001</t>
  </si>
  <si>
    <t>C03880+C00001</t>
  </si>
  <si>
    <t>C03523+C00066</t>
  </si>
  <si>
    <t>C01203+C00001</t>
  </si>
  <si>
    <t>C00229+C00712</t>
  </si>
  <si>
    <t>C05764+C00001</t>
  </si>
  <si>
    <t>C00229+C00249</t>
  </si>
  <si>
    <t>C05223+C00001</t>
  </si>
  <si>
    <t>C00229+C02679</t>
  </si>
  <si>
    <t>C05761+C00001</t>
  </si>
  <si>
    <t>C00229+C06424</t>
  </si>
  <si>
    <t>C16520+C00001</t>
  </si>
  <si>
    <t>C00229+C08362</t>
  </si>
  <si>
    <t>C04088+C00001</t>
  </si>
  <si>
    <t>C00229+C01530</t>
  </si>
  <si>
    <t>C20683+C00001 </t>
  </si>
  <si>
    <t>C00229+C00638</t>
  </si>
  <si>
    <t>C00154+C00001</t>
  </si>
  <si>
    <t>C00010+C00249</t>
  </si>
  <si>
    <t>C00412+C00001</t>
  </si>
  <si>
    <t>C00010+C01530</t>
  </si>
  <si>
    <t>C02041+C00001</t>
  </si>
  <si>
    <t>C00010+C06425</t>
  </si>
  <si>
    <t>C00510+C00001</t>
  </si>
  <si>
    <t>C00010+C00712</t>
  </si>
  <si>
    <t>C02050+C00001</t>
  </si>
  <si>
    <t>C00010+C01595</t>
  </si>
  <si>
    <t>C16162+C00001</t>
  </si>
  <si>
    <t>C00010+C06427</t>
  </si>
  <si>
    <t>C16165+C00001</t>
  </si>
  <si>
    <t>C00010+C06428</t>
  </si>
  <si>
    <t>C16169+C00001</t>
  </si>
  <si>
    <t>C00010+C06429</t>
  </si>
  <si>
    <t>C03035+C00001</t>
  </si>
  <si>
    <t>C00010+C06426</t>
  </si>
  <si>
    <t>C03595+C00001</t>
  </si>
  <si>
    <t>C00010+C03242</t>
  </si>
  <si>
    <t>C02249+C00001</t>
  </si>
  <si>
    <t>C00010+C00219</t>
  </si>
  <si>
    <t>C02843+C00001</t>
  </si>
  <si>
    <t>C00638+C00010</t>
  </si>
  <si>
    <t>C01100+C00001</t>
  </si>
  <si>
    <t>C00860+C00009</t>
  </si>
  <si>
    <t>C00562+C00001</t>
  </si>
  <si>
    <t>C00017+C00009</t>
  </si>
  <si>
    <t>C15585+C00001</t>
  </si>
  <si>
    <t>C00137+C00009</t>
  </si>
  <si>
    <t>C01177+C00001</t>
  </si>
  <si>
    <t>C03546+C00001</t>
  </si>
  <si>
    <t>C04006+C00001</t>
  </si>
  <si>
    <t>C03892+C00001</t>
  </si>
  <si>
    <t>C00344+C00009</t>
  </si>
  <si>
    <t>C01005+C00001</t>
  </si>
  <si>
    <t>C00065+C00009</t>
  </si>
  <si>
    <t>C02532+C00001</t>
  </si>
  <si>
    <t>C00740+C00009</t>
  </si>
  <si>
    <t>C03360+C00001</t>
  </si>
  <si>
    <t>C00870+C00009</t>
  </si>
  <si>
    <t>C01167+C00001</t>
  </si>
  <si>
    <t>C00585+C00009</t>
  </si>
  <si>
    <t>C02520+C00001</t>
  </si>
  <si>
    <t>C00911+C00009</t>
  </si>
  <si>
    <t>C00020+C00001</t>
  </si>
  <si>
    <t>C00055+C00001</t>
  </si>
  <si>
    <t>C00475+C00009</t>
  </si>
  <si>
    <t>C00105+C00001</t>
  </si>
  <si>
    <t>C00130+C00001</t>
  </si>
  <si>
    <t>C00144+C00001</t>
  </si>
  <si>
    <t>C00455+C00001</t>
  </si>
  <si>
    <t>C00655+C00001</t>
  </si>
  <si>
    <t>C01762+C00009</t>
  </si>
  <si>
    <t>C01185+C00001</t>
  </si>
  <si>
    <t>C05841+C00009</t>
  </si>
  <si>
    <t>C00364+C00001</t>
  </si>
  <si>
    <t>C00214+C00009</t>
  </si>
  <si>
    <t>C00239+C00001</t>
  </si>
  <si>
    <t>C00881+C00009</t>
  </si>
  <si>
    <t>C00362+C00001</t>
  </si>
  <si>
    <t>C00330+C00009</t>
  </si>
  <si>
    <t>C00360+C00001</t>
  </si>
  <si>
    <t>C00559+C00009</t>
  </si>
  <si>
    <t>C00365+C00001</t>
  </si>
  <si>
    <t>C00526+C00009</t>
  </si>
  <si>
    <t>C06196+C00001</t>
  </si>
  <si>
    <t>C05512+C00009</t>
  </si>
  <si>
    <t>C00369+C00001</t>
  </si>
  <si>
    <t>C00721+C00369</t>
  </si>
  <si>
    <t>C00721+C00208</t>
  </si>
  <si>
    <t>G10545+C00001</t>
  </si>
  <si>
    <t>G10545+G10545</t>
  </si>
  <si>
    <t>C01935+C00001</t>
  </si>
  <si>
    <t>C00243+C00001 </t>
  </si>
  <si>
    <t>C00031+C00962</t>
  </si>
  <si>
    <t>C05796+C00001</t>
  </si>
  <si>
    <t>C00124+C05796</t>
  </si>
  <si>
    <t>C00243+C00001</t>
  </si>
  <si>
    <t>C00267+C00124</t>
  </si>
  <si>
    <t>C01290+C00001</t>
  </si>
  <si>
    <t>C01190+C00124</t>
  </si>
  <si>
    <t>C04911+C00001</t>
  </si>
  <si>
    <t>C04884+C00124</t>
  </si>
  <si>
    <t>C05403+C00001</t>
  </si>
  <si>
    <t>C05394+C00221</t>
  </si>
  <si>
    <t>C06136+C00001</t>
  </si>
  <si>
    <t>C06135+C00124</t>
  </si>
  <si>
    <t>G00124+C00001</t>
  </si>
  <si>
    <t>G00123+C00124</t>
  </si>
  <si>
    <t>G00110+C00001</t>
  </si>
  <si>
    <t>G00109+C00124</t>
  </si>
  <si>
    <t>G10504+C00001</t>
  </si>
  <si>
    <t>G00092+C00001</t>
  </si>
  <si>
    <t>G10238+C00124</t>
  </si>
  <si>
    <t>G10531+C00001 </t>
  </si>
  <si>
    <t>G10534+C00001 </t>
  </si>
  <si>
    <t>C00124+G10534</t>
  </si>
  <si>
    <t>G01977+C00001</t>
  </si>
  <si>
    <t>G13073+C00124</t>
  </si>
  <si>
    <t>C00089+C00001</t>
  </si>
  <si>
    <t>C00095+C00031</t>
  </si>
  <si>
    <t>C02336+C00267</t>
  </si>
  <si>
    <t>C00492+C00001</t>
  </si>
  <si>
    <t>C05402+C00095</t>
  </si>
  <si>
    <t>C01613+C00001</t>
  </si>
  <si>
    <t>C05404+C00095</t>
  </si>
  <si>
    <t xml:space="preserve">C16688+C00001 </t>
  </si>
  <si>
    <t>C00095+C00092</t>
  </si>
  <si>
    <t>G00370+C00001</t>
  </si>
  <si>
    <t>G00249+C00001 </t>
  </si>
  <si>
    <t>G01275+C00095</t>
  </si>
  <si>
    <t>G00278+C00001 </t>
  </si>
  <si>
    <t>G00501+C00095</t>
  </si>
  <si>
    <t>G10508+C00001</t>
  </si>
  <si>
    <t>C02336+C00668</t>
  </si>
  <si>
    <t>C01355+C00001</t>
  </si>
  <si>
    <t>C00095+C01355</t>
  </si>
  <si>
    <t>G10535+C00001</t>
  </si>
  <si>
    <t>C00095+G10535</t>
  </si>
  <si>
    <t>C04534+C00001</t>
  </si>
  <si>
    <t>C00031+C00092</t>
  </si>
  <si>
    <t>G10518+C00001 </t>
  </si>
  <si>
    <t>C06187+C00001 </t>
  </si>
  <si>
    <t>C00530+C01172</t>
  </si>
  <si>
    <t>C06188+C00001 </t>
  </si>
  <si>
    <t>C02323+C01172</t>
  </si>
  <si>
    <t>C00001+C00689</t>
  </si>
  <si>
    <t>C00001+G09795</t>
  </si>
  <si>
    <t>C00021+C00001</t>
  </si>
  <si>
    <t>C03539+C00147</t>
  </si>
  <si>
    <t>C00170+C00001 </t>
  </si>
  <si>
    <t>C00147+C03089</t>
  </si>
  <si>
    <t>C05198+C00001</t>
  </si>
  <si>
    <t>C22288+C00147</t>
  </si>
  <si>
    <t>C01419+C00001</t>
  </si>
  <si>
    <t>C00097+C00037</t>
  </si>
  <si>
    <t>C05729+C00001</t>
  </si>
  <si>
    <t>C05726+C00037</t>
  </si>
  <si>
    <t>C00152+C00001</t>
  </si>
  <si>
    <t>C00049+C00014</t>
  </si>
  <si>
    <t>C00241+C00001 </t>
  </si>
  <si>
    <t>C00060+C00014</t>
  </si>
  <si>
    <t>C04421+C00001</t>
  </si>
  <si>
    <t>C00042+C00666</t>
  </si>
  <si>
    <t>C00153+C00001</t>
  </si>
  <si>
    <t>C00253+C00014</t>
  </si>
  <si>
    <t>C00241+C00001</t>
  </si>
  <si>
    <t>C00357+C00001</t>
  </si>
  <si>
    <t>C00352+C00033</t>
  </si>
  <si>
    <t>C02999+C00001</t>
  </si>
  <si>
    <t>C00014+C00288 </t>
  </si>
  <si>
    <t>C01563+C00001</t>
  </si>
  <si>
    <t>C00086+C00001</t>
  </si>
  <si>
    <t>C00288+C00014</t>
  </si>
  <si>
    <t>C00086+C00001 </t>
  </si>
  <si>
    <t>C01563+C00014</t>
  </si>
  <si>
    <t>C00011+C00014</t>
  </si>
  <si>
    <t>C11439+C00001</t>
  </si>
  <si>
    <t>C11440+C00058</t>
  </si>
  <si>
    <t>C04258+C00001</t>
  </si>
  <si>
    <t>C00058+C03617</t>
  </si>
  <si>
    <t>C04277+C00001</t>
  </si>
  <si>
    <t>C00337+C00001</t>
  </si>
  <si>
    <t>C00044+C00001</t>
  </si>
  <si>
    <t>C04895+C00058</t>
  </si>
  <si>
    <t>C04895+C00001</t>
  </si>
  <si>
    <t>C05922+C00001</t>
  </si>
  <si>
    <t>C05923+C00058</t>
  </si>
  <si>
    <t>C02741+C00001</t>
  </si>
  <si>
    <t>C00212+C00001</t>
  </si>
  <si>
    <t>C00294+C00014</t>
  </si>
  <si>
    <t>C00559+C00001</t>
  </si>
  <si>
    <t>C05512+C00014</t>
  </si>
  <si>
    <t>C00475+C00001</t>
  </si>
  <si>
    <t>C00299+C00014</t>
  </si>
  <si>
    <t>C00881+C00001 </t>
  </si>
  <si>
    <t>C00526+C00014</t>
  </si>
  <si>
    <t>C16635+C00001</t>
  </si>
  <si>
    <t>C12739+C00014</t>
  </si>
  <si>
    <t>C00445+C00001 </t>
  </si>
  <si>
    <t>C00234+C00080</t>
  </si>
  <si>
    <t>C00352+C00001</t>
  </si>
  <si>
    <t>C00085+C00014</t>
  </si>
  <si>
    <t>C00013+C00001</t>
  </si>
  <si>
    <t>C00301+C00001</t>
  </si>
  <si>
    <t>C00020+C00117</t>
  </si>
  <si>
    <t>C00201+C00001</t>
  </si>
  <si>
    <t>C00454+C00009</t>
  </si>
  <si>
    <t>C00002+C00001</t>
  </si>
  <si>
    <t>C00008+C00009</t>
  </si>
  <si>
    <t>C00068+C00001</t>
  </si>
  <si>
    <t>C01081+C00009</t>
  </si>
  <si>
    <t>C01261+C00001 </t>
  </si>
  <si>
    <t>C00044+C00144</t>
  </si>
  <si>
    <t>C01260+C00001</t>
  </si>
  <si>
    <t>C06198+C00001</t>
  </si>
  <si>
    <t>C00075+C00105</t>
  </si>
  <si>
    <t>C04392+C00001 </t>
  </si>
  <si>
    <t>C00700+C00655</t>
  </si>
  <si>
    <t>C00460+C00001</t>
  </si>
  <si>
    <t>C00365+C00013</t>
  </si>
  <si>
    <t>C21751+C00001</t>
  </si>
  <si>
    <t>C04242+C00013</t>
  </si>
  <si>
    <t>C04574+C00001</t>
  </si>
  <si>
    <t>C17556+C00009</t>
  </si>
  <si>
    <t>C02739+C00001</t>
  </si>
  <si>
    <t>C02741+C00013</t>
  </si>
  <si>
    <t>C02133+C00001</t>
  </si>
  <si>
    <t>C00060+C00009</t>
  </si>
  <si>
    <t>C00227+C00001</t>
  </si>
  <si>
    <t>C00033+C00009</t>
  </si>
  <si>
    <t>C06206+C00001</t>
  </si>
  <si>
    <t>C00180+C00009</t>
  </si>
  <si>
    <t>C00236+C00001</t>
  </si>
  <si>
    <t>C00197+C00009</t>
  </si>
  <si>
    <t>C00047+C00011</t>
  </si>
  <si>
    <t>C03373+C00011</t>
  </si>
  <si>
    <t>C00105+C00011</t>
  </si>
  <si>
    <t>C00009+C00036</t>
  </si>
  <si>
    <t>C00001+C00074+C00011</t>
  </si>
  <si>
    <t>C00002+C01143</t>
  </si>
  <si>
    <t>C00008+C00009+C00129+C00011</t>
  </si>
  <si>
    <t>C01134+C00011</t>
  </si>
  <si>
    <t>C03506+C00011+C00001</t>
  </si>
  <si>
    <t>C00810+C00011</t>
  </si>
  <si>
    <t>C00111+C00118</t>
  </si>
  <si>
    <t>C00111+C00279</t>
  </si>
  <si>
    <t>C00111+C00577</t>
  </si>
  <si>
    <t>C00266+C01300</t>
  </si>
  <si>
    <t>C00118+C00084</t>
  </si>
  <si>
    <t>C00251+C00064</t>
  </si>
  <si>
    <t>C00108+C00022+C00025</t>
  </si>
  <si>
    <t>C00251+C00014</t>
  </si>
  <si>
    <t>C00108+C00022+C00001</t>
  </si>
  <si>
    <t>C00011+C00001</t>
  </si>
  <si>
    <t>C00288+C00080</t>
  </si>
  <si>
    <t>C02637+C00001</t>
  </si>
  <si>
    <t>C00074+C00001</t>
  </si>
  <si>
    <t>C04309+C00001</t>
  </si>
  <si>
    <t>C00658+C00001</t>
  </si>
  <si>
    <t>C00877+C00001</t>
  </si>
  <si>
    <t>C00894+C00001</t>
  </si>
  <si>
    <t>C03221+C00001</t>
  </si>
  <si>
    <t>C03345+C00001</t>
  </si>
  <si>
    <t>C03460+C00001</t>
  </si>
  <si>
    <t>C05272+C00001</t>
  </si>
  <si>
    <t>C05273+C00001</t>
  </si>
  <si>
    <t>C05275+C00001</t>
  </si>
  <si>
    <t>C05276+C00001</t>
  </si>
  <si>
    <t>C05271+C00001</t>
  </si>
  <si>
    <t>C16328+C00001</t>
  </si>
  <si>
    <t>C16332+C00001</t>
  </si>
  <si>
    <t>C16336+C00001</t>
  </si>
  <si>
    <t>C05067+C00001</t>
  </si>
  <si>
    <t>C01122+C00001</t>
  </si>
  <si>
    <t>C03069+C00001</t>
  </si>
  <si>
    <t>C11946+C00001</t>
  </si>
  <si>
    <t>C11945+C00001</t>
  </si>
  <si>
    <t>C14144+C00001</t>
  </si>
  <si>
    <t>C16468+C00001</t>
  </si>
  <si>
    <t>C01267+C00001</t>
  </si>
  <si>
    <t>C00065+C00463 </t>
  </si>
  <si>
    <t>C00078+C00001</t>
  </si>
  <si>
    <t>C00463+C00118</t>
  </si>
  <si>
    <t>C00065+C03506</t>
  </si>
  <si>
    <t>C00078+C00118+C00001</t>
  </si>
  <si>
    <t>C00417+C00001</t>
  </si>
  <si>
    <t>C02631+C00001</t>
  </si>
  <si>
    <t>C11907+C00001</t>
  </si>
  <si>
    <t>C00166+C00001+C00011</t>
  </si>
  <si>
    <t>C00079+C00001+C00011</t>
  </si>
  <si>
    <t>C00141+C00001</t>
  </si>
  <si>
    <t>C00671+C00001</t>
  </si>
  <si>
    <t>C01102+C00001</t>
  </si>
  <si>
    <t>C00188+C00009</t>
  </si>
  <si>
    <t>C06055+C00001</t>
  </si>
  <si>
    <t>C06056+C00009</t>
  </si>
  <si>
    <t>C03684+C00536</t>
  </si>
  <si>
    <t>C00944+C00009</t>
  </si>
  <si>
    <t>C00251+C00009</t>
  </si>
  <si>
    <t>C00022+C00014</t>
  </si>
  <si>
    <t>C02218+C00001</t>
  </si>
  <si>
    <t>C20904+C00001 </t>
  </si>
  <si>
    <t>C00161+C00014</t>
  </si>
  <si>
    <t>C00109+C00014</t>
  </si>
  <si>
    <t>C20905+C00001 </t>
  </si>
  <si>
    <t>C00122+C00062</t>
  </si>
  <si>
    <t>C00122+C00020</t>
  </si>
  <si>
    <t>C00122+C04677</t>
  </si>
  <si>
    <t>C22441+C00122</t>
  </si>
  <si>
    <t>C00441+C00022 </t>
  </si>
  <si>
    <t>C20258+C00001</t>
  </si>
  <si>
    <t>C11838+C00155</t>
  </si>
  <si>
    <t>C00051+C00546</t>
  </si>
  <si>
    <t>C00002+C00082+C00787</t>
  </si>
  <si>
    <t>C00020+C00013+C02839</t>
  </si>
  <si>
    <t>C00002+C00073+C01647 </t>
  </si>
  <si>
    <t>C00020+C00013+C02430</t>
  </si>
  <si>
    <t>C00002+C05335+C01647</t>
  </si>
  <si>
    <t>C00020+C00013+C05336</t>
  </si>
  <si>
    <t>C00002+C00065+C01650</t>
  </si>
  <si>
    <t>C00020+C00013+C02553</t>
  </si>
  <si>
    <t>C00002+C00065+C16636 </t>
  </si>
  <si>
    <t>C00020+C00013+C06481</t>
  </si>
  <si>
    <t>C01638+C00049+C00002 </t>
  </si>
  <si>
    <t>C02984+C00013+C00020</t>
  </si>
  <si>
    <t>C00002+C00133+C00653</t>
  </si>
  <si>
    <t>C00020+C00013+C04260</t>
  </si>
  <si>
    <t>C00002+C00133+G13185 </t>
  </si>
  <si>
    <t>C00020+C00013+G13186</t>
  </si>
  <si>
    <t>C00002+C00133+G13167 </t>
  </si>
  <si>
    <t>C00020+C00013+G13180</t>
  </si>
  <si>
    <t>C00002+C00133+G13170</t>
  </si>
  <si>
    <t>C00020+C00013+G13171</t>
  </si>
  <si>
    <t>C00002+C00133+G13174 </t>
  </si>
  <si>
    <t>C00020+C00013+G13175</t>
  </si>
  <si>
    <t>C00002+C00133+G13176</t>
  </si>
  <si>
    <t>C00020+C00013+G13177</t>
  </si>
  <si>
    <t>C00002+C00133+G13178 </t>
  </si>
  <si>
    <t>C00020+C00013+G13179</t>
  </si>
  <si>
    <t>C00002+C00133+G13192</t>
  </si>
  <si>
    <t>C00020+C00013+G13193</t>
  </si>
  <si>
    <t>C00002+C00037+C01642</t>
  </si>
  <si>
    <t>C00020+C00013+C02412</t>
  </si>
  <si>
    <t>C00002+C00148+C01649 </t>
  </si>
  <si>
    <t>C00020+C00013+C02702</t>
  </si>
  <si>
    <t>C00002+C00097+C01639</t>
  </si>
  <si>
    <t>C00020+C00013+C03125</t>
  </si>
  <si>
    <t>C01641+C00025+C00002</t>
  </si>
  <si>
    <t>C02987+C00013+C00020</t>
  </si>
  <si>
    <t>C00002+C00062+C01636</t>
  </si>
  <si>
    <t>C00020+C00013+C02163</t>
  </si>
  <si>
    <t>C00002+C00078+C01652</t>
  </si>
  <si>
    <t>C00020+C00013+C03512</t>
  </si>
  <si>
    <t>C00002+C00079+C01648</t>
  </si>
  <si>
    <t>C00020+C00013+C03511</t>
  </si>
  <si>
    <t>C00002+C00135+C01643</t>
  </si>
  <si>
    <t>C00020+C00013+C02988</t>
  </si>
  <si>
    <t>C00002+C00152+C01637</t>
  </si>
  <si>
    <t>C00020+C00013+C03402</t>
  </si>
  <si>
    <t>C00002+C00188+C01651</t>
  </si>
  <si>
    <t>C00020+C00013+C02992</t>
  </si>
  <si>
    <t>C00002+C00123+C01645</t>
  </si>
  <si>
    <t>C00020+C00013+C02047</t>
  </si>
  <si>
    <t>C00002+C00407+C01644</t>
  </si>
  <si>
    <t>C00020+C00013+C03127</t>
  </si>
  <si>
    <t>C00002+C00047+C01646 </t>
  </si>
  <si>
    <t>C00020+C00013+C01931</t>
  </si>
  <si>
    <t>C00002+C00041+C01635</t>
  </si>
  <si>
    <t>C00020+C00013+C00886</t>
  </si>
  <si>
    <t>C00002+C00183+C01653</t>
  </si>
  <si>
    <t>C00020+C00013+C02554</t>
  </si>
  <si>
    <t>C00002+C00049+C00014 </t>
  </si>
  <si>
    <t>C00020+C00013+C00152</t>
  </si>
  <si>
    <t>C00002+C00025+C00014</t>
  </si>
  <si>
    <t>C00008+C00009+C00064</t>
  </si>
  <si>
    <t>C00002+C00857+C00014 </t>
  </si>
  <si>
    <t>C00020+C00013+C00003</t>
  </si>
  <si>
    <t>C00002+C05892+C00993</t>
  </si>
  <si>
    <t>C00008+C00009+C04702</t>
  </si>
  <si>
    <t>C00002+C04877+C00993</t>
  </si>
  <si>
    <t>C00008+C00009+C04882</t>
  </si>
  <si>
    <t>C00002+C00692+C00680</t>
  </si>
  <si>
    <t>C00008+C00009+C04877</t>
  </si>
  <si>
    <t>C00002+C03541+C00025</t>
  </si>
  <si>
    <t>C00008+C00009+C03541</t>
  </si>
  <si>
    <t>C00002+C00101+C00025</t>
  </si>
  <si>
    <t>C00008+C00009+C09332</t>
  </si>
  <si>
    <t>C00002+C00234+C00025</t>
  </si>
  <si>
    <t>C00008+C00009+C05928</t>
  </si>
  <si>
    <t>C00002+C00921+C00025</t>
  </si>
  <si>
    <t>C00008+C00009+C00415</t>
  </si>
  <si>
    <t>C00002+C05928+C00025 </t>
  </si>
  <si>
    <t>C00008+C00009+C05929</t>
  </si>
  <si>
    <t>C00002+C00669+C00037 </t>
  </si>
  <si>
    <t>C00008+C00009+C00051</t>
  </si>
  <si>
    <t>C00002+C21015+C00037</t>
  </si>
  <si>
    <t>C00008+C00009+C21016</t>
  </si>
  <si>
    <t>C00002+C00133</t>
  </si>
  <si>
    <t>C00008+C00009+C00993</t>
  </si>
  <si>
    <t>C00063+C03492+C00097</t>
  </si>
  <si>
    <t>C00055+C00013+C04352</t>
  </si>
  <si>
    <t>C00002+C04751+C00049</t>
  </si>
  <si>
    <t>C00008+C00009+C04823</t>
  </si>
  <si>
    <t>C00002+C00692+C00047</t>
  </si>
  <si>
    <t>C00008+C00009+C05892</t>
  </si>
  <si>
    <t>C00002+C01050+C00041</t>
  </si>
  <si>
    <t>C00008+C00009+C01212</t>
  </si>
  <si>
    <t>C00002+C01212+C00217 </t>
  </si>
  <si>
    <t>C00008+C00009+C00692</t>
  </si>
  <si>
    <t>C00002+C04640</t>
  </si>
  <si>
    <t>C00008+C00009+C03373</t>
  </si>
  <si>
    <t>C00002+C03479+C00080</t>
  </si>
  <si>
    <t>C00008+C00009+C00445</t>
  </si>
  <si>
    <t>C00002+C03090+C00037</t>
  </si>
  <si>
    <t>C00008+C00009+C03838</t>
  </si>
  <si>
    <t>C00002+C00120+C04735 </t>
  </si>
  <si>
    <t>C00020+C00013+C04681</t>
  </si>
  <si>
    <t>C00002+C00120</t>
  </si>
  <si>
    <t>C00013+C05921</t>
  </si>
  <si>
    <t>C05921+C06249 </t>
  </si>
  <si>
    <t>C00020+C06250</t>
  </si>
  <si>
    <t>C00064+C00001</t>
  </si>
  <si>
    <t>C00025+C00014</t>
  </si>
  <si>
    <t>C00002+C00075+C00014 </t>
  </si>
  <si>
    <t>C00008+C00009+C00063</t>
  </si>
  <si>
    <t>C00002+C00075+C00064+C00001</t>
  </si>
  <si>
    <t>C00008+C00009+C00063+C00025</t>
  </si>
  <si>
    <t>C01185+C00013+C00008+C00009</t>
  </si>
  <si>
    <t>C00253+C00119+C00002+C00001+C00080</t>
  </si>
  <si>
    <t>C00101+C00058+C00002</t>
  </si>
  <si>
    <t>C00008+C00009+C00234</t>
  </si>
  <si>
    <t>C00044+C00130+C00049</t>
  </si>
  <si>
    <t>C00035+C00009+C03794</t>
  </si>
  <si>
    <t>C00002+C00327+C00049</t>
  </si>
  <si>
    <t>C00020+C00013+C03406</t>
  </si>
  <si>
    <t>C00002+C00655+C00014</t>
  </si>
  <si>
    <t>C00020+C00013+C00144</t>
  </si>
  <si>
    <t>C00002+C00655+C00064+C00001 </t>
  </si>
  <si>
    <t>C00020+C00013+C00144+C00025</t>
  </si>
  <si>
    <t>C16618+C00002+C00064+C00001 </t>
  </si>
  <si>
    <t>C16619+C00020+C00013+C00025</t>
  </si>
  <si>
    <t>C00002+C04376+C00064+C00001</t>
  </si>
  <si>
    <t>C00008+C00009+C04640+C00025</t>
  </si>
  <si>
    <t>C00002+C00064+C00288+C00001</t>
  </si>
  <si>
    <t>C00008+C00009+C00025+C00169</t>
  </si>
  <si>
    <t>C00002+C01563</t>
  </si>
  <si>
    <t>C00008+C00169</t>
  </si>
  <si>
    <t>C00002+C00288 </t>
  </si>
  <si>
    <t>C00008+C20969</t>
  </si>
  <si>
    <t>C00014+C20969</t>
  </si>
  <si>
    <t>C01563+C00009</t>
  </si>
  <si>
    <t>C00002+C00288+C00014</t>
  </si>
  <si>
    <t>C00008+C00009+C00169</t>
  </si>
  <si>
    <t>C00002+C00024+C00288 </t>
  </si>
  <si>
    <t>C00008+C00009+C00083</t>
  </si>
  <si>
    <t>C00226*C00003</t>
  </si>
  <si>
    <t>C00469*C00003</t>
  </si>
  <si>
    <t>C00473*C00003</t>
  </si>
  <si>
    <t>C00756*C00003</t>
  </si>
  <si>
    <t>C05444*C00003</t>
  </si>
  <si>
    <t>C05576*C00003</t>
  </si>
  <si>
    <t>C06611*C00003</t>
  </si>
  <si>
    <t xml:space="preserve">C06612*C00003 </t>
  </si>
  <si>
    <t>C14089*C00003</t>
  </si>
  <si>
    <t>C02909*C00003</t>
  </si>
  <si>
    <t>C16586*C00003</t>
  </si>
  <si>
    <t xml:space="preserve">C00114*C00003 </t>
  </si>
  <si>
    <t>C00114*C00006</t>
  </si>
  <si>
    <t>C16310*C00004*C00080</t>
  </si>
  <si>
    <t xml:space="preserve">C01612*C00003 </t>
  </si>
  <si>
    <t>C16595*C00003</t>
  </si>
  <si>
    <t>C00418*C00003</t>
  </si>
  <si>
    <t>C06899*C00004*C00080</t>
  </si>
  <si>
    <t>C01271*C00006 </t>
  </si>
  <si>
    <t xml:space="preserve">C04618*C00006 </t>
  </si>
  <si>
    <t>C04619*C00006</t>
  </si>
  <si>
    <t>C04620*C00006</t>
  </si>
  <si>
    <t>C04633*C00006</t>
  </si>
  <si>
    <t>C04688*C00006</t>
  </si>
  <si>
    <t>C05747*C00006</t>
  </si>
  <si>
    <t>C05757*C00006</t>
  </si>
  <si>
    <t>C16219*C00005*C00080</t>
  </si>
  <si>
    <t>C20372*C00005*C00080</t>
  </si>
  <si>
    <t>C20376*C00005*C00080</t>
  </si>
  <si>
    <t>C03319*C00006</t>
  </si>
  <si>
    <t>C01507*C00003</t>
  </si>
  <si>
    <t xml:space="preserve">C22111*C00003 </t>
  </si>
  <si>
    <t>C04840*C00003</t>
  </si>
  <si>
    <t>C22111*C00006</t>
  </si>
  <si>
    <t>C04840*C00006</t>
  </si>
  <si>
    <t>C15808*C00006</t>
  </si>
  <si>
    <t>C22112*C00006</t>
  </si>
  <si>
    <t>C01189*C00011*C00001*C00006</t>
  </si>
  <si>
    <t>C00130*C00003*C00001</t>
  </si>
  <si>
    <t>C00860*C00003*C00001</t>
  </si>
  <si>
    <t>C00493*C00006</t>
  </si>
  <si>
    <t xml:space="preserve">C02637*C00006 </t>
  </si>
  <si>
    <t>C00186*C00003</t>
  </si>
  <si>
    <t>C00263*C00003</t>
  </si>
  <si>
    <t>C00263*C00006</t>
  </si>
  <si>
    <t>C00741*C00004*C00080</t>
  </si>
  <si>
    <t>C00311*C00006</t>
  </si>
  <si>
    <t>C00116*C00003</t>
  </si>
  <si>
    <t>C00233*C00011</t>
  </si>
  <si>
    <t>C04411*C00003</t>
  </si>
  <si>
    <t>C00109*C00011*C00004*C00080</t>
  </si>
  <si>
    <t>C04272*C00006</t>
  </si>
  <si>
    <t>C00900*C00005*C00080</t>
  </si>
  <si>
    <t>C06007*C00006</t>
  </si>
  <si>
    <t>C00418*C00010*C00003</t>
  </si>
  <si>
    <t>C00093*C00003</t>
  </si>
  <si>
    <t>C00093*C00006</t>
  </si>
  <si>
    <t>C00197*C00003</t>
  </si>
  <si>
    <t>C02630*C00003</t>
  </si>
  <si>
    <t>C00027*C00051</t>
  </si>
  <si>
    <t>C00704*C00080</t>
  </si>
  <si>
    <t>C03972*C00003*C00001</t>
  </si>
  <si>
    <t>C03972*C00006*C00001</t>
  </si>
  <si>
    <t>C04232*C00343*C00001</t>
  </si>
  <si>
    <t>C00206*C00343*C00001</t>
  </si>
  <si>
    <t>C01346*C00343*C00001</t>
  </si>
  <si>
    <t>C00361*C00343*C00001</t>
  </si>
  <si>
    <t>C00705*C00343*C00001</t>
  </si>
  <si>
    <t>C04232*C16664*C00001</t>
  </si>
  <si>
    <t>C04232*C03170*C00001</t>
  </si>
  <si>
    <t>C21750*C00343*C00001</t>
  </si>
  <si>
    <t>C00677*C00343*C00001 </t>
  </si>
  <si>
    <t>C00131*C00343*C00001 </t>
  </si>
  <si>
    <t>C00286*C00343*C00001 </t>
  </si>
  <si>
    <t>C00458*C00343*C00001 </t>
  </si>
  <si>
    <t>C00460*C00343*C00001 </t>
  </si>
  <si>
    <t>C00084*C00010*C00003 </t>
  </si>
  <si>
    <t>C01412*C00010*C00003 </t>
  </si>
  <si>
    <t>C00441*C00009*C00006 </t>
  </si>
  <si>
    <t>C00118*C00009*C00003 </t>
  </si>
  <si>
    <t>C01250*C00009*C00006 </t>
  </si>
  <si>
    <t>C01165*C00009*C00006 </t>
  </si>
  <si>
    <t>C00118*C00006*C00001 </t>
  </si>
  <si>
    <t>C00022*C15972 </t>
  </si>
  <si>
    <t xml:space="preserve">C00022*C00068 </t>
  </si>
  <si>
    <t>C05125*C15972 </t>
  </si>
  <si>
    <t>C00254*C00003 </t>
  </si>
  <si>
    <t>C00173*C00003</t>
  </si>
  <si>
    <t>C05745*C00003 </t>
  </si>
  <si>
    <t>C05223*C00003 </t>
  </si>
  <si>
    <t>C05749*C00003 </t>
  </si>
  <si>
    <t>C05752*C00003 </t>
  </si>
  <si>
    <t>C05755*C00003 </t>
  </si>
  <si>
    <t>C05761*C00003 </t>
  </si>
  <si>
    <t>C05764*C00003 </t>
  </si>
  <si>
    <t>C16221*C00004*C00080 </t>
  </si>
  <si>
    <t>C01050*C00006 </t>
  </si>
  <si>
    <t>C01050*C00003 </t>
  </si>
  <si>
    <t>C00337*C00122 </t>
  </si>
  <si>
    <t>C00041*C00003*C00001</t>
  </si>
  <si>
    <t>C05167*C00001*C00003</t>
  </si>
  <si>
    <t>C05167*C00001*C00006</t>
  </si>
  <si>
    <t>C00037*C00001*C00003</t>
  </si>
  <si>
    <t>C00025*C00006*C00001 </t>
  </si>
  <si>
    <t>C05167*C00001*C00003 </t>
  </si>
  <si>
    <t>C05167*C00001*C00006 </t>
  </si>
  <si>
    <t>C00148*C00003 </t>
  </si>
  <si>
    <t>C00148*C00006 </t>
  </si>
  <si>
    <t>C01157*C00003 </t>
  </si>
  <si>
    <t>C01157*C00006 </t>
  </si>
  <si>
    <t>C00440*C00006 </t>
  </si>
  <si>
    <t>C00440*C00003 </t>
  </si>
  <si>
    <t>C00101*C00006 </t>
  </si>
  <si>
    <t>C00101*C00003 </t>
  </si>
  <si>
    <t>C00415*C00003 </t>
  </si>
  <si>
    <t>C00415*C00006 </t>
  </si>
  <si>
    <t>C00272*C00006</t>
  </si>
  <si>
    <t>C16675*C00006 </t>
  </si>
  <si>
    <t>C16832*C00003 </t>
  </si>
  <si>
    <t>C02972*C00003 </t>
  </si>
  <si>
    <t>C15973*C00003 </t>
  </si>
  <si>
    <t>C00579*C00003 </t>
  </si>
  <si>
    <t>C00051*C00006 </t>
  </si>
  <si>
    <t>C00051*C00003</t>
  </si>
  <si>
    <t>C00342*C00006 </t>
  </si>
  <si>
    <t>C00097*C00051*C00006 </t>
  </si>
  <si>
    <t>C01528*C00006*C00001 </t>
  </si>
  <si>
    <t>C00005*C00080*C18902 </t>
  </si>
  <si>
    <t>C03023*C00343*C00001 </t>
  </si>
  <si>
    <t>C00019*C05196*C05197 </t>
  </si>
  <si>
    <t>C03172*C00155</t>
  </si>
  <si>
    <t>C00019*C00155 </t>
  </si>
  <si>
    <t>C00019*C00323 </t>
  </si>
  <si>
    <t>C12203*C00019</t>
  </si>
  <si>
    <t>C04489*C00155 </t>
  </si>
  <si>
    <t>C05698*C04489 </t>
  </si>
  <si>
    <t>C00019*C00240 </t>
  </si>
  <si>
    <t>C00019*C01977 </t>
  </si>
  <si>
    <t>C00365*C00143 </t>
  </si>
  <si>
    <t>C00019*C11478 </t>
  </si>
  <si>
    <t>C04250*C02743 </t>
  </si>
  <si>
    <t>C00019*C00821 </t>
  </si>
  <si>
    <t>C00143*C00037*C00001 </t>
  </si>
  <si>
    <t>C00065*C01217 </t>
  </si>
  <si>
    <t>C00234*C03838 </t>
  </si>
  <si>
    <t>C03838*C00445*C00001 </t>
  </si>
  <si>
    <t>C02430*C00234</t>
  </si>
  <si>
    <t>C00169*C00049 </t>
  </si>
  <si>
    <t>C00169*C00077 </t>
  </si>
  <si>
    <t>C05382*C00118 </t>
  </si>
  <si>
    <t>C00085*C00118 </t>
  </si>
  <si>
    <t>C05345*C00118</t>
  </si>
  <si>
    <t>C12214*C00117 </t>
  </si>
  <si>
    <t>C00231*C00068</t>
  </si>
  <si>
    <t>C05382*C00068 </t>
  </si>
  <si>
    <t>C00900*C00011 </t>
  </si>
  <si>
    <t>C06010*C00011 </t>
  </si>
  <si>
    <t>C00022*C00068</t>
  </si>
  <si>
    <t>C00900*C00068</t>
  </si>
  <si>
    <t>C06010*C00068</t>
  </si>
  <si>
    <t>C00109*C05125</t>
  </si>
  <si>
    <t>C00022*C00109 </t>
  </si>
  <si>
    <t>C00024*C00025 </t>
  </si>
  <si>
    <t>C00091*C03972*C00001 </t>
  </si>
  <si>
    <t>C00024*C15973</t>
  </si>
  <si>
    <t>C00024*C06156</t>
  </si>
  <si>
    <t>C00173*C01209 </t>
  </si>
  <si>
    <t>C03939*C01209</t>
  </si>
  <si>
    <t>C05223*C01209 </t>
  </si>
  <si>
    <t>C05745*C01209 </t>
  </si>
  <si>
    <t>C05749*C01209 </t>
  </si>
  <si>
    <t>C05752*C01209</t>
  </si>
  <si>
    <t>C05755*C01209</t>
  </si>
  <si>
    <t xml:space="preserve">C05761*C01209 </t>
  </si>
  <si>
    <t>C05764*C01209</t>
  </si>
  <si>
    <t>C19673*C01209 </t>
  </si>
  <si>
    <t>C20375*C01209 </t>
  </si>
  <si>
    <t>C00024*C01209 </t>
  </si>
  <si>
    <t>C00024*C04650 </t>
  </si>
  <si>
    <t>C17962*C00024 </t>
  </si>
  <si>
    <t>C00065*C00024 </t>
  </si>
  <si>
    <t>C00024*C00263</t>
  </si>
  <si>
    <t>C00083*C00229 </t>
  </si>
  <si>
    <t>C05223*C01209</t>
  </si>
  <si>
    <t>C05745*C01209</t>
  </si>
  <si>
    <t>C05749*C01209</t>
  </si>
  <si>
    <t>C05761*C01209</t>
  </si>
  <si>
    <t>C19673*C01209</t>
  </si>
  <si>
    <t>C20375*C01209</t>
  </si>
  <si>
    <t>C00416*C00010</t>
  </si>
  <si>
    <t>C00605*C00681</t>
  </si>
  <si>
    <t>C00173*C00681</t>
  </si>
  <si>
    <t>C00024*C00058</t>
  </si>
  <si>
    <t>C00109*C00010</t>
  </si>
  <si>
    <t>C00024*C00208</t>
  </si>
  <si>
    <t>C00024*G00275</t>
  </si>
  <si>
    <t>C00024*C00009</t>
  </si>
  <si>
    <t>C00100*C00009</t>
  </si>
  <si>
    <t>C00158*C00010</t>
  </si>
  <si>
    <t>C00356*C00010</t>
  </si>
  <si>
    <t>C02504*C00010</t>
  </si>
  <si>
    <t>C00718*C00009</t>
  </si>
  <si>
    <t>G10495*C00009</t>
  </si>
  <si>
    <t>C00369*C00009</t>
  </si>
  <si>
    <t>G10545*C00009 </t>
  </si>
  <si>
    <t>C00031*C06215</t>
  </si>
  <si>
    <t>C00031*G10499</t>
  </si>
  <si>
    <t>C00029*C00760</t>
  </si>
  <si>
    <t>G10481*G10608 </t>
  </si>
  <si>
    <t>C00498*C00718 </t>
  </si>
  <si>
    <t>G10495*G11109 </t>
  </si>
  <si>
    <t>C04851*C00043</t>
  </si>
  <si>
    <t>G10552*G10610</t>
  </si>
  <si>
    <t>C05897*C00043</t>
  </si>
  <si>
    <t>G10551*G10610</t>
  </si>
  <si>
    <t>G10556*G10610</t>
  </si>
  <si>
    <t>C00718*C00031 </t>
  </si>
  <si>
    <t>G10495*C00031 </t>
  </si>
  <si>
    <t>C00089*C00372</t>
  </si>
  <si>
    <t>G10502*G00370</t>
  </si>
  <si>
    <t>C00029*C00195</t>
  </si>
  <si>
    <t>G10608*C00195</t>
  </si>
  <si>
    <t>C00096*C00110 </t>
  </si>
  <si>
    <t>C15586*C00009 </t>
  </si>
  <si>
    <t>C00212*C00009</t>
  </si>
  <si>
    <t>C00294*C00009</t>
  </si>
  <si>
    <t>C00387*C00009</t>
  </si>
  <si>
    <t>C01762*C00009 </t>
  </si>
  <si>
    <t>C20463*C00009 </t>
  </si>
  <si>
    <t>C00330*C00009 </t>
  </si>
  <si>
    <t>C00559*C00009 </t>
  </si>
  <si>
    <t>C05512*C00009 </t>
  </si>
  <si>
    <t>C03150*C00009</t>
  </si>
  <si>
    <t>C05841*C00009 </t>
  </si>
  <si>
    <t>C01103*C00013</t>
  </si>
  <si>
    <t>C07649*C00119 </t>
  </si>
  <si>
    <t>C03090*C00013*C00025 </t>
  </si>
  <si>
    <t>C02739*C00013 </t>
  </si>
  <si>
    <t>C04302*C00013 </t>
  </si>
  <si>
    <t>C00214*C00009 </t>
  </si>
  <si>
    <t>C00299*C00009</t>
  </si>
  <si>
    <t>C00475*C00009 </t>
  </si>
  <si>
    <t>C00526*C00009 </t>
  </si>
  <si>
    <t>C03169*C00009 </t>
  </si>
  <si>
    <t>C00655*C00013 </t>
  </si>
  <si>
    <t>C00144*C00013 </t>
  </si>
  <si>
    <t>C01977*C16675</t>
  </si>
  <si>
    <t>C00020*C00013 </t>
  </si>
  <si>
    <t>C04677*C00013 </t>
  </si>
  <si>
    <t>C00130*C00013 </t>
  </si>
  <si>
    <t>C00144*C00013</t>
  </si>
  <si>
    <t>C00655*C00013</t>
  </si>
  <si>
    <t>C02380*C00119</t>
  </si>
  <si>
    <t>C16614*C00119</t>
  </si>
  <si>
    <t>C07648*C00119</t>
  </si>
  <si>
    <t>C00105*C00013</t>
  </si>
  <si>
    <t>C00341*C00129</t>
  </si>
  <si>
    <t>C04807*C00568</t>
  </si>
  <si>
    <t>C01300*C00568</t>
  </si>
  <si>
    <t>C00074*C03175</t>
  </si>
  <si>
    <t>C00448*C00129</t>
  </si>
  <si>
    <t>C00979*C00283</t>
  </si>
  <si>
    <t>C00979*C01528</t>
  </si>
  <si>
    <t>C00979*C00320*C00342*C00080</t>
  </si>
  <si>
    <t>C01005*C00283</t>
  </si>
  <si>
    <t>C01118*C00097</t>
  </si>
  <si>
    <t>C01118*C00001</t>
  </si>
  <si>
    <t>C01118*C00283</t>
  </si>
  <si>
    <t>C00542*C00042</t>
  </si>
  <si>
    <t>C01077*C00097</t>
  </si>
  <si>
    <t>C05702*C05688</t>
  </si>
  <si>
    <t>C01077*C05688</t>
  </si>
  <si>
    <t>C01118*C05688</t>
  </si>
  <si>
    <t>C01077*C00409</t>
  </si>
  <si>
    <t>C01077*C00283</t>
  </si>
  <si>
    <t>C00074*C00279*C00001</t>
  </si>
  <si>
    <t>C00009*C00013*C00019 </t>
  </si>
  <si>
    <t>C00002*C05335*C00001</t>
  </si>
  <si>
    <t>C00074*C00043</t>
  </si>
  <si>
    <t>C00235*C17324</t>
  </si>
  <si>
    <t>C00049*C00026</t>
  </si>
  <si>
    <t>C00079*C00026</t>
  </si>
  <si>
    <t>C00082*C00026</t>
  </si>
  <si>
    <t>C00097*C00026</t>
  </si>
  <si>
    <t>C00506*C00026</t>
  </si>
  <si>
    <t>C00606*C00026</t>
  </si>
  <si>
    <t>C05947*C00026</t>
  </si>
  <si>
    <t>C00437*C00026</t>
  </si>
  <si>
    <t>C00064*C00085</t>
  </si>
  <si>
    <t>C00123*C00026</t>
  </si>
  <si>
    <t>C00183*C00026</t>
  </si>
  <si>
    <t>C00407*C00026</t>
  </si>
  <si>
    <t>C02356*C00026</t>
  </si>
  <si>
    <t>C01005*C00026</t>
  </si>
  <si>
    <t>C06055*C00026</t>
  </si>
  <si>
    <t>C01021*C00026</t>
  </si>
  <si>
    <t>C20895*C00026</t>
  </si>
  <si>
    <t>C00036*C00826</t>
  </si>
  <si>
    <t>C01180*C00025</t>
  </si>
  <si>
    <t>C01100*C00026</t>
  </si>
  <si>
    <t>C00002*C00641</t>
  </si>
  <si>
    <t>C00002*C05345</t>
  </si>
  <si>
    <t>C00002*C00085</t>
  </si>
  <si>
    <t>C00063*C00085</t>
  </si>
  <si>
    <t>C00075*C00085</t>
  </si>
  <si>
    <t>C00081*C00085</t>
  </si>
  <si>
    <t>C00002*C05382</t>
  </si>
  <si>
    <t>C01097*C00002</t>
  </si>
  <si>
    <t>C00063*C01097</t>
  </si>
  <si>
    <t xml:space="preserve">C00075*C01097 </t>
  </si>
  <si>
    <t>C00081*C01097</t>
  </si>
  <si>
    <t>C00002*C00031 </t>
  </si>
  <si>
    <t>C00002*C00221</t>
  </si>
  <si>
    <t>C00002*C00267</t>
  </si>
  <si>
    <t>C00002*C00214</t>
  </si>
  <si>
    <t>C00002*C00526</t>
  </si>
  <si>
    <t>C11736*C00002</t>
  </si>
  <si>
    <t>C00002*C00003</t>
  </si>
  <si>
    <t>C00002*C00882</t>
  </si>
  <si>
    <t>C00002*C00258</t>
  </si>
  <si>
    <t>C00002*C00864</t>
  </si>
  <si>
    <t>C00002*C00831</t>
  </si>
  <si>
    <t>C00002*C04079</t>
  </si>
  <si>
    <t>C00002*C00250</t>
  </si>
  <si>
    <t>C00002*C00314</t>
  </si>
  <si>
    <t>C00002*C00534</t>
  </si>
  <si>
    <t>C00002*C00418</t>
  </si>
  <si>
    <t>C00002*C00263</t>
  </si>
  <si>
    <t>C00002*C00095</t>
  </si>
  <si>
    <t>C00002*C02336</t>
  </si>
  <si>
    <t>C00002*C00022</t>
  </si>
  <si>
    <t>C00044*C00022</t>
  </si>
  <si>
    <t>C00063*C00022</t>
  </si>
  <si>
    <t>C00075*C00022</t>
  </si>
  <si>
    <t>C00081*C00022</t>
  </si>
  <si>
    <t>C00131*C00022</t>
  </si>
  <si>
    <t>C00286*C00022</t>
  </si>
  <si>
    <t>C00201*C00022</t>
  </si>
  <si>
    <t>C00002*C00475</t>
  </si>
  <si>
    <t>C00002*C00299</t>
  </si>
  <si>
    <t>C00044*C00475</t>
  </si>
  <si>
    <t>C00044*C00299</t>
  </si>
  <si>
    <t>C16633*C00002</t>
  </si>
  <si>
    <t>C00002*C01094</t>
  </si>
  <si>
    <t>C00002*C00984</t>
  </si>
  <si>
    <t>C00002*C00493</t>
  </si>
  <si>
    <t>C00002*C00585</t>
  </si>
  <si>
    <t>C00002*C00017</t>
  </si>
  <si>
    <t>C00002*C01609</t>
  </si>
  <si>
    <t>C00002*C00033</t>
  </si>
  <si>
    <t>C00002*C00163</t>
  </si>
  <si>
    <t>C00002*C00025</t>
  </si>
  <si>
    <t>C00002*C00197</t>
  </si>
  <si>
    <t>C00002*C00049</t>
  </si>
  <si>
    <t>C00002*C00624</t>
  </si>
  <si>
    <t>C00074*C00615</t>
  </si>
  <si>
    <t>C00002*C00105</t>
  </si>
  <si>
    <t>C00002*C00055</t>
  </si>
  <si>
    <t>C00002*C00239</t>
  </si>
  <si>
    <t>C00002*C16634</t>
  </si>
  <si>
    <t>C00002*C04242</t>
  </si>
  <si>
    <t>C00002*C01107</t>
  </si>
  <si>
    <t>C00002*C00020</t>
  </si>
  <si>
    <t>C00002*C00360</t>
  </si>
  <si>
    <t>C00068*C00008</t>
  </si>
  <si>
    <t>C00002*C00454</t>
  </si>
  <si>
    <t>C00002*C00008</t>
  </si>
  <si>
    <t>C11038*C00002</t>
  </si>
  <si>
    <t>C00002*C00015</t>
  </si>
  <si>
    <t>C00002*C00035</t>
  </si>
  <si>
    <t>C00002*C00112</t>
  </si>
  <si>
    <t>C00002*C00104</t>
  </si>
  <si>
    <t>C00002*C00206</t>
  </si>
  <si>
    <t>C00002*C00361</t>
  </si>
  <si>
    <t>C00002*C00363</t>
  </si>
  <si>
    <t>C00002*C00705</t>
  </si>
  <si>
    <t>C00002*C01346</t>
  </si>
  <si>
    <t>C00002*C01344</t>
  </si>
  <si>
    <t>C22442*C00002</t>
  </si>
  <si>
    <t>C00002*C21748</t>
  </si>
  <si>
    <t>C00002*C21750</t>
  </si>
  <si>
    <t>C00002*C04556</t>
  </si>
  <si>
    <t>C00002*C00144</t>
  </si>
  <si>
    <t>C00002*C00362</t>
  </si>
  <si>
    <t>C22441*C00002</t>
  </si>
  <si>
    <t>C00002*C00364</t>
  </si>
  <si>
    <t>C00002*C00365</t>
  </si>
  <si>
    <t>C00002*C00117</t>
  </si>
  <si>
    <t>C00002*C00378</t>
  </si>
  <si>
    <t>C00002*C01300</t>
  </si>
  <si>
    <t>C00002*C00044</t>
  </si>
  <si>
    <t>C00002*C00455</t>
  </si>
  <si>
    <t>C00002*C01185</t>
  </si>
  <si>
    <t>C00029*C00446</t>
  </si>
  <si>
    <t>C00002*C00061</t>
  </si>
  <si>
    <t>C00459*C00103</t>
  </si>
  <si>
    <t>C00002*C00103</t>
  </si>
  <si>
    <t>C00002*C01134</t>
  </si>
  <si>
    <t>C00063*C00416</t>
  </si>
  <si>
    <t>C00677*C00039</t>
  </si>
  <si>
    <t>C00201*C00046</t>
  </si>
  <si>
    <t>C00002*C00046</t>
  </si>
  <si>
    <t>C00044*C00046</t>
  </si>
  <si>
    <t>C00063*C00046</t>
  </si>
  <si>
    <t>C00075*C00046</t>
  </si>
  <si>
    <t>C00131*C00039</t>
  </si>
  <si>
    <t>C00286*C00039</t>
  </si>
  <si>
    <t>C00458*C00039</t>
  </si>
  <si>
    <t>C00459*C00039</t>
  </si>
  <si>
    <t>C00046*C00009</t>
  </si>
  <si>
    <t>C00075*C00103</t>
  </si>
  <si>
    <t>C04702*C17556</t>
  </si>
  <si>
    <t>C04882*C17556</t>
  </si>
  <si>
    <t>C00269*C00093</t>
  </si>
  <si>
    <t>C00010*C03688 </t>
  </si>
  <si>
    <t>C01909*C17023*C00019*C05359*C00080 </t>
  </si>
  <si>
    <t>C15811*C00097</t>
  </si>
  <si>
    <t>C00097*C02743</t>
  </si>
  <si>
    <t>C15812*C02743</t>
  </si>
  <si>
    <t>C03586*C00001</t>
  </si>
  <si>
    <t>C03880*C00001</t>
  </si>
  <si>
    <t>C01203*C00001</t>
  </si>
  <si>
    <t>C05764*C00001</t>
  </si>
  <si>
    <t>C05223*C00001</t>
  </si>
  <si>
    <t>C05761*C00001</t>
  </si>
  <si>
    <t>C16520*C00001</t>
  </si>
  <si>
    <t>C04088*C00001</t>
  </si>
  <si>
    <t>C20683*C00001 </t>
  </si>
  <si>
    <t>C00154*C00001</t>
  </si>
  <si>
    <t>C00412*C00001</t>
  </si>
  <si>
    <t>C02041*C00001</t>
  </si>
  <si>
    <t>C00510*C00001</t>
  </si>
  <si>
    <t>C02050*C00001</t>
  </si>
  <si>
    <t>C16162*C00001</t>
  </si>
  <si>
    <t>C16165*C00001</t>
  </si>
  <si>
    <t>C16169*C00001</t>
  </si>
  <si>
    <t>C03035*C00001</t>
  </si>
  <si>
    <t>C03595*C00001</t>
  </si>
  <si>
    <t>C02249*C00001</t>
  </si>
  <si>
    <t>C02843*C00001</t>
  </si>
  <si>
    <t>C01100*C00001</t>
  </si>
  <si>
    <t>C00562*C00001</t>
  </si>
  <si>
    <t>C15585*C00001</t>
  </si>
  <si>
    <t>C01177*C00001</t>
  </si>
  <si>
    <t>C03546*C00001</t>
  </si>
  <si>
    <t>C04006*C00001</t>
  </si>
  <si>
    <t>C03892*C00001</t>
  </si>
  <si>
    <t>C01005*C00001</t>
  </si>
  <si>
    <t>C02532*C00001</t>
  </si>
  <si>
    <t>C03360*C00001</t>
  </si>
  <si>
    <t>C01167*C00001</t>
  </si>
  <si>
    <t>C02520*C00001</t>
  </si>
  <si>
    <t>C00020*C00001</t>
  </si>
  <si>
    <t>C00055*C00001</t>
  </si>
  <si>
    <t>C00105*C00001</t>
  </si>
  <si>
    <t>C00130*C00001</t>
  </si>
  <si>
    <t>C00144*C00001</t>
  </si>
  <si>
    <t>C00455*C00001</t>
  </si>
  <si>
    <t>C00655*C00001</t>
  </si>
  <si>
    <t>C01185*C00001</t>
  </si>
  <si>
    <t>C00364*C00001</t>
  </si>
  <si>
    <t>C00239*C00001</t>
  </si>
  <si>
    <t>C00362*C00001</t>
  </si>
  <si>
    <t>C00360*C00001</t>
  </si>
  <si>
    <t>C00365*C00001</t>
  </si>
  <si>
    <t>C06196*C00001</t>
  </si>
  <si>
    <t>C00369*C00001</t>
  </si>
  <si>
    <t>G10545*C00001</t>
  </si>
  <si>
    <t>C01935*C00001</t>
  </si>
  <si>
    <t>C00243*C00001 </t>
  </si>
  <si>
    <t>C05796*C00001</t>
  </si>
  <si>
    <t>C00243*C00001</t>
  </si>
  <si>
    <t>C01290*C00001</t>
  </si>
  <si>
    <t>C04911*C00001</t>
  </si>
  <si>
    <t>C05403*C00001</t>
  </si>
  <si>
    <t>C06136*C00001</t>
  </si>
  <si>
    <t>G00124*C00001</t>
  </si>
  <si>
    <t>G00110*C00001</t>
  </si>
  <si>
    <t>G10504*C00001</t>
  </si>
  <si>
    <t>G00092*C00001</t>
  </si>
  <si>
    <t>G10531*C00001 </t>
  </si>
  <si>
    <t>G10534*C00001 </t>
  </si>
  <si>
    <t>G01977*C00001</t>
  </si>
  <si>
    <t>C00089*C00001</t>
  </si>
  <si>
    <t>C00492*C00001</t>
  </si>
  <si>
    <t>C01613*C00001</t>
  </si>
  <si>
    <t xml:space="preserve">C16688*C00001 </t>
  </si>
  <si>
    <t>G00370*C00001</t>
  </si>
  <si>
    <t>G00249*C00001 </t>
  </si>
  <si>
    <t>G00278*C00001 </t>
  </si>
  <si>
    <t>G10508*C00001</t>
  </si>
  <si>
    <t>C01355*C00001</t>
  </si>
  <si>
    <t>G10535*C00001</t>
  </si>
  <si>
    <t>C04534*C00001</t>
  </si>
  <si>
    <t>G10518*C00001 </t>
  </si>
  <si>
    <t>C06187*C00001 </t>
  </si>
  <si>
    <t>C06188*C00001 </t>
  </si>
  <si>
    <t>C00001*C00689</t>
  </si>
  <si>
    <t>C00001*G09795</t>
  </si>
  <si>
    <t>C00021*C00001</t>
  </si>
  <si>
    <t>C00170*C00001 </t>
  </si>
  <si>
    <t>C05198*C00001</t>
  </si>
  <si>
    <t>C01419*C00001</t>
  </si>
  <si>
    <t>C05729*C00001</t>
  </si>
  <si>
    <t>C00152*C00001</t>
  </si>
  <si>
    <t>C00241*C00001 </t>
  </si>
  <si>
    <t>C04421*C00001</t>
  </si>
  <si>
    <t>C00153*C00001</t>
  </si>
  <si>
    <t>C00241*C00001</t>
  </si>
  <si>
    <t>C00357*C00001</t>
  </si>
  <si>
    <t>C02999*C00001</t>
  </si>
  <si>
    <t>C00014*C00288 </t>
  </si>
  <si>
    <t>C00086*C00001</t>
  </si>
  <si>
    <t>C00086*C00001 </t>
  </si>
  <si>
    <t>C11439*C00001</t>
  </si>
  <si>
    <t>C04258*C00001</t>
  </si>
  <si>
    <t>C04277*C00001</t>
  </si>
  <si>
    <t>C00337*C00001</t>
  </si>
  <si>
    <t>C00044*C00001</t>
  </si>
  <si>
    <t>C04895*C00001</t>
  </si>
  <si>
    <t>C05922*C00001</t>
  </si>
  <si>
    <t>C02741*C00001</t>
  </si>
  <si>
    <t>C00212*C00001</t>
  </si>
  <si>
    <t>C00559*C00001</t>
  </si>
  <si>
    <t>C00475*C00001</t>
  </si>
  <si>
    <t>C00881*C00001 </t>
  </si>
  <si>
    <t>C16635*C00001</t>
  </si>
  <si>
    <t>C00445*C00001 </t>
  </si>
  <si>
    <t>C00352*C00001</t>
  </si>
  <si>
    <t>C00013*C00001</t>
  </si>
  <si>
    <t>C00301*C00001</t>
  </si>
  <si>
    <t>C00201*C00001</t>
  </si>
  <si>
    <t>C00002*C00001</t>
  </si>
  <si>
    <t>C00068*C00001</t>
  </si>
  <si>
    <t>C01261*C00001 </t>
  </si>
  <si>
    <t>C01260*C00001</t>
  </si>
  <si>
    <t>C06198*C00001</t>
  </si>
  <si>
    <t>C04392*C00001 </t>
  </si>
  <si>
    <t>C00460*C00001</t>
  </si>
  <si>
    <t>C21751*C00001</t>
  </si>
  <si>
    <t>C04574*C00001</t>
  </si>
  <si>
    <t>C02739*C00001</t>
  </si>
  <si>
    <t>C02133*C00001</t>
  </si>
  <si>
    <t>C00227*C00001</t>
  </si>
  <si>
    <t>C06206*C00001</t>
  </si>
  <si>
    <t>C00236*C00001</t>
  </si>
  <si>
    <t>C00009*C00036</t>
  </si>
  <si>
    <t>C00002*C01143</t>
  </si>
  <si>
    <t>C00251*C00064</t>
  </si>
  <si>
    <t>C00251*C00014</t>
  </si>
  <si>
    <t>C00288*C00080</t>
  </si>
  <si>
    <t>C03460*C00001</t>
  </si>
  <si>
    <t>C00877*C00001</t>
  </si>
  <si>
    <t>C11946*C00001</t>
  </si>
  <si>
    <t>C11945*C00001</t>
  </si>
  <si>
    <t>C14144*C00001</t>
  </si>
  <si>
    <t>C16468*C00001</t>
  </si>
  <si>
    <t>C00065*C00463 </t>
  </si>
  <si>
    <t>C00065*C03506</t>
  </si>
  <si>
    <t>C01102*C00001</t>
  </si>
  <si>
    <t>C06055*C00001</t>
  </si>
  <si>
    <t>C20904*C00001 </t>
  </si>
  <si>
    <t>C20905*C00001 </t>
  </si>
  <si>
    <t>C00441*C00022 </t>
  </si>
  <si>
    <t>C00002*C00082*C00787</t>
  </si>
  <si>
    <t>C00002*C00073*C01647 </t>
  </si>
  <si>
    <t>C00002*C05335*C01647</t>
  </si>
  <si>
    <t>C00002*C00065*C01650</t>
  </si>
  <si>
    <t>C00002*C00065*C16636 </t>
  </si>
  <si>
    <t>C01638*C00049*C00002 </t>
  </si>
  <si>
    <t>C00002*C00133*C00653</t>
  </si>
  <si>
    <t>C00002*C00133*G13185 </t>
  </si>
  <si>
    <t>C00002*C00133*G13167 </t>
  </si>
  <si>
    <t>C00002*C00133*G13170</t>
  </si>
  <si>
    <t>C00002*C00133*G13174 </t>
  </si>
  <si>
    <t>C00002*C00133*G13176</t>
  </si>
  <si>
    <t>C00002*C00133*G13178 </t>
  </si>
  <si>
    <t>C00002*C00133*G13192</t>
  </si>
  <si>
    <t>C00002*C00037*C01642</t>
  </si>
  <si>
    <t>C00002*C00148*C01649 </t>
  </si>
  <si>
    <t>C00002*C00097*C01639</t>
  </si>
  <si>
    <t>C01641*C00025*C00002</t>
  </si>
  <si>
    <t>C00002*C00062*C01636</t>
  </si>
  <si>
    <t>C00002*C00078*C01652</t>
  </si>
  <si>
    <t>C00002*C00079*C01648</t>
  </si>
  <si>
    <t>C00002*C00135*C01643</t>
  </si>
  <si>
    <t>C00002*C00152*C01637</t>
  </si>
  <si>
    <t>C00002*C00188*C01651</t>
  </si>
  <si>
    <t>C00002*C00123*C01645</t>
  </si>
  <si>
    <t>C00002*C00407*C01644</t>
  </si>
  <si>
    <t>C00002*C00047*C01646 </t>
  </si>
  <si>
    <t>C00002*C00041*C01635</t>
  </si>
  <si>
    <t>C00002*C00183*C01653</t>
  </si>
  <si>
    <t>C00002*C00049*C00014 </t>
  </si>
  <si>
    <t>C00002*C00025*C00014</t>
  </si>
  <si>
    <t>C00002*C00857*C00014 </t>
  </si>
  <si>
    <t>C00002*C05892*C00993</t>
  </si>
  <si>
    <t>C00002*C04877*C00993</t>
  </si>
  <si>
    <t>C00002*C00692*C00680</t>
  </si>
  <si>
    <t>C00002*C03541*C00025</t>
  </si>
  <si>
    <t>C00002*C00101*C00025</t>
  </si>
  <si>
    <t>C00002*C00234*C00025</t>
  </si>
  <si>
    <t>C00002*C00921*C00025</t>
  </si>
  <si>
    <t>C00002*C05928*C00025 </t>
  </si>
  <si>
    <t>C00002*C00669*C00037 </t>
  </si>
  <si>
    <t>C00002*C21015*C00037</t>
  </si>
  <si>
    <t>C00002*C00133</t>
  </si>
  <si>
    <t>C00063*C03492*C00097</t>
  </si>
  <si>
    <t>C00002*C04751*C00049</t>
  </si>
  <si>
    <t>C00002*C00692*C00047</t>
  </si>
  <si>
    <t>C00002*C01050*C00041</t>
  </si>
  <si>
    <t>C00002*C01212*C00217 </t>
  </si>
  <si>
    <t>C00002*C04640</t>
  </si>
  <si>
    <t>C00002*C03479*C00080</t>
  </si>
  <si>
    <t>C00002*C03090*C00037</t>
  </si>
  <si>
    <t>C00002*C00120*C04735 </t>
  </si>
  <si>
    <t>C00002*C00120</t>
  </si>
  <si>
    <t>C05921*C06249 </t>
  </si>
  <si>
    <t>C00064*C00001</t>
  </si>
  <si>
    <t>C00002*C00075*C00014 </t>
  </si>
  <si>
    <t>C00002*C00075*C00064*C00001</t>
  </si>
  <si>
    <t>C01185*C00013*C00008*C00009</t>
  </si>
  <si>
    <t>C00101*C00058*C00002</t>
  </si>
  <si>
    <t>C00044*C00130*C00049</t>
  </si>
  <si>
    <t>C00002*C00327*C00049</t>
  </si>
  <si>
    <t>C00002*C00655*C00014</t>
  </si>
  <si>
    <t>C00002*C00655*C00064*C00001 </t>
  </si>
  <si>
    <t>C16618*C00002*C00064*C00001 </t>
  </si>
  <si>
    <t>C00002*C04376*C00064*C00001</t>
  </si>
  <si>
    <t>C00002*C00064*C00288*C00001</t>
  </si>
  <si>
    <t>C00002*C01563</t>
  </si>
  <si>
    <t>C00002*C00288 </t>
  </si>
  <si>
    <t>C00014*C20969</t>
  </si>
  <si>
    <t>C00002*C00288*C00014</t>
  </si>
  <si>
    <t>C00002*C00024*C00288 </t>
  </si>
  <si>
    <t>C00071*C00004*C00080</t>
  </si>
  <si>
    <t>C00084*C00004*C00080</t>
  </si>
  <si>
    <t>C00376*C00004*C00080</t>
  </si>
  <si>
    <t>C01545*C00004*C00080</t>
  </si>
  <si>
    <t>C05445*C00004*C00080</t>
  </si>
  <si>
    <t>C05577*C00004*C00080</t>
  </si>
  <si>
    <t>C06613*C00004*C00080</t>
  </si>
  <si>
    <t>C16348*C00004*C00080</t>
  </si>
  <si>
    <t>C14090*C00004*C00080</t>
  </si>
  <si>
    <t>C14099*C00004*C00080</t>
  </si>
  <si>
    <t>C16587*C00004*C00080</t>
  </si>
  <si>
    <t>C00576*C00004*C00080</t>
  </si>
  <si>
    <t>C00576*C00005*C00080</t>
  </si>
  <si>
    <t>C08492*C00003</t>
  </si>
  <si>
    <t>C01450*C00004*C00080</t>
  </si>
  <si>
    <t>C16596*C00004*C00080</t>
  </si>
  <si>
    <t>C00772*C00004*C00080</t>
  </si>
  <si>
    <t>C07490*C00003*C00001</t>
  </si>
  <si>
    <t>C00685*C00005*C00080</t>
  </si>
  <si>
    <t>C05744*C00005*C00080</t>
  </si>
  <si>
    <t>C05753*C00005</t>
  </si>
  <si>
    <t>C05750*C00005*C00080</t>
  </si>
  <si>
    <t>C05762*C00005*C00080</t>
  </si>
  <si>
    <t>C05759*C00005*C00080</t>
  </si>
  <si>
    <t>C05746*C00005*C00080</t>
  </si>
  <si>
    <t>C05756*C00005*C00080</t>
  </si>
  <si>
    <t>C16220*C00006</t>
  </si>
  <si>
    <t>C20373*C00006</t>
  </si>
  <si>
    <t>C20377*C00006</t>
  </si>
  <si>
    <t>C00688*C00005*C00080</t>
  </si>
  <si>
    <t>C00247*C00004*C00080</t>
  </si>
  <si>
    <t>C01876*C00004*C00011*C00080</t>
  </si>
  <si>
    <t>C04453*C00011*C00004*C00080</t>
  </si>
  <si>
    <t>C01876*C00011*C00005*C00080</t>
  </si>
  <si>
    <t>C04453*C00011*C00005*C00080</t>
  </si>
  <si>
    <t>C15816*C00005*C00080*C00011</t>
  </si>
  <si>
    <t>C22136*C00005*C00080*C00011</t>
  </si>
  <si>
    <t>C05111*C00007*C00005*C00080</t>
  </si>
  <si>
    <t>C00655*C00004*C00080</t>
  </si>
  <si>
    <t>C00135*C00004*C00080</t>
  </si>
  <si>
    <t>C02637*C00005*C00080</t>
  </si>
  <si>
    <t>C22438*C00005*C00080</t>
  </si>
  <si>
    <t>C00022*C00004*C00080</t>
  </si>
  <si>
    <t>C00441*C00004*C00080</t>
  </si>
  <si>
    <t>C00441*C00005*C00080</t>
  </si>
  <si>
    <t>C01769*C00003</t>
  </si>
  <si>
    <t>C00026*C00011*C00005*C00080</t>
  </si>
  <si>
    <t>C00026*C00011</t>
  </si>
  <si>
    <t>C05379*C00005*C00080</t>
  </si>
  <si>
    <t>C00184*C00004*C00080</t>
  </si>
  <si>
    <t>C04236*C00004*C00080</t>
  </si>
  <si>
    <t>C00233*C00011*C00004*C00080</t>
  </si>
  <si>
    <t>C06032*C00003</t>
  </si>
  <si>
    <t>C06010*C00005*C00080</t>
  </si>
  <si>
    <t>C04039*C00006</t>
  </si>
  <si>
    <t>C04181*C00005*C00080</t>
  </si>
  <si>
    <t>C14463*C00005*C00080</t>
  </si>
  <si>
    <t>C00356*C00004*C00080</t>
  </si>
  <si>
    <t>C00111*C00004*C00080</t>
  </si>
  <si>
    <t>C00111*C00005*C00080</t>
  </si>
  <si>
    <t>C03232*C00004*C00080</t>
  </si>
  <si>
    <t>C00026*C00004*C00080</t>
  </si>
  <si>
    <t>C00127*C00001</t>
  </si>
  <si>
    <t>C00027*C00007</t>
  </si>
  <si>
    <t>C20258*C00004*C00080</t>
  </si>
  <si>
    <t>C20258*C00005*C00080</t>
  </si>
  <si>
    <t>C03723*C00342</t>
  </si>
  <si>
    <t>C00342*C00008</t>
  </si>
  <si>
    <t>C00342*C00015</t>
  </si>
  <si>
    <t>C00035*C00342</t>
  </si>
  <si>
    <t>C00342*C00112</t>
  </si>
  <si>
    <t>C03723*C16663</t>
  </si>
  <si>
    <t>C03723*C02090</t>
  </si>
  <si>
    <t>C21748*C00342</t>
  </si>
  <si>
    <t>C03802*C00342</t>
  </si>
  <si>
    <t>C00002*C00342</t>
  </si>
  <si>
    <t>C00044*C00342</t>
  </si>
  <si>
    <t>C00063*C00342</t>
  </si>
  <si>
    <t>C00024*C00004*C00080</t>
  </si>
  <si>
    <t>C00136*C00004*C00080</t>
  </si>
  <si>
    <t>C03082*C00005*C00080</t>
  </si>
  <si>
    <t>C00236*C00004*C00080</t>
  </si>
  <si>
    <t>C04133*C00005*C00080</t>
  </si>
  <si>
    <t>C03287*C00005*C00080</t>
  </si>
  <si>
    <t>C00197*C00005*C00080</t>
  </si>
  <si>
    <t>C16255*C00011</t>
  </si>
  <si>
    <t>C05125*C00011</t>
  </si>
  <si>
    <t>C16255*C00068</t>
  </si>
  <si>
    <t>C01179*C00011*C00004*C00080</t>
  </si>
  <si>
    <t>C00693*C00004*C00080</t>
  </si>
  <si>
    <t>C04246*C00004*C00080</t>
  </si>
  <si>
    <t>C05758*C00004*C00080</t>
  </si>
  <si>
    <t>C05748*C00004*C00080</t>
  </si>
  <si>
    <t>C05751*C00004*C00080</t>
  </si>
  <si>
    <t>C05754*C00004*C00080</t>
  </si>
  <si>
    <t>C05760*C00004*C00080</t>
  </si>
  <si>
    <t>C05763*C00004*C00080</t>
  </si>
  <si>
    <t>C04088*C00003</t>
  </si>
  <si>
    <t>C04631*C00005*C00080</t>
  </si>
  <si>
    <t>C04631*C00004*C00080</t>
  </si>
  <si>
    <t>C00295*C00042</t>
  </si>
  <si>
    <t>C00022*C00014*C00004*C00080</t>
  </si>
  <si>
    <t>C00161*C00014*C00004*C00080</t>
  </si>
  <si>
    <t>C00161*C00014*C00005*C00080</t>
  </si>
  <si>
    <t>C00048*C00014*C00004*C00080</t>
  </si>
  <si>
    <t>C00026*C00014*C00005*C00080</t>
  </si>
  <si>
    <t>C03912*C00004*C00080</t>
  </si>
  <si>
    <t>C03912*C00005*C00080</t>
  </si>
  <si>
    <t>C04281*C00004*C00080</t>
  </si>
  <si>
    <t>C04281*C00005*C00080</t>
  </si>
  <si>
    <t>C00143*C00005*C00080</t>
  </si>
  <si>
    <t>C00143*C00004*C00080</t>
  </si>
  <si>
    <t>C00415*C00005*C00080</t>
  </si>
  <si>
    <t>C00415*C00004*C00080</t>
  </si>
  <si>
    <t>C00504*C00004*C00080</t>
  </si>
  <si>
    <t>C00504*C00005*C00080</t>
  </si>
  <si>
    <t>C02953*C00005*C00080</t>
  </si>
  <si>
    <t>C15996*C00005*C00080</t>
  </si>
  <si>
    <t>C16237*C00004*C00080</t>
  </si>
  <si>
    <t>C02051*C00004*C00080</t>
  </si>
  <si>
    <t>C15972*C00004*C00080</t>
  </si>
  <si>
    <t>C00248*C00004*C00080</t>
  </si>
  <si>
    <t>C00127*C00005*C00080</t>
  </si>
  <si>
    <t>C00127*C00004*C00080</t>
  </si>
  <si>
    <t>C00343*C00005*C00080</t>
  </si>
  <si>
    <t>C05526*C00005</t>
  </si>
  <si>
    <t>C05684*C00005*C00080</t>
  </si>
  <si>
    <t>C00006*C00001*C05703</t>
  </si>
  <si>
    <t>C15653*C00342</t>
  </si>
  <si>
    <t>C05198*C00073*C05199*C05312</t>
  </si>
  <si>
    <t>C00021*C00073</t>
  </si>
  <si>
    <t>C00021*C00406</t>
  </si>
  <si>
    <t>C00411*C00021</t>
  </si>
  <si>
    <t>C04144*C00073</t>
  </si>
  <si>
    <t>C05335*C04144</t>
  </si>
  <si>
    <t>C00021*C04153</t>
  </si>
  <si>
    <t>C00021*C04160</t>
  </si>
  <si>
    <t>C00415*C00364</t>
  </si>
  <si>
    <t>C00021*C04728</t>
  </si>
  <si>
    <t>C03800*C11475</t>
  </si>
  <si>
    <t>C00021*C03391</t>
  </si>
  <si>
    <t>C00101*C00065</t>
  </si>
  <si>
    <t>C04377*C00037*C00001</t>
  </si>
  <si>
    <t>C00101*C04376</t>
  </si>
  <si>
    <t>C04376*C00101</t>
  </si>
  <si>
    <t>C00101*C03294</t>
  </si>
  <si>
    <t>C00009*C00438</t>
  </si>
  <si>
    <t>C00009*C00327</t>
  </si>
  <si>
    <t>C00117*C00231</t>
  </si>
  <si>
    <t>C00279*C00231</t>
  </si>
  <si>
    <t>C12215*C05382</t>
  </si>
  <si>
    <t>C13378*C00118</t>
  </si>
  <si>
    <t>C13378*C00117</t>
  </si>
  <si>
    <t>C05125*C00022</t>
  </si>
  <si>
    <t>C06006*C00068</t>
  </si>
  <si>
    <t>C06006*C00011</t>
  </si>
  <si>
    <t>C00010*C00624</t>
  </si>
  <si>
    <t>C00010*C04462</t>
  </si>
  <si>
    <t>C00010*C16255</t>
  </si>
  <si>
    <t>C00010*C04501</t>
  </si>
  <si>
    <t>C00685*C00011*C00229</t>
  </si>
  <si>
    <t>C05744*C00011*C00229</t>
  </si>
  <si>
    <t>C05759*C00011*C00229</t>
  </si>
  <si>
    <t>C05746*C00011*C00229</t>
  </si>
  <si>
    <t>C05750*C00011*C00229</t>
  </si>
  <si>
    <t>C05753*C00011*C00229</t>
  </si>
  <si>
    <t>C05756*C00011*C00229</t>
  </si>
  <si>
    <t>C05762*C00011*C00229</t>
  </si>
  <si>
    <t>C16219*C00229*C00011</t>
  </si>
  <si>
    <t>C20372*C00011*C00229</t>
  </si>
  <si>
    <t>C20376*C00011*C00229</t>
  </si>
  <si>
    <t>C05744*C00010*C00011</t>
  </si>
  <si>
    <t>C00010*C17952</t>
  </si>
  <si>
    <t>C17949*C00010</t>
  </si>
  <si>
    <t>C00979*C00010</t>
  </si>
  <si>
    <t>C00010*C01077</t>
  </si>
  <si>
    <t>C00010*C01209</t>
  </si>
  <si>
    <t>C00681*C00040</t>
  </si>
  <si>
    <t>C00010*C00416</t>
  </si>
  <si>
    <t>C00229*C00416</t>
  </si>
  <si>
    <t>C00010*C00022</t>
  </si>
  <si>
    <t>C00100*C00058</t>
  </si>
  <si>
    <t>C00010*C02130</t>
  </si>
  <si>
    <t>C00010*G10592</t>
  </si>
  <si>
    <t>C00010*C00227</t>
  </si>
  <si>
    <t>C02876*C00010</t>
  </si>
  <si>
    <t>C00024*C00001*C00036</t>
  </si>
  <si>
    <t>C00024*C00001*C00332</t>
  </si>
  <si>
    <t>C00024*C00141*C00001</t>
  </si>
  <si>
    <t>C00718*C00103</t>
  </si>
  <si>
    <t>G10495*C00103</t>
  </si>
  <si>
    <t>C00089*C06215</t>
  </si>
  <si>
    <t>G00370*G10499</t>
  </si>
  <si>
    <t>C00015*C00760</t>
  </si>
  <si>
    <t>G10481*G10619</t>
  </si>
  <si>
    <t>C00008*C00718</t>
  </si>
  <si>
    <t>G10495*G11113</t>
  </si>
  <si>
    <t>C05893*C00015</t>
  </si>
  <si>
    <t>G10553*G10619</t>
  </si>
  <si>
    <t>C05898*C00015</t>
  </si>
  <si>
    <t>G10550*G10619</t>
  </si>
  <si>
    <t>G10555*G10619</t>
  </si>
  <si>
    <t>C00095*C00372</t>
  </si>
  <si>
    <t>G10502*C00095</t>
  </si>
  <si>
    <t>C00015*C01190</t>
  </si>
  <si>
    <t>G10619*G10238</t>
  </si>
  <si>
    <t>C00035*C03862</t>
  </si>
  <si>
    <t>C15587*C00620</t>
  </si>
  <si>
    <t>C00147*C00620</t>
  </si>
  <si>
    <t>C00262*C00620</t>
  </si>
  <si>
    <t>C00242*C00620</t>
  </si>
  <si>
    <t>C00385*C00620</t>
  </si>
  <si>
    <t>C15587*C00672</t>
  </si>
  <si>
    <t>C00242*C00672</t>
  </si>
  <si>
    <t>C00147*C00672</t>
  </si>
  <si>
    <t>C00262*C00672</t>
  </si>
  <si>
    <t>C00153*C00620</t>
  </si>
  <si>
    <t>C00253*C00620*C00080</t>
  </si>
  <si>
    <t>C00295*C00119</t>
  </si>
  <si>
    <t>C16634*C00013</t>
  </si>
  <si>
    <t>C00064*C00119*C00001</t>
  </si>
  <si>
    <t>C00002*C00119</t>
  </si>
  <si>
    <t>C00108*C00119</t>
  </si>
  <si>
    <t>C00178*C00672</t>
  </si>
  <si>
    <t>C00106*C00620</t>
  </si>
  <si>
    <t>C00380*C00620</t>
  </si>
  <si>
    <t>C00106*C00672</t>
  </si>
  <si>
    <t>C00396*C00620*C00080</t>
  </si>
  <si>
    <t>C00385*C00119</t>
  </si>
  <si>
    <t>C00242*C00119</t>
  </si>
  <si>
    <t>C20446*C00242</t>
  </si>
  <si>
    <t>C00147*C00119</t>
  </si>
  <si>
    <t>C04051*C00119</t>
  </si>
  <si>
    <t>C00262*C00119</t>
  </si>
  <si>
    <t>C04646*C00013</t>
  </si>
  <si>
    <t>C16615*C00013</t>
  </si>
  <si>
    <t>C16619*C00013</t>
  </si>
  <si>
    <t>C00106*C00119</t>
  </si>
  <si>
    <t>C00013*C00448</t>
  </si>
  <si>
    <t>C00013*C00921</t>
  </si>
  <si>
    <t>C00921*C00001</t>
  </si>
  <si>
    <t>C00009*C01269</t>
  </si>
  <si>
    <t>C04574*C00013</t>
  </si>
  <si>
    <t>C00097*C00033</t>
  </si>
  <si>
    <t>C05688*C00033</t>
  </si>
  <si>
    <t>C00097*C00094*C00343*C00033</t>
  </si>
  <si>
    <t>C00097*C00009</t>
  </si>
  <si>
    <t>C02291*C00042</t>
  </si>
  <si>
    <t>C00109*C00042*C00014</t>
  </si>
  <si>
    <t>C02291*C00033</t>
  </si>
  <si>
    <t>C05699*C00009</t>
  </si>
  <si>
    <t>C05699*C00033</t>
  </si>
  <si>
    <t>C05699*C00042</t>
  </si>
  <si>
    <t>C00073*C00033</t>
  </si>
  <si>
    <t>C00155*C00033</t>
  </si>
  <si>
    <t>C04691*C00009</t>
  </si>
  <si>
    <t>C00002*C00073*C00001</t>
  </si>
  <si>
    <t>C00009*C00013*C05691</t>
  </si>
  <si>
    <t>C04631*C00009</t>
  </si>
  <si>
    <t>C00013*C04432</t>
  </si>
  <si>
    <t>C00036*C00025</t>
  </si>
  <si>
    <t>C00166*C00025</t>
  </si>
  <si>
    <t>C01179*C00025</t>
  </si>
  <si>
    <t>C00957*C00025</t>
  </si>
  <si>
    <t>C00957*C00302</t>
  </si>
  <si>
    <t>C05528*C00025</t>
  </si>
  <si>
    <t>C05527*C00025</t>
  </si>
  <si>
    <t>C05946*C00025</t>
  </si>
  <si>
    <t>C01250*C00025</t>
  </si>
  <si>
    <t>C00025*C00352</t>
  </si>
  <si>
    <t>C00233*C00025</t>
  </si>
  <si>
    <t>C00141*C00025</t>
  </si>
  <si>
    <t>C00671*C00025</t>
  </si>
  <si>
    <t>C00109*C00025</t>
  </si>
  <si>
    <t>C03232*C00025</t>
  </si>
  <si>
    <t>C06054*C00025</t>
  </si>
  <si>
    <t>C00972*C00025</t>
  </si>
  <si>
    <t>C20646*C00025</t>
  </si>
  <si>
    <t>C00049*C00254</t>
  </si>
  <si>
    <t>C00073*C00026</t>
  </si>
  <si>
    <t>C01267*C00025</t>
  </si>
  <si>
    <t>C00008*C00416</t>
  </si>
  <si>
    <t>C00008*C05378</t>
  </si>
  <si>
    <t>C00008*C00354</t>
  </si>
  <si>
    <t>C00112*C00354</t>
  </si>
  <si>
    <t>C00015*C00354</t>
  </si>
  <si>
    <t>C00104*C00354</t>
  </si>
  <si>
    <t>C00008*C00447</t>
  </si>
  <si>
    <t>C03785*C00008</t>
  </si>
  <si>
    <t>C00112*C03785</t>
  </si>
  <si>
    <t>C00015*C03785</t>
  </si>
  <si>
    <t>C00104*C03785</t>
  </si>
  <si>
    <t>C00008*C00092</t>
  </si>
  <si>
    <t>C00008*C01172</t>
  </si>
  <si>
    <t>C00008*C00668</t>
  </si>
  <si>
    <t>C00008*C00364</t>
  </si>
  <si>
    <t>C00008*C00365</t>
  </si>
  <si>
    <t>C04242*C00008</t>
  </si>
  <si>
    <t>C00008*C00006</t>
  </si>
  <si>
    <t>C00008*C00010</t>
  </si>
  <si>
    <t>C00008*C00197</t>
  </si>
  <si>
    <t>C00008*C03492</t>
  </si>
  <si>
    <t>C00008*C01134</t>
  </si>
  <si>
    <t>C00008*C04352</t>
  </si>
  <si>
    <t>C00008*C00018</t>
  </si>
  <si>
    <t>C00008*C00627</t>
  </si>
  <si>
    <t>C00008*C00647</t>
  </si>
  <si>
    <t>C00008*C01107</t>
  </si>
  <si>
    <t>C00008*C01102</t>
  </si>
  <si>
    <t>C00008*C00085</t>
  </si>
  <si>
    <t>C00008*C05345</t>
  </si>
  <si>
    <t>C00008*C00074</t>
  </si>
  <si>
    <t>C00035*C00074</t>
  </si>
  <si>
    <t>C00112*C00074</t>
  </si>
  <si>
    <t>C00015*C00074</t>
  </si>
  <si>
    <t>C00104*C00074</t>
  </si>
  <si>
    <t>C00206*C00074</t>
  </si>
  <si>
    <t>C00361*C00074</t>
  </si>
  <si>
    <t>C00454*C00074</t>
  </si>
  <si>
    <t>C00008*C00055</t>
  </si>
  <si>
    <t>C00008*C00105</t>
  </si>
  <si>
    <t>C00035*C00055</t>
  </si>
  <si>
    <t>C00035*C00105</t>
  </si>
  <si>
    <t>C16634*C00008</t>
  </si>
  <si>
    <t>C00008*C00446</t>
  </si>
  <si>
    <t>C00008*C03175</t>
  </si>
  <si>
    <t>C00008*C01167</t>
  </si>
  <si>
    <t>C00008*C00562</t>
  </si>
  <si>
    <t>C00008*C02729</t>
  </si>
  <si>
    <t>C00008*C00227</t>
  </si>
  <si>
    <t>C00008*C02876</t>
  </si>
  <si>
    <t>C00008*C03287</t>
  </si>
  <si>
    <t>C00008*C00236</t>
  </si>
  <si>
    <t>C00008*C03082</t>
  </si>
  <si>
    <t>C00008*C04133</t>
  </si>
  <si>
    <t>C00022*C04261</t>
  </si>
  <si>
    <t>C00008*C00015</t>
  </si>
  <si>
    <t>C00008*C00112</t>
  </si>
  <si>
    <t>C00008*C00705</t>
  </si>
  <si>
    <t>C00008*C21748</t>
  </si>
  <si>
    <t>C00008*C21750</t>
  </si>
  <si>
    <t>C00008*C01143</t>
  </si>
  <si>
    <t>C00008*C00206</t>
  </si>
  <si>
    <t>C03028*C00020</t>
  </si>
  <si>
    <t>C00008*C00201</t>
  </si>
  <si>
    <t>C00008*C00002</t>
  </si>
  <si>
    <t>C11039*C00008</t>
  </si>
  <si>
    <t>C00008*C00075</t>
  </si>
  <si>
    <t>C00008*C00044</t>
  </si>
  <si>
    <t>C00008*C00063</t>
  </si>
  <si>
    <t>C00008*C00081</t>
  </si>
  <si>
    <t>C00008*C00131</t>
  </si>
  <si>
    <t>C00008*C00286</t>
  </si>
  <si>
    <t>C00008*C00459</t>
  </si>
  <si>
    <t>C00008*C00458</t>
  </si>
  <si>
    <t>C00008*C00460</t>
  </si>
  <si>
    <t>C00008*C01345</t>
  </si>
  <si>
    <t>C22443*C00008</t>
  </si>
  <si>
    <t>C00008*C21749</t>
  </si>
  <si>
    <t>C00008*C21751</t>
  </si>
  <si>
    <t>C00008*C04752</t>
  </si>
  <si>
    <t>C00008*C00035</t>
  </si>
  <si>
    <t>C00008*C00361</t>
  </si>
  <si>
    <t>C22442*C00008</t>
  </si>
  <si>
    <t>C00008*C00363</t>
  </si>
  <si>
    <t>C00008*C01346</t>
  </si>
  <si>
    <t>C00020*C00119</t>
  </si>
  <si>
    <t>C00020*C00068</t>
  </si>
  <si>
    <t>C00020*C04807</t>
  </si>
  <si>
    <t>C00020*C04494</t>
  </si>
  <si>
    <t>C00013*C00003</t>
  </si>
  <si>
    <t>C00013*C00857</t>
  </si>
  <si>
    <t>C00103*C00052</t>
  </si>
  <si>
    <t>C00013*C00016</t>
  </si>
  <si>
    <t>C00013*C00842</t>
  </si>
  <si>
    <t>C00013*C00498</t>
  </si>
  <si>
    <t>C00013*C00882</t>
  </si>
  <si>
    <t>C00013*C00269</t>
  </si>
  <si>
    <t>C00013*C00039</t>
  </si>
  <si>
    <t>C00013*C00046</t>
  </si>
  <si>
    <t>C20864*C00013</t>
  </si>
  <si>
    <t>C00046*C00454</t>
  </si>
  <si>
    <t>C00046*C00008</t>
  </si>
  <si>
    <t>C00046*C00015</t>
  </si>
  <si>
    <t>C00046*C00035</t>
  </si>
  <si>
    <t>C00046*C00112</t>
  </si>
  <si>
    <t>C00013*C00029</t>
  </si>
  <si>
    <t>C00105*C04851</t>
  </si>
  <si>
    <t>C00105*C05897</t>
  </si>
  <si>
    <t>C00055*C03892</t>
  </si>
  <si>
    <t>C00054*C00229</t>
  </si>
  <si>
    <t>C00120*C00073*C05198</t>
  </si>
  <si>
    <t>C15812*C00041</t>
  </si>
  <si>
    <t>C00041*C21440</t>
  </si>
  <si>
    <t>C15811*C21440</t>
  </si>
  <si>
    <t>C03523*C00066</t>
  </si>
  <si>
    <t>C00229*C00712</t>
  </si>
  <si>
    <t>C00229*C00249</t>
  </si>
  <si>
    <t>C00229*C02679</t>
  </si>
  <si>
    <t>C00229*C06424</t>
  </si>
  <si>
    <t>C00229*C08362</t>
  </si>
  <si>
    <t>C00229*C01530</t>
  </si>
  <si>
    <t>C00229*C00638</t>
  </si>
  <si>
    <t>C00010*C00249</t>
  </si>
  <si>
    <t>C00010*C01530</t>
  </si>
  <si>
    <t>C00010*C06425</t>
  </si>
  <si>
    <t>C00010*C00712</t>
  </si>
  <si>
    <t>C00010*C01595</t>
  </si>
  <si>
    <t>C00010*C06427</t>
  </si>
  <si>
    <t>C00010*C06428</t>
  </si>
  <si>
    <t>C00010*C06429</t>
  </si>
  <si>
    <t>C00010*C06426</t>
  </si>
  <si>
    <t>C00010*C03242</t>
  </si>
  <si>
    <t>C00010*C00219</t>
  </si>
  <si>
    <t>C00638*C00010</t>
  </si>
  <si>
    <t>C00860*C00009</t>
  </si>
  <si>
    <t>C00017*C00009</t>
  </si>
  <si>
    <t>C00137*C00009</t>
  </si>
  <si>
    <t>C00344*C00009</t>
  </si>
  <si>
    <t>C00065*C00009</t>
  </si>
  <si>
    <t>C00740*C00009</t>
  </si>
  <si>
    <t>C00870*C00009</t>
  </si>
  <si>
    <t>C00585*C00009</t>
  </si>
  <si>
    <t>C00911*C00009</t>
  </si>
  <si>
    <t>C00475*C00009</t>
  </si>
  <si>
    <t>C01762*C00009</t>
  </si>
  <si>
    <t>C05841*C00009</t>
  </si>
  <si>
    <t>C00214*C00009</t>
  </si>
  <si>
    <t>C00881*C00009</t>
  </si>
  <si>
    <t>C00330*C00009</t>
  </si>
  <si>
    <t>C00559*C00009</t>
  </si>
  <si>
    <t>C00526*C00009</t>
  </si>
  <si>
    <t>C05512*C00009</t>
  </si>
  <si>
    <t>C00721*C00369</t>
  </si>
  <si>
    <t>C00721*C00208</t>
  </si>
  <si>
    <t>G10545*G10545</t>
  </si>
  <si>
    <t>C00031*C00962</t>
  </si>
  <si>
    <t>C00124*C05796</t>
  </si>
  <si>
    <t>C00267*C00124</t>
  </si>
  <si>
    <t>C01190*C00124</t>
  </si>
  <si>
    <t>C04884*C00124</t>
  </si>
  <si>
    <t>C05394*C00221</t>
  </si>
  <si>
    <t>C06135*C00124</t>
  </si>
  <si>
    <t>G00123*C00124</t>
  </si>
  <si>
    <t>G00109*C00124</t>
  </si>
  <si>
    <t>G10238*C00124</t>
  </si>
  <si>
    <t>C00124*G10534</t>
  </si>
  <si>
    <t>G13073*C00124</t>
  </si>
  <si>
    <t>C00095*C00031</t>
  </si>
  <si>
    <t>C02336*C00267</t>
  </si>
  <si>
    <t>C05402*C00095</t>
  </si>
  <si>
    <t>C05404*C00095</t>
  </si>
  <si>
    <t>C00095*C00092</t>
  </si>
  <si>
    <t>G01275*C00095</t>
  </si>
  <si>
    <t>G00501*C00095</t>
  </si>
  <si>
    <t>C02336*C00668</t>
  </si>
  <si>
    <t>C00095*C01355</t>
  </si>
  <si>
    <t>C00095*G10535</t>
  </si>
  <si>
    <t>C00031*C00092</t>
  </si>
  <si>
    <t>C00530*C01172</t>
  </si>
  <si>
    <t>C02323*C01172</t>
  </si>
  <si>
    <t>C03539*C00147</t>
  </si>
  <si>
    <t>C00147*C03089</t>
  </si>
  <si>
    <t>C22288*C00147</t>
  </si>
  <si>
    <t>C00097*C00037</t>
  </si>
  <si>
    <t>C05726*C00037</t>
  </si>
  <si>
    <t>C00049*C00014</t>
  </si>
  <si>
    <t>C00060*C00014</t>
  </si>
  <si>
    <t>C00042*C00666</t>
  </si>
  <si>
    <t>C00253*C00014</t>
  </si>
  <si>
    <t>C00352*C00033</t>
  </si>
  <si>
    <t>C01563*C00001</t>
  </si>
  <si>
    <t>C00288*C00014</t>
  </si>
  <si>
    <t>C01563*C00014</t>
  </si>
  <si>
    <t>C00011*C00014</t>
  </si>
  <si>
    <t>C11440*C00058</t>
  </si>
  <si>
    <t>C00058*C03617</t>
  </si>
  <si>
    <t>C04895*C00058</t>
  </si>
  <si>
    <t>C05923*C00058</t>
  </si>
  <si>
    <t>C00294*C00014</t>
  </si>
  <si>
    <t>C05512*C00014</t>
  </si>
  <si>
    <t>C00299*C00014</t>
  </si>
  <si>
    <t>C00526*C00014</t>
  </si>
  <si>
    <t>C12739*C00014</t>
  </si>
  <si>
    <t>C00234*C00080</t>
  </si>
  <si>
    <t>C00085*C00014</t>
  </si>
  <si>
    <t>C00020*C00117</t>
  </si>
  <si>
    <t>C00454*C00009</t>
  </si>
  <si>
    <t>C00008*C00009</t>
  </si>
  <si>
    <t>C01081*C00009</t>
  </si>
  <si>
    <t>C00044*C00144</t>
  </si>
  <si>
    <t>C00075*C00105</t>
  </si>
  <si>
    <t>C00700*C00655</t>
  </si>
  <si>
    <t>C00365*C00013</t>
  </si>
  <si>
    <t>C04242*C00013</t>
  </si>
  <si>
    <t>C17556*C00009</t>
  </si>
  <si>
    <t>C02741*C00013</t>
  </si>
  <si>
    <t>C00060*C00009</t>
  </si>
  <si>
    <t>C00033*C00009</t>
  </si>
  <si>
    <t>C00180*C00009</t>
  </si>
  <si>
    <t>C00197*C00009</t>
  </si>
  <si>
    <t>C00047*C00011</t>
  </si>
  <si>
    <t>C03373*C00011</t>
  </si>
  <si>
    <t>C00105*C00011</t>
  </si>
  <si>
    <t>C00001*C00074*C00011</t>
  </si>
  <si>
    <t>C00008*C00009*C00129*C00011</t>
  </si>
  <si>
    <t>C01134*C00011</t>
  </si>
  <si>
    <t>C03506*C00011*C00001</t>
  </si>
  <si>
    <t>C00810*C00011</t>
  </si>
  <si>
    <t>C00111*C00118</t>
  </si>
  <si>
    <t>C00111*C00279</t>
  </si>
  <si>
    <t>C00111*C00577</t>
  </si>
  <si>
    <t>C00266*C01300</t>
  </si>
  <si>
    <t>C00118*C00084</t>
  </si>
  <si>
    <t>C00108*C00022*C00025</t>
  </si>
  <si>
    <t>C00108*C00022*C00001</t>
  </si>
  <si>
    <t>C00011*C00001</t>
  </si>
  <si>
    <t>C02637*C00001</t>
  </si>
  <si>
    <t>C00074*C00001</t>
  </si>
  <si>
    <t>C04309*C00001</t>
  </si>
  <si>
    <t>C00658*C00001</t>
  </si>
  <si>
    <t>C00894*C00001</t>
  </si>
  <si>
    <t>C03221*C00001</t>
  </si>
  <si>
    <t>C03345*C00001</t>
  </si>
  <si>
    <t>C05272*C00001</t>
  </si>
  <si>
    <t>C05273*C00001</t>
  </si>
  <si>
    <t>C05275*C00001</t>
  </si>
  <si>
    <t>C05276*C00001</t>
  </si>
  <si>
    <t>C05271*C00001</t>
  </si>
  <si>
    <t>C16328*C00001</t>
  </si>
  <si>
    <t>C16332*C00001</t>
  </si>
  <si>
    <t>C16336*C00001</t>
  </si>
  <si>
    <t>C05067*C00001</t>
  </si>
  <si>
    <t>C01122*C00001</t>
  </si>
  <si>
    <t>C03069*C00001</t>
  </si>
  <si>
    <t>C01267*C00001</t>
  </si>
  <si>
    <t>C00078*C00001</t>
  </si>
  <si>
    <t>C00463*C00118</t>
  </si>
  <si>
    <t>C00078*C00118*C00001</t>
  </si>
  <si>
    <t>C00417*C00001</t>
  </si>
  <si>
    <t>C02631*C00001</t>
  </si>
  <si>
    <t>C11907*C00001</t>
  </si>
  <si>
    <t>C00166*C00001*C00011</t>
  </si>
  <si>
    <t>C00079*C00001*C00011</t>
  </si>
  <si>
    <t>C00141*C00001</t>
  </si>
  <si>
    <t>C00671*C00001</t>
  </si>
  <si>
    <t>C00188*C00009</t>
  </si>
  <si>
    <t>C06056*C00009</t>
  </si>
  <si>
    <t>C03684*C00536</t>
  </si>
  <si>
    <t>C00944*C00009</t>
  </si>
  <si>
    <t>C00251*C00009</t>
  </si>
  <si>
    <t>C00022*C00014</t>
  </si>
  <si>
    <t>C02218*C00001</t>
  </si>
  <si>
    <t>C00161*C00014</t>
  </si>
  <si>
    <t>C00109*C00014</t>
  </si>
  <si>
    <t>C00122*C00062</t>
  </si>
  <si>
    <t>C00122*C00020</t>
  </si>
  <si>
    <t>C00122*C04677</t>
  </si>
  <si>
    <t>C22441*C00122</t>
  </si>
  <si>
    <t>C20258*C00001</t>
  </si>
  <si>
    <t>C11838*C00155</t>
  </si>
  <si>
    <t>C00051*C00546</t>
  </si>
  <si>
    <t>C00020*C00013*C02839</t>
  </si>
  <si>
    <t>C00020*C00013*C02430</t>
  </si>
  <si>
    <t>C00020*C00013*C05336</t>
  </si>
  <si>
    <t>C00020*C00013*C02553</t>
  </si>
  <si>
    <t>C00020*C00013*C06481</t>
  </si>
  <si>
    <t>C02984*C00013*C00020</t>
  </si>
  <si>
    <t>C00020*C00013*C04260</t>
  </si>
  <si>
    <t>C00020*C00013*G13186</t>
  </si>
  <si>
    <t>C00020*C00013*G13180</t>
  </si>
  <si>
    <t>C00020*C00013*G13171</t>
  </si>
  <si>
    <t>C00020*C00013*G13175</t>
  </si>
  <si>
    <t>C00020*C00013*G13177</t>
  </si>
  <si>
    <t>C00020*C00013*G13179</t>
  </si>
  <si>
    <t>C00020*C00013*G13193</t>
  </si>
  <si>
    <t>C00020*C00013*C02412</t>
  </si>
  <si>
    <t>C00020*C00013*C02702</t>
  </si>
  <si>
    <t>C00020*C00013*C03125</t>
  </si>
  <si>
    <t>C02987*C00013*C00020</t>
  </si>
  <si>
    <t>C00020*C00013*C02163</t>
  </si>
  <si>
    <t>C00020*C00013*C03512</t>
  </si>
  <si>
    <t>C00020*C00013*C03511</t>
  </si>
  <si>
    <t>C00020*C00013*C02988</t>
  </si>
  <si>
    <t>C00020*C00013*C03402</t>
  </si>
  <si>
    <t>C00020*C00013*C02992</t>
  </si>
  <si>
    <t>C00020*C00013*C02047</t>
  </si>
  <si>
    <t>C00020*C00013*C03127</t>
  </si>
  <si>
    <t>C00020*C00013*C01931</t>
  </si>
  <si>
    <t>C00020*C00013*C00886</t>
  </si>
  <si>
    <t>C00020*C00013*C02554</t>
  </si>
  <si>
    <t>C00020*C00013*C00152</t>
  </si>
  <si>
    <t>C00008*C00009*C00064</t>
  </si>
  <si>
    <t>C00020*C00013*C00003</t>
  </si>
  <si>
    <t>C00008*C00009*C04702</t>
  </si>
  <si>
    <t>C00008*C00009*C04882</t>
  </si>
  <si>
    <t>C00008*C00009*C04877</t>
  </si>
  <si>
    <t>C00008*C00009*C03541</t>
  </si>
  <si>
    <t>C00008*C00009*C09332</t>
  </si>
  <si>
    <t>C00008*C00009*C05928</t>
  </si>
  <si>
    <t>C00008*C00009*C00415</t>
  </si>
  <si>
    <t>C00008*C00009*C05929</t>
  </si>
  <si>
    <t>C00008*C00009*C00051</t>
  </si>
  <si>
    <t>C00008*C00009*C21016</t>
  </si>
  <si>
    <t>C00008*C00009*C00993</t>
  </si>
  <si>
    <t>C00055*C00013*C04352</t>
  </si>
  <si>
    <t>C00008*C00009*C04823</t>
  </si>
  <si>
    <t>C00008*C00009*C05892</t>
  </si>
  <si>
    <t>C00008*C00009*C01212</t>
  </si>
  <si>
    <t>C00008*C00009*C00692</t>
  </si>
  <si>
    <t>C00008*C00009*C03373</t>
  </si>
  <si>
    <t>C00008*C00009*C00445</t>
  </si>
  <si>
    <t>C00008*C00009*C03838</t>
  </si>
  <si>
    <t>C00020*C00013*C04681</t>
  </si>
  <si>
    <t>C00013*C05921</t>
  </si>
  <si>
    <t>C00020*C06250</t>
  </si>
  <si>
    <t>C00025*C00014</t>
  </si>
  <si>
    <t>C00008*C00009*C00063</t>
  </si>
  <si>
    <t>C00008*C00009*C00063*C00025</t>
  </si>
  <si>
    <t>C00253*C00119*C00002*C00001*C00080</t>
  </si>
  <si>
    <t>C00008*C00009*C00234</t>
  </si>
  <si>
    <t>C00035*C00009*C03794</t>
  </si>
  <si>
    <t>C00020*C00013*C03406</t>
  </si>
  <si>
    <t>C00020*C00013*C00144</t>
  </si>
  <si>
    <t>C00020*C00013*C00144*C00025</t>
  </si>
  <si>
    <t>C16619*C00020*C00013*C00025</t>
  </si>
  <si>
    <t>C00008*C00009*C04640*C00025</t>
  </si>
  <si>
    <t>C00008*C00009*C00025*C00169</t>
  </si>
  <si>
    <t>C00008*C00169</t>
  </si>
  <si>
    <t>C00008*C20969</t>
  </si>
  <si>
    <t>C01563*C00009</t>
  </si>
  <si>
    <t>C00008*C00009*C00169</t>
  </si>
  <si>
    <t>C00008*C00009*C00083</t>
  </si>
  <si>
    <t>C00075*C00342</t>
  </si>
  <si>
    <t>Rate Law</t>
  </si>
  <si>
    <t>Equation</t>
  </si>
  <si>
    <t>Enzymes</t>
  </si>
  <si>
    <r>
      <t>C00677|C00343|C00001</t>
    </r>
    <r>
      <rPr>
        <sz val="11"/>
        <color rgb="FF000000"/>
        <rFont val="Calibri"/>
        <family val="2"/>
      </rPr>
      <t> </t>
    </r>
  </si>
  <si>
    <r>
      <t>C00131|C00343|C00001</t>
    </r>
    <r>
      <rPr>
        <sz val="11"/>
        <color rgb="FF000000"/>
        <rFont val="Calibri"/>
        <family val="2"/>
      </rPr>
      <t> </t>
    </r>
  </si>
  <si>
    <r>
      <t>C00286|C00343|C00001</t>
    </r>
    <r>
      <rPr>
        <sz val="11"/>
        <color rgb="FF000000"/>
        <rFont val="Calibri"/>
        <family val="2"/>
      </rPr>
      <t> </t>
    </r>
  </si>
  <si>
    <r>
      <t>C00458|C00343|C00001</t>
    </r>
    <r>
      <rPr>
        <sz val="11"/>
        <color rgb="FF000000"/>
        <rFont val="Calibri"/>
        <family val="2"/>
      </rPr>
      <t> </t>
    </r>
  </si>
  <si>
    <r>
      <t>C00460|C00343|C00001</t>
    </r>
    <r>
      <rPr>
        <sz val="11"/>
        <color rgb="FF000000"/>
        <rFont val="Calibri"/>
        <family val="2"/>
      </rPr>
      <t> </t>
    </r>
  </si>
  <si>
    <r>
      <t>C00084|C00010|C00003</t>
    </r>
    <r>
      <rPr>
        <sz val="11"/>
        <color rgb="FF000000"/>
        <rFont val="Calibri"/>
        <family val="2"/>
      </rPr>
      <t> </t>
    </r>
  </si>
  <si>
    <r>
      <t>C01412|C00010|C00003</t>
    </r>
    <r>
      <rPr>
        <sz val="11"/>
        <color rgb="FF000000"/>
        <rFont val="Calibri"/>
        <family val="2"/>
      </rPr>
      <t> </t>
    </r>
  </si>
  <si>
    <r>
      <t>C00441|C00009|C00006</t>
    </r>
    <r>
      <rPr>
        <sz val="11"/>
        <color rgb="FF000000"/>
        <rFont val="Calibri"/>
        <family val="2"/>
      </rPr>
      <t> </t>
    </r>
  </si>
  <si>
    <r>
      <t>C00118|C00009|C00003</t>
    </r>
    <r>
      <rPr>
        <sz val="11"/>
        <color rgb="FF000000"/>
        <rFont val="Calibri"/>
        <family val="2"/>
      </rPr>
      <t> </t>
    </r>
  </si>
  <si>
    <r>
      <t>C01250|C00009|C00006</t>
    </r>
    <r>
      <rPr>
        <sz val="11"/>
        <color rgb="FF000000"/>
        <rFont val="Calibri"/>
        <family val="2"/>
      </rPr>
      <t> </t>
    </r>
  </si>
  <si>
    <r>
      <t>C01165|C00009|C00006</t>
    </r>
    <r>
      <rPr>
        <sz val="11"/>
        <color rgb="FF000000"/>
        <rFont val="Calibri"/>
        <family val="2"/>
      </rPr>
      <t> </t>
    </r>
  </si>
  <si>
    <r>
      <t>C00118|C00006|C00001</t>
    </r>
    <r>
      <rPr>
        <sz val="11"/>
        <color rgb="FF000000"/>
        <rFont val="Calibri"/>
        <family val="2"/>
      </rPr>
      <t> </t>
    </r>
  </si>
  <si>
    <r>
      <t>C00022|C15972</t>
    </r>
    <r>
      <rPr>
        <sz val="11"/>
        <color rgb="FF000000"/>
        <rFont val="Calibri"/>
        <family val="2"/>
      </rPr>
      <t> </t>
    </r>
  </si>
  <si>
    <r>
      <t>C05125|C15972</t>
    </r>
    <r>
      <rPr>
        <sz val="11"/>
        <color rgb="FF000000"/>
        <rFont val="Calibri"/>
        <family val="2"/>
      </rPr>
      <t> </t>
    </r>
  </si>
  <si>
    <r>
      <t>C00254|C00003</t>
    </r>
    <r>
      <rPr>
        <sz val="11"/>
        <color rgb="FF000000"/>
        <rFont val="Calibri"/>
        <family val="2"/>
      </rPr>
      <t> </t>
    </r>
  </si>
  <si>
    <r>
      <t>C05745|C00003</t>
    </r>
    <r>
      <rPr>
        <sz val="11"/>
        <color rgb="FF000000"/>
        <rFont val="Calibri"/>
        <family val="2"/>
      </rPr>
      <t> </t>
    </r>
  </si>
  <si>
    <r>
      <t>C05223|C00003</t>
    </r>
    <r>
      <rPr>
        <sz val="11"/>
        <color rgb="FF000000"/>
        <rFont val="Calibri"/>
        <family val="2"/>
      </rPr>
      <t> </t>
    </r>
  </si>
  <si>
    <r>
      <t>C05749|C00003</t>
    </r>
    <r>
      <rPr>
        <sz val="11"/>
        <color rgb="FF000000"/>
        <rFont val="Calibri"/>
        <family val="2"/>
      </rPr>
      <t> </t>
    </r>
  </si>
  <si>
    <r>
      <t>C05752|C00003</t>
    </r>
    <r>
      <rPr>
        <sz val="11"/>
        <color rgb="FF000000"/>
        <rFont val="Calibri"/>
        <family val="2"/>
      </rPr>
      <t> </t>
    </r>
  </si>
  <si>
    <r>
      <t>C05755|C00003</t>
    </r>
    <r>
      <rPr>
        <sz val="11"/>
        <color rgb="FF000000"/>
        <rFont val="Calibri"/>
        <family val="2"/>
      </rPr>
      <t> </t>
    </r>
  </si>
  <si>
    <r>
      <t>C05761|C00003</t>
    </r>
    <r>
      <rPr>
        <sz val="11"/>
        <color rgb="FF000000"/>
        <rFont val="Calibri"/>
        <family val="2"/>
      </rPr>
      <t> </t>
    </r>
  </si>
  <si>
    <r>
      <t>C05764|C00003</t>
    </r>
    <r>
      <rPr>
        <sz val="11"/>
        <color rgb="FF000000"/>
        <rFont val="Calibri"/>
        <family val="2"/>
      </rPr>
      <t> </t>
    </r>
  </si>
  <si>
    <r>
      <t>C16221|C00004|C00080</t>
    </r>
    <r>
      <rPr>
        <sz val="11"/>
        <color rgb="FF000000"/>
        <rFont val="Calibri"/>
        <family val="2"/>
      </rPr>
      <t> </t>
    </r>
  </si>
  <si>
    <r>
      <t>C01050|C00006</t>
    </r>
    <r>
      <rPr>
        <sz val="11"/>
        <color rgb="FF000000"/>
        <rFont val="Calibri"/>
        <family val="2"/>
      </rPr>
      <t> </t>
    </r>
  </si>
  <si>
    <r>
      <t>C01050|C00003</t>
    </r>
    <r>
      <rPr>
        <sz val="11"/>
        <color rgb="FF000000"/>
        <rFont val="Calibri"/>
        <family val="2"/>
      </rPr>
      <t> </t>
    </r>
  </si>
  <si>
    <r>
      <t>C00337|C00122</t>
    </r>
    <r>
      <rPr>
        <sz val="11"/>
        <color rgb="FF000000"/>
        <rFont val="Calibri"/>
        <family val="2"/>
      </rPr>
      <t> </t>
    </r>
  </si>
  <si>
    <r>
      <t>C00025|C00006|C00001</t>
    </r>
    <r>
      <rPr>
        <sz val="11"/>
        <color rgb="FF000000"/>
        <rFont val="Calibri"/>
        <family val="2"/>
      </rPr>
      <t> </t>
    </r>
  </si>
  <si>
    <r>
      <t>C05167|C00001|C00003</t>
    </r>
    <r>
      <rPr>
        <sz val="11"/>
        <color rgb="FF000000"/>
        <rFont val="Calibri"/>
        <family val="2"/>
      </rPr>
      <t> </t>
    </r>
  </si>
  <si>
    <r>
      <t>C05167|C00001|C00006</t>
    </r>
    <r>
      <rPr>
        <sz val="11"/>
        <color rgb="FF000000"/>
        <rFont val="Calibri"/>
        <family val="2"/>
      </rPr>
      <t> </t>
    </r>
  </si>
  <si>
    <r>
      <t>C00148|C00003</t>
    </r>
    <r>
      <rPr>
        <sz val="11"/>
        <color rgb="FF000000"/>
        <rFont val="Calibri"/>
        <family val="2"/>
      </rPr>
      <t> </t>
    </r>
  </si>
  <si>
    <r>
      <t>C00148|C00006</t>
    </r>
    <r>
      <rPr>
        <sz val="11"/>
        <color rgb="FF000000"/>
        <rFont val="Calibri"/>
        <family val="2"/>
      </rPr>
      <t> </t>
    </r>
  </si>
  <si>
    <r>
      <t>C01157|C00003</t>
    </r>
    <r>
      <rPr>
        <sz val="11"/>
        <color rgb="FF000000"/>
        <rFont val="Calibri"/>
        <family val="2"/>
      </rPr>
      <t> </t>
    </r>
  </si>
  <si>
    <r>
      <t>C01157|C00006</t>
    </r>
    <r>
      <rPr>
        <sz val="11"/>
        <color rgb="FF000000"/>
        <rFont val="Calibri"/>
        <family val="2"/>
      </rPr>
      <t> </t>
    </r>
  </si>
  <si>
    <r>
      <t>C00440|C00006</t>
    </r>
    <r>
      <rPr>
        <sz val="11"/>
        <color rgb="FF000000"/>
        <rFont val="Calibri"/>
        <family val="2"/>
      </rPr>
      <t> </t>
    </r>
  </si>
  <si>
    <r>
      <t>C00440|C00003</t>
    </r>
    <r>
      <rPr>
        <sz val="11"/>
        <color rgb="FF000000"/>
        <rFont val="Calibri"/>
        <family val="2"/>
      </rPr>
      <t> </t>
    </r>
  </si>
  <si>
    <r>
      <t>C00101|C00006</t>
    </r>
    <r>
      <rPr>
        <sz val="11"/>
        <color rgb="FF000000"/>
        <rFont val="Calibri"/>
        <family val="2"/>
      </rPr>
      <t> </t>
    </r>
  </si>
  <si>
    <r>
      <t>C00101|C00003</t>
    </r>
    <r>
      <rPr>
        <sz val="11"/>
        <color rgb="FF000000"/>
        <rFont val="Calibri"/>
        <family val="2"/>
      </rPr>
      <t> </t>
    </r>
  </si>
  <si>
    <r>
      <t>C00415|C00003</t>
    </r>
    <r>
      <rPr>
        <sz val="11"/>
        <color rgb="FF000000"/>
        <rFont val="Calibri"/>
        <family val="2"/>
      </rPr>
      <t> </t>
    </r>
  </si>
  <si>
    <r>
      <t>C00415|C00006</t>
    </r>
    <r>
      <rPr>
        <sz val="11"/>
        <color rgb="FF000000"/>
        <rFont val="Calibri"/>
        <family val="2"/>
      </rPr>
      <t> </t>
    </r>
  </si>
  <si>
    <r>
      <t>C16832|C00003</t>
    </r>
    <r>
      <rPr>
        <sz val="11"/>
        <color rgb="FF000000"/>
        <rFont val="Calibri"/>
        <family val="2"/>
      </rPr>
      <t> </t>
    </r>
  </si>
  <si>
    <r>
      <t>C02972|C00003</t>
    </r>
    <r>
      <rPr>
        <sz val="11"/>
        <color rgb="FF000000"/>
        <rFont val="Calibri"/>
        <family val="2"/>
      </rPr>
      <t> </t>
    </r>
  </si>
  <si>
    <r>
      <t>C15973|C00003</t>
    </r>
    <r>
      <rPr>
        <sz val="11"/>
        <color rgb="FF000000"/>
        <rFont val="Calibri"/>
        <family val="2"/>
      </rPr>
      <t> </t>
    </r>
  </si>
  <si>
    <r>
      <t>C00579|C00003</t>
    </r>
    <r>
      <rPr>
        <sz val="11"/>
        <color rgb="FF000000"/>
        <rFont val="Calibri"/>
        <family val="2"/>
      </rPr>
      <t> </t>
    </r>
  </si>
  <si>
    <r>
      <t>C00342|C00006</t>
    </r>
    <r>
      <rPr>
        <sz val="11"/>
        <color rgb="FF000000"/>
        <rFont val="Calibri"/>
        <family val="2"/>
      </rPr>
      <t> </t>
    </r>
  </si>
  <si>
    <r>
      <t>C00097|C00051|C00006</t>
    </r>
    <r>
      <rPr>
        <sz val="11"/>
        <color rgb="FF000000"/>
        <rFont val="Calibri"/>
        <family val="2"/>
      </rPr>
      <t> </t>
    </r>
  </si>
  <si>
    <r>
      <t>C03023|C00343|C00001</t>
    </r>
    <r>
      <rPr>
        <sz val="11"/>
        <color rgb="FF000000"/>
        <rFont val="Calibri"/>
        <family val="2"/>
      </rPr>
      <t> </t>
    </r>
  </si>
  <si>
    <r>
      <t>C00019|C05196|C05197</t>
    </r>
    <r>
      <rPr>
        <sz val="11"/>
        <color rgb="FF000000"/>
        <rFont val="Calibri"/>
        <family val="2"/>
      </rPr>
      <t> </t>
    </r>
  </si>
  <si>
    <r>
      <t>C00019|C00155</t>
    </r>
    <r>
      <rPr>
        <sz val="11"/>
        <color rgb="FF000000"/>
        <rFont val="Calibri"/>
        <family val="2"/>
      </rPr>
      <t> </t>
    </r>
  </si>
  <si>
    <r>
      <t>C00019|C00323</t>
    </r>
    <r>
      <rPr>
        <sz val="11"/>
        <color rgb="FF000000"/>
        <rFont val="Calibri"/>
        <family val="2"/>
      </rPr>
      <t> </t>
    </r>
  </si>
  <si>
    <r>
      <t>C04489|C00155</t>
    </r>
    <r>
      <rPr>
        <sz val="11"/>
        <color rgb="FF000000"/>
        <rFont val="Calibri"/>
        <family val="2"/>
      </rPr>
      <t> </t>
    </r>
  </si>
  <si>
    <r>
      <t>C05698|C04489</t>
    </r>
    <r>
      <rPr>
        <sz val="11"/>
        <color rgb="FF000000"/>
        <rFont val="Calibri"/>
        <family val="2"/>
      </rPr>
      <t> </t>
    </r>
  </si>
  <si>
    <r>
      <t>C00019|C00240</t>
    </r>
    <r>
      <rPr>
        <sz val="11"/>
        <color rgb="FF000000"/>
        <rFont val="Calibri"/>
        <family val="2"/>
      </rPr>
      <t> </t>
    </r>
  </si>
  <si>
    <r>
      <t>C00019|C01977</t>
    </r>
    <r>
      <rPr>
        <sz val="11"/>
        <color rgb="FF000000"/>
        <rFont val="Calibri"/>
        <family val="2"/>
      </rPr>
      <t> </t>
    </r>
  </si>
  <si>
    <r>
      <t>C00365|C00143</t>
    </r>
    <r>
      <rPr>
        <sz val="11"/>
        <color rgb="FF000000"/>
        <rFont val="Calibri"/>
        <family val="2"/>
      </rPr>
      <t> </t>
    </r>
  </si>
  <si>
    <r>
      <t>C00019|C11478</t>
    </r>
    <r>
      <rPr>
        <sz val="11"/>
        <color rgb="FF000000"/>
        <rFont val="Calibri"/>
        <family val="2"/>
      </rPr>
      <t> </t>
    </r>
  </si>
  <si>
    <r>
      <t>C04250|C02743</t>
    </r>
    <r>
      <rPr>
        <sz val="11"/>
        <color rgb="FF000000"/>
        <rFont val="Calibri"/>
        <family val="2"/>
      </rPr>
      <t> </t>
    </r>
  </si>
  <si>
    <r>
      <t>C00019|C00821</t>
    </r>
    <r>
      <rPr>
        <sz val="11"/>
        <color rgb="FF000000"/>
        <rFont val="Calibri"/>
        <family val="2"/>
      </rPr>
      <t> </t>
    </r>
  </si>
  <si>
    <r>
      <t>C00143|C00037|C00001</t>
    </r>
    <r>
      <rPr>
        <sz val="11"/>
        <color rgb="FF000000"/>
        <rFont val="Calibri"/>
        <family val="2"/>
      </rPr>
      <t> </t>
    </r>
  </si>
  <si>
    <r>
      <t>C00065|C01217</t>
    </r>
    <r>
      <rPr>
        <sz val="11"/>
        <color rgb="FF000000"/>
        <rFont val="Calibri"/>
        <family val="2"/>
      </rPr>
      <t> </t>
    </r>
  </si>
  <si>
    <r>
      <t>C00234|C03838</t>
    </r>
    <r>
      <rPr>
        <sz val="11"/>
        <color rgb="FF000000"/>
        <rFont val="Calibri"/>
        <family val="2"/>
      </rPr>
      <t> </t>
    </r>
  </si>
  <si>
    <r>
      <t>C03838|C00445|C00001</t>
    </r>
    <r>
      <rPr>
        <sz val="11"/>
        <color rgb="FF000000"/>
        <rFont val="Calibri"/>
        <family val="2"/>
      </rPr>
      <t> </t>
    </r>
  </si>
  <si>
    <r>
      <t>C00169|C00049</t>
    </r>
    <r>
      <rPr>
        <sz val="11"/>
        <color rgb="FF000000"/>
        <rFont val="Calibri"/>
        <family val="2"/>
      </rPr>
      <t> </t>
    </r>
  </si>
  <si>
    <r>
      <t>C00169|C00077</t>
    </r>
    <r>
      <rPr>
        <sz val="11"/>
        <color rgb="FF000000"/>
        <rFont val="Calibri"/>
        <family val="2"/>
      </rPr>
      <t> </t>
    </r>
  </si>
  <si>
    <r>
      <t>C05382|C00118</t>
    </r>
    <r>
      <rPr>
        <sz val="11"/>
        <color rgb="FF000000"/>
        <rFont val="Calibri"/>
        <family val="2"/>
      </rPr>
      <t> </t>
    </r>
  </si>
  <si>
    <r>
      <t>C00085|C00118</t>
    </r>
    <r>
      <rPr>
        <sz val="11"/>
        <color rgb="FF000000"/>
        <rFont val="Calibri"/>
        <family val="2"/>
      </rPr>
      <t> </t>
    </r>
  </si>
  <si>
    <r>
      <t>C12214|C00117</t>
    </r>
    <r>
      <rPr>
        <sz val="11"/>
        <color rgb="FF000000"/>
        <rFont val="Calibri"/>
        <family val="2"/>
      </rPr>
      <t> </t>
    </r>
  </si>
  <si>
    <r>
      <t>C05382|C00068</t>
    </r>
    <r>
      <rPr>
        <sz val="11"/>
        <color rgb="FF000000"/>
        <rFont val="Calibri"/>
        <family val="2"/>
      </rPr>
      <t> </t>
    </r>
  </si>
  <si>
    <r>
      <t>C00900|C00011</t>
    </r>
    <r>
      <rPr>
        <sz val="11"/>
        <color rgb="FF000000"/>
        <rFont val="Calibri"/>
        <family val="2"/>
      </rPr>
      <t> </t>
    </r>
  </si>
  <si>
    <r>
      <t>C06010|C00011</t>
    </r>
    <r>
      <rPr>
        <sz val="11"/>
        <color rgb="FF000000"/>
        <rFont val="Calibri"/>
        <family val="2"/>
      </rPr>
      <t> </t>
    </r>
  </si>
  <si>
    <r>
      <t>C00022|C00109</t>
    </r>
    <r>
      <rPr>
        <sz val="11"/>
        <color rgb="FF000000"/>
        <rFont val="Calibri"/>
        <family val="2"/>
      </rPr>
      <t> </t>
    </r>
  </si>
  <si>
    <r>
      <t>C00024|C00025</t>
    </r>
    <r>
      <rPr>
        <sz val="11"/>
        <color rgb="FF000000"/>
        <rFont val="Calibri"/>
        <family val="2"/>
      </rPr>
      <t> </t>
    </r>
  </si>
  <si>
    <r>
      <t>C00091|C03972|C00001</t>
    </r>
    <r>
      <rPr>
        <sz val="11"/>
        <color rgb="FF000000"/>
        <rFont val="Calibri"/>
        <family val="2"/>
      </rPr>
      <t> </t>
    </r>
  </si>
  <si>
    <r>
      <t>C00173|C01209</t>
    </r>
    <r>
      <rPr>
        <sz val="11"/>
        <color rgb="FF000000"/>
        <rFont val="Calibri"/>
        <family val="2"/>
      </rPr>
      <t> </t>
    </r>
  </si>
  <si>
    <r>
      <t>C05223|C01209</t>
    </r>
    <r>
      <rPr>
        <sz val="11"/>
        <color rgb="FF000000"/>
        <rFont val="Calibri"/>
        <family val="2"/>
      </rPr>
      <t> </t>
    </r>
  </si>
  <si>
    <r>
      <t>C05745|C01209</t>
    </r>
    <r>
      <rPr>
        <sz val="11"/>
        <color rgb="FF000000"/>
        <rFont val="Calibri"/>
        <family val="2"/>
      </rPr>
      <t> </t>
    </r>
  </si>
  <si>
    <r>
      <t>C05749|C01209</t>
    </r>
    <r>
      <rPr>
        <sz val="11"/>
        <color rgb="FF000000"/>
        <rFont val="Calibri"/>
        <family val="2"/>
      </rPr>
      <t> </t>
    </r>
  </si>
  <si>
    <r>
      <t>C19673|C01209</t>
    </r>
    <r>
      <rPr>
        <sz val="11"/>
        <color rgb="FF000000"/>
        <rFont val="Calibri"/>
        <family val="2"/>
      </rPr>
      <t> </t>
    </r>
  </si>
  <si>
    <r>
      <t>C20375|C01209</t>
    </r>
    <r>
      <rPr>
        <sz val="11"/>
        <color rgb="FF000000"/>
        <rFont val="Calibri"/>
        <family val="2"/>
      </rPr>
      <t> </t>
    </r>
  </si>
  <si>
    <r>
      <t>C00024|C01209</t>
    </r>
    <r>
      <rPr>
        <sz val="11"/>
        <color rgb="FF000000"/>
        <rFont val="Calibri"/>
        <family val="2"/>
      </rPr>
      <t> </t>
    </r>
  </si>
  <si>
    <r>
      <t>C00024|C04650</t>
    </r>
    <r>
      <rPr>
        <sz val="11"/>
        <color rgb="FF000000"/>
        <rFont val="Calibri"/>
        <family val="2"/>
      </rPr>
      <t> </t>
    </r>
  </si>
  <si>
    <r>
      <t>C17962|C00024</t>
    </r>
    <r>
      <rPr>
        <sz val="11"/>
        <color rgb="FF000000"/>
        <rFont val="Calibri"/>
        <family val="2"/>
      </rPr>
      <t> </t>
    </r>
  </si>
  <si>
    <r>
      <t>C00065|C00024</t>
    </r>
    <r>
      <rPr>
        <sz val="11"/>
        <color rgb="FF000000"/>
        <rFont val="Calibri"/>
        <family val="2"/>
      </rPr>
      <t> </t>
    </r>
  </si>
  <si>
    <r>
      <t>C00083|C00229</t>
    </r>
    <r>
      <rPr>
        <sz val="11"/>
        <color rgb="FF000000"/>
        <rFont val="Calibri"/>
        <family val="2"/>
      </rPr>
      <t> </t>
    </r>
  </si>
  <si>
    <r>
      <t>G10545|C00009</t>
    </r>
    <r>
      <rPr>
        <sz val="11"/>
        <color rgb="FF000000"/>
        <rFont val="Calibri"/>
        <family val="2"/>
      </rPr>
      <t> </t>
    </r>
  </si>
  <si>
    <r>
      <t>C00498|C00718</t>
    </r>
    <r>
      <rPr>
        <sz val="11"/>
        <color rgb="FF000000"/>
        <rFont val="Calibri"/>
        <family val="2"/>
      </rPr>
      <t> </t>
    </r>
  </si>
  <si>
    <r>
      <t>C00096|C00110</t>
    </r>
    <r>
      <rPr>
        <sz val="11"/>
        <color rgb="FF000000"/>
        <rFont val="Calibri"/>
        <family val="2"/>
      </rPr>
      <t> </t>
    </r>
  </si>
  <si>
    <r>
      <t>C15586|C00009</t>
    </r>
    <r>
      <rPr>
        <sz val="11"/>
        <color rgb="FF000000"/>
        <rFont val="Calibri"/>
        <family val="2"/>
      </rPr>
      <t> </t>
    </r>
  </si>
  <si>
    <r>
      <t>C01762|C00009</t>
    </r>
    <r>
      <rPr>
        <sz val="11"/>
        <color rgb="FF000000"/>
        <rFont val="Calibri"/>
        <family val="2"/>
      </rPr>
      <t> </t>
    </r>
  </si>
  <si>
    <r>
      <t>C20463|C00009</t>
    </r>
    <r>
      <rPr>
        <sz val="11"/>
        <color rgb="FF000000"/>
        <rFont val="Calibri"/>
        <family val="2"/>
      </rPr>
      <t> </t>
    </r>
  </si>
  <si>
    <r>
      <t>C00330|C00009</t>
    </r>
    <r>
      <rPr>
        <sz val="11"/>
        <color rgb="FF000000"/>
        <rFont val="Calibri"/>
        <family val="2"/>
      </rPr>
      <t> </t>
    </r>
  </si>
  <si>
    <r>
      <t>C00559|C00009</t>
    </r>
    <r>
      <rPr>
        <sz val="11"/>
        <color rgb="FF000000"/>
        <rFont val="Calibri"/>
        <family val="2"/>
      </rPr>
      <t> </t>
    </r>
  </si>
  <si>
    <r>
      <t>C05512|C00009</t>
    </r>
    <r>
      <rPr>
        <sz val="11"/>
        <color rgb="FF000000"/>
        <rFont val="Calibri"/>
        <family val="2"/>
      </rPr>
      <t> </t>
    </r>
  </si>
  <si>
    <r>
      <t>C05841|C00009</t>
    </r>
    <r>
      <rPr>
        <sz val="11"/>
        <color rgb="FF000000"/>
        <rFont val="Calibri"/>
        <family val="2"/>
      </rPr>
      <t> </t>
    </r>
  </si>
  <si>
    <r>
      <t>C07649|C00119</t>
    </r>
    <r>
      <rPr>
        <sz val="11"/>
        <color rgb="FF000000"/>
        <rFont val="Calibri"/>
        <family val="2"/>
      </rPr>
      <t> </t>
    </r>
  </si>
  <si>
    <r>
      <t>C03090|C00013|C00025</t>
    </r>
    <r>
      <rPr>
        <sz val="11"/>
        <color rgb="FF000000"/>
        <rFont val="Calibri"/>
        <family val="2"/>
      </rPr>
      <t> </t>
    </r>
  </si>
  <si>
    <r>
      <t>C02739|C00013</t>
    </r>
    <r>
      <rPr>
        <sz val="11"/>
        <color rgb="FF000000"/>
        <rFont val="Calibri"/>
        <family val="2"/>
      </rPr>
      <t> </t>
    </r>
  </si>
  <si>
    <r>
      <t>C04302|C00013</t>
    </r>
    <r>
      <rPr>
        <sz val="11"/>
        <color rgb="FF000000"/>
        <rFont val="Calibri"/>
        <family val="2"/>
      </rPr>
      <t> </t>
    </r>
  </si>
  <si>
    <r>
      <t>C00214|C00009</t>
    </r>
    <r>
      <rPr>
        <sz val="11"/>
        <color rgb="FF000000"/>
        <rFont val="Calibri"/>
        <family val="2"/>
      </rPr>
      <t> </t>
    </r>
  </si>
  <si>
    <r>
      <t>C00475|C00009</t>
    </r>
    <r>
      <rPr>
        <sz val="11"/>
        <color rgb="FF000000"/>
        <rFont val="Calibri"/>
        <family val="2"/>
      </rPr>
      <t> </t>
    </r>
  </si>
  <si>
    <r>
      <t>C00526|C00009</t>
    </r>
    <r>
      <rPr>
        <sz val="11"/>
        <color rgb="FF000000"/>
        <rFont val="Calibri"/>
        <family val="2"/>
      </rPr>
      <t> </t>
    </r>
  </si>
  <si>
    <r>
      <t>C03169|C00009</t>
    </r>
    <r>
      <rPr>
        <sz val="11"/>
        <color rgb="FF000000"/>
        <rFont val="Calibri"/>
        <family val="2"/>
      </rPr>
      <t> </t>
    </r>
  </si>
  <si>
    <r>
      <t>C00655|C00013</t>
    </r>
    <r>
      <rPr>
        <sz val="11"/>
        <color rgb="FF000000"/>
        <rFont val="Calibri"/>
        <family val="2"/>
      </rPr>
      <t> </t>
    </r>
  </si>
  <si>
    <r>
      <t>C00144|C00013</t>
    </r>
    <r>
      <rPr>
        <sz val="11"/>
        <color rgb="FF000000"/>
        <rFont val="Calibri"/>
        <family val="2"/>
      </rPr>
      <t> </t>
    </r>
  </si>
  <si>
    <r>
      <t>C00020|C00013</t>
    </r>
    <r>
      <rPr>
        <sz val="11"/>
        <color rgb="FF000000"/>
        <rFont val="Calibri"/>
        <family val="2"/>
      </rPr>
      <t> </t>
    </r>
  </si>
  <si>
    <r>
      <t>C04677|C00013</t>
    </r>
    <r>
      <rPr>
        <sz val="11"/>
        <color rgb="FF000000"/>
        <rFont val="Calibri"/>
        <family val="2"/>
      </rPr>
      <t> </t>
    </r>
  </si>
  <si>
    <r>
      <t>C00130|C00013</t>
    </r>
    <r>
      <rPr>
        <sz val="11"/>
        <color rgb="FF000000"/>
        <rFont val="Calibri"/>
        <family val="2"/>
      </rPr>
      <t> </t>
    </r>
  </si>
  <si>
    <r>
      <t>C00009|C00013|C00019</t>
    </r>
    <r>
      <rPr>
        <sz val="11"/>
        <color rgb="FF000000"/>
        <rFont val="Calibri"/>
        <family val="2"/>
      </rPr>
      <t> </t>
    </r>
  </si>
  <si>
    <r>
      <t>C00002|C00031</t>
    </r>
    <r>
      <rPr>
        <sz val="11"/>
        <color rgb="FF000000"/>
        <rFont val="Calibri"/>
        <family val="2"/>
      </rPr>
      <t> </t>
    </r>
  </si>
  <si>
    <r>
      <t>C20683|C00001</t>
    </r>
    <r>
      <rPr>
        <sz val="11"/>
        <color rgb="FF000000"/>
        <rFont val="Calibri"/>
        <family val="2"/>
      </rPr>
      <t> </t>
    </r>
  </si>
  <si>
    <r>
      <t>C00243|C00001</t>
    </r>
    <r>
      <rPr>
        <sz val="11"/>
        <color rgb="FF000000"/>
        <rFont val="Calibri"/>
        <family val="2"/>
      </rPr>
      <t> </t>
    </r>
  </si>
  <si>
    <r>
      <t>G00249|C00001</t>
    </r>
    <r>
      <rPr>
        <sz val="11"/>
        <color rgb="FF000000"/>
        <rFont val="Calibri"/>
        <family val="2"/>
      </rPr>
      <t> </t>
    </r>
  </si>
  <si>
    <r>
      <t>G00278|C00001</t>
    </r>
    <r>
      <rPr>
        <sz val="11"/>
        <color rgb="FF000000"/>
        <rFont val="Calibri"/>
        <family val="2"/>
      </rPr>
      <t> </t>
    </r>
  </si>
  <si>
    <r>
      <t>G10518|C00001</t>
    </r>
    <r>
      <rPr>
        <sz val="11"/>
        <color rgb="FF000000"/>
        <rFont val="Calibri"/>
        <family val="2"/>
      </rPr>
      <t> </t>
    </r>
  </si>
  <si>
    <r>
      <t>C06187|C00001</t>
    </r>
    <r>
      <rPr>
        <sz val="11"/>
        <color rgb="FF000000"/>
        <rFont val="Calibri"/>
        <family val="2"/>
      </rPr>
      <t> </t>
    </r>
  </si>
  <si>
    <r>
      <t>C06188|C00001</t>
    </r>
    <r>
      <rPr>
        <sz val="11"/>
        <color rgb="FF000000"/>
        <rFont val="Calibri"/>
        <family val="2"/>
      </rPr>
      <t> </t>
    </r>
  </si>
  <si>
    <r>
      <t>C00170|C00001</t>
    </r>
    <r>
      <rPr>
        <sz val="11"/>
        <color rgb="FF000000"/>
        <rFont val="Calibri"/>
        <family val="2"/>
      </rPr>
      <t> </t>
    </r>
  </si>
  <si>
    <r>
      <t>C00241|C00001</t>
    </r>
    <r>
      <rPr>
        <sz val="11"/>
        <color rgb="FF000000"/>
        <rFont val="Calibri"/>
        <family val="2"/>
      </rPr>
      <t> </t>
    </r>
  </si>
  <si>
    <r>
      <t>C00881|C00001</t>
    </r>
    <r>
      <rPr>
        <sz val="11"/>
        <color rgb="FF000000"/>
        <rFont val="Calibri"/>
        <family val="2"/>
      </rPr>
      <t> </t>
    </r>
  </si>
  <si>
    <r>
      <t>C00445|C00001</t>
    </r>
    <r>
      <rPr>
        <sz val="11"/>
        <color rgb="FF000000"/>
        <rFont val="Calibri"/>
        <family val="2"/>
      </rPr>
      <t> </t>
    </r>
  </si>
  <si>
    <r>
      <t>C01261|C00001</t>
    </r>
    <r>
      <rPr>
        <sz val="11"/>
        <color rgb="FF000000"/>
        <rFont val="Calibri"/>
        <family val="2"/>
      </rPr>
      <t> </t>
    </r>
  </si>
  <si>
    <r>
      <t>C04392|C00001</t>
    </r>
    <r>
      <rPr>
        <sz val="11"/>
        <color rgb="FF000000"/>
        <rFont val="Calibri"/>
        <family val="2"/>
      </rPr>
      <t> </t>
    </r>
  </si>
  <si>
    <r>
      <t>C00065|C00463</t>
    </r>
    <r>
      <rPr>
        <sz val="11"/>
        <color rgb="FF000000"/>
        <rFont val="Calibri"/>
        <family val="2"/>
      </rPr>
      <t> </t>
    </r>
  </si>
  <si>
    <r>
      <t>C20904|C00001</t>
    </r>
    <r>
      <rPr>
        <sz val="11"/>
        <color rgb="FF000000"/>
        <rFont val="Calibri"/>
        <family val="2"/>
      </rPr>
      <t> </t>
    </r>
  </si>
  <si>
    <r>
      <t>C20905|C00001</t>
    </r>
    <r>
      <rPr>
        <sz val="11"/>
        <color rgb="FF000000"/>
        <rFont val="Calibri"/>
        <family val="2"/>
      </rPr>
      <t> </t>
    </r>
  </si>
  <si>
    <r>
      <t>C00441|C00022</t>
    </r>
    <r>
      <rPr>
        <sz val="11"/>
        <color rgb="FF000000"/>
        <rFont val="Calibri"/>
        <family val="2"/>
      </rPr>
      <t> </t>
    </r>
  </si>
  <si>
    <r>
      <t>C00002|C00073|C01647</t>
    </r>
    <r>
      <rPr>
        <sz val="11"/>
        <color rgb="FF000000"/>
        <rFont val="Calibri"/>
        <family val="2"/>
      </rPr>
      <t> </t>
    </r>
  </si>
  <si>
    <r>
      <t>C00002|C00065|C16636</t>
    </r>
    <r>
      <rPr>
        <sz val="11"/>
        <color rgb="FF000000"/>
        <rFont val="Calibri"/>
        <family val="2"/>
      </rPr>
      <t> </t>
    </r>
  </si>
  <si>
    <r>
      <t>C01638|C00049|C00002</t>
    </r>
    <r>
      <rPr>
        <sz val="11"/>
        <color rgb="FF000000"/>
        <rFont val="Calibri"/>
        <family val="2"/>
      </rPr>
      <t> </t>
    </r>
  </si>
  <si>
    <r>
      <t>C00002|C00133|G13185</t>
    </r>
    <r>
      <rPr>
        <sz val="11"/>
        <color rgb="FF000000"/>
        <rFont val="Calibri"/>
        <family val="2"/>
      </rPr>
      <t> </t>
    </r>
  </si>
  <si>
    <r>
      <t>C00002|C00133|G13167</t>
    </r>
    <r>
      <rPr>
        <sz val="11"/>
        <color rgb="FF000000"/>
        <rFont val="Calibri"/>
        <family val="2"/>
      </rPr>
      <t> </t>
    </r>
  </si>
  <si>
    <r>
      <t>C00002|C00133|G13174</t>
    </r>
    <r>
      <rPr>
        <sz val="11"/>
        <color rgb="FF000000"/>
        <rFont val="Calibri"/>
        <family val="2"/>
      </rPr>
      <t> </t>
    </r>
  </si>
  <si>
    <r>
      <t>C00002|C00133|G13178</t>
    </r>
    <r>
      <rPr>
        <sz val="11"/>
        <color rgb="FF000000"/>
        <rFont val="Calibri"/>
        <family val="2"/>
      </rPr>
      <t> </t>
    </r>
  </si>
  <si>
    <r>
      <t>C00002|C00148|C01649</t>
    </r>
    <r>
      <rPr>
        <sz val="11"/>
        <color rgb="FF000000"/>
        <rFont val="Calibri"/>
        <family val="2"/>
      </rPr>
      <t> </t>
    </r>
  </si>
  <si>
    <r>
      <t>C00002|C00047|C01646</t>
    </r>
    <r>
      <rPr>
        <sz val="11"/>
        <color rgb="FF000000"/>
        <rFont val="Calibri"/>
        <family val="2"/>
      </rPr>
      <t> </t>
    </r>
  </si>
  <si>
    <r>
      <t>C00002|C00049|C00014</t>
    </r>
    <r>
      <rPr>
        <sz val="11"/>
        <color rgb="FF000000"/>
        <rFont val="Calibri"/>
        <family val="2"/>
      </rPr>
      <t> </t>
    </r>
  </si>
  <si>
    <r>
      <t>C00002|C00857|C00014</t>
    </r>
    <r>
      <rPr>
        <sz val="11"/>
        <color rgb="FF000000"/>
        <rFont val="Calibri"/>
        <family val="2"/>
      </rPr>
      <t> </t>
    </r>
  </si>
  <si>
    <r>
      <t>C00002|C01212|C00217</t>
    </r>
    <r>
      <rPr>
        <sz val="11"/>
        <color rgb="FF000000"/>
        <rFont val="Calibri"/>
        <family val="2"/>
      </rPr>
      <t> </t>
    </r>
  </si>
  <si>
    <r>
      <t>C00002|C00120|C04735</t>
    </r>
    <r>
      <rPr>
        <sz val="11"/>
        <color rgb="FF000000"/>
        <rFont val="Calibri"/>
        <family val="2"/>
      </rPr>
      <t> </t>
    </r>
  </si>
  <si>
    <r>
      <t>C05921|C06249</t>
    </r>
    <r>
      <rPr>
        <sz val="11"/>
        <color rgb="FF000000"/>
        <rFont val="Calibri"/>
        <family val="2"/>
      </rPr>
      <t> </t>
    </r>
  </si>
  <si>
    <r>
      <t>C00002|C00075|C00014</t>
    </r>
    <r>
      <rPr>
        <sz val="11"/>
        <color rgb="FF000000"/>
        <rFont val="Calibri"/>
        <family val="2"/>
      </rPr>
      <t> </t>
    </r>
  </si>
  <si>
    <t>tRNA uridine</t>
  </si>
  <si>
    <t>4-Nitrophenol</t>
  </si>
  <si>
    <t>Crotonoyl-CoA</t>
  </si>
  <si>
    <t>Deoxycytidine</t>
  </si>
  <si>
    <t>Dephospho-CoA</t>
  </si>
  <si>
    <t>L-Alanyl-tRNA</t>
  </si>
  <si>
    <t>Propenoyl-CoA</t>
  </si>
  <si>
    <t>2-Acetolactate</t>
  </si>
  <si>
    <t>Ribonucleoside</t>
  </si>
  <si>
    <t>Dihydropteroate</t>
  </si>
  <si>
    <t>UDP-L-arabinose</t>
  </si>
  <si>
    <t>3-Dehydroquinate</t>
  </si>
  <si>
    <t>Mercaptopyruvate</t>
  </si>
  <si>
    <t>beta-D-Galactose</t>
  </si>
  <si>
    <t>Aromatic oxo acid</t>
  </si>
  <si>
    <t>O-Acetyl-L-serine</t>
  </si>
  <si>
    <t>alpha-D-Galactose</t>
  </si>
  <si>
    <t>D-Alanyl-D-alanine</t>
  </si>
  <si>
    <t>O-Phospho-L-serine</t>
  </si>
  <si>
    <t>Aromatic amino acid</t>
  </si>
  <si>
    <t>UDP-N-acetylmuramate</t>
  </si>
  <si>
    <t>O-Acetyl-L-homoserine</t>
  </si>
  <si>
    <t>Thiamin monophosphate</t>
  </si>
  <si>
    <t>(3R)-3-Hydroxyacyl-CoA</t>
  </si>
  <si>
    <t>D-Fructose 1-phosphate</t>
  </si>
  <si>
    <t>D-Tagatose 6-phosphate</t>
  </si>
  <si>
    <t>L-Histidinol phosphate</t>
  </si>
  <si>
    <t>O-Phospho-L-homoserine</t>
  </si>
  <si>
    <t>Orotidine 5'-phosphate</t>
  </si>
  <si>
    <t>(R)-5-Phosphomevalonate</t>
  </si>
  <si>
    <t>O-Succinyl-L-homoserine</t>
  </si>
  <si>
    <t>cis-2,3-Dehydroacyl-CoA</t>
  </si>
  <si>
    <t>Pantetheine 4'-phosphate</t>
  </si>
  <si>
    <t>(R)-5-Diphosphomevalonate</t>
  </si>
  <si>
    <t>(S)-3-Hydroxybutanoyl-CoA</t>
  </si>
  <si>
    <t>Hydroxyproline</t>
  </si>
  <si>
    <t>L-Glutamate 5-semialdehyde</t>
  </si>
  <si>
    <t>Protein tyrosine phosphate</t>
  </si>
  <si>
    <t>alpha-D-Hexose 1-phosphate</t>
  </si>
  <si>
    <t>beta-D-Glucose 6-phosphate</t>
  </si>
  <si>
    <t>Inositol 1-phosphate</t>
  </si>
  <si>
    <t>3-(4-Hydroxyphenyl)pyruvate</t>
  </si>
  <si>
    <t>4-Methylthio-2-oxobutanoic acid</t>
  </si>
  <si>
    <t>Nicotinate D-ribonucleotide</t>
  </si>
  <si>
    <t>Lathosterol</t>
  </si>
  <si>
    <t>Glucosylceramide</t>
  </si>
  <si>
    <t>Oleoyl-[acyl-carrier protein]</t>
  </si>
  <si>
    <t>Malonyl-[acyl-carrier protein]</t>
  </si>
  <si>
    <t>UDP-N-acetylmuramoyl-L-alanine</t>
  </si>
  <si>
    <t>5,6,7,8-Tetrahydromethanopterin</t>
  </si>
  <si>
    <t>N-Acetyl-L-glutamate 5-semialdehyde</t>
  </si>
  <si>
    <t>N-(6-Aminohexanoyl)-6-aminohexanoate</t>
  </si>
  <si>
    <t>P1,P4-Bis(5'-adenosyl)tetraphosphate</t>
  </si>
  <si>
    <t>P1,P4-Bis(5'-guanosyl) tetraphosphate</t>
  </si>
  <si>
    <t>3-(Imidazol-4-yl)-2-oxopropyl phosphate</t>
  </si>
  <si>
    <t>5-O-(1-Carboxyvinyl)-3-phosphoshikimate</t>
  </si>
  <si>
    <t>(3R)-3-Hydroxyacyl-[acyl-carrier protein]</t>
  </si>
  <si>
    <t>Lactosylceramide</t>
  </si>
  <si>
    <t>6-(Hydroxymethyl)-7,8-dihydropterin</t>
  </si>
  <si>
    <t>1-(2-Carboxyphenylamino)-1-deoxy-D-ribulose 5-phosphate</t>
  </si>
  <si>
    <t>dIDP</t>
  </si>
  <si>
    <t>2'-Deoxyinosine-5'-triphosphate</t>
  </si>
  <si>
    <t>dUDP</t>
  </si>
  <si>
    <t>Carbonic acid</t>
  </si>
  <si>
    <t>Fructan</t>
  </si>
  <si>
    <t>Butanal</t>
  </si>
  <si>
    <t>Cys-Gly</t>
  </si>
  <si>
    <t>Ketone</t>
  </si>
  <si>
    <t>L-Iditol</t>
  </si>
  <si>
    <t>Hydrogen selenide</t>
  </si>
  <si>
    <t>Octadecanoic acid</t>
  </si>
  <si>
    <t>Octanal</t>
  </si>
  <si>
    <t>Carbamate</t>
  </si>
  <si>
    <t>Linoleate</t>
  </si>
  <si>
    <t>Protamine</t>
  </si>
  <si>
    <t>Secondary alcohol</t>
  </si>
  <si>
    <t>Stachyose</t>
  </si>
  <si>
    <t>tRNA(Ala)</t>
  </si>
  <si>
    <t>tRNA(Arg)</t>
  </si>
  <si>
    <t>tRNA(Asn)</t>
  </si>
  <si>
    <t>tRNA(Asp)</t>
  </si>
  <si>
    <t>tRNA(Cys)</t>
  </si>
  <si>
    <t>tRNA(Glu)</t>
  </si>
  <si>
    <t>tRNA(Gly)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</si>
  <si>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</si>
  <si>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</si>
  <si>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</si>
  <si>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</si>
  <si>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</si>
  <si>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</si>
  <si>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</si>
  <si>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</si>
  <si>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</si>
  <si>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</si>
  <si>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</si>
  <si>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</si>
  <si>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(S)-Acetoin</t>
  </si>
  <si>
    <t>3-Oxosteroid</t>
  </si>
  <si>
    <t>Dethiobiotin</t>
  </si>
  <si>
    <t>L-Lysyl-tRNA</t>
  </si>
  <si>
    <t>Maltodextrin</t>
  </si>
  <si>
    <t>tRNA guanine</t>
  </si>
  <si>
    <t>Eicosanoyl-CoA</t>
  </si>
  <si>
    <t>L-Leucyl-tRNA</t>
  </si>
  <si>
    <t>Linoleoyl-CoA</t>
  </si>
  <si>
    <t>Lipoylprotein</t>
  </si>
  <si>
    <t>Trypanothione</t>
  </si>
  <si>
    <t>dTDP-galactose</t>
  </si>
  <si>
    <t>Acetyl-maltose</t>
  </si>
  <si>
    <t>Acyl phosphate</t>
  </si>
  <si>
    <t>L-Arginyl-tRNA(Arg)</t>
  </si>
  <si>
    <t>Dehydroalanine</t>
  </si>
  <si>
    <t>Arachidonyl-CoA</t>
  </si>
  <si>
    <t>L-Cystathionine</t>
  </si>
  <si>
    <t>Salicyl alcohol</t>
  </si>
  <si>
    <t>beta-D-Fructose</t>
  </si>
  <si>
    <t>(S)-2-Aminobutanoate</t>
  </si>
  <si>
    <t>6-Mercaptopurine</t>
  </si>
  <si>
    <t>Glycyl-tRNA(Gly)</t>
  </si>
  <si>
    <t>L-Methionyl-tRNA</t>
  </si>
  <si>
    <t>alpha-Isopropylmalate</t>
  </si>
  <si>
    <t>5'-Ribonucleotide</t>
  </si>
  <si>
    <t>O-Phospho-D-serine</t>
  </si>
  <si>
    <t>L-Seryl-tRNA(Ser)</t>
  </si>
  <si>
    <t>L-Valyl-tRNA(Val)</t>
  </si>
  <si>
    <t>2-Hydroxyglutarate</t>
  </si>
  <si>
    <t>2-Isopropylmaleate</t>
  </si>
  <si>
    <t>3-Dehydroshikimate</t>
  </si>
  <si>
    <t>Dodecanoic acid</t>
  </si>
  <si>
    <t>L-Prolyl-tRNA(Pro)</t>
  </si>
  <si>
    <t>O-Phosphoprotamine</t>
  </si>
  <si>
    <t>1-(5-Phospho-D-ribosyl)-ATP</t>
  </si>
  <si>
    <t>Phosphoribosyl-AMP</t>
  </si>
  <si>
    <t>[Protein]-L-cysteine</t>
  </si>
  <si>
    <t>tRNA pseudouridine</t>
  </si>
  <si>
    <t>L-Tyrosyl-tRNA(Tyr)</t>
  </si>
  <si>
    <t>Long-chain acyl-CoA</t>
  </si>
  <si>
    <t>Propanoyl phosphate</t>
  </si>
  <si>
    <t>(2-Naphthyl)methanol</t>
  </si>
  <si>
    <t>7,8-Dihydrobiopterin</t>
  </si>
  <si>
    <t>D-Allose 6-phosphate</t>
  </si>
  <si>
    <t>Dihydrolipoylprotein</t>
  </si>
  <si>
    <t>L-Aspartyl-tRNA(Asp)</t>
  </si>
  <si>
    <t>L-Glutamyl-tRNA(Glu)</t>
  </si>
  <si>
    <t>L-Histidyl-tRNA(His)</t>
  </si>
  <si>
    <t>L-Threonyl-tRNA(Thr)</t>
  </si>
  <si>
    <t>N-Acetylmuramoyl-Ala</t>
  </si>
  <si>
    <t>Peptide-L-methionine</t>
  </si>
  <si>
    <t>Thiamin triphosphate</t>
  </si>
  <si>
    <t>gamma-Linolenoyl-CoA</t>
  </si>
  <si>
    <t>3-Methylcrotonyl-CoA</t>
  </si>
  <si>
    <t>4-Phospho-L-aspartate</t>
  </si>
  <si>
    <t>5-Methylthio-D-ribose</t>
  </si>
  <si>
    <t>5-Phosphoribosylamine</t>
  </si>
  <si>
    <t>L-Cysteinyl-tRNA(Cys)</t>
  </si>
  <si>
    <t>L-Isoleucyl-tRNA(Ile)</t>
  </si>
  <si>
    <t>Nicotinamide-beta-riboside</t>
  </si>
  <si>
    <t>Pyrimidine nucleoside</t>
  </si>
  <si>
    <t>Trypanothione disulfide</t>
  </si>
  <si>
    <t>S-Methyl-L-methionine</t>
  </si>
  <si>
    <t>Shikimate 3-phosphate</t>
  </si>
  <si>
    <t>2-trans-Dodecenoyl-CoA</t>
  </si>
  <si>
    <t>3-Phosphonooxypyruvate</t>
  </si>
  <si>
    <t>Dihomo-gamma-linolenate</t>
  </si>
  <si>
    <t>L-Glutamyl 5-phosphate</t>
  </si>
  <si>
    <t>N-Formylmethionyl-tRNA</t>
  </si>
  <si>
    <t>dTDP-L-rhamnose</t>
  </si>
  <si>
    <t>2-Methylbut-2-enoyl-CoA</t>
  </si>
  <si>
    <t>3-Phospho-D-erythronate</t>
  </si>
  <si>
    <t>4-Nitrophenyl phosphate</t>
  </si>
  <si>
    <t>Aminoimidazole ribotide</t>
  </si>
  <si>
    <t>DNA 6-methylaminopurine</t>
  </si>
  <si>
    <t>L-Asparaginyl-tRNA(Asn)</t>
  </si>
  <si>
    <t>N-(L-Arginino)succinate</t>
  </si>
  <si>
    <t>(R)-S-Lactoylglutathione</t>
  </si>
  <si>
    <t>2-Methylprop-2-enoyl-CoA</t>
  </si>
  <si>
    <t>Folinic acid</t>
  </si>
  <si>
    <t>D-4'-Phosphopantothenate</t>
  </si>
  <si>
    <t>Indoleglycerol phosphate</t>
  </si>
  <si>
    <t>L-Phenylalanyl-tRNA(Phe)</t>
  </si>
  <si>
    <t>L-Tryptophanyl-tRNA(Trp)</t>
  </si>
  <si>
    <t>N-Substituted amino acid</t>
  </si>
  <si>
    <t>S-Ribosyl-L-homocysteine</t>
  </si>
  <si>
    <t>THF-polyglutamate</t>
  </si>
  <si>
    <t>myo-Inositol 4-phosphate</t>
  </si>
  <si>
    <t>2-Oxo-2,3-dihydrofuran-5-acetate</t>
  </si>
  <si>
    <t>8,11,14-Eicosatrienoyl-CoA</t>
  </si>
  <si>
    <t>L-Methionylaminoacyl-tRNA</t>
  </si>
  <si>
    <t>Peptidylproline (omega=0)</t>
  </si>
  <si>
    <t>6-Pyruvoyltetrahydropterin</t>
  </si>
  <si>
    <t>Apo-[acyl-carrier protein]</t>
  </si>
  <si>
    <t>Ribonucleoside diphosphate</t>
  </si>
  <si>
    <t>UDP-alpha-D-galactofuranose</t>
  </si>
  <si>
    <t>alpha-D-Hexose 6-phosphate</t>
  </si>
  <si>
    <t>D-Tagatose 1,6-bisphosphate</t>
  </si>
  <si>
    <t>N6-(1,2-Dicarboxyethyl)-AMP</t>
  </si>
  <si>
    <t>Peptidylproline (omega=180)</t>
  </si>
  <si>
    <t>Protein S-methyl-L-cysteine</t>
  </si>
  <si>
    <t>Ribonucleoside triphosphate</t>
  </si>
  <si>
    <t>5'-Phosphoribosylglycinamide</t>
  </si>
  <si>
    <t>Dolichyl phosphate D-mannose</t>
  </si>
  <si>
    <t>N-Substituted aminoacyl-tRNA</t>
  </si>
  <si>
    <t>Phosphatidylglycerophosphate</t>
  </si>
  <si>
    <t>(S)-1-Pyrroline-5-carboxylate</t>
  </si>
  <si>
    <t>Acetyl-[acyl-carrier protein]</t>
  </si>
  <si>
    <t>2,3,4,5-Tetrahydrodipicolinate</t>
  </si>
  <si>
    <t>1D-myo-Inositol 3-phosphate</t>
  </si>
  <si>
    <t>2,3-Dihydroxy-3-methylbutanoate</t>
  </si>
  <si>
    <t>5-Amino-4-imidazolecarboxyamide</t>
  </si>
  <si>
    <t>N-((R)-Pantothenoyl)-L-cysteine</t>
  </si>
  <si>
    <t>Octadecanoyl-[acyl-carrier protein]</t>
  </si>
  <si>
    <t>N-Acetyl-L-glutamate 5-phosphate</t>
  </si>
  <si>
    <t>Tetrahydropteroyltri-L-glutamate</t>
  </si>
  <si>
    <t>rRNA containing N2-methylguanine</t>
  </si>
  <si>
    <t>tRNA containing N7-methylguanine</t>
  </si>
  <si>
    <t>3-Hydroxy-3-methyl-2-oxobutanoic acid</t>
  </si>
  <si>
    <t>2'-Deoxyribonucleoside diphosphate</t>
  </si>
  <si>
    <t>(2S)-2-Isopropyl-3-oxosuccinate</t>
  </si>
  <si>
    <t>5-Fluorodeoxyuridine monophosphate</t>
  </si>
  <si>
    <t>But-2-enoyl-[acyl-carrier protein]</t>
  </si>
  <si>
    <t>DNA containing 6-O-methylguanine</t>
  </si>
  <si>
    <t>N-Formyl-L-methionylaminoacyl-tRNA</t>
  </si>
  <si>
    <t>O-D-Alanyl-poly(ribitol phosphate)</t>
  </si>
  <si>
    <t>Protein N(pi)-phospho-L-histidine</t>
  </si>
  <si>
    <t>(R)-2,3-Dihydroxy-3-methylbutanoate</t>
  </si>
  <si>
    <t>1,8-Diazacyclotetradecane-2,9-dione</t>
  </si>
  <si>
    <t>L-1-Pyrroline-3-hydroxy-5-carboxylate</t>
  </si>
  <si>
    <t>N-(5-Phospho-D-ribosyl)anthranilate</t>
  </si>
  <si>
    <t>Phosphoenol-4-deoxy-3-tetrulosonate</t>
  </si>
  <si>
    <t>(R)-4'-Phosphopantothenoyl-L-cysteine</t>
  </si>
  <si>
    <t>5'-Phosphoribosyl-N-formylglycinamide</t>
  </si>
  <si>
    <t>5,10-Methylenetetrahydromethanopterin</t>
  </si>
  <si>
    <t>P1,P4-Bis(5'-xanthosyl) tetraphosphate</t>
  </si>
  <si>
    <t>(2S,3S)-3-Hydroxy-2-methylbutanoyl-CoA</t>
  </si>
  <si>
    <t>(2R,3S)-3-Isopropylmalate</t>
  </si>
  <si>
    <t>N-Succinyl-LL-2,6-diaminoheptanedioate</t>
  </si>
  <si>
    <t>tRNA containing 6-isopentenyladenosine</t>
  </si>
  <si>
    <t>4alpha-Methyl-5alpha-cholest-7-en-3-one</t>
  </si>
  <si>
    <t>N-Succinyl-2-L-amino-6-oxoheptanedioate</t>
  </si>
  <si>
    <t>5-Methyltetrahydropteroyltri-L-glutamate</t>
  </si>
  <si>
    <t>Guanosine 3'-diphosphate 5'-triphosphate</t>
  </si>
  <si>
    <t>N-Acetyl-alpha-D-glucosamine 1-phosphate</t>
  </si>
  <si>
    <t>6-Phospho-beta-D-glucosyl-(1,4)-D-glucose</t>
  </si>
  <si>
    <t>4-Amino-2-methyl-5-(phosphooxymethyl)pyrimidine</t>
  </si>
  <si>
    <t>di-trans,poly-cis-Undecaprenyl diphosphate</t>
  </si>
  <si>
    <t>(3R)-3-Hydroxybutanoyl-[acyl-carrier protein]</t>
  </si>
  <si>
    <t>(3R)-3-Hydroxydecanoyl-[acyl-carrier protein]</t>
  </si>
  <si>
    <t>(3R)-3-Hydroxyoctanoyl-[acyl-carrier protein]</t>
  </si>
  <si>
    <t>UDP-N-acetyl-3-(1-carboxyvinyl)-D-glucosamine</t>
  </si>
  <si>
    <t>(3R)-3-Hydroxypalmitoyl-[acyl-carrier protein]</t>
  </si>
  <si>
    <t>2-(Formamido)-N1-(5'-phosphoribosyl)acetamidine</t>
  </si>
  <si>
    <t>6-Thioinosine-5'-monophosphate</t>
  </si>
  <si>
    <t>L-Phosphinothricin</t>
  </si>
  <si>
    <t>D-erythro-1-(Imidazol-4-yl)glycerol 3-phosphate</t>
  </si>
  <si>
    <t>1-(5'-Phosphoribosyl)-5-amino-4-imidazolecarboxamide</t>
  </si>
  <si>
    <t>[Acetyl-CoA:carbon-dioxide ligase (ADP-forming)]</t>
  </si>
  <si>
    <t>(3R)-3-Hydroxytetradecanoyl-[acyl-carrier protein]</t>
  </si>
  <si>
    <t>2-Dehydro-3-deoxy-D-arabino-heptonate 7-phosphate</t>
  </si>
  <si>
    <t>UDPMurNAc(oyl-L-Ala-D-gamma-Glu-L-Lys-D-Ala-D-Ala)</t>
  </si>
  <si>
    <t>tRNA containing 5-[(methylamino)methyl]-2-thiouridylate</t>
  </si>
  <si>
    <t>1-(5'-Phosphoribosyl)-5-formamido-4-imidazolecarboxamide</t>
  </si>
  <si>
    <t>Apo-[acetyl-CoA carboxylase]</t>
  </si>
  <si>
    <t>1-(5-Phospho-D-ribosyl)-5-amino-4-imidazolecarboxylate</t>
  </si>
  <si>
    <t>4-Amino-5-hydroxymethyl-2-methylpyrimidine diphosphate</t>
  </si>
  <si>
    <t>6-Hydroxymethyl-7,8-dihydropterin diphosphate</t>
  </si>
  <si>
    <t>1-(5'-Phosphoribosyl)-5-amino-4-(N-succinocarboxamide)-imidazole</t>
  </si>
  <si>
    <t>3beta-Hydroxy-4beta-methyl-5alpha-cholest-7-ene-4alpha-carboxylate</t>
  </si>
  <si>
    <t>MurAc(oyl-L-Ala-D-gamma-Glu-L-Lys-D-Ala-D-Ala)-diphospho-undecaprenol</t>
  </si>
  <si>
    <t>7,8-Dihydroneopterin</t>
  </si>
  <si>
    <t>UDP-N-acetylmuramoyl-L-alanyl-gamma-D-glutamyl-meso-2,6-diaminopimelate</t>
  </si>
  <si>
    <t>UDP-N-acetylmuramoyl-L-alanyl-D-glutamyl-6-carboxy-L-lysyl-D-alanyl-D-alanine</t>
  </si>
  <si>
    <t>N-Acetyl-D-galactosaminyl-(N-acetylneuraminyl)-D-galactosyl-D-glucosylceramide</t>
  </si>
  <si>
    <t>7,8-Dihydroneopterin 3'-triphosphate</t>
  </si>
  <si>
    <t>5-(5-Phospho-D-ribosylaminoformimino)-1-(5-phosphoribosyl)-imidazole-4-carboxamide</t>
  </si>
  <si>
    <t>D-Galactosyl-N-acetyl-D-galactosaminyl-(N-acetylneuraminyl)-D-galactosyl-D-glucosylceramide</t>
  </si>
  <si>
    <t>N-(5'-Phospho-D-1'-ribulosylformimino)-5-amino-1-(5''-phospho-D-ribosyl)-4-imidazolecarboxamide</t>
  </si>
  <si>
    <t>(3E)-3-Enoyl-CoA</t>
  </si>
  <si>
    <t>Methostenol</t>
  </si>
  <si>
    <t>3-Hydroxybutanoyl-CoA</t>
  </si>
  <si>
    <t>2-(alpha-Hydroxyethyl)thiamine diphosphate</t>
  </si>
  <si>
    <t>alpha-Amino acid</t>
  </si>
  <si>
    <t>Dihydroflavodoxin</t>
  </si>
  <si>
    <t>Protein glycine</t>
  </si>
  <si>
    <t>5'-Deoxyadenosine</t>
  </si>
  <si>
    <t>Flavodoxin semiquinone</t>
  </si>
  <si>
    <t>Dodecanoyl-[acyl-carrier protein]</t>
  </si>
  <si>
    <t>(S)-3-Hydroxyhexadecanoyl-CoA</t>
  </si>
  <si>
    <t>(S)-3-Hydroxytetradecanoyl-CoA</t>
  </si>
  <si>
    <t>(S)-3-Hydroxydodecanoyl-CoA</t>
  </si>
  <si>
    <t>(S)-Hydroxydecanoyl-CoA</t>
  </si>
  <si>
    <t>(S)-3-Hydroxyoctanoyl-CoA</t>
  </si>
  <si>
    <t>(S)-Hydroxyhexanoyl-CoA</t>
  </si>
  <si>
    <t>trans-Hex-2-enoyl-CoA</t>
  </si>
  <si>
    <t>trans-Hexadec-2-enoyl-CoA</t>
  </si>
  <si>
    <t>trans-Tetradec-2-enoyl-CoA</t>
  </si>
  <si>
    <t>trans-Dec-2-enoyl-CoA</t>
  </si>
  <si>
    <t>trans-Oct-2-enoyl-CoA</t>
  </si>
  <si>
    <t>Protein glycin-2-yl radical</t>
  </si>
  <si>
    <t>L-Selenomethionine</t>
  </si>
  <si>
    <t>Selenomethionyl-tRNA(Met)</t>
  </si>
  <si>
    <t>beta-D-Fructose 6-phosphate</t>
  </si>
  <si>
    <t>Electron</t>
  </si>
  <si>
    <t>beta-D-Fructose 1,6-bisphosphate</t>
  </si>
  <si>
    <t>Oxalosuccinate</t>
  </si>
  <si>
    <t>Sedoheptulose 7-phosphate</t>
  </si>
  <si>
    <t>3-Keto-beta-D-galactose</t>
  </si>
  <si>
    <t>Melibiose</t>
  </si>
  <si>
    <t>3-Ketolactose</t>
  </si>
  <si>
    <t>D-Gal alpha 1-&gt;6D-Gal alpha 1-&gt;6D-Glucose</t>
  </si>
  <si>
    <t>3alpha,7alpha,26-Trihydroxy-5beta-cholestane</t>
  </si>
  <si>
    <t>3alpha,7alpha-Dihydroxy-5beta-cholestan-26-al</t>
  </si>
  <si>
    <t>Deoxyinosine</t>
  </si>
  <si>
    <t>S-Glutathionyl-L-cysteine</t>
  </si>
  <si>
    <t>3-Sulfinylpyruvate</t>
  </si>
  <si>
    <t>3-Sulfopyruvate</t>
  </si>
  <si>
    <t>3,4-Dihydroxyphenylethyleneglycol</t>
  </si>
  <si>
    <t>3,4-Dihydroxymandelaldehyde</t>
  </si>
  <si>
    <t>3-Hydroxypropionyl-CoA</t>
  </si>
  <si>
    <t>Selenite</t>
  </si>
  <si>
    <t>Se-Adenosylselenomethionine</t>
  </si>
  <si>
    <t>Selenohomocysteine</t>
  </si>
  <si>
    <t>L-Selenocystathionine</t>
  </si>
  <si>
    <t>O-Phosphorylhomoserine</t>
  </si>
  <si>
    <t>Methaneselenol</t>
  </si>
  <si>
    <t>S-Substituted L-cysteine</t>
  </si>
  <si>
    <t>R-S-Cysteinylglycine</t>
  </si>
  <si>
    <t>Acetoacetyl-[acp]</t>
  </si>
  <si>
    <t>Butyryl-[acp]</t>
  </si>
  <si>
    <t>3-Oxohexanoyl-[acp]</t>
  </si>
  <si>
    <t>(R)-3-Hydroxyhexanoyl-[acp]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</si>
  <si>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</si>
  <si>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</si>
  <si>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</si>
  <si>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</si>
  <si>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</si>
  <si>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</si>
  <si>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</si>
  <si>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</si>
  <si>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3-Oxododecanoyl-[acp]</t>
  </si>
  <si>
    <t>(R)-3-Hydroxydodecanoyl-[acp]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</si>
  <si>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</si>
  <si>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</si>
  <si>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</si>
  <si>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</si>
  <si>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</si>
  <si>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</si>
  <si>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</si>
  <si>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Galactan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</si>
  <si>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</si>
  <si>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</si>
  <si>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</si>
  <si>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</si>
  <si>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</si>
  <si>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Biotinyl-5'-AMP</t>
  </si>
  <si>
    <t>Formamidopyrimidine nucleoside triphosphate</t>
  </si>
  <si>
    <t>2,5-Diaminopyrimidine nucleoside triphosphate</t>
  </si>
  <si>
    <t>(6R)-10-Formyltetrahydropteroyldiglutamate</t>
  </si>
  <si>
    <t>10-Formyltetrahydrofolylpolyglutamate</t>
  </si>
  <si>
    <t>4R)-4-Hydroxy-2-oxoglutarate</t>
  </si>
  <si>
    <t>L-erythro-4-Hydroxyglutamate</t>
  </si>
  <si>
    <t>3-Hydroxyisovaleryl-CoA</t>
  </si>
  <si>
    <t>(S)-3-Hydroxyisobutyryl-CoA</t>
  </si>
  <si>
    <t>(S)-2-Aceto-2-hydroxybutanoate</t>
  </si>
  <si>
    <t>(R)-2,3-Dihydroxy-3-methylpentanoate</t>
  </si>
  <si>
    <t>(S)-2-Acetolactat</t>
  </si>
  <si>
    <t>D-erythro-3-Methylmalate</t>
  </si>
  <si>
    <t>2-Oxo-3-hydroxy-4-phosphobutanoate</t>
  </si>
  <si>
    <t>O-Phospho-4-hydroxy-L-threonine</t>
  </si>
  <si>
    <t>4-Hydroxy-L-threonine</t>
  </si>
  <si>
    <t>GA2</t>
  </si>
  <si>
    <t>GA1</t>
  </si>
  <si>
    <t>2,5-Diamino-6-(5'-triphosphoryl-3',4'-trihydroxy-2'-oxopentyl)-amino-4-oxopyrimidine</t>
  </si>
  <si>
    <t>alpha-D-Glucosamine 1-phosphate</t>
  </si>
  <si>
    <t>Arbutin 6-phosphate</t>
  </si>
  <si>
    <t>Salicin 6-phosphate</t>
  </si>
  <si>
    <t>2'-Deoxyinosine 5'-phosphate</t>
  </si>
  <si>
    <t>P1,P4-Bis(5'-uridyl) tetraphosphate</t>
  </si>
  <si>
    <t>Benzoyl phosphate</t>
  </si>
  <si>
    <t>Levan</t>
  </si>
  <si>
    <t>Apo-[carboxylase]</t>
  </si>
  <si>
    <t>Holo-[carboxylase]</t>
  </si>
  <si>
    <t>Tetradecanoic acid</t>
  </si>
  <si>
    <t>Icosanoic acid</t>
  </si>
  <si>
    <t>(6Z,9Z,12Z)-Octadecatrienoic acid</t>
  </si>
  <si>
    <t>(9Z,12Z,15Z)-Octadecatrienoic acid</t>
  </si>
  <si>
    <t>(5Z,8Z,11Z,14Z,17Z)-Icosapentaenoic acid</t>
  </si>
  <si>
    <t>(4Z,7Z,10Z,13Z,16Z,19Z)-Docosahexaenoic acid</t>
  </si>
  <si>
    <t>L-Seryl-tRNA(Sec)</t>
  </si>
  <si>
    <t>trans-3-Chloro-2-propene-1-ol</t>
  </si>
  <si>
    <t>cis-3-Chloro-2-propene-1-ol</t>
  </si>
  <si>
    <t>trans-3-Chloroallyl aldehyde</t>
  </si>
  <si>
    <t>Chloral hydrate</t>
  </si>
  <si>
    <t>Trichloroethanol</t>
  </si>
  <si>
    <t>Thioguanine</t>
  </si>
  <si>
    <t>Fluorouracil</t>
  </si>
  <si>
    <t>(9Z)-Hexadecenoic acid</t>
  </si>
  <si>
    <t>3-Hexenol</t>
  </si>
  <si>
    <t>THF-L-glutamate</t>
  </si>
  <si>
    <t>2'-Deoxy-5-hydroxymethylcytidine-5'-diphosphate</t>
  </si>
  <si>
    <t>2'-Deoxy-5-hydroxymethylcytidine-5'-triphosphate</t>
  </si>
  <si>
    <t>Formyl-L-methionyl peptide</t>
  </si>
  <si>
    <t>Methionyl peptide</t>
  </si>
  <si>
    <t>DNA containing guanine</t>
  </si>
  <si>
    <t>tRNA containing 5-(aminomethyl)-2-thiouridine</t>
  </si>
  <si>
    <t>5-Fluorodeoxyuridine</t>
  </si>
  <si>
    <t>(S)-4,5-Dihydroxypentane-2,3-dione</t>
  </si>
  <si>
    <t>dTDP-4-oxo-6-deoxy-D-glucose</t>
  </si>
  <si>
    <t>trans-2-Methyl-5-isopropylhexa-2,5-dienoyl-CoA</t>
  </si>
  <si>
    <t>cis-2-Methyl-5-isopropylhexa-2,5-dienoyl-CoA</t>
  </si>
  <si>
    <t>3-Hydroxy-2,6-dimethyl-5-methylene-heptanoyl-CoA</t>
  </si>
  <si>
    <t>5-Hydroxyferuloyl-CoA</t>
  </si>
  <si>
    <t>Aminofructose 6-phosphate</t>
  </si>
  <si>
    <t>Iminoerythrose 4-phosphate</t>
  </si>
  <si>
    <t>5'-Deoxy-5-fluorouridine</t>
  </si>
  <si>
    <t>alpha,beta-Dihydroxyethyl-TPP</t>
  </si>
  <si>
    <t>1-Hydroxymethylnaphthalene</t>
  </si>
  <si>
    <t>1-Naphthaldehyde</t>
  </si>
  <si>
    <t>2-Naphthaldehyde</t>
  </si>
  <si>
    <t>5-Carboxy-2-pentenoyl-CoA</t>
  </si>
  <si>
    <t>(3S)-3-Hydroxyadipyl-CoA</t>
  </si>
  <si>
    <t>(R)-3-Hydroxy-3-methyl-2-oxopentanoate</t>
  </si>
  <si>
    <t>myo-Inositol phosphate</t>
  </si>
  <si>
    <t>N-D-Ribosylpurine</t>
  </si>
  <si>
    <t>Purine</t>
  </si>
  <si>
    <t>Peptide-L-methionine (R)-S-oxide</t>
  </si>
  <si>
    <t>4alpha-Methylzymosterol-4-carboxylate</t>
  </si>
  <si>
    <t>[Enzyme]-cysteine</t>
  </si>
  <si>
    <t>[Enzyme]-S-sulfanylcysteine</t>
  </si>
  <si>
    <t>3-Keto-4-methylzymosterol</t>
  </si>
  <si>
    <t>Enzyme N6-(lipoyl)lysine</t>
  </si>
  <si>
    <t>Enzyme N6-(dihydrolipoyl)lysine</t>
  </si>
  <si>
    <t>7-Cyano-7-carbaguanine</t>
  </si>
  <si>
    <t>9Z,12Z,15Z)-Octadecatrienoyl-CoA</t>
  </si>
  <si>
    <t>(5Z,8Z,11Z,14Z,17Z)-Icosapentaenoyl-CoA</t>
  </si>
  <si>
    <t>(4Z,7Z,10Z,13Z,16Z,19Z)-Docosahexaenoyl-CoA</t>
  </si>
  <si>
    <t>3-Oxostearoyl-[acp]</t>
  </si>
  <si>
    <t>(3R)-3-Hydroxyoctadecanoyl-[acyl-carrier protein]</t>
  </si>
  <si>
    <t>(2E)-Octadecenoyl-[acp]</t>
  </si>
  <si>
    <t>Protein N6-(lipoyl)lysine</t>
  </si>
  <si>
    <t>[Dihydrolipoyllysine-residue acetyltransferase] S-acetyldihydrolipoyllysine</t>
  </si>
  <si>
    <t>3-Hexenal</t>
  </si>
  <si>
    <t>trans-2-Enoyl-OPC8-CoA</t>
  </si>
  <si>
    <t>3-Hydroxy-OPC8-CoA</t>
  </si>
  <si>
    <t>trans-2-Enoyl-OPC6-CoA</t>
  </si>
  <si>
    <t>3-Hydroxy-OPC6-CoA</t>
  </si>
  <si>
    <t>trans-2-Enoyl-OPC4-CoA</t>
  </si>
  <si>
    <t>3-Hydroxy-OPC4-CoA</t>
  </si>
  <si>
    <t>cis-3-Chloroallyl aldehyde</t>
  </si>
  <si>
    <t>(2E)-5-Methylhexa-2,4-dienoyl-CoA</t>
  </si>
  <si>
    <t>3-Hydroxy-5-methylhex-4-enoyl-CoA</t>
  </si>
  <si>
    <t>Hexadecenoyl-[acyl-carrier protein]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</si>
  <si>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</si>
  <si>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</si>
  <si>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</si>
  <si>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</si>
  <si>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</si>
  <si>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</si>
  <si>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</si>
  <si>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</si>
  <si>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</t>
  </si>
  <si>
    <t>5-Fluorouridine monophosphate</t>
  </si>
  <si>
    <t>5'-Deoxy-5-fluorocytidine</t>
  </si>
  <si>
    <t>tRNA(Sec)</t>
  </si>
  <si>
    <t>Tryparedoxin</t>
  </si>
  <si>
    <t>Tryparedoxin disulfide</t>
  </si>
  <si>
    <t>7-Aminomethyl-7-carbaguanine</t>
  </si>
  <si>
    <t>Sucrose 6-phosphate</t>
  </si>
  <si>
    <t>[Protein]-N6-[(R)-dihydrolipoyl]-L-lysine</t>
  </si>
  <si>
    <t>Sulfur donor</t>
  </si>
  <si>
    <t>2-Aminobut-2-enoate</t>
  </si>
  <si>
    <t>tRNA adenine</t>
  </si>
  <si>
    <t>di-trans,poly-cis-Undecaprenyl phosphate</t>
  </si>
  <si>
    <t>N-Acetyldemethylphosphinothricin</t>
  </si>
  <si>
    <t>N-Acetylphosphinothricin</t>
  </si>
  <si>
    <t>Demethylphosphinothricin</t>
  </si>
  <si>
    <t>UDP-L-arabinofuranose</t>
  </si>
  <si>
    <t>D-Allulose 6-phosphate</t>
  </si>
  <si>
    <t>Methylselenic acid</t>
  </si>
  <si>
    <t>Malonyl-[acp] methyl ester</t>
  </si>
  <si>
    <t>(2S,4S)-4-Hydroxy-2,3,4,5-tetrahydrodipicolinate</t>
  </si>
  <si>
    <t>3-Ketoglutaryl-[acp] methyl ester</t>
  </si>
  <si>
    <t>3-Hydroxyglutaryl-[acp] methyl ester</t>
  </si>
  <si>
    <t>Glutaryl-[acp] methyl ester</t>
  </si>
  <si>
    <t>3-Ketopimeloyl-[acp] methyl ester</t>
  </si>
  <si>
    <t>3-Hydroxypimeloyl-[acp] methyl ester</t>
  </si>
  <si>
    <t>tRNA 7-aminomethyl-7-carbaguanine</t>
  </si>
  <si>
    <t>Purine deoxyribonucleoside</t>
  </si>
  <si>
    <t>(3S)-2-Oxo-3-phenylbutanoate</t>
  </si>
  <si>
    <t>Long-chain acyl-[acyl-carrier protein]</t>
  </si>
  <si>
    <t>5'-Triphospho-[mRNA]</t>
  </si>
  <si>
    <t>(2S,3S)-3-Methylphenylalanine</t>
  </si>
  <si>
    <t>2-Iminopropanoate</t>
  </si>
  <si>
    <t>2-Iminobutanoate</t>
  </si>
  <si>
    <t>Carboxyphosphate</t>
  </si>
  <si>
    <t>gamma-L-Glutamyl-L-2-aminobutyrate</t>
  </si>
  <si>
    <t>Ophthalmate</t>
  </si>
  <si>
    <t>5-Hydroxymethylcytosine in DNA</t>
  </si>
  <si>
    <t>[Protein]-S-sulfanyl-L-cysteine</t>
  </si>
  <si>
    <t>5-Fluorouridine diphosphate</t>
  </si>
  <si>
    <t>5-Fluorouridine triphosphate</t>
  </si>
  <si>
    <t>5-Fluorodeoxyuridine diphosphate</t>
  </si>
  <si>
    <t>5-Fluorodeoxyuridine triphosphate</t>
  </si>
  <si>
    <t>3beta-Hydroxysteroid-4alpha-carboxylate</t>
  </si>
  <si>
    <t>4alpha-Carboxy-5alpha-cholesta-8,24-dien-3beta-ol</t>
  </si>
  <si>
    <t>Zymosterone</t>
  </si>
  <si>
    <t>5-Deoxy-D-ribose</t>
  </si>
  <si>
    <t>N6-Succino-2-amino-2'-deoxyadenylate</t>
  </si>
  <si>
    <t>3,5-Dehydroshikimate</t>
  </si>
  <si>
    <t>2-Amino-2'-deoxyadenosine 5'-monophosphate</t>
  </si>
  <si>
    <t>2-Amino-2'-deoxyadenosine 5'-diphosphate</t>
  </si>
  <si>
    <t>2-Amino-2'-deoxyadenosine 5'-triphosphate</t>
  </si>
  <si>
    <t>Ganglioside</t>
  </si>
  <si>
    <t>GM1</t>
  </si>
  <si>
    <t>Asialo-GM1</t>
  </si>
  <si>
    <t>Manninotriose</t>
  </si>
  <si>
    <t>1,4-beta-D-Glucan</t>
  </si>
  <si>
    <t>1,4-alpha-D-Glucan</t>
  </si>
  <si>
    <t>1,6-alpha-D-Glucan</t>
  </si>
  <si>
    <t>Sucrose 6'-phosphate</t>
  </si>
  <si>
    <t>UDP-D-glucose</t>
  </si>
  <si>
    <t>UDP-N-acetyl-D-glucosamine</t>
  </si>
  <si>
    <t>alpha-Glycosylated WTA</t>
  </si>
  <si>
    <t>beta-Glycosylated WTA</t>
  </si>
  <si>
    <t>alpha-O-GlcNAcylated WTA</t>
  </si>
  <si>
    <t>beta-O-GlcNAcylated WTA</t>
  </si>
  <si>
    <t>C00077</t>
  </si>
  <si>
    <t>URL</t>
  </si>
  <si>
    <t>https://www.ncbi.nlm.nih.gov/datasets/genome/GCF_000253315.1/</t>
  </si>
  <si>
    <t>NCBI RefSeq assembly</t>
  </si>
  <si>
    <t>GCF_000253315.1</t>
  </si>
  <si>
    <t>BioSample ID</t>
  </si>
  <si>
    <t>SAMEA2272047</t>
  </si>
  <si>
    <t>Sample name</t>
  </si>
  <si>
    <t xml:space="preserve">Assembly number </t>
  </si>
  <si>
    <t>ASM25331v1</t>
  </si>
  <si>
    <t>Chromosome ref seq</t>
  </si>
  <si>
    <t>NC_017595.1</t>
  </si>
  <si>
    <t>Ref Seq</t>
  </si>
  <si>
    <t>GenBank</t>
  </si>
  <si>
    <t>Genome Size</t>
  </si>
  <si>
    <t>2.2 Mb</t>
  </si>
  <si>
    <t>Total ungapped length</t>
  </si>
  <si>
    <t>Number of chromosomes</t>
  </si>
  <si>
    <t>Number of scaffolds</t>
  </si>
  <si>
    <t>Scaffold N50</t>
  </si>
  <si>
    <t>Number of contigs</t>
  </si>
  <si>
    <t>Contig N50</t>
  </si>
  <si>
    <t>Contig L50</t>
  </si>
  <si>
    <t>GC percent</t>
  </si>
  <si>
    <t>Assembly level</t>
  </si>
  <si>
    <t>Complete Genome</t>
  </si>
  <si>
    <t xml:space="preserve">Genes </t>
  </si>
  <si>
    <t xml:space="preserve">Protein-coding </t>
  </si>
  <si>
    <t xml:space="preserve">Chromosome </t>
  </si>
  <si>
    <t>CheckM analysis</t>
  </si>
  <si>
    <t>Completeness</t>
  </si>
  <si>
    <t>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</si>
</sst>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rgb="FF0070C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7E8B3"/>
        <bgColor indexed="64"/>
      </patternFill>
    </fill>
    <fill>
      <patternFill patternType="solid">
        <fgColor rgb="FFF4DF94"/>
        <bgColor indexed="64"/>
      </patternFill>
    </fill>
    <fill>
      <patternFill patternType="solid">
        <fgColor rgb="FFDCD0E6"/>
        <bgColor indexed="64"/>
      </patternFill>
    </fill>
    <fill>
      <patternFill patternType="solid">
        <fgColor rgb="FFC9E4E9"/>
        <bgColor indexed="64"/>
      </patternFill>
    </fill>
    <fill>
      <patternFill patternType="solid">
        <fgColor rgb="FF9BC2E9"/>
        <bgColor indexed="64"/>
      </patternFill>
    </fill>
    <fill>
      <patternFill patternType="solid">
        <fgColor rgb="FFF8C6B6"/>
        <bgColor indexed="64"/>
      </patternFill>
    </fill>
    <fill>
      <patternFill patternType="solid">
        <fgColor rgb="FFBFE0BA"/>
        <bgColor indexed="64"/>
      </patternFill>
    </fill>
    <fill>
      <patternFill patternType="solid">
        <fgColor rgb="FFD3C1D5"/>
        <bgColor indexed="64"/>
      </patternFill>
    </fill>
    <fill>
      <patternFill patternType="solid">
        <fgColor rgb="FFCFAE97"/>
        <bgColor indexed="64"/>
      </patternFill>
    </fill>
    <fill>
      <patternFill patternType="solid">
        <fgColor rgb="FFFFF1B7"/>
        <bgColor indexed="64"/>
      </patternFill>
    </fill>
    <fill>
      <patternFill patternType="solid">
        <fgColor rgb="FFCFE2F5"/>
        <bgColor indexed="64"/>
      </patternFill>
    </fill>
    <fill>
      <patternFill patternType="solid">
        <fgColor rgb="FFF9D0C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1">
    <xf numFmtId="0" fontId="0" fillId="0" borderId="0" xfId="0"/>
    <xf numFmtId="0" fontId="20" fillId="0" borderId="0" xfId="0" applyFont="1"/>
    <xf numFmtId="0" fontId="21" fillId="0" borderId="0" xfId="42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0" fillId="36" borderId="0" xfId="0" applyFont="1" applyFill="1"/>
    <xf numFmtId="0" fontId="20" fillId="42" borderId="0" xfId="0" applyFont="1" applyFill="1"/>
    <xf numFmtId="0" fontId="25" fillId="0" borderId="10" xfId="0" applyFont="1" applyBorder="1"/>
    <xf numFmtId="0" fontId="25" fillId="36" borderId="10" xfId="0" applyFont="1" applyFill="1" applyBorder="1"/>
    <xf numFmtId="0" fontId="25" fillId="42" borderId="10" xfId="0" applyFont="1" applyFill="1" applyBorder="1"/>
    <xf numFmtId="0" fontId="25" fillId="0" borderId="0" xfId="0" applyFont="1"/>
    <xf numFmtId="0" fontId="20" fillId="0" borderId="0" xfId="0" applyFont="1" applyAlignment="1">
      <alignment wrapText="1"/>
    </xf>
    <xf numFmtId="0" fontId="25" fillId="40" borderId="0" xfId="0" applyFont="1" applyFill="1"/>
    <xf numFmtId="0" fontId="26" fillId="0" borderId="0" xfId="42" applyFont="1" applyAlignment="1">
      <alignment horizontal="left" vertical="center"/>
    </xf>
    <xf numFmtId="0" fontId="20" fillId="33" borderId="0" xfId="0" applyFont="1" applyFill="1"/>
    <xf numFmtId="0" fontId="24" fillId="0" borderId="0" xfId="42" applyFont="1" applyAlignment="1">
      <alignment horizontal="left" vertical="center"/>
    </xf>
    <xf numFmtId="16" fontId="20" fillId="0" borderId="0" xfId="0" applyNumberFormat="1" applyFont="1"/>
    <xf numFmtId="0" fontId="25" fillId="34" borderId="10" xfId="0" applyFont="1" applyFill="1" applyBorder="1"/>
    <xf numFmtId="0" fontId="25" fillId="35" borderId="10" xfId="0" applyFont="1" applyFill="1" applyBorder="1"/>
    <xf numFmtId="0" fontId="25" fillId="37" borderId="10" xfId="0" applyFont="1" applyFill="1" applyBorder="1"/>
    <xf numFmtId="0" fontId="25" fillId="38" borderId="10" xfId="0" applyFont="1" applyFill="1" applyBorder="1" applyAlignment="1">
      <alignment horizontal="left" vertical="center" wrapText="1"/>
    </xf>
    <xf numFmtId="0" fontId="25" fillId="39" borderId="10" xfId="0" applyFont="1" applyFill="1" applyBorder="1" applyAlignment="1">
      <alignment wrapText="1"/>
    </xf>
    <xf numFmtId="0" fontId="25" fillId="40" borderId="10" xfId="42" applyFont="1" applyFill="1" applyBorder="1" applyAlignment="1"/>
    <xf numFmtId="0" fontId="25" fillId="41" borderId="10" xfId="0" applyFont="1" applyFill="1" applyBorder="1"/>
    <xf numFmtId="0" fontId="25" fillId="43" borderId="10" xfId="0" applyFont="1" applyFill="1" applyBorder="1"/>
    <xf numFmtId="0" fontId="20" fillId="34" borderId="0" xfId="0" applyFont="1" applyFill="1"/>
    <xf numFmtId="0" fontId="20" fillId="35" borderId="0" xfId="0" applyFont="1" applyFill="1"/>
    <xf numFmtId="0" fontId="20" fillId="37" borderId="0" xfId="0" applyFont="1" applyFill="1"/>
    <xf numFmtId="0" fontId="20" fillId="38" borderId="0" xfId="0" applyFont="1" applyFill="1"/>
    <xf numFmtId="0" fontId="20" fillId="39" borderId="0" xfId="0" applyFont="1" applyFill="1"/>
    <xf numFmtId="0" fontId="20" fillId="40" borderId="0" xfId="42" applyFont="1" applyFill="1" applyAlignment="1">
      <alignment horizontal="left" vertical="center"/>
    </xf>
    <xf numFmtId="0" fontId="20" fillId="41" borderId="0" xfId="0" applyFont="1" applyFill="1"/>
    <xf numFmtId="0" fontId="20" fillId="43" borderId="0" xfId="0" applyFont="1" applyFill="1"/>
    <xf numFmtId="0" fontId="26" fillId="40" borderId="0" xfId="42" applyFont="1" applyFill="1" applyAlignment="1">
      <alignment horizontal="left" vertical="center"/>
    </xf>
    <xf numFmtId="0" fontId="20" fillId="40" borderId="0" xfId="0" applyFont="1" applyFill="1"/>
    <xf numFmtId="0" fontId="20" fillId="40" borderId="0" xfId="0" applyFont="1" applyFill="1" applyAlignment="1">
      <alignment wrapText="1"/>
    </xf>
    <xf numFmtId="0" fontId="20" fillId="44" borderId="0" xfId="0" applyFont="1" applyFill="1"/>
    <xf numFmtId="0" fontId="20" fillId="45" borderId="0" xfId="0" applyFont="1" applyFill="1"/>
    <xf numFmtId="0" fontId="25" fillId="45" borderId="10" xfId="0" applyFont="1" applyFill="1" applyBorder="1"/>
    <xf numFmtId="0" fontId="25" fillId="44" borderId="10" xfId="0" applyFont="1" applyFill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42" applyFont="1"/>
    <xf numFmtId="0" fontId="29" fillId="0" borderId="0" xfId="0" applyFont="1" applyAlignment="1">
      <alignment vertical="center" wrapText="1"/>
    </xf>
    <xf numFmtId="0" fontId="27" fillId="0" borderId="0" xfId="42" applyFont="1"/>
    <xf numFmtId="3" fontId="27" fillId="0" borderId="0" xfId="0" applyNumberFormat="1" applyFont="1" applyAlignment="1">
      <alignment horizontal="center"/>
    </xf>
    <xf numFmtId="0" fontId="27" fillId="0" borderId="0" xfId="42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3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D0C3"/>
      <color rgb="FFCFE2F5"/>
      <color rgb="FF9BC2E9"/>
      <color rgb="FFF5AC95"/>
      <color rgb="FFBFE0BA"/>
      <color rgb="FFFFF1B7"/>
      <color rgb="FFFFEB9C"/>
      <color rgb="FFCFAE97"/>
      <color rgb="FFD3C1D5"/>
      <color rgb="FFCCB6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FR873482.1/" TargetMode="External"/><Relationship Id="rId2" Type="http://schemas.openxmlformats.org/officeDocument/2006/relationships/hyperlink" Target="https://www.ncbi.nlm.nih.gov/nuccore/NC_017595.1/" TargetMode="External"/><Relationship Id="rId1" Type="http://schemas.openxmlformats.org/officeDocument/2006/relationships/hyperlink" Target="https://www.ncbi.nlm.nih.gov/nuccore/FR873482.1/" TargetMode="External"/><Relationship Id="rId4" Type="http://schemas.openxmlformats.org/officeDocument/2006/relationships/hyperlink" Target="https://www.ncbi.nlm.nih.gov/nuccore/NC_017595.1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entry/ec:1.2.1.9" TargetMode="External"/><Relationship Id="rId299" Type="http://schemas.openxmlformats.org/officeDocument/2006/relationships/hyperlink" Target="https://www.genome.jp/entry/R06098" TargetMode="External"/><Relationship Id="rId21" Type="http://schemas.openxmlformats.org/officeDocument/2006/relationships/hyperlink" Target="https://www.genome.jp/entry/ec:1.1.1.1" TargetMode="External"/><Relationship Id="rId63" Type="http://schemas.openxmlformats.org/officeDocument/2006/relationships/hyperlink" Target="https://www.genome.jp/entry/R01158" TargetMode="External"/><Relationship Id="rId159" Type="http://schemas.openxmlformats.org/officeDocument/2006/relationships/hyperlink" Target="https://www.genome.jp/entry/R07234" TargetMode="External"/><Relationship Id="rId324" Type="http://schemas.openxmlformats.org/officeDocument/2006/relationships/hyperlink" Target="https://www.genome.jp/entry/C00354" TargetMode="External"/><Relationship Id="rId366" Type="http://schemas.openxmlformats.org/officeDocument/2006/relationships/hyperlink" Target="https://www.genome.jp/entry/C02504" TargetMode="External"/><Relationship Id="rId170" Type="http://schemas.openxmlformats.org/officeDocument/2006/relationships/hyperlink" Target="https://www.genome.jp/entry/R04326" TargetMode="External"/><Relationship Id="rId226" Type="http://schemas.openxmlformats.org/officeDocument/2006/relationships/hyperlink" Target="https://www.genome.jp/entry/R08245" TargetMode="External"/><Relationship Id="rId433" Type="http://schemas.openxmlformats.org/officeDocument/2006/relationships/hyperlink" Target="https://www.genome.jp/entry/R01819" TargetMode="External"/><Relationship Id="rId268" Type="http://schemas.openxmlformats.org/officeDocument/2006/relationships/hyperlink" Target="https://www.genome.jp/entry/C00008" TargetMode="External"/><Relationship Id="rId475" Type="http://schemas.openxmlformats.org/officeDocument/2006/relationships/hyperlink" Target="https://www.genome.jp/entry/ec:6.3.2.13" TargetMode="External"/><Relationship Id="rId32" Type="http://schemas.openxmlformats.org/officeDocument/2006/relationships/hyperlink" Target="https://www.genome.jp/entry/ec:1.1.1.1" TargetMode="External"/><Relationship Id="rId74" Type="http://schemas.openxmlformats.org/officeDocument/2006/relationships/hyperlink" Target="https://www.genome.jp/entry/R00268" TargetMode="External"/><Relationship Id="rId128" Type="http://schemas.openxmlformats.org/officeDocument/2006/relationships/hyperlink" Target="https://www.genome.jp/entry/R07765" TargetMode="External"/><Relationship Id="rId335" Type="http://schemas.openxmlformats.org/officeDocument/2006/relationships/hyperlink" Target="https://www.genome.jp/entry/C00640" TargetMode="External"/><Relationship Id="rId377" Type="http://schemas.openxmlformats.org/officeDocument/2006/relationships/hyperlink" Target="https://www.genome.jp/entry/C04895" TargetMode="External"/><Relationship Id="rId5" Type="http://schemas.openxmlformats.org/officeDocument/2006/relationships/hyperlink" Target="https://www.genome.jp/entry/R04805" TargetMode="External"/><Relationship Id="rId181" Type="http://schemas.openxmlformats.org/officeDocument/2006/relationships/hyperlink" Target="https://www.genome.jp/entry/R02569" TargetMode="External"/><Relationship Id="rId237" Type="http://schemas.openxmlformats.org/officeDocument/2006/relationships/hyperlink" Target="https://www.genome.jp/entry/R04859" TargetMode="External"/><Relationship Id="rId402" Type="http://schemas.openxmlformats.org/officeDocument/2006/relationships/hyperlink" Target="https://www.genome.jp/entry/C00199" TargetMode="External"/><Relationship Id="rId279" Type="http://schemas.openxmlformats.org/officeDocument/2006/relationships/hyperlink" Target="https://www.genome.jp/entry/R00289" TargetMode="External"/><Relationship Id="rId444" Type="http://schemas.openxmlformats.org/officeDocument/2006/relationships/hyperlink" Target="https://www.genome.jp/entry/C00668" TargetMode="External"/><Relationship Id="rId43" Type="http://schemas.openxmlformats.org/officeDocument/2006/relationships/hyperlink" Target="https://www.genome.jp/entry/R04953" TargetMode="External"/><Relationship Id="rId139" Type="http://schemas.openxmlformats.org/officeDocument/2006/relationships/hyperlink" Target="https://www.genome.jp/entry/ec:1.5.1.20" TargetMode="External"/><Relationship Id="rId290" Type="http://schemas.openxmlformats.org/officeDocument/2006/relationships/hyperlink" Target="https://www.genome.jp/entry/R01274" TargetMode="External"/><Relationship Id="rId304" Type="http://schemas.openxmlformats.org/officeDocument/2006/relationships/hyperlink" Target="https://www.genome.jp/entry/R06134" TargetMode="External"/><Relationship Id="rId346" Type="http://schemas.openxmlformats.org/officeDocument/2006/relationships/hyperlink" Target="https://www.genome.jp/entry/C05266" TargetMode="External"/><Relationship Id="rId388" Type="http://schemas.openxmlformats.org/officeDocument/2006/relationships/hyperlink" Target="https://www.genome.jp/entry/C00065" TargetMode="External"/><Relationship Id="rId85" Type="http://schemas.openxmlformats.org/officeDocument/2006/relationships/hyperlink" Target="https://www.genome.jp/entry/R04439" TargetMode="External"/><Relationship Id="rId150" Type="http://schemas.openxmlformats.org/officeDocument/2006/relationships/hyperlink" Target="https://www.genome.jp/entry/R07618" TargetMode="External"/><Relationship Id="rId192" Type="http://schemas.openxmlformats.org/officeDocument/2006/relationships/hyperlink" Target="https://www.genome.jp/entry/R07762" TargetMode="External"/><Relationship Id="rId206" Type="http://schemas.openxmlformats.org/officeDocument/2006/relationships/hyperlink" Target="https://www.genome.jp/entry/C00718" TargetMode="External"/><Relationship Id="rId413" Type="http://schemas.openxmlformats.org/officeDocument/2006/relationships/hyperlink" Target="https://www.genome.jp/entry/C00267" TargetMode="External"/><Relationship Id="rId248" Type="http://schemas.openxmlformats.org/officeDocument/2006/relationships/hyperlink" Target="https://www.genome.jp/entry/R08233" TargetMode="External"/><Relationship Id="rId455" Type="http://schemas.openxmlformats.org/officeDocument/2006/relationships/hyperlink" Target="https://www.genome.jp/entry/R03319" TargetMode="External"/><Relationship Id="rId12" Type="http://schemas.openxmlformats.org/officeDocument/2006/relationships/hyperlink" Target="https://www.genome.jp/entry/R08557" TargetMode="External"/><Relationship Id="rId108" Type="http://schemas.openxmlformats.org/officeDocument/2006/relationships/hyperlink" Target="https://www.genome.jp/entry/R02022" TargetMode="External"/><Relationship Id="rId315" Type="http://schemas.openxmlformats.org/officeDocument/2006/relationships/hyperlink" Target="https://www.genome.jp/entry/C00009" TargetMode="External"/><Relationship Id="rId357" Type="http://schemas.openxmlformats.org/officeDocument/2006/relationships/hyperlink" Target="https://www.genome.jp/entry/C14145" TargetMode="External"/><Relationship Id="rId54" Type="http://schemas.openxmlformats.org/officeDocument/2006/relationships/hyperlink" Target="https://www.genome.jp/entry/R12366" TargetMode="External"/><Relationship Id="rId96" Type="http://schemas.openxmlformats.org/officeDocument/2006/relationships/hyperlink" Target="https://www.genome.jp/entry/ec:1.15.1.1" TargetMode="External"/><Relationship Id="rId161" Type="http://schemas.openxmlformats.org/officeDocument/2006/relationships/hyperlink" Target="https://www.genome.jp/entry/ec:2.1.1.45" TargetMode="External"/><Relationship Id="rId217" Type="http://schemas.openxmlformats.org/officeDocument/2006/relationships/hyperlink" Target="https://www.genome.jp/entry/R02294" TargetMode="External"/><Relationship Id="rId399" Type="http://schemas.openxmlformats.org/officeDocument/2006/relationships/hyperlink" Target="https://www.genome.jp/entry/C00133" TargetMode="External"/><Relationship Id="rId259" Type="http://schemas.openxmlformats.org/officeDocument/2006/relationships/hyperlink" Target="https://www.genome.jp/entry/R00968" TargetMode="External"/><Relationship Id="rId424" Type="http://schemas.openxmlformats.org/officeDocument/2006/relationships/hyperlink" Target="https://www.genome.jp/entry/C04302" TargetMode="External"/><Relationship Id="rId466" Type="http://schemas.openxmlformats.org/officeDocument/2006/relationships/hyperlink" Target="https://www.genome.jp/entry/R01715" TargetMode="External"/><Relationship Id="rId23" Type="http://schemas.openxmlformats.org/officeDocument/2006/relationships/hyperlink" Target="https://www.genome.jp/entry/ec:1.1.1.1" TargetMode="External"/><Relationship Id="rId119" Type="http://schemas.openxmlformats.org/officeDocument/2006/relationships/hyperlink" Target="https://www.genome.jp/entry/R01699" TargetMode="External"/><Relationship Id="rId270" Type="http://schemas.openxmlformats.org/officeDocument/2006/relationships/hyperlink" Target="https://www.genome.jp/entry/R02326" TargetMode="External"/><Relationship Id="rId326" Type="http://schemas.openxmlformats.org/officeDocument/2006/relationships/hyperlink" Target="https://www.genome.jp/entry/C00447" TargetMode="External"/><Relationship Id="rId65" Type="http://schemas.openxmlformats.org/officeDocument/2006/relationships/hyperlink" Target="https://www.genome.jp/entry/ec:1.1.1.25" TargetMode="External"/><Relationship Id="rId130" Type="http://schemas.openxmlformats.org/officeDocument/2006/relationships/hyperlink" Target="https://www.genome.jp/entry/ec:1.3.98.1" TargetMode="External"/><Relationship Id="rId368" Type="http://schemas.openxmlformats.org/officeDocument/2006/relationships/hyperlink" Target="https://www.genome.jp/entry/C04411" TargetMode="External"/><Relationship Id="rId172" Type="http://schemas.openxmlformats.org/officeDocument/2006/relationships/hyperlink" Target="https://www.genome.jp/entry/R01398" TargetMode="External"/><Relationship Id="rId228" Type="http://schemas.openxmlformats.org/officeDocument/2006/relationships/hyperlink" Target="https://www.genome.jp/entry/R00966" TargetMode="External"/><Relationship Id="rId435" Type="http://schemas.openxmlformats.org/officeDocument/2006/relationships/hyperlink" Target="https://www.genome.jp/entry/C05345" TargetMode="External"/><Relationship Id="rId477" Type="http://schemas.openxmlformats.org/officeDocument/2006/relationships/hyperlink" Target="https://www.genome.jp/entry/ec:6.3.4.2" TargetMode="External"/><Relationship Id="rId281" Type="http://schemas.openxmlformats.org/officeDocument/2006/relationships/hyperlink" Target="https://www.genome.jp/entry/ec:2.7.8.7" TargetMode="External"/><Relationship Id="rId337" Type="http://schemas.openxmlformats.org/officeDocument/2006/relationships/hyperlink" Target="https://www.genome.jp/entry/C05668" TargetMode="External"/><Relationship Id="rId34" Type="http://schemas.openxmlformats.org/officeDocument/2006/relationships/hyperlink" Target="https://www.genome.jp/entry/ec:1.1.1.1" TargetMode="External"/><Relationship Id="rId76" Type="http://schemas.openxmlformats.org/officeDocument/2006/relationships/hyperlink" Target="https://www.genome.jp/entry/ec:1.1.1.42" TargetMode="External"/><Relationship Id="rId141" Type="http://schemas.openxmlformats.org/officeDocument/2006/relationships/hyperlink" Target="https://www.genome.jp/entry/ec:1.5.1.3" TargetMode="External"/><Relationship Id="rId379" Type="http://schemas.openxmlformats.org/officeDocument/2006/relationships/hyperlink" Target="https://www.genome.jp/entry/C01269" TargetMode="External"/><Relationship Id="rId7" Type="http://schemas.openxmlformats.org/officeDocument/2006/relationships/hyperlink" Target="https://www.genome.jp/entry/R05233" TargetMode="External"/><Relationship Id="rId183" Type="http://schemas.openxmlformats.org/officeDocument/2006/relationships/hyperlink" Target="https://www.genome.jp/entry/R04963" TargetMode="External"/><Relationship Id="rId239" Type="http://schemas.openxmlformats.org/officeDocument/2006/relationships/hyperlink" Target="https://www.genome.jp/entry/R00895" TargetMode="External"/><Relationship Id="rId390" Type="http://schemas.openxmlformats.org/officeDocument/2006/relationships/hyperlink" Target="https://www.genome.jp/entry/R01086" TargetMode="External"/><Relationship Id="rId404" Type="http://schemas.openxmlformats.org/officeDocument/2006/relationships/hyperlink" Target="https://www.genome.jp/entry/C11907" TargetMode="External"/><Relationship Id="rId446" Type="http://schemas.openxmlformats.org/officeDocument/2006/relationships/hyperlink" Target="https://www.genome.jp/entry/C00129" TargetMode="External"/><Relationship Id="rId250" Type="http://schemas.openxmlformats.org/officeDocument/2006/relationships/hyperlink" Target="https://www.genome.jp/entry/R02971" TargetMode="External"/><Relationship Id="rId292" Type="http://schemas.openxmlformats.org/officeDocument/2006/relationships/hyperlink" Target="https://www.genome.jp/entry/R01186" TargetMode="External"/><Relationship Id="rId306" Type="http://schemas.openxmlformats.org/officeDocument/2006/relationships/hyperlink" Target="https://www.genome.jp/entry/C01255" TargetMode="External"/><Relationship Id="rId45" Type="http://schemas.openxmlformats.org/officeDocument/2006/relationships/hyperlink" Target="https://www.genome.jp/entry/R07763" TargetMode="External"/><Relationship Id="rId87" Type="http://schemas.openxmlformats.org/officeDocument/2006/relationships/hyperlink" Target="https://www.genome.jp/entry/C14463" TargetMode="External"/><Relationship Id="rId110" Type="http://schemas.openxmlformats.org/officeDocument/2006/relationships/hyperlink" Target="https://www.genome.jp/entry/ec:1.2.1.10" TargetMode="External"/><Relationship Id="rId348" Type="http://schemas.openxmlformats.org/officeDocument/2006/relationships/hyperlink" Target="https://www.genome.jp/entry/C16329" TargetMode="External"/><Relationship Id="rId152" Type="http://schemas.openxmlformats.org/officeDocument/2006/relationships/hyperlink" Target="https://www.genome.jp/entry/R00094" TargetMode="External"/><Relationship Id="rId194" Type="http://schemas.openxmlformats.org/officeDocument/2006/relationships/hyperlink" Target="https://www.genome.jp/entry/R02760" TargetMode="External"/><Relationship Id="rId208" Type="http://schemas.openxmlformats.org/officeDocument/2006/relationships/hyperlink" Target="https://www.genome.jp/entry/G10545" TargetMode="External"/><Relationship Id="rId415" Type="http://schemas.openxmlformats.org/officeDocument/2006/relationships/hyperlink" Target="https://www.genome.jp/entry/C00124" TargetMode="External"/><Relationship Id="rId457" Type="http://schemas.openxmlformats.org/officeDocument/2006/relationships/hyperlink" Target="https://www.genome.jp/entry/C03735" TargetMode="External"/><Relationship Id="rId261" Type="http://schemas.openxmlformats.org/officeDocument/2006/relationships/hyperlink" Target="https://www.genome.jp/entry/R02412" TargetMode="External"/><Relationship Id="rId14" Type="http://schemas.openxmlformats.org/officeDocument/2006/relationships/hyperlink" Target="https://www.genome.jp/entry/R10783" TargetMode="External"/><Relationship Id="rId56" Type="http://schemas.openxmlformats.org/officeDocument/2006/relationships/hyperlink" Target="https://www.genome.jp/entry/R07149" TargetMode="External"/><Relationship Id="rId317" Type="http://schemas.openxmlformats.org/officeDocument/2006/relationships/hyperlink" Target="https://www.genome.jp/entry/ec:4.1.1.20" TargetMode="External"/><Relationship Id="rId359" Type="http://schemas.openxmlformats.org/officeDocument/2006/relationships/hyperlink" Target="https://www.genome.jp/entry/C04666" TargetMode="External"/><Relationship Id="rId98" Type="http://schemas.openxmlformats.org/officeDocument/2006/relationships/hyperlink" Target="https://www.genome.jp/entry/ec:1.17.1.8" TargetMode="External"/><Relationship Id="rId121" Type="http://schemas.openxmlformats.org/officeDocument/2006/relationships/hyperlink" Target="https://www.genome.jp/entry/R01728" TargetMode="External"/><Relationship Id="rId163" Type="http://schemas.openxmlformats.org/officeDocument/2006/relationships/hyperlink" Target="https://www.genome.jp/entry/ec:2.1.1.61" TargetMode="External"/><Relationship Id="rId219" Type="http://schemas.openxmlformats.org/officeDocument/2006/relationships/hyperlink" Target="https://www.genome.jp/entry/ec:2.4.2.2" TargetMode="External"/><Relationship Id="rId370" Type="http://schemas.openxmlformats.org/officeDocument/2006/relationships/hyperlink" Target="https://www.genome.jp/entry/C00842" TargetMode="External"/><Relationship Id="rId426" Type="http://schemas.openxmlformats.org/officeDocument/2006/relationships/hyperlink" Target="https://www.genome.jp/entry/C00117" TargetMode="External"/><Relationship Id="rId230" Type="http://schemas.openxmlformats.org/officeDocument/2006/relationships/hyperlink" Target="https://www.genome.jp/entry/R02003" TargetMode="External"/><Relationship Id="rId468" Type="http://schemas.openxmlformats.org/officeDocument/2006/relationships/hyperlink" Target="https://www.genome.jp/entry/C00254" TargetMode="External"/><Relationship Id="rId25" Type="http://schemas.openxmlformats.org/officeDocument/2006/relationships/hyperlink" Target="https://www.genome.jp/entry/ec:1.1.1.1" TargetMode="External"/><Relationship Id="rId67" Type="http://schemas.openxmlformats.org/officeDocument/2006/relationships/hyperlink" Target="https://www.genome.jp/entry/ec:1.1.1.27" TargetMode="External"/><Relationship Id="rId272" Type="http://schemas.openxmlformats.org/officeDocument/2006/relationships/hyperlink" Target="https://www.genome.jp/entry/ec:2.7.7.18" TargetMode="External"/><Relationship Id="rId328" Type="http://schemas.openxmlformats.org/officeDocument/2006/relationships/hyperlink" Target="https://www.genome.jp/entry/C04874" TargetMode="External"/><Relationship Id="rId132" Type="http://schemas.openxmlformats.org/officeDocument/2006/relationships/hyperlink" Target="https://www.genome.jp/entry/R00396" TargetMode="External"/><Relationship Id="rId174" Type="http://schemas.openxmlformats.org/officeDocument/2006/relationships/hyperlink" Target="https://www.genome.jp/entry/R01067" TargetMode="External"/><Relationship Id="rId381" Type="http://schemas.openxmlformats.org/officeDocument/2006/relationships/hyperlink" Target="https://www.genome.jp/entry/C00065" TargetMode="External"/><Relationship Id="rId241" Type="http://schemas.openxmlformats.org/officeDocument/2006/relationships/hyperlink" Target="https://www.genome.jp/entry/R02199" TargetMode="External"/><Relationship Id="rId437" Type="http://schemas.openxmlformats.org/officeDocument/2006/relationships/hyperlink" Target="https://www.genome.jp/entry/C05345" TargetMode="External"/><Relationship Id="rId36" Type="http://schemas.openxmlformats.org/officeDocument/2006/relationships/hyperlink" Target="https://www.genome.jp/entry/ec:1.1.1.100" TargetMode="External"/><Relationship Id="rId283" Type="http://schemas.openxmlformats.org/officeDocument/2006/relationships/hyperlink" Target="https://www.genome.jp/entry/R11528" TargetMode="External"/><Relationship Id="rId339" Type="http://schemas.openxmlformats.org/officeDocument/2006/relationships/hyperlink" Target="https://www.genome.jp/entry/C04405" TargetMode="External"/><Relationship Id="rId78" Type="http://schemas.openxmlformats.org/officeDocument/2006/relationships/hyperlink" Target="https://www.genome.jp/entry/R01034" TargetMode="External"/><Relationship Id="rId101" Type="http://schemas.openxmlformats.org/officeDocument/2006/relationships/hyperlink" Target="https://www.genome.jp/entry/R02019" TargetMode="External"/><Relationship Id="rId143" Type="http://schemas.openxmlformats.org/officeDocument/2006/relationships/hyperlink" Target="https://www.genome.jp/entry/R00939" TargetMode="External"/><Relationship Id="rId185" Type="http://schemas.openxmlformats.org/officeDocument/2006/relationships/hyperlink" Target="https://www.genome.jp/entry/ec:2.3.1.179" TargetMode="External"/><Relationship Id="rId350" Type="http://schemas.openxmlformats.org/officeDocument/2006/relationships/hyperlink" Target="https://www.genome.jp/entry/C16337" TargetMode="External"/><Relationship Id="rId406" Type="http://schemas.openxmlformats.org/officeDocument/2006/relationships/hyperlink" Target="https://www.genome.jp/entry/C00029" TargetMode="External"/><Relationship Id="rId9" Type="http://schemas.openxmlformats.org/officeDocument/2006/relationships/hyperlink" Target="https://www.genome.jp/entry/R06917" TargetMode="External"/><Relationship Id="rId210" Type="http://schemas.openxmlformats.org/officeDocument/2006/relationships/hyperlink" Target="https://www.genome.jp/entry/R06049" TargetMode="External"/><Relationship Id="rId392" Type="http://schemas.openxmlformats.org/officeDocument/2006/relationships/hyperlink" Target="https://www.genome.jp/entry/C03794" TargetMode="External"/><Relationship Id="rId448" Type="http://schemas.openxmlformats.org/officeDocument/2006/relationships/hyperlink" Target="https://www.genome.jp/entry/C06156" TargetMode="External"/><Relationship Id="rId252" Type="http://schemas.openxmlformats.org/officeDocument/2006/relationships/hyperlink" Target="https://www.genome.jp/entry/ec:2.7.1.35" TargetMode="External"/><Relationship Id="rId294" Type="http://schemas.openxmlformats.org/officeDocument/2006/relationships/hyperlink" Target="https://www.genome.jp/entry/R07297" TargetMode="External"/><Relationship Id="rId308" Type="http://schemas.openxmlformats.org/officeDocument/2006/relationships/hyperlink" Target="https://www.genome.jp/entry/C04734" TargetMode="External"/><Relationship Id="rId47" Type="http://schemas.openxmlformats.org/officeDocument/2006/relationships/hyperlink" Target="https://www.genome.jp/entry/R10120" TargetMode="External"/><Relationship Id="rId89" Type="http://schemas.openxmlformats.org/officeDocument/2006/relationships/hyperlink" Target="https://www.genome.jp/entry/C04181" TargetMode="External"/><Relationship Id="rId112" Type="http://schemas.openxmlformats.org/officeDocument/2006/relationships/hyperlink" Target="https://www.genome.jp/entry/ec:1.2.1.11" TargetMode="External"/><Relationship Id="rId154" Type="http://schemas.openxmlformats.org/officeDocument/2006/relationships/hyperlink" Target="https://www.genome.jp/entry/ec:2.1.1.10" TargetMode="External"/><Relationship Id="rId361" Type="http://schemas.openxmlformats.org/officeDocument/2006/relationships/hyperlink" Target="https://www.genome.jp/entry/C03506" TargetMode="External"/><Relationship Id="rId196" Type="http://schemas.openxmlformats.org/officeDocument/2006/relationships/hyperlink" Target="https://www.genome.jp/entry/R06251" TargetMode="External"/><Relationship Id="rId417" Type="http://schemas.openxmlformats.org/officeDocument/2006/relationships/hyperlink" Target="https://www.genome.jp/entry/C03798" TargetMode="External"/><Relationship Id="rId459" Type="http://schemas.openxmlformats.org/officeDocument/2006/relationships/hyperlink" Target="https://www.genome.jp/entry/C00620" TargetMode="External"/><Relationship Id="rId16" Type="http://schemas.openxmlformats.org/officeDocument/2006/relationships/hyperlink" Target="https://www.genome.jp/entry/R08310" TargetMode="External"/><Relationship Id="rId221" Type="http://schemas.openxmlformats.org/officeDocument/2006/relationships/hyperlink" Target="https://www.genome.jp/entry/R01229" TargetMode="External"/><Relationship Id="rId263" Type="http://schemas.openxmlformats.org/officeDocument/2006/relationships/hyperlink" Target="https://www.genome.jp/entry/ec:2.7.2.1" TargetMode="External"/><Relationship Id="rId319" Type="http://schemas.openxmlformats.org/officeDocument/2006/relationships/hyperlink" Target="https://www.genome.jp/entry/C04751" TargetMode="External"/><Relationship Id="rId470" Type="http://schemas.openxmlformats.org/officeDocument/2006/relationships/hyperlink" Target="https://www.genome.jp/entry/C03733" TargetMode="External"/><Relationship Id="rId58" Type="http://schemas.openxmlformats.org/officeDocument/2006/relationships/hyperlink" Target="https://www.genome.jp/entry/R12404" TargetMode="External"/><Relationship Id="rId123" Type="http://schemas.openxmlformats.org/officeDocument/2006/relationships/hyperlink" Target="https://www.genome.jp/entry/R04724" TargetMode="External"/><Relationship Id="rId330" Type="http://schemas.openxmlformats.org/officeDocument/2006/relationships/hyperlink" Target="https://www.genome.jp/entry/C01353" TargetMode="External"/><Relationship Id="rId165" Type="http://schemas.openxmlformats.org/officeDocument/2006/relationships/hyperlink" Target="https://www.genome.jp/entry/ec:2.1.1.63" TargetMode="External"/><Relationship Id="rId372" Type="http://schemas.openxmlformats.org/officeDocument/2006/relationships/hyperlink" Target="https://www.genome.jp/entry/C00826" TargetMode="External"/><Relationship Id="rId428" Type="http://schemas.openxmlformats.org/officeDocument/2006/relationships/hyperlink" Target="https://www.genome.jp/entry/R09030" TargetMode="External"/><Relationship Id="rId232" Type="http://schemas.openxmlformats.org/officeDocument/2006/relationships/hyperlink" Target="https://www.genome.jp/entry/ec:2.5.1.19" TargetMode="External"/><Relationship Id="rId274" Type="http://schemas.openxmlformats.org/officeDocument/2006/relationships/hyperlink" Target="https://www.genome.jp/entry/C00201" TargetMode="External"/><Relationship Id="rId27" Type="http://schemas.openxmlformats.org/officeDocument/2006/relationships/hyperlink" Target="https://www.genome.jp/entry/ec:1.1.1.1" TargetMode="External"/><Relationship Id="rId69" Type="http://schemas.openxmlformats.org/officeDocument/2006/relationships/hyperlink" Target="https://www.genome.jp/entry/ec:1.1.1.3" TargetMode="External"/><Relationship Id="rId134" Type="http://schemas.openxmlformats.org/officeDocument/2006/relationships/hyperlink" Target="https://www.genome.jp/entry/R00365" TargetMode="External"/><Relationship Id="rId80" Type="http://schemas.openxmlformats.org/officeDocument/2006/relationships/hyperlink" Target="https://www.genome.jp/entry/R04426" TargetMode="External"/><Relationship Id="rId176" Type="http://schemas.openxmlformats.org/officeDocument/2006/relationships/hyperlink" Target="https://www.genome.jp/entry/R06861" TargetMode="External"/><Relationship Id="rId341" Type="http://schemas.openxmlformats.org/officeDocument/2006/relationships/hyperlink" Target="https://www.genome.jp/entry/C05258" TargetMode="External"/><Relationship Id="rId383" Type="http://schemas.openxmlformats.org/officeDocument/2006/relationships/hyperlink" Target="https://www.genome.jp/entry/C20904" TargetMode="External"/><Relationship Id="rId439" Type="http://schemas.openxmlformats.org/officeDocument/2006/relationships/hyperlink" Target="https://www.genome.jp/entry/C00085" TargetMode="External"/><Relationship Id="rId201" Type="http://schemas.openxmlformats.org/officeDocument/2006/relationships/hyperlink" Target="https://www.genome.jp/entry/ec:2.3.3.13" TargetMode="External"/><Relationship Id="rId243" Type="http://schemas.openxmlformats.org/officeDocument/2006/relationships/hyperlink" Target="https://www.genome.jp/entry/ec:2.7.1.107" TargetMode="External"/><Relationship Id="rId285" Type="http://schemas.openxmlformats.org/officeDocument/2006/relationships/hyperlink" Target="https://www.genome.jp/entry/R08159" TargetMode="External"/><Relationship Id="rId450" Type="http://schemas.openxmlformats.org/officeDocument/2006/relationships/hyperlink" Target="https://www.genome.jp/entry/C00103" TargetMode="External"/><Relationship Id="rId38" Type="http://schemas.openxmlformats.org/officeDocument/2006/relationships/hyperlink" Target="https://www.genome.jp/entry/ec:1.1.1.100" TargetMode="External"/><Relationship Id="rId103" Type="http://schemas.openxmlformats.org/officeDocument/2006/relationships/hyperlink" Target="https://www.genome.jp/entry/R08364" TargetMode="External"/><Relationship Id="rId310" Type="http://schemas.openxmlformats.org/officeDocument/2006/relationships/hyperlink" Target="https://www.genome.jp/entry/C05922" TargetMode="External"/><Relationship Id="rId91" Type="http://schemas.openxmlformats.org/officeDocument/2006/relationships/hyperlink" Target="https://www.genome.jp/entry/ec:1.1.1.94" TargetMode="External"/><Relationship Id="rId145" Type="http://schemas.openxmlformats.org/officeDocument/2006/relationships/hyperlink" Target="https://www.genome.jp/entry/R02236" TargetMode="External"/><Relationship Id="rId187" Type="http://schemas.openxmlformats.org/officeDocument/2006/relationships/hyperlink" Target="https://www.genome.jp/entry/ec:2.3.1.39" TargetMode="External"/><Relationship Id="rId352" Type="http://schemas.openxmlformats.org/officeDocument/2006/relationships/hyperlink" Target="https://www.genome.jp/entry/C01086" TargetMode="External"/><Relationship Id="rId394" Type="http://schemas.openxmlformats.org/officeDocument/2006/relationships/hyperlink" Target="https://www.genome.jp/entry/R12851" TargetMode="External"/><Relationship Id="rId408" Type="http://schemas.openxmlformats.org/officeDocument/2006/relationships/hyperlink" Target="https://www.genome.jp/entry/C00043" TargetMode="External"/><Relationship Id="rId212" Type="http://schemas.openxmlformats.org/officeDocument/2006/relationships/hyperlink" Target="https://www.genome.jp/entry/R06172" TargetMode="External"/><Relationship Id="rId254" Type="http://schemas.openxmlformats.org/officeDocument/2006/relationships/hyperlink" Target="https://www.genome.jp/entry/ec:2.7.1.39" TargetMode="External"/><Relationship Id="rId49" Type="http://schemas.openxmlformats.org/officeDocument/2006/relationships/hyperlink" Target="https://www.genome.jp/entry/ec:1.1.1.133" TargetMode="External"/><Relationship Id="rId114" Type="http://schemas.openxmlformats.org/officeDocument/2006/relationships/hyperlink" Target="https://www.genome.jp/entry/R01061" TargetMode="External"/><Relationship Id="rId296" Type="http://schemas.openxmlformats.org/officeDocument/2006/relationships/hyperlink" Target="https://www.genome.jp/entry/ec:3.2.1.1" TargetMode="External"/><Relationship Id="rId461" Type="http://schemas.openxmlformats.org/officeDocument/2006/relationships/hyperlink" Target="https://www.genome.jp/entry/C00672" TargetMode="External"/><Relationship Id="rId60" Type="http://schemas.openxmlformats.org/officeDocument/2006/relationships/hyperlink" Target="https://www.genome.jp/entry/ec:1.1.1.205" TargetMode="External"/><Relationship Id="rId156" Type="http://schemas.openxmlformats.org/officeDocument/2006/relationships/hyperlink" Target="https://www.genome.jp/entry/C00073" TargetMode="External"/><Relationship Id="rId198" Type="http://schemas.openxmlformats.org/officeDocument/2006/relationships/hyperlink" Target="https://www.genome.jp/entry/ec:2.3.1.8" TargetMode="External"/><Relationship Id="rId321" Type="http://schemas.openxmlformats.org/officeDocument/2006/relationships/hyperlink" Target="https://www.genome.jp/entry/C04352" TargetMode="External"/><Relationship Id="rId363" Type="http://schemas.openxmlformats.org/officeDocument/2006/relationships/hyperlink" Target="https://www.genome.jp/entry/C00311" TargetMode="External"/><Relationship Id="rId419" Type="http://schemas.openxmlformats.org/officeDocument/2006/relationships/hyperlink" Target="https://www.genome.jp/entry/C00118" TargetMode="External"/><Relationship Id="rId223" Type="http://schemas.openxmlformats.org/officeDocument/2006/relationships/hyperlink" Target="https://www.genome.jp/entry/R04378" TargetMode="External"/><Relationship Id="rId430" Type="http://schemas.openxmlformats.org/officeDocument/2006/relationships/hyperlink" Target="https://www.genome.jp/entry/C18096" TargetMode="External"/><Relationship Id="rId18" Type="http://schemas.openxmlformats.org/officeDocument/2006/relationships/hyperlink" Target="https://www.genome.jp/entry/%20R07105" TargetMode="External"/><Relationship Id="rId265" Type="http://schemas.openxmlformats.org/officeDocument/2006/relationships/hyperlink" Target="https://www.genome.jp/entry/ec:2.7.2.3" TargetMode="External"/><Relationship Id="rId472" Type="http://schemas.openxmlformats.org/officeDocument/2006/relationships/hyperlink" Target="https://www.genome.jp/entry/C18094" TargetMode="External"/><Relationship Id="rId125" Type="http://schemas.openxmlformats.org/officeDocument/2006/relationships/hyperlink" Target="https://www.genome.jp/entry/R04961" TargetMode="External"/><Relationship Id="rId167" Type="http://schemas.openxmlformats.org/officeDocument/2006/relationships/hyperlink" Target="https://www.genome.jp/entry/ec:2.1.1.72" TargetMode="External"/><Relationship Id="rId332" Type="http://schemas.openxmlformats.org/officeDocument/2006/relationships/hyperlink" Target="https://www.genome.jp/entry/C00631" TargetMode="External"/><Relationship Id="rId374" Type="http://schemas.openxmlformats.org/officeDocument/2006/relationships/hyperlink" Target="https://www.genome.jp/entry/C04272" TargetMode="External"/><Relationship Id="rId71" Type="http://schemas.openxmlformats.org/officeDocument/2006/relationships/hyperlink" Target="https://www.genome.jp/entry/R01773" TargetMode="External"/><Relationship Id="rId234" Type="http://schemas.openxmlformats.org/officeDocument/2006/relationships/hyperlink" Target="https://www.genome.jp/entry/R03217" TargetMode="External"/><Relationship Id="rId2" Type="http://schemas.openxmlformats.org/officeDocument/2006/relationships/hyperlink" Target="https://www.genome.jp/entry/R00623" TargetMode="External"/><Relationship Id="rId29" Type="http://schemas.openxmlformats.org/officeDocument/2006/relationships/hyperlink" Target="https://www.genome.jp/entry/ec:1.1.1.1" TargetMode="External"/><Relationship Id="rId276" Type="http://schemas.openxmlformats.org/officeDocument/2006/relationships/hyperlink" Target="https://www.genome.jp/entry/C11039" TargetMode="External"/><Relationship Id="rId441" Type="http://schemas.openxmlformats.org/officeDocument/2006/relationships/hyperlink" Target="https://www.genome.jp/entry/C01172" TargetMode="External"/><Relationship Id="rId40" Type="http://schemas.openxmlformats.org/officeDocument/2006/relationships/hyperlink" Target="https://www.genome.jp/entry/R04536" TargetMode="External"/><Relationship Id="rId136" Type="http://schemas.openxmlformats.org/officeDocument/2006/relationships/hyperlink" Target="https://www.genome.jp/entry/R01251" TargetMode="External"/><Relationship Id="rId178" Type="http://schemas.openxmlformats.org/officeDocument/2006/relationships/hyperlink" Target="https://www.genome.jp/entry/C00022" TargetMode="External"/><Relationship Id="rId301" Type="http://schemas.openxmlformats.org/officeDocument/2006/relationships/hyperlink" Target="https://www.genome.jp/entry/R05133" TargetMode="External"/><Relationship Id="rId343" Type="http://schemas.openxmlformats.org/officeDocument/2006/relationships/hyperlink" Target="https://www.genome.jp/entry/C05260" TargetMode="External"/><Relationship Id="rId82" Type="http://schemas.openxmlformats.org/officeDocument/2006/relationships/hyperlink" Target="https://www.genome.jp/entry/R00994" TargetMode="External"/><Relationship Id="rId203" Type="http://schemas.openxmlformats.org/officeDocument/2006/relationships/hyperlink" Target="https://www.genome.jp/entry/R05140" TargetMode="External"/><Relationship Id="rId385" Type="http://schemas.openxmlformats.org/officeDocument/2006/relationships/hyperlink" Target="https://www.genome.jp/entry/C00188" TargetMode="External"/><Relationship Id="rId245" Type="http://schemas.openxmlformats.org/officeDocument/2006/relationships/hyperlink" Target="https://www.genome.jp/entry/R01843" TargetMode="External"/><Relationship Id="rId287" Type="http://schemas.openxmlformats.org/officeDocument/2006/relationships/hyperlink" Target="https://www.genome.jp/entry/ec:3.1.2.2" TargetMode="External"/><Relationship Id="rId410" Type="http://schemas.openxmlformats.org/officeDocument/2006/relationships/hyperlink" Target="https://www.genome.jp/entry/C00842" TargetMode="External"/><Relationship Id="rId452" Type="http://schemas.openxmlformats.org/officeDocument/2006/relationships/hyperlink" Target="https://www.genome.jp/entry/C00668" TargetMode="External"/><Relationship Id="rId105" Type="http://schemas.openxmlformats.org/officeDocument/2006/relationships/hyperlink" Target="https://www.genome.jp/entry/ec:1.17.4.1" TargetMode="External"/><Relationship Id="rId147" Type="http://schemas.openxmlformats.org/officeDocument/2006/relationships/hyperlink" Target="https://www.genome.jp/entry/ec:1.7.1.13" TargetMode="External"/><Relationship Id="rId312" Type="http://schemas.openxmlformats.org/officeDocument/2006/relationships/hyperlink" Target="https://www.genome.jp/entry/C05923" TargetMode="External"/><Relationship Id="rId354" Type="http://schemas.openxmlformats.org/officeDocument/2006/relationships/hyperlink" Target="https://www.genome.jp/entry/C05116" TargetMode="External"/><Relationship Id="rId51" Type="http://schemas.openxmlformats.org/officeDocument/2006/relationships/hyperlink" Target="https://www.genome.jp/entry/ec:1.1.1.14" TargetMode="External"/><Relationship Id="rId72" Type="http://schemas.openxmlformats.org/officeDocument/2006/relationships/hyperlink" Target="https://www.genome.jp/entry/R01775" TargetMode="External"/><Relationship Id="rId93" Type="http://schemas.openxmlformats.org/officeDocument/2006/relationships/hyperlink" Target="https://www.genome.jp/entry/R00844" TargetMode="External"/><Relationship Id="rId189" Type="http://schemas.openxmlformats.org/officeDocument/2006/relationships/hyperlink" Target="https://www.genome.jp/entry/R04355" TargetMode="External"/><Relationship Id="rId375" Type="http://schemas.openxmlformats.org/officeDocument/2006/relationships/hyperlink" Target="https://www.genome.jp/entry/C06007" TargetMode="External"/><Relationship Id="rId396" Type="http://schemas.openxmlformats.org/officeDocument/2006/relationships/hyperlink" Target="https://www.genome.jp/entry/C03539" TargetMode="External"/><Relationship Id="rId3" Type="http://schemas.openxmlformats.org/officeDocument/2006/relationships/hyperlink" Target="https://www.genome.jp/entry/R00754" TargetMode="External"/><Relationship Id="rId214" Type="http://schemas.openxmlformats.org/officeDocument/2006/relationships/hyperlink" Target="https://www.genome.jp/entry/G00275" TargetMode="External"/><Relationship Id="rId235" Type="http://schemas.openxmlformats.org/officeDocument/2006/relationships/hyperlink" Target="https://www.genome.jp/entry/R04945" TargetMode="External"/><Relationship Id="rId256" Type="http://schemas.openxmlformats.org/officeDocument/2006/relationships/hyperlink" Target="https://www.genome.jp/entry/R00572" TargetMode="External"/><Relationship Id="rId277" Type="http://schemas.openxmlformats.org/officeDocument/2006/relationships/hyperlink" Target="https://www.genome.jp/entry/C21031" TargetMode="External"/><Relationship Id="rId298" Type="http://schemas.openxmlformats.org/officeDocument/2006/relationships/hyperlink" Target="https://www.genome.jp/entry/C00208" TargetMode="External"/><Relationship Id="rId400" Type="http://schemas.openxmlformats.org/officeDocument/2006/relationships/hyperlink" Target="https://www.genome.jp/entry/C00025" TargetMode="External"/><Relationship Id="rId421" Type="http://schemas.openxmlformats.org/officeDocument/2006/relationships/hyperlink" Target="https://www.genome.jp/entry/ec:5.3.1.16" TargetMode="External"/><Relationship Id="rId442" Type="http://schemas.openxmlformats.org/officeDocument/2006/relationships/hyperlink" Target="https://www.genome.jp/entry/C01172" TargetMode="External"/><Relationship Id="rId463" Type="http://schemas.openxmlformats.org/officeDocument/2006/relationships/hyperlink" Target="https://www.genome.jp/entry/C00868" TargetMode="External"/><Relationship Id="rId116" Type="http://schemas.openxmlformats.org/officeDocument/2006/relationships/hyperlink" Target="https://www.genome.jp/entry/R03313" TargetMode="External"/><Relationship Id="rId137" Type="http://schemas.openxmlformats.org/officeDocument/2006/relationships/hyperlink" Target="https://www.genome.jp/entry/R03291" TargetMode="External"/><Relationship Id="rId158" Type="http://schemas.openxmlformats.org/officeDocument/2006/relationships/hyperlink" Target="https://www.genome.jp/entry/R01942" TargetMode="External"/><Relationship Id="rId302" Type="http://schemas.openxmlformats.org/officeDocument/2006/relationships/hyperlink" Target="https://www.genome.jp/entry/R00899" TargetMode="External"/><Relationship Id="rId323" Type="http://schemas.openxmlformats.org/officeDocument/2006/relationships/hyperlink" Target="https://www.genome.jp/entry/C06010" TargetMode="External"/><Relationship Id="rId344" Type="http://schemas.openxmlformats.org/officeDocument/2006/relationships/hyperlink" Target="https://www.genome.jp/entry/C05264" TargetMode="External"/><Relationship Id="rId20" Type="http://schemas.openxmlformats.org/officeDocument/2006/relationships/hyperlink" Target="https://www.genome.jp/entry/ec:1.1.1.1" TargetMode="External"/><Relationship Id="rId41" Type="http://schemas.openxmlformats.org/officeDocument/2006/relationships/hyperlink" Target="https://www.genome.jp/entry/R04543" TargetMode="External"/><Relationship Id="rId62" Type="http://schemas.openxmlformats.org/officeDocument/2006/relationships/hyperlink" Target="https://www.genome.jp/entry/ec:1.1.1.23" TargetMode="External"/><Relationship Id="rId83" Type="http://schemas.openxmlformats.org/officeDocument/2006/relationships/hyperlink" Target="https://www.genome.jp/entry/ec:1.1.1.85" TargetMode="External"/><Relationship Id="rId179" Type="http://schemas.openxmlformats.org/officeDocument/2006/relationships/hyperlink" Target="https://www.genome.jp/entry/R00226" TargetMode="External"/><Relationship Id="rId365" Type="http://schemas.openxmlformats.org/officeDocument/2006/relationships/hyperlink" Target="https://www.genome.jp/entry/C00311" TargetMode="External"/><Relationship Id="rId386" Type="http://schemas.openxmlformats.org/officeDocument/2006/relationships/hyperlink" Target="https://www.genome.jp/entry/C17234" TargetMode="External"/><Relationship Id="rId190" Type="http://schemas.openxmlformats.org/officeDocument/2006/relationships/hyperlink" Target="https://www.genome.jp/entry/R04957" TargetMode="External"/><Relationship Id="rId204" Type="http://schemas.openxmlformats.org/officeDocument/2006/relationships/hyperlink" Target="https://www.genome.jp/entry/R06079" TargetMode="External"/><Relationship Id="rId225" Type="http://schemas.openxmlformats.org/officeDocument/2006/relationships/hyperlink" Target="https://www.genome.jp/entry/R08237" TargetMode="External"/><Relationship Id="rId246" Type="http://schemas.openxmlformats.org/officeDocument/2006/relationships/hyperlink" Target="https://www.genome.jp/entry/R03239" TargetMode="External"/><Relationship Id="rId267" Type="http://schemas.openxmlformats.org/officeDocument/2006/relationships/hyperlink" Target="https://www.genome.jp/entry/R00127" TargetMode="External"/><Relationship Id="rId288" Type="http://schemas.openxmlformats.org/officeDocument/2006/relationships/hyperlink" Target="https://www.genome.jp/entry/ec:3.1.2.2" TargetMode="External"/><Relationship Id="rId411" Type="http://schemas.openxmlformats.org/officeDocument/2006/relationships/hyperlink" Target="https://www.genome.jp/entry/C02097" TargetMode="External"/><Relationship Id="rId432" Type="http://schemas.openxmlformats.org/officeDocument/2006/relationships/hyperlink" Target="https://www.genome.jp/entry/C00085" TargetMode="External"/><Relationship Id="rId453" Type="http://schemas.openxmlformats.org/officeDocument/2006/relationships/hyperlink" Target="https://www.genome.jp/entry/C00620" TargetMode="External"/><Relationship Id="rId474" Type="http://schemas.openxmlformats.org/officeDocument/2006/relationships/hyperlink" Target="https://www.genome.jp/entry/ec:6.3.1.1" TargetMode="External"/><Relationship Id="rId106" Type="http://schemas.openxmlformats.org/officeDocument/2006/relationships/hyperlink" Target="https://www.genome.jp/entry/ec:1.17.4.1" TargetMode="External"/><Relationship Id="rId127" Type="http://schemas.openxmlformats.org/officeDocument/2006/relationships/hyperlink" Target="https://www.genome.jp/entry/R04969" TargetMode="External"/><Relationship Id="rId313" Type="http://schemas.openxmlformats.org/officeDocument/2006/relationships/hyperlink" Target="https://www.genome.jp/entry/C06148" TargetMode="External"/><Relationship Id="rId10" Type="http://schemas.openxmlformats.org/officeDocument/2006/relationships/hyperlink" Target="https://www.genome.jp/entry/%20R06927" TargetMode="External"/><Relationship Id="rId31" Type="http://schemas.openxmlformats.org/officeDocument/2006/relationships/hyperlink" Target="https://www.genome.jp/entry/ec:1.1.1.1" TargetMode="External"/><Relationship Id="rId52" Type="http://schemas.openxmlformats.org/officeDocument/2006/relationships/hyperlink" Target="https://www.genome.jp/entry/R07145" TargetMode="External"/><Relationship Id="rId73" Type="http://schemas.openxmlformats.org/officeDocument/2006/relationships/hyperlink" Target="https://www.genome.jp/entry/R00267" TargetMode="External"/><Relationship Id="rId94" Type="http://schemas.openxmlformats.org/officeDocument/2006/relationships/hyperlink" Target="https://www.genome.jp/entry/R01513" TargetMode="External"/><Relationship Id="rId148" Type="http://schemas.openxmlformats.org/officeDocument/2006/relationships/hyperlink" Target="https://www.genome.jp/entry/R07605" TargetMode="External"/><Relationship Id="rId169" Type="http://schemas.openxmlformats.org/officeDocument/2006/relationships/hyperlink" Target="https://www.genome.jp/entry/R04325" TargetMode="External"/><Relationship Id="rId334" Type="http://schemas.openxmlformats.org/officeDocument/2006/relationships/hyperlink" Target="https://www.genome.jp/entry/R02685" TargetMode="External"/><Relationship Id="rId355" Type="http://schemas.openxmlformats.org/officeDocument/2006/relationships/hyperlink" Target="https://www.genome.jp/entry/C11947" TargetMode="External"/><Relationship Id="rId376" Type="http://schemas.openxmlformats.org/officeDocument/2006/relationships/hyperlink" Target="https://www.genome.jp/entry/R01466" TargetMode="External"/><Relationship Id="rId397" Type="http://schemas.openxmlformats.org/officeDocument/2006/relationships/hyperlink" Target="https://www.genome.jp/entry/C03451" TargetMode="External"/><Relationship Id="rId4" Type="http://schemas.openxmlformats.org/officeDocument/2006/relationships/hyperlink" Target="https://www.genome.jp/entry/R02878" TargetMode="External"/><Relationship Id="rId180" Type="http://schemas.openxmlformats.org/officeDocument/2006/relationships/hyperlink" Target="https://www.genome.jp/entry/ec:2.3.1.12" TargetMode="External"/><Relationship Id="rId215" Type="http://schemas.openxmlformats.org/officeDocument/2006/relationships/hyperlink" Target="https://www.genome.jp/entry/R06066" TargetMode="External"/><Relationship Id="rId236" Type="http://schemas.openxmlformats.org/officeDocument/2006/relationships/hyperlink" Target="https://www.genome.jp/entry/R04946" TargetMode="External"/><Relationship Id="rId257" Type="http://schemas.openxmlformats.org/officeDocument/2006/relationships/hyperlink" Target="https://www.genome.jp/entry/R01858" TargetMode="External"/><Relationship Id="rId278" Type="http://schemas.openxmlformats.org/officeDocument/2006/relationships/hyperlink" Target="https://www.genome.jp/entry/ec:2.7.7.9" TargetMode="External"/><Relationship Id="rId401" Type="http://schemas.openxmlformats.org/officeDocument/2006/relationships/hyperlink" Target="https://www.genome.jp/entry/C00217" TargetMode="External"/><Relationship Id="rId422" Type="http://schemas.openxmlformats.org/officeDocument/2006/relationships/hyperlink" Target="https://www.genome.jp/entry/C04896" TargetMode="External"/><Relationship Id="rId443" Type="http://schemas.openxmlformats.org/officeDocument/2006/relationships/hyperlink" Target="https://www.genome.jp/entry/C05345" TargetMode="External"/><Relationship Id="rId464" Type="http://schemas.openxmlformats.org/officeDocument/2006/relationships/hyperlink" Target="https://www.genome.jp/entry/C02764" TargetMode="External"/><Relationship Id="rId303" Type="http://schemas.openxmlformats.org/officeDocument/2006/relationships/hyperlink" Target="https://www.genome.jp/entry/ec:3.5.1.19" TargetMode="External"/><Relationship Id="rId42" Type="http://schemas.openxmlformats.org/officeDocument/2006/relationships/hyperlink" Target="https://www.genome.jp/entry/R04566" TargetMode="External"/><Relationship Id="rId84" Type="http://schemas.openxmlformats.org/officeDocument/2006/relationships/hyperlink" Target="https://www.genome.jp/entry/ec:1.1.1.86" TargetMode="External"/><Relationship Id="rId138" Type="http://schemas.openxmlformats.org/officeDocument/2006/relationships/hyperlink" Target="https://www.genome.jp/entry/R03293" TargetMode="External"/><Relationship Id="rId345" Type="http://schemas.openxmlformats.org/officeDocument/2006/relationships/hyperlink" Target="https://www.genome.jp/entry/R04746" TargetMode="External"/><Relationship Id="rId387" Type="http://schemas.openxmlformats.org/officeDocument/2006/relationships/hyperlink" Target="https://www.genome.jp/entry/C20905" TargetMode="External"/><Relationship Id="rId191" Type="http://schemas.openxmlformats.org/officeDocument/2006/relationships/hyperlink" Target="https://www.genome.jp/entry/R04968" TargetMode="External"/><Relationship Id="rId205" Type="http://schemas.openxmlformats.org/officeDocument/2006/relationships/hyperlink" Target="https://www.genome.jp/entry/R06023" TargetMode="External"/><Relationship Id="rId247" Type="http://schemas.openxmlformats.org/officeDocument/2006/relationships/hyperlink" Target="https://www.genome.jp/entry/R01567" TargetMode="External"/><Relationship Id="rId412" Type="http://schemas.openxmlformats.org/officeDocument/2006/relationships/hyperlink" Target="https://www.genome.jp/entry/ec:5.1.3.3" TargetMode="External"/><Relationship Id="rId107" Type="http://schemas.openxmlformats.org/officeDocument/2006/relationships/hyperlink" Target="https://www.genome.jp/entry/R02014" TargetMode="External"/><Relationship Id="rId289" Type="http://schemas.openxmlformats.org/officeDocument/2006/relationships/hyperlink" Target="https://www.genome.jp/entry/ec:3.1.2.2" TargetMode="External"/><Relationship Id="rId454" Type="http://schemas.openxmlformats.org/officeDocument/2006/relationships/hyperlink" Target="https://www.genome.jp/entry/C00117" TargetMode="External"/><Relationship Id="rId11" Type="http://schemas.openxmlformats.org/officeDocument/2006/relationships/hyperlink" Target="https://www.genome.jp/entry/%20R08306" TargetMode="External"/><Relationship Id="rId53" Type="http://schemas.openxmlformats.org/officeDocument/2006/relationships/hyperlink" Target="https://www.genome.jp/entry/ec:1.1.1.170" TargetMode="External"/><Relationship Id="rId149" Type="http://schemas.openxmlformats.org/officeDocument/2006/relationships/hyperlink" Target="https://www.genome.jp/entry/R03815" TargetMode="External"/><Relationship Id="rId314" Type="http://schemas.openxmlformats.org/officeDocument/2006/relationships/hyperlink" Target="https://www.genome.jp/entry/C04896" TargetMode="External"/><Relationship Id="rId356" Type="http://schemas.openxmlformats.org/officeDocument/2006/relationships/hyperlink" Target="https://www.genome.jp/entry/C11947" TargetMode="External"/><Relationship Id="rId398" Type="http://schemas.openxmlformats.org/officeDocument/2006/relationships/hyperlink" Target="https://www.genome.jp/entry/C00041" TargetMode="External"/><Relationship Id="rId95" Type="http://schemas.openxmlformats.org/officeDocument/2006/relationships/hyperlink" Target="https://www.genome.jp/entry/R08198" TargetMode="External"/><Relationship Id="rId160" Type="http://schemas.openxmlformats.org/officeDocument/2006/relationships/hyperlink" Target="https://www.genome.jp/entry/ec:2.1.1.33" TargetMode="External"/><Relationship Id="rId216" Type="http://schemas.openxmlformats.org/officeDocument/2006/relationships/hyperlink" Target="https://www.genome.jp/entry/R01009" TargetMode="External"/><Relationship Id="rId423" Type="http://schemas.openxmlformats.org/officeDocument/2006/relationships/hyperlink" Target="https://www.genome.jp/entry/C04916" TargetMode="External"/><Relationship Id="rId258" Type="http://schemas.openxmlformats.org/officeDocument/2006/relationships/hyperlink" Target="https://www.genome.jp/entry/R00517" TargetMode="External"/><Relationship Id="rId465" Type="http://schemas.openxmlformats.org/officeDocument/2006/relationships/hyperlink" Target="https://www.genome.jp/entry/ec:5.4.99.5" TargetMode="External"/><Relationship Id="rId22" Type="http://schemas.openxmlformats.org/officeDocument/2006/relationships/hyperlink" Target="https://www.genome.jp/entry/ec:1.1.1.1" TargetMode="External"/><Relationship Id="rId64" Type="http://schemas.openxmlformats.org/officeDocument/2006/relationships/hyperlink" Target="https://www.genome.jp/entry/ec:1.1.1.25" TargetMode="External"/><Relationship Id="rId118" Type="http://schemas.openxmlformats.org/officeDocument/2006/relationships/hyperlink" Target="https://www.genome.jp/entry/ec:1.2.4.1" TargetMode="External"/><Relationship Id="rId325" Type="http://schemas.openxmlformats.org/officeDocument/2006/relationships/hyperlink" Target="https://www.genome.jp/entry/C05378" TargetMode="External"/><Relationship Id="rId367" Type="http://schemas.openxmlformats.org/officeDocument/2006/relationships/hyperlink" Target="https://www.genome.jp/entry/C04411" TargetMode="External"/><Relationship Id="rId171" Type="http://schemas.openxmlformats.org/officeDocument/2006/relationships/hyperlink" Target="https://www.genome.jp/entry/R01397" TargetMode="External"/><Relationship Id="rId227" Type="http://schemas.openxmlformats.org/officeDocument/2006/relationships/hyperlink" Target="https://www.genome.jp/entry/ec:2.4.2.9" TargetMode="External"/><Relationship Id="rId269" Type="http://schemas.openxmlformats.org/officeDocument/2006/relationships/hyperlink" Target="https://www.genome.jp/entry/R00331" TargetMode="External"/><Relationship Id="rId434" Type="http://schemas.openxmlformats.org/officeDocument/2006/relationships/hyperlink" Target="https://www.genome.jp/entry/C00275" TargetMode="External"/><Relationship Id="rId476" Type="http://schemas.openxmlformats.org/officeDocument/2006/relationships/hyperlink" Target="https://www.genome.jp/entry/R02783" TargetMode="External"/><Relationship Id="rId33" Type="http://schemas.openxmlformats.org/officeDocument/2006/relationships/hyperlink" Target="https://www.genome.jp/entry/ec:1.1.1.1" TargetMode="External"/><Relationship Id="rId129" Type="http://schemas.openxmlformats.org/officeDocument/2006/relationships/hyperlink" Target="https://www.genome.jp/entry/ec:1.3.1.9" TargetMode="External"/><Relationship Id="rId280" Type="http://schemas.openxmlformats.org/officeDocument/2006/relationships/hyperlink" Target="https://www.genome.jp/entry/R05629" TargetMode="External"/><Relationship Id="rId336" Type="http://schemas.openxmlformats.org/officeDocument/2006/relationships/hyperlink" Target="https://www.genome.jp/entry/C01144" TargetMode="External"/><Relationship Id="rId75" Type="http://schemas.openxmlformats.org/officeDocument/2006/relationships/hyperlink" Target="https://www.genome.jp/entry/C05379" TargetMode="External"/><Relationship Id="rId140" Type="http://schemas.openxmlformats.org/officeDocument/2006/relationships/hyperlink" Target="https://www.genome.jp/entry/R07168" TargetMode="External"/><Relationship Id="rId182" Type="http://schemas.openxmlformats.org/officeDocument/2006/relationships/hyperlink" Target="https://www.genome.jp/entry/R05332" TargetMode="External"/><Relationship Id="rId378" Type="http://schemas.openxmlformats.org/officeDocument/2006/relationships/hyperlink" Target="https://www.genome.jp/entry/C04691" TargetMode="External"/><Relationship Id="rId403" Type="http://schemas.openxmlformats.org/officeDocument/2006/relationships/hyperlink" Target="https://www.genome.jp/entry/C00231" TargetMode="External"/><Relationship Id="rId6" Type="http://schemas.openxmlformats.org/officeDocument/2006/relationships/hyperlink" Target="https://www.genome.jp/entry/R04880" TargetMode="External"/><Relationship Id="rId238" Type="http://schemas.openxmlformats.org/officeDocument/2006/relationships/hyperlink" Target="https://www.genome.jp/entry/R01122" TargetMode="External"/><Relationship Id="rId445" Type="http://schemas.openxmlformats.org/officeDocument/2006/relationships/hyperlink" Target="https://www.genome.jp/entry/C00085" TargetMode="External"/><Relationship Id="rId291" Type="http://schemas.openxmlformats.org/officeDocument/2006/relationships/hyperlink" Target="https://www.genome.jp/entry/R08183" TargetMode="External"/><Relationship Id="rId305" Type="http://schemas.openxmlformats.org/officeDocument/2006/relationships/hyperlink" Target="https://www.genome.jp/entry/R02059" TargetMode="External"/><Relationship Id="rId347" Type="http://schemas.openxmlformats.org/officeDocument/2006/relationships/hyperlink" Target="https://www.genome.jp/entry/C05268" TargetMode="External"/><Relationship Id="rId44" Type="http://schemas.openxmlformats.org/officeDocument/2006/relationships/hyperlink" Target="https://www.genome.jp/entry/R04964" TargetMode="External"/><Relationship Id="rId86" Type="http://schemas.openxmlformats.org/officeDocument/2006/relationships/hyperlink" Target="https://www.genome.jp/entry/R05068" TargetMode="External"/><Relationship Id="rId151" Type="http://schemas.openxmlformats.org/officeDocument/2006/relationships/hyperlink" Target="https://www.genome.jp/entry/ec:1.8.1.7" TargetMode="External"/><Relationship Id="rId389" Type="http://schemas.openxmlformats.org/officeDocument/2006/relationships/hyperlink" Target="https://www.genome.jp/entry/C05167" TargetMode="External"/><Relationship Id="rId193" Type="http://schemas.openxmlformats.org/officeDocument/2006/relationships/hyperlink" Target="https://www.genome.jp/entry/R10119" TargetMode="External"/><Relationship Id="rId207" Type="http://schemas.openxmlformats.org/officeDocument/2006/relationships/hyperlink" Target="https://www.genome.jp/entry/C00369" TargetMode="External"/><Relationship Id="rId249" Type="http://schemas.openxmlformats.org/officeDocument/2006/relationships/hyperlink" Target="https://www.genome.jp/entry/ec:2.7.1.24" TargetMode="External"/><Relationship Id="rId414" Type="http://schemas.openxmlformats.org/officeDocument/2006/relationships/hyperlink" Target="https://www.genome.jp/entry/C00221" TargetMode="External"/><Relationship Id="rId456" Type="http://schemas.openxmlformats.org/officeDocument/2006/relationships/hyperlink" Target="https://www.genome.jp/entry/C01171" TargetMode="External"/><Relationship Id="rId13" Type="http://schemas.openxmlformats.org/officeDocument/2006/relationships/hyperlink" Target="https://www.genome.jp/entry/R08558" TargetMode="External"/><Relationship Id="rId109" Type="http://schemas.openxmlformats.org/officeDocument/2006/relationships/hyperlink" Target="https://www.genome.jp/entry/ec:1.17.4.2" TargetMode="External"/><Relationship Id="rId260" Type="http://schemas.openxmlformats.org/officeDocument/2006/relationships/hyperlink" Target="https://www.genome.jp/entry/ec:2.7.1.6" TargetMode="External"/><Relationship Id="rId316" Type="http://schemas.openxmlformats.org/officeDocument/2006/relationships/hyperlink" Target="https://www.genome.jp/entry/R02100" TargetMode="External"/><Relationship Id="rId55" Type="http://schemas.openxmlformats.org/officeDocument/2006/relationships/hyperlink" Target="https://www.genome.jp/entry/R04483" TargetMode="External"/><Relationship Id="rId97" Type="http://schemas.openxmlformats.org/officeDocument/2006/relationships/hyperlink" Target="https://www.genome.jp/entry/R00275" TargetMode="External"/><Relationship Id="rId120" Type="http://schemas.openxmlformats.org/officeDocument/2006/relationships/hyperlink" Target="https://www.genome.jp/entry/ec:1.3.1.12" TargetMode="External"/><Relationship Id="rId358" Type="http://schemas.openxmlformats.org/officeDocument/2006/relationships/hyperlink" Target="https://www.genome.jp/entry/C16469" TargetMode="External"/><Relationship Id="rId162" Type="http://schemas.openxmlformats.org/officeDocument/2006/relationships/hyperlink" Target="https://www.genome.jp/entry/R02101" TargetMode="External"/><Relationship Id="rId218" Type="http://schemas.openxmlformats.org/officeDocument/2006/relationships/hyperlink" Target="https://www.genome.jp/entry/R01870" TargetMode="External"/><Relationship Id="rId425" Type="http://schemas.openxmlformats.org/officeDocument/2006/relationships/hyperlink" Target="https://www.genome.jp/entry/C01302" TargetMode="External"/><Relationship Id="rId467" Type="http://schemas.openxmlformats.org/officeDocument/2006/relationships/hyperlink" Target="https://www.genome.jp/entry/C00251" TargetMode="External"/><Relationship Id="rId271" Type="http://schemas.openxmlformats.org/officeDocument/2006/relationships/hyperlink" Target="https://www.genome.jp/entry/R12852" TargetMode="External"/><Relationship Id="rId24" Type="http://schemas.openxmlformats.org/officeDocument/2006/relationships/hyperlink" Target="https://www.genome.jp/entry/ec:1.1.1.1" TargetMode="External"/><Relationship Id="rId66" Type="http://schemas.openxmlformats.org/officeDocument/2006/relationships/hyperlink" Target="https://www.genome.jp/entry/R12885" TargetMode="External"/><Relationship Id="rId131" Type="http://schemas.openxmlformats.org/officeDocument/2006/relationships/hyperlink" Target="https://www.genome.jp/entry/R01867" TargetMode="External"/><Relationship Id="rId327" Type="http://schemas.openxmlformats.org/officeDocument/2006/relationships/hyperlink" Target="https://www.genome.jp/entry/C01094" TargetMode="External"/><Relationship Id="rId369" Type="http://schemas.openxmlformats.org/officeDocument/2006/relationships/hyperlink" Target="https://www.genome.jp/entry/C02504" TargetMode="External"/><Relationship Id="rId173" Type="http://schemas.openxmlformats.org/officeDocument/2006/relationships/hyperlink" Target="https://www.genome.jp/entry/R01641" TargetMode="External"/><Relationship Id="rId229" Type="http://schemas.openxmlformats.org/officeDocument/2006/relationships/hyperlink" Target="https://www.genome.jp/entry/ec:2.5.1.10" TargetMode="External"/><Relationship Id="rId380" Type="http://schemas.openxmlformats.org/officeDocument/2006/relationships/hyperlink" Target="https://www.genome.jp/entry/C00065" TargetMode="External"/><Relationship Id="rId436" Type="http://schemas.openxmlformats.org/officeDocument/2006/relationships/hyperlink" Target="https://www.genome.jp/entry/C00668" TargetMode="External"/><Relationship Id="rId240" Type="http://schemas.openxmlformats.org/officeDocument/2006/relationships/hyperlink" Target="https://www.genome.jp/entry/ec:2.6.1.11" TargetMode="External"/><Relationship Id="rId35" Type="http://schemas.openxmlformats.org/officeDocument/2006/relationships/hyperlink" Target="https://www.genome.jp/entry/R02124" TargetMode="External"/><Relationship Id="rId77" Type="http://schemas.openxmlformats.org/officeDocument/2006/relationships/hyperlink" Target="https://www.genome.jp/entry/ec:1.1.1.6" TargetMode="External"/><Relationship Id="rId100" Type="http://schemas.openxmlformats.org/officeDocument/2006/relationships/hyperlink" Target="https://www.genome.jp/entry/R04199" TargetMode="External"/><Relationship Id="rId282" Type="http://schemas.openxmlformats.org/officeDocument/2006/relationships/hyperlink" Target="https://www.genome.jp/entry/ec:2.8.1.6" TargetMode="External"/><Relationship Id="rId338" Type="http://schemas.openxmlformats.org/officeDocument/2006/relationships/hyperlink" Target="https://www.genome.jp/entry/C05262" TargetMode="External"/><Relationship Id="rId8" Type="http://schemas.openxmlformats.org/officeDocument/2006/relationships/hyperlink" Target="https://www.genome.jp/entry/R05234" TargetMode="External"/><Relationship Id="rId142" Type="http://schemas.openxmlformats.org/officeDocument/2006/relationships/hyperlink" Target="https://www.genome.jp/entry/ec:1.5.1.3" TargetMode="External"/><Relationship Id="rId184" Type="http://schemas.openxmlformats.org/officeDocument/2006/relationships/hyperlink" Target="https://www.genome.jp/entry/R04968" TargetMode="External"/><Relationship Id="rId391" Type="http://schemas.openxmlformats.org/officeDocument/2006/relationships/hyperlink" Target="https://www.genome.jp/entry/C03406" TargetMode="External"/><Relationship Id="rId405" Type="http://schemas.openxmlformats.org/officeDocument/2006/relationships/hyperlink" Target="https://www.genome.jp/entry/C00688" TargetMode="External"/><Relationship Id="rId447" Type="http://schemas.openxmlformats.org/officeDocument/2006/relationships/hyperlink" Target="https://www.genome.jp/entry/C00235" TargetMode="External"/><Relationship Id="rId251" Type="http://schemas.openxmlformats.org/officeDocument/2006/relationships/hyperlink" Target="https://www.genome.jp/entry/R04391" TargetMode="External"/><Relationship Id="rId46" Type="http://schemas.openxmlformats.org/officeDocument/2006/relationships/hyperlink" Target="https://www.genome.jp/entry/R10116" TargetMode="External"/><Relationship Id="rId293" Type="http://schemas.openxmlformats.org/officeDocument/2006/relationships/hyperlink" Target="https://www.genome.jp/entry/ec:3.1.3.48" TargetMode="External"/><Relationship Id="rId307" Type="http://schemas.openxmlformats.org/officeDocument/2006/relationships/hyperlink" Target="https://www.genome.jp/entry/C00438" TargetMode="External"/><Relationship Id="rId349" Type="http://schemas.openxmlformats.org/officeDocument/2006/relationships/hyperlink" Target="https://www.genome.jp/entry/C16333" TargetMode="External"/><Relationship Id="rId88" Type="http://schemas.openxmlformats.org/officeDocument/2006/relationships/hyperlink" Target="https://www.genome.jp/entry/C06010" TargetMode="External"/><Relationship Id="rId111" Type="http://schemas.openxmlformats.org/officeDocument/2006/relationships/hyperlink" Target="https://www.genome.jp/entry/R01172" TargetMode="External"/><Relationship Id="rId153" Type="http://schemas.openxmlformats.org/officeDocument/2006/relationships/hyperlink" Target="https://www.genome.jp/entry/ec:1.8.4.12" TargetMode="External"/><Relationship Id="rId195" Type="http://schemas.openxmlformats.org/officeDocument/2006/relationships/hyperlink" Target="https://www.genome.jp/entry/R06987" TargetMode="External"/><Relationship Id="rId209" Type="http://schemas.openxmlformats.org/officeDocument/2006/relationships/hyperlink" Target="https://www.genome.jp/entry/G10495" TargetMode="External"/><Relationship Id="rId360" Type="http://schemas.openxmlformats.org/officeDocument/2006/relationships/hyperlink" Target="https://www.genome.jp/entry/ec:4.2.1.20" TargetMode="External"/><Relationship Id="rId416" Type="http://schemas.openxmlformats.org/officeDocument/2006/relationships/hyperlink" Target="https://www.genome.jp/entry/C00984" TargetMode="External"/><Relationship Id="rId220" Type="http://schemas.openxmlformats.org/officeDocument/2006/relationships/hyperlink" Target="https://www.genome.jp/entry/R02142" TargetMode="External"/><Relationship Id="rId458" Type="http://schemas.openxmlformats.org/officeDocument/2006/relationships/hyperlink" Target="https://www.genome.jp/entry/R01057" TargetMode="External"/><Relationship Id="rId15" Type="http://schemas.openxmlformats.org/officeDocument/2006/relationships/hyperlink" Target="https://www.genome.jp/entry/R00624" TargetMode="External"/><Relationship Id="rId57" Type="http://schemas.openxmlformats.org/officeDocument/2006/relationships/hyperlink" Target="https://www.genome.jp/entry/R07494" TargetMode="External"/><Relationship Id="rId262" Type="http://schemas.openxmlformats.org/officeDocument/2006/relationships/hyperlink" Target="https://www.genome.jp/entry/R00162" TargetMode="External"/><Relationship Id="rId318" Type="http://schemas.openxmlformats.org/officeDocument/2006/relationships/hyperlink" Target="https://www.genome.jp/entry/C00680" TargetMode="External"/><Relationship Id="rId99" Type="http://schemas.openxmlformats.org/officeDocument/2006/relationships/hyperlink" Target="https://www.genome.jp/entry/R04198" TargetMode="External"/><Relationship Id="rId122" Type="http://schemas.openxmlformats.org/officeDocument/2006/relationships/hyperlink" Target="https://www.genome.jp/entry/R01403" TargetMode="External"/><Relationship Id="rId164" Type="http://schemas.openxmlformats.org/officeDocument/2006/relationships/hyperlink" Target="https://www.genome.jp/entry/R00601" TargetMode="External"/><Relationship Id="rId371" Type="http://schemas.openxmlformats.org/officeDocument/2006/relationships/hyperlink" Target="https://www.genome.jp/entry/C00254" TargetMode="External"/><Relationship Id="rId427" Type="http://schemas.openxmlformats.org/officeDocument/2006/relationships/hyperlink" Target="https://www.genome.jp/entry/C00199" TargetMode="External"/><Relationship Id="rId469" Type="http://schemas.openxmlformats.org/officeDocument/2006/relationships/hyperlink" Target="https://www.genome.jp/entry/C00052" TargetMode="External"/><Relationship Id="rId26" Type="http://schemas.openxmlformats.org/officeDocument/2006/relationships/hyperlink" Target="https://www.genome.jp/entry/ec:1.1.1.1" TargetMode="External"/><Relationship Id="rId231" Type="http://schemas.openxmlformats.org/officeDocument/2006/relationships/hyperlink" Target="https://www.genome.jp/entry/R03066" TargetMode="External"/><Relationship Id="rId273" Type="http://schemas.openxmlformats.org/officeDocument/2006/relationships/hyperlink" Target="https://www.genome.jp/entry/R03005" TargetMode="External"/><Relationship Id="rId329" Type="http://schemas.openxmlformats.org/officeDocument/2006/relationships/hyperlink" Target="https://www.genome.jp/entry/C00673" TargetMode="External"/><Relationship Id="rId68" Type="http://schemas.openxmlformats.org/officeDocument/2006/relationships/hyperlink" Target="https://www.genome.jp/entry/R00703" TargetMode="External"/><Relationship Id="rId133" Type="http://schemas.openxmlformats.org/officeDocument/2006/relationships/hyperlink" Target="https://www.genome.jp/entry/R00146" TargetMode="External"/><Relationship Id="rId175" Type="http://schemas.openxmlformats.org/officeDocument/2006/relationships/hyperlink" Target="https://www.genome.jp/entry/R01830" TargetMode="External"/><Relationship Id="rId340" Type="http://schemas.openxmlformats.org/officeDocument/2006/relationships/hyperlink" Target="https://www.genome.jp/entry/C06000" TargetMode="External"/><Relationship Id="rId200" Type="http://schemas.openxmlformats.org/officeDocument/2006/relationships/hyperlink" Target="https://www.genome.jp/entry/R00351" TargetMode="External"/><Relationship Id="rId382" Type="http://schemas.openxmlformats.org/officeDocument/2006/relationships/hyperlink" Target="https://www.genome.jp/entry/C02218" TargetMode="External"/><Relationship Id="rId438" Type="http://schemas.openxmlformats.org/officeDocument/2006/relationships/hyperlink" Target="https://www.genome.jp/entry/C00092" TargetMode="External"/><Relationship Id="rId242" Type="http://schemas.openxmlformats.org/officeDocument/2006/relationships/hyperlink" Target="https://www.genome.jp/entry/R05085" TargetMode="External"/><Relationship Id="rId284" Type="http://schemas.openxmlformats.org/officeDocument/2006/relationships/hyperlink" Target="https://www.genome.jp/entry/C00846" TargetMode="External"/><Relationship Id="rId37" Type="http://schemas.openxmlformats.org/officeDocument/2006/relationships/hyperlink" Target="https://www.genome.jp/entry/ec:1.1.1.100" TargetMode="External"/><Relationship Id="rId79" Type="http://schemas.openxmlformats.org/officeDocument/2006/relationships/hyperlink" Target="https://www.genome.jp/entry/C04236" TargetMode="External"/><Relationship Id="rId102" Type="http://schemas.openxmlformats.org/officeDocument/2006/relationships/hyperlink" Target="https://www.genome.jp/entry/R08363" TargetMode="External"/><Relationship Id="rId144" Type="http://schemas.openxmlformats.org/officeDocument/2006/relationships/hyperlink" Target="https://www.genome.jp/entry/R00937" TargetMode="External"/><Relationship Id="rId90" Type="http://schemas.openxmlformats.org/officeDocument/2006/relationships/hyperlink" Target="https://www.genome.jp/entry/C06006" TargetMode="External"/><Relationship Id="rId186" Type="http://schemas.openxmlformats.org/officeDocument/2006/relationships/hyperlink" Target="https://www.genome.jp/entry/ec:2.3.1.183" TargetMode="External"/><Relationship Id="rId351" Type="http://schemas.openxmlformats.org/officeDocument/2006/relationships/hyperlink" Target="https://www.genome.jp/entry/C00640" TargetMode="External"/><Relationship Id="rId393" Type="http://schemas.openxmlformats.org/officeDocument/2006/relationships/hyperlink" Target="https://www.genome.jp/entry/C04823" TargetMode="External"/><Relationship Id="rId407" Type="http://schemas.openxmlformats.org/officeDocument/2006/relationships/hyperlink" Target="https://www.genome.jp/entry/C00029" TargetMode="External"/><Relationship Id="rId449" Type="http://schemas.openxmlformats.org/officeDocument/2006/relationships/hyperlink" Target="https://www.genome.jp/entry/C00352" TargetMode="External"/><Relationship Id="rId211" Type="http://schemas.openxmlformats.org/officeDocument/2006/relationships/hyperlink" Target="https://www.genome.jp/entry/R05032" TargetMode="External"/><Relationship Id="rId253" Type="http://schemas.openxmlformats.org/officeDocument/2006/relationships/hyperlink" Target="https://www.genome.jp/entry/R01909" TargetMode="External"/><Relationship Id="rId295" Type="http://schemas.openxmlformats.org/officeDocument/2006/relationships/hyperlink" Target="https://www.genome.jp/entry/R00963" TargetMode="External"/><Relationship Id="rId309" Type="http://schemas.openxmlformats.org/officeDocument/2006/relationships/hyperlink" Target="https://www.genome.jp/entry/ec:3.5.4.16" TargetMode="External"/><Relationship Id="rId460" Type="http://schemas.openxmlformats.org/officeDocument/2006/relationships/hyperlink" Target="https://www.genome.jp/entry/C00117" TargetMode="External"/><Relationship Id="rId48" Type="http://schemas.openxmlformats.org/officeDocument/2006/relationships/hyperlink" Target="https://www.genome.jp/entry/R02777" TargetMode="External"/><Relationship Id="rId113" Type="http://schemas.openxmlformats.org/officeDocument/2006/relationships/hyperlink" Target="https://www.genome.jp/entry/R02291" TargetMode="External"/><Relationship Id="rId320" Type="http://schemas.openxmlformats.org/officeDocument/2006/relationships/hyperlink" Target="https://www.genome.jp/entry/C01103" TargetMode="External"/><Relationship Id="rId155" Type="http://schemas.openxmlformats.org/officeDocument/2006/relationships/hyperlink" Target="https://www.genome.jp/entry/R11063" TargetMode="External"/><Relationship Id="rId197" Type="http://schemas.openxmlformats.org/officeDocument/2006/relationships/hyperlink" Target="https://www.genome.jp/entry/ec:2.3.1.8" TargetMode="External"/><Relationship Id="rId362" Type="http://schemas.openxmlformats.org/officeDocument/2006/relationships/hyperlink" Target="https://www.genome.jp/entry/C00158" TargetMode="External"/><Relationship Id="rId418" Type="http://schemas.openxmlformats.org/officeDocument/2006/relationships/hyperlink" Target="https://www.genome.jp/entry/C03633" TargetMode="External"/><Relationship Id="rId222" Type="http://schemas.openxmlformats.org/officeDocument/2006/relationships/hyperlink" Target="https://www.genome.jp/entry/R00190" TargetMode="External"/><Relationship Id="rId264" Type="http://schemas.openxmlformats.org/officeDocument/2006/relationships/hyperlink" Target="https://www.genome.jp/entry/R00239" TargetMode="External"/><Relationship Id="rId471" Type="http://schemas.openxmlformats.org/officeDocument/2006/relationships/hyperlink" Target="https://www.genome.jp/entry/C00935" TargetMode="External"/><Relationship Id="rId17" Type="http://schemas.openxmlformats.org/officeDocument/2006/relationships/hyperlink" Target="https://www.genome.jp/entry/R02246" TargetMode="External"/><Relationship Id="rId59" Type="http://schemas.openxmlformats.org/officeDocument/2006/relationships/hyperlink" Target="https://www.genome.jp/entry/R04328" TargetMode="External"/><Relationship Id="rId124" Type="http://schemas.openxmlformats.org/officeDocument/2006/relationships/hyperlink" Target="https://www.genome.jp/entry/R04958" TargetMode="External"/><Relationship Id="rId70" Type="http://schemas.openxmlformats.org/officeDocument/2006/relationships/hyperlink" Target="https://www.genome.jp/entry/ec:1.1.1.3" TargetMode="External"/><Relationship Id="rId166" Type="http://schemas.openxmlformats.org/officeDocument/2006/relationships/hyperlink" Target="https://www.genome.jp/entry/R04314" TargetMode="External"/><Relationship Id="rId331" Type="http://schemas.openxmlformats.org/officeDocument/2006/relationships/hyperlink" Target="https://www.genome.jp/entry/C00944" TargetMode="External"/><Relationship Id="rId373" Type="http://schemas.openxmlformats.org/officeDocument/2006/relationships/hyperlink" Target="https://www.genome.jp/entry/C04039" TargetMode="External"/><Relationship Id="rId429" Type="http://schemas.openxmlformats.org/officeDocument/2006/relationships/hyperlink" Target="https://www.genome.jp/entry/C02962" TargetMode="External"/><Relationship Id="rId1" Type="http://schemas.openxmlformats.org/officeDocument/2006/relationships/hyperlink" Target="https://www.genome.jp/entry/R00623" TargetMode="External"/><Relationship Id="rId233" Type="http://schemas.openxmlformats.org/officeDocument/2006/relationships/hyperlink" Target="https://www.genome.jp/entry/ec:2.5.1.48" TargetMode="External"/><Relationship Id="rId440" Type="http://schemas.openxmlformats.org/officeDocument/2006/relationships/hyperlink" Target="https://www.genome.jp/entry/C00668" TargetMode="External"/><Relationship Id="rId28" Type="http://schemas.openxmlformats.org/officeDocument/2006/relationships/hyperlink" Target="https://www.genome.jp/entry/ec:1.1.1.1" TargetMode="External"/><Relationship Id="rId275" Type="http://schemas.openxmlformats.org/officeDocument/2006/relationships/hyperlink" Target="https://www.genome.jp/entry/ec:2.7.7.7" TargetMode="External"/><Relationship Id="rId300" Type="http://schemas.openxmlformats.org/officeDocument/2006/relationships/hyperlink" Target="https://www.genome.jp/entry/R00839" TargetMode="External"/><Relationship Id="rId81" Type="http://schemas.openxmlformats.org/officeDocument/2006/relationships/hyperlink" Target="https://www.genome.jp/entry/R10052" TargetMode="External"/><Relationship Id="rId135" Type="http://schemas.openxmlformats.org/officeDocument/2006/relationships/hyperlink" Target="https://www.genome.jp/entry/ec:1.3.1.98" TargetMode="External"/><Relationship Id="rId177" Type="http://schemas.openxmlformats.org/officeDocument/2006/relationships/hyperlink" Target="https://www.genome.jp/entry/R00006" TargetMode="External"/><Relationship Id="rId342" Type="http://schemas.openxmlformats.org/officeDocument/2006/relationships/hyperlink" Target="https://www.genome.jp/entry/C05260" TargetMode="External"/><Relationship Id="rId384" Type="http://schemas.openxmlformats.org/officeDocument/2006/relationships/hyperlink" Target="https://www.genome.jp/entry/C05167" TargetMode="External"/><Relationship Id="rId202" Type="http://schemas.openxmlformats.org/officeDocument/2006/relationships/hyperlink" Target="https://www.genome.jp/entry/R06185" TargetMode="External"/><Relationship Id="rId244" Type="http://schemas.openxmlformats.org/officeDocument/2006/relationships/hyperlink" Target="https://www.genome.jp/entry/R00756" TargetMode="External"/><Relationship Id="rId39" Type="http://schemas.openxmlformats.org/officeDocument/2006/relationships/hyperlink" Target="https://www.genome.jp/entry/R02767" TargetMode="External"/><Relationship Id="rId286" Type="http://schemas.openxmlformats.org/officeDocument/2006/relationships/hyperlink" Target="https://www.genome.jp/entry/R12329" TargetMode="External"/><Relationship Id="rId451" Type="http://schemas.openxmlformats.org/officeDocument/2006/relationships/hyperlink" Target="https://www.genome.jp/entry/C00092" TargetMode="External"/><Relationship Id="rId50" Type="http://schemas.openxmlformats.org/officeDocument/2006/relationships/hyperlink" Target="https://www.genome.jp/entry/ec:1.1.1.100" TargetMode="External"/><Relationship Id="rId104" Type="http://schemas.openxmlformats.org/officeDocument/2006/relationships/hyperlink" Target="https://www.genome.jp/entry/R11893" TargetMode="External"/><Relationship Id="rId146" Type="http://schemas.openxmlformats.org/officeDocument/2006/relationships/hyperlink" Target="https://www.genome.jp/entry/R11765" TargetMode="External"/><Relationship Id="rId188" Type="http://schemas.openxmlformats.org/officeDocument/2006/relationships/hyperlink" Target="https://www.genome.jp/entry/R02768" TargetMode="External"/><Relationship Id="rId311" Type="http://schemas.openxmlformats.org/officeDocument/2006/relationships/hyperlink" Target="https://www.genome.jp/entry/C06148" TargetMode="External"/><Relationship Id="rId353" Type="http://schemas.openxmlformats.org/officeDocument/2006/relationships/hyperlink" Target="https://www.genome.jp/entry/C05998" TargetMode="External"/><Relationship Id="rId395" Type="http://schemas.openxmlformats.org/officeDocument/2006/relationships/hyperlink" Target="https://www.genome.jp/entry/C22395" TargetMode="External"/><Relationship Id="rId409" Type="http://schemas.openxmlformats.org/officeDocument/2006/relationships/hyperlink" Target="https://www.genome.jp/entry/C00203" TargetMode="External"/><Relationship Id="rId92" Type="http://schemas.openxmlformats.org/officeDocument/2006/relationships/hyperlink" Target="https://www.genome.jp/entry/R00842" TargetMode="External"/><Relationship Id="rId213" Type="http://schemas.openxmlformats.org/officeDocument/2006/relationships/hyperlink" Target="https://www.genome.jp/entry/C00208" TargetMode="External"/><Relationship Id="rId420" Type="http://schemas.openxmlformats.org/officeDocument/2006/relationships/hyperlink" Target="https://www.genome.jp/entry/C00111" TargetMode="External"/><Relationship Id="rId255" Type="http://schemas.openxmlformats.org/officeDocument/2006/relationships/hyperlink" Target="https://www.genome.jp/entry/R00200" TargetMode="External"/><Relationship Id="rId297" Type="http://schemas.openxmlformats.org/officeDocument/2006/relationships/hyperlink" Target="https://www.genome.jp/entry/C00369" TargetMode="External"/><Relationship Id="rId462" Type="http://schemas.openxmlformats.org/officeDocument/2006/relationships/hyperlink" Target="https://www.genome.jp/entry/C00673" TargetMode="External"/><Relationship Id="rId115" Type="http://schemas.openxmlformats.org/officeDocument/2006/relationships/hyperlink" Target="https://www.genome.jp/entry/ec:1.2.1.38" TargetMode="External"/><Relationship Id="rId157" Type="http://schemas.openxmlformats.org/officeDocument/2006/relationships/hyperlink" Target="https://www.genome.jp/entry/R00650" TargetMode="External"/><Relationship Id="rId322" Type="http://schemas.openxmlformats.org/officeDocument/2006/relationships/hyperlink" Target="https://www.genome.jp/entry/C01302" TargetMode="External"/><Relationship Id="rId364" Type="http://schemas.openxmlformats.org/officeDocument/2006/relationships/hyperlink" Target="https://www.genome.jp/entry/C00158" TargetMode="External"/><Relationship Id="rId61" Type="http://schemas.openxmlformats.org/officeDocument/2006/relationships/hyperlink" Target="https://www.genome.jp/entry/R01130" TargetMode="External"/><Relationship Id="rId199" Type="http://schemas.openxmlformats.org/officeDocument/2006/relationships/hyperlink" Target="https://www.genome.jp/entry/ec:2.3.3.1" TargetMode="External"/><Relationship Id="rId19" Type="http://schemas.openxmlformats.org/officeDocument/2006/relationships/hyperlink" Target="https://www.genome.jp/entry/ec:1.1.1.1" TargetMode="External"/><Relationship Id="rId224" Type="http://schemas.openxmlformats.org/officeDocument/2006/relationships/hyperlink" Target="https://www.genome.jp/entry/R01229" TargetMode="External"/><Relationship Id="rId266" Type="http://schemas.openxmlformats.org/officeDocument/2006/relationships/hyperlink" Target="https://www.genome.jp/entry/ec:2.7.2.8" TargetMode="External"/><Relationship Id="rId431" Type="http://schemas.openxmlformats.org/officeDocument/2006/relationships/hyperlink" Target="https://www.genome.jp/entry/C00275" TargetMode="External"/><Relationship Id="rId473" Type="http://schemas.openxmlformats.org/officeDocument/2006/relationships/hyperlink" Target="https://www.genome.jp/entry/R12867" TargetMode="External"/><Relationship Id="rId30" Type="http://schemas.openxmlformats.org/officeDocument/2006/relationships/hyperlink" Target="https://www.genome.jp/entry/ec:1.1.1.1" TargetMode="External"/><Relationship Id="rId126" Type="http://schemas.openxmlformats.org/officeDocument/2006/relationships/hyperlink" Target="https://www.genome.jp/entry/R04966" TargetMode="External"/><Relationship Id="rId168" Type="http://schemas.openxmlformats.org/officeDocument/2006/relationships/hyperlink" Target="https://www.genome.jp/entry/R09099" TargetMode="External"/><Relationship Id="rId333" Type="http://schemas.openxmlformats.org/officeDocument/2006/relationships/hyperlink" Target="https://www.genome.jp/entry/C03356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nome.jp/entry/C05260" TargetMode="External"/><Relationship Id="rId21" Type="http://schemas.openxmlformats.org/officeDocument/2006/relationships/hyperlink" Target="https://www.genome.jp/entry/C01144" TargetMode="External"/><Relationship Id="rId42" Type="http://schemas.openxmlformats.org/officeDocument/2006/relationships/hyperlink" Target="https://www.genome.jp/entry/C02218" TargetMode="External"/><Relationship Id="rId47" Type="http://schemas.openxmlformats.org/officeDocument/2006/relationships/hyperlink" Target="https://www.genome.jp/entry/C03539" TargetMode="External"/><Relationship Id="rId63" Type="http://schemas.openxmlformats.org/officeDocument/2006/relationships/hyperlink" Target="https://www.genome.jp/entry/C00620" TargetMode="External"/><Relationship Id="rId68" Type="http://schemas.openxmlformats.org/officeDocument/2006/relationships/hyperlink" Target="https://www.genome.jp/entry/C04236" TargetMode="External"/><Relationship Id="rId84" Type="http://schemas.openxmlformats.org/officeDocument/2006/relationships/hyperlink" Target="https://www.genome.jp/entry/C03633" TargetMode="External"/><Relationship Id="rId89" Type="http://schemas.openxmlformats.org/officeDocument/2006/relationships/hyperlink" Target="https://www.genome.jp/entry/C03733" TargetMode="External"/><Relationship Id="rId16" Type="http://schemas.openxmlformats.org/officeDocument/2006/relationships/hyperlink" Target="https://www.genome.jp/entry/C01353" TargetMode="External"/><Relationship Id="rId11" Type="http://schemas.openxmlformats.org/officeDocument/2006/relationships/hyperlink" Target="https://www.genome.jp/entry/C05378" TargetMode="External"/><Relationship Id="rId32" Type="http://schemas.openxmlformats.org/officeDocument/2006/relationships/hyperlink" Target="https://www.genome.jp/entry/C16337" TargetMode="External"/><Relationship Id="rId37" Type="http://schemas.openxmlformats.org/officeDocument/2006/relationships/hyperlink" Target="https://www.genome.jp/entry/C00842" TargetMode="External"/><Relationship Id="rId53" Type="http://schemas.openxmlformats.org/officeDocument/2006/relationships/hyperlink" Target="https://www.genome.jp/entry/C00124" TargetMode="External"/><Relationship Id="rId58" Type="http://schemas.openxmlformats.org/officeDocument/2006/relationships/hyperlink" Target="https://www.genome.jp/entry/C00668" TargetMode="External"/><Relationship Id="rId74" Type="http://schemas.openxmlformats.org/officeDocument/2006/relationships/hyperlink" Target="https://www.genome.jp/entry/C06148" TargetMode="External"/><Relationship Id="rId79" Type="http://schemas.openxmlformats.org/officeDocument/2006/relationships/hyperlink" Target="https://www.genome.jp/entry/C14145" TargetMode="External"/><Relationship Id="rId5" Type="http://schemas.openxmlformats.org/officeDocument/2006/relationships/hyperlink" Target="https://www.genome.jp/entry/C05923" TargetMode="External"/><Relationship Id="rId90" Type="http://schemas.openxmlformats.org/officeDocument/2006/relationships/hyperlink" Target="https://www.genome.jp/entry/C18094" TargetMode="External"/><Relationship Id="rId14" Type="http://schemas.openxmlformats.org/officeDocument/2006/relationships/hyperlink" Target="https://www.genome.jp/entry/C04874" TargetMode="External"/><Relationship Id="rId22" Type="http://schemas.openxmlformats.org/officeDocument/2006/relationships/hyperlink" Target="https://www.genome.jp/entry/C05668" TargetMode="External"/><Relationship Id="rId27" Type="http://schemas.openxmlformats.org/officeDocument/2006/relationships/hyperlink" Target="https://www.genome.jp/entry/C05264" TargetMode="External"/><Relationship Id="rId30" Type="http://schemas.openxmlformats.org/officeDocument/2006/relationships/hyperlink" Target="https://www.genome.jp/entry/C16329" TargetMode="External"/><Relationship Id="rId35" Type="http://schemas.openxmlformats.org/officeDocument/2006/relationships/hyperlink" Target="https://www.genome.jp/entry/C04666" TargetMode="External"/><Relationship Id="rId43" Type="http://schemas.openxmlformats.org/officeDocument/2006/relationships/hyperlink" Target="https://www.genome.jp/entry/C17234" TargetMode="External"/><Relationship Id="rId48" Type="http://schemas.openxmlformats.org/officeDocument/2006/relationships/hyperlink" Target="https://www.genome.jp/entry/C03451" TargetMode="External"/><Relationship Id="rId56" Type="http://schemas.openxmlformats.org/officeDocument/2006/relationships/hyperlink" Target="https://www.genome.jp/entry/C02962" TargetMode="External"/><Relationship Id="rId64" Type="http://schemas.openxmlformats.org/officeDocument/2006/relationships/hyperlink" Target="https://www.genome.jp/entry/C01171" TargetMode="External"/><Relationship Id="rId69" Type="http://schemas.openxmlformats.org/officeDocument/2006/relationships/hyperlink" Target="https://www.genome.jp/entry/C21031" TargetMode="External"/><Relationship Id="rId77" Type="http://schemas.openxmlformats.org/officeDocument/2006/relationships/hyperlink" Target="https://www.genome.jp/entry/C05116" TargetMode="External"/><Relationship Id="rId8" Type="http://schemas.openxmlformats.org/officeDocument/2006/relationships/hyperlink" Target="https://www.genome.jp/entry/C04352" TargetMode="External"/><Relationship Id="rId51" Type="http://schemas.openxmlformats.org/officeDocument/2006/relationships/hyperlink" Target="https://www.genome.jp/entry/C00043" TargetMode="External"/><Relationship Id="rId72" Type="http://schemas.openxmlformats.org/officeDocument/2006/relationships/hyperlink" Target="https://www.genome.jp/entry/C00438" TargetMode="External"/><Relationship Id="rId80" Type="http://schemas.openxmlformats.org/officeDocument/2006/relationships/hyperlink" Target="https://www.genome.jp/entry/C16469" TargetMode="External"/><Relationship Id="rId85" Type="http://schemas.openxmlformats.org/officeDocument/2006/relationships/hyperlink" Target="https://www.genome.jp/entry/C04916" TargetMode="External"/><Relationship Id="rId3" Type="http://schemas.openxmlformats.org/officeDocument/2006/relationships/hyperlink" Target="https://www.genome.jp/entry/G10495" TargetMode="External"/><Relationship Id="rId12" Type="http://schemas.openxmlformats.org/officeDocument/2006/relationships/hyperlink" Target="https://www.genome.jp/entry/C00447" TargetMode="External"/><Relationship Id="rId17" Type="http://schemas.openxmlformats.org/officeDocument/2006/relationships/hyperlink" Target="https://www.genome.jp/entry/C00944" TargetMode="External"/><Relationship Id="rId25" Type="http://schemas.openxmlformats.org/officeDocument/2006/relationships/hyperlink" Target="https://www.genome.jp/entry/C05258" TargetMode="External"/><Relationship Id="rId33" Type="http://schemas.openxmlformats.org/officeDocument/2006/relationships/hyperlink" Target="https://www.genome.jp/entry/C01086" TargetMode="External"/><Relationship Id="rId38" Type="http://schemas.openxmlformats.org/officeDocument/2006/relationships/hyperlink" Target="https://www.genome.jp/entry/C00826" TargetMode="External"/><Relationship Id="rId46" Type="http://schemas.openxmlformats.org/officeDocument/2006/relationships/hyperlink" Target="https://www.genome.jp/entry/C22395" TargetMode="External"/><Relationship Id="rId59" Type="http://schemas.openxmlformats.org/officeDocument/2006/relationships/hyperlink" Target="https://www.genome.jp/entry/C00092" TargetMode="External"/><Relationship Id="rId67" Type="http://schemas.openxmlformats.org/officeDocument/2006/relationships/hyperlink" Target="https://www.genome.jp/entry/C00935" TargetMode="External"/><Relationship Id="rId20" Type="http://schemas.openxmlformats.org/officeDocument/2006/relationships/hyperlink" Target="https://www.genome.jp/entry/C00640" TargetMode="External"/><Relationship Id="rId41" Type="http://schemas.openxmlformats.org/officeDocument/2006/relationships/hyperlink" Target="https://www.genome.jp/entry/C01269" TargetMode="External"/><Relationship Id="rId54" Type="http://schemas.openxmlformats.org/officeDocument/2006/relationships/hyperlink" Target="https://www.genome.jp/entry/C03798" TargetMode="External"/><Relationship Id="rId62" Type="http://schemas.openxmlformats.org/officeDocument/2006/relationships/hyperlink" Target="https://www.genome.jp/entry/C06156" TargetMode="External"/><Relationship Id="rId70" Type="http://schemas.openxmlformats.org/officeDocument/2006/relationships/hyperlink" Target="https://www.genome.jp/entry/C00846" TargetMode="External"/><Relationship Id="rId75" Type="http://schemas.openxmlformats.org/officeDocument/2006/relationships/hyperlink" Target="https://www.genome.jp/entry/C06000" TargetMode="External"/><Relationship Id="rId83" Type="http://schemas.openxmlformats.org/officeDocument/2006/relationships/hyperlink" Target="https://www.genome.jp/entry/C02097" TargetMode="External"/><Relationship Id="rId88" Type="http://schemas.openxmlformats.org/officeDocument/2006/relationships/hyperlink" Target="https://www.genome.jp/entry/C02764" TargetMode="External"/><Relationship Id="rId91" Type="http://schemas.openxmlformats.org/officeDocument/2006/relationships/hyperlink" Target="https://www.genome.jp/entry/C06006" TargetMode="External"/><Relationship Id="rId1" Type="http://schemas.openxmlformats.org/officeDocument/2006/relationships/hyperlink" Target="https://www.genome.jp/entry/C05379" TargetMode="External"/><Relationship Id="rId6" Type="http://schemas.openxmlformats.org/officeDocument/2006/relationships/hyperlink" Target="https://www.genome.jp/entry/C00680" TargetMode="External"/><Relationship Id="rId15" Type="http://schemas.openxmlformats.org/officeDocument/2006/relationships/hyperlink" Target="https://www.genome.jp/entry/C00673" TargetMode="External"/><Relationship Id="rId23" Type="http://schemas.openxmlformats.org/officeDocument/2006/relationships/hyperlink" Target="https://www.genome.jp/entry/C05262" TargetMode="External"/><Relationship Id="rId28" Type="http://schemas.openxmlformats.org/officeDocument/2006/relationships/hyperlink" Target="https://www.genome.jp/entry/C05266" TargetMode="External"/><Relationship Id="rId36" Type="http://schemas.openxmlformats.org/officeDocument/2006/relationships/hyperlink" Target="https://www.genome.jp/entry/C03506" TargetMode="External"/><Relationship Id="rId49" Type="http://schemas.openxmlformats.org/officeDocument/2006/relationships/hyperlink" Target="https://www.genome.jp/entry/C00199" TargetMode="External"/><Relationship Id="rId57" Type="http://schemas.openxmlformats.org/officeDocument/2006/relationships/hyperlink" Target="https://www.genome.jp/entry/C00275" TargetMode="External"/><Relationship Id="rId10" Type="http://schemas.openxmlformats.org/officeDocument/2006/relationships/hyperlink" Target="https://www.genome.jp/entry/C00354" TargetMode="External"/><Relationship Id="rId31" Type="http://schemas.openxmlformats.org/officeDocument/2006/relationships/hyperlink" Target="https://www.genome.jp/entry/C16333" TargetMode="External"/><Relationship Id="rId44" Type="http://schemas.openxmlformats.org/officeDocument/2006/relationships/hyperlink" Target="https://www.genome.jp/entry/C03406" TargetMode="External"/><Relationship Id="rId52" Type="http://schemas.openxmlformats.org/officeDocument/2006/relationships/hyperlink" Target="https://www.genome.jp/entry/C00267" TargetMode="External"/><Relationship Id="rId60" Type="http://schemas.openxmlformats.org/officeDocument/2006/relationships/hyperlink" Target="https://www.genome.jp/entry/C01172" TargetMode="External"/><Relationship Id="rId65" Type="http://schemas.openxmlformats.org/officeDocument/2006/relationships/hyperlink" Target="https://www.genome.jp/entry/C00672" TargetMode="External"/><Relationship Id="rId73" Type="http://schemas.openxmlformats.org/officeDocument/2006/relationships/hyperlink" Target="https://www.genome.jp/entry/C04734" TargetMode="External"/><Relationship Id="rId78" Type="http://schemas.openxmlformats.org/officeDocument/2006/relationships/hyperlink" Target="https://www.genome.jp/entry/C11947" TargetMode="External"/><Relationship Id="rId81" Type="http://schemas.openxmlformats.org/officeDocument/2006/relationships/hyperlink" Target="https://www.genome.jp/entry/C00217" TargetMode="External"/><Relationship Id="rId86" Type="http://schemas.openxmlformats.org/officeDocument/2006/relationships/hyperlink" Target="https://www.genome.jp/entry/C18096" TargetMode="External"/><Relationship Id="rId4" Type="http://schemas.openxmlformats.org/officeDocument/2006/relationships/hyperlink" Target="https://www.genome.jp/entry/C11039" TargetMode="External"/><Relationship Id="rId9" Type="http://schemas.openxmlformats.org/officeDocument/2006/relationships/hyperlink" Target="https://www.genome.jp/entry/C01302" TargetMode="External"/><Relationship Id="rId13" Type="http://schemas.openxmlformats.org/officeDocument/2006/relationships/hyperlink" Target="https://www.genome.jp/entry/C01094" TargetMode="External"/><Relationship Id="rId18" Type="http://schemas.openxmlformats.org/officeDocument/2006/relationships/hyperlink" Target="https://www.genome.jp/entry/C00631" TargetMode="External"/><Relationship Id="rId39" Type="http://schemas.openxmlformats.org/officeDocument/2006/relationships/hyperlink" Target="https://www.genome.jp/entry/C04039" TargetMode="External"/><Relationship Id="rId34" Type="http://schemas.openxmlformats.org/officeDocument/2006/relationships/hyperlink" Target="https://www.genome.jp/entry/C05998" TargetMode="External"/><Relationship Id="rId50" Type="http://schemas.openxmlformats.org/officeDocument/2006/relationships/hyperlink" Target="https://www.genome.jp/entry/C11907" TargetMode="External"/><Relationship Id="rId55" Type="http://schemas.openxmlformats.org/officeDocument/2006/relationships/hyperlink" Target="https://www.genome.jp/entry/C04896" TargetMode="External"/><Relationship Id="rId76" Type="http://schemas.openxmlformats.org/officeDocument/2006/relationships/hyperlink" Target="https://www.genome.jp/entry/C05260" TargetMode="External"/><Relationship Id="rId7" Type="http://schemas.openxmlformats.org/officeDocument/2006/relationships/hyperlink" Target="https://www.genome.jp/entry/C04751" TargetMode="External"/><Relationship Id="rId71" Type="http://schemas.openxmlformats.org/officeDocument/2006/relationships/hyperlink" Target="https://www.genome.jp/entry/C01255" TargetMode="External"/><Relationship Id="rId2" Type="http://schemas.openxmlformats.org/officeDocument/2006/relationships/hyperlink" Target="https://www.genome.jp/entry/C06010" TargetMode="External"/><Relationship Id="rId29" Type="http://schemas.openxmlformats.org/officeDocument/2006/relationships/hyperlink" Target="https://www.genome.jp/entry/C05268" TargetMode="External"/><Relationship Id="rId24" Type="http://schemas.openxmlformats.org/officeDocument/2006/relationships/hyperlink" Target="https://www.genome.jp/entry/C04405" TargetMode="External"/><Relationship Id="rId40" Type="http://schemas.openxmlformats.org/officeDocument/2006/relationships/hyperlink" Target="https://www.genome.jp/entry/C04691" TargetMode="External"/><Relationship Id="rId45" Type="http://schemas.openxmlformats.org/officeDocument/2006/relationships/hyperlink" Target="https://www.genome.jp/entry/C04823" TargetMode="External"/><Relationship Id="rId66" Type="http://schemas.openxmlformats.org/officeDocument/2006/relationships/hyperlink" Target="https://www.genome.jp/entry/C00868" TargetMode="External"/><Relationship Id="rId87" Type="http://schemas.openxmlformats.org/officeDocument/2006/relationships/hyperlink" Target="https://www.genome.jp/entry/C03735" TargetMode="External"/><Relationship Id="rId61" Type="http://schemas.openxmlformats.org/officeDocument/2006/relationships/hyperlink" Target="https://www.genome.jp/entry/C00129" TargetMode="External"/><Relationship Id="rId82" Type="http://schemas.openxmlformats.org/officeDocument/2006/relationships/hyperlink" Target="https://www.genome.jp/entry/C00203" TargetMode="External"/><Relationship Id="rId19" Type="http://schemas.openxmlformats.org/officeDocument/2006/relationships/hyperlink" Target="https://www.genome.jp/entry/C0335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entry/C00846" TargetMode="External"/><Relationship Id="rId299" Type="http://schemas.openxmlformats.org/officeDocument/2006/relationships/hyperlink" Target="https://www.genome.jp/entry/C05260" TargetMode="External"/><Relationship Id="rId21" Type="http://schemas.openxmlformats.org/officeDocument/2006/relationships/hyperlink" Target="https://www.genome.jp/entry/C00673" TargetMode="External"/><Relationship Id="rId63" Type="http://schemas.openxmlformats.org/officeDocument/2006/relationships/hyperlink" Target="https://www.genome.jp/entry/C00188" TargetMode="External"/><Relationship Id="rId159" Type="http://schemas.openxmlformats.org/officeDocument/2006/relationships/hyperlink" Target="https://www.genome.jp/entry/C00085" TargetMode="External"/><Relationship Id="rId324" Type="http://schemas.openxmlformats.org/officeDocument/2006/relationships/hyperlink" Target="https://www.genome.jp/entry/C00085" TargetMode="External"/><Relationship Id="rId170" Type="http://schemas.openxmlformats.org/officeDocument/2006/relationships/hyperlink" Target="https://www.genome.jp/entry/C03733" TargetMode="External"/><Relationship Id="rId226" Type="http://schemas.openxmlformats.org/officeDocument/2006/relationships/hyperlink" Target="https://www.genome.jp/entry/C06007" TargetMode="External"/><Relationship Id="rId268" Type="http://schemas.openxmlformats.org/officeDocument/2006/relationships/hyperlink" Target="https://www.genome.jp/entry/C00103" TargetMode="External"/><Relationship Id="rId32" Type="http://schemas.openxmlformats.org/officeDocument/2006/relationships/hyperlink" Target="https://www.genome.jp/entry/C05260" TargetMode="External"/><Relationship Id="rId74" Type="http://schemas.openxmlformats.org/officeDocument/2006/relationships/hyperlink" Target="https://www.genome.jp/entry/C00025" TargetMode="External"/><Relationship Id="rId128" Type="http://schemas.openxmlformats.org/officeDocument/2006/relationships/hyperlink" Target="https://www.genome.jp/entry/C05260" TargetMode="External"/><Relationship Id="rId335" Type="http://schemas.openxmlformats.org/officeDocument/2006/relationships/hyperlink" Target="https://www.genome.jp/entry/C00117" TargetMode="External"/><Relationship Id="rId5" Type="http://schemas.openxmlformats.org/officeDocument/2006/relationships/hyperlink" Target="https://www.genome.jp/entry/G10495" TargetMode="External"/><Relationship Id="rId181" Type="http://schemas.openxmlformats.org/officeDocument/2006/relationships/hyperlink" Target="https://www.genome.jp/entry/C00680" TargetMode="External"/><Relationship Id="rId237" Type="http://schemas.openxmlformats.org/officeDocument/2006/relationships/hyperlink" Target="https://www.genome.jp/entry/C05167" TargetMode="External"/><Relationship Id="rId279" Type="http://schemas.openxmlformats.org/officeDocument/2006/relationships/hyperlink" Target="https://www.genome.jp/entry/C04181" TargetMode="External"/><Relationship Id="rId43" Type="http://schemas.openxmlformats.org/officeDocument/2006/relationships/hyperlink" Target="https://www.genome.jp/entry/C03506" TargetMode="External"/><Relationship Id="rId139" Type="http://schemas.openxmlformats.org/officeDocument/2006/relationships/hyperlink" Target="https://www.genome.jp/entry/C00217" TargetMode="External"/><Relationship Id="rId290" Type="http://schemas.openxmlformats.org/officeDocument/2006/relationships/hyperlink" Target="https://www.genome.jp/entry/C01255" TargetMode="External"/><Relationship Id="rId304" Type="http://schemas.openxmlformats.org/officeDocument/2006/relationships/hyperlink" Target="https://www.genome.jp/entry/C16469" TargetMode="External"/><Relationship Id="rId85" Type="http://schemas.openxmlformats.org/officeDocument/2006/relationships/hyperlink" Target="https://www.genome.jp/entry/C04302" TargetMode="External"/><Relationship Id="rId150" Type="http://schemas.openxmlformats.org/officeDocument/2006/relationships/hyperlink" Target="https://www.genome.jp/entry/C01302" TargetMode="External"/><Relationship Id="rId192" Type="http://schemas.openxmlformats.org/officeDocument/2006/relationships/hyperlink" Target="https://www.genome.jp/entry/C00673" TargetMode="External"/><Relationship Id="rId206" Type="http://schemas.openxmlformats.org/officeDocument/2006/relationships/hyperlink" Target="https://www.genome.jp/entry/C05268" TargetMode="External"/><Relationship Id="rId248" Type="http://schemas.openxmlformats.org/officeDocument/2006/relationships/hyperlink" Target="https://www.genome.jp/entry/C00029" TargetMode="External"/><Relationship Id="rId12" Type="http://schemas.openxmlformats.org/officeDocument/2006/relationships/hyperlink" Target="https://www.genome.jp/entry/C01103" TargetMode="External"/><Relationship Id="rId108" Type="http://schemas.openxmlformats.org/officeDocument/2006/relationships/hyperlink" Target="https://www.genome.jp/entry/C04181" TargetMode="External"/><Relationship Id="rId315" Type="http://schemas.openxmlformats.org/officeDocument/2006/relationships/hyperlink" Target="https://www.genome.jp/entry/C02097" TargetMode="External"/><Relationship Id="rId54" Type="http://schemas.openxmlformats.org/officeDocument/2006/relationships/hyperlink" Target="https://www.genome.jp/entry/C04272" TargetMode="External"/><Relationship Id="rId96" Type="http://schemas.openxmlformats.org/officeDocument/2006/relationships/hyperlink" Target="https://www.genome.jp/entry/C06156" TargetMode="External"/><Relationship Id="rId161" Type="http://schemas.openxmlformats.org/officeDocument/2006/relationships/hyperlink" Target="https://www.genome.jp/entry/C00352" TargetMode="External"/><Relationship Id="rId217" Type="http://schemas.openxmlformats.org/officeDocument/2006/relationships/hyperlink" Target="https://www.genome.jp/entry/C00311" TargetMode="External"/><Relationship Id="rId259" Type="http://schemas.openxmlformats.org/officeDocument/2006/relationships/hyperlink" Target="https://www.genome.jp/entry/C00275" TargetMode="External"/><Relationship Id="rId23" Type="http://schemas.openxmlformats.org/officeDocument/2006/relationships/hyperlink" Target="https://www.genome.jp/entry/C00944" TargetMode="External"/><Relationship Id="rId119" Type="http://schemas.openxmlformats.org/officeDocument/2006/relationships/hyperlink" Target="https://www.genome.jp/entry/C01255" TargetMode="External"/><Relationship Id="rId270" Type="http://schemas.openxmlformats.org/officeDocument/2006/relationships/hyperlink" Target="https://www.genome.jp/entry/C01171" TargetMode="External"/><Relationship Id="rId326" Type="http://schemas.openxmlformats.org/officeDocument/2006/relationships/hyperlink" Target="https://www.genome.jp/entry/C05345" TargetMode="External"/><Relationship Id="rId65" Type="http://schemas.openxmlformats.org/officeDocument/2006/relationships/hyperlink" Target="https://www.genome.jp/entry/C00065" TargetMode="External"/><Relationship Id="rId130" Type="http://schemas.openxmlformats.org/officeDocument/2006/relationships/hyperlink" Target="https://www.genome.jp/entry/C11947" TargetMode="External"/><Relationship Id="rId172" Type="http://schemas.openxmlformats.org/officeDocument/2006/relationships/hyperlink" Target="https://www.genome.jp/entry/C05379" TargetMode="External"/><Relationship Id="rId228" Type="http://schemas.openxmlformats.org/officeDocument/2006/relationships/hyperlink" Target="https://www.genome.jp/entry/C04691" TargetMode="External"/><Relationship Id="rId281" Type="http://schemas.openxmlformats.org/officeDocument/2006/relationships/hyperlink" Target="https://www.genome.jp/entry/C00022" TargetMode="External"/><Relationship Id="rId337" Type="http://schemas.openxmlformats.org/officeDocument/2006/relationships/hyperlink" Target="https://www.genome.jp/entry/C00117" TargetMode="External"/><Relationship Id="rId34" Type="http://schemas.openxmlformats.org/officeDocument/2006/relationships/hyperlink" Target="https://www.genome.jp/entry/C05266" TargetMode="External"/><Relationship Id="rId76" Type="http://schemas.openxmlformats.org/officeDocument/2006/relationships/hyperlink" Target="https://www.genome.jp/entry/C11907" TargetMode="External"/><Relationship Id="rId141" Type="http://schemas.openxmlformats.org/officeDocument/2006/relationships/hyperlink" Target="https://www.genome.jp/entry/C00688" TargetMode="External"/><Relationship Id="rId7" Type="http://schemas.openxmlformats.org/officeDocument/2006/relationships/hyperlink" Target="https://www.genome.jp/entry/C11039" TargetMode="External"/><Relationship Id="rId183" Type="http://schemas.openxmlformats.org/officeDocument/2006/relationships/hyperlink" Target="https://www.genome.jp/entry/C01103" TargetMode="External"/><Relationship Id="rId239" Type="http://schemas.openxmlformats.org/officeDocument/2006/relationships/hyperlink" Target="https://www.genome.jp/entry/C03794" TargetMode="External"/><Relationship Id="rId250" Type="http://schemas.openxmlformats.org/officeDocument/2006/relationships/hyperlink" Target="https://www.genome.jp/entry/C00842" TargetMode="External"/><Relationship Id="rId292" Type="http://schemas.openxmlformats.org/officeDocument/2006/relationships/hyperlink" Target="https://www.genome.jp/entry/C04734" TargetMode="External"/><Relationship Id="rId306" Type="http://schemas.openxmlformats.org/officeDocument/2006/relationships/hyperlink" Target="https://www.genome.jp/entry/C02504" TargetMode="External"/><Relationship Id="rId45" Type="http://schemas.openxmlformats.org/officeDocument/2006/relationships/hyperlink" Target="https://www.genome.jp/entry/C00158" TargetMode="External"/><Relationship Id="rId87" Type="http://schemas.openxmlformats.org/officeDocument/2006/relationships/hyperlink" Target="https://www.genome.jp/entry/C02962" TargetMode="External"/><Relationship Id="rId110" Type="http://schemas.openxmlformats.org/officeDocument/2006/relationships/hyperlink" Target="https://www.genome.jp/entry/C00022" TargetMode="External"/><Relationship Id="rId152" Type="http://schemas.openxmlformats.org/officeDocument/2006/relationships/hyperlink" Target="https://www.genome.jp/entry/C18096" TargetMode="External"/><Relationship Id="rId194" Type="http://schemas.openxmlformats.org/officeDocument/2006/relationships/hyperlink" Target="https://www.genome.jp/entry/C00944" TargetMode="External"/><Relationship Id="rId208" Type="http://schemas.openxmlformats.org/officeDocument/2006/relationships/hyperlink" Target="https://www.genome.jp/entry/C16333" TargetMode="External"/><Relationship Id="rId240" Type="http://schemas.openxmlformats.org/officeDocument/2006/relationships/hyperlink" Target="https://www.genome.jp/entry/C04823" TargetMode="External"/><Relationship Id="rId261" Type="http://schemas.openxmlformats.org/officeDocument/2006/relationships/hyperlink" Target="https://www.genome.jp/entry/C00668" TargetMode="External"/><Relationship Id="rId14" Type="http://schemas.openxmlformats.org/officeDocument/2006/relationships/hyperlink" Target="https://www.genome.jp/entry/C01302" TargetMode="External"/><Relationship Id="rId35" Type="http://schemas.openxmlformats.org/officeDocument/2006/relationships/hyperlink" Target="https://www.genome.jp/entry/C05268" TargetMode="External"/><Relationship Id="rId56" Type="http://schemas.openxmlformats.org/officeDocument/2006/relationships/hyperlink" Target="https://www.genome.jp/entry/C04895" TargetMode="External"/><Relationship Id="rId77" Type="http://schemas.openxmlformats.org/officeDocument/2006/relationships/hyperlink" Target="https://www.genome.jp/entry/C00029" TargetMode="External"/><Relationship Id="rId100" Type="http://schemas.openxmlformats.org/officeDocument/2006/relationships/hyperlink" Target="https://www.genome.jp/entry/C00620" TargetMode="External"/><Relationship Id="rId282" Type="http://schemas.openxmlformats.org/officeDocument/2006/relationships/hyperlink" Target="https://www.genome.jp/entry/C00369" TargetMode="External"/><Relationship Id="rId317" Type="http://schemas.openxmlformats.org/officeDocument/2006/relationships/hyperlink" Target="https://www.genome.jp/entry/C00984" TargetMode="External"/><Relationship Id="rId338" Type="http://schemas.openxmlformats.org/officeDocument/2006/relationships/hyperlink" Target="https://www.genome.jp/entry/C00673" TargetMode="External"/><Relationship Id="rId8" Type="http://schemas.openxmlformats.org/officeDocument/2006/relationships/hyperlink" Target="https://www.genome.jp/entry/C00369" TargetMode="External"/><Relationship Id="rId98" Type="http://schemas.openxmlformats.org/officeDocument/2006/relationships/hyperlink" Target="https://www.genome.jp/entry/C00620" TargetMode="External"/><Relationship Id="rId121" Type="http://schemas.openxmlformats.org/officeDocument/2006/relationships/hyperlink" Target="https://www.genome.jp/entry/C04734" TargetMode="External"/><Relationship Id="rId142" Type="http://schemas.openxmlformats.org/officeDocument/2006/relationships/hyperlink" Target="https://www.genome.jp/entry/C00029" TargetMode="External"/><Relationship Id="rId163" Type="http://schemas.openxmlformats.org/officeDocument/2006/relationships/hyperlink" Target="https://www.genome.jp/entry/C00668" TargetMode="External"/><Relationship Id="rId184" Type="http://schemas.openxmlformats.org/officeDocument/2006/relationships/hyperlink" Target="https://www.genome.jp/entry/C04352" TargetMode="External"/><Relationship Id="rId219" Type="http://schemas.openxmlformats.org/officeDocument/2006/relationships/hyperlink" Target="https://www.genome.jp/entry/C04411" TargetMode="External"/><Relationship Id="rId230" Type="http://schemas.openxmlformats.org/officeDocument/2006/relationships/hyperlink" Target="https://www.genome.jp/entry/C00065" TargetMode="External"/><Relationship Id="rId251" Type="http://schemas.openxmlformats.org/officeDocument/2006/relationships/hyperlink" Target="https://www.genome.jp/entry/C00267" TargetMode="External"/><Relationship Id="rId25" Type="http://schemas.openxmlformats.org/officeDocument/2006/relationships/hyperlink" Target="https://www.genome.jp/entry/C03356" TargetMode="External"/><Relationship Id="rId46" Type="http://schemas.openxmlformats.org/officeDocument/2006/relationships/hyperlink" Target="https://www.genome.jp/entry/C00311" TargetMode="External"/><Relationship Id="rId67" Type="http://schemas.openxmlformats.org/officeDocument/2006/relationships/hyperlink" Target="https://www.genome.jp/entry/C03406" TargetMode="External"/><Relationship Id="rId272" Type="http://schemas.openxmlformats.org/officeDocument/2006/relationships/hyperlink" Target="https://www.genome.jp/entry/C00672" TargetMode="External"/><Relationship Id="rId293" Type="http://schemas.openxmlformats.org/officeDocument/2006/relationships/hyperlink" Target="https://www.genome.jp/entry/C05922" TargetMode="External"/><Relationship Id="rId307" Type="http://schemas.openxmlformats.org/officeDocument/2006/relationships/hyperlink" Target="https://www.genome.jp/entry/C20904" TargetMode="External"/><Relationship Id="rId328" Type="http://schemas.openxmlformats.org/officeDocument/2006/relationships/hyperlink" Target="https://www.genome.jp/entry/C01172" TargetMode="External"/><Relationship Id="rId88" Type="http://schemas.openxmlformats.org/officeDocument/2006/relationships/hyperlink" Target="https://www.genome.jp/entry/C00275" TargetMode="External"/><Relationship Id="rId111" Type="http://schemas.openxmlformats.org/officeDocument/2006/relationships/hyperlink" Target="https://www.genome.jp/entry/C00369" TargetMode="External"/><Relationship Id="rId132" Type="http://schemas.openxmlformats.org/officeDocument/2006/relationships/hyperlink" Target="https://www.genome.jp/entry/C14145" TargetMode="External"/><Relationship Id="rId153" Type="http://schemas.openxmlformats.org/officeDocument/2006/relationships/hyperlink" Target="https://www.genome.jp/entry/C00085" TargetMode="External"/><Relationship Id="rId174" Type="http://schemas.openxmlformats.org/officeDocument/2006/relationships/hyperlink" Target="https://www.genome.jp/entry/C06006" TargetMode="External"/><Relationship Id="rId195" Type="http://schemas.openxmlformats.org/officeDocument/2006/relationships/hyperlink" Target="https://www.genome.jp/entry/C00631" TargetMode="External"/><Relationship Id="rId209" Type="http://schemas.openxmlformats.org/officeDocument/2006/relationships/hyperlink" Target="https://www.genome.jp/entry/C16337" TargetMode="External"/><Relationship Id="rId220" Type="http://schemas.openxmlformats.org/officeDocument/2006/relationships/hyperlink" Target="https://www.genome.jp/entry/C04411" TargetMode="External"/><Relationship Id="rId241" Type="http://schemas.openxmlformats.org/officeDocument/2006/relationships/hyperlink" Target="https://www.genome.jp/entry/C22395" TargetMode="External"/><Relationship Id="rId15" Type="http://schemas.openxmlformats.org/officeDocument/2006/relationships/hyperlink" Target="https://www.genome.jp/entry/C06010" TargetMode="External"/><Relationship Id="rId36" Type="http://schemas.openxmlformats.org/officeDocument/2006/relationships/hyperlink" Target="https://www.genome.jp/entry/C16329" TargetMode="External"/><Relationship Id="rId57" Type="http://schemas.openxmlformats.org/officeDocument/2006/relationships/hyperlink" Target="https://www.genome.jp/entry/C04691" TargetMode="External"/><Relationship Id="rId262" Type="http://schemas.openxmlformats.org/officeDocument/2006/relationships/hyperlink" Target="https://www.genome.jp/entry/C00092" TargetMode="External"/><Relationship Id="rId283" Type="http://schemas.openxmlformats.org/officeDocument/2006/relationships/hyperlink" Target="https://www.genome.jp/entry/G10545" TargetMode="External"/><Relationship Id="rId318" Type="http://schemas.openxmlformats.org/officeDocument/2006/relationships/hyperlink" Target="https://www.genome.jp/entry/C03633" TargetMode="External"/><Relationship Id="rId339" Type="http://schemas.openxmlformats.org/officeDocument/2006/relationships/hyperlink" Target="https://www.genome.jp/entry/C02764" TargetMode="External"/><Relationship Id="rId78" Type="http://schemas.openxmlformats.org/officeDocument/2006/relationships/hyperlink" Target="https://www.genome.jp/entry/C00043" TargetMode="External"/><Relationship Id="rId99" Type="http://schemas.openxmlformats.org/officeDocument/2006/relationships/hyperlink" Target="https://www.genome.jp/entry/C01171" TargetMode="External"/><Relationship Id="rId101" Type="http://schemas.openxmlformats.org/officeDocument/2006/relationships/hyperlink" Target="https://www.genome.jp/entry/C00672" TargetMode="External"/><Relationship Id="rId122" Type="http://schemas.openxmlformats.org/officeDocument/2006/relationships/hyperlink" Target="https://www.genome.jp/entry/C05922" TargetMode="External"/><Relationship Id="rId143" Type="http://schemas.openxmlformats.org/officeDocument/2006/relationships/hyperlink" Target="https://www.genome.jp/entry/C00203" TargetMode="External"/><Relationship Id="rId164" Type="http://schemas.openxmlformats.org/officeDocument/2006/relationships/hyperlink" Target="https://www.genome.jp/entry/C00117" TargetMode="External"/><Relationship Id="rId185" Type="http://schemas.openxmlformats.org/officeDocument/2006/relationships/hyperlink" Target="https://www.genome.jp/entry/C01302" TargetMode="External"/><Relationship Id="rId9" Type="http://schemas.openxmlformats.org/officeDocument/2006/relationships/hyperlink" Target="https://www.genome.jp/entry/C05923" TargetMode="External"/><Relationship Id="rId210" Type="http://schemas.openxmlformats.org/officeDocument/2006/relationships/hyperlink" Target="https://www.genome.jp/entry/C00640" TargetMode="External"/><Relationship Id="rId26" Type="http://schemas.openxmlformats.org/officeDocument/2006/relationships/hyperlink" Target="https://www.genome.jp/entry/C00640" TargetMode="External"/><Relationship Id="rId231" Type="http://schemas.openxmlformats.org/officeDocument/2006/relationships/hyperlink" Target="https://www.genome.jp/entry/C00065" TargetMode="External"/><Relationship Id="rId252" Type="http://schemas.openxmlformats.org/officeDocument/2006/relationships/hyperlink" Target="https://www.genome.jp/entry/C00124" TargetMode="External"/><Relationship Id="rId273" Type="http://schemas.openxmlformats.org/officeDocument/2006/relationships/hyperlink" Target="https://www.genome.jp/entry/C00868" TargetMode="External"/><Relationship Id="rId294" Type="http://schemas.openxmlformats.org/officeDocument/2006/relationships/hyperlink" Target="https://www.genome.jp/entry/C06148" TargetMode="External"/><Relationship Id="rId308" Type="http://schemas.openxmlformats.org/officeDocument/2006/relationships/hyperlink" Target="https://www.genome.jp/entry/C20905" TargetMode="External"/><Relationship Id="rId329" Type="http://schemas.openxmlformats.org/officeDocument/2006/relationships/hyperlink" Target="https://www.genome.jp/entry/C05345" TargetMode="External"/><Relationship Id="rId47" Type="http://schemas.openxmlformats.org/officeDocument/2006/relationships/hyperlink" Target="https://www.genome.jp/entry/C02504" TargetMode="External"/><Relationship Id="rId68" Type="http://schemas.openxmlformats.org/officeDocument/2006/relationships/hyperlink" Target="https://www.genome.jp/entry/C03794" TargetMode="External"/><Relationship Id="rId89" Type="http://schemas.openxmlformats.org/officeDocument/2006/relationships/hyperlink" Target="https://www.genome.jp/entry/C00275" TargetMode="External"/><Relationship Id="rId112" Type="http://schemas.openxmlformats.org/officeDocument/2006/relationships/hyperlink" Target="https://www.genome.jp/entry/G10545" TargetMode="External"/><Relationship Id="rId133" Type="http://schemas.openxmlformats.org/officeDocument/2006/relationships/hyperlink" Target="https://www.genome.jp/entry/C16469" TargetMode="External"/><Relationship Id="rId154" Type="http://schemas.openxmlformats.org/officeDocument/2006/relationships/hyperlink" Target="https://www.genome.jp/entry/C05345" TargetMode="External"/><Relationship Id="rId175" Type="http://schemas.openxmlformats.org/officeDocument/2006/relationships/hyperlink" Target="https://www.genome.jp/entry/C00718" TargetMode="External"/><Relationship Id="rId340" Type="http://schemas.openxmlformats.org/officeDocument/2006/relationships/hyperlink" Target="https://www.genome.jp/entry/C00254" TargetMode="External"/><Relationship Id="rId196" Type="http://schemas.openxmlformats.org/officeDocument/2006/relationships/hyperlink" Target="https://www.genome.jp/entry/C03356" TargetMode="External"/><Relationship Id="rId200" Type="http://schemas.openxmlformats.org/officeDocument/2006/relationships/hyperlink" Target="https://www.genome.jp/entry/C05262" TargetMode="External"/><Relationship Id="rId16" Type="http://schemas.openxmlformats.org/officeDocument/2006/relationships/hyperlink" Target="https://www.genome.jp/entry/C00354" TargetMode="External"/><Relationship Id="rId221" Type="http://schemas.openxmlformats.org/officeDocument/2006/relationships/hyperlink" Target="https://www.genome.jp/entry/C00842" TargetMode="External"/><Relationship Id="rId242" Type="http://schemas.openxmlformats.org/officeDocument/2006/relationships/hyperlink" Target="https://www.genome.jp/entry/C03539" TargetMode="External"/><Relationship Id="rId263" Type="http://schemas.openxmlformats.org/officeDocument/2006/relationships/hyperlink" Target="https://www.genome.jp/entry/C00668" TargetMode="External"/><Relationship Id="rId284" Type="http://schemas.openxmlformats.org/officeDocument/2006/relationships/hyperlink" Target="https://www.genome.jp/entry/C00208" TargetMode="External"/><Relationship Id="rId319" Type="http://schemas.openxmlformats.org/officeDocument/2006/relationships/hyperlink" Target="https://www.genome.jp/entry/C00111" TargetMode="External"/><Relationship Id="rId37" Type="http://schemas.openxmlformats.org/officeDocument/2006/relationships/hyperlink" Target="https://www.genome.jp/entry/C16333" TargetMode="External"/><Relationship Id="rId58" Type="http://schemas.openxmlformats.org/officeDocument/2006/relationships/hyperlink" Target="https://www.genome.jp/entry/C01269" TargetMode="External"/><Relationship Id="rId79" Type="http://schemas.openxmlformats.org/officeDocument/2006/relationships/hyperlink" Target="https://www.genome.jp/entry/C00842" TargetMode="External"/><Relationship Id="rId102" Type="http://schemas.openxmlformats.org/officeDocument/2006/relationships/hyperlink" Target="https://www.genome.jp/entry/C00868" TargetMode="External"/><Relationship Id="rId123" Type="http://schemas.openxmlformats.org/officeDocument/2006/relationships/hyperlink" Target="https://www.genome.jp/entry/C06148" TargetMode="External"/><Relationship Id="rId144" Type="http://schemas.openxmlformats.org/officeDocument/2006/relationships/hyperlink" Target="https://www.genome.jp/entry/C02097" TargetMode="External"/><Relationship Id="rId330" Type="http://schemas.openxmlformats.org/officeDocument/2006/relationships/hyperlink" Target="https://www.genome.jp/entry/C00085" TargetMode="External"/><Relationship Id="rId90" Type="http://schemas.openxmlformats.org/officeDocument/2006/relationships/hyperlink" Target="https://www.genome.jp/entry/C00668" TargetMode="External"/><Relationship Id="rId165" Type="http://schemas.openxmlformats.org/officeDocument/2006/relationships/hyperlink" Target="https://www.genome.jp/entry/C03735" TargetMode="External"/><Relationship Id="rId186" Type="http://schemas.openxmlformats.org/officeDocument/2006/relationships/hyperlink" Target="https://www.genome.jp/entry/C06010" TargetMode="External"/><Relationship Id="rId211" Type="http://schemas.openxmlformats.org/officeDocument/2006/relationships/hyperlink" Target="https://www.genome.jp/entry/C01086" TargetMode="External"/><Relationship Id="rId232" Type="http://schemas.openxmlformats.org/officeDocument/2006/relationships/hyperlink" Target="https://www.genome.jp/entry/C02218" TargetMode="External"/><Relationship Id="rId253" Type="http://schemas.openxmlformats.org/officeDocument/2006/relationships/hyperlink" Target="https://www.genome.jp/entry/C03798" TargetMode="External"/><Relationship Id="rId274" Type="http://schemas.openxmlformats.org/officeDocument/2006/relationships/hyperlink" Target="https://www.genome.jp/entry/C00251" TargetMode="External"/><Relationship Id="rId295" Type="http://schemas.openxmlformats.org/officeDocument/2006/relationships/hyperlink" Target="https://www.genome.jp/entry/C06148" TargetMode="External"/><Relationship Id="rId309" Type="http://schemas.openxmlformats.org/officeDocument/2006/relationships/hyperlink" Target="https://www.genome.jp/entry/C00133" TargetMode="External"/><Relationship Id="rId27" Type="http://schemas.openxmlformats.org/officeDocument/2006/relationships/hyperlink" Target="https://www.genome.jp/entry/C01144" TargetMode="External"/><Relationship Id="rId48" Type="http://schemas.openxmlformats.org/officeDocument/2006/relationships/hyperlink" Target="https://www.genome.jp/entry/C04411" TargetMode="External"/><Relationship Id="rId69" Type="http://schemas.openxmlformats.org/officeDocument/2006/relationships/hyperlink" Target="https://www.genome.jp/entry/C04823" TargetMode="External"/><Relationship Id="rId113" Type="http://schemas.openxmlformats.org/officeDocument/2006/relationships/hyperlink" Target="https://www.genome.jp/entry/C00208" TargetMode="External"/><Relationship Id="rId134" Type="http://schemas.openxmlformats.org/officeDocument/2006/relationships/hyperlink" Target="https://www.genome.jp/entry/C00311" TargetMode="External"/><Relationship Id="rId320" Type="http://schemas.openxmlformats.org/officeDocument/2006/relationships/hyperlink" Target="https://www.genome.jp/entry/C04916" TargetMode="External"/><Relationship Id="rId80" Type="http://schemas.openxmlformats.org/officeDocument/2006/relationships/hyperlink" Target="https://www.genome.jp/entry/C00267" TargetMode="External"/><Relationship Id="rId155" Type="http://schemas.openxmlformats.org/officeDocument/2006/relationships/hyperlink" Target="https://www.genome.jp/entry/C05345" TargetMode="External"/><Relationship Id="rId176" Type="http://schemas.openxmlformats.org/officeDocument/2006/relationships/hyperlink" Target="https://www.genome.jp/entry/G10495" TargetMode="External"/><Relationship Id="rId197" Type="http://schemas.openxmlformats.org/officeDocument/2006/relationships/hyperlink" Target="https://www.genome.jp/entry/C00640" TargetMode="External"/><Relationship Id="rId341" Type="http://schemas.openxmlformats.org/officeDocument/2006/relationships/hyperlink" Target="https://www.genome.jp/entry/C03733" TargetMode="External"/><Relationship Id="rId201" Type="http://schemas.openxmlformats.org/officeDocument/2006/relationships/hyperlink" Target="https://www.genome.jp/entry/C04405" TargetMode="External"/><Relationship Id="rId222" Type="http://schemas.openxmlformats.org/officeDocument/2006/relationships/hyperlink" Target="https://www.genome.jp/entry/C00254" TargetMode="External"/><Relationship Id="rId243" Type="http://schemas.openxmlformats.org/officeDocument/2006/relationships/hyperlink" Target="https://www.genome.jp/entry/C03451" TargetMode="External"/><Relationship Id="rId264" Type="http://schemas.openxmlformats.org/officeDocument/2006/relationships/hyperlink" Target="https://www.genome.jp/entry/C01172" TargetMode="External"/><Relationship Id="rId285" Type="http://schemas.openxmlformats.org/officeDocument/2006/relationships/hyperlink" Target="https://www.genome.jp/entry/G00275" TargetMode="External"/><Relationship Id="rId17" Type="http://schemas.openxmlformats.org/officeDocument/2006/relationships/hyperlink" Target="https://www.genome.jp/entry/C05378" TargetMode="External"/><Relationship Id="rId38" Type="http://schemas.openxmlformats.org/officeDocument/2006/relationships/hyperlink" Target="https://www.genome.jp/entry/C16337" TargetMode="External"/><Relationship Id="rId59" Type="http://schemas.openxmlformats.org/officeDocument/2006/relationships/hyperlink" Target="https://www.genome.jp/entry/C00065" TargetMode="External"/><Relationship Id="rId103" Type="http://schemas.openxmlformats.org/officeDocument/2006/relationships/hyperlink" Target="https://www.genome.jp/entry/C00251" TargetMode="External"/><Relationship Id="rId124" Type="http://schemas.openxmlformats.org/officeDocument/2006/relationships/hyperlink" Target="https://www.genome.jp/entry/C06148" TargetMode="External"/><Relationship Id="rId310" Type="http://schemas.openxmlformats.org/officeDocument/2006/relationships/hyperlink" Target="https://www.genome.jp/entry/C00217" TargetMode="External"/><Relationship Id="rId70" Type="http://schemas.openxmlformats.org/officeDocument/2006/relationships/hyperlink" Target="https://www.genome.jp/entry/C22395" TargetMode="External"/><Relationship Id="rId91" Type="http://schemas.openxmlformats.org/officeDocument/2006/relationships/hyperlink" Target="https://www.genome.jp/entry/C00092" TargetMode="External"/><Relationship Id="rId145" Type="http://schemas.openxmlformats.org/officeDocument/2006/relationships/hyperlink" Target="https://www.genome.jp/entry/C00221" TargetMode="External"/><Relationship Id="rId166" Type="http://schemas.openxmlformats.org/officeDocument/2006/relationships/hyperlink" Target="https://www.genome.jp/entry/C00117" TargetMode="External"/><Relationship Id="rId187" Type="http://schemas.openxmlformats.org/officeDocument/2006/relationships/hyperlink" Target="https://www.genome.jp/entry/C00354" TargetMode="External"/><Relationship Id="rId331" Type="http://schemas.openxmlformats.org/officeDocument/2006/relationships/hyperlink" Target="https://www.genome.jp/entry/C00235" TargetMode="External"/><Relationship Id="rId1" Type="http://schemas.openxmlformats.org/officeDocument/2006/relationships/hyperlink" Target="https://www.genome.jp/entry/C05379" TargetMode="External"/><Relationship Id="rId212" Type="http://schemas.openxmlformats.org/officeDocument/2006/relationships/hyperlink" Target="https://www.genome.jp/entry/C05998" TargetMode="External"/><Relationship Id="rId233" Type="http://schemas.openxmlformats.org/officeDocument/2006/relationships/hyperlink" Target="https://www.genome.jp/entry/C05167" TargetMode="External"/><Relationship Id="rId254" Type="http://schemas.openxmlformats.org/officeDocument/2006/relationships/hyperlink" Target="https://www.genome.jp/entry/C00118" TargetMode="External"/><Relationship Id="rId28" Type="http://schemas.openxmlformats.org/officeDocument/2006/relationships/hyperlink" Target="https://www.genome.jp/entry/C05668" TargetMode="External"/><Relationship Id="rId49" Type="http://schemas.openxmlformats.org/officeDocument/2006/relationships/hyperlink" Target="https://www.genome.jp/entry/C04411" TargetMode="External"/><Relationship Id="rId114" Type="http://schemas.openxmlformats.org/officeDocument/2006/relationships/hyperlink" Target="https://www.genome.jp/entry/G00275" TargetMode="External"/><Relationship Id="rId275" Type="http://schemas.openxmlformats.org/officeDocument/2006/relationships/hyperlink" Target="https://www.genome.jp/entry/C00052" TargetMode="External"/><Relationship Id="rId296" Type="http://schemas.openxmlformats.org/officeDocument/2006/relationships/hyperlink" Target="https://www.genome.jp/entry/C04896" TargetMode="External"/><Relationship Id="rId300" Type="http://schemas.openxmlformats.org/officeDocument/2006/relationships/hyperlink" Target="https://www.genome.jp/entry/C05116" TargetMode="External"/><Relationship Id="rId60" Type="http://schemas.openxmlformats.org/officeDocument/2006/relationships/hyperlink" Target="https://www.genome.jp/entry/C00065" TargetMode="External"/><Relationship Id="rId81" Type="http://schemas.openxmlformats.org/officeDocument/2006/relationships/hyperlink" Target="https://www.genome.jp/entry/C00124" TargetMode="External"/><Relationship Id="rId135" Type="http://schemas.openxmlformats.org/officeDocument/2006/relationships/hyperlink" Target="https://www.genome.jp/entry/C02504" TargetMode="External"/><Relationship Id="rId156" Type="http://schemas.openxmlformats.org/officeDocument/2006/relationships/hyperlink" Target="https://www.genome.jp/entry/C00085" TargetMode="External"/><Relationship Id="rId177" Type="http://schemas.openxmlformats.org/officeDocument/2006/relationships/hyperlink" Target="https://www.genome.jp/entry/C00201" TargetMode="External"/><Relationship Id="rId198" Type="http://schemas.openxmlformats.org/officeDocument/2006/relationships/hyperlink" Target="https://www.genome.jp/entry/C01144" TargetMode="External"/><Relationship Id="rId321" Type="http://schemas.openxmlformats.org/officeDocument/2006/relationships/hyperlink" Target="https://www.genome.jp/entry/C01302" TargetMode="External"/><Relationship Id="rId342" Type="http://schemas.openxmlformats.org/officeDocument/2006/relationships/hyperlink" Target="https://www.genome.jp/entry/C18094" TargetMode="External"/><Relationship Id="rId202" Type="http://schemas.openxmlformats.org/officeDocument/2006/relationships/hyperlink" Target="https://www.genome.jp/entry/C05258" TargetMode="External"/><Relationship Id="rId223" Type="http://schemas.openxmlformats.org/officeDocument/2006/relationships/hyperlink" Target="https://www.genome.jp/entry/C00826" TargetMode="External"/><Relationship Id="rId244" Type="http://schemas.openxmlformats.org/officeDocument/2006/relationships/hyperlink" Target="https://www.genome.jp/entry/C00041" TargetMode="External"/><Relationship Id="rId18" Type="http://schemas.openxmlformats.org/officeDocument/2006/relationships/hyperlink" Target="https://www.genome.jp/entry/C00447" TargetMode="External"/><Relationship Id="rId39" Type="http://schemas.openxmlformats.org/officeDocument/2006/relationships/hyperlink" Target="https://www.genome.jp/entry/C00640" TargetMode="External"/><Relationship Id="rId265" Type="http://schemas.openxmlformats.org/officeDocument/2006/relationships/hyperlink" Target="https://www.genome.jp/entry/C00668" TargetMode="External"/><Relationship Id="rId286" Type="http://schemas.openxmlformats.org/officeDocument/2006/relationships/hyperlink" Target="https://www.genome.jp/entry/C00008" TargetMode="External"/><Relationship Id="rId50" Type="http://schemas.openxmlformats.org/officeDocument/2006/relationships/hyperlink" Target="https://www.genome.jp/entry/C00842" TargetMode="External"/><Relationship Id="rId104" Type="http://schemas.openxmlformats.org/officeDocument/2006/relationships/hyperlink" Target="https://www.genome.jp/entry/C00052" TargetMode="External"/><Relationship Id="rId125" Type="http://schemas.openxmlformats.org/officeDocument/2006/relationships/hyperlink" Target="https://www.genome.jp/entry/C04896" TargetMode="External"/><Relationship Id="rId146" Type="http://schemas.openxmlformats.org/officeDocument/2006/relationships/hyperlink" Target="https://www.genome.jp/entry/C00984" TargetMode="External"/><Relationship Id="rId167" Type="http://schemas.openxmlformats.org/officeDocument/2006/relationships/hyperlink" Target="https://www.genome.jp/entry/C00673" TargetMode="External"/><Relationship Id="rId188" Type="http://schemas.openxmlformats.org/officeDocument/2006/relationships/hyperlink" Target="https://www.genome.jp/entry/C05378" TargetMode="External"/><Relationship Id="rId311" Type="http://schemas.openxmlformats.org/officeDocument/2006/relationships/hyperlink" Target="https://www.genome.jp/entry/C00231" TargetMode="External"/><Relationship Id="rId332" Type="http://schemas.openxmlformats.org/officeDocument/2006/relationships/hyperlink" Target="https://www.genome.jp/entry/C00352" TargetMode="External"/><Relationship Id="rId71" Type="http://schemas.openxmlformats.org/officeDocument/2006/relationships/hyperlink" Target="https://www.genome.jp/entry/C03539" TargetMode="External"/><Relationship Id="rId92" Type="http://schemas.openxmlformats.org/officeDocument/2006/relationships/hyperlink" Target="https://www.genome.jp/entry/C00668" TargetMode="External"/><Relationship Id="rId213" Type="http://schemas.openxmlformats.org/officeDocument/2006/relationships/hyperlink" Target="https://www.genome.jp/entry/C04666" TargetMode="External"/><Relationship Id="rId234" Type="http://schemas.openxmlformats.org/officeDocument/2006/relationships/hyperlink" Target="https://www.genome.jp/entry/C00188" TargetMode="External"/><Relationship Id="rId2" Type="http://schemas.openxmlformats.org/officeDocument/2006/relationships/hyperlink" Target="https://www.genome.jp/entry/C06010" TargetMode="External"/><Relationship Id="rId29" Type="http://schemas.openxmlformats.org/officeDocument/2006/relationships/hyperlink" Target="https://www.genome.jp/entry/C05262" TargetMode="External"/><Relationship Id="rId255" Type="http://schemas.openxmlformats.org/officeDocument/2006/relationships/hyperlink" Target="https://www.genome.jp/entry/C04896" TargetMode="External"/><Relationship Id="rId276" Type="http://schemas.openxmlformats.org/officeDocument/2006/relationships/hyperlink" Target="https://www.genome.jp/entry/C00935" TargetMode="External"/><Relationship Id="rId297" Type="http://schemas.openxmlformats.org/officeDocument/2006/relationships/hyperlink" Target="https://www.genome.jp/entry/C00009" TargetMode="External"/><Relationship Id="rId40" Type="http://schemas.openxmlformats.org/officeDocument/2006/relationships/hyperlink" Target="https://www.genome.jp/entry/C01086" TargetMode="External"/><Relationship Id="rId115" Type="http://schemas.openxmlformats.org/officeDocument/2006/relationships/hyperlink" Target="https://www.genome.jp/entry/C00008" TargetMode="External"/><Relationship Id="rId136" Type="http://schemas.openxmlformats.org/officeDocument/2006/relationships/hyperlink" Target="https://www.genome.jp/entry/C20904" TargetMode="External"/><Relationship Id="rId157" Type="http://schemas.openxmlformats.org/officeDocument/2006/relationships/hyperlink" Target="https://www.genome.jp/entry/C01172" TargetMode="External"/><Relationship Id="rId178" Type="http://schemas.openxmlformats.org/officeDocument/2006/relationships/hyperlink" Target="https://www.genome.jp/entry/C11039" TargetMode="External"/><Relationship Id="rId301" Type="http://schemas.openxmlformats.org/officeDocument/2006/relationships/hyperlink" Target="https://www.genome.jp/entry/C11947" TargetMode="External"/><Relationship Id="rId322" Type="http://schemas.openxmlformats.org/officeDocument/2006/relationships/hyperlink" Target="https://www.genome.jp/entry/C00199" TargetMode="External"/><Relationship Id="rId61" Type="http://schemas.openxmlformats.org/officeDocument/2006/relationships/hyperlink" Target="https://www.genome.jp/entry/C02218" TargetMode="External"/><Relationship Id="rId82" Type="http://schemas.openxmlformats.org/officeDocument/2006/relationships/hyperlink" Target="https://www.genome.jp/entry/C03798" TargetMode="External"/><Relationship Id="rId199" Type="http://schemas.openxmlformats.org/officeDocument/2006/relationships/hyperlink" Target="https://www.genome.jp/entry/C05668" TargetMode="External"/><Relationship Id="rId203" Type="http://schemas.openxmlformats.org/officeDocument/2006/relationships/hyperlink" Target="https://www.genome.jp/entry/C05260" TargetMode="External"/><Relationship Id="rId19" Type="http://schemas.openxmlformats.org/officeDocument/2006/relationships/hyperlink" Target="https://www.genome.jp/entry/C01094" TargetMode="External"/><Relationship Id="rId224" Type="http://schemas.openxmlformats.org/officeDocument/2006/relationships/hyperlink" Target="https://www.genome.jp/entry/C04039" TargetMode="External"/><Relationship Id="rId245" Type="http://schemas.openxmlformats.org/officeDocument/2006/relationships/hyperlink" Target="https://www.genome.jp/entry/C00025" TargetMode="External"/><Relationship Id="rId266" Type="http://schemas.openxmlformats.org/officeDocument/2006/relationships/hyperlink" Target="https://www.genome.jp/entry/C00129" TargetMode="External"/><Relationship Id="rId287" Type="http://schemas.openxmlformats.org/officeDocument/2006/relationships/hyperlink" Target="https://www.genome.jp/entry/C21031" TargetMode="External"/><Relationship Id="rId30" Type="http://schemas.openxmlformats.org/officeDocument/2006/relationships/hyperlink" Target="https://www.genome.jp/entry/C04405" TargetMode="External"/><Relationship Id="rId105" Type="http://schemas.openxmlformats.org/officeDocument/2006/relationships/hyperlink" Target="https://www.genome.jp/entry/C00935" TargetMode="External"/><Relationship Id="rId126" Type="http://schemas.openxmlformats.org/officeDocument/2006/relationships/hyperlink" Target="https://www.genome.jp/entry/C00009" TargetMode="External"/><Relationship Id="rId147" Type="http://schemas.openxmlformats.org/officeDocument/2006/relationships/hyperlink" Target="https://www.genome.jp/entry/C03633" TargetMode="External"/><Relationship Id="rId168" Type="http://schemas.openxmlformats.org/officeDocument/2006/relationships/hyperlink" Target="https://www.genome.jp/entry/C02764" TargetMode="External"/><Relationship Id="rId312" Type="http://schemas.openxmlformats.org/officeDocument/2006/relationships/hyperlink" Target="https://www.genome.jp/entry/C00688" TargetMode="External"/><Relationship Id="rId333" Type="http://schemas.openxmlformats.org/officeDocument/2006/relationships/hyperlink" Target="https://www.genome.jp/entry/C00092" TargetMode="External"/><Relationship Id="rId51" Type="http://schemas.openxmlformats.org/officeDocument/2006/relationships/hyperlink" Target="https://www.genome.jp/entry/C00254" TargetMode="External"/><Relationship Id="rId72" Type="http://schemas.openxmlformats.org/officeDocument/2006/relationships/hyperlink" Target="https://www.genome.jp/entry/C03451" TargetMode="External"/><Relationship Id="rId93" Type="http://schemas.openxmlformats.org/officeDocument/2006/relationships/hyperlink" Target="https://www.genome.jp/entry/C01172" TargetMode="External"/><Relationship Id="rId189" Type="http://schemas.openxmlformats.org/officeDocument/2006/relationships/hyperlink" Target="https://www.genome.jp/entry/C00447" TargetMode="External"/><Relationship Id="rId3" Type="http://schemas.openxmlformats.org/officeDocument/2006/relationships/hyperlink" Target="https://www.genome.jp/entry/C06006" TargetMode="External"/><Relationship Id="rId214" Type="http://schemas.openxmlformats.org/officeDocument/2006/relationships/hyperlink" Target="https://www.genome.jp/entry/C03506" TargetMode="External"/><Relationship Id="rId235" Type="http://schemas.openxmlformats.org/officeDocument/2006/relationships/hyperlink" Target="https://www.genome.jp/entry/C17234" TargetMode="External"/><Relationship Id="rId256" Type="http://schemas.openxmlformats.org/officeDocument/2006/relationships/hyperlink" Target="https://www.genome.jp/entry/C04302" TargetMode="External"/><Relationship Id="rId277" Type="http://schemas.openxmlformats.org/officeDocument/2006/relationships/hyperlink" Target="https://www.genome.jp/entry/C04236" TargetMode="External"/><Relationship Id="rId298" Type="http://schemas.openxmlformats.org/officeDocument/2006/relationships/hyperlink" Target="https://www.genome.jp/entry/C06000" TargetMode="External"/><Relationship Id="rId116" Type="http://schemas.openxmlformats.org/officeDocument/2006/relationships/hyperlink" Target="https://www.genome.jp/entry/C21031" TargetMode="External"/><Relationship Id="rId137" Type="http://schemas.openxmlformats.org/officeDocument/2006/relationships/hyperlink" Target="https://www.genome.jp/entry/C20905" TargetMode="External"/><Relationship Id="rId158" Type="http://schemas.openxmlformats.org/officeDocument/2006/relationships/hyperlink" Target="https://www.genome.jp/entry/C05345" TargetMode="External"/><Relationship Id="rId302" Type="http://schemas.openxmlformats.org/officeDocument/2006/relationships/hyperlink" Target="https://www.genome.jp/entry/C11947" TargetMode="External"/><Relationship Id="rId323" Type="http://schemas.openxmlformats.org/officeDocument/2006/relationships/hyperlink" Target="https://www.genome.jp/entry/C18096" TargetMode="External"/><Relationship Id="rId20" Type="http://schemas.openxmlformats.org/officeDocument/2006/relationships/hyperlink" Target="https://www.genome.jp/entry/C04874" TargetMode="External"/><Relationship Id="rId41" Type="http://schemas.openxmlformats.org/officeDocument/2006/relationships/hyperlink" Target="https://www.genome.jp/entry/C05998" TargetMode="External"/><Relationship Id="rId62" Type="http://schemas.openxmlformats.org/officeDocument/2006/relationships/hyperlink" Target="https://www.genome.jp/entry/C05167" TargetMode="External"/><Relationship Id="rId83" Type="http://schemas.openxmlformats.org/officeDocument/2006/relationships/hyperlink" Target="https://www.genome.jp/entry/C00118" TargetMode="External"/><Relationship Id="rId179" Type="http://schemas.openxmlformats.org/officeDocument/2006/relationships/hyperlink" Target="https://www.genome.jp/entry/C00369" TargetMode="External"/><Relationship Id="rId190" Type="http://schemas.openxmlformats.org/officeDocument/2006/relationships/hyperlink" Target="https://www.genome.jp/entry/C01094" TargetMode="External"/><Relationship Id="rId204" Type="http://schemas.openxmlformats.org/officeDocument/2006/relationships/hyperlink" Target="https://www.genome.jp/entry/C05264" TargetMode="External"/><Relationship Id="rId225" Type="http://schemas.openxmlformats.org/officeDocument/2006/relationships/hyperlink" Target="https://www.genome.jp/entry/C04272" TargetMode="External"/><Relationship Id="rId246" Type="http://schemas.openxmlformats.org/officeDocument/2006/relationships/hyperlink" Target="https://www.genome.jp/entry/C00199" TargetMode="External"/><Relationship Id="rId267" Type="http://schemas.openxmlformats.org/officeDocument/2006/relationships/hyperlink" Target="https://www.genome.jp/entry/C06156" TargetMode="External"/><Relationship Id="rId288" Type="http://schemas.openxmlformats.org/officeDocument/2006/relationships/hyperlink" Target="https://www.genome.jp/entry/C00846" TargetMode="External"/><Relationship Id="rId106" Type="http://schemas.openxmlformats.org/officeDocument/2006/relationships/hyperlink" Target="https://www.genome.jp/entry/C04236" TargetMode="External"/><Relationship Id="rId127" Type="http://schemas.openxmlformats.org/officeDocument/2006/relationships/hyperlink" Target="https://www.genome.jp/entry/C06000" TargetMode="External"/><Relationship Id="rId313" Type="http://schemas.openxmlformats.org/officeDocument/2006/relationships/hyperlink" Target="https://www.genome.jp/entry/C00029" TargetMode="External"/><Relationship Id="rId10" Type="http://schemas.openxmlformats.org/officeDocument/2006/relationships/hyperlink" Target="https://www.genome.jp/entry/C00680" TargetMode="External"/><Relationship Id="rId31" Type="http://schemas.openxmlformats.org/officeDocument/2006/relationships/hyperlink" Target="https://www.genome.jp/entry/C05258" TargetMode="External"/><Relationship Id="rId52" Type="http://schemas.openxmlformats.org/officeDocument/2006/relationships/hyperlink" Target="https://www.genome.jp/entry/C00826" TargetMode="External"/><Relationship Id="rId73" Type="http://schemas.openxmlformats.org/officeDocument/2006/relationships/hyperlink" Target="https://www.genome.jp/entry/C00041" TargetMode="External"/><Relationship Id="rId94" Type="http://schemas.openxmlformats.org/officeDocument/2006/relationships/hyperlink" Target="https://www.genome.jp/entry/C00668" TargetMode="External"/><Relationship Id="rId148" Type="http://schemas.openxmlformats.org/officeDocument/2006/relationships/hyperlink" Target="https://www.genome.jp/entry/C00111" TargetMode="External"/><Relationship Id="rId169" Type="http://schemas.openxmlformats.org/officeDocument/2006/relationships/hyperlink" Target="https://www.genome.jp/entry/C00254" TargetMode="External"/><Relationship Id="rId334" Type="http://schemas.openxmlformats.org/officeDocument/2006/relationships/hyperlink" Target="https://www.genome.jp/entry/C00668" TargetMode="External"/><Relationship Id="rId4" Type="http://schemas.openxmlformats.org/officeDocument/2006/relationships/hyperlink" Target="https://www.genome.jp/entry/C00718" TargetMode="External"/><Relationship Id="rId180" Type="http://schemas.openxmlformats.org/officeDocument/2006/relationships/hyperlink" Target="https://www.genome.jp/entry/C05923" TargetMode="External"/><Relationship Id="rId215" Type="http://schemas.openxmlformats.org/officeDocument/2006/relationships/hyperlink" Target="https://www.genome.jp/entry/C00158" TargetMode="External"/><Relationship Id="rId236" Type="http://schemas.openxmlformats.org/officeDocument/2006/relationships/hyperlink" Target="https://www.genome.jp/entry/C00065" TargetMode="External"/><Relationship Id="rId257" Type="http://schemas.openxmlformats.org/officeDocument/2006/relationships/hyperlink" Target="https://www.genome.jp/entry/C00117" TargetMode="External"/><Relationship Id="rId278" Type="http://schemas.openxmlformats.org/officeDocument/2006/relationships/hyperlink" Target="https://www.genome.jp/entry/C14463" TargetMode="External"/><Relationship Id="rId303" Type="http://schemas.openxmlformats.org/officeDocument/2006/relationships/hyperlink" Target="https://www.genome.jp/entry/C14145" TargetMode="External"/><Relationship Id="rId42" Type="http://schemas.openxmlformats.org/officeDocument/2006/relationships/hyperlink" Target="https://www.genome.jp/entry/C04666" TargetMode="External"/><Relationship Id="rId84" Type="http://schemas.openxmlformats.org/officeDocument/2006/relationships/hyperlink" Target="https://www.genome.jp/entry/C04896" TargetMode="External"/><Relationship Id="rId138" Type="http://schemas.openxmlformats.org/officeDocument/2006/relationships/hyperlink" Target="https://www.genome.jp/entry/C00133" TargetMode="External"/><Relationship Id="rId191" Type="http://schemas.openxmlformats.org/officeDocument/2006/relationships/hyperlink" Target="https://www.genome.jp/entry/C04874" TargetMode="External"/><Relationship Id="rId205" Type="http://schemas.openxmlformats.org/officeDocument/2006/relationships/hyperlink" Target="https://www.genome.jp/entry/C05266" TargetMode="External"/><Relationship Id="rId247" Type="http://schemas.openxmlformats.org/officeDocument/2006/relationships/hyperlink" Target="https://www.genome.jp/entry/C11907" TargetMode="External"/><Relationship Id="rId107" Type="http://schemas.openxmlformats.org/officeDocument/2006/relationships/hyperlink" Target="https://www.genome.jp/entry/C14463" TargetMode="External"/><Relationship Id="rId289" Type="http://schemas.openxmlformats.org/officeDocument/2006/relationships/hyperlink" Target="https://www.genome.jp/entry/C00208" TargetMode="External"/><Relationship Id="rId11" Type="http://schemas.openxmlformats.org/officeDocument/2006/relationships/hyperlink" Target="https://www.genome.jp/entry/C04751" TargetMode="External"/><Relationship Id="rId53" Type="http://schemas.openxmlformats.org/officeDocument/2006/relationships/hyperlink" Target="https://www.genome.jp/entry/C04039" TargetMode="External"/><Relationship Id="rId149" Type="http://schemas.openxmlformats.org/officeDocument/2006/relationships/hyperlink" Target="https://www.genome.jp/entry/C04916" TargetMode="External"/><Relationship Id="rId314" Type="http://schemas.openxmlformats.org/officeDocument/2006/relationships/hyperlink" Target="https://www.genome.jp/entry/C00203" TargetMode="External"/><Relationship Id="rId95" Type="http://schemas.openxmlformats.org/officeDocument/2006/relationships/hyperlink" Target="https://www.genome.jp/entry/C00129" TargetMode="External"/><Relationship Id="rId160" Type="http://schemas.openxmlformats.org/officeDocument/2006/relationships/hyperlink" Target="https://www.genome.jp/entry/C00235" TargetMode="External"/><Relationship Id="rId216" Type="http://schemas.openxmlformats.org/officeDocument/2006/relationships/hyperlink" Target="https://www.genome.jp/entry/C00158" TargetMode="External"/><Relationship Id="rId258" Type="http://schemas.openxmlformats.org/officeDocument/2006/relationships/hyperlink" Target="https://www.genome.jp/entry/C02962" TargetMode="External"/><Relationship Id="rId22" Type="http://schemas.openxmlformats.org/officeDocument/2006/relationships/hyperlink" Target="https://www.genome.jp/entry/C01353" TargetMode="External"/><Relationship Id="rId64" Type="http://schemas.openxmlformats.org/officeDocument/2006/relationships/hyperlink" Target="https://www.genome.jp/entry/C17234" TargetMode="External"/><Relationship Id="rId118" Type="http://schemas.openxmlformats.org/officeDocument/2006/relationships/hyperlink" Target="https://www.genome.jp/entry/C00208" TargetMode="External"/><Relationship Id="rId325" Type="http://schemas.openxmlformats.org/officeDocument/2006/relationships/hyperlink" Target="https://www.genome.jp/entry/C05345" TargetMode="External"/><Relationship Id="rId171" Type="http://schemas.openxmlformats.org/officeDocument/2006/relationships/hyperlink" Target="https://www.genome.jp/entry/C18094" TargetMode="External"/><Relationship Id="rId227" Type="http://schemas.openxmlformats.org/officeDocument/2006/relationships/hyperlink" Target="https://www.genome.jp/entry/C04895" TargetMode="External"/><Relationship Id="rId269" Type="http://schemas.openxmlformats.org/officeDocument/2006/relationships/hyperlink" Target="https://www.genome.jp/entry/C00620" TargetMode="External"/><Relationship Id="rId33" Type="http://schemas.openxmlformats.org/officeDocument/2006/relationships/hyperlink" Target="https://www.genome.jp/entry/C05264" TargetMode="External"/><Relationship Id="rId129" Type="http://schemas.openxmlformats.org/officeDocument/2006/relationships/hyperlink" Target="https://www.genome.jp/entry/C05116" TargetMode="External"/><Relationship Id="rId280" Type="http://schemas.openxmlformats.org/officeDocument/2006/relationships/hyperlink" Target="https://www.genome.jp/entry/C00073" TargetMode="External"/><Relationship Id="rId336" Type="http://schemas.openxmlformats.org/officeDocument/2006/relationships/hyperlink" Target="https://www.genome.jp/entry/C03735" TargetMode="External"/><Relationship Id="rId75" Type="http://schemas.openxmlformats.org/officeDocument/2006/relationships/hyperlink" Target="https://www.genome.jp/entry/C00199" TargetMode="External"/><Relationship Id="rId140" Type="http://schemas.openxmlformats.org/officeDocument/2006/relationships/hyperlink" Target="https://www.genome.jp/entry/C00231" TargetMode="External"/><Relationship Id="rId182" Type="http://schemas.openxmlformats.org/officeDocument/2006/relationships/hyperlink" Target="https://www.genome.jp/entry/C04751" TargetMode="External"/><Relationship Id="rId6" Type="http://schemas.openxmlformats.org/officeDocument/2006/relationships/hyperlink" Target="https://www.genome.jp/entry/C00201" TargetMode="External"/><Relationship Id="rId238" Type="http://schemas.openxmlformats.org/officeDocument/2006/relationships/hyperlink" Target="https://www.genome.jp/entry/C03406" TargetMode="External"/><Relationship Id="rId291" Type="http://schemas.openxmlformats.org/officeDocument/2006/relationships/hyperlink" Target="https://www.genome.jp/entry/C00438" TargetMode="External"/><Relationship Id="rId305" Type="http://schemas.openxmlformats.org/officeDocument/2006/relationships/hyperlink" Target="https://www.genome.jp/entry/C00311" TargetMode="External"/><Relationship Id="rId44" Type="http://schemas.openxmlformats.org/officeDocument/2006/relationships/hyperlink" Target="https://www.genome.jp/entry/C00158" TargetMode="External"/><Relationship Id="rId86" Type="http://schemas.openxmlformats.org/officeDocument/2006/relationships/hyperlink" Target="https://www.genome.jp/entry/C00117" TargetMode="External"/><Relationship Id="rId151" Type="http://schemas.openxmlformats.org/officeDocument/2006/relationships/hyperlink" Target="https://www.genome.jp/entry/C00199" TargetMode="External"/><Relationship Id="rId193" Type="http://schemas.openxmlformats.org/officeDocument/2006/relationships/hyperlink" Target="https://www.genome.jp/entry/C01353" TargetMode="External"/><Relationship Id="rId207" Type="http://schemas.openxmlformats.org/officeDocument/2006/relationships/hyperlink" Target="https://www.genome.jp/entry/C16329" TargetMode="External"/><Relationship Id="rId249" Type="http://schemas.openxmlformats.org/officeDocument/2006/relationships/hyperlink" Target="https://www.genome.jp/entry/C00043" TargetMode="External"/><Relationship Id="rId13" Type="http://schemas.openxmlformats.org/officeDocument/2006/relationships/hyperlink" Target="https://www.genome.jp/entry/C04352" TargetMode="External"/><Relationship Id="rId109" Type="http://schemas.openxmlformats.org/officeDocument/2006/relationships/hyperlink" Target="https://www.genome.jp/entry/C00073" TargetMode="External"/><Relationship Id="rId260" Type="http://schemas.openxmlformats.org/officeDocument/2006/relationships/hyperlink" Target="https://www.genome.jp/entry/C00275" TargetMode="External"/><Relationship Id="rId316" Type="http://schemas.openxmlformats.org/officeDocument/2006/relationships/hyperlink" Target="https://www.genome.jp/entry/C00221" TargetMode="External"/><Relationship Id="rId55" Type="http://schemas.openxmlformats.org/officeDocument/2006/relationships/hyperlink" Target="https://www.genome.jp/entry/C06007" TargetMode="External"/><Relationship Id="rId97" Type="http://schemas.openxmlformats.org/officeDocument/2006/relationships/hyperlink" Target="https://www.genome.jp/entry/C00103" TargetMode="External"/><Relationship Id="rId120" Type="http://schemas.openxmlformats.org/officeDocument/2006/relationships/hyperlink" Target="https://www.genome.jp/entry/C00438" TargetMode="External"/><Relationship Id="rId162" Type="http://schemas.openxmlformats.org/officeDocument/2006/relationships/hyperlink" Target="https://www.genome.jp/entry/C00092" TargetMode="External"/><Relationship Id="rId218" Type="http://schemas.openxmlformats.org/officeDocument/2006/relationships/hyperlink" Target="https://www.genome.jp/entry/C02504" TargetMode="External"/><Relationship Id="rId271" Type="http://schemas.openxmlformats.org/officeDocument/2006/relationships/hyperlink" Target="https://www.genome.jp/entry/C00620" TargetMode="External"/><Relationship Id="rId24" Type="http://schemas.openxmlformats.org/officeDocument/2006/relationships/hyperlink" Target="https://www.genome.jp/entry/C00631" TargetMode="External"/><Relationship Id="rId66" Type="http://schemas.openxmlformats.org/officeDocument/2006/relationships/hyperlink" Target="https://www.genome.jp/entry/C05167" TargetMode="External"/><Relationship Id="rId131" Type="http://schemas.openxmlformats.org/officeDocument/2006/relationships/hyperlink" Target="https://www.genome.jp/entry/C11947" TargetMode="External"/><Relationship Id="rId327" Type="http://schemas.openxmlformats.org/officeDocument/2006/relationships/hyperlink" Target="https://www.genome.jp/entry/C00085" TargetMode="External"/><Relationship Id="rId173" Type="http://schemas.openxmlformats.org/officeDocument/2006/relationships/hyperlink" Target="https://www.genome.jp/entry/C06010" TargetMode="External"/><Relationship Id="rId229" Type="http://schemas.openxmlformats.org/officeDocument/2006/relationships/hyperlink" Target="https://www.genome.jp/entry/C01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2FC8-3799-48E0-872A-A93042B8D5F9}">
  <dimension ref="A1:C27"/>
  <sheetViews>
    <sheetView workbookViewId="0">
      <selection activeCell="B1" sqref="B1"/>
    </sheetView>
  </sheetViews>
  <sheetFormatPr defaultRowHeight="15.5" x14ac:dyDescent="0.35"/>
  <cols>
    <col min="1" max="1" width="26.08984375" style="41" customWidth="1"/>
    <col min="2" max="2" width="17.36328125" style="41" customWidth="1"/>
    <col min="3" max="3" width="17.1796875" style="41" customWidth="1"/>
    <col min="4" max="16384" width="8.7265625" style="41"/>
  </cols>
  <sheetData>
    <row r="1" spans="1:3" ht="17.5" customHeight="1" x14ac:dyDescent="0.35">
      <c r="A1" s="41" t="s">
        <v>13680</v>
      </c>
      <c r="B1" s="50" t="s">
        <v>13681</v>
      </c>
    </row>
    <row r="2" spans="1:3" ht="17.5" customHeight="1" x14ac:dyDescent="0.35">
      <c r="A2" s="41" t="s">
        <v>13682</v>
      </c>
      <c r="B2" s="41" t="s">
        <v>13683</v>
      </c>
    </row>
    <row r="3" spans="1:3" ht="18" customHeight="1" x14ac:dyDescent="0.35">
      <c r="A3" s="41" t="s">
        <v>13684</v>
      </c>
      <c r="B3" s="41" t="s">
        <v>13685</v>
      </c>
    </row>
    <row r="4" spans="1:3" ht="18" customHeight="1" x14ac:dyDescent="0.35">
      <c r="A4" s="41" t="s">
        <v>13686</v>
      </c>
      <c r="B4" s="46" t="s">
        <v>15</v>
      </c>
    </row>
    <row r="5" spans="1:3" x14ac:dyDescent="0.35">
      <c r="A5" s="41" t="s">
        <v>13687</v>
      </c>
      <c r="B5" s="45" t="s">
        <v>13688</v>
      </c>
    </row>
    <row r="6" spans="1:3" ht="18" customHeight="1" x14ac:dyDescent="0.35">
      <c r="A6" s="41" t="s">
        <v>13689</v>
      </c>
      <c r="B6" s="44" t="s">
        <v>13690</v>
      </c>
    </row>
    <row r="7" spans="1:3" ht="18" customHeight="1" x14ac:dyDescent="0.35">
      <c r="B7" s="42" t="s">
        <v>13691</v>
      </c>
      <c r="C7" s="43" t="s">
        <v>13692</v>
      </c>
    </row>
    <row r="8" spans="1:3" ht="19" customHeight="1" x14ac:dyDescent="0.35">
      <c r="A8" s="41" t="s">
        <v>13693</v>
      </c>
      <c r="B8" s="43" t="s">
        <v>13694</v>
      </c>
      <c r="C8" s="43" t="s">
        <v>13694</v>
      </c>
    </row>
    <row r="9" spans="1:3" ht="19.5" customHeight="1" x14ac:dyDescent="0.35">
      <c r="A9" s="41" t="s">
        <v>13695</v>
      </c>
      <c r="B9" s="43" t="s">
        <v>13694</v>
      </c>
      <c r="C9" s="43" t="s">
        <v>13694</v>
      </c>
    </row>
    <row r="10" spans="1:3" ht="17" customHeight="1" x14ac:dyDescent="0.35">
      <c r="A10" s="41" t="s">
        <v>13696</v>
      </c>
      <c r="B10" s="43">
        <v>1</v>
      </c>
      <c r="C10" s="43">
        <v>1</v>
      </c>
    </row>
    <row r="11" spans="1:3" ht="18" customHeight="1" x14ac:dyDescent="0.35">
      <c r="A11" s="41" t="s">
        <v>13697</v>
      </c>
      <c r="B11" s="43">
        <v>1</v>
      </c>
      <c r="C11" s="43">
        <v>1</v>
      </c>
    </row>
    <row r="12" spans="1:3" ht="17" customHeight="1" x14ac:dyDescent="0.35">
      <c r="A12" s="41" t="s">
        <v>13698</v>
      </c>
      <c r="B12" s="43" t="s">
        <v>13694</v>
      </c>
      <c r="C12" s="43" t="s">
        <v>13694</v>
      </c>
    </row>
    <row r="13" spans="1:3" x14ac:dyDescent="0.35">
      <c r="A13" s="41" t="s">
        <v>13698</v>
      </c>
      <c r="B13" s="43">
        <v>1</v>
      </c>
      <c r="C13" s="43">
        <v>1</v>
      </c>
    </row>
    <row r="14" spans="1:3" x14ac:dyDescent="0.35">
      <c r="A14" s="41" t="s">
        <v>13699</v>
      </c>
      <c r="B14" s="43">
        <v>1</v>
      </c>
      <c r="C14" s="43">
        <v>1</v>
      </c>
    </row>
    <row r="15" spans="1:3" x14ac:dyDescent="0.35">
      <c r="A15" s="41" t="s">
        <v>13700</v>
      </c>
      <c r="B15" s="43" t="s">
        <v>13694</v>
      </c>
      <c r="C15" s="43" t="s">
        <v>13694</v>
      </c>
    </row>
    <row r="16" spans="1:3" x14ac:dyDescent="0.35">
      <c r="A16" s="41" t="s">
        <v>13701</v>
      </c>
      <c r="B16" s="43">
        <v>1</v>
      </c>
      <c r="C16" s="43">
        <v>1</v>
      </c>
    </row>
    <row r="17" spans="1:3" x14ac:dyDescent="0.35">
      <c r="A17" s="41" t="s">
        <v>13702</v>
      </c>
      <c r="B17" s="43">
        <v>40</v>
      </c>
      <c r="C17" s="43">
        <v>40</v>
      </c>
    </row>
    <row r="18" spans="1:3" x14ac:dyDescent="0.35">
      <c r="A18" s="41" t="s">
        <v>13703</v>
      </c>
      <c r="B18" s="43" t="s">
        <v>13704</v>
      </c>
      <c r="C18" s="43" t="s">
        <v>13704</v>
      </c>
    </row>
    <row r="19" spans="1:3" x14ac:dyDescent="0.35">
      <c r="A19" s="41" t="s">
        <v>13705</v>
      </c>
      <c r="B19" s="47">
        <v>2055</v>
      </c>
      <c r="C19" s="47">
        <v>2065</v>
      </c>
    </row>
    <row r="20" spans="1:3" x14ac:dyDescent="0.35">
      <c r="A20" s="41" t="s">
        <v>13706</v>
      </c>
      <c r="B20" s="47">
        <v>1936</v>
      </c>
      <c r="C20" s="47">
        <v>1979</v>
      </c>
    </row>
    <row r="21" spans="1:3" x14ac:dyDescent="0.35">
      <c r="B21" s="43"/>
      <c r="C21" s="43"/>
    </row>
    <row r="22" spans="1:3" x14ac:dyDescent="0.35">
      <c r="A22" s="41" t="s">
        <v>13707</v>
      </c>
      <c r="B22" s="48" t="s">
        <v>15</v>
      </c>
      <c r="C22" s="48" t="s">
        <v>13690</v>
      </c>
    </row>
    <row r="23" spans="1:3" x14ac:dyDescent="0.35">
      <c r="B23" s="43"/>
      <c r="C23" s="43"/>
    </row>
    <row r="24" spans="1:3" x14ac:dyDescent="0.35">
      <c r="B24" s="43"/>
      <c r="C24" s="43"/>
    </row>
    <row r="25" spans="1:3" x14ac:dyDescent="0.35">
      <c r="A25" s="41" t="s">
        <v>13708</v>
      </c>
      <c r="B25" s="43"/>
    </row>
    <row r="26" spans="1:3" x14ac:dyDescent="0.35">
      <c r="A26" s="41" t="s">
        <v>13709</v>
      </c>
      <c r="B26" s="49">
        <v>0.99450000000000005</v>
      </c>
    </row>
    <row r="27" spans="1:3" x14ac:dyDescent="0.35">
      <c r="A27" s="41" t="s">
        <v>13710</v>
      </c>
      <c r="B27" s="49">
        <v>6.6E-3</v>
      </c>
    </row>
  </sheetData>
  <hyperlinks>
    <hyperlink ref="B4" r:id="rId1" display="https://www.ncbi.nlm.nih.gov/nuccore/FR873482.1/" xr:uid="{87A051C1-FA36-4B40-B930-88E53C8D7729}"/>
    <hyperlink ref="B6" r:id="rId2" display="https://www.ncbi.nlm.nih.gov/nuccore/NC_017595.1/" xr:uid="{8B6B8C94-BC63-44CB-8B86-8C1C23400941}"/>
    <hyperlink ref="B22" r:id="rId3" display="https://www.ncbi.nlm.nih.gov/nuccore/FR873482.1/" xr:uid="{93796A08-9C2D-47F8-A935-77E4AF99BBC5}"/>
    <hyperlink ref="C22" r:id="rId4" display="https://www.ncbi.nlm.nih.gov/nuccore/NC_017595.1/" xr:uid="{F8C389D8-09E1-4B40-80CE-0D90299AA8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0777-2C83-45FC-8F99-69B93EAD200B}">
  <dimension ref="A1:T2066"/>
  <sheetViews>
    <sheetView topLeftCell="F1" workbookViewId="0">
      <selection activeCell="R14" sqref="R14"/>
    </sheetView>
  </sheetViews>
  <sheetFormatPr defaultRowHeight="14.5" x14ac:dyDescent="0.35"/>
  <cols>
    <col min="1" max="11" width="8.7265625" style="1"/>
    <col min="12" max="12" width="11.26953125" style="1" customWidth="1"/>
    <col min="13" max="14" width="8.7265625" style="1"/>
    <col min="15" max="15" width="11.90625" style="1" customWidth="1"/>
    <col min="16" max="24" width="8.7265625" style="1"/>
    <col min="25" max="25" width="16" style="1" customWidth="1"/>
    <col min="26" max="26" width="13.08984375" style="1" customWidth="1"/>
    <col min="27" max="27" width="11.54296875" style="1" customWidth="1"/>
    <col min="28" max="16384" width="8.7265625" style="1"/>
  </cols>
  <sheetData>
    <row r="1" spans="1:17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7" x14ac:dyDescent="0.35">
      <c r="A2" s="1" t="s">
        <v>15</v>
      </c>
      <c r="B2" s="1">
        <v>104</v>
      </c>
      <c r="C2" s="1">
        <v>1468</v>
      </c>
      <c r="E2" s="1" t="s">
        <v>16</v>
      </c>
      <c r="F2" s="1" t="s">
        <v>17</v>
      </c>
      <c r="G2" s="1" t="s">
        <v>18</v>
      </c>
      <c r="I2" s="1" t="s">
        <v>19</v>
      </c>
      <c r="L2" s="1" t="s">
        <v>20</v>
      </c>
      <c r="M2" s="1" t="s">
        <v>17</v>
      </c>
      <c r="N2" s="1">
        <v>454</v>
      </c>
      <c r="O2" s="1" t="s">
        <v>21</v>
      </c>
    </row>
    <row r="3" spans="1:17" x14ac:dyDescent="0.35">
      <c r="A3" s="1" t="s">
        <v>15</v>
      </c>
      <c r="B3" s="1">
        <v>1623</v>
      </c>
      <c r="C3" s="1">
        <v>2759</v>
      </c>
      <c r="E3" s="1" t="s">
        <v>16</v>
      </c>
      <c r="F3" s="1" t="s">
        <v>22</v>
      </c>
      <c r="G3" s="1" t="s">
        <v>23</v>
      </c>
      <c r="I3" s="1" t="s">
        <v>19</v>
      </c>
      <c r="L3" s="1" t="s">
        <v>24</v>
      </c>
      <c r="M3" s="1" t="s">
        <v>22</v>
      </c>
      <c r="N3" s="1">
        <v>378</v>
      </c>
      <c r="O3" s="1" t="s">
        <v>25</v>
      </c>
    </row>
    <row r="4" spans="1:17" x14ac:dyDescent="0.35">
      <c r="A4" s="1" t="s">
        <v>15</v>
      </c>
      <c r="B4" s="1">
        <v>2811</v>
      </c>
      <c r="C4" s="1">
        <v>3002</v>
      </c>
      <c r="E4" s="1" t="s">
        <v>16</v>
      </c>
      <c r="F4" s="1" t="s">
        <v>26</v>
      </c>
      <c r="G4" s="1" t="s">
        <v>27</v>
      </c>
      <c r="I4" s="1" t="s">
        <v>19</v>
      </c>
      <c r="L4" s="1" t="s">
        <v>28</v>
      </c>
      <c r="M4" s="1" t="s">
        <v>26</v>
      </c>
      <c r="N4" s="1">
        <v>63</v>
      </c>
      <c r="O4" s="1" t="s">
        <v>29</v>
      </c>
    </row>
    <row r="5" spans="1:17" x14ac:dyDescent="0.35">
      <c r="A5" s="1" t="s">
        <v>15</v>
      </c>
      <c r="B5" s="1">
        <v>3212</v>
      </c>
      <c r="C5" s="1">
        <v>4327</v>
      </c>
      <c r="E5" s="1" t="s">
        <v>16</v>
      </c>
      <c r="F5" s="1" t="s">
        <v>30</v>
      </c>
      <c r="G5" s="1" t="s">
        <v>31</v>
      </c>
      <c r="I5" s="1" t="s">
        <v>19</v>
      </c>
      <c r="L5" s="1" t="s">
        <v>32</v>
      </c>
      <c r="M5" s="1" t="s">
        <v>30</v>
      </c>
      <c r="N5" s="1">
        <v>371</v>
      </c>
      <c r="O5" s="1" t="s">
        <v>33</v>
      </c>
    </row>
    <row r="6" spans="1:17" x14ac:dyDescent="0.35">
      <c r="A6" s="1" t="s">
        <v>15</v>
      </c>
      <c r="B6" s="1">
        <v>4400</v>
      </c>
      <c r="C6" s="1">
        <v>4969</v>
      </c>
      <c r="E6" s="1" t="s">
        <v>16</v>
      </c>
      <c r="F6" s="1" t="s">
        <v>34</v>
      </c>
      <c r="G6" s="1" t="s">
        <v>35</v>
      </c>
      <c r="I6" s="1" t="s">
        <v>19</v>
      </c>
      <c r="L6" s="1" t="s">
        <v>36</v>
      </c>
      <c r="M6" s="1" t="s">
        <v>34</v>
      </c>
      <c r="N6" s="1">
        <v>189</v>
      </c>
      <c r="O6" s="1" t="s">
        <v>37</v>
      </c>
    </row>
    <row r="7" spans="1:17" x14ac:dyDescent="0.35">
      <c r="A7" s="1" t="s">
        <v>15</v>
      </c>
      <c r="B7" s="1">
        <v>4962</v>
      </c>
      <c r="C7" s="1">
        <v>8468</v>
      </c>
      <c r="E7" s="1" t="s">
        <v>16</v>
      </c>
      <c r="F7" s="1" t="s">
        <v>38</v>
      </c>
      <c r="G7" s="1" t="s">
        <v>39</v>
      </c>
      <c r="I7" s="1" t="s">
        <v>19</v>
      </c>
      <c r="L7" s="1" t="s">
        <v>40</v>
      </c>
      <c r="M7" s="1" t="s">
        <v>38</v>
      </c>
      <c r="N7" s="1">
        <v>1168</v>
      </c>
      <c r="O7" s="1" t="s">
        <v>41</v>
      </c>
    </row>
    <row r="8" spans="1:17" x14ac:dyDescent="0.35">
      <c r="A8" s="1" t="s">
        <v>15</v>
      </c>
      <c r="B8" s="1">
        <v>8654</v>
      </c>
      <c r="C8" s="1">
        <v>8929</v>
      </c>
      <c r="E8" s="1" t="s">
        <v>16</v>
      </c>
      <c r="F8" s="1" t="s">
        <v>42</v>
      </c>
      <c r="G8" s="1" t="s">
        <v>43</v>
      </c>
      <c r="I8" s="1" t="s">
        <v>19</v>
      </c>
      <c r="L8" s="1" t="s">
        <v>44</v>
      </c>
      <c r="M8" s="1" t="s">
        <v>42</v>
      </c>
      <c r="N8" s="1">
        <v>91</v>
      </c>
      <c r="O8" s="1" t="s">
        <v>45</v>
      </c>
    </row>
    <row r="9" spans="1:17" x14ac:dyDescent="0.35">
      <c r="A9" s="1" t="s">
        <v>15</v>
      </c>
      <c r="B9" s="1">
        <v>8913</v>
      </c>
      <c r="C9" s="1">
        <v>9284</v>
      </c>
      <c r="E9" s="1" t="s">
        <v>16</v>
      </c>
      <c r="F9" s="1" t="s">
        <v>46</v>
      </c>
      <c r="G9" s="1" t="s">
        <v>47</v>
      </c>
      <c r="I9" s="1" t="s">
        <v>19</v>
      </c>
      <c r="L9" s="1" t="s">
        <v>48</v>
      </c>
      <c r="M9" s="1" t="s">
        <v>46</v>
      </c>
      <c r="N9" s="1">
        <v>123</v>
      </c>
      <c r="O9" s="1" t="s">
        <v>49</v>
      </c>
    </row>
    <row r="10" spans="1:17" x14ac:dyDescent="0.35">
      <c r="A10" s="1" t="s">
        <v>15</v>
      </c>
      <c r="B10" s="1">
        <v>9284</v>
      </c>
      <c r="C10" s="1">
        <v>9415</v>
      </c>
      <c r="E10" s="1" t="s">
        <v>16</v>
      </c>
      <c r="F10" s="1" t="s">
        <v>50</v>
      </c>
      <c r="G10" s="1" t="s">
        <v>51</v>
      </c>
      <c r="I10" s="1" t="s">
        <v>19</v>
      </c>
      <c r="L10" s="1" t="s">
        <v>52</v>
      </c>
      <c r="M10" s="1" t="s">
        <v>50</v>
      </c>
      <c r="N10" s="1">
        <v>43</v>
      </c>
      <c r="O10" s="1" t="s">
        <v>53</v>
      </c>
    </row>
    <row r="11" spans="1:17" x14ac:dyDescent="0.35">
      <c r="A11" s="1" t="s">
        <v>15</v>
      </c>
      <c r="B11" s="1">
        <v>9412</v>
      </c>
      <c r="C11" s="1">
        <v>10704</v>
      </c>
      <c r="E11" s="1" t="s">
        <v>16</v>
      </c>
      <c r="F11" s="1" t="s">
        <v>54</v>
      </c>
      <c r="G11" s="1" t="s">
        <v>55</v>
      </c>
      <c r="I11" s="1" t="s">
        <v>19</v>
      </c>
      <c r="L11" s="1" t="s">
        <v>56</v>
      </c>
      <c r="M11" s="1" t="s">
        <v>54</v>
      </c>
      <c r="N11" s="1">
        <v>430</v>
      </c>
      <c r="O11" s="1" t="s">
        <v>57</v>
      </c>
    </row>
    <row r="12" spans="1:17" x14ac:dyDescent="0.35">
      <c r="A12" s="1" t="s">
        <v>15</v>
      </c>
      <c r="B12" s="1">
        <v>10704</v>
      </c>
      <c r="C12" s="1">
        <v>11969</v>
      </c>
      <c r="E12" s="1" t="s">
        <v>16</v>
      </c>
      <c r="F12" s="1" t="s">
        <v>58</v>
      </c>
      <c r="G12" s="1" t="s">
        <v>59</v>
      </c>
      <c r="I12" s="1" t="s">
        <v>19</v>
      </c>
      <c r="L12" s="1" t="s">
        <v>60</v>
      </c>
      <c r="M12" s="1" t="s">
        <v>58</v>
      </c>
      <c r="N12" s="1">
        <v>421</v>
      </c>
      <c r="O12" s="1" t="s">
        <v>61</v>
      </c>
      <c r="Q12" s="14"/>
    </row>
    <row r="13" spans="1:17" x14ac:dyDescent="0.35">
      <c r="A13" s="1" t="s">
        <v>15</v>
      </c>
      <c r="B13" s="1">
        <v>12051</v>
      </c>
      <c r="C13" s="1">
        <v>12593</v>
      </c>
      <c r="E13" s="1" t="s">
        <v>16</v>
      </c>
      <c r="F13" s="1" t="s">
        <v>62</v>
      </c>
      <c r="G13" s="1" t="s">
        <v>63</v>
      </c>
      <c r="I13" s="1" t="s">
        <v>19</v>
      </c>
      <c r="L13" s="1" t="s">
        <v>64</v>
      </c>
      <c r="M13" s="1" t="s">
        <v>62</v>
      </c>
      <c r="N13" s="1">
        <v>180</v>
      </c>
      <c r="O13" s="1" t="s">
        <v>65</v>
      </c>
      <c r="Q13" s="14"/>
    </row>
    <row r="14" spans="1:17" x14ac:dyDescent="0.35">
      <c r="A14" s="1" t="s">
        <v>15</v>
      </c>
      <c r="B14" s="1">
        <v>12613</v>
      </c>
      <c r="C14" s="1">
        <v>14592</v>
      </c>
      <c r="E14" s="1" t="s">
        <v>16</v>
      </c>
      <c r="F14" s="1" t="s">
        <v>66</v>
      </c>
      <c r="G14" s="1" t="s">
        <v>67</v>
      </c>
      <c r="I14" s="1" t="s">
        <v>19</v>
      </c>
      <c r="L14" s="1" t="s">
        <v>68</v>
      </c>
      <c r="M14" s="1" t="s">
        <v>66</v>
      </c>
      <c r="N14" s="1">
        <v>659</v>
      </c>
      <c r="O14" s="1" t="s">
        <v>69</v>
      </c>
    </row>
    <row r="15" spans="1:17" x14ac:dyDescent="0.35">
      <c r="A15" s="1" t="s">
        <v>15</v>
      </c>
      <c r="B15" s="1">
        <v>14961</v>
      </c>
      <c r="C15" s="1">
        <v>16496</v>
      </c>
      <c r="E15" s="1" t="s">
        <v>16</v>
      </c>
      <c r="F15" s="1" t="s">
        <v>70</v>
      </c>
      <c r="G15" s="1" t="s">
        <v>71</v>
      </c>
      <c r="I15" s="1" t="s">
        <v>72</v>
      </c>
      <c r="O15" s="1" t="s">
        <v>73</v>
      </c>
    </row>
    <row r="16" spans="1:17" x14ac:dyDescent="0.35">
      <c r="A16" s="1" t="s">
        <v>15</v>
      </c>
      <c r="B16" s="1">
        <v>16556</v>
      </c>
      <c r="C16" s="1">
        <v>16628</v>
      </c>
      <c r="E16" s="1" t="s">
        <v>16</v>
      </c>
      <c r="F16" s="1" t="s">
        <v>74</v>
      </c>
      <c r="I16" s="1" t="s">
        <v>75</v>
      </c>
      <c r="O16" s="1" t="s">
        <v>76</v>
      </c>
    </row>
    <row r="17" spans="1:15" x14ac:dyDescent="0.35">
      <c r="A17" s="1" t="s">
        <v>15</v>
      </c>
      <c r="B17" s="1">
        <v>16777</v>
      </c>
      <c r="C17" s="1">
        <v>19674</v>
      </c>
      <c r="E17" s="1" t="s">
        <v>16</v>
      </c>
      <c r="F17" s="1" t="s">
        <v>77</v>
      </c>
      <c r="G17" s="1" t="s">
        <v>78</v>
      </c>
      <c r="I17" s="1" t="s">
        <v>72</v>
      </c>
      <c r="O17" s="1" t="s">
        <v>79</v>
      </c>
    </row>
    <row r="18" spans="1:15" x14ac:dyDescent="0.35">
      <c r="A18" s="1" t="s">
        <v>15</v>
      </c>
      <c r="B18" s="1">
        <v>19761</v>
      </c>
      <c r="C18" s="1">
        <v>19904</v>
      </c>
      <c r="E18" s="1" t="s">
        <v>16</v>
      </c>
      <c r="F18" s="1" t="s">
        <v>80</v>
      </c>
      <c r="G18" s="1" t="s">
        <v>81</v>
      </c>
      <c r="I18" s="1" t="s">
        <v>72</v>
      </c>
      <c r="O18" s="1" t="s">
        <v>82</v>
      </c>
    </row>
    <row r="19" spans="1:15" x14ac:dyDescent="0.35">
      <c r="A19" s="1" t="s">
        <v>15</v>
      </c>
      <c r="B19" s="1">
        <v>19879</v>
      </c>
      <c r="C19" s="1">
        <v>19951</v>
      </c>
      <c r="E19" s="1" t="s">
        <v>16</v>
      </c>
      <c r="F19" s="1" t="s">
        <v>83</v>
      </c>
      <c r="I19" s="1" t="s">
        <v>75</v>
      </c>
      <c r="O19" s="1" t="s">
        <v>84</v>
      </c>
    </row>
    <row r="20" spans="1:15" x14ac:dyDescent="0.35">
      <c r="A20" s="1" t="s">
        <v>15</v>
      </c>
      <c r="B20" s="1">
        <v>19954</v>
      </c>
      <c r="C20" s="1">
        <v>20029</v>
      </c>
      <c r="E20" s="1" t="s">
        <v>16</v>
      </c>
      <c r="F20" s="1" t="s">
        <v>85</v>
      </c>
      <c r="I20" s="1" t="s">
        <v>75</v>
      </c>
      <c r="O20" s="1" t="s">
        <v>86</v>
      </c>
    </row>
    <row r="21" spans="1:15" x14ac:dyDescent="0.35">
      <c r="A21" s="1" t="s">
        <v>15</v>
      </c>
      <c r="B21" s="1">
        <v>20045</v>
      </c>
      <c r="C21" s="1">
        <v>20117</v>
      </c>
      <c r="E21" s="1" t="s">
        <v>16</v>
      </c>
      <c r="F21" s="1" t="s">
        <v>87</v>
      </c>
      <c r="I21" s="1" t="s">
        <v>75</v>
      </c>
      <c r="O21" s="1" t="s">
        <v>88</v>
      </c>
    </row>
    <row r="22" spans="1:15" x14ac:dyDescent="0.35">
      <c r="A22" s="1" t="s">
        <v>15</v>
      </c>
      <c r="B22" s="1">
        <v>20123</v>
      </c>
      <c r="C22" s="1">
        <v>20204</v>
      </c>
      <c r="E22" s="1" t="s">
        <v>16</v>
      </c>
      <c r="F22" s="1" t="s">
        <v>89</v>
      </c>
      <c r="I22" s="1" t="s">
        <v>75</v>
      </c>
      <c r="O22" s="1" t="s">
        <v>90</v>
      </c>
    </row>
    <row r="23" spans="1:15" x14ac:dyDescent="0.35">
      <c r="A23" s="1" t="s">
        <v>15</v>
      </c>
      <c r="B23" s="1">
        <v>20217</v>
      </c>
      <c r="C23" s="1">
        <v>20289</v>
      </c>
      <c r="E23" s="1" t="s">
        <v>16</v>
      </c>
      <c r="F23" s="1" t="s">
        <v>91</v>
      </c>
      <c r="I23" s="1" t="s">
        <v>75</v>
      </c>
      <c r="O23" s="1" t="s">
        <v>92</v>
      </c>
    </row>
    <row r="24" spans="1:15" x14ac:dyDescent="0.35">
      <c r="A24" s="1" t="s">
        <v>15</v>
      </c>
      <c r="B24" s="1">
        <v>20296</v>
      </c>
      <c r="C24" s="1">
        <v>20367</v>
      </c>
      <c r="E24" s="1" t="s">
        <v>16</v>
      </c>
      <c r="F24" s="1" t="s">
        <v>93</v>
      </c>
      <c r="I24" s="1" t="s">
        <v>75</v>
      </c>
      <c r="O24" s="1" t="s">
        <v>94</v>
      </c>
    </row>
    <row r="25" spans="1:15" x14ac:dyDescent="0.35">
      <c r="A25" s="1" t="s">
        <v>15</v>
      </c>
      <c r="B25" s="1">
        <v>20374</v>
      </c>
      <c r="C25" s="1">
        <v>20459</v>
      </c>
      <c r="E25" s="1" t="s">
        <v>16</v>
      </c>
      <c r="F25" s="1" t="s">
        <v>89</v>
      </c>
      <c r="I25" s="1" t="s">
        <v>75</v>
      </c>
      <c r="O25" s="1" t="s">
        <v>95</v>
      </c>
    </row>
    <row r="26" spans="1:15" x14ac:dyDescent="0.35">
      <c r="A26" s="1" t="s">
        <v>15</v>
      </c>
      <c r="B26" s="1">
        <v>20474</v>
      </c>
      <c r="C26" s="1">
        <v>20547</v>
      </c>
      <c r="E26" s="1" t="s">
        <v>16</v>
      </c>
      <c r="F26" s="1" t="s">
        <v>96</v>
      </c>
      <c r="I26" s="1" t="s">
        <v>75</v>
      </c>
      <c r="O26" s="1" t="s">
        <v>97</v>
      </c>
    </row>
    <row r="27" spans="1:15" x14ac:dyDescent="0.35">
      <c r="A27" s="1" t="s">
        <v>15</v>
      </c>
      <c r="B27" s="1">
        <v>20554</v>
      </c>
      <c r="C27" s="1">
        <v>20627</v>
      </c>
      <c r="E27" s="1" t="s">
        <v>16</v>
      </c>
      <c r="F27" s="1" t="s">
        <v>98</v>
      </c>
      <c r="I27" s="1" t="s">
        <v>75</v>
      </c>
      <c r="O27" s="1" t="s">
        <v>99</v>
      </c>
    </row>
    <row r="28" spans="1:15" x14ac:dyDescent="0.35">
      <c r="A28" s="1" t="s">
        <v>15</v>
      </c>
      <c r="B28" s="1">
        <v>20633</v>
      </c>
      <c r="C28" s="1">
        <v>20706</v>
      </c>
      <c r="E28" s="1" t="s">
        <v>16</v>
      </c>
      <c r="F28" s="1" t="s">
        <v>100</v>
      </c>
      <c r="I28" s="1" t="s">
        <v>75</v>
      </c>
      <c r="O28" s="1" t="s">
        <v>101</v>
      </c>
    </row>
    <row r="29" spans="1:15" x14ac:dyDescent="0.35">
      <c r="A29" s="1" t="s">
        <v>15</v>
      </c>
      <c r="B29" s="1">
        <v>20723</v>
      </c>
      <c r="C29" s="1">
        <v>20796</v>
      </c>
      <c r="E29" s="1" t="s">
        <v>16</v>
      </c>
      <c r="F29" s="1" t="s">
        <v>100</v>
      </c>
      <c r="I29" s="1" t="s">
        <v>75</v>
      </c>
      <c r="O29" s="1" t="s">
        <v>102</v>
      </c>
    </row>
    <row r="30" spans="1:15" x14ac:dyDescent="0.35">
      <c r="A30" s="1" t="s">
        <v>15</v>
      </c>
      <c r="B30" s="1">
        <v>20816</v>
      </c>
      <c r="C30" s="1">
        <v>20905</v>
      </c>
      <c r="E30" s="1" t="s">
        <v>16</v>
      </c>
      <c r="F30" s="1" t="s">
        <v>103</v>
      </c>
      <c r="I30" s="1" t="s">
        <v>75</v>
      </c>
      <c r="O30" s="1" t="s">
        <v>104</v>
      </c>
    </row>
    <row r="31" spans="1:15" x14ac:dyDescent="0.35">
      <c r="A31" s="1" t="s">
        <v>15</v>
      </c>
      <c r="B31" s="1">
        <v>20915</v>
      </c>
      <c r="C31" s="1">
        <v>20988</v>
      </c>
      <c r="E31" s="1" t="s">
        <v>16</v>
      </c>
      <c r="F31" s="1" t="s">
        <v>100</v>
      </c>
      <c r="I31" s="1" t="s">
        <v>75</v>
      </c>
      <c r="O31" s="1" t="s">
        <v>105</v>
      </c>
    </row>
    <row r="32" spans="1:15" x14ac:dyDescent="0.35">
      <c r="A32" s="1" t="s">
        <v>15</v>
      </c>
      <c r="B32" s="1">
        <v>20992</v>
      </c>
      <c r="C32" s="1">
        <v>21064</v>
      </c>
      <c r="E32" s="1" t="s">
        <v>16</v>
      </c>
      <c r="F32" s="1" t="s">
        <v>106</v>
      </c>
      <c r="I32" s="1" t="s">
        <v>75</v>
      </c>
      <c r="O32" s="1" t="s">
        <v>107</v>
      </c>
    </row>
    <row r="33" spans="1:17" x14ac:dyDescent="0.35">
      <c r="A33" s="1" t="s">
        <v>15</v>
      </c>
      <c r="B33" s="1">
        <v>21074</v>
      </c>
      <c r="C33" s="1">
        <v>21144</v>
      </c>
      <c r="E33" s="1" t="s">
        <v>16</v>
      </c>
      <c r="F33" s="1" t="s">
        <v>93</v>
      </c>
      <c r="I33" s="1" t="s">
        <v>75</v>
      </c>
      <c r="O33" s="1" t="s">
        <v>108</v>
      </c>
    </row>
    <row r="34" spans="1:17" x14ac:dyDescent="0.35">
      <c r="A34" s="1" t="s">
        <v>15</v>
      </c>
      <c r="B34" s="1">
        <v>21176</v>
      </c>
      <c r="C34" s="1">
        <v>21249</v>
      </c>
      <c r="E34" s="1" t="s">
        <v>16</v>
      </c>
      <c r="F34" s="1" t="s">
        <v>109</v>
      </c>
      <c r="I34" s="1" t="s">
        <v>75</v>
      </c>
      <c r="O34" s="1" t="s">
        <v>110</v>
      </c>
    </row>
    <row r="35" spans="1:17" x14ac:dyDescent="0.35">
      <c r="A35" s="1" t="s">
        <v>15</v>
      </c>
      <c r="B35" s="1">
        <v>21254</v>
      </c>
      <c r="C35" s="1">
        <v>21341</v>
      </c>
      <c r="E35" s="1" t="s">
        <v>16</v>
      </c>
      <c r="F35" s="1" t="s">
        <v>103</v>
      </c>
      <c r="I35" s="1" t="s">
        <v>75</v>
      </c>
      <c r="O35" s="1" t="s">
        <v>111</v>
      </c>
    </row>
    <row r="36" spans="1:17" x14ac:dyDescent="0.35">
      <c r="A36" s="1" t="s">
        <v>15</v>
      </c>
      <c r="B36" s="1">
        <v>21400</v>
      </c>
      <c r="C36" s="1">
        <v>22230</v>
      </c>
      <c r="E36" s="1" t="s">
        <v>16</v>
      </c>
      <c r="F36" s="1" t="s">
        <v>112</v>
      </c>
      <c r="G36" s="1" t="s">
        <v>113</v>
      </c>
      <c r="I36" s="1" t="s">
        <v>19</v>
      </c>
      <c r="L36" s="1" t="s">
        <v>114</v>
      </c>
      <c r="M36" s="1" t="s">
        <v>112</v>
      </c>
      <c r="N36" s="1">
        <v>276</v>
      </c>
      <c r="O36" s="1" t="s">
        <v>115</v>
      </c>
    </row>
    <row r="37" spans="1:17" x14ac:dyDescent="0.35">
      <c r="A37" s="1" t="s">
        <v>15</v>
      </c>
      <c r="B37" s="1">
        <v>22232</v>
      </c>
      <c r="C37" s="1">
        <v>22756</v>
      </c>
      <c r="E37" s="1" t="s">
        <v>16</v>
      </c>
      <c r="F37" s="1" t="s">
        <v>116</v>
      </c>
      <c r="G37" s="1" t="s">
        <v>117</v>
      </c>
      <c r="I37" s="1" t="s">
        <v>19</v>
      </c>
      <c r="L37" s="1" t="s">
        <v>118</v>
      </c>
      <c r="M37" s="1" t="s">
        <v>116</v>
      </c>
      <c r="N37" s="1">
        <v>174</v>
      </c>
      <c r="O37" s="1" t="s">
        <v>119</v>
      </c>
    </row>
    <row r="38" spans="1:17" x14ac:dyDescent="0.35">
      <c r="A38" s="1" t="s">
        <v>15</v>
      </c>
      <c r="B38" s="1">
        <v>22841</v>
      </c>
      <c r="C38" s="1">
        <v>24340</v>
      </c>
      <c r="E38" s="1" t="s">
        <v>16</v>
      </c>
      <c r="F38" s="1" t="s">
        <v>120</v>
      </c>
      <c r="G38" s="1" t="s">
        <v>121</v>
      </c>
      <c r="I38" s="1" t="s">
        <v>19</v>
      </c>
      <c r="L38" s="1" t="s">
        <v>122</v>
      </c>
      <c r="M38" s="1" t="s">
        <v>120</v>
      </c>
      <c r="N38" s="1">
        <v>499</v>
      </c>
      <c r="O38" s="1" t="s">
        <v>123</v>
      </c>
    </row>
    <row r="39" spans="1:17" x14ac:dyDescent="0.35">
      <c r="A39" s="1" t="s">
        <v>15</v>
      </c>
      <c r="B39" s="1">
        <v>24552</v>
      </c>
      <c r="C39" s="1">
        <v>25517</v>
      </c>
      <c r="E39" s="1" t="s">
        <v>16</v>
      </c>
      <c r="F39" s="1" t="s">
        <v>124</v>
      </c>
      <c r="G39" s="1" t="s">
        <v>125</v>
      </c>
      <c r="I39" s="1" t="s">
        <v>19</v>
      </c>
      <c r="L39" s="1" t="s">
        <v>126</v>
      </c>
      <c r="M39" s="1" t="s">
        <v>124</v>
      </c>
      <c r="N39" s="1">
        <v>321</v>
      </c>
      <c r="O39" s="1" t="s">
        <v>127</v>
      </c>
    </row>
    <row r="40" spans="1:17" x14ac:dyDescent="0.35">
      <c r="A40" s="1" t="s">
        <v>15</v>
      </c>
      <c r="B40" s="1">
        <v>25610</v>
      </c>
      <c r="C40" s="1">
        <v>26785</v>
      </c>
      <c r="E40" s="1" t="s">
        <v>16</v>
      </c>
      <c r="F40" s="1" t="s">
        <v>128</v>
      </c>
      <c r="G40" s="1" t="s">
        <v>129</v>
      </c>
      <c r="I40" s="1" t="s">
        <v>19</v>
      </c>
      <c r="L40" s="1" t="s">
        <v>130</v>
      </c>
      <c r="M40" s="1" t="s">
        <v>128</v>
      </c>
      <c r="N40" s="1">
        <v>391</v>
      </c>
      <c r="O40" s="1" t="s">
        <v>131</v>
      </c>
    </row>
    <row r="41" spans="1:17" x14ac:dyDescent="0.35">
      <c r="A41" s="1" t="s">
        <v>15</v>
      </c>
      <c r="B41" s="1">
        <v>26772</v>
      </c>
      <c r="C41" s="1">
        <v>27545</v>
      </c>
      <c r="E41" s="1" t="s">
        <v>16</v>
      </c>
      <c r="F41" s="1" t="s">
        <v>132</v>
      </c>
      <c r="G41" s="1" t="s">
        <v>133</v>
      </c>
      <c r="I41" s="1" t="s">
        <v>19</v>
      </c>
      <c r="L41" s="1" t="s">
        <v>134</v>
      </c>
      <c r="M41" s="1" t="s">
        <v>132</v>
      </c>
      <c r="N41" s="1">
        <v>257</v>
      </c>
      <c r="O41" s="1" t="s">
        <v>135</v>
      </c>
    </row>
    <row r="42" spans="1:17" x14ac:dyDescent="0.35">
      <c r="A42" s="1" t="s">
        <v>15</v>
      </c>
      <c r="B42" s="1">
        <v>27757</v>
      </c>
      <c r="C42" s="1">
        <v>28761</v>
      </c>
      <c r="E42" s="1" t="s">
        <v>16</v>
      </c>
      <c r="F42" s="1" t="s">
        <v>136</v>
      </c>
      <c r="G42" s="1" t="s">
        <v>137</v>
      </c>
      <c r="I42" s="1" t="s">
        <v>19</v>
      </c>
      <c r="L42" s="1" t="s">
        <v>138</v>
      </c>
      <c r="M42" s="1" t="s">
        <v>136</v>
      </c>
      <c r="N42" s="1">
        <v>334</v>
      </c>
      <c r="O42" s="1" t="s">
        <v>139</v>
      </c>
    </row>
    <row r="43" spans="1:17" x14ac:dyDescent="0.35">
      <c r="A43" s="1" t="s">
        <v>15</v>
      </c>
      <c r="B43" s="1">
        <v>28761</v>
      </c>
      <c r="C43" s="1">
        <v>29006</v>
      </c>
      <c r="E43" s="1" t="s">
        <v>16</v>
      </c>
      <c r="F43" s="1" t="s">
        <v>140</v>
      </c>
      <c r="G43" s="1" t="s">
        <v>141</v>
      </c>
      <c r="I43" s="1" t="s">
        <v>19</v>
      </c>
      <c r="L43" s="1" t="s">
        <v>142</v>
      </c>
      <c r="M43" s="1" t="s">
        <v>140</v>
      </c>
      <c r="N43" s="1">
        <v>81</v>
      </c>
      <c r="O43" s="1" t="s">
        <v>143</v>
      </c>
    </row>
    <row r="44" spans="1:17" x14ac:dyDescent="0.35">
      <c r="A44" s="1" t="s">
        <v>15</v>
      </c>
      <c r="B44" s="1">
        <v>29265</v>
      </c>
      <c r="C44" s="1">
        <v>29972</v>
      </c>
      <c r="E44" s="1" t="s">
        <v>16</v>
      </c>
      <c r="F44" s="1" t="s">
        <v>144</v>
      </c>
      <c r="G44" s="1" t="s">
        <v>145</v>
      </c>
      <c r="I44" s="1" t="s">
        <v>19</v>
      </c>
      <c r="L44" s="1" t="s">
        <v>146</v>
      </c>
      <c r="M44" s="1" t="s">
        <v>144</v>
      </c>
      <c r="N44" s="1">
        <v>235</v>
      </c>
      <c r="O44" s="1" t="s">
        <v>147</v>
      </c>
    </row>
    <row r="45" spans="1:17" x14ac:dyDescent="0.35">
      <c r="A45" s="1" t="s">
        <v>15</v>
      </c>
      <c r="B45" s="1">
        <v>30039</v>
      </c>
      <c r="C45" s="1">
        <v>33764</v>
      </c>
      <c r="E45" s="1" t="s">
        <v>16</v>
      </c>
      <c r="F45" s="1" t="s">
        <v>148</v>
      </c>
      <c r="G45" s="1" t="s">
        <v>149</v>
      </c>
      <c r="I45" s="1" t="s">
        <v>19</v>
      </c>
      <c r="L45" s="1" t="s">
        <v>150</v>
      </c>
      <c r="M45" s="1" t="s">
        <v>148</v>
      </c>
      <c r="N45" s="1">
        <v>1241</v>
      </c>
      <c r="O45" s="1" t="s">
        <v>151</v>
      </c>
      <c r="Q45" s="14"/>
    </row>
    <row r="46" spans="1:17" x14ac:dyDescent="0.35">
      <c r="A46" s="1" t="s">
        <v>15</v>
      </c>
      <c r="B46" s="1">
        <v>33920</v>
      </c>
      <c r="C46" s="1">
        <v>35359</v>
      </c>
      <c r="E46" s="1" t="s">
        <v>16</v>
      </c>
      <c r="F46" s="1" t="s">
        <v>152</v>
      </c>
      <c r="G46" s="1" t="s">
        <v>153</v>
      </c>
      <c r="I46" s="1" t="s">
        <v>19</v>
      </c>
      <c r="L46" s="1" t="s">
        <v>154</v>
      </c>
      <c r="M46" s="1" t="s">
        <v>152</v>
      </c>
      <c r="N46" s="1">
        <v>479</v>
      </c>
      <c r="O46" s="1" t="s">
        <v>155</v>
      </c>
    </row>
    <row r="47" spans="1:17" x14ac:dyDescent="0.35">
      <c r="A47" s="1" t="s">
        <v>15</v>
      </c>
      <c r="B47" s="1">
        <v>35570</v>
      </c>
      <c r="C47" s="1">
        <v>36592</v>
      </c>
      <c r="E47" s="1" t="s">
        <v>16</v>
      </c>
      <c r="F47" s="1" t="s">
        <v>156</v>
      </c>
      <c r="G47" s="1" t="s">
        <v>157</v>
      </c>
      <c r="I47" s="1" t="s">
        <v>19</v>
      </c>
      <c r="L47" s="1" t="s">
        <v>158</v>
      </c>
      <c r="M47" s="1" t="s">
        <v>156</v>
      </c>
      <c r="N47" s="1">
        <v>340</v>
      </c>
      <c r="O47" s="1" t="s">
        <v>159</v>
      </c>
    </row>
    <row r="48" spans="1:17" x14ac:dyDescent="0.35">
      <c r="A48" s="1" t="s">
        <v>15</v>
      </c>
      <c r="B48" s="1">
        <v>36777</v>
      </c>
      <c r="C48" s="1">
        <v>37325</v>
      </c>
      <c r="E48" s="1" t="s">
        <v>16</v>
      </c>
      <c r="F48" s="1" t="s">
        <v>160</v>
      </c>
      <c r="G48" s="1" t="s">
        <v>161</v>
      </c>
      <c r="I48" s="1" t="s">
        <v>19</v>
      </c>
      <c r="L48" s="1" t="s">
        <v>162</v>
      </c>
      <c r="M48" s="1" t="s">
        <v>160</v>
      </c>
      <c r="N48" s="1">
        <v>182</v>
      </c>
      <c r="O48" s="1" t="s">
        <v>163</v>
      </c>
    </row>
    <row r="49" spans="1:15" x14ac:dyDescent="0.35">
      <c r="A49" s="1" t="s">
        <v>15</v>
      </c>
      <c r="B49" s="1">
        <v>37325</v>
      </c>
      <c r="C49" s="1">
        <v>38077</v>
      </c>
      <c r="E49" s="1" t="s">
        <v>16</v>
      </c>
      <c r="F49" s="1" t="s">
        <v>164</v>
      </c>
      <c r="I49" s="1" t="s">
        <v>19</v>
      </c>
      <c r="L49" s="1" t="s">
        <v>165</v>
      </c>
      <c r="M49" s="1" t="s">
        <v>164</v>
      </c>
      <c r="N49" s="1">
        <v>250</v>
      </c>
      <c r="O49" s="1" t="s">
        <v>166</v>
      </c>
    </row>
    <row r="50" spans="1:15" x14ac:dyDescent="0.35">
      <c r="A50" s="1" t="s">
        <v>15</v>
      </c>
      <c r="B50" s="1">
        <v>38074</v>
      </c>
      <c r="C50" s="1">
        <v>39639</v>
      </c>
      <c r="E50" s="1" t="s">
        <v>16</v>
      </c>
      <c r="F50" s="1" t="s">
        <v>167</v>
      </c>
      <c r="G50" s="1" t="s">
        <v>168</v>
      </c>
      <c r="I50" s="1" t="s">
        <v>19</v>
      </c>
      <c r="L50" s="1" t="s">
        <v>169</v>
      </c>
      <c r="M50" s="1" t="s">
        <v>167</v>
      </c>
      <c r="N50" s="1">
        <v>521</v>
      </c>
      <c r="O50" s="1" t="s">
        <v>170</v>
      </c>
    </row>
    <row r="51" spans="1:15" x14ac:dyDescent="0.35">
      <c r="A51" s="1" t="s">
        <v>15</v>
      </c>
      <c r="B51" s="1">
        <v>39740</v>
      </c>
      <c r="C51" s="1">
        <v>40474</v>
      </c>
      <c r="E51" s="1" t="s">
        <v>16</v>
      </c>
      <c r="F51" s="1" t="s">
        <v>54</v>
      </c>
      <c r="I51" s="1" t="s">
        <v>19</v>
      </c>
      <c r="L51" s="1" t="s">
        <v>171</v>
      </c>
      <c r="M51" s="1" t="s">
        <v>54</v>
      </c>
      <c r="N51" s="1">
        <v>244</v>
      </c>
      <c r="O51" s="1" t="s">
        <v>172</v>
      </c>
    </row>
    <row r="52" spans="1:15" x14ac:dyDescent="0.35">
      <c r="A52" s="1" t="s">
        <v>15</v>
      </c>
      <c r="B52" s="1">
        <v>40750</v>
      </c>
      <c r="C52" s="1">
        <v>41799</v>
      </c>
      <c r="E52" s="1" t="s">
        <v>16</v>
      </c>
      <c r="F52" s="1" t="s">
        <v>54</v>
      </c>
      <c r="I52" s="1" t="s">
        <v>19</v>
      </c>
      <c r="L52" s="1" t="s">
        <v>173</v>
      </c>
      <c r="M52" s="1" t="s">
        <v>54</v>
      </c>
      <c r="N52" s="1">
        <v>349</v>
      </c>
      <c r="O52" s="1" t="s">
        <v>174</v>
      </c>
    </row>
    <row r="53" spans="1:15" x14ac:dyDescent="0.35">
      <c r="A53" s="1" t="s">
        <v>15</v>
      </c>
      <c r="B53" s="1">
        <v>41793</v>
      </c>
      <c r="C53" s="1">
        <v>42719</v>
      </c>
      <c r="E53" s="1" t="s">
        <v>16</v>
      </c>
      <c r="F53" s="1" t="s">
        <v>175</v>
      </c>
      <c r="I53" s="1" t="s">
        <v>19</v>
      </c>
      <c r="L53" s="1" t="s">
        <v>176</v>
      </c>
      <c r="M53" s="1" t="s">
        <v>175</v>
      </c>
      <c r="N53" s="1">
        <v>308</v>
      </c>
      <c r="O53" s="1" t="s">
        <v>177</v>
      </c>
    </row>
    <row r="54" spans="1:15" x14ac:dyDescent="0.35">
      <c r="A54" s="1" t="s">
        <v>15</v>
      </c>
      <c r="B54" s="1">
        <v>43035</v>
      </c>
      <c r="C54" s="1">
        <v>43874</v>
      </c>
      <c r="E54" s="1" t="s">
        <v>178</v>
      </c>
      <c r="F54" s="1" t="s">
        <v>179</v>
      </c>
      <c r="G54" s="1" t="s">
        <v>180</v>
      </c>
      <c r="I54" s="1" t="s">
        <v>19</v>
      </c>
      <c r="L54" s="1" t="s">
        <v>181</v>
      </c>
      <c r="M54" s="1" t="s">
        <v>179</v>
      </c>
      <c r="N54" s="1">
        <v>279</v>
      </c>
      <c r="O54" s="1" t="s">
        <v>182</v>
      </c>
    </row>
    <row r="55" spans="1:15" x14ac:dyDescent="0.35">
      <c r="A55" s="1" t="s">
        <v>15</v>
      </c>
      <c r="B55" s="1">
        <v>45102</v>
      </c>
      <c r="C55" s="1">
        <v>45599</v>
      </c>
      <c r="E55" s="1" t="s">
        <v>16</v>
      </c>
      <c r="F55" s="1" t="s">
        <v>54</v>
      </c>
      <c r="I55" s="1" t="s">
        <v>19</v>
      </c>
      <c r="L55" s="1" t="s">
        <v>183</v>
      </c>
      <c r="M55" s="1" t="s">
        <v>54</v>
      </c>
      <c r="N55" s="1">
        <v>165</v>
      </c>
      <c r="O55" s="1" t="s">
        <v>184</v>
      </c>
    </row>
    <row r="56" spans="1:15" x14ac:dyDescent="0.35">
      <c r="A56" s="1" t="s">
        <v>15</v>
      </c>
      <c r="B56" s="1">
        <v>45785</v>
      </c>
      <c r="C56" s="1">
        <v>47047</v>
      </c>
      <c r="E56" s="1" t="s">
        <v>16</v>
      </c>
      <c r="F56" s="1" t="s">
        <v>185</v>
      </c>
      <c r="G56" s="1" t="s">
        <v>186</v>
      </c>
      <c r="I56" s="1" t="s">
        <v>19</v>
      </c>
      <c r="L56" s="1" t="s">
        <v>187</v>
      </c>
      <c r="M56" s="1" t="s">
        <v>185</v>
      </c>
      <c r="N56" s="1">
        <v>420</v>
      </c>
      <c r="O56" s="1" t="s">
        <v>188</v>
      </c>
    </row>
    <row r="57" spans="1:15" x14ac:dyDescent="0.35">
      <c r="A57" s="1" t="s">
        <v>15</v>
      </c>
      <c r="B57" s="1">
        <v>47261</v>
      </c>
      <c r="C57" s="1">
        <v>47749</v>
      </c>
      <c r="E57" s="1" t="s">
        <v>16</v>
      </c>
      <c r="F57" s="1" t="s">
        <v>189</v>
      </c>
      <c r="G57" s="1" t="s">
        <v>190</v>
      </c>
      <c r="I57" s="1" t="s">
        <v>19</v>
      </c>
      <c r="L57" s="1" t="s">
        <v>191</v>
      </c>
      <c r="M57" s="1" t="s">
        <v>189</v>
      </c>
      <c r="N57" s="1">
        <v>162</v>
      </c>
      <c r="O57" s="1" t="s">
        <v>192</v>
      </c>
    </row>
    <row r="58" spans="1:15" x14ac:dyDescent="0.35">
      <c r="A58" s="1" t="s">
        <v>15</v>
      </c>
      <c r="B58" s="1">
        <v>47736</v>
      </c>
      <c r="C58" s="1">
        <v>48827</v>
      </c>
      <c r="E58" s="1" t="s">
        <v>16</v>
      </c>
      <c r="F58" s="1" t="s">
        <v>193</v>
      </c>
      <c r="G58" s="1" t="s">
        <v>194</v>
      </c>
      <c r="I58" s="1" t="s">
        <v>19</v>
      </c>
      <c r="L58" s="1" t="s">
        <v>195</v>
      </c>
      <c r="M58" s="1" t="s">
        <v>193</v>
      </c>
      <c r="N58" s="1">
        <v>363</v>
      </c>
      <c r="O58" s="1" t="s">
        <v>196</v>
      </c>
    </row>
    <row r="59" spans="1:15" x14ac:dyDescent="0.35">
      <c r="A59" s="1" t="s">
        <v>15</v>
      </c>
      <c r="B59" s="1">
        <v>48828</v>
      </c>
      <c r="C59" s="1">
        <v>49778</v>
      </c>
      <c r="E59" s="1" t="s">
        <v>16</v>
      </c>
      <c r="F59" s="1" t="s">
        <v>54</v>
      </c>
      <c r="I59" s="1" t="s">
        <v>19</v>
      </c>
      <c r="L59" s="1" t="s">
        <v>197</v>
      </c>
      <c r="M59" s="1" t="s">
        <v>54</v>
      </c>
      <c r="N59" s="1">
        <v>316</v>
      </c>
      <c r="O59" s="1" t="s">
        <v>198</v>
      </c>
    </row>
    <row r="60" spans="1:15" x14ac:dyDescent="0.35">
      <c r="A60" s="1" t="s">
        <v>15</v>
      </c>
      <c r="B60" s="1">
        <v>49787</v>
      </c>
      <c r="C60" s="1">
        <v>50014</v>
      </c>
      <c r="E60" s="1" t="s">
        <v>16</v>
      </c>
      <c r="F60" s="1" t="s">
        <v>54</v>
      </c>
      <c r="I60" s="1" t="s">
        <v>19</v>
      </c>
      <c r="L60" s="1" t="s">
        <v>199</v>
      </c>
      <c r="M60" s="1" t="s">
        <v>54</v>
      </c>
      <c r="N60" s="1">
        <v>75</v>
      </c>
      <c r="O60" s="1" t="s">
        <v>200</v>
      </c>
    </row>
    <row r="61" spans="1:15" x14ac:dyDescent="0.35">
      <c r="A61" s="1" t="s">
        <v>15</v>
      </c>
      <c r="B61" s="1">
        <v>50070</v>
      </c>
      <c r="C61" s="1">
        <v>51368</v>
      </c>
      <c r="E61" s="1" t="s">
        <v>16</v>
      </c>
      <c r="F61" s="1" t="s">
        <v>201</v>
      </c>
      <c r="G61" s="1" t="s">
        <v>202</v>
      </c>
      <c r="I61" s="1" t="s">
        <v>19</v>
      </c>
      <c r="L61" s="1" t="s">
        <v>203</v>
      </c>
      <c r="M61" s="1" t="s">
        <v>201</v>
      </c>
      <c r="N61" s="1">
        <v>432</v>
      </c>
      <c r="O61" s="1" t="s">
        <v>204</v>
      </c>
    </row>
    <row r="62" spans="1:15" x14ac:dyDescent="0.35">
      <c r="A62" s="1" t="s">
        <v>15</v>
      </c>
      <c r="B62" s="1">
        <v>52244</v>
      </c>
      <c r="C62" s="1">
        <v>53935</v>
      </c>
      <c r="E62" s="1" t="s">
        <v>178</v>
      </c>
      <c r="F62" s="1" t="s">
        <v>205</v>
      </c>
      <c r="G62" s="1" t="s">
        <v>206</v>
      </c>
      <c r="I62" s="1" t="s">
        <v>19</v>
      </c>
      <c r="L62" s="1" t="s">
        <v>207</v>
      </c>
      <c r="M62" s="1" t="s">
        <v>205</v>
      </c>
      <c r="N62" s="1">
        <v>563</v>
      </c>
      <c r="O62" s="1" t="s">
        <v>208</v>
      </c>
    </row>
    <row r="63" spans="1:15" x14ac:dyDescent="0.35">
      <c r="A63" s="1" t="s">
        <v>15</v>
      </c>
      <c r="B63" s="1">
        <v>54093</v>
      </c>
      <c r="C63" s="1">
        <v>54518</v>
      </c>
      <c r="E63" s="1" t="s">
        <v>16</v>
      </c>
      <c r="F63" s="1" t="s">
        <v>209</v>
      </c>
      <c r="G63" s="1" t="s">
        <v>210</v>
      </c>
      <c r="I63" s="1" t="s">
        <v>19</v>
      </c>
      <c r="L63" s="1" t="s">
        <v>211</v>
      </c>
      <c r="M63" s="1" t="s">
        <v>209</v>
      </c>
      <c r="N63" s="1">
        <v>141</v>
      </c>
      <c r="O63" s="1" t="s">
        <v>212</v>
      </c>
    </row>
    <row r="64" spans="1:15" x14ac:dyDescent="0.35">
      <c r="A64" s="1" t="s">
        <v>15</v>
      </c>
      <c r="B64" s="1">
        <v>54518</v>
      </c>
      <c r="C64" s="1">
        <v>54877</v>
      </c>
      <c r="E64" s="1" t="s">
        <v>16</v>
      </c>
      <c r="F64" s="1" t="s">
        <v>213</v>
      </c>
      <c r="I64" s="1" t="s">
        <v>19</v>
      </c>
      <c r="L64" s="1" t="s">
        <v>214</v>
      </c>
      <c r="M64" s="1" t="s">
        <v>213</v>
      </c>
      <c r="N64" s="1">
        <v>119</v>
      </c>
      <c r="O64" s="1" t="s">
        <v>215</v>
      </c>
    </row>
    <row r="65" spans="1:15" x14ac:dyDescent="0.35">
      <c r="A65" s="1" t="s">
        <v>15</v>
      </c>
      <c r="B65" s="1">
        <v>54870</v>
      </c>
      <c r="C65" s="1">
        <v>57428</v>
      </c>
      <c r="E65" s="1" t="s">
        <v>16</v>
      </c>
      <c r="F65" s="1" t="s">
        <v>216</v>
      </c>
      <c r="G65" s="1" t="s">
        <v>217</v>
      </c>
      <c r="I65" s="1" t="s">
        <v>19</v>
      </c>
      <c r="L65" s="1" t="s">
        <v>218</v>
      </c>
      <c r="M65" s="1" t="s">
        <v>216</v>
      </c>
      <c r="N65" s="1">
        <v>852</v>
      </c>
      <c r="O65" s="1" t="s">
        <v>219</v>
      </c>
    </row>
    <row r="66" spans="1:15" x14ac:dyDescent="0.35">
      <c r="A66" s="1" t="s">
        <v>15</v>
      </c>
      <c r="B66" s="1">
        <v>57462</v>
      </c>
      <c r="C66" s="1">
        <v>57917</v>
      </c>
      <c r="E66" s="1" t="s">
        <v>178</v>
      </c>
      <c r="F66" s="1" t="s">
        <v>50</v>
      </c>
      <c r="I66" s="1" t="s">
        <v>19</v>
      </c>
      <c r="L66" s="1" t="s">
        <v>220</v>
      </c>
      <c r="M66" s="1" t="s">
        <v>50</v>
      </c>
      <c r="N66" s="1">
        <v>151</v>
      </c>
      <c r="O66" s="1" t="s">
        <v>221</v>
      </c>
    </row>
    <row r="67" spans="1:15" x14ac:dyDescent="0.35">
      <c r="A67" s="1" t="s">
        <v>15</v>
      </c>
      <c r="B67" s="1">
        <v>57914</v>
      </c>
      <c r="C67" s="1">
        <v>58351</v>
      </c>
      <c r="E67" s="1" t="s">
        <v>178</v>
      </c>
      <c r="F67" s="1" t="s">
        <v>222</v>
      </c>
      <c r="I67" s="1" t="s">
        <v>19</v>
      </c>
      <c r="L67" s="1" t="s">
        <v>223</v>
      </c>
      <c r="M67" s="1" t="s">
        <v>222</v>
      </c>
      <c r="N67" s="1">
        <v>145</v>
      </c>
      <c r="O67" s="1" t="s">
        <v>224</v>
      </c>
    </row>
    <row r="68" spans="1:15" x14ac:dyDescent="0.35">
      <c r="A68" s="1" t="s">
        <v>15</v>
      </c>
      <c r="B68" s="1">
        <v>58530</v>
      </c>
      <c r="C68" s="1">
        <v>58835</v>
      </c>
      <c r="E68" s="1" t="s">
        <v>16</v>
      </c>
      <c r="F68" s="1" t="s">
        <v>54</v>
      </c>
      <c r="I68" s="1" t="s">
        <v>19</v>
      </c>
      <c r="L68" s="1" t="s">
        <v>225</v>
      </c>
      <c r="M68" s="1" t="s">
        <v>54</v>
      </c>
      <c r="N68" s="1">
        <v>101</v>
      </c>
      <c r="O68" s="1" t="s">
        <v>226</v>
      </c>
    </row>
    <row r="69" spans="1:15" x14ac:dyDescent="0.35">
      <c r="A69" s="1" t="s">
        <v>15</v>
      </c>
      <c r="B69" s="1">
        <v>58885</v>
      </c>
      <c r="C69" s="1">
        <v>60828</v>
      </c>
      <c r="E69" s="1" t="s">
        <v>16</v>
      </c>
      <c r="F69" s="1" t="s">
        <v>227</v>
      </c>
      <c r="G69" s="1" t="s">
        <v>228</v>
      </c>
      <c r="I69" s="1" t="s">
        <v>19</v>
      </c>
      <c r="L69" s="1" t="s">
        <v>229</v>
      </c>
      <c r="M69" s="1" t="s">
        <v>227</v>
      </c>
      <c r="N69" s="1">
        <v>647</v>
      </c>
      <c r="O69" s="1" t="s">
        <v>230</v>
      </c>
    </row>
    <row r="70" spans="1:15" x14ac:dyDescent="0.35">
      <c r="A70" s="1" t="s">
        <v>15</v>
      </c>
      <c r="B70" s="1">
        <v>60959</v>
      </c>
      <c r="C70" s="1">
        <v>61180</v>
      </c>
      <c r="E70" s="1" t="s">
        <v>16</v>
      </c>
      <c r="F70" s="1" t="s">
        <v>231</v>
      </c>
      <c r="I70" s="1" t="s">
        <v>19</v>
      </c>
      <c r="L70" s="1" t="s">
        <v>232</v>
      </c>
      <c r="M70" s="1" t="s">
        <v>231</v>
      </c>
      <c r="N70" s="1">
        <v>73</v>
      </c>
      <c r="O70" s="1" t="s">
        <v>233</v>
      </c>
    </row>
    <row r="71" spans="1:15" x14ac:dyDescent="0.35">
      <c r="A71" s="1" t="s">
        <v>15</v>
      </c>
      <c r="B71" s="1">
        <v>61338</v>
      </c>
      <c r="C71" s="1">
        <v>61928</v>
      </c>
      <c r="E71" s="1" t="s">
        <v>16</v>
      </c>
      <c r="F71" s="1" t="s">
        <v>234</v>
      </c>
      <c r="G71" s="1" t="s">
        <v>235</v>
      </c>
      <c r="I71" s="1" t="s">
        <v>19</v>
      </c>
      <c r="L71" s="1" t="s">
        <v>236</v>
      </c>
      <c r="M71" s="1" t="s">
        <v>234</v>
      </c>
      <c r="N71" s="1">
        <v>196</v>
      </c>
      <c r="O71" s="1" t="s">
        <v>237</v>
      </c>
    </row>
    <row r="72" spans="1:15" x14ac:dyDescent="0.35">
      <c r="A72" s="1" t="s">
        <v>15</v>
      </c>
      <c r="B72" s="1">
        <v>61937</v>
      </c>
      <c r="C72" s="1">
        <v>62491</v>
      </c>
      <c r="E72" s="1" t="s">
        <v>16</v>
      </c>
      <c r="F72" s="1" t="s">
        <v>238</v>
      </c>
      <c r="G72" s="1" t="s">
        <v>239</v>
      </c>
      <c r="I72" s="1" t="s">
        <v>19</v>
      </c>
      <c r="L72" s="1" t="s">
        <v>240</v>
      </c>
      <c r="M72" s="1" t="s">
        <v>238</v>
      </c>
      <c r="N72" s="1">
        <v>184</v>
      </c>
      <c r="O72" s="1" t="s">
        <v>241</v>
      </c>
    </row>
    <row r="73" spans="1:15" x14ac:dyDescent="0.35">
      <c r="A73" s="1" t="s">
        <v>15</v>
      </c>
      <c r="B73" s="1">
        <v>62588</v>
      </c>
      <c r="C73" s="1">
        <v>63856</v>
      </c>
      <c r="E73" s="1" t="s">
        <v>16</v>
      </c>
      <c r="F73" s="1" t="s">
        <v>242</v>
      </c>
      <c r="G73" s="1" t="s">
        <v>243</v>
      </c>
      <c r="I73" s="1" t="s">
        <v>19</v>
      </c>
      <c r="L73" s="1" t="s">
        <v>244</v>
      </c>
      <c r="M73" s="1" t="s">
        <v>242</v>
      </c>
      <c r="N73" s="1">
        <v>422</v>
      </c>
      <c r="O73" s="1" t="s">
        <v>245</v>
      </c>
    </row>
    <row r="74" spans="1:15" x14ac:dyDescent="0.35">
      <c r="A74" s="1" t="s">
        <v>15</v>
      </c>
      <c r="B74" s="1">
        <v>63892</v>
      </c>
      <c r="C74" s="1">
        <v>65031</v>
      </c>
      <c r="E74" s="1" t="s">
        <v>16</v>
      </c>
      <c r="F74" s="1" t="s">
        <v>246</v>
      </c>
      <c r="G74" s="1" t="s">
        <v>247</v>
      </c>
      <c r="I74" s="1" t="s">
        <v>19</v>
      </c>
      <c r="L74" s="1" t="s">
        <v>248</v>
      </c>
      <c r="M74" s="1" t="s">
        <v>246</v>
      </c>
      <c r="N74" s="1">
        <v>379</v>
      </c>
      <c r="O74" s="1" t="s">
        <v>249</v>
      </c>
    </row>
    <row r="75" spans="1:15" x14ac:dyDescent="0.35">
      <c r="A75" s="1" t="s">
        <v>15</v>
      </c>
      <c r="B75" s="1">
        <v>65199</v>
      </c>
      <c r="C75" s="1">
        <v>65597</v>
      </c>
      <c r="E75" s="1" t="s">
        <v>16</v>
      </c>
      <c r="F75" s="1" t="s">
        <v>250</v>
      </c>
      <c r="G75" s="1" t="s">
        <v>251</v>
      </c>
      <c r="I75" s="1" t="s">
        <v>19</v>
      </c>
      <c r="L75" s="1" t="s">
        <v>252</v>
      </c>
      <c r="M75" s="1" t="s">
        <v>250</v>
      </c>
      <c r="N75" s="1">
        <v>132</v>
      </c>
      <c r="O75" s="1" t="s">
        <v>253</v>
      </c>
    </row>
    <row r="76" spans="1:15" x14ac:dyDescent="0.35">
      <c r="A76" s="1" t="s">
        <v>15</v>
      </c>
      <c r="B76" s="1">
        <v>66026</v>
      </c>
      <c r="C76" s="1">
        <v>67561</v>
      </c>
      <c r="E76" s="1" t="s">
        <v>16</v>
      </c>
      <c r="F76" s="1" t="s">
        <v>70</v>
      </c>
      <c r="G76" s="1" t="s">
        <v>71</v>
      </c>
      <c r="I76" s="1" t="s">
        <v>72</v>
      </c>
      <c r="O76" s="1" t="s">
        <v>254</v>
      </c>
    </row>
    <row r="77" spans="1:15" x14ac:dyDescent="0.35">
      <c r="A77" s="1" t="s">
        <v>15</v>
      </c>
      <c r="B77" s="1">
        <v>67621</v>
      </c>
      <c r="C77" s="1">
        <v>67693</v>
      </c>
      <c r="E77" s="1" t="s">
        <v>16</v>
      </c>
      <c r="F77" s="1" t="s">
        <v>74</v>
      </c>
      <c r="I77" s="1" t="s">
        <v>75</v>
      </c>
      <c r="O77" s="1" t="s">
        <v>255</v>
      </c>
    </row>
    <row r="78" spans="1:15" x14ac:dyDescent="0.35">
      <c r="A78" s="1" t="s">
        <v>15</v>
      </c>
      <c r="B78" s="1">
        <v>67842</v>
      </c>
      <c r="C78" s="1">
        <v>70739</v>
      </c>
      <c r="E78" s="1" t="s">
        <v>16</v>
      </c>
      <c r="F78" s="1" t="s">
        <v>77</v>
      </c>
      <c r="G78" s="1" t="s">
        <v>78</v>
      </c>
      <c r="I78" s="1" t="s">
        <v>72</v>
      </c>
      <c r="O78" s="1" t="s">
        <v>256</v>
      </c>
    </row>
    <row r="79" spans="1:15" x14ac:dyDescent="0.35">
      <c r="A79" s="1" t="s">
        <v>15</v>
      </c>
      <c r="B79" s="1">
        <v>70826</v>
      </c>
      <c r="C79" s="1">
        <v>70969</v>
      </c>
      <c r="E79" s="1" t="s">
        <v>16</v>
      </c>
      <c r="F79" s="1" t="s">
        <v>80</v>
      </c>
      <c r="G79" s="1" t="s">
        <v>81</v>
      </c>
      <c r="I79" s="1" t="s">
        <v>72</v>
      </c>
      <c r="O79" s="1" t="s">
        <v>257</v>
      </c>
    </row>
    <row r="80" spans="1:15" x14ac:dyDescent="0.35">
      <c r="A80" s="1" t="s">
        <v>15</v>
      </c>
      <c r="B80" s="1">
        <v>70944</v>
      </c>
      <c r="C80" s="1">
        <v>71016</v>
      </c>
      <c r="E80" s="1" t="s">
        <v>16</v>
      </c>
      <c r="F80" s="1" t="s">
        <v>83</v>
      </c>
      <c r="I80" s="1" t="s">
        <v>75</v>
      </c>
      <c r="O80" s="1" t="s">
        <v>258</v>
      </c>
    </row>
    <row r="81" spans="1:15" x14ac:dyDescent="0.35">
      <c r="A81" s="1" t="s">
        <v>15</v>
      </c>
      <c r="B81" s="1">
        <v>71021</v>
      </c>
      <c r="C81" s="1">
        <v>71091</v>
      </c>
      <c r="E81" s="1" t="s">
        <v>16</v>
      </c>
      <c r="F81" s="1" t="s">
        <v>93</v>
      </c>
      <c r="I81" s="1" t="s">
        <v>75</v>
      </c>
      <c r="O81" s="1" t="s">
        <v>259</v>
      </c>
    </row>
    <row r="82" spans="1:15" x14ac:dyDescent="0.35">
      <c r="A82" s="1" t="s">
        <v>15</v>
      </c>
      <c r="B82" s="1">
        <v>71125</v>
      </c>
      <c r="C82" s="1">
        <v>71198</v>
      </c>
      <c r="E82" s="1" t="s">
        <v>16</v>
      </c>
      <c r="F82" s="1" t="s">
        <v>109</v>
      </c>
      <c r="I82" s="1" t="s">
        <v>75</v>
      </c>
      <c r="O82" s="1" t="s">
        <v>260</v>
      </c>
    </row>
    <row r="83" spans="1:15" x14ac:dyDescent="0.35">
      <c r="A83" s="1" t="s">
        <v>15</v>
      </c>
      <c r="B83" s="1">
        <v>71205</v>
      </c>
      <c r="C83" s="1">
        <v>71276</v>
      </c>
      <c r="E83" s="1" t="s">
        <v>16</v>
      </c>
      <c r="F83" s="1" t="s">
        <v>261</v>
      </c>
      <c r="I83" s="1" t="s">
        <v>75</v>
      </c>
      <c r="O83" s="1" t="s">
        <v>262</v>
      </c>
    </row>
    <row r="84" spans="1:15" x14ac:dyDescent="0.35">
      <c r="A84" s="1" t="s">
        <v>15</v>
      </c>
      <c r="B84" s="1">
        <v>71286</v>
      </c>
      <c r="C84" s="1">
        <v>71375</v>
      </c>
      <c r="E84" s="1" t="s">
        <v>16</v>
      </c>
      <c r="F84" s="1" t="s">
        <v>103</v>
      </c>
      <c r="I84" s="1" t="s">
        <v>75</v>
      </c>
      <c r="O84" s="1" t="s">
        <v>263</v>
      </c>
    </row>
    <row r="85" spans="1:15" x14ac:dyDescent="0.35">
      <c r="A85" s="1" t="s">
        <v>15</v>
      </c>
      <c r="B85" s="1">
        <v>71385</v>
      </c>
      <c r="C85" s="1">
        <v>71458</v>
      </c>
      <c r="E85" s="1" t="s">
        <v>16</v>
      </c>
      <c r="F85" s="1" t="s">
        <v>100</v>
      </c>
      <c r="I85" s="1" t="s">
        <v>75</v>
      </c>
      <c r="O85" s="1" t="s">
        <v>264</v>
      </c>
    </row>
    <row r="86" spans="1:15" x14ac:dyDescent="0.35">
      <c r="A86" s="1" t="s">
        <v>15</v>
      </c>
      <c r="B86" s="1">
        <v>71462</v>
      </c>
      <c r="C86" s="1">
        <v>71534</v>
      </c>
      <c r="E86" s="1" t="s">
        <v>16</v>
      </c>
      <c r="F86" s="1" t="s">
        <v>106</v>
      </c>
      <c r="I86" s="1" t="s">
        <v>75</v>
      </c>
      <c r="O86" s="1" t="s">
        <v>265</v>
      </c>
    </row>
    <row r="87" spans="1:15" x14ac:dyDescent="0.35">
      <c r="A87" s="1" t="s">
        <v>15</v>
      </c>
      <c r="B87" s="1">
        <v>71549</v>
      </c>
      <c r="C87" s="1">
        <v>71629</v>
      </c>
      <c r="E87" s="1" t="s">
        <v>16</v>
      </c>
      <c r="F87" s="1" t="s">
        <v>266</v>
      </c>
      <c r="I87" s="1" t="s">
        <v>75</v>
      </c>
      <c r="O87" s="1" t="s">
        <v>267</v>
      </c>
    </row>
    <row r="88" spans="1:15" x14ac:dyDescent="0.35">
      <c r="A88" s="1" t="s">
        <v>15</v>
      </c>
      <c r="B88" s="1">
        <v>71635</v>
      </c>
      <c r="C88" s="1">
        <v>71705</v>
      </c>
      <c r="E88" s="1" t="s">
        <v>16</v>
      </c>
      <c r="F88" s="1" t="s">
        <v>268</v>
      </c>
      <c r="I88" s="1" t="s">
        <v>75</v>
      </c>
      <c r="O88" s="1" t="s">
        <v>269</v>
      </c>
    </row>
    <row r="89" spans="1:15" x14ac:dyDescent="0.35">
      <c r="A89" s="1" t="s">
        <v>15</v>
      </c>
      <c r="B89" s="1">
        <v>71717</v>
      </c>
      <c r="C89" s="1">
        <v>71789</v>
      </c>
      <c r="E89" s="1" t="s">
        <v>16</v>
      </c>
      <c r="F89" s="1" t="s">
        <v>270</v>
      </c>
      <c r="I89" s="1" t="s">
        <v>75</v>
      </c>
      <c r="O89" s="1" t="s">
        <v>271</v>
      </c>
    </row>
    <row r="90" spans="1:15" x14ac:dyDescent="0.35">
      <c r="A90" s="1" t="s">
        <v>15</v>
      </c>
      <c r="B90" s="1">
        <v>71798</v>
      </c>
      <c r="C90" s="1">
        <v>71869</v>
      </c>
      <c r="E90" s="1" t="s">
        <v>16</v>
      </c>
      <c r="F90" s="1" t="s">
        <v>272</v>
      </c>
      <c r="I90" s="1" t="s">
        <v>75</v>
      </c>
      <c r="O90" s="1" t="s">
        <v>273</v>
      </c>
    </row>
    <row r="91" spans="1:15" x14ac:dyDescent="0.35">
      <c r="A91" s="1" t="s">
        <v>15</v>
      </c>
      <c r="B91" s="1">
        <v>71879</v>
      </c>
      <c r="C91" s="1">
        <v>71962</v>
      </c>
      <c r="E91" s="1" t="s">
        <v>16</v>
      </c>
      <c r="F91" s="1" t="s">
        <v>89</v>
      </c>
      <c r="I91" s="1" t="s">
        <v>75</v>
      </c>
      <c r="O91" s="1" t="s">
        <v>274</v>
      </c>
    </row>
    <row r="92" spans="1:15" x14ac:dyDescent="0.35">
      <c r="A92" s="1" t="s">
        <v>15</v>
      </c>
      <c r="B92" s="1">
        <v>72014</v>
      </c>
      <c r="C92" s="1">
        <v>76408</v>
      </c>
      <c r="E92" s="1" t="s">
        <v>16</v>
      </c>
      <c r="F92" s="1" t="s">
        <v>275</v>
      </c>
      <c r="G92" s="1" t="s">
        <v>276</v>
      </c>
      <c r="I92" s="1" t="s">
        <v>19</v>
      </c>
      <c r="L92" s="1" t="s">
        <v>277</v>
      </c>
      <c r="M92" s="1" t="s">
        <v>275</v>
      </c>
      <c r="N92" s="1">
        <v>1464</v>
      </c>
      <c r="O92" s="1" t="s">
        <v>278</v>
      </c>
    </row>
    <row r="93" spans="1:15" x14ac:dyDescent="0.35">
      <c r="A93" s="1" t="s">
        <v>15</v>
      </c>
      <c r="B93" s="1">
        <v>76572</v>
      </c>
      <c r="C93" s="1">
        <v>77813</v>
      </c>
      <c r="E93" s="1" t="s">
        <v>16</v>
      </c>
      <c r="F93" s="1" t="s">
        <v>279</v>
      </c>
      <c r="G93" s="1" t="s">
        <v>280</v>
      </c>
      <c r="I93" s="1" t="s">
        <v>19</v>
      </c>
      <c r="L93" s="1" t="s">
        <v>281</v>
      </c>
      <c r="M93" s="1" t="s">
        <v>279</v>
      </c>
      <c r="N93" s="1">
        <v>413</v>
      </c>
      <c r="O93" s="1" t="s">
        <v>282</v>
      </c>
    </row>
    <row r="94" spans="1:15" x14ac:dyDescent="0.35">
      <c r="A94" s="1" t="s">
        <v>15</v>
      </c>
      <c r="B94" s="1">
        <v>77833</v>
      </c>
      <c r="C94" s="1">
        <v>78063</v>
      </c>
      <c r="E94" s="1" t="s">
        <v>16</v>
      </c>
      <c r="F94" s="1" t="s">
        <v>54</v>
      </c>
      <c r="I94" s="1" t="s">
        <v>19</v>
      </c>
      <c r="L94" s="1" t="s">
        <v>283</v>
      </c>
      <c r="M94" s="1" t="s">
        <v>54</v>
      </c>
      <c r="N94" s="1">
        <v>76</v>
      </c>
      <c r="O94" s="1" t="s">
        <v>284</v>
      </c>
    </row>
    <row r="95" spans="1:15" x14ac:dyDescent="0.35">
      <c r="A95" s="1" t="s">
        <v>15</v>
      </c>
      <c r="B95" s="1">
        <v>78196</v>
      </c>
      <c r="C95" s="1">
        <v>78624</v>
      </c>
      <c r="E95" s="1" t="s">
        <v>16</v>
      </c>
      <c r="F95" s="1" t="s">
        <v>285</v>
      </c>
      <c r="G95" s="1" t="s">
        <v>286</v>
      </c>
      <c r="I95" s="1" t="s">
        <v>19</v>
      </c>
      <c r="L95" s="1" t="s">
        <v>287</v>
      </c>
      <c r="M95" s="1" t="s">
        <v>285</v>
      </c>
      <c r="N95" s="1">
        <v>142</v>
      </c>
      <c r="O95" s="1" t="s">
        <v>288</v>
      </c>
    </row>
    <row r="96" spans="1:15" x14ac:dyDescent="0.35">
      <c r="A96" s="1" t="s">
        <v>15</v>
      </c>
      <c r="B96" s="1">
        <v>78712</v>
      </c>
      <c r="C96" s="1">
        <v>79257</v>
      </c>
      <c r="E96" s="1" t="s">
        <v>16</v>
      </c>
      <c r="F96" s="1" t="s">
        <v>289</v>
      </c>
      <c r="I96" s="1" t="s">
        <v>19</v>
      </c>
      <c r="L96" s="1" t="s">
        <v>290</v>
      </c>
      <c r="M96" s="1" t="s">
        <v>289</v>
      </c>
      <c r="N96" s="1">
        <v>181</v>
      </c>
      <c r="O96" s="1" t="s">
        <v>291</v>
      </c>
    </row>
    <row r="97" spans="1:17" x14ac:dyDescent="0.35">
      <c r="A97" s="1" t="s">
        <v>15</v>
      </c>
      <c r="B97" s="1">
        <v>79342</v>
      </c>
      <c r="C97" s="1">
        <v>79415</v>
      </c>
      <c r="E97" s="1" t="s">
        <v>178</v>
      </c>
      <c r="F97" s="1" t="s">
        <v>292</v>
      </c>
      <c r="I97" s="1" t="s">
        <v>75</v>
      </c>
      <c r="O97" s="1" t="s">
        <v>293</v>
      </c>
    </row>
    <row r="98" spans="1:17" x14ac:dyDescent="0.35">
      <c r="A98" s="1" t="s">
        <v>15</v>
      </c>
      <c r="B98" s="1">
        <v>79591</v>
      </c>
      <c r="C98" s="1">
        <v>81123</v>
      </c>
      <c r="E98" s="1" t="s">
        <v>178</v>
      </c>
      <c r="F98" s="1" t="s">
        <v>294</v>
      </c>
      <c r="G98" s="1" t="s">
        <v>295</v>
      </c>
      <c r="I98" s="1" t="s">
        <v>19</v>
      </c>
      <c r="L98" s="1" t="s">
        <v>296</v>
      </c>
      <c r="M98" s="1" t="s">
        <v>294</v>
      </c>
      <c r="N98" s="1">
        <v>510</v>
      </c>
      <c r="O98" s="1" t="s">
        <v>297</v>
      </c>
    </row>
    <row r="99" spans="1:17" x14ac:dyDescent="0.35">
      <c r="A99" s="1" t="s">
        <v>15</v>
      </c>
      <c r="B99" s="1">
        <v>81140</v>
      </c>
      <c r="C99" s="1">
        <v>81700</v>
      </c>
      <c r="E99" s="1" t="s">
        <v>178</v>
      </c>
      <c r="F99" s="1" t="s">
        <v>298</v>
      </c>
      <c r="G99" s="1" t="s">
        <v>299</v>
      </c>
      <c r="I99" s="1" t="s">
        <v>19</v>
      </c>
      <c r="L99" s="1" t="s">
        <v>300</v>
      </c>
      <c r="M99" s="1" t="s">
        <v>298</v>
      </c>
      <c r="N99" s="1">
        <v>186</v>
      </c>
      <c r="O99" s="1" t="s">
        <v>301</v>
      </c>
    </row>
    <row r="100" spans="1:17" x14ac:dyDescent="0.35">
      <c r="A100" s="1" t="s">
        <v>15</v>
      </c>
      <c r="B100" s="1">
        <v>81973</v>
      </c>
      <c r="C100" s="1">
        <v>82740</v>
      </c>
      <c r="E100" s="1" t="s">
        <v>16</v>
      </c>
      <c r="F100" s="1" t="s">
        <v>302</v>
      </c>
      <c r="G100" s="1" t="s">
        <v>303</v>
      </c>
      <c r="I100" s="1" t="s">
        <v>19</v>
      </c>
      <c r="L100" s="1" t="s">
        <v>304</v>
      </c>
      <c r="M100" s="1" t="s">
        <v>302</v>
      </c>
      <c r="N100" s="1">
        <v>255</v>
      </c>
      <c r="O100" s="1" t="s">
        <v>305</v>
      </c>
    </row>
    <row r="101" spans="1:17" x14ac:dyDescent="0.35">
      <c r="A101" s="1" t="s">
        <v>15</v>
      </c>
      <c r="B101" s="1">
        <v>82851</v>
      </c>
      <c r="C101" s="1">
        <v>83891</v>
      </c>
      <c r="E101" s="1" t="s">
        <v>16</v>
      </c>
      <c r="F101" s="1" t="s">
        <v>306</v>
      </c>
      <c r="G101" s="1" t="s">
        <v>307</v>
      </c>
      <c r="I101" s="1" t="s">
        <v>19</v>
      </c>
      <c r="L101" s="1" t="s">
        <v>308</v>
      </c>
      <c r="M101" s="1" t="s">
        <v>306</v>
      </c>
      <c r="N101" s="1">
        <v>346</v>
      </c>
      <c r="O101" s="1" t="s">
        <v>309</v>
      </c>
    </row>
    <row r="102" spans="1:17" x14ac:dyDescent="0.35">
      <c r="A102" s="1" t="s">
        <v>15</v>
      </c>
      <c r="B102" s="1">
        <v>83998</v>
      </c>
      <c r="C102" s="1">
        <v>84468</v>
      </c>
      <c r="E102" s="1" t="s">
        <v>178</v>
      </c>
      <c r="F102" s="1" t="s">
        <v>213</v>
      </c>
      <c r="I102" s="1" t="s">
        <v>19</v>
      </c>
      <c r="L102" s="1" t="s">
        <v>310</v>
      </c>
      <c r="M102" s="1" t="s">
        <v>213</v>
      </c>
      <c r="N102" s="1">
        <v>156</v>
      </c>
      <c r="O102" s="1" t="s">
        <v>311</v>
      </c>
    </row>
    <row r="103" spans="1:17" x14ac:dyDescent="0.35">
      <c r="A103" s="1" t="s">
        <v>15</v>
      </c>
      <c r="B103" s="1">
        <v>84786</v>
      </c>
      <c r="C103" s="1">
        <v>85241</v>
      </c>
      <c r="E103" s="1" t="s">
        <v>16</v>
      </c>
      <c r="F103" s="1" t="s">
        <v>312</v>
      </c>
      <c r="G103" s="1" t="s">
        <v>313</v>
      </c>
      <c r="I103" s="1" t="s">
        <v>19</v>
      </c>
      <c r="L103" s="1" t="s">
        <v>314</v>
      </c>
      <c r="M103" s="1" t="s">
        <v>312</v>
      </c>
      <c r="N103" s="1">
        <v>151</v>
      </c>
      <c r="O103" s="1" t="s">
        <v>315</v>
      </c>
    </row>
    <row r="104" spans="1:17" x14ac:dyDescent="0.35">
      <c r="A104" s="1" t="s">
        <v>15</v>
      </c>
      <c r="B104" s="1">
        <v>85242</v>
      </c>
      <c r="C104" s="1">
        <v>87692</v>
      </c>
      <c r="E104" s="1" t="s">
        <v>16</v>
      </c>
      <c r="F104" s="1" t="s">
        <v>316</v>
      </c>
      <c r="G104" s="1" t="s">
        <v>317</v>
      </c>
      <c r="I104" s="1" t="s">
        <v>19</v>
      </c>
      <c r="L104" s="1" t="s">
        <v>318</v>
      </c>
      <c r="M104" s="1" t="s">
        <v>316</v>
      </c>
      <c r="N104" s="1">
        <v>816</v>
      </c>
      <c r="O104" s="1" t="s">
        <v>319</v>
      </c>
    </row>
    <row r="105" spans="1:17" x14ac:dyDescent="0.35">
      <c r="A105" s="1" t="s">
        <v>15</v>
      </c>
      <c r="B105" s="1">
        <v>87821</v>
      </c>
      <c r="C105" s="1">
        <v>89077</v>
      </c>
      <c r="E105" s="1" t="s">
        <v>178</v>
      </c>
      <c r="F105" s="1" t="s">
        <v>320</v>
      </c>
      <c r="G105" s="1" t="s">
        <v>321</v>
      </c>
      <c r="I105" s="1" t="s">
        <v>19</v>
      </c>
      <c r="L105" s="1" t="s">
        <v>322</v>
      </c>
      <c r="M105" s="1" t="s">
        <v>320</v>
      </c>
      <c r="N105" s="1">
        <v>418</v>
      </c>
      <c r="O105" s="1" t="s">
        <v>323</v>
      </c>
      <c r="Q105" s="14"/>
    </row>
    <row r="106" spans="1:17" x14ac:dyDescent="0.35">
      <c r="A106" s="1" t="s">
        <v>15</v>
      </c>
      <c r="B106" s="1">
        <v>89222</v>
      </c>
      <c r="C106" s="1">
        <v>90469</v>
      </c>
      <c r="E106" s="1" t="s">
        <v>178</v>
      </c>
      <c r="F106" s="1" t="s">
        <v>324</v>
      </c>
      <c r="G106" s="1" t="s">
        <v>325</v>
      </c>
      <c r="I106" s="1" t="s">
        <v>19</v>
      </c>
      <c r="L106" s="1" t="s">
        <v>326</v>
      </c>
      <c r="M106" s="1" t="s">
        <v>324</v>
      </c>
      <c r="N106" s="1">
        <v>415</v>
      </c>
      <c r="O106" s="1" t="s">
        <v>327</v>
      </c>
    </row>
    <row r="107" spans="1:17" x14ac:dyDescent="0.35">
      <c r="A107" s="1" t="s">
        <v>15</v>
      </c>
      <c r="B107" s="1">
        <v>90679</v>
      </c>
      <c r="C107" s="1">
        <v>92916</v>
      </c>
      <c r="E107" s="1" t="s">
        <v>16</v>
      </c>
      <c r="F107" s="1" t="s">
        <v>328</v>
      </c>
      <c r="G107" s="1" t="s">
        <v>329</v>
      </c>
      <c r="I107" s="1" t="s">
        <v>19</v>
      </c>
      <c r="L107" s="1" t="s">
        <v>330</v>
      </c>
      <c r="M107" s="1" t="s">
        <v>328</v>
      </c>
      <c r="N107" s="1">
        <v>745</v>
      </c>
      <c r="O107" s="1" t="s">
        <v>331</v>
      </c>
    </row>
    <row r="108" spans="1:17" x14ac:dyDescent="0.35">
      <c r="A108" s="1" t="s">
        <v>15</v>
      </c>
      <c r="B108" s="1">
        <v>92913</v>
      </c>
      <c r="C108" s="1">
        <v>93683</v>
      </c>
      <c r="E108" s="1" t="s">
        <v>16</v>
      </c>
      <c r="F108" s="1" t="s">
        <v>54</v>
      </c>
      <c r="I108" s="1" t="s">
        <v>19</v>
      </c>
      <c r="L108" s="1" t="s">
        <v>332</v>
      </c>
      <c r="M108" s="1" t="s">
        <v>54</v>
      </c>
      <c r="N108" s="1">
        <v>256</v>
      </c>
      <c r="O108" s="1" t="s">
        <v>333</v>
      </c>
    </row>
    <row r="109" spans="1:17" x14ac:dyDescent="0.35">
      <c r="A109" s="1" t="s">
        <v>15</v>
      </c>
      <c r="B109" s="1">
        <v>93768</v>
      </c>
      <c r="C109" s="1">
        <v>94388</v>
      </c>
      <c r="E109" s="1" t="s">
        <v>16</v>
      </c>
      <c r="F109" s="1" t="s">
        <v>334</v>
      </c>
      <c r="G109" s="1" t="s">
        <v>335</v>
      </c>
      <c r="I109" s="1" t="s">
        <v>19</v>
      </c>
      <c r="L109" s="1" t="s">
        <v>336</v>
      </c>
      <c r="M109" s="1" t="s">
        <v>334</v>
      </c>
      <c r="N109" s="1">
        <v>206</v>
      </c>
      <c r="O109" s="1" t="s">
        <v>337</v>
      </c>
      <c r="Q109" s="14"/>
    </row>
    <row r="110" spans="1:17" x14ac:dyDescent="0.35">
      <c r="A110" s="1" t="s">
        <v>15</v>
      </c>
      <c r="B110" s="1">
        <v>94401</v>
      </c>
      <c r="C110" s="1">
        <v>94559</v>
      </c>
      <c r="E110" s="1" t="s">
        <v>16</v>
      </c>
      <c r="F110" s="1" t="s">
        <v>54</v>
      </c>
      <c r="I110" s="1" t="s">
        <v>19</v>
      </c>
      <c r="L110" s="1" t="s">
        <v>338</v>
      </c>
      <c r="M110" s="1" t="s">
        <v>54</v>
      </c>
      <c r="N110" s="1">
        <v>52</v>
      </c>
      <c r="O110" s="1" t="s">
        <v>339</v>
      </c>
    </row>
    <row r="111" spans="1:17" x14ac:dyDescent="0.35">
      <c r="A111" s="1" t="s">
        <v>15</v>
      </c>
      <c r="B111" s="1">
        <v>94570</v>
      </c>
      <c r="C111" s="1">
        <v>94737</v>
      </c>
      <c r="E111" s="1" t="s">
        <v>16</v>
      </c>
      <c r="F111" s="1" t="s">
        <v>54</v>
      </c>
      <c r="I111" s="1" t="s">
        <v>19</v>
      </c>
      <c r="L111" s="1" t="s">
        <v>340</v>
      </c>
      <c r="M111" s="1" t="s">
        <v>54</v>
      </c>
      <c r="N111" s="1">
        <v>55</v>
      </c>
      <c r="O111" s="1" t="s">
        <v>341</v>
      </c>
    </row>
    <row r="112" spans="1:17" x14ac:dyDescent="0.35">
      <c r="A112" s="1" t="s">
        <v>15</v>
      </c>
      <c r="B112" s="1">
        <v>94765</v>
      </c>
      <c r="C112" s="1">
        <v>96108</v>
      </c>
      <c r="E112" s="1" t="s">
        <v>16</v>
      </c>
      <c r="F112" s="1" t="s">
        <v>342</v>
      </c>
      <c r="G112" s="1" t="s">
        <v>343</v>
      </c>
      <c r="I112" s="1" t="s">
        <v>19</v>
      </c>
      <c r="L112" s="1" t="s">
        <v>344</v>
      </c>
      <c r="M112" s="1" t="s">
        <v>342</v>
      </c>
      <c r="N112" s="1">
        <v>447</v>
      </c>
      <c r="O112" s="1" t="s">
        <v>345</v>
      </c>
    </row>
    <row r="113" spans="1:17" x14ac:dyDescent="0.35">
      <c r="A113" s="1" t="s">
        <v>15</v>
      </c>
      <c r="B113" s="1">
        <v>96101</v>
      </c>
      <c r="C113" s="1">
        <v>96502</v>
      </c>
      <c r="E113" s="1" t="s">
        <v>16</v>
      </c>
      <c r="F113" s="1" t="s">
        <v>346</v>
      </c>
      <c r="I113" s="1" t="s">
        <v>19</v>
      </c>
      <c r="L113" s="1" t="s">
        <v>347</v>
      </c>
      <c r="M113" s="1" t="s">
        <v>346</v>
      </c>
      <c r="N113" s="1">
        <v>133</v>
      </c>
      <c r="O113" s="1" t="s">
        <v>348</v>
      </c>
    </row>
    <row r="114" spans="1:17" x14ac:dyDescent="0.35">
      <c r="A114" s="1" t="s">
        <v>15</v>
      </c>
      <c r="B114" s="1">
        <v>96792</v>
      </c>
      <c r="C114" s="1">
        <v>98468</v>
      </c>
      <c r="E114" s="1" t="s">
        <v>16</v>
      </c>
      <c r="F114" s="1" t="s">
        <v>54</v>
      </c>
      <c r="I114" s="1" t="s">
        <v>19</v>
      </c>
      <c r="L114" s="1" t="s">
        <v>349</v>
      </c>
      <c r="M114" s="1" t="s">
        <v>54</v>
      </c>
      <c r="N114" s="1">
        <v>558</v>
      </c>
      <c r="O114" s="1" t="s">
        <v>350</v>
      </c>
    </row>
    <row r="115" spans="1:17" x14ac:dyDescent="0.35">
      <c r="A115" s="1" t="s">
        <v>15</v>
      </c>
      <c r="B115" s="1">
        <v>98516</v>
      </c>
      <c r="C115" s="1">
        <v>99259</v>
      </c>
      <c r="E115" s="1" t="s">
        <v>16</v>
      </c>
      <c r="F115" s="1" t="s">
        <v>351</v>
      </c>
      <c r="G115" s="1" t="s">
        <v>352</v>
      </c>
      <c r="I115" s="1" t="s">
        <v>19</v>
      </c>
      <c r="L115" s="1" t="s">
        <v>353</v>
      </c>
      <c r="M115" s="1" t="s">
        <v>351</v>
      </c>
      <c r="N115" s="1">
        <v>247</v>
      </c>
      <c r="O115" s="1" t="s">
        <v>354</v>
      </c>
      <c r="Q115" s="14"/>
    </row>
    <row r="116" spans="1:17" x14ac:dyDescent="0.35">
      <c r="A116" s="1" t="s">
        <v>15</v>
      </c>
      <c r="B116" s="1">
        <v>99262</v>
      </c>
      <c r="C116" s="1">
        <v>99777</v>
      </c>
      <c r="E116" s="1" t="s">
        <v>16</v>
      </c>
      <c r="F116" s="1" t="s">
        <v>355</v>
      </c>
      <c r="I116" s="1" t="s">
        <v>19</v>
      </c>
      <c r="L116" s="1" t="s">
        <v>356</v>
      </c>
      <c r="M116" s="1" t="s">
        <v>355</v>
      </c>
      <c r="N116" s="1">
        <v>171</v>
      </c>
      <c r="O116" s="1" t="s">
        <v>357</v>
      </c>
    </row>
    <row r="117" spans="1:17" x14ac:dyDescent="0.35">
      <c r="A117" s="1" t="s">
        <v>15</v>
      </c>
      <c r="B117" s="1">
        <v>99786</v>
      </c>
      <c r="C117" s="1">
        <v>100646</v>
      </c>
      <c r="E117" s="1" t="s">
        <v>16</v>
      </c>
      <c r="F117" s="1" t="s">
        <v>50</v>
      </c>
      <c r="I117" s="1" t="s">
        <v>19</v>
      </c>
      <c r="L117" s="1" t="s">
        <v>358</v>
      </c>
      <c r="M117" s="1" t="s">
        <v>50</v>
      </c>
      <c r="N117" s="1">
        <v>286</v>
      </c>
      <c r="O117" s="1" t="s">
        <v>359</v>
      </c>
    </row>
    <row r="118" spans="1:17" x14ac:dyDescent="0.35">
      <c r="A118" s="1" t="s">
        <v>15</v>
      </c>
      <c r="B118" s="1">
        <v>100682</v>
      </c>
      <c r="C118" s="1">
        <v>101575</v>
      </c>
      <c r="E118" s="1" t="s">
        <v>16</v>
      </c>
      <c r="F118" s="1" t="s">
        <v>54</v>
      </c>
      <c r="I118" s="1" t="s">
        <v>19</v>
      </c>
      <c r="L118" s="1" t="s">
        <v>360</v>
      </c>
      <c r="M118" s="1" t="s">
        <v>54</v>
      </c>
      <c r="N118" s="1">
        <v>297</v>
      </c>
      <c r="O118" s="1" t="s">
        <v>361</v>
      </c>
    </row>
    <row r="119" spans="1:17" x14ac:dyDescent="0.35">
      <c r="A119" s="1" t="s">
        <v>15</v>
      </c>
      <c r="B119" s="1">
        <v>101749</v>
      </c>
      <c r="C119" s="1">
        <v>102195</v>
      </c>
      <c r="E119" s="1" t="s">
        <v>16</v>
      </c>
      <c r="F119" s="1" t="s">
        <v>362</v>
      </c>
      <c r="G119" s="1" t="s">
        <v>363</v>
      </c>
      <c r="I119" s="1" t="s">
        <v>19</v>
      </c>
      <c r="L119" s="1" t="s">
        <v>364</v>
      </c>
      <c r="M119" s="1" t="s">
        <v>362</v>
      </c>
      <c r="N119" s="1">
        <v>148</v>
      </c>
      <c r="O119" s="1" t="s">
        <v>365</v>
      </c>
    </row>
    <row r="120" spans="1:17" x14ac:dyDescent="0.35">
      <c r="A120" s="1" t="s">
        <v>15</v>
      </c>
      <c r="B120" s="1">
        <v>102223</v>
      </c>
      <c r="C120" s="1">
        <v>102615</v>
      </c>
      <c r="E120" s="1" t="s">
        <v>16</v>
      </c>
      <c r="F120" s="1" t="s">
        <v>366</v>
      </c>
      <c r="G120" s="1" t="s">
        <v>367</v>
      </c>
      <c r="I120" s="1" t="s">
        <v>19</v>
      </c>
      <c r="L120" s="1" t="s">
        <v>368</v>
      </c>
      <c r="M120" s="1" t="s">
        <v>366</v>
      </c>
      <c r="N120" s="1">
        <v>130</v>
      </c>
      <c r="O120" s="1" t="s">
        <v>369</v>
      </c>
    </row>
    <row r="121" spans="1:17" x14ac:dyDescent="0.35">
      <c r="A121" s="1" t="s">
        <v>15</v>
      </c>
      <c r="B121" s="1">
        <v>103001</v>
      </c>
      <c r="C121" s="1">
        <v>103582</v>
      </c>
      <c r="E121" s="1" t="s">
        <v>16</v>
      </c>
      <c r="F121" s="1" t="s">
        <v>50</v>
      </c>
      <c r="I121" s="1" t="s">
        <v>19</v>
      </c>
      <c r="L121" s="1" t="s">
        <v>370</v>
      </c>
      <c r="M121" s="1" t="s">
        <v>50</v>
      </c>
      <c r="N121" s="1">
        <v>193</v>
      </c>
      <c r="O121" s="1" t="s">
        <v>371</v>
      </c>
    </row>
    <row r="122" spans="1:17" x14ac:dyDescent="0.35">
      <c r="A122" s="1" t="s">
        <v>15</v>
      </c>
      <c r="B122" s="1">
        <v>104046</v>
      </c>
      <c r="C122" s="1">
        <v>104495</v>
      </c>
      <c r="E122" s="1" t="s">
        <v>16</v>
      </c>
      <c r="F122" s="1" t="s">
        <v>372</v>
      </c>
      <c r="G122" s="1" t="s">
        <v>373</v>
      </c>
      <c r="I122" s="1" t="s">
        <v>19</v>
      </c>
      <c r="L122" s="1" t="s">
        <v>374</v>
      </c>
      <c r="M122" s="1" t="s">
        <v>372</v>
      </c>
      <c r="N122" s="1">
        <v>149</v>
      </c>
      <c r="O122" s="1" t="s">
        <v>375</v>
      </c>
    </row>
    <row r="123" spans="1:17" x14ac:dyDescent="0.35">
      <c r="A123" s="1" t="s">
        <v>15</v>
      </c>
      <c r="B123" s="1">
        <v>104515</v>
      </c>
      <c r="C123" s="1">
        <v>106605</v>
      </c>
      <c r="E123" s="1" t="s">
        <v>16</v>
      </c>
      <c r="F123" s="1" t="s">
        <v>376</v>
      </c>
      <c r="G123" s="1" t="s">
        <v>377</v>
      </c>
      <c r="I123" s="1" t="s">
        <v>19</v>
      </c>
      <c r="L123" s="1" t="s">
        <v>378</v>
      </c>
      <c r="M123" s="1" t="s">
        <v>376</v>
      </c>
      <c r="N123" s="1">
        <v>696</v>
      </c>
      <c r="O123" s="1" t="s">
        <v>379</v>
      </c>
    </row>
    <row r="124" spans="1:17" x14ac:dyDescent="0.35">
      <c r="A124" s="1" t="s">
        <v>15</v>
      </c>
      <c r="B124" s="1">
        <v>107312</v>
      </c>
      <c r="C124" s="1">
        <v>107926</v>
      </c>
      <c r="E124" s="1" t="s">
        <v>16</v>
      </c>
      <c r="F124" s="1" t="s">
        <v>380</v>
      </c>
      <c r="G124" s="1" t="s">
        <v>381</v>
      </c>
      <c r="I124" s="1" t="s">
        <v>19</v>
      </c>
      <c r="L124" s="1" t="s">
        <v>382</v>
      </c>
      <c r="M124" s="1" t="s">
        <v>380</v>
      </c>
      <c r="N124" s="1">
        <v>204</v>
      </c>
      <c r="O124" s="1" t="s">
        <v>383</v>
      </c>
    </row>
    <row r="125" spans="1:17" x14ac:dyDescent="0.35">
      <c r="A125" s="1" t="s">
        <v>15</v>
      </c>
      <c r="B125" s="1">
        <v>107938</v>
      </c>
      <c r="C125" s="1">
        <v>108276</v>
      </c>
      <c r="E125" s="1" t="s">
        <v>16</v>
      </c>
      <c r="F125" s="1" t="s">
        <v>384</v>
      </c>
      <c r="G125" s="1" t="s">
        <v>385</v>
      </c>
      <c r="I125" s="1" t="s">
        <v>19</v>
      </c>
      <c r="L125" s="1" t="s">
        <v>386</v>
      </c>
      <c r="M125" s="1" t="s">
        <v>384</v>
      </c>
      <c r="N125" s="1">
        <v>112</v>
      </c>
      <c r="O125" s="1" t="s">
        <v>387</v>
      </c>
    </row>
    <row r="126" spans="1:17" x14ac:dyDescent="0.35">
      <c r="A126" s="1" t="s">
        <v>15</v>
      </c>
      <c r="B126" s="1">
        <v>109183</v>
      </c>
      <c r="C126" s="1">
        <v>109764</v>
      </c>
      <c r="E126" s="1" t="s">
        <v>16</v>
      </c>
      <c r="F126" s="1" t="s">
        <v>388</v>
      </c>
      <c r="I126" s="1" t="s">
        <v>19</v>
      </c>
      <c r="L126" s="1" t="s">
        <v>389</v>
      </c>
      <c r="M126" s="1" t="s">
        <v>388</v>
      </c>
      <c r="N126" s="1">
        <v>193</v>
      </c>
      <c r="O126" s="1" t="s">
        <v>390</v>
      </c>
    </row>
    <row r="127" spans="1:17" x14ac:dyDescent="0.35">
      <c r="A127" s="1" t="s">
        <v>15</v>
      </c>
      <c r="B127" s="1">
        <v>109768</v>
      </c>
      <c r="C127" s="1">
        <v>109977</v>
      </c>
      <c r="E127" s="1" t="s">
        <v>16</v>
      </c>
      <c r="F127" s="1" t="s">
        <v>391</v>
      </c>
      <c r="I127" s="1" t="s">
        <v>19</v>
      </c>
      <c r="L127" s="1" t="s">
        <v>392</v>
      </c>
      <c r="M127" s="1" t="s">
        <v>391</v>
      </c>
      <c r="N127" s="1">
        <v>69</v>
      </c>
      <c r="O127" s="1" t="s">
        <v>393</v>
      </c>
    </row>
    <row r="128" spans="1:17" x14ac:dyDescent="0.35">
      <c r="A128" s="1" t="s">
        <v>15</v>
      </c>
      <c r="B128" s="1">
        <v>110670</v>
      </c>
      <c r="C128" s="1">
        <v>111083</v>
      </c>
      <c r="E128" s="1" t="s">
        <v>16</v>
      </c>
      <c r="F128" s="1" t="s">
        <v>54</v>
      </c>
      <c r="I128" s="1" t="s">
        <v>19</v>
      </c>
      <c r="L128" s="1" t="s">
        <v>394</v>
      </c>
      <c r="M128" s="1" t="s">
        <v>54</v>
      </c>
      <c r="N128" s="1">
        <v>137</v>
      </c>
      <c r="O128" s="1" t="s">
        <v>395</v>
      </c>
    </row>
    <row r="129" spans="1:17" x14ac:dyDescent="0.35">
      <c r="A129" s="1" t="s">
        <v>15</v>
      </c>
      <c r="B129" s="1">
        <v>111170</v>
      </c>
      <c r="C129" s="1">
        <v>112006</v>
      </c>
      <c r="E129" s="1" t="s">
        <v>16</v>
      </c>
      <c r="F129" s="1" t="s">
        <v>396</v>
      </c>
      <c r="G129" s="1" t="s">
        <v>397</v>
      </c>
      <c r="I129" s="1" t="s">
        <v>19</v>
      </c>
      <c r="L129" s="1" t="s">
        <v>398</v>
      </c>
      <c r="M129" s="1" t="s">
        <v>396</v>
      </c>
      <c r="N129" s="1">
        <v>278</v>
      </c>
      <c r="O129" s="1" t="s">
        <v>399</v>
      </c>
    </row>
    <row r="130" spans="1:17" x14ac:dyDescent="0.35">
      <c r="A130" s="1" t="s">
        <v>15</v>
      </c>
      <c r="B130" s="1">
        <v>112171</v>
      </c>
      <c r="C130" s="1">
        <v>113388</v>
      </c>
      <c r="E130" s="1" t="s">
        <v>16</v>
      </c>
      <c r="F130" s="1" t="s">
        <v>54</v>
      </c>
      <c r="I130" s="1" t="s">
        <v>19</v>
      </c>
      <c r="L130" s="1" t="s">
        <v>400</v>
      </c>
      <c r="M130" s="1" t="s">
        <v>54</v>
      </c>
      <c r="N130" s="1">
        <v>405</v>
      </c>
      <c r="O130" s="1" t="s">
        <v>401</v>
      </c>
    </row>
    <row r="131" spans="1:17" x14ac:dyDescent="0.35">
      <c r="A131" s="1" t="s">
        <v>15</v>
      </c>
      <c r="B131" s="1">
        <v>113711</v>
      </c>
      <c r="C131" s="1">
        <v>113977</v>
      </c>
      <c r="E131" s="1" t="s">
        <v>16</v>
      </c>
      <c r="F131" s="1" t="s">
        <v>402</v>
      </c>
      <c r="I131" s="1" t="s">
        <v>19</v>
      </c>
      <c r="L131" s="1" t="s">
        <v>403</v>
      </c>
      <c r="M131" s="1" t="s">
        <v>402</v>
      </c>
      <c r="N131" s="1">
        <v>88</v>
      </c>
      <c r="O131" s="1" t="s">
        <v>404</v>
      </c>
    </row>
    <row r="132" spans="1:17" x14ac:dyDescent="0.35">
      <c r="A132" s="1" t="s">
        <v>15</v>
      </c>
      <c r="B132" s="1">
        <v>113995</v>
      </c>
      <c r="C132" s="1">
        <v>115332</v>
      </c>
      <c r="E132" s="1" t="s">
        <v>16</v>
      </c>
      <c r="F132" s="1" t="s">
        <v>50</v>
      </c>
      <c r="I132" s="1" t="s">
        <v>19</v>
      </c>
      <c r="L132" s="1" t="s">
        <v>405</v>
      </c>
      <c r="M132" s="1" t="s">
        <v>50</v>
      </c>
      <c r="N132" s="1">
        <v>445</v>
      </c>
      <c r="O132" s="1" t="s">
        <v>406</v>
      </c>
    </row>
    <row r="133" spans="1:17" x14ac:dyDescent="0.35">
      <c r="A133" s="1" t="s">
        <v>15</v>
      </c>
      <c r="B133" s="1">
        <v>115449</v>
      </c>
      <c r="C133" s="1">
        <v>116111</v>
      </c>
      <c r="E133" s="1" t="s">
        <v>16</v>
      </c>
      <c r="F133" s="1" t="s">
        <v>407</v>
      </c>
      <c r="G133" s="1" t="s">
        <v>408</v>
      </c>
      <c r="I133" s="1" t="s">
        <v>19</v>
      </c>
      <c r="L133" s="1" t="s">
        <v>409</v>
      </c>
      <c r="M133" s="1" t="s">
        <v>407</v>
      </c>
      <c r="N133" s="1">
        <v>220</v>
      </c>
      <c r="O133" s="1" t="s">
        <v>410</v>
      </c>
      <c r="Q133" s="14"/>
    </row>
    <row r="134" spans="1:17" x14ac:dyDescent="0.35">
      <c r="A134" s="1" t="s">
        <v>15</v>
      </c>
      <c r="B134" s="1">
        <v>116140</v>
      </c>
      <c r="C134" s="1">
        <v>116937</v>
      </c>
      <c r="E134" s="1" t="s">
        <v>16</v>
      </c>
      <c r="F134" s="1" t="s">
        <v>411</v>
      </c>
      <c r="I134" s="1" t="s">
        <v>19</v>
      </c>
      <c r="L134" s="1" t="s">
        <v>412</v>
      </c>
      <c r="M134" s="1" t="s">
        <v>411</v>
      </c>
      <c r="N134" s="1">
        <v>265</v>
      </c>
      <c r="O134" s="1" t="s">
        <v>413</v>
      </c>
      <c r="Q134" s="14"/>
    </row>
    <row r="135" spans="1:17" x14ac:dyDescent="0.35">
      <c r="A135" s="1" t="s">
        <v>15</v>
      </c>
      <c r="B135" s="1">
        <v>116934</v>
      </c>
      <c r="C135" s="1">
        <v>117515</v>
      </c>
      <c r="E135" s="1" t="s">
        <v>16</v>
      </c>
      <c r="F135" s="1" t="s">
        <v>414</v>
      </c>
      <c r="G135" s="1" t="s">
        <v>415</v>
      </c>
      <c r="I135" s="1" t="s">
        <v>19</v>
      </c>
      <c r="L135" s="1" t="s">
        <v>416</v>
      </c>
      <c r="M135" s="1" t="s">
        <v>414</v>
      </c>
      <c r="N135" s="1">
        <v>193</v>
      </c>
      <c r="O135" s="1" t="s">
        <v>417</v>
      </c>
    </row>
    <row r="136" spans="1:17" x14ac:dyDescent="0.35">
      <c r="A136" s="1" t="s">
        <v>15</v>
      </c>
      <c r="B136" s="1">
        <v>117708</v>
      </c>
      <c r="C136" s="1">
        <v>118742</v>
      </c>
      <c r="E136" s="1" t="s">
        <v>16</v>
      </c>
      <c r="F136" s="1" t="s">
        <v>418</v>
      </c>
      <c r="G136" s="1" t="s">
        <v>419</v>
      </c>
      <c r="I136" s="1" t="s">
        <v>19</v>
      </c>
      <c r="L136" s="1" t="s">
        <v>420</v>
      </c>
      <c r="M136" s="1" t="s">
        <v>418</v>
      </c>
      <c r="N136" s="1">
        <v>344</v>
      </c>
      <c r="O136" s="1" t="s">
        <v>421</v>
      </c>
    </row>
    <row r="137" spans="1:17" x14ac:dyDescent="0.35">
      <c r="A137" s="1" t="s">
        <v>15</v>
      </c>
      <c r="B137" s="1">
        <v>118781</v>
      </c>
      <c r="C137" s="1">
        <v>119305</v>
      </c>
      <c r="E137" s="1" t="s">
        <v>16</v>
      </c>
      <c r="F137" s="1" t="s">
        <v>422</v>
      </c>
      <c r="G137" s="1" t="s">
        <v>423</v>
      </c>
      <c r="I137" s="1" t="s">
        <v>19</v>
      </c>
      <c r="L137" s="1" t="s">
        <v>424</v>
      </c>
      <c r="M137" s="1" t="s">
        <v>422</v>
      </c>
      <c r="N137" s="1">
        <v>174</v>
      </c>
      <c r="O137" s="1" t="s">
        <v>425</v>
      </c>
    </row>
    <row r="138" spans="1:17" x14ac:dyDescent="0.35">
      <c r="A138" s="1" t="s">
        <v>15</v>
      </c>
      <c r="B138" s="1">
        <v>119391</v>
      </c>
      <c r="C138" s="1">
        <v>121214</v>
      </c>
      <c r="E138" s="1" t="s">
        <v>16</v>
      </c>
      <c r="F138" s="1" t="s">
        <v>426</v>
      </c>
      <c r="G138" s="1" t="s">
        <v>427</v>
      </c>
      <c r="I138" s="1" t="s">
        <v>19</v>
      </c>
      <c r="L138" s="1" t="s">
        <v>428</v>
      </c>
      <c r="M138" s="1" t="s">
        <v>426</v>
      </c>
      <c r="N138" s="1">
        <v>607</v>
      </c>
      <c r="O138" s="1" t="s">
        <v>429</v>
      </c>
    </row>
    <row r="139" spans="1:17" x14ac:dyDescent="0.35">
      <c r="A139" s="1" t="s">
        <v>15</v>
      </c>
      <c r="B139" s="1">
        <v>121568</v>
      </c>
      <c r="C139" s="1">
        <v>122701</v>
      </c>
      <c r="E139" s="1" t="s">
        <v>16</v>
      </c>
      <c r="F139" s="1" t="s">
        <v>430</v>
      </c>
      <c r="G139" s="1" t="s">
        <v>431</v>
      </c>
      <c r="I139" s="1" t="s">
        <v>19</v>
      </c>
      <c r="L139" s="1" t="s">
        <v>432</v>
      </c>
      <c r="M139" s="1" t="s">
        <v>430</v>
      </c>
      <c r="N139" s="1">
        <v>377</v>
      </c>
      <c r="O139" s="1" t="s">
        <v>433</v>
      </c>
    </row>
    <row r="140" spans="1:17" x14ac:dyDescent="0.35">
      <c r="A140" s="1" t="s">
        <v>15</v>
      </c>
      <c r="B140" s="1">
        <v>122807</v>
      </c>
      <c r="C140" s="1">
        <v>123553</v>
      </c>
      <c r="E140" s="1" t="s">
        <v>16</v>
      </c>
      <c r="F140" s="1" t="s">
        <v>434</v>
      </c>
      <c r="G140" s="1" t="s">
        <v>435</v>
      </c>
      <c r="I140" s="1" t="s">
        <v>19</v>
      </c>
      <c r="L140" s="1" t="s">
        <v>436</v>
      </c>
      <c r="M140" s="1" t="s">
        <v>434</v>
      </c>
      <c r="N140" s="1">
        <v>248</v>
      </c>
      <c r="O140" s="1" t="s">
        <v>437</v>
      </c>
    </row>
    <row r="141" spans="1:17" x14ac:dyDescent="0.35">
      <c r="A141" s="1" t="s">
        <v>15</v>
      </c>
      <c r="B141" s="1">
        <v>123546</v>
      </c>
      <c r="C141" s="1">
        <v>124307</v>
      </c>
      <c r="E141" s="1" t="s">
        <v>16</v>
      </c>
      <c r="F141" s="1" t="s">
        <v>438</v>
      </c>
      <c r="G141" s="1" t="s">
        <v>439</v>
      </c>
      <c r="I141" s="1" t="s">
        <v>19</v>
      </c>
      <c r="L141" s="1" t="s">
        <v>440</v>
      </c>
      <c r="M141" s="1" t="s">
        <v>438</v>
      </c>
      <c r="N141" s="1">
        <v>253</v>
      </c>
      <c r="O141" s="1" t="s">
        <v>441</v>
      </c>
    </row>
    <row r="142" spans="1:17" x14ac:dyDescent="0.35">
      <c r="A142" s="1" t="s">
        <v>15</v>
      </c>
      <c r="B142" s="1">
        <v>124297</v>
      </c>
      <c r="C142" s="1">
        <v>124770</v>
      </c>
      <c r="E142" s="1" t="s">
        <v>16</v>
      </c>
      <c r="F142" s="1" t="s">
        <v>442</v>
      </c>
      <c r="I142" s="1" t="s">
        <v>19</v>
      </c>
      <c r="L142" s="1" t="s">
        <v>443</v>
      </c>
      <c r="M142" s="1" t="s">
        <v>442</v>
      </c>
      <c r="N142" s="1">
        <v>157</v>
      </c>
      <c r="O142" s="1" t="s">
        <v>444</v>
      </c>
    </row>
    <row r="143" spans="1:17" x14ac:dyDescent="0.35">
      <c r="A143" s="1" t="s">
        <v>15</v>
      </c>
      <c r="B143" s="1">
        <v>125158</v>
      </c>
      <c r="C143" s="1">
        <v>126693</v>
      </c>
      <c r="E143" s="1" t="s">
        <v>16</v>
      </c>
      <c r="F143" s="1" t="s">
        <v>70</v>
      </c>
      <c r="G143" s="1" t="s">
        <v>71</v>
      </c>
      <c r="I143" s="1" t="s">
        <v>72</v>
      </c>
      <c r="O143" s="1" t="s">
        <v>445</v>
      </c>
    </row>
    <row r="144" spans="1:17" x14ac:dyDescent="0.35">
      <c r="A144" s="1" t="s">
        <v>15</v>
      </c>
      <c r="B144" s="1">
        <v>126753</v>
      </c>
      <c r="C144" s="1">
        <v>126825</v>
      </c>
      <c r="E144" s="1" t="s">
        <v>16</v>
      </c>
      <c r="F144" s="1" t="s">
        <v>74</v>
      </c>
      <c r="I144" s="1" t="s">
        <v>75</v>
      </c>
      <c r="O144" s="1" t="s">
        <v>446</v>
      </c>
    </row>
    <row r="145" spans="1:15" x14ac:dyDescent="0.35">
      <c r="A145" s="1" t="s">
        <v>15</v>
      </c>
      <c r="B145" s="1">
        <v>126974</v>
      </c>
      <c r="C145" s="1">
        <v>129871</v>
      </c>
      <c r="E145" s="1" t="s">
        <v>16</v>
      </c>
      <c r="F145" s="1" t="s">
        <v>77</v>
      </c>
      <c r="G145" s="1" t="s">
        <v>78</v>
      </c>
      <c r="I145" s="1" t="s">
        <v>72</v>
      </c>
      <c r="O145" s="1" t="s">
        <v>447</v>
      </c>
    </row>
    <row r="146" spans="1:15" x14ac:dyDescent="0.35">
      <c r="A146" s="1" t="s">
        <v>15</v>
      </c>
      <c r="B146" s="1">
        <v>129958</v>
      </c>
      <c r="C146" s="1">
        <v>130101</v>
      </c>
      <c r="E146" s="1" t="s">
        <v>16</v>
      </c>
      <c r="F146" s="1" t="s">
        <v>80</v>
      </c>
      <c r="G146" s="1" t="s">
        <v>81</v>
      </c>
      <c r="I146" s="1" t="s">
        <v>72</v>
      </c>
      <c r="O146" s="1" t="s">
        <v>448</v>
      </c>
    </row>
    <row r="147" spans="1:15" x14ac:dyDescent="0.35">
      <c r="A147" s="1" t="s">
        <v>15</v>
      </c>
      <c r="B147" s="1">
        <v>130076</v>
      </c>
      <c r="C147" s="1">
        <v>130148</v>
      </c>
      <c r="E147" s="1" t="s">
        <v>16</v>
      </c>
      <c r="F147" s="1" t="s">
        <v>83</v>
      </c>
      <c r="I147" s="1" t="s">
        <v>75</v>
      </c>
      <c r="O147" s="1" t="s">
        <v>449</v>
      </c>
    </row>
    <row r="148" spans="1:15" x14ac:dyDescent="0.35">
      <c r="A148" s="1" t="s">
        <v>15</v>
      </c>
      <c r="B148" s="1">
        <v>130151</v>
      </c>
      <c r="C148" s="1">
        <v>130226</v>
      </c>
      <c r="E148" s="1" t="s">
        <v>16</v>
      </c>
      <c r="F148" s="1" t="s">
        <v>85</v>
      </c>
      <c r="I148" s="1" t="s">
        <v>75</v>
      </c>
      <c r="O148" s="1" t="s">
        <v>450</v>
      </c>
    </row>
    <row r="149" spans="1:15" x14ac:dyDescent="0.35">
      <c r="A149" s="1" t="s">
        <v>15</v>
      </c>
      <c r="B149" s="1">
        <v>130242</v>
      </c>
      <c r="C149" s="1">
        <v>130314</v>
      </c>
      <c r="E149" s="1" t="s">
        <v>16</v>
      </c>
      <c r="F149" s="1" t="s">
        <v>87</v>
      </c>
      <c r="I149" s="1" t="s">
        <v>75</v>
      </c>
      <c r="O149" s="1" t="s">
        <v>451</v>
      </c>
    </row>
    <row r="150" spans="1:15" x14ac:dyDescent="0.35">
      <c r="A150" s="1" t="s">
        <v>15</v>
      </c>
      <c r="B150" s="1">
        <v>130320</v>
      </c>
      <c r="C150" s="1">
        <v>130401</v>
      </c>
      <c r="E150" s="1" t="s">
        <v>16</v>
      </c>
      <c r="F150" s="1" t="s">
        <v>89</v>
      </c>
      <c r="I150" s="1" t="s">
        <v>75</v>
      </c>
      <c r="O150" s="1" t="s">
        <v>452</v>
      </c>
    </row>
    <row r="151" spans="1:15" x14ac:dyDescent="0.35">
      <c r="A151" s="1" t="s">
        <v>15</v>
      </c>
      <c r="B151" s="1">
        <v>130414</v>
      </c>
      <c r="C151" s="1">
        <v>130486</v>
      </c>
      <c r="E151" s="1" t="s">
        <v>16</v>
      </c>
      <c r="F151" s="1" t="s">
        <v>91</v>
      </c>
      <c r="I151" s="1" t="s">
        <v>75</v>
      </c>
      <c r="O151" s="1" t="s">
        <v>453</v>
      </c>
    </row>
    <row r="152" spans="1:15" x14ac:dyDescent="0.35">
      <c r="A152" s="1" t="s">
        <v>15</v>
      </c>
      <c r="B152" s="1">
        <v>130493</v>
      </c>
      <c r="C152" s="1">
        <v>130564</v>
      </c>
      <c r="E152" s="1" t="s">
        <v>16</v>
      </c>
      <c r="F152" s="1" t="s">
        <v>93</v>
      </c>
      <c r="I152" s="1" t="s">
        <v>75</v>
      </c>
      <c r="O152" s="1" t="s">
        <v>454</v>
      </c>
    </row>
    <row r="153" spans="1:15" x14ac:dyDescent="0.35">
      <c r="A153" s="1" t="s">
        <v>15</v>
      </c>
      <c r="B153" s="1">
        <v>130571</v>
      </c>
      <c r="C153" s="1">
        <v>130656</v>
      </c>
      <c r="E153" s="1" t="s">
        <v>16</v>
      </c>
      <c r="F153" s="1" t="s">
        <v>89</v>
      </c>
      <c r="I153" s="1" t="s">
        <v>75</v>
      </c>
      <c r="O153" s="1" t="s">
        <v>455</v>
      </c>
    </row>
    <row r="154" spans="1:15" x14ac:dyDescent="0.35">
      <c r="A154" s="1" t="s">
        <v>15</v>
      </c>
      <c r="B154" s="1">
        <v>130671</v>
      </c>
      <c r="C154" s="1">
        <v>130744</v>
      </c>
      <c r="E154" s="1" t="s">
        <v>16</v>
      </c>
      <c r="F154" s="1" t="s">
        <v>96</v>
      </c>
      <c r="I154" s="1" t="s">
        <v>75</v>
      </c>
      <c r="O154" s="1" t="s">
        <v>456</v>
      </c>
    </row>
    <row r="155" spans="1:15" x14ac:dyDescent="0.35">
      <c r="A155" s="1" t="s">
        <v>15</v>
      </c>
      <c r="B155" s="1">
        <v>130751</v>
      </c>
      <c r="C155" s="1">
        <v>130824</v>
      </c>
      <c r="E155" s="1" t="s">
        <v>16</v>
      </c>
      <c r="F155" s="1" t="s">
        <v>98</v>
      </c>
      <c r="I155" s="1" t="s">
        <v>75</v>
      </c>
      <c r="O155" s="1" t="s">
        <v>457</v>
      </c>
    </row>
    <row r="156" spans="1:15" x14ac:dyDescent="0.35">
      <c r="A156" s="1" t="s">
        <v>15</v>
      </c>
      <c r="B156" s="1">
        <v>130961</v>
      </c>
      <c r="C156" s="1">
        <v>132496</v>
      </c>
      <c r="E156" s="1" t="s">
        <v>16</v>
      </c>
      <c r="F156" s="1" t="s">
        <v>70</v>
      </c>
      <c r="G156" s="1" t="s">
        <v>71</v>
      </c>
      <c r="I156" s="1" t="s">
        <v>72</v>
      </c>
      <c r="O156" s="1" t="s">
        <v>458</v>
      </c>
    </row>
    <row r="157" spans="1:15" x14ac:dyDescent="0.35">
      <c r="A157" s="1" t="s">
        <v>15</v>
      </c>
      <c r="B157" s="1">
        <v>132556</v>
      </c>
      <c r="C157" s="1">
        <v>132628</v>
      </c>
      <c r="E157" s="1" t="s">
        <v>16</v>
      </c>
      <c r="F157" s="1" t="s">
        <v>74</v>
      </c>
      <c r="I157" s="1" t="s">
        <v>75</v>
      </c>
      <c r="O157" s="1" t="s">
        <v>459</v>
      </c>
    </row>
    <row r="158" spans="1:15" x14ac:dyDescent="0.35">
      <c r="A158" s="1" t="s">
        <v>15</v>
      </c>
      <c r="B158" s="1">
        <v>132777</v>
      </c>
      <c r="C158" s="1">
        <v>135674</v>
      </c>
      <c r="E158" s="1" t="s">
        <v>16</v>
      </c>
      <c r="F158" s="1" t="s">
        <v>77</v>
      </c>
      <c r="G158" s="1" t="s">
        <v>78</v>
      </c>
      <c r="I158" s="1" t="s">
        <v>72</v>
      </c>
      <c r="O158" s="1" t="s">
        <v>460</v>
      </c>
    </row>
    <row r="159" spans="1:15" x14ac:dyDescent="0.35">
      <c r="A159" s="1" t="s">
        <v>15</v>
      </c>
      <c r="B159" s="1">
        <v>135761</v>
      </c>
      <c r="C159" s="1">
        <v>135874</v>
      </c>
      <c r="E159" s="1" t="s">
        <v>16</v>
      </c>
      <c r="F159" s="1" t="s">
        <v>80</v>
      </c>
      <c r="G159" s="1" t="s">
        <v>81</v>
      </c>
      <c r="I159" s="1" t="s">
        <v>72</v>
      </c>
      <c r="O159" s="1" t="s">
        <v>461</v>
      </c>
    </row>
    <row r="160" spans="1:15" x14ac:dyDescent="0.35">
      <c r="A160" s="1" t="s">
        <v>15</v>
      </c>
      <c r="B160" s="1">
        <v>135879</v>
      </c>
      <c r="C160" s="1">
        <v>135952</v>
      </c>
      <c r="E160" s="1" t="s">
        <v>16</v>
      </c>
      <c r="F160" s="1" t="s">
        <v>462</v>
      </c>
      <c r="I160" s="1" t="s">
        <v>75</v>
      </c>
      <c r="O160" s="1" t="s">
        <v>463</v>
      </c>
    </row>
    <row r="161" spans="1:17" x14ac:dyDescent="0.35">
      <c r="A161" s="1" t="s">
        <v>15</v>
      </c>
      <c r="B161" s="1">
        <v>136107</v>
      </c>
      <c r="C161" s="1">
        <v>136604</v>
      </c>
      <c r="E161" s="1" t="s">
        <v>16</v>
      </c>
      <c r="F161" s="1" t="s">
        <v>464</v>
      </c>
      <c r="G161" s="1" t="s">
        <v>464</v>
      </c>
      <c r="I161" s="1" t="s">
        <v>19</v>
      </c>
      <c r="L161" s="1" t="s">
        <v>465</v>
      </c>
      <c r="M161" s="1" t="s">
        <v>464</v>
      </c>
      <c r="N161" s="1">
        <v>165</v>
      </c>
      <c r="O161" s="1" t="s">
        <v>466</v>
      </c>
    </row>
    <row r="162" spans="1:17" x14ac:dyDescent="0.35">
      <c r="A162" s="1" t="s">
        <v>15</v>
      </c>
      <c r="B162" s="1">
        <v>136712</v>
      </c>
      <c r="C162" s="1">
        <v>137503</v>
      </c>
      <c r="E162" s="1" t="s">
        <v>178</v>
      </c>
      <c r="F162" s="1" t="s">
        <v>467</v>
      </c>
      <c r="I162" s="1" t="s">
        <v>19</v>
      </c>
      <c r="L162" s="1" t="s">
        <v>468</v>
      </c>
      <c r="M162" s="1" t="s">
        <v>467</v>
      </c>
      <c r="N162" s="1">
        <v>263</v>
      </c>
      <c r="O162" s="1" t="s">
        <v>469</v>
      </c>
    </row>
    <row r="163" spans="1:17" x14ac:dyDescent="0.35">
      <c r="A163" s="1" t="s">
        <v>15</v>
      </c>
      <c r="B163" s="1">
        <v>137697</v>
      </c>
      <c r="C163" s="1">
        <v>138980</v>
      </c>
      <c r="E163" s="1" t="s">
        <v>16</v>
      </c>
      <c r="F163" s="1" t="s">
        <v>470</v>
      </c>
      <c r="G163" s="1" t="s">
        <v>471</v>
      </c>
      <c r="I163" s="1" t="s">
        <v>19</v>
      </c>
      <c r="L163" s="1" t="s">
        <v>472</v>
      </c>
      <c r="M163" s="1" t="s">
        <v>470</v>
      </c>
      <c r="N163" s="1">
        <v>427</v>
      </c>
      <c r="O163" s="1" t="s">
        <v>473</v>
      </c>
    </row>
    <row r="164" spans="1:17" x14ac:dyDescent="0.35">
      <c r="A164" s="1" t="s">
        <v>15</v>
      </c>
      <c r="B164" s="1">
        <v>139138</v>
      </c>
      <c r="C164" s="1">
        <v>139713</v>
      </c>
      <c r="E164" s="1" t="s">
        <v>16</v>
      </c>
      <c r="F164" s="1" t="s">
        <v>474</v>
      </c>
      <c r="G164" s="1" t="s">
        <v>475</v>
      </c>
      <c r="I164" s="1" t="s">
        <v>19</v>
      </c>
      <c r="L164" s="1" t="s">
        <v>476</v>
      </c>
      <c r="M164" s="1" t="s">
        <v>474</v>
      </c>
      <c r="N164" s="1">
        <v>191</v>
      </c>
      <c r="O164" s="1" t="s">
        <v>477</v>
      </c>
      <c r="Q164" s="14"/>
    </row>
    <row r="165" spans="1:17" x14ac:dyDescent="0.35">
      <c r="A165" s="1" t="s">
        <v>15</v>
      </c>
      <c r="B165" s="1">
        <v>139966</v>
      </c>
      <c r="C165" s="1">
        <v>141570</v>
      </c>
      <c r="E165" s="1" t="s">
        <v>16</v>
      </c>
      <c r="F165" s="1" t="s">
        <v>478</v>
      </c>
      <c r="G165" s="1" t="s">
        <v>479</v>
      </c>
      <c r="I165" s="1" t="s">
        <v>19</v>
      </c>
      <c r="L165" s="1" t="s">
        <v>480</v>
      </c>
      <c r="M165" s="1" t="s">
        <v>478</v>
      </c>
      <c r="N165" s="1">
        <v>534</v>
      </c>
      <c r="O165" s="1" t="s">
        <v>481</v>
      </c>
    </row>
    <row r="166" spans="1:17" x14ac:dyDescent="0.35">
      <c r="A166" s="1" t="s">
        <v>15</v>
      </c>
      <c r="B166" s="1">
        <v>141665</v>
      </c>
      <c r="C166" s="1">
        <v>142135</v>
      </c>
      <c r="E166" s="1" t="s">
        <v>16</v>
      </c>
      <c r="F166" s="1" t="s">
        <v>54</v>
      </c>
      <c r="I166" s="1" t="s">
        <v>19</v>
      </c>
      <c r="L166" s="1" t="s">
        <v>482</v>
      </c>
      <c r="M166" s="1" t="s">
        <v>54</v>
      </c>
      <c r="N166" s="1">
        <v>156</v>
      </c>
      <c r="O166" s="1" t="s">
        <v>483</v>
      </c>
    </row>
    <row r="167" spans="1:17" x14ac:dyDescent="0.35">
      <c r="A167" s="1" t="s">
        <v>15</v>
      </c>
      <c r="B167" s="1">
        <v>142151</v>
      </c>
      <c r="C167" s="1">
        <v>142618</v>
      </c>
      <c r="E167" s="1" t="s">
        <v>16</v>
      </c>
      <c r="F167" s="1" t="s">
        <v>484</v>
      </c>
      <c r="G167" s="1" t="s">
        <v>485</v>
      </c>
      <c r="I167" s="1" t="s">
        <v>19</v>
      </c>
      <c r="L167" s="1" t="s">
        <v>486</v>
      </c>
      <c r="M167" s="1" t="s">
        <v>484</v>
      </c>
      <c r="N167" s="1">
        <v>155</v>
      </c>
      <c r="O167" s="1" t="s">
        <v>487</v>
      </c>
    </row>
    <row r="168" spans="1:17" x14ac:dyDescent="0.35">
      <c r="A168" s="1" t="s">
        <v>15</v>
      </c>
      <c r="B168" s="1">
        <v>142597</v>
      </c>
      <c r="C168" s="1">
        <v>143550</v>
      </c>
      <c r="E168" s="1" t="s">
        <v>16</v>
      </c>
      <c r="F168" s="1" t="s">
        <v>488</v>
      </c>
      <c r="G168" s="1" t="s">
        <v>489</v>
      </c>
      <c r="I168" s="1" t="s">
        <v>19</v>
      </c>
      <c r="L168" s="1" t="s">
        <v>490</v>
      </c>
      <c r="M168" s="1" t="s">
        <v>488</v>
      </c>
      <c r="N168" s="1">
        <v>317</v>
      </c>
      <c r="O168" s="1" t="s">
        <v>491</v>
      </c>
    </row>
    <row r="169" spans="1:17" x14ac:dyDescent="0.35">
      <c r="A169" s="1" t="s">
        <v>15</v>
      </c>
      <c r="B169" s="1">
        <v>143551</v>
      </c>
      <c r="C169" s="1">
        <v>144294</v>
      </c>
      <c r="E169" s="1" t="s">
        <v>16</v>
      </c>
      <c r="F169" s="1" t="s">
        <v>54</v>
      </c>
      <c r="G169" s="1" t="s">
        <v>492</v>
      </c>
      <c r="I169" s="1" t="s">
        <v>19</v>
      </c>
      <c r="L169" s="1" t="s">
        <v>493</v>
      </c>
      <c r="M169" s="1" t="s">
        <v>54</v>
      </c>
      <c r="N169" s="1">
        <v>247</v>
      </c>
      <c r="O169" s="1" t="s">
        <v>494</v>
      </c>
    </row>
    <row r="170" spans="1:17" x14ac:dyDescent="0.35">
      <c r="A170" s="1" t="s">
        <v>15</v>
      </c>
      <c r="B170" s="1">
        <v>144460</v>
      </c>
      <c r="C170" s="1">
        <v>147000</v>
      </c>
      <c r="E170" s="1" t="s">
        <v>16</v>
      </c>
      <c r="F170" s="1" t="s">
        <v>495</v>
      </c>
      <c r="I170" s="1" t="s">
        <v>19</v>
      </c>
      <c r="L170" s="1" t="s">
        <v>496</v>
      </c>
      <c r="M170" s="1" t="s">
        <v>495</v>
      </c>
      <c r="N170" s="1">
        <v>846</v>
      </c>
      <c r="O170" s="1" t="s">
        <v>497</v>
      </c>
    </row>
    <row r="171" spans="1:17" x14ac:dyDescent="0.35">
      <c r="A171" s="1" t="s">
        <v>15</v>
      </c>
      <c r="B171" s="1">
        <v>147042</v>
      </c>
      <c r="C171" s="1">
        <v>147500</v>
      </c>
      <c r="E171" s="1" t="s">
        <v>178</v>
      </c>
      <c r="F171" s="1" t="s">
        <v>498</v>
      </c>
      <c r="G171" s="1" t="s">
        <v>499</v>
      </c>
      <c r="I171" s="1" t="s">
        <v>19</v>
      </c>
      <c r="L171" s="1" t="s">
        <v>500</v>
      </c>
      <c r="M171" s="1" t="s">
        <v>498</v>
      </c>
      <c r="N171" s="1">
        <v>152</v>
      </c>
      <c r="O171" s="1" t="s">
        <v>501</v>
      </c>
    </row>
    <row r="172" spans="1:17" x14ac:dyDescent="0.35">
      <c r="A172" s="1" t="s">
        <v>15</v>
      </c>
      <c r="B172" s="1">
        <v>147668</v>
      </c>
      <c r="C172" s="1">
        <v>149887</v>
      </c>
      <c r="E172" s="1" t="s">
        <v>16</v>
      </c>
      <c r="F172" s="1" t="s">
        <v>502</v>
      </c>
      <c r="G172" s="1" t="s">
        <v>503</v>
      </c>
      <c r="I172" s="1" t="s">
        <v>19</v>
      </c>
      <c r="L172" s="1" t="s">
        <v>504</v>
      </c>
      <c r="M172" s="1" t="s">
        <v>502</v>
      </c>
      <c r="N172" s="1">
        <v>739</v>
      </c>
      <c r="O172" s="1" t="s">
        <v>505</v>
      </c>
      <c r="Q172" s="14"/>
    </row>
    <row r="173" spans="1:17" x14ac:dyDescent="0.35">
      <c r="A173" s="1" t="s">
        <v>15</v>
      </c>
      <c r="B173" s="1">
        <v>149900</v>
      </c>
      <c r="C173" s="1">
        <v>150343</v>
      </c>
      <c r="E173" s="1" t="s">
        <v>16</v>
      </c>
      <c r="F173" s="1" t="s">
        <v>506</v>
      </c>
      <c r="G173" s="1" t="s">
        <v>507</v>
      </c>
      <c r="I173" s="1" t="s">
        <v>19</v>
      </c>
      <c r="L173" s="1" t="s">
        <v>508</v>
      </c>
      <c r="M173" s="1" t="s">
        <v>506</v>
      </c>
      <c r="N173" s="1">
        <v>147</v>
      </c>
      <c r="O173" s="1" t="s">
        <v>509</v>
      </c>
    </row>
    <row r="174" spans="1:17" x14ac:dyDescent="0.35">
      <c r="A174" s="1" t="s">
        <v>15</v>
      </c>
      <c r="B174" s="1">
        <v>150725</v>
      </c>
      <c r="C174" s="1">
        <v>154471</v>
      </c>
      <c r="E174" s="1" t="s">
        <v>16</v>
      </c>
      <c r="F174" s="1" t="s">
        <v>54</v>
      </c>
      <c r="I174" s="1" t="s">
        <v>19</v>
      </c>
      <c r="L174" s="1" t="s">
        <v>510</v>
      </c>
      <c r="M174" s="1" t="s">
        <v>54</v>
      </c>
      <c r="N174" s="1">
        <v>1248</v>
      </c>
      <c r="O174" s="1" t="s">
        <v>511</v>
      </c>
    </row>
    <row r="175" spans="1:17" x14ac:dyDescent="0.35">
      <c r="A175" s="1" t="s">
        <v>15</v>
      </c>
      <c r="B175" s="1">
        <v>154582</v>
      </c>
      <c r="C175" s="1">
        <v>155832</v>
      </c>
      <c r="E175" s="1" t="s">
        <v>16</v>
      </c>
      <c r="F175" s="1" t="s">
        <v>512</v>
      </c>
      <c r="G175" s="1" t="s">
        <v>513</v>
      </c>
      <c r="I175" s="1" t="s">
        <v>19</v>
      </c>
      <c r="L175" s="1" t="s">
        <v>514</v>
      </c>
      <c r="M175" s="1" t="s">
        <v>512</v>
      </c>
      <c r="N175" s="1">
        <v>416</v>
      </c>
      <c r="O175" s="1" t="s">
        <v>515</v>
      </c>
      <c r="Q175" s="14"/>
    </row>
    <row r="176" spans="1:17" x14ac:dyDescent="0.35">
      <c r="A176" s="1" t="s">
        <v>15</v>
      </c>
      <c r="B176" s="1">
        <v>155958</v>
      </c>
      <c r="C176" s="1">
        <v>156572</v>
      </c>
      <c r="E176" s="1" t="s">
        <v>178</v>
      </c>
      <c r="F176" s="1" t="s">
        <v>516</v>
      </c>
      <c r="G176" s="1" t="s">
        <v>517</v>
      </c>
      <c r="I176" s="1" t="s">
        <v>19</v>
      </c>
      <c r="L176" s="1" t="s">
        <v>518</v>
      </c>
      <c r="M176" s="1" t="s">
        <v>516</v>
      </c>
      <c r="N176" s="1">
        <v>204</v>
      </c>
      <c r="O176" s="1" t="s">
        <v>519</v>
      </c>
    </row>
    <row r="177" spans="1:17" x14ac:dyDescent="0.35">
      <c r="A177" s="1" t="s">
        <v>15</v>
      </c>
      <c r="B177" s="1">
        <v>156666</v>
      </c>
      <c r="C177" s="1">
        <v>157304</v>
      </c>
      <c r="E177" s="1" t="s">
        <v>178</v>
      </c>
      <c r="F177" s="1" t="s">
        <v>520</v>
      </c>
      <c r="I177" s="1" t="s">
        <v>19</v>
      </c>
      <c r="L177" s="1" t="s">
        <v>521</v>
      </c>
      <c r="M177" s="1" t="s">
        <v>520</v>
      </c>
      <c r="N177" s="1">
        <v>212</v>
      </c>
      <c r="O177" s="1" t="s">
        <v>522</v>
      </c>
    </row>
    <row r="178" spans="1:17" x14ac:dyDescent="0.35">
      <c r="A178" s="1" t="s">
        <v>15</v>
      </c>
      <c r="B178" s="1">
        <v>157412</v>
      </c>
      <c r="C178" s="1">
        <v>158569</v>
      </c>
      <c r="E178" s="1" t="s">
        <v>16</v>
      </c>
      <c r="F178" s="1" t="s">
        <v>523</v>
      </c>
      <c r="I178" s="1" t="s">
        <v>19</v>
      </c>
      <c r="L178" s="1" t="s">
        <v>524</v>
      </c>
      <c r="M178" s="1" t="s">
        <v>523</v>
      </c>
      <c r="N178" s="1">
        <v>385</v>
      </c>
      <c r="O178" s="1" t="s">
        <v>525</v>
      </c>
    </row>
    <row r="179" spans="1:17" x14ac:dyDescent="0.35">
      <c r="A179" s="1" t="s">
        <v>15</v>
      </c>
      <c r="B179" s="1">
        <v>158719</v>
      </c>
      <c r="C179" s="1">
        <v>158988</v>
      </c>
      <c r="E179" s="1" t="s">
        <v>16</v>
      </c>
      <c r="F179" s="1" t="s">
        <v>526</v>
      </c>
      <c r="G179" s="1" t="s">
        <v>527</v>
      </c>
      <c r="I179" s="1" t="s">
        <v>19</v>
      </c>
      <c r="L179" s="1" t="s">
        <v>528</v>
      </c>
      <c r="M179" s="1" t="s">
        <v>526</v>
      </c>
      <c r="N179" s="1">
        <v>89</v>
      </c>
      <c r="O179" s="1" t="s">
        <v>529</v>
      </c>
    </row>
    <row r="180" spans="1:17" x14ac:dyDescent="0.35">
      <c r="A180" s="1" t="s">
        <v>15</v>
      </c>
      <c r="B180" s="1">
        <v>159202</v>
      </c>
      <c r="C180" s="1">
        <v>159792</v>
      </c>
      <c r="E180" s="1" t="s">
        <v>178</v>
      </c>
      <c r="F180" s="1" t="s">
        <v>530</v>
      </c>
      <c r="I180" s="1" t="s">
        <v>19</v>
      </c>
      <c r="L180" s="1" t="s">
        <v>531</v>
      </c>
      <c r="M180" s="1" t="s">
        <v>530</v>
      </c>
      <c r="N180" s="1">
        <v>196</v>
      </c>
      <c r="O180" s="1" t="s">
        <v>532</v>
      </c>
    </row>
    <row r="181" spans="1:17" x14ac:dyDescent="0.35">
      <c r="A181" s="1" t="s">
        <v>15</v>
      </c>
      <c r="B181" s="1">
        <v>160091</v>
      </c>
      <c r="C181" s="1">
        <v>162658</v>
      </c>
      <c r="E181" s="1" t="s">
        <v>16</v>
      </c>
      <c r="F181" s="1" t="s">
        <v>54</v>
      </c>
      <c r="I181" s="1" t="s">
        <v>19</v>
      </c>
      <c r="L181" s="1" t="s">
        <v>533</v>
      </c>
      <c r="M181" s="1" t="s">
        <v>54</v>
      </c>
      <c r="N181" s="1">
        <v>855</v>
      </c>
      <c r="O181" s="1" t="s">
        <v>534</v>
      </c>
    </row>
    <row r="182" spans="1:17" x14ac:dyDescent="0.35">
      <c r="A182" s="1" t="s">
        <v>15</v>
      </c>
      <c r="B182" s="1">
        <v>162749</v>
      </c>
      <c r="C182" s="1">
        <v>163489</v>
      </c>
      <c r="E182" s="1" t="s">
        <v>178</v>
      </c>
      <c r="F182" s="1" t="s">
        <v>535</v>
      </c>
      <c r="I182" s="1" t="s">
        <v>19</v>
      </c>
      <c r="L182" s="1" t="s">
        <v>536</v>
      </c>
      <c r="M182" s="1" t="s">
        <v>535</v>
      </c>
      <c r="N182" s="1">
        <v>246</v>
      </c>
      <c r="O182" s="1" t="s">
        <v>537</v>
      </c>
    </row>
    <row r="183" spans="1:17" x14ac:dyDescent="0.35">
      <c r="A183" s="1" t="s">
        <v>15</v>
      </c>
      <c r="B183" s="1">
        <v>163489</v>
      </c>
      <c r="C183" s="1">
        <v>165036</v>
      </c>
      <c r="E183" s="1" t="s">
        <v>178</v>
      </c>
      <c r="F183" s="1" t="s">
        <v>538</v>
      </c>
      <c r="I183" s="1" t="s">
        <v>19</v>
      </c>
      <c r="L183" s="1" t="s">
        <v>539</v>
      </c>
      <c r="M183" s="1" t="s">
        <v>538</v>
      </c>
      <c r="N183" s="1">
        <v>515</v>
      </c>
      <c r="O183" s="1" t="s">
        <v>540</v>
      </c>
    </row>
    <row r="184" spans="1:17" x14ac:dyDescent="0.35">
      <c r="A184" s="1" t="s">
        <v>15</v>
      </c>
      <c r="B184" s="1">
        <v>165242</v>
      </c>
      <c r="C184" s="1">
        <v>166096</v>
      </c>
      <c r="E184" s="1" t="s">
        <v>16</v>
      </c>
      <c r="F184" s="1" t="s">
        <v>541</v>
      </c>
      <c r="G184" s="1" t="s">
        <v>542</v>
      </c>
      <c r="I184" s="1" t="s">
        <v>19</v>
      </c>
      <c r="L184" s="1" t="s">
        <v>543</v>
      </c>
      <c r="M184" s="1" t="s">
        <v>541</v>
      </c>
      <c r="N184" s="1">
        <v>284</v>
      </c>
      <c r="O184" s="1" t="s">
        <v>544</v>
      </c>
      <c r="Q184" s="14"/>
    </row>
    <row r="185" spans="1:17" x14ac:dyDescent="0.35">
      <c r="A185" s="1" t="s">
        <v>15</v>
      </c>
      <c r="B185" s="1">
        <v>166158</v>
      </c>
      <c r="C185" s="1">
        <v>166544</v>
      </c>
      <c r="E185" s="1" t="s">
        <v>178</v>
      </c>
      <c r="F185" s="1" t="s">
        <v>54</v>
      </c>
      <c r="I185" s="1" t="s">
        <v>19</v>
      </c>
      <c r="L185" s="1" t="s">
        <v>545</v>
      </c>
      <c r="M185" s="1" t="s">
        <v>54</v>
      </c>
      <c r="N185" s="1">
        <v>128</v>
      </c>
      <c r="O185" s="1" t="s">
        <v>546</v>
      </c>
    </row>
    <row r="186" spans="1:17" x14ac:dyDescent="0.35">
      <c r="A186" s="1" t="s">
        <v>15</v>
      </c>
      <c r="B186" s="1">
        <v>166736</v>
      </c>
      <c r="C186" s="1">
        <v>167485</v>
      </c>
      <c r="E186" s="1" t="s">
        <v>16</v>
      </c>
      <c r="F186" s="1" t="s">
        <v>547</v>
      </c>
      <c r="G186" s="1" t="s">
        <v>548</v>
      </c>
      <c r="I186" s="1" t="s">
        <v>19</v>
      </c>
      <c r="L186" s="1" t="s">
        <v>549</v>
      </c>
      <c r="M186" s="1" t="s">
        <v>547</v>
      </c>
      <c r="N186" s="1">
        <v>249</v>
      </c>
      <c r="O186" s="1" t="s">
        <v>550</v>
      </c>
    </row>
    <row r="187" spans="1:17" x14ac:dyDescent="0.35">
      <c r="A187" s="1" t="s">
        <v>15</v>
      </c>
      <c r="B187" s="1">
        <v>167489</v>
      </c>
      <c r="C187" s="1">
        <v>168646</v>
      </c>
      <c r="E187" s="1" t="s">
        <v>16</v>
      </c>
      <c r="F187" s="1" t="s">
        <v>551</v>
      </c>
      <c r="G187" s="1" t="s">
        <v>552</v>
      </c>
      <c r="I187" s="1" t="s">
        <v>19</v>
      </c>
      <c r="L187" s="1" t="s">
        <v>553</v>
      </c>
      <c r="M187" s="1" t="s">
        <v>551</v>
      </c>
      <c r="N187" s="1">
        <v>385</v>
      </c>
      <c r="O187" s="1" t="s">
        <v>554</v>
      </c>
    </row>
    <row r="188" spans="1:17" x14ac:dyDescent="0.35">
      <c r="A188" s="1" t="s">
        <v>15</v>
      </c>
      <c r="B188" s="1">
        <v>168809</v>
      </c>
      <c r="C188" s="1">
        <v>169579</v>
      </c>
      <c r="E188" s="1" t="s">
        <v>16</v>
      </c>
      <c r="F188" s="1" t="s">
        <v>555</v>
      </c>
      <c r="I188" s="1" t="s">
        <v>19</v>
      </c>
      <c r="L188" s="1" t="s">
        <v>556</v>
      </c>
      <c r="M188" s="1" t="s">
        <v>555</v>
      </c>
      <c r="N188" s="1">
        <v>256</v>
      </c>
      <c r="O188" s="1" t="s">
        <v>557</v>
      </c>
    </row>
    <row r="189" spans="1:17" x14ac:dyDescent="0.35">
      <c r="A189" s="1" t="s">
        <v>15</v>
      </c>
      <c r="B189" s="1">
        <v>169616</v>
      </c>
      <c r="C189" s="1">
        <v>170878</v>
      </c>
      <c r="E189" s="1" t="s">
        <v>16</v>
      </c>
      <c r="F189" s="1" t="s">
        <v>54</v>
      </c>
      <c r="I189" s="1" t="s">
        <v>19</v>
      </c>
      <c r="L189" s="1" t="s">
        <v>558</v>
      </c>
      <c r="M189" s="1" t="s">
        <v>54</v>
      </c>
      <c r="N189" s="1">
        <v>420</v>
      </c>
      <c r="O189" s="1" t="s">
        <v>559</v>
      </c>
    </row>
    <row r="190" spans="1:17" x14ac:dyDescent="0.35">
      <c r="A190" s="1" t="s">
        <v>15</v>
      </c>
      <c r="B190" s="1">
        <v>170932</v>
      </c>
      <c r="C190" s="1">
        <v>172164</v>
      </c>
      <c r="E190" s="1" t="s">
        <v>16</v>
      </c>
      <c r="F190" s="1" t="s">
        <v>560</v>
      </c>
      <c r="G190" s="1" t="s">
        <v>561</v>
      </c>
      <c r="I190" s="1" t="s">
        <v>19</v>
      </c>
      <c r="L190" s="1" t="s">
        <v>562</v>
      </c>
      <c r="M190" s="1" t="s">
        <v>560</v>
      </c>
      <c r="N190" s="1">
        <v>410</v>
      </c>
      <c r="O190" s="1" t="s">
        <v>563</v>
      </c>
    </row>
    <row r="191" spans="1:17" x14ac:dyDescent="0.35">
      <c r="A191" s="1" t="s">
        <v>15</v>
      </c>
      <c r="B191" s="1">
        <v>172151</v>
      </c>
      <c r="C191" s="1">
        <v>172582</v>
      </c>
      <c r="E191" s="1" t="s">
        <v>16</v>
      </c>
      <c r="F191" s="1" t="s">
        <v>564</v>
      </c>
      <c r="G191" s="1" t="s">
        <v>565</v>
      </c>
      <c r="I191" s="1" t="s">
        <v>19</v>
      </c>
      <c r="L191" s="1" t="s">
        <v>566</v>
      </c>
      <c r="M191" s="1" t="s">
        <v>564</v>
      </c>
      <c r="N191" s="1">
        <v>143</v>
      </c>
      <c r="O191" s="1" t="s">
        <v>567</v>
      </c>
    </row>
    <row r="192" spans="1:17" x14ac:dyDescent="0.35">
      <c r="A192" s="1" t="s">
        <v>15</v>
      </c>
      <c r="B192" s="1">
        <v>172658</v>
      </c>
      <c r="C192" s="1">
        <v>174076</v>
      </c>
      <c r="E192" s="1" t="s">
        <v>16</v>
      </c>
      <c r="F192" s="1" t="s">
        <v>54</v>
      </c>
      <c r="I192" s="1" t="s">
        <v>19</v>
      </c>
      <c r="L192" s="1" t="s">
        <v>568</v>
      </c>
      <c r="M192" s="1" t="s">
        <v>54</v>
      </c>
      <c r="N192" s="1">
        <v>472</v>
      </c>
      <c r="O192" s="1" t="s">
        <v>569</v>
      </c>
    </row>
    <row r="193" spans="1:17" x14ac:dyDescent="0.35">
      <c r="A193" s="1" t="s">
        <v>15</v>
      </c>
      <c r="B193" s="1">
        <v>174250</v>
      </c>
      <c r="C193" s="1">
        <v>174609</v>
      </c>
      <c r="E193" s="1" t="s">
        <v>16</v>
      </c>
      <c r="F193" s="1" t="s">
        <v>54</v>
      </c>
      <c r="I193" s="1" t="s">
        <v>19</v>
      </c>
      <c r="L193" s="1" t="s">
        <v>570</v>
      </c>
      <c r="M193" s="1" t="s">
        <v>54</v>
      </c>
      <c r="N193" s="1">
        <v>119</v>
      </c>
      <c r="O193" s="1" t="s">
        <v>571</v>
      </c>
    </row>
    <row r="194" spans="1:17" x14ac:dyDescent="0.35">
      <c r="A194" s="1" t="s">
        <v>15</v>
      </c>
      <c r="B194" s="1">
        <v>174690</v>
      </c>
      <c r="C194" s="1">
        <v>175556</v>
      </c>
      <c r="E194" s="1" t="s">
        <v>16</v>
      </c>
      <c r="F194" s="1" t="s">
        <v>572</v>
      </c>
      <c r="G194" s="1" t="s">
        <v>573</v>
      </c>
      <c r="I194" s="1" t="s">
        <v>19</v>
      </c>
      <c r="L194" s="1" t="s">
        <v>574</v>
      </c>
      <c r="M194" s="1" t="s">
        <v>572</v>
      </c>
      <c r="N194" s="1">
        <v>288</v>
      </c>
      <c r="O194" s="1" t="s">
        <v>575</v>
      </c>
    </row>
    <row r="195" spans="1:17" x14ac:dyDescent="0.35">
      <c r="A195" s="1" t="s">
        <v>15</v>
      </c>
      <c r="B195" s="1">
        <v>175549</v>
      </c>
      <c r="C195" s="1">
        <v>176526</v>
      </c>
      <c r="E195" s="1" t="s">
        <v>16</v>
      </c>
      <c r="F195" s="1" t="s">
        <v>576</v>
      </c>
      <c r="G195" s="1" t="s">
        <v>577</v>
      </c>
      <c r="I195" s="1" t="s">
        <v>19</v>
      </c>
      <c r="L195" s="1" t="s">
        <v>578</v>
      </c>
      <c r="M195" s="1" t="s">
        <v>576</v>
      </c>
      <c r="N195" s="1">
        <v>325</v>
      </c>
      <c r="O195" s="1" t="s">
        <v>579</v>
      </c>
      <c r="Q195" s="14"/>
    </row>
    <row r="196" spans="1:17" x14ac:dyDescent="0.35">
      <c r="A196" s="1" t="s">
        <v>15</v>
      </c>
      <c r="B196" s="1">
        <v>176690</v>
      </c>
      <c r="C196" s="1">
        <v>177133</v>
      </c>
      <c r="E196" s="1" t="s">
        <v>16</v>
      </c>
      <c r="F196" s="1" t="s">
        <v>285</v>
      </c>
      <c r="I196" s="1" t="s">
        <v>19</v>
      </c>
      <c r="L196" s="1" t="s">
        <v>580</v>
      </c>
      <c r="M196" s="1" t="s">
        <v>285</v>
      </c>
      <c r="N196" s="1">
        <v>147</v>
      </c>
      <c r="O196" s="1" t="s">
        <v>581</v>
      </c>
    </row>
    <row r="197" spans="1:17" x14ac:dyDescent="0.35">
      <c r="A197" s="1" t="s">
        <v>15</v>
      </c>
      <c r="B197" s="1">
        <v>177135</v>
      </c>
      <c r="C197" s="1">
        <v>177842</v>
      </c>
      <c r="E197" s="1" t="s">
        <v>16</v>
      </c>
      <c r="F197" s="1" t="s">
        <v>582</v>
      </c>
      <c r="G197" s="1" t="s">
        <v>583</v>
      </c>
      <c r="I197" s="1" t="s">
        <v>19</v>
      </c>
      <c r="L197" s="1" t="s">
        <v>584</v>
      </c>
      <c r="M197" s="1" t="s">
        <v>582</v>
      </c>
      <c r="N197" s="1">
        <v>235</v>
      </c>
      <c r="O197" s="1" t="s">
        <v>585</v>
      </c>
    </row>
    <row r="198" spans="1:17" x14ac:dyDescent="0.35">
      <c r="A198" s="1" t="s">
        <v>15</v>
      </c>
      <c r="B198" s="1">
        <v>177835</v>
      </c>
      <c r="C198" s="1">
        <v>178647</v>
      </c>
      <c r="E198" s="1" t="s">
        <v>16</v>
      </c>
      <c r="F198" s="1" t="s">
        <v>586</v>
      </c>
      <c r="G198" s="1" t="s">
        <v>587</v>
      </c>
      <c r="I198" s="1" t="s">
        <v>19</v>
      </c>
      <c r="L198" s="1" t="s">
        <v>588</v>
      </c>
      <c r="M198" s="1" t="s">
        <v>586</v>
      </c>
      <c r="N198" s="1">
        <v>270</v>
      </c>
      <c r="O198" s="1" t="s">
        <v>589</v>
      </c>
    </row>
    <row r="199" spans="1:17" x14ac:dyDescent="0.35">
      <c r="A199" s="1" t="s">
        <v>15</v>
      </c>
      <c r="B199" s="1">
        <v>178811</v>
      </c>
      <c r="C199" s="1">
        <v>179749</v>
      </c>
      <c r="E199" s="1" t="s">
        <v>16</v>
      </c>
      <c r="F199" s="1" t="s">
        <v>590</v>
      </c>
      <c r="I199" s="1" t="s">
        <v>19</v>
      </c>
      <c r="L199" s="1" t="s">
        <v>591</v>
      </c>
      <c r="M199" s="1" t="s">
        <v>590</v>
      </c>
      <c r="N199" s="1">
        <v>312</v>
      </c>
      <c r="O199" s="1" t="s">
        <v>592</v>
      </c>
    </row>
    <row r="200" spans="1:17" x14ac:dyDescent="0.35">
      <c r="A200" s="1" t="s">
        <v>15</v>
      </c>
      <c r="B200" s="1">
        <v>179904</v>
      </c>
      <c r="C200" s="1">
        <v>182090</v>
      </c>
      <c r="E200" s="1" t="s">
        <v>16</v>
      </c>
      <c r="F200" s="1" t="s">
        <v>593</v>
      </c>
      <c r="G200" s="1" t="s">
        <v>594</v>
      </c>
      <c r="I200" s="1" t="s">
        <v>19</v>
      </c>
      <c r="L200" s="1" t="s">
        <v>595</v>
      </c>
      <c r="M200" s="1" t="s">
        <v>593</v>
      </c>
      <c r="N200" s="1">
        <v>728</v>
      </c>
      <c r="O200" s="1" t="s">
        <v>596</v>
      </c>
      <c r="Q200" s="14"/>
    </row>
    <row r="201" spans="1:17" x14ac:dyDescent="0.35">
      <c r="A201" s="1" t="s">
        <v>15</v>
      </c>
      <c r="B201" s="1">
        <v>182092</v>
      </c>
      <c r="C201" s="1">
        <v>183003</v>
      </c>
      <c r="E201" s="1" t="s">
        <v>16</v>
      </c>
      <c r="F201" s="1" t="s">
        <v>54</v>
      </c>
      <c r="I201" s="1" t="s">
        <v>19</v>
      </c>
      <c r="L201" s="1" t="s">
        <v>597</v>
      </c>
      <c r="M201" s="1" t="s">
        <v>54</v>
      </c>
      <c r="N201" s="1">
        <v>303</v>
      </c>
      <c r="O201" s="1" t="s">
        <v>598</v>
      </c>
    </row>
    <row r="202" spans="1:17" x14ac:dyDescent="0.35">
      <c r="A202" s="1" t="s">
        <v>15</v>
      </c>
      <c r="B202" s="1">
        <v>183107</v>
      </c>
      <c r="C202" s="1">
        <v>184456</v>
      </c>
      <c r="E202" s="1" t="s">
        <v>16</v>
      </c>
      <c r="F202" s="1" t="s">
        <v>599</v>
      </c>
      <c r="G202" s="1" t="s">
        <v>600</v>
      </c>
      <c r="I202" s="1" t="s">
        <v>19</v>
      </c>
      <c r="L202" s="1" t="s">
        <v>601</v>
      </c>
      <c r="M202" s="1" t="s">
        <v>599</v>
      </c>
      <c r="N202" s="1">
        <v>449</v>
      </c>
      <c r="O202" s="1" t="s">
        <v>602</v>
      </c>
      <c r="Q202" s="14"/>
    </row>
    <row r="203" spans="1:17" x14ac:dyDescent="0.35">
      <c r="A203" s="1" t="s">
        <v>15</v>
      </c>
      <c r="B203" s="1">
        <v>184649</v>
      </c>
      <c r="C203" s="1">
        <v>185521</v>
      </c>
      <c r="E203" s="1" t="s">
        <v>16</v>
      </c>
      <c r="F203" s="1" t="s">
        <v>603</v>
      </c>
      <c r="I203" s="1" t="s">
        <v>19</v>
      </c>
      <c r="L203" s="1" t="s">
        <v>604</v>
      </c>
      <c r="M203" s="1" t="s">
        <v>603</v>
      </c>
      <c r="N203" s="1">
        <v>290</v>
      </c>
      <c r="O203" s="1" t="s">
        <v>605</v>
      </c>
    </row>
    <row r="204" spans="1:17" x14ac:dyDescent="0.35">
      <c r="A204" s="1" t="s">
        <v>15</v>
      </c>
      <c r="B204" s="1">
        <v>185671</v>
      </c>
      <c r="C204" s="1">
        <v>187248</v>
      </c>
      <c r="E204" s="1" t="s">
        <v>16</v>
      </c>
      <c r="F204" s="1" t="s">
        <v>606</v>
      </c>
      <c r="G204" s="1" t="s">
        <v>607</v>
      </c>
      <c r="I204" s="1" t="s">
        <v>19</v>
      </c>
      <c r="L204" s="1" t="s">
        <v>608</v>
      </c>
      <c r="M204" s="1" t="s">
        <v>606</v>
      </c>
      <c r="N204" s="1">
        <v>525</v>
      </c>
      <c r="O204" s="1" t="s">
        <v>609</v>
      </c>
    </row>
    <row r="205" spans="1:17" x14ac:dyDescent="0.35">
      <c r="A205" s="1" t="s">
        <v>15</v>
      </c>
      <c r="B205" s="1">
        <v>187404</v>
      </c>
      <c r="C205" s="1">
        <v>188120</v>
      </c>
      <c r="E205" s="1" t="s">
        <v>16</v>
      </c>
      <c r="F205" s="1" t="s">
        <v>610</v>
      </c>
      <c r="I205" s="1" t="s">
        <v>19</v>
      </c>
      <c r="L205" s="1" t="s">
        <v>611</v>
      </c>
      <c r="M205" s="1" t="s">
        <v>610</v>
      </c>
      <c r="N205" s="1">
        <v>238</v>
      </c>
      <c r="O205" s="1" t="s">
        <v>612</v>
      </c>
    </row>
    <row r="206" spans="1:17" x14ac:dyDescent="0.35">
      <c r="A206" s="1" t="s">
        <v>15</v>
      </c>
      <c r="B206" s="1">
        <v>188246</v>
      </c>
      <c r="C206" s="1">
        <v>188584</v>
      </c>
      <c r="E206" s="1" t="s">
        <v>16</v>
      </c>
      <c r="F206" s="1" t="s">
        <v>613</v>
      </c>
      <c r="I206" s="1" t="s">
        <v>19</v>
      </c>
      <c r="L206" s="1" t="s">
        <v>614</v>
      </c>
      <c r="M206" s="1" t="s">
        <v>613</v>
      </c>
      <c r="N206" s="1">
        <v>112</v>
      </c>
      <c r="O206" s="1" t="s">
        <v>615</v>
      </c>
    </row>
    <row r="207" spans="1:17" x14ac:dyDescent="0.35">
      <c r="A207" s="1" t="s">
        <v>15</v>
      </c>
      <c r="B207" s="1">
        <v>188713</v>
      </c>
      <c r="C207" s="1">
        <v>189462</v>
      </c>
      <c r="E207" s="1" t="s">
        <v>16</v>
      </c>
      <c r="F207" s="1" t="s">
        <v>616</v>
      </c>
      <c r="G207" s="1" t="s">
        <v>617</v>
      </c>
      <c r="I207" s="1" t="s">
        <v>19</v>
      </c>
      <c r="L207" s="1" t="s">
        <v>618</v>
      </c>
      <c r="M207" s="1" t="s">
        <v>616</v>
      </c>
      <c r="N207" s="1">
        <v>249</v>
      </c>
      <c r="O207" s="1" t="s">
        <v>619</v>
      </c>
      <c r="Q207" s="14"/>
    </row>
    <row r="208" spans="1:17" x14ac:dyDescent="0.35">
      <c r="A208" s="1" t="s">
        <v>15</v>
      </c>
      <c r="B208" s="1">
        <v>189475</v>
      </c>
      <c r="C208" s="1">
        <v>190269</v>
      </c>
      <c r="E208" s="1" t="s">
        <v>16</v>
      </c>
      <c r="F208" s="1" t="s">
        <v>620</v>
      </c>
      <c r="G208" s="1" t="s">
        <v>621</v>
      </c>
      <c r="I208" s="1" t="s">
        <v>19</v>
      </c>
      <c r="L208" s="1" t="s">
        <v>622</v>
      </c>
      <c r="M208" s="1" t="s">
        <v>620</v>
      </c>
      <c r="N208" s="1">
        <v>264</v>
      </c>
      <c r="O208" s="1" t="s">
        <v>623</v>
      </c>
      <c r="Q208" s="14"/>
    </row>
    <row r="209" spans="1:17" x14ac:dyDescent="0.35">
      <c r="A209" s="1" t="s">
        <v>15</v>
      </c>
      <c r="B209" s="1">
        <v>190286</v>
      </c>
      <c r="C209" s="1">
        <v>191548</v>
      </c>
      <c r="E209" s="1" t="s">
        <v>16</v>
      </c>
      <c r="F209" s="1" t="s">
        <v>624</v>
      </c>
      <c r="G209" s="1" t="s">
        <v>625</v>
      </c>
      <c r="I209" s="1" t="s">
        <v>19</v>
      </c>
      <c r="L209" s="1" t="s">
        <v>626</v>
      </c>
      <c r="M209" s="1" t="s">
        <v>624</v>
      </c>
      <c r="N209" s="1">
        <v>420</v>
      </c>
      <c r="O209" s="1" t="s">
        <v>627</v>
      </c>
      <c r="Q209" s="14"/>
    </row>
    <row r="210" spans="1:17" x14ac:dyDescent="0.35">
      <c r="A210" s="1" t="s">
        <v>15</v>
      </c>
      <c r="B210" s="1">
        <v>191634</v>
      </c>
      <c r="C210" s="1">
        <v>193481</v>
      </c>
      <c r="E210" s="1" t="s">
        <v>16</v>
      </c>
      <c r="F210" s="1" t="s">
        <v>628</v>
      </c>
      <c r="G210" s="1" t="s">
        <v>629</v>
      </c>
      <c r="I210" s="1" t="s">
        <v>19</v>
      </c>
      <c r="L210" s="1" t="s">
        <v>630</v>
      </c>
      <c r="M210" s="1" t="s">
        <v>628</v>
      </c>
      <c r="N210" s="1">
        <v>615</v>
      </c>
      <c r="O210" s="1" t="s">
        <v>631</v>
      </c>
      <c r="Q210" s="14"/>
    </row>
    <row r="211" spans="1:17" x14ac:dyDescent="0.35">
      <c r="A211" s="1" t="s">
        <v>15</v>
      </c>
      <c r="B211" s="1">
        <v>193962</v>
      </c>
      <c r="C211" s="1">
        <v>195902</v>
      </c>
      <c r="E211" s="1" t="s">
        <v>16</v>
      </c>
      <c r="F211" s="1" t="s">
        <v>632</v>
      </c>
      <c r="I211" s="1" t="s">
        <v>19</v>
      </c>
      <c r="L211" s="1" t="s">
        <v>633</v>
      </c>
      <c r="M211" s="1" t="s">
        <v>632</v>
      </c>
      <c r="N211" s="1">
        <v>646</v>
      </c>
      <c r="O211" s="1" t="s">
        <v>634</v>
      </c>
    </row>
    <row r="212" spans="1:17" x14ac:dyDescent="0.35">
      <c r="A212" s="1" t="s">
        <v>15</v>
      </c>
      <c r="B212" s="1">
        <v>195902</v>
      </c>
      <c r="C212" s="1">
        <v>196705</v>
      </c>
      <c r="E212" s="1" t="s">
        <v>16</v>
      </c>
      <c r="F212" s="1" t="s">
        <v>635</v>
      </c>
      <c r="G212" s="1" t="s">
        <v>636</v>
      </c>
      <c r="I212" s="1" t="s">
        <v>19</v>
      </c>
      <c r="L212" s="1" t="s">
        <v>637</v>
      </c>
      <c r="M212" s="1" t="s">
        <v>635</v>
      </c>
      <c r="N212" s="1">
        <v>267</v>
      </c>
      <c r="O212" s="1" t="s">
        <v>638</v>
      </c>
      <c r="Q212" s="14"/>
    </row>
    <row r="213" spans="1:17" x14ac:dyDescent="0.35">
      <c r="A213" s="1" t="s">
        <v>15</v>
      </c>
      <c r="B213" s="1">
        <v>196873</v>
      </c>
      <c r="C213" s="1">
        <v>197160</v>
      </c>
      <c r="E213" s="1" t="s">
        <v>16</v>
      </c>
      <c r="F213" s="1" t="s">
        <v>639</v>
      </c>
      <c r="G213" s="1" t="s">
        <v>640</v>
      </c>
      <c r="I213" s="1" t="s">
        <v>19</v>
      </c>
      <c r="L213" s="1" t="s">
        <v>641</v>
      </c>
      <c r="M213" s="1" t="s">
        <v>639</v>
      </c>
      <c r="N213" s="1">
        <v>95</v>
      </c>
      <c r="O213" s="1" t="s">
        <v>642</v>
      </c>
    </row>
    <row r="214" spans="1:17" x14ac:dyDescent="0.35">
      <c r="A214" s="1" t="s">
        <v>15</v>
      </c>
      <c r="B214" s="1">
        <v>197205</v>
      </c>
      <c r="C214" s="1">
        <v>198824</v>
      </c>
      <c r="E214" s="1" t="s">
        <v>16</v>
      </c>
      <c r="F214" s="1" t="s">
        <v>643</v>
      </c>
      <c r="G214" s="1" t="s">
        <v>644</v>
      </c>
      <c r="I214" s="1" t="s">
        <v>19</v>
      </c>
      <c r="L214" s="1" t="s">
        <v>645</v>
      </c>
      <c r="M214" s="1" t="s">
        <v>643</v>
      </c>
      <c r="N214" s="1">
        <v>539</v>
      </c>
      <c r="O214" s="1" t="s">
        <v>646</v>
      </c>
    </row>
    <row r="215" spans="1:17" x14ac:dyDescent="0.35">
      <c r="A215" s="1" t="s">
        <v>15</v>
      </c>
      <c r="B215" s="1">
        <v>198909</v>
      </c>
      <c r="C215" s="1">
        <v>199754</v>
      </c>
      <c r="E215" s="1" t="s">
        <v>178</v>
      </c>
      <c r="F215" s="1" t="s">
        <v>54</v>
      </c>
      <c r="I215" s="1" t="s">
        <v>19</v>
      </c>
      <c r="L215" s="1" t="s">
        <v>647</v>
      </c>
      <c r="M215" s="1" t="s">
        <v>54</v>
      </c>
      <c r="N215" s="1">
        <v>281</v>
      </c>
      <c r="O215" s="1" t="s">
        <v>648</v>
      </c>
    </row>
    <row r="216" spans="1:17" x14ac:dyDescent="0.35">
      <c r="A216" s="1" t="s">
        <v>15</v>
      </c>
      <c r="B216" s="1">
        <v>199845</v>
      </c>
      <c r="C216" s="1">
        <v>200150</v>
      </c>
      <c r="E216" s="1" t="s">
        <v>178</v>
      </c>
      <c r="F216" s="1" t="s">
        <v>54</v>
      </c>
      <c r="I216" s="1" t="s">
        <v>19</v>
      </c>
      <c r="L216" s="1" t="s">
        <v>649</v>
      </c>
      <c r="M216" s="1" t="s">
        <v>54</v>
      </c>
      <c r="N216" s="1">
        <v>101</v>
      </c>
      <c r="O216" s="1" t="s">
        <v>650</v>
      </c>
    </row>
    <row r="217" spans="1:17" x14ac:dyDescent="0.35">
      <c r="A217" s="1" t="s">
        <v>15</v>
      </c>
      <c r="B217" s="1">
        <v>200150</v>
      </c>
      <c r="C217" s="1">
        <v>200482</v>
      </c>
      <c r="E217" s="1" t="s">
        <v>178</v>
      </c>
      <c r="F217" s="1" t="s">
        <v>54</v>
      </c>
      <c r="I217" s="1" t="s">
        <v>19</v>
      </c>
      <c r="L217" s="1" t="s">
        <v>651</v>
      </c>
      <c r="M217" s="1" t="s">
        <v>54</v>
      </c>
      <c r="N217" s="1">
        <v>110</v>
      </c>
      <c r="O217" s="1" t="s">
        <v>652</v>
      </c>
    </row>
    <row r="218" spans="1:17" x14ac:dyDescent="0.35">
      <c r="A218" s="1" t="s">
        <v>15</v>
      </c>
      <c r="B218" s="1">
        <v>200665</v>
      </c>
      <c r="C218" s="1">
        <v>201534</v>
      </c>
      <c r="E218" s="1" t="s">
        <v>178</v>
      </c>
      <c r="F218" s="1" t="s">
        <v>653</v>
      </c>
      <c r="G218" s="1" t="s">
        <v>654</v>
      </c>
      <c r="I218" s="1" t="s">
        <v>19</v>
      </c>
      <c r="L218" s="1" t="s">
        <v>655</v>
      </c>
      <c r="M218" s="1" t="s">
        <v>653</v>
      </c>
      <c r="N218" s="1">
        <v>289</v>
      </c>
      <c r="O218" s="1" t="s">
        <v>656</v>
      </c>
      <c r="Q218" s="14"/>
    </row>
    <row r="219" spans="1:17" x14ac:dyDescent="0.35">
      <c r="A219" s="1" t="s">
        <v>15</v>
      </c>
      <c r="B219" s="1">
        <v>201600</v>
      </c>
      <c r="C219" s="1">
        <v>203927</v>
      </c>
      <c r="E219" s="1" t="s">
        <v>16</v>
      </c>
      <c r="F219" s="1" t="s">
        <v>657</v>
      </c>
      <c r="G219" s="1" t="s">
        <v>658</v>
      </c>
      <c r="I219" s="1" t="s">
        <v>19</v>
      </c>
      <c r="L219" s="1" t="s">
        <v>659</v>
      </c>
      <c r="M219" s="1" t="s">
        <v>657</v>
      </c>
      <c r="N219" s="1">
        <v>775</v>
      </c>
      <c r="O219" s="1" t="s">
        <v>660</v>
      </c>
    </row>
    <row r="220" spans="1:17" x14ac:dyDescent="0.35">
      <c r="A220" s="1" t="s">
        <v>15</v>
      </c>
      <c r="B220" s="1">
        <v>204137</v>
      </c>
      <c r="C220" s="1">
        <v>204313</v>
      </c>
      <c r="E220" s="1" t="s">
        <v>16</v>
      </c>
      <c r="F220" s="1" t="s">
        <v>661</v>
      </c>
      <c r="G220" s="1" t="s">
        <v>662</v>
      </c>
      <c r="I220" s="1" t="s">
        <v>19</v>
      </c>
      <c r="L220" s="1" t="s">
        <v>663</v>
      </c>
      <c r="M220" s="1" t="s">
        <v>661</v>
      </c>
      <c r="N220" s="1">
        <v>58</v>
      </c>
      <c r="O220" s="1" t="s">
        <v>664</v>
      </c>
    </row>
    <row r="221" spans="1:17" x14ac:dyDescent="0.35">
      <c r="A221" s="1" t="s">
        <v>15</v>
      </c>
      <c r="B221" s="1">
        <v>204514</v>
      </c>
      <c r="C221" s="1">
        <v>205053</v>
      </c>
      <c r="E221" s="1" t="s">
        <v>16</v>
      </c>
      <c r="F221" s="1" t="s">
        <v>665</v>
      </c>
      <c r="G221" s="1" t="s">
        <v>666</v>
      </c>
      <c r="I221" s="1" t="s">
        <v>19</v>
      </c>
      <c r="L221" s="1" t="s">
        <v>667</v>
      </c>
      <c r="M221" s="1" t="s">
        <v>665</v>
      </c>
      <c r="N221" s="1">
        <v>179</v>
      </c>
      <c r="O221" s="1" t="s">
        <v>668</v>
      </c>
    </row>
    <row r="222" spans="1:17" x14ac:dyDescent="0.35">
      <c r="A222" s="1" t="s">
        <v>15</v>
      </c>
      <c r="B222" s="1">
        <v>205186</v>
      </c>
      <c r="C222" s="1">
        <v>205671</v>
      </c>
      <c r="E222" s="1" t="s">
        <v>16</v>
      </c>
      <c r="F222" s="1" t="s">
        <v>669</v>
      </c>
      <c r="I222" s="1" t="s">
        <v>19</v>
      </c>
      <c r="L222" s="1" t="s">
        <v>670</v>
      </c>
      <c r="M222" s="1" t="s">
        <v>669</v>
      </c>
      <c r="N222" s="1">
        <v>161</v>
      </c>
      <c r="O222" s="1" t="s">
        <v>671</v>
      </c>
    </row>
    <row r="223" spans="1:17" x14ac:dyDescent="0.35">
      <c r="A223" s="1" t="s">
        <v>15</v>
      </c>
      <c r="B223" s="1">
        <v>205803</v>
      </c>
      <c r="C223" s="1">
        <v>206612</v>
      </c>
      <c r="E223" s="1" t="s">
        <v>178</v>
      </c>
      <c r="F223" s="1" t="s">
        <v>672</v>
      </c>
      <c r="I223" s="1" t="s">
        <v>19</v>
      </c>
      <c r="L223" s="1" t="s">
        <v>673</v>
      </c>
      <c r="M223" s="1" t="s">
        <v>672</v>
      </c>
      <c r="N223" s="1">
        <v>269</v>
      </c>
      <c r="O223" s="1" t="s">
        <v>674</v>
      </c>
      <c r="Q223" s="14"/>
    </row>
    <row r="224" spans="1:17" x14ac:dyDescent="0.35">
      <c r="A224" s="1" t="s">
        <v>15</v>
      </c>
      <c r="B224" s="1">
        <v>206605</v>
      </c>
      <c r="C224" s="1">
        <v>207372</v>
      </c>
      <c r="E224" s="1" t="s">
        <v>178</v>
      </c>
      <c r="F224" s="1" t="s">
        <v>675</v>
      </c>
      <c r="I224" s="1" t="s">
        <v>19</v>
      </c>
      <c r="L224" s="1" t="s">
        <v>676</v>
      </c>
      <c r="M224" s="1" t="s">
        <v>675</v>
      </c>
      <c r="N224" s="1">
        <v>255</v>
      </c>
      <c r="O224" s="1" t="s">
        <v>677</v>
      </c>
    </row>
    <row r="225" spans="1:20" x14ac:dyDescent="0.35">
      <c r="A225" s="1" t="s">
        <v>15</v>
      </c>
      <c r="B225" s="1">
        <v>207546</v>
      </c>
      <c r="C225" s="1">
        <v>210047</v>
      </c>
      <c r="E225" s="1" t="s">
        <v>16</v>
      </c>
      <c r="F225" s="1" t="s">
        <v>678</v>
      </c>
      <c r="G225" s="1" t="s">
        <v>679</v>
      </c>
      <c r="I225" s="1" t="s">
        <v>19</v>
      </c>
      <c r="L225" s="1" t="s">
        <v>680</v>
      </c>
      <c r="M225" s="1" t="s">
        <v>678</v>
      </c>
      <c r="N225" s="1">
        <v>833</v>
      </c>
      <c r="O225" s="1" t="s">
        <v>681</v>
      </c>
    </row>
    <row r="226" spans="1:20" x14ac:dyDescent="0.35">
      <c r="A226" s="1" t="s">
        <v>15</v>
      </c>
      <c r="B226" s="1">
        <v>210230</v>
      </c>
      <c r="C226" s="1">
        <v>210685</v>
      </c>
      <c r="E226" s="1" t="s">
        <v>16</v>
      </c>
      <c r="F226" s="1" t="s">
        <v>682</v>
      </c>
      <c r="I226" s="1" t="s">
        <v>19</v>
      </c>
      <c r="L226" s="1" t="s">
        <v>683</v>
      </c>
      <c r="M226" s="1" t="s">
        <v>682</v>
      </c>
      <c r="N226" s="1">
        <v>151</v>
      </c>
      <c r="O226" s="1" t="s">
        <v>684</v>
      </c>
    </row>
    <row r="227" spans="1:20" x14ac:dyDescent="0.35">
      <c r="A227" s="1" t="s">
        <v>15</v>
      </c>
      <c r="B227" s="1">
        <v>210743</v>
      </c>
      <c r="C227" s="1">
        <v>211972</v>
      </c>
      <c r="E227" s="1" t="s">
        <v>16</v>
      </c>
      <c r="F227" s="1" t="s">
        <v>685</v>
      </c>
      <c r="G227" s="1" t="s">
        <v>686</v>
      </c>
      <c r="I227" s="1" t="s">
        <v>19</v>
      </c>
      <c r="L227" s="1" t="s">
        <v>687</v>
      </c>
      <c r="M227" s="1" t="s">
        <v>685</v>
      </c>
      <c r="N227" s="1">
        <v>409</v>
      </c>
      <c r="O227" s="1" t="s">
        <v>688</v>
      </c>
      <c r="Q227" s="14"/>
    </row>
    <row r="228" spans="1:20" x14ac:dyDescent="0.35">
      <c r="A228" s="1" t="s">
        <v>15</v>
      </c>
      <c r="B228" s="1">
        <v>212117</v>
      </c>
      <c r="C228" s="1">
        <v>212530</v>
      </c>
      <c r="E228" s="1" t="s">
        <v>16</v>
      </c>
      <c r="F228" s="1" t="s">
        <v>50</v>
      </c>
      <c r="I228" s="1" t="s">
        <v>19</v>
      </c>
      <c r="L228" s="1" t="s">
        <v>689</v>
      </c>
      <c r="M228" s="1" t="s">
        <v>50</v>
      </c>
      <c r="N228" s="1">
        <v>137</v>
      </c>
      <c r="O228" s="1" t="s">
        <v>690</v>
      </c>
    </row>
    <row r="229" spans="1:20" x14ac:dyDescent="0.35">
      <c r="A229" s="1" t="s">
        <v>15</v>
      </c>
      <c r="B229" s="1">
        <v>212624</v>
      </c>
      <c r="C229" s="1">
        <v>212929</v>
      </c>
      <c r="E229" s="1" t="s">
        <v>178</v>
      </c>
      <c r="F229" s="1" t="s">
        <v>54</v>
      </c>
      <c r="I229" s="1" t="s">
        <v>19</v>
      </c>
      <c r="L229" s="1" t="s">
        <v>691</v>
      </c>
      <c r="M229" s="1" t="s">
        <v>54</v>
      </c>
      <c r="N229" s="1">
        <v>101</v>
      </c>
      <c r="O229" s="1" t="s">
        <v>692</v>
      </c>
    </row>
    <row r="230" spans="1:20" x14ac:dyDescent="0.35">
      <c r="A230" s="1" t="s">
        <v>15</v>
      </c>
      <c r="B230" s="1">
        <v>213017</v>
      </c>
      <c r="C230" s="1">
        <v>213334</v>
      </c>
      <c r="E230" s="1" t="s">
        <v>16</v>
      </c>
      <c r="F230" s="1" t="s">
        <v>693</v>
      </c>
      <c r="G230" s="1" t="s">
        <v>694</v>
      </c>
      <c r="I230" s="1" t="s">
        <v>19</v>
      </c>
      <c r="L230" s="1" t="s">
        <v>695</v>
      </c>
      <c r="M230" s="1" t="s">
        <v>693</v>
      </c>
      <c r="N230" s="1">
        <v>105</v>
      </c>
      <c r="O230" s="1" t="s">
        <v>696</v>
      </c>
    </row>
    <row r="231" spans="1:20" x14ac:dyDescent="0.35">
      <c r="A231" s="1" t="s">
        <v>15</v>
      </c>
      <c r="B231" s="1">
        <v>213459</v>
      </c>
      <c r="C231" s="1">
        <v>214325</v>
      </c>
      <c r="E231" s="1" t="s">
        <v>16</v>
      </c>
      <c r="F231" s="1" t="s">
        <v>697</v>
      </c>
      <c r="G231" s="1" t="s">
        <v>698</v>
      </c>
      <c r="I231" s="1" t="s">
        <v>19</v>
      </c>
      <c r="L231" s="1" t="s">
        <v>699</v>
      </c>
      <c r="M231" s="1" t="s">
        <v>697</v>
      </c>
      <c r="N231" s="1">
        <v>288</v>
      </c>
      <c r="O231" s="1" t="s">
        <v>700</v>
      </c>
      <c r="Q231" s="14"/>
      <c r="T231" s="15"/>
    </row>
    <row r="232" spans="1:20" x14ac:dyDescent="0.35">
      <c r="A232" s="1" t="s">
        <v>15</v>
      </c>
      <c r="B232" s="1">
        <v>214325</v>
      </c>
      <c r="C232" s="1">
        <v>215167</v>
      </c>
      <c r="E232" s="1" t="s">
        <v>16</v>
      </c>
      <c r="F232" s="1" t="s">
        <v>701</v>
      </c>
      <c r="I232" s="1" t="s">
        <v>19</v>
      </c>
      <c r="L232" s="1" t="s">
        <v>702</v>
      </c>
      <c r="M232" s="1" t="s">
        <v>701</v>
      </c>
      <c r="N232" s="1">
        <v>280</v>
      </c>
      <c r="O232" s="1" t="s">
        <v>703</v>
      </c>
    </row>
    <row r="233" spans="1:20" x14ac:dyDescent="0.35">
      <c r="A233" s="1" t="s">
        <v>15</v>
      </c>
      <c r="B233" s="1">
        <v>215186</v>
      </c>
      <c r="C233" s="1">
        <v>215641</v>
      </c>
      <c r="E233" s="1" t="s">
        <v>16</v>
      </c>
      <c r="F233" s="1" t="s">
        <v>520</v>
      </c>
      <c r="I233" s="1" t="s">
        <v>19</v>
      </c>
      <c r="L233" s="1" t="s">
        <v>704</v>
      </c>
      <c r="M233" s="1" t="s">
        <v>520</v>
      </c>
      <c r="N233" s="1">
        <v>151</v>
      </c>
      <c r="O233" s="1" t="s">
        <v>705</v>
      </c>
    </row>
    <row r="234" spans="1:20" x14ac:dyDescent="0.35">
      <c r="A234" s="1" t="s">
        <v>15</v>
      </c>
      <c r="B234" s="1">
        <v>215651</v>
      </c>
      <c r="C234" s="1">
        <v>216076</v>
      </c>
      <c r="E234" s="1" t="s">
        <v>16</v>
      </c>
      <c r="F234" s="1" t="s">
        <v>54</v>
      </c>
      <c r="I234" s="1" t="s">
        <v>19</v>
      </c>
      <c r="L234" s="1" t="s">
        <v>706</v>
      </c>
      <c r="M234" s="1" t="s">
        <v>54</v>
      </c>
      <c r="N234" s="1">
        <v>141</v>
      </c>
      <c r="O234" s="1" t="s">
        <v>707</v>
      </c>
    </row>
    <row r="235" spans="1:20" x14ac:dyDescent="0.35">
      <c r="A235" s="1" t="s">
        <v>15</v>
      </c>
      <c r="B235" s="1">
        <v>216166</v>
      </c>
      <c r="C235" s="1">
        <v>216876</v>
      </c>
      <c r="E235" s="1" t="s">
        <v>16</v>
      </c>
      <c r="F235" s="1" t="s">
        <v>708</v>
      </c>
      <c r="G235" s="1" t="s">
        <v>709</v>
      </c>
      <c r="I235" s="1" t="s">
        <v>19</v>
      </c>
      <c r="L235" s="1" t="s">
        <v>710</v>
      </c>
      <c r="M235" s="1" t="s">
        <v>708</v>
      </c>
      <c r="N235" s="1">
        <v>236</v>
      </c>
      <c r="O235" s="1" t="s">
        <v>711</v>
      </c>
    </row>
    <row r="236" spans="1:20" x14ac:dyDescent="0.35">
      <c r="A236" s="1" t="s">
        <v>15</v>
      </c>
      <c r="B236" s="1">
        <v>217088</v>
      </c>
      <c r="C236" s="1">
        <v>217771</v>
      </c>
      <c r="E236" s="1" t="s">
        <v>16</v>
      </c>
      <c r="F236" s="1" t="s">
        <v>712</v>
      </c>
      <c r="G236" s="1" t="s">
        <v>713</v>
      </c>
      <c r="I236" s="1" t="s">
        <v>19</v>
      </c>
      <c r="L236" s="1" t="s">
        <v>714</v>
      </c>
      <c r="M236" s="1" t="s">
        <v>712</v>
      </c>
      <c r="N236" s="1">
        <v>227</v>
      </c>
      <c r="O236" s="1" t="s">
        <v>715</v>
      </c>
      <c r="Q236" s="14"/>
    </row>
    <row r="237" spans="1:20" x14ac:dyDescent="0.35">
      <c r="A237" s="1" t="s">
        <v>15</v>
      </c>
      <c r="B237" s="1">
        <v>217818</v>
      </c>
      <c r="C237" s="1">
        <v>219041</v>
      </c>
      <c r="E237" s="1" t="s">
        <v>16</v>
      </c>
      <c r="F237" s="1" t="s">
        <v>54</v>
      </c>
      <c r="I237" s="1" t="s">
        <v>19</v>
      </c>
      <c r="L237" s="1" t="s">
        <v>716</v>
      </c>
      <c r="M237" s="1" t="s">
        <v>54</v>
      </c>
      <c r="N237" s="1">
        <v>407</v>
      </c>
      <c r="O237" s="1" t="s">
        <v>717</v>
      </c>
    </row>
    <row r="238" spans="1:20" x14ac:dyDescent="0.35">
      <c r="A238" s="1" t="s">
        <v>15</v>
      </c>
      <c r="B238" s="1">
        <v>219226</v>
      </c>
      <c r="C238" s="1">
        <v>220680</v>
      </c>
      <c r="E238" s="1" t="s">
        <v>16</v>
      </c>
      <c r="F238" s="1" t="s">
        <v>718</v>
      </c>
      <c r="G238" s="1" t="s">
        <v>719</v>
      </c>
      <c r="I238" s="1" t="s">
        <v>19</v>
      </c>
      <c r="L238" s="1" t="s">
        <v>720</v>
      </c>
      <c r="M238" s="1" t="s">
        <v>718</v>
      </c>
      <c r="N238" s="1">
        <v>484</v>
      </c>
      <c r="O238" s="1" t="s">
        <v>721</v>
      </c>
      <c r="Q238" s="14"/>
    </row>
    <row r="239" spans="1:20" x14ac:dyDescent="0.35">
      <c r="A239" s="1" t="s">
        <v>15</v>
      </c>
      <c r="B239" s="1">
        <v>220692</v>
      </c>
      <c r="C239" s="1">
        <v>221513</v>
      </c>
      <c r="E239" s="1" t="s">
        <v>16</v>
      </c>
      <c r="F239" s="1" t="s">
        <v>722</v>
      </c>
      <c r="G239" s="1" t="s">
        <v>723</v>
      </c>
      <c r="I239" s="1" t="s">
        <v>19</v>
      </c>
      <c r="L239" s="1" t="s">
        <v>724</v>
      </c>
      <c r="M239" s="1" t="s">
        <v>722</v>
      </c>
      <c r="N239" s="1">
        <v>273</v>
      </c>
      <c r="O239" s="1" t="s">
        <v>725</v>
      </c>
      <c r="Q239" s="14"/>
    </row>
    <row r="240" spans="1:20" x14ac:dyDescent="0.35">
      <c r="A240" s="1" t="s">
        <v>15</v>
      </c>
      <c r="B240" s="1">
        <v>221529</v>
      </c>
      <c r="C240" s="1">
        <v>221972</v>
      </c>
      <c r="E240" s="1" t="s">
        <v>16</v>
      </c>
      <c r="F240" s="1" t="s">
        <v>726</v>
      </c>
      <c r="I240" s="1" t="s">
        <v>19</v>
      </c>
      <c r="L240" s="1" t="s">
        <v>727</v>
      </c>
      <c r="M240" s="1" t="s">
        <v>726</v>
      </c>
      <c r="N240" s="1">
        <v>147</v>
      </c>
      <c r="O240" s="1" t="s">
        <v>728</v>
      </c>
    </row>
    <row r="241" spans="1:17" x14ac:dyDescent="0.35">
      <c r="A241" s="1" t="s">
        <v>15</v>
      </c>
      <c r="B241" s="1">
        <v>222074</v>
      </c>
      <c r="C241" s="1">
        <v>223411</v>
      </c>
      <c r="E241" s="1" t="s">
        <v>16</v>
      </c>
      <c r="F241" s="1" t="s">
        <v>729</v>
      </c>
      <c r="G241" s="1" t="s">
        <v>730</v>
      </c>
      <c r="I241" s="1" t="s">
        <v>19</v>
      </c>
      <c r="L241" s="1" t="s">
        <v>731</v>
      </c>
      <c r="M241" s="1" t="s">
        <v>729</v>
      </c>
      <c r="N241" s="1">
        <v>445</v>
      </c>
      <c r="O241" s="1" t="s">
        <v>732</v>
      </c>
      <c r="Q241" s="14"/>
    </row>
    <row r="242" spans="1:17" x14ac:dyDescent="0.35">
      <c r="A242" s="1" t="s">
        <v>15</v>
      </c>
      <c r="B242" s="1">
        <v>223514</v>
      </c>
      <c r="C242" s="1">
        <v>225805</v>
      </c>
      <c r="E242" s="1" t="s">
        <v>178</v>
      </c>
      <c r="F242" s="1" t="s">
        <v>733</v>
      </c>
      <c r="G242" s="1" t="s">
        <v>734</v>
      </c>
      <c r="I242" s="1" t="s">
        <v>19</v>
      </c>
      <c r="L242" s="1" t="s">
        <v>735</v>
      </c>
      <c r="M242" s="1" t="s">
        <v>733</v>
      </c>
      <c r="N242" s="1">
        <v>763</v>
      </c>
      <c r="O242" s="1" t="s">
        <v>736</v>
      </c>
      <c r="Q242" s="14"/>
    </row>
    <row r="243" spans="1:17" x14ac:dyDescent="0.35">
      <c r="A243" s="1" t="s">
        <v>15</v>
      </c>
      <c r="B243" s="1">
        <v>225805</v>
      </c>
      <c r="C243" s="1">
        <v>226401</v>
      </c>
      <c r="E243" s="1" t="s">
        <v>178</v>
      </c>
      <c r="F243" s="1" t="s">
        <v>737</v>
      </c>
      <c r="G243" s="1" t="s">
        <v>738</v>
      </c>
      <c r="I243" s="1" t="s">
        <v>19</v>
      </c>
      <c r="L243" s="1" t="s">
        <v>739</v>
      </c>
      <c r="M243" s="1" t="s">
        <v>737</v>
      </c>
      <c r="N243" s="1">
        <v>198</v>
      </c>
      <c r="O243" s="1" t="s">
        <v>740</v>
      </c>
      <c r="Q243" s="14"/>
    </row>
    <row r="244" spans="1:17" x14ac:dyDescent="0.35">
      <c r="A244" s="1" t="s">
        <v>15</v>
      </c>
      <c r="B244" s="1">
        <v>226478</v>
      </c>
      <c r="C244" s="1">
        <v>226993</v>
      </c>
      <c r="E244" s="1" t="s">
        <v>16</v>
      </c>
      <c r="F244" s="1" t="s">
        <v>741</v>
      </c>
      <c r="I244" s="1" t="s">
        <v>19</v>
      </c>
      <c r="L244" s="1" t="s">
        <v>742</v>
      </c>
      <c r="M244" s="1" t="s">
        <v>741</v>
      </c>
      <c r="N244" s="1">
        <v>171</v>
      </c>
      <c r="O244" s="1" t="s">
        <v>743</v>
      </c>
    </row>
    <row r="245" spans="1:17" x14ac:dyDescent="0.35">
      <c r="A245" s="1" t="s">
        <v>15</v>
      </c>
      <c r="B245" s="1">
        <v>227102</v>
      </c>
      <c r="C245" s="1">
        <v>227434</v>
      </c>
      <c r="E245" s="1" t="s">
        <v>16</v>
      </c>
      <c r="F245" s="1" t="s">
        <v>744</v>
      </c>
      <c r="G245" s="1" t="s">
        <v>745</v>
      </c>
      <c r="I245" s="1" t="s">
        <v>19</v>
      </c>
      <c r="L245" s="1" t="s">
        <v>746</v>
      </c>
      <c r="M245" s="1" t="s">
        <v>744</v>
      </c>
      <c r="N245" s="1">
        <v>110</v>
      </c>
      <c r="O245" s="1" t="s">
        <v>747</v>
      </c>
    </row>
    <row r="246" spans="1:17" x14ac:dyDescent="0.35">
      <c r="A246" s="1" t="s">
        <v>15</v>
      </c>
      <c r="B246" s="1">
        <v>227966</v>
      </c>
      <c r="C246" s="1">
        <v>229132</v>
      </c>
      <c r="E246" s="1" t="s">
        <v>16</v>
      </c>
      <c r="F246" s="1" t="s">
        <v>748</v>
      </c>
      <c r="I246" s="1" t="s">
        <v>19</v>
      </c>
      <c r="L246" s="1" t="s">
        <v>749</v>
      </c>
      <c r="M246" s="1" t="s">
        <v>748</v>
      </c>
      <c r="N246" s="1">
        <v>388</v>
      </c>
      <c r="O246" s="1" t="s">
        <v>750</v>
      </c>
    </row>
    <row r="247" spans="1:17" x14ac:dyDescent="0.35">
      <c r="A247" s="1" t="s">
        <v>15</v>
      </c>
      <c r="B247" s="1">
        <v>229135</v>
      </c>
      <c r="C247" s="1">
        <v>231132</v>
      </c>
      <c r="E247" s="1" t="s">
        <v>16</v>
      </c>
      <c r="F247" s="1" t="s">
        <v>50</v>
      </c>
      <c r="I247" s="1" t="s">
        <v>19</v>
      </c>
      <c r="L247" s="1" t="s">
        <v>751</v>
      </c>
      <c r="M247" s="1" t="s">
        <v>50</v>
      </c>
      <c r="N247" s="1">
        <v>665</v>
      </c>
      <c r="O247" s="1" t="s">
        <v>752</v>
      </c>
    </row>
    <row r="248" spans="1:17" x14ac:dyDescent="0.35">
      <c r="A248" s="1" t="s">
        <v>15</v>
      </c>
      <c r="B248" s="1">
        <v>231241</v>
      </c>
      <c r="C248" s="1">
        <v>234336</v>
      </c>
      <c r="E248" s="1" t="s">
        <v>16</v>
      </c>
      <c r="F248" s="1" t="s">
        <v>753</v>
      </c>
      <c r="G248" s="1" t="s">
        <v>754</v>
      </c>
      <c r="I248" s="1" t="s">
        <v>19</v>
      </c>
      <c r="L248" s="1" t="s">
        <v>755</v>
      </c>
      <c r="M248" s="1" t="s">
        <v>753</v>
      </c>
      <c r="N248" s="1">
        <v>1031</v>
      </c>
      <c r="O248" s="1" t="s">
        <v>756</v>
      </c>
      <c r="Q248" s="14"/>
    </row>
    <row r="249" spans="1:17" x14ac:dyDescent="0.35">
      <c r="A249" s="1" t="s">
        <v>15</v>
      </c>
      <c r="B249" s="1">
        <v>234492</v>
      </c>
      <c r="C249" s="1">
        <v>235208</v>
      </c>
      <c r="E249" s="1" t="s">
        <v>16</v>
      </c>
      <c r="F249" s="1" t="s">
        <v>50</v>
      </c>
      <c r="G249" s="1" t="s">
        <v>757</v>
      </c>
      <c r="I249" s="1" t="s">
        <v>19</v>
      </c>
      <c r="L249" s="1" t="s">
        <v>758</v>
      </c>
      <c r="M249" s="1" t="s">
        <v>50</v>
      </c>
      <c r="N249" s="1">
        <v>238</v>
      </c>
      <c r="O249" s="1" t="s">
        <v>759</v>
      </c>
    </row>
    <row r="250" spans="1:17" x14ac:dyDescent="0.35">
      <c r="A250" s="1" t="s">
        <v>15</v>
      </c>
      <c r="B250" s="1">
        <v>235235</v>
      </c>
      <c r="C250" s="1">
        <v>236563</v>
      </c>
      <c r="E250" s="1" t="s">
        <v>16</v>
      </c>
      <c r="F250" s="1" t="s">
        <v>760</v>
      </c>
      <c r="G250" s="1" t="s">
        <v>761</v>
      </c>
      <c r="I250" s="1" t="s">
        <v>19</v>
      </c>
      <c r="L250" s="1" t="s">
        <v>762</v>
      </c>
      <c r="M250" s="1" t="s">
        <v>760</v>
      </c>
      <c r="N250" s="1">
        <v>442</v>
      </c>
      <c r="O250" s="1" t="s">
        <v>763</v>
      </c>
    </row>
    <row r="251" spans="1:17" x14ac:dyDescent="0.35">
      <c r="A251" s="1" t="s">
        <v>15</v>
      </c>
      <c r="B251" s="1">
        <v>236623</v>
      </c>
      <c r="C251" s="1">
        <v>237117</v>
      </c>
      <c r="E251" s="1" t="s">
        <v>16</v>
      </c>
      <c r="F251" s="1" t="s">
        <v>764</v>
      </c>
      <c r="I251" s="1" t="s">
        <v>19</v>
      </c>
      <c r="L251" s="1" t="s">
        <v>765</v>
      </c>
      <c r="M251" s="1" t="s">
        <v>764</v>
      </c>
      <c r="N251" s="1">
        <v>164</v>
      </c>
      <c r="O251" s="1" t="s">
        <v>766</v>
      </c>
    </row>
    <row r="252" spans="1:17" x14ac:dyDescent="0.35">
      <c r="A252" s="1" t="s">
        <v>15</v>
      </c>
      <c r="B252" s="1">
        <v>237214</v>
      </c>
      <c r="C252" s="1">
        <v>239190</v>
      </c>
      <c r="E252" s="1" t="s">
        <v>16</v>
      </c>
      <c r="F252" s="1" t="s">
        <v>767</v>
      </c>
      <c r="G252" s="1" t="s">
        <v>768</v>
      </c>
      <c r="I252" s="1" t="s">
        <v>19</v>
      </c>
      <c r="L252" s="1" t="s">
        <v>769</v>
      </c>
      <c r="M252" s="1" t="s">
        <v>767</v>
      </c>
      <c r="N252" s="1">
        <v>658</v>
      </c>
      <c r="O252" s="1" t="s">
        <v>770</v>
      </c>
    </row>
    <row r="253" spans="1:17" x14ac:dyDescent="0.35">
      <c r="A253" s="1" t="s">
        <v>15</v>
      </c>
      <c r="B253" s="1">
        <v>239275</v>
      </c>
      <c r="C253" s="1">
        <v>239757</v>
      </c>
      <c r="E253" s="1" t="s">
        <v>16</v>
      </c>
      <c r="F253" s="1" t="s">
        <v>771</v>
      </c>
      <c r="G253" s="1" t="s">
        <v>772</v>
      </c>
      <c r="I253" s="1" t="s">
        <v>19</v>
      </c>
      <c r="L253" s="1" t="s">
        <v>773</v>
      </c>
      <c r="M253" s="1" t="s">
        <v>771</v>
      </c>
      <c r="N253" s="1">
        <v>160</v>
      </c>
      <c r="O253" s="1" t="s">
        <v>774</v>
      </c>
    </row>
    <row r="254" spans="1:17" x14ac:dyDescent="0.35">
      <c r="A254" s="1" t="s">
        <v>15</v>
      </c>
      <c r="B254" s="1">
        <v>239925</v>
      </c>
      <c r="C254" s="1">
        <v>240842</v>
      </c>
      <c r="E254" s="1" t="s">
        <v>178</v>
      </c>
      <c r="F254" s="1" t="s">
        <v>775</v>
      </c>
      <c r="I254" s="1" t="s">
        <v>19</v>
      </c>
      <c r="L254" s="1" t="s">
        <v>776</v>
      </c>
      <c r="M254" s="1" t="s">
        <v>775</v>
      </c>
      <c r="N254" s="1">
        <v>305</v>
      </c>
      <c r="O254" s="1" t="s">
        <v>777</v>
      </c>
    </row>
    <row r="255" spans="1:17" x14ac:dyDescent="0.35">
      <c r="A255" s="1" t="s">
        <v>15</v>
      </c>
      <c r="B255" s="1">
        <v>240929</v>
      </c>
      <c r="C255" s="1">
        <v>241207</v>
      </c>
      <c r="E255" s="1" t="s">
        <v>178</v>
      </c>
      <c r="F255" s="1" t="s">
        <v>778</v>
      </c>
      <c r="G255" s="1" t="s">
        <v>779</v>
      </c>
      <c r="I255" s="1" t="s">
        <v>19</v>
      </c>
      <c r="L255" s="1" t="s">
        <v>780</v>
      </c>
      <c r="M255" s="1" t="s">
        <v>778</v>
      </c>
      <c r="N255" s="1">
        <v>92</v>
      </c>
      <c r="O255" s="1" t="s">
        <v>781</v>
      </c>
    </row>
    <row r="256" spans="1:17" x14ac:dyDescent="0.35">
      <c r="A256" s="1" t="s">
        <v>15</v>
      </c>
      <c r="B256" s="1">
        <v>241310</v>
      </c>
      <c r="C256" s="1">
        <v>242047</v>
      </c>
      <c r="E256" s="1" t="s">
        <v>16</v>
      </c>
      <c r="F256" s="1" t="s">
        <v>782</v>
      </c>
      <c r="G256" s="1" t="s">
        <v>783</v>
      </c>
      <c r="I256" s="1" t="s">
        <v>19</v>
      </c>
      <c r="L256" s="1" t="s">
        <v>784</v>
      </c>
      <c r="M256" s="1" t="s">
        <v>782</v>
      </c>
      <c r="N256" s="1">
        <v>245</v>
      </c>
      <c r="O256" s="1" t="s">
        <v>785</v>
      </c>
      <c r="Q256" s="14"/>
    </row>
    <row r="257" spans="1:17" x14ac:dyDescent="0.35">
      <c r="A257" s="1" t="s">
        <v>15</v>
      </c>
      <c r="B257" s="1">
        <v>242149</v>
      </c>
      <c r="C257" s="1">
        <v>242652</v>
      </c>
      <c r="E257" s="1" t="s">
        <v>16</v>
      </c>
      <c r="F257" s="1" t="s">
        <v>50</v>
      </c>
      <c r="I257" s="1" t="s">
        <v>19</v>
      </c>
      <c r="L257" s="1" t="s">
        <v>786</v>
      </c>
      <c r="M257" s="1" t="s">
        <v>50</v>
      </c>
      <c r="N257" s="1">
        <v>167</v>
      </c>
      <c r="O257" s="1" t="s">
        <v>787</v>
      </c>
    </row>
    <row r="258" spans="1:17" x14ac:dyDescent="0.35">
      <c r="A258" s="1" t="s">
        <v>15</v>
      </c>
      <c r="B258" s="1">
        <v>242676</v>
      </c>
      <c r="C258" s="1">
        <v>243365</v>
      </c>
      <c r="E258" s="1" t="s">
        <v>16</v>
      </c>
      <c r="F258" s="1" t="s">
        <v>442</v>
      </c>
      <c r="I258" s="1" t="s">
        <v>19</v>
      </c>
      <c r="L258" s="1" t="s">
        <v>788</v>
      </c>
      <c r="M258" s="1" t="s">
        <v>442</v>
      </c>
      <c r="N258" s="1">
        <v>229</v>
      </c>
      <c r="O258" s="1" t="s">
        <v>789</v>
      </c>
    </row>
    <row r="259" spans="1:17" x14ac:dyDescent="0.35">
      <c r="A259" s="1" t="s">
        <v>15</v>
      </c>
      <c r="B259" s="1">
        <v>243402</v>
      </c>
      <c r="C259" s="1">
        <v>244538</v>
      </c>
      <c r="E259" s="1" t="s">
        <v>178</v>
      </c>
      <c r="F259" s="1" t="s">
        <v>54</v>
      </c>
      <c r="I259" s="1" t="s">
        <v>19</v>
      </c>
      <c r="L259" s="1" t="s">
        <v>790</v>
      </c>
      <c r="M259" s="1" t="s">
        <v>54</v>
      </c>
      <c r="N259" s="1">
        <v>378</v>
      </c>
      <c r="O259" s="1" t="s">
        <v>791</v>
      </c>
    </row>
    <row r="260" spans="1:17" x14ac:dyDescent="0.35">
      <c r="A260" s="1" t="s">
        <v>15</v>
      </c>
      <c r="B260" s="1">
        <v>244675</v>
      </c>
      <c r="C260" s="1">
        <v>245928</v>
      </c>
      <c r="E260" s="1" t="s">
        <v>16</v>
      </c>
      <c r="F260" s="1" t="s">
        <v>792</v>
      </c>
      <c r="G260" s="1" t="s">
        <v>793</v>
      </c>
      <c r="I260" s="1" t="s">
        <v>19</v>
      </c>
      <c r="L260" s="1" t="s">
        <v>794</v>
      </c>
      <c r="M260" s="1" t="s">
        <v>792</v>
      </c>
      <c r="N260" s="1">
        <v>417</v>
      </c>
      <c r="O260" s="1" t="s">
        <v>795</v>
      </c>
      <c r="Q260" s="14"/>
    </row>
    <row r="261" spans="1:17" x14ac:dyDescent="0.35">
      <c r="A261" s="1" t="s">
        <v>15</v>
      </c>
      <c r="B261" s="1">
        <v>245962</v>
      </c>
      <c r="C261" s="1">
        <v>246504</v>
      </c>
      <c r="E261" s="1" t="s">
        <v>178</v>
      </c>
      <c r="F261" s="1" t="s">
        <v>796</v>
      </c>
      <c r="I261" s="1" t="s">
        <v>19</v>
      </c>
      <c r="L261" s="1" t="s">
        <v>797</v>
      </c>
      <c r="M261" s="1" t="s">
        <v>796</v>
      </c>
      <c r="N261" s="1">
        <v>180</v>
      </c>
      <c r="O261" s="1" t="s">
        <v>798</v>
      </c>
    </row>
    <row r="262" spans="1:17" x14ac:dyDescent="0.35">
      <c r="A262" s="1" t="s">
        <v>15</v>
      </c>
      <c r="B262" s="1">
        <v>246750</v>
      </c>
      <c r="C262" s="1">
        <v>247001</v>
      </c>
      <c r="E262" s="1" t="s">
        <v>16</v>
      </c>
      <c r="F262" s="1" t="s">
        <v>799</v>
      </c>
      <c r="I262" s="1" t="s">
        <v>19</v>
      </c>
      <c r="L262" s="1" t="s">
        <v>800</v>
      </c>
      <c r="M262" s="1" t="s">
        <v>799</v>
      </c>
      <c r="N262" s="1">
        <v>83</v>
      </c>
      <c r="O262" s="1" t="s">
        <v>801</v>
      </c>
    </row>
    <row r="263" spans="1:17" x14ac:dyDescent="0.35">
      <c r="A263" s="1" t="s">
        <v>15</v>
      </c>
      <c r="B263" s="1">
        <v>247065</v>
      </c>
      <c r="C263" s="1">
        <v>247880</v>
      </c>
      <c r="E263" s="1" t="s">
        <v>16</v>
      </c>
      <c r="F263" s="1" t="s">
        <v>802</v>
      </c>
      <c r="G263" s="1" t="s">
        <v>803</v>
      </c>
      <c r="I263" s="1" t="s">
        <v>19</v>
      </c>
      <c r="L263" s="1" t="s">
        <v>804</v>
      </c>
      <c r="M263" s="1" t="s">
        <v>802</v>
      </c>
      <c r="N263" s="1">
        <v>271</v>
      </c>
      <c r="O263" s="1" t="s">
        <v>805</v>
      </c>
      <c r="Q263" s="14"/>
    </row>
    <row r="264" spans="1:17" x14ac:dyDescent="0.35">
      <c r="A264" s="1" t="s">
        <v>15</v>
      </c>
      <c r="B264" s="1">
        <v>247873</v>
      </c>
      <c r="C264" s="1">
        <v>248847</v>
      </c>
      <c r="E264" s="1" t="s">
        <v>16</v>
      </c>
      <c r="F264" s="1" t="s">
        <v>806</v>
      </c>
      <c r="G264" s="1" t="s">
        <v>807</v>
      </c>
      <c r="I264" s="1" t="s">
        <v>19</v>
      </c>
      <c r="L264" s="1" t="s">
        <v>808</v>
      </c>
      <c r="M264" s="1" t="s">
        <v>806</v>
      </c>
      <c r="N264" s="1">
        <v>324</v>
      </c>
      <c r="O264" s="1" t="s">
        <v>809</v>
      </c>
      <c r="Q264" s="14"/>
    </row>
    <row r="265" spans="1:17" x14ac:dyDescent="0.35">
      <c r="A265" s="1" t="s">
        <v>15</v>
      </c>
      <c r="B265" s="1">
        <v>248829</v>
      </c>
      <c r="C265" s="1">
        <v>249350</v>
      </c>
      <c r="E265" s="1" t="s">
        <v>16</v>
      </c>
      <c r="F265" s="1" t="s">
        <v>810</v>
      </c>
      <c r="I265" s="1" t="s">
        <v>19</v>
      </c>
      <c r="L265" s="1" t="s">
        <v>811</v>
      </c>
      <c r="M265" s="1" t="s">
        <v>810</v>
      </c>
      <c r="N265" s="1">
        <v>173</v>
      </c>
      <c r="O265" s="1" t="s">
        <v>812</v>
      </c>
      <c r="Q265" s="14"/>
    </row>
    <row r="266" spans="1:17" x14ac:dyDescent="0.35">
      <c r="A266" s="1" t="s">
        <v>15</v>
      </c>
      <c r="B266" s="1">
        <v>249347</v>
      </c>
      <c r="C266" s="1">
        <v>249829</v>
      </c>
      <c r="E266" s="1" t="s">
        <v>16</v>
      </c>
      <c r="F266" s="1" t="s">
        <v>813</v>
      </c>
      <c r="I266" s="1" t="s">
        <v>19</v>
      </c>
      <c r="L266" s="1" t="s">
        <v>814</v>
      </c>
      <c r="M266" s="1" t="s">
        <v>813</v>
      </c>
      <c r="N266" s="1">
        <v>160</v>
      </c>
      <c r="O266" s="1" t="s">
        <v>815</v>
      </c>
    </row>
    <row r="267" spans="1:17" x14ac:dyDescent="0.35">
      <c r="A267" s="1" t="s">
        <v>15</v>
      </c>
      <c r="B267" s="1">
        <v>249783</v>
      </c>
      <c r="C267" s="1">
        <v>250544</v>
      </c>
      <c r="E267" s="1" t="s">
        <v>16</v>
      </c>
      <c r="F267" s="1" t="s">
        <v>816</v>
      </c>
      <c r="I267" s="1" t="s">
        <v>19</v>
      </c>
      <c r="L267" s="1" t="s">
        <v>817</v>
      </c>
      <c r="M267" s="1" t="s">
        <v>816</v>
      </c>
      <c r="N267" s="1">
        <v>253</v>
      </c>
      <c r="O267" s="1" t="s">
        <v>818</v>
      </c>
    </row>
    <row r="268" spans="1:17" x14ac:dyDescent="0.35">
      <c r="A268" s="1" t="s">
        <v>15</v>
      </c>
      <c r="B268" s="1">
        <v>250544</v>
      </c>
      <c r="C268" s="1">
        <v>251257</v>
      </c>
      <c r="E268" s="1" t="s">
        <v>16</v>
      </c>
      <c r="F268" s="1" t="s">
        <v>819</v>
      </c>
      <c r="G268" s="1" t="s">
        <v>820</v>
      </c>
      <c r="I268" s="1" t="s">
        <v>19</v>
      </c>
      <c r="L268" s="1" t="s">
        <v>821</v>
      </c>
      <c r="M268" s="1" t="s">
        <v>819</v>
      </c>
      <c r="N268" s="1">
        <v>237</v>
      </c>
      <c r="O268" s="1" t="s">
        <v>822</v>
      </c>
    </row>
    <row r="269" spans="1:17" x14ac:dyDescent="0.35">
      <c r="A269" s="1" t="s">
        <v>15</v>
      </c>
      <c r="B269" s="1">
        <v>251250</v>
      </c>
      <c r="C269" s="1">
        <v>251831</v>
      </c>
      <c r="E269" s="1" t="s">
        <v>16</v>
      </c>
      <c r="F269" s="1" t="s">
        <v>823</v>
      </c>
      <c r="I269" s="1" t="s">
        <v>19</v>
      </c>
      <c r="L269" s="1" t="s">
        <v>824</v>
      </c>
      <c r="M269" s="1" t="s">
        <v>823</v>
      </c>
      <c r="N269" s="1">
        <v>193</v>
      </c>
      <c r="O269" s="1" t="s">
        <v>825</v>
      </c>
    </row>
    <row r="270" spans="1:17" x14ac:dyDescent="0.35">
      <c r="A270" s="1" t="s">
        <v>15</v>
      </c>
      <c r="B270" s="1">
        <v>251923</v>
      </c>
      <c r="C270" s="1">
        <v>252648</v>
      </c>
      <c r="E270" s="1" t="s">
        <v>16</v>
      </c>
      <c r="F270" s="1" t="s">
        <v>826</v>
      </c>
      <c r="G270" s="1" t="s">
        <v>827</v>
      </c>
      <c r="I270" s="1" t="s">
        <v>19</v>
      </c>
      <c r="L270" s="1" t="s">
        <v>828</v>
      </c>
      <c r="M270" s="1" t="s">
        <v>826</v>
      </c>
      <c r="N270" s="1">
        <v>241</v>
      </c>
      <c r="O270" s="1" t="s">
        <v>829</v>
      </c>
      <c r="Q270" s="14"/>
    </row>
    <row r="271" spans="1:17" x14ac:dyDescent="0.35">
      <c r="A271" s="1" t="s">
        <v>15</v>
      </c>
      <c r="B271" s="1">
        <v>252648</v>
      </c>
      <c r="C271" s="1">
        <v>252896</v>
      </c>
      <c r="E271" s="1" t="s">
        <v>16</v>
      </c>
      <c r="F271" s="1" t="s">
        <v>830</v>
      </c>
      <c r="I271" s="1" t="s">
        <v>19</v>
      </c>
      <c r="L271" s="1" t="s">
        <v>831</v>
      </c>
      <c r="M271" s="1" t="s">
        <v>830</v>
      </c>
      <c r="N271" s="1">
        <v>82</v>
      </c>
      <c r="O271" s="1" t="s">
        <v>832</v>
      </c>
    </row>
    <row r="272" spans="1:17" x14ac:dyDescent="0.35">
      <c r="A272" s="1" t="s">
        <v>15</v>
      </c>
      <c r="B272" s="1">
        <v>252919</v>
      </c>
      <c r="C272" s="1">
        <v>254358</v>
      </c>
      <c r="E272" s="1" t="s">
        <v>178</v>
      </c>
      <c r="F272" s="1" t="s">
        <v>833</v>
      </c>
      <c r="I272" s="1" t="s">
        <v>19</v>
      </c>
      <c r="L272" s="1" t="s">
        <v>834</v>
      </c>
      <c r="M272" s="1" t="s">
        <v>833</v>
      </c>
      <c r="N272" s="1">
        <v>479</v>
      </c>
      <c r="O272" s="1" t="s">
        <v>835</v>
      </c>
    </row>
    <row r="273" spans="1:17" x14ac:dyDescent="0.35">
      <c r="A273" s="1" t="s">
        <v>15</v>
      </c>
      <c r="B273" s="1">
        <v>254365</v>
      </c>
      <c r="C273" s="1">
        <v>255714</v>
      </c>
      <c r="E273" s="1" t="s">
        <v>178</v>
      </c>
      <c r="F273" s="1" t="s">
        <v>836</v>
      </c>
      <c r="G273" s="1" t="s">
        <v>837</v>
      </c>
      <c r="I273" s="1" t="s">
        <v>19</v>
      </c>
      <c r="L273" s="1" t="s">
        <v>838</v>
      </c>
      <c r="M273" s="1" t="s">
        <v>836</v>
      </c>
      <c r="N273" s="1">
        <v>449</v>
      </c>
      <c r="O273" s="1" t="s">
        <v>839</v>
      </c>
    </row>
    <row r="274" spans="1:17" x14ac:dyDescent="0.35">
      <c r="A274" s="1" t="s">
        <v>15</v>
      </c>
      <c r="B274" s="1">
        <v>255992</v>
      </c>
      <c r="C274" s="1">
        <v>256501</v>
      </c>
      <c r="E274" s="1" t="s">
        <v>16</v>
      </c>
      <c r="F274" s="1" t="s">
        <v>840</v>
      </c>
      <c r="G274" s="1" t="s">
        <v>841</v>
      </c>
      <c r="I274" s="1" t="s">
        <v>19</v>
      </c>
      <c r="L274" s="1" t="s">
        <v>842</v>
      </c>
      <c r="M274" s="1" t="s">
        <v>840</v>
      </c>
      <c r="N274" s="1">
        <v>169</v>
      </c>
      <c r="O274" s="1" t="s">
        <v>843</v>
      </c>
    </row>
    <row r="275" spans="1:17" x14ac:dyDescent="0.35">
      <c r="A275" s="1" t="s">
        <v>15</v>
      </c>
      <c r="B275" s="1">
        <v>256811</v>
      </c>
      <c r="C275" s="1">
        <v>257368</v>
      </c>
      <c r="E275" s="1" t="s">
        <v>16</v>
      </c>
      <c r="F275" s="1" t="s">
        <v>530</v>
      </c>
      <c r="I275" s="1" t="s">
        <v>19</v>
      </c>
      <c r="L275" s="1" t="s">
        <v>844</v>
      </c>
      <c r="M275" s="1" t="s">
        <v>530</v>
      </c>
      <c r="N275" s="1">
        <v>185</v>
      </c>
      <c r="O275" s="1" t="s">
        <v>845</v>
      </c>
    </row>
    <row r="276" spans="1:17" x14ac:dyDescent="0.35">
      <c r="A276" s="1" t="s">
        <v>15</v>
      </c>
      <c r="B276" s="1">
        <v>257371</v>
      </c>
      <c r="C276" s="1">
        <v>258021</v>
      </c>
      <c r="E276" s="1" t="s">
        <v>16</v>
      </c>
      <c r="F276" s="1" t="s">
        <v>846</v>
      </c>
      <c r="I276" s="1" t="s">
        <v>19</v>
      </c>
      <c r="L276" s="1" t="s">
        <v>847</v>
      </c>
      <c r="M276" s="1" t="s">
        <v>846</v>
      </c>
      <c r="N276" s="1">
        <v>216</v>
      </c>
      <c r="O276" s="1" t="s">
        <v>848</v>
      </c>
    </row>
    <row r="277" spans="1:17" x14ac:dyDescent="0.35">
      <c r="A277" s="1" t="s">
        <v>15</v>
      </c>
      <c r="B277" s="1">
        <v>258202</v>
      </c>
      <c r="C277" s="1">
        <v>259101</v>
      </c>
      <c r="E277" s="1" t="s">
        <v>16</v>
      </c>
      <c r="F277" s="1" t="s">
        <v>849</v>
      </c>
      <c r="G277" s="1" t="s">
        <v>850</v>
      </c>
      <c r="I277" s="1" t="s">
        <v>19</v>
      </c>
      <c r="L277" s="1" t="s">
        <v>851</v>
      </c>
      <c r="M277" s="1" t="s">
        <v>849</v>
      </c>
      <c r="N277" s="1">
        <v>299</v>
      </c>
      <c r="O277" s="1" t="s">
        <v>852</v>
      </c>
    </row>
    <row r="278" spans="1:17" x14ac:dyDescent="0.35">
      <c r="A278" s="1" t="s">
        <v>15</v>
      </c>
      <c r="B278" s="1">
        <v>259276</v>
      </c>
      <c r="C278" s="1">
        <v>261372</v>
      </c>
      <c r="E278" s="1" t="s">
        <v>16</v>
      </c>
      <c r="F278" s="1" t="s">
        <v>853</v>
      </c>
      <c r="G278" s="1" t="s">
        <v>854</v>
      </c>
      <c r="I278" s="1" t="s">
        <v>19</v>
      </c>
      <c r="L278" s="1" t="s">
        <v>855</v>
      </c>
      <c r="M278" s="1" t="s">
        <v>853</v>
      </c>
      <c r="N278" s="1">
        <v>698</v>
      </c>
      <c r="O278" s="1" t="s">
        <v>856</v>
      </c>
    </row>
    <row r="279" spans="1:17" x14ac:dyDescent="0.35">
      <c r="A279" s="1" t="s">
        <v>15</v>
      </c>
      <c r="B279" s="1">
        <v>261482</v>
      </c>
      <c r="C279" s="1">
        <v>261814</v>
      </c>
      <c r="E279" s="1" t="s">
        <v>16</v>
      </c>
      <c r="F279" s="1" t="s">
        <v>857</v>
      </c>
      <c r="I279" s="1" t="s">
        <v>19</v>
      </c>
      <c r="L279" s="1" t="s">
        <v>858</v>
      </c>
      <c r="M279" s="1" t="s">
        <v>857</v>
      </c>
      <c r="N279" s="1">
        <v>110</v>
      </c>
      <c r="O279" s="1" t="s">
        <v>859</v>
      </c>
    </row>
    <row r="280" spans="1:17" x14ac:dyDescent="0.35">
      <c r="A280" s="1" t="s">
        <v>15</v>
      </c>
      <c r="B280" s="1">
        <v>261866</v>
      </c>
      <c r="C280" s="1">
        <v>263257</v>
      </c>
      <c r="E280" s="1" t="s">
        <v>178</v>
      </c>
      <c r="F280" s="1" t="s">
        <v>860</v>
      </c>
      <c r="I280" s="1" t="s">
        <v>19</v>
      </c>
      <c r="L280" s="1" t="s">
        <v>861</v>
      </c>
      <c r="M280" s="1" t="s">
        <v>860</v>
      </c>
      <c r="N280" s="1">
        <v>463</v>
      </c>
      <c r="O280" s="1" t="s">
        <v>862</v>
      </c>
    </row>
    <row r="281" spans="1:17" x14ac:dyDescent="0.35">
      <c r="A281" s="1" t="s">
        <v>15</v>
      </c>
      <c r="B281" s="1">
        <v>263665</v>
      </c>
      <c r="C281" s="1">
        <v>264180</v>
      </c>
      <c r="E281" s="1" t="s">
        <v>16</v>
      </c>
      <c r="F281" s="1" t="s">
        <v>863</v>
      </c>
      <c r="I281" s="1" t="s">
        <v>19</v>
      </c>
      <c r="L281" s="1" t="s">
        <v>864</v>
      </c>
      <c r="M281" s="1" t="s">
        <v>863</v>
      </c>
      <c r="N281" s="1">
        <v>171</v>
      </c>
      <c r="O281" s="1" t="s">
        <v>865</v>
      </c>
    </row>
    <row r="282" spans="1:17" x14ac:dyDescent="0.35">
      <c r="A282" s="1" t="s">
        <v>15</v>
      </c>
      <c r="B282" s="1">
        <v>264205</v>
      </c>
      <c r="C282" s="1">
        <v>264507</v>
      </c>
      <c r="E282" s="1" t="s">
        <v>16</v>
      </c>
      <c r="F282" s="1" t="s">
        <v>866</v>
      </c>
      <c r="G282" s="1" t="s">
        <v>867</v>
      </c>
      <c r="I282" s="1" t="s">
        <v>19</v>
      </c>
      <c r="L282" s="1" t="s">
        <v>868</v>
      </c>
      <c r="M282" s="1" t="s">
        <v>866</v>
      </c>
      <c r="N282" s="1">
        <v>100</v>
      </c>
      <c r="O282" s="1" t="s">
        <v>869</v>
      </c>
      <c r="Q282" s="14"/>
    </row>
    <row r="283" spans="1:17" x14ac:dyDescent="0.35">
      <c r="A283" s="1" t="s">
        <v>15</v>
      </c>
      <c r="B283" s="1">
        <v>264519</v>
      </c>
      <c r="C283" s="1">
        <v>264830</v>
      </c>
      <c r="E283" s="1" t="s">
        <v>16</v>
      </c>
      <c r="F283" s="1" t="s">
        <v>870</v>
      </c>
      <c r="G283" s="1" t="s">
        <v>871</v>
      </c>
      <c r="I283" s="1" t="s">
        <v>19</v>
      </c>
      <c r="L283" s="1" t="s">
        <v>872</v>
      </c>
      <c r="M283" s="1" t="s">
        <v>870</v>
      </c>
      <c r="N283" s="1">
        <v>103</v>
      </c>
      <c r="O283" s="1" t="s">
        <v>873</v>
      </c>
      <c r="Q283" s="14"/>
    </row>
    <row r="284" spans="1:17" x14ac:dyDescent="0.35">
      <c r="A284" s="1" t="s">
        <v>15</v>
      </c>
      <c r="B284" s="1">
        <v>264858</v>
      </c>
      <c r="C284" s="1">
        <v>266564</v>
      </c>
      <c r="E284" s="1" t="s">
        <v>16</v>
      </c>
      <c r="F284" s="1" t="s">
        <v>874</v>
      </c>
      <c r="G284" s="1" t="s">
        <v>875</v>
      </c>
      <c r="I284" s="1" t="s">
        <v>19</v>
      </c>
      <c r="L284" s="1" t="s">
        <v>876</v>
      </c>
      <c r="M284" s="1" t="s">
        <v>874</v>
      </c>
      <c r="N284" s="1">
        <v>568</v>
      </c>
      <c r="O284" s="1" t="s">
        <v>877</v>
      </c>
    </row>
    <row r="285" spans="1:17" x14ac:dyDescent="0.35">
      <c r="A285" s="1" t="s">
        <v>15</v>
      </c>
      <c r="B285" s="1">
        <v>266705</v>
      </c>
      <c r="C285" s="1">
        <v>267157</v>
      </c>
      <c r="E285" s="1" t="s">
        <v>16</v>
      </c>
      <c r="F285" s="1" t="s">
        <v>878</v>
      </c>
      <c r="G285" s="1" t="s">
        <v>879</v>
      </c>
      <c r="I285" s="1" t="s">
        <v>19</v>
      </c>
      <c r="L285" s="1" t="s">
        <v>880</v>
      </c>
      <c r="M285" s="1" t="s">
        <v>878</v>
      </c>
      <c r="N285" s="1">
        <v>150</v>
      </c>
      <c r="O285" s="1" t="s">
        <v>881</v>
      </c>
    </row>
    <row r="286" spans="1:17" x14ac:dyDescent="0.35">
      <c r="A286" s="1" t="s">
        <v>15</v>
      </c>
      <c r="B286" s="1">
        <v>267147</v>
      </c>
      <c r="C286" s="1">
        <v>267860</v>
      </c>
      <c r="E286" s="1" t="s">
        <v>16</v>
      </c>
      <c r="F286" s="1" t="s">
        <v>882</v>
      </c>
      <c r="G286" s="1" t="s">
        <v>883</v>
      </c>
      <c r="I286" s="1" t="s">
        <v>19</v>
      </c>
      <c r="L286" s="1" t="s">
        <v>884</v>
      </c>
      <c r="M286" s="1" t="s">
        <v>882</v>
      </c>
      <c r="N286" s="1">
        <v>237</v>
      </c>
      <c r="O286" s="1" t="s">
        <v>885</v>
      </c>
    </row>
    <row r="287" spans="1:17" x14ac:dyDescent="0.35">
      <c r="A287" s="1" t="s">
        <v>15</v>
      </c>
      <c r="B287" s="1">
        <v>267890</v>
      </c>
      <c r="C287" s="1">
        <v>268504</v>
      </c>
      <c r="E287" s="1" t="s">
        <v>16</v>
      </c>
      <c r="F287" s="1" t="s">
        <v>886</v>
      </c>
      <c r="G287" s="1" t="s">
        <v>887</v>
      </c>
      <c r="I287" s="1" t="s">
        <v>19</v>
      </c>
      <c r="L287" s="1" t="s">
        <v>888</v>
      </c>
      <c r="M287" s="1" t="s">
        <v>886</v>
      </c>
      <c r="N287" s="1">
        <v>204</v>
      </c>
      <c r="O287" s="1" t="s">
        <v>889</v>
      </c>
    </row>
    <row r="288" spans="1:17" x14ac:dyDescent="0.35">
      <c r="A288" s="1" t="s">
        <v>15</v>
      </c>
      <c r="B288" s="1">
        <v>268506</v>
      </c>
      <c r="C288" s="1">
        <v>269345</v>
      </c>
      <c r="E288" s="1" t="s">
        <v>16</v>
      </c>
      <c r="F288" s="1" t="s">
        <v>890</v>
      </c>
      <c r="G288" s="1" t="s">
        <v>891</v>
      </c>
      <c r="I288" s="1" t="s">
        <v>19</v>
      </c>
      <c r="L288" s="1" t="s">
        <v>892</v>
      </c>
      <c r="M288" s="1" t="s">
        <v>890</v>
      </c>
      <c r="N288" s="1">
        <v>279</v>
      </c>
      <c r="O288" s="1" t="s">
        <v>893</v>
      </c>
    </row>
    <row r="289" spans="1:17" x14ac:dyDescent="0.35">
      <c r="A289" s="1" t="s">
        <v>15</v>
      </c>
      <c r="B289" s="1">
        <v>269349</v>
      </c>
      <c r="C289" s="1">
        <v>270326</v>
      </c>
      <c r="E289" s="1" t="s">
        <v>16</v>
      </c>
      <c r="F289" s="1" t="s">
        <v>894</v>
      </c>
      <c r="G289" s="1" t="s">
        <v>895</v>
      </c>
      <c r="I289" s="1" t="s">
        <v>19</v>
      </c>
      <c r="L289" s="1" t="s">
        <v>896</v>
      </c>
      <c r="M289" s="1" t="s">
        <v>894</v>
      </c>
      <c r="N289" s="1">
        <v>325</v>
      </c>
      <c r="O289" s="1" t="s">
        <v>897</v>
      </c>
    </row>
    <row r="290" spans="1:17" x14ac:dyDescent="0.35">
      <c r="A290" s="1" t="s">
        <v>15</v>
      </c>
      <c r="B290" s="1">
        <v>270323</v>
      </c>
      <c r="C290" s="1">
        <v>271102</v>
      </c>
      <c r="E290" s="1" t="s">
        <v>16</v>
      </c>
      <c r="F290" s="1" t="s">
        <v>898</v>
      </c>
      <c r="G290" s="1" t="s">
        <v>899</v>
      </c>
      <c r="I290" s="1" t="s">
        <v>19</v>
      </c>
      <c r="L290" s="1" t="s">
        <v>900</v>
      </c>
      <c r="M290" s="1" t="s">
        <v>898</v>
      </c>
      <c r="N290" s="1">
        <v>259</v>
      </c>
      <c r="O290" s="1" t="s">
        <v>901</v>
      </c>
    </row>
    <row r="291" spans="1:17" x14ac:dyDescent="0.35">
      <c r="A291" s="1" t="s">
        <v>15</v>
      </c>
      <c r="B291" s="1">
        <v>271104</v>
      </c>
      <c r="C291" s="1">
        <v>271820</v>
      </c>
      <c r="E291" s="1" t="s">
        <v>16</v>
      </c>
      <c r="F291" s="1" t="s">
        <v>902</v>
      </c>
      <c r="G291" s="1" t="s">
        <v>903</v>
      </c>
      <c r="I291" s="1" t="s">
        <v>19</v>
      </c>
      <c r="L291" s="1" t="s">
        <v>904</v>
      </c>
      <c r="M291" s="1" t="s">
        <v>902</v>
      </c>
      <c r="N291" s="1">
        <v>238</v>
      </c>
      <c r="O291" s="1" t="s">
        <v>905</v>
      </c>
    </row>
    <row r="292" spans="1:17" x14ac:dyDescent="0.35">
      <c r="A292" s="1" t="s">
        <v>15</v>
      </c>
      <c r="B292" s="1">
        <v>271987</v>
      </c>
      <c r="C292" s="1">
        <v>272835</v>
      </c>
      <c r="E292" s="1" t="s">
        <v>16</v>
      </c>
      <c r="F292" s="1" t="s">
        <v>906</v>
      </c>
      <c r="G292" s="1" t="s">
        <v>907</v>
      </c>
      <c r="I292" s="1" t="s">
        <v>19</v>
      </c>
      <c r="L292" s="1" t="s">
        <v>908</v>
      </c>
      <c r="M292" s="1" t="s">
        <v>906</v>
      </c>
      <c r="N292" s="1">
        <v>282</v>
      </c>
      <c r="O292" s="1" t="s">
        <v>909</v>
      </c>
    </row>
    <row r="293" spans="1:17" x14ac:dyDescent="0.35">
      <c r="A293" s="1" t="s">
        <v>15</v>
      </c>
      <c r="B293" s="1">
        <v>272995</v>
      </c>
      <c r="C293" s="1">
        <v>273897</v>
      </c>
      <c r="E293" s="1" t="s">
        <v>16</v>
      </c>
      <c r="F293" s="1" t="s">
        <v>910</v>
      </c>
      <c r="G293" s="1" t="s">
        <v>911</v>
      </c>
      <c r="I293" s="1" t="s">
        <v>19</v>
      </c>
      <c r="L293" s="1" t="s">
        <v>912</v>
      </c>
      <c r="M293" s="1" t="s">
        <v>910</v>
      </c>
      <c r="N293" s="1">
        <v>300</v>
      </c>
      <c r="O293" s="1" t="s">
        <v>913</v>
      </c>
    </row>
    <row r="294" spans="1:17" x14ac:dyDescent="0.35">
      <c r="A294" s="1" t="s">
        <v>15</v>
      </c>
      <c r="B294" s="1">
        <v>273958</v>
      </c>
      <c r="C294" s="1">
        <v>275334</v>
      </c>
      <c r="E294" s="1" t="s">
        <v>16</v>
      </c>
      <c r="F294" s="1" t="s">
        <v>914</v>
      </c>
      <c r="I294" s="1" t="s">
        <v>19</v>
      </c>
      <c r="L294" s="1" t="s">
        <v>915</v>
      </c>
      <c r="M294" s="1" t="s">
        <v>914</v>
      </c>
      <c r="N294" s="1">
        <v>458</v>
      </c>
      <c r="O294" s="1" t="s">
        <v>916</v>
      </c>
      <c r="Q294" s="14"/>
    </row>
    <row r="295" spans="1:17" x14ac:dyDescent="0.35">
      <c r="A295" s="1" t="s">
        <v>15</v>
      </c>
      <c r="B295" s="1">
        <v>275327</v>
      </c>
      <c r="C295" s="1">
        <v>276394</v>
      </c>
      <c r="E295" s="1" t="s">
        <v>16</v>
      </c>
      <c r="F295" s="1" t="s">
        <v>917</v>
      </c>
      <c r="G295" s="1" t="s">
        <v>918</v>
      </c>
      <c r="I295" s="1" t="s">
        <v>19</v>
      </c>
      <c r="L295" s="1" t="s">
        <v>919</v>
      </c>
      <c r="M295" s="1" t="s">
        <v>917</v>
      </c>
      <c r="N295" s="1">
        <v>355</v>
      </c>
      <c r="O295" s="1" t="s">
        <v>920</v>
      </c>
      <c r="Q295" s="14"/>
    </row>
    <row r="296" spans="1:17" x14ac:dyDescent="0.35">
      <c r="A296" s="1" t="s">
        <v>15</v>
      </c>
      <c r="B296" s="1">
        <v>276394</v>
      </c>
      <c r="C296" s="1">
        <v>277086</v>
      </c>
      <c r="E296" s="1" t="s">
        <v>16</v>
      </c>
      <c r="F296" s="1" t="s">
        <v>921</v>
      </c>
      <c r="G296" s="1" t="s">
        <v>922</v>
      </c>
      <c r="I296" s="1" t="s">
        <v>19</v>
      </c>
      <c r="L296" s="1" t="s">
        <v>923</v>
      </c>
      <c r="M296" s="1" t="s">
        <v>921</v>
      </c>
      <c r="N296" s="1">
        <v>230</v>
      </c>
      <c r="O296" s="1" t="s">
        <v>924</v>
      </c>
    </row>
    <row r="297" spans="1:17" x14ac:dyDescent="0.35">
      <c r="A297" s="1" t="s">
        <v>15</v>
      </c>
      <c r="B297" s="1">
        <v>277209</v>
      </c>
      <c r="C297" s="1">
        <v>278417</v>
      </c>
      <c r="E297" s="1" t="s">
        <v>16</v>
      </c>
      <c r="F297" s="1" t="s">
        <v>925</v>
      </c>
      <c r="G297" s="1" t="s">
        <v>926</v>
      </c>
      <c r="I297" s="1" t="s">
        <v>19</v>
      </c>
      <c r="L297" s="1" t="s">
        <v>927</v>
      </c>
      <c r="M297" s="1" t="s">
        <v>925</v>
      </c>
      <c r="N297" s="1">
        <v>402</v>
      </c>
      <c r="O297" s="1" t="s">
        <v>928</v>
      </c>
    </row>
    <row r="298" spans="1:17" x14ac:dyDescent="0.35">
      <c r="A298" s="1" t="s">
        <v>15</v>
      </c>
      <c r="B298" s="1">
        <v>278529</v>
      </c>
      <c r="C298" s="1">
        <v>278633</v>
      </c>
      <c r="E298" s="1" t="s">
        <v>16</v>
      </c>
      <c r="F298" s="1" t="s">
        <v>54</v>
      </c>
      <c r="I298" s="1" t="s">
        <v>19</v>
      </c>
      <c r="L298" s="1" t="s">
        <v>929</v>
      </c>
      <c r="M298" s="1" t="s">
        <v>54</v>
      </c>
      <c r="N298" s="1">
        <v>34</v>
      </c>
      <c r="O298" s="1" t="s">
        <v>930</v>
      </c>
    </row>
    <row r="299" spans="1:17" x14ac:dyDescent="0.35">
      <c r="A299" s="1" t="s">
        <v>15</v>
      </c>
      <c r="B299" s="1">
        <v>278723</v>
      </c>
      <c r="C299" s="1">
        <v>279394</v>
      </c>
      <c r="E299" s="1" t="s">
        <v>178</v>
      </c>
      <c r="F299" s="1" t="s">
        <v>836</v>
      </c>
      <c r="G299" s="1" t="s">
        <v>931</v>
      </c>
      <c r="I299" s="1" t="s">
        <v>19</v>
      </c>
      <c r="L299" s="1" t="s">
        <v>932</v>
      </c>
      <c r="M299" s="1" t="s">
        <v>836</v>
      </c>
      <c r="N299" s="1">
        <v>223</v>
      </c>
      <c r="O299" s="1" t="s">
        <v>933</v>
      </c>
    </row>
    <row r="300" spans="1:17" x14ac:dyDescent="0.35">
      <c r="A300" s="1" t="s">
        <v>15</v>
      </c>
      <c r="B300" s="1">
        <v>279434</v>
      </c>
      <c r="C300" s="1">
        <v>280798</v>
      </c>
      <c r="E300" s="1" t="s">
        <v>178</v>
      </c>
      <c r="F300" s="1" t="s">
        <v>833</v>
      </c>
      <c r="G300" s="1" t="s">
        <v>934</v>
      </c>
      <c r="I300" s="1" t="s">
        <v>19</v>
      </c>
      <c r="L300" s="1" t="s">
        <v>935</v>
      </c>
      <c r="M300" s="1" t="s">
        <v>833</v>
      </c>
      <c r="N300" s="1">
        <v>454</v>
      </c>
      <c r="O300" s="1" t="s">
        <v>936</v>
      </c>
    </row>
    <row r="301" spans="1:17" x14ac:dyDescent="0.35">
      <c r="A301" s="1" t="s">
        <v>15</v>
      </c>
      <c r="B301" s="1">
        <v>280867</v>
      </c>
      <c r="C301" s="1">
        <v>281580</v>
      </c>
      <c r="E301" s="1" t="s">
        <v>178</v>
      </c>
      <c r="F301" s="1" t="s">
        <v>937</v>
      </c>
      <c r="G301" s="1" t="s">
        <v>938</v>
      </c>
      <c r="I301" s="1" t="s">
        <v>19</v>
      </c>
      <c r="L301" s="1" t="s">
        <v>939</v>
      </c>
      <c r="M301" s="1" t="s">
        <v>937</v>
      </c>
      <c r="N301" s="1">
        <v>237</v>
      </c>
      <c r="O301" s="1" t="s">
        <v>940</v>
      </c>
      <c r="Q301" s="14"/>
    </row>
    <row r="302" spans="1:17" x14ac:dyDescent="0.35">
      <c r="A302" s="1" t="s">
        <v>15</v>
      </c>
      <c r="B302" s="1">
        <v>281879</v>
      </c>
      <c r="C302" s="1">
        <v>282415</v>
      </c>
      <c r="E302" s="1" t="s">
        <v>16</v>
      </c>
      <c r="F302" s="1" t="s">
        <v>50</v>
      </c>
      <c r="I302" s="1" t="s">
        <v>19</v>
      </c>
      <c r="L302" s="1" t="s">
        <v>941</v>
      </c>
      <c r="M302" s="1" t="s">
        <v>50</v>
      </c>
      <c r="N302" s="1">
        <v>178</v>
      </c>
      <c r="O302" s="1" t="s">
        <v>942</v>
      </c>
    </row>
    <row r="303" spans="1:17" x14ac:dyDescent="0.35">
      <c r="A303" s="1" t="s">
        <v>15</v>
      </c>
      <c r="B303" s="1">
        <v>282571</v>
      </c>
      <c r="C303" s="1">
        <v>283023</v>
      </c>
      <c r="E303" s="1" t="s">
        <v>16</v>
      </c>
      <c r="F303" s="1" t="s">
        <v>54</v>
      </c>
      <c r="I303" s="1" t="s">
        <v>19</v>
      </c>
      <c r="L303" s="1" t="s">
        <v>6339</v>
      </c>
      <c r="M303" s="1" t="s">
        <v>54</v>
      </c>
      <c r="N303" s="1">
        <v>150</v>
      </c>
      <c r="O303" s="1" t="s">
        <v>943</v>
      </c>
    </row>
    <row r="304" spans="1:17" x14ac:dyDescent="0.35">
      <c r="A304" s="1" t="s">
        <v>15</v>
      </c>
      <c r="B304" s="1">
        <v>283016</v>
      </c>
      <c r="C304" s="1">
        <v>283261</v>
      </c>
      <c r="E304" s="1" t="s">
        <v>16</v>
      </c>
      <c r="F304" s="1" t="s">
        <v>54</v>
      </c>
      <c r="I304" s="1" t="s">
        <v>19</v>
      </c>
      <c r="L304" s="1" t="s">
        <v>6340</v>
      </c>
      <c r="M304" s="1" t="s">
        <v>54</v>
      </c>
      <c r="N304" s="1">
        <v>81</v>
      </c>
      <c r="O304" s="1" t="s">
        <v>944</v>
      </c>
    </row>
    <row r="305" spans="1:17" x14ac:dyDescent="0.35">
      <c r="A305" s="1" t="s">
        <v>15</v>
      </c>
      <c r="B305" s="1">
        <v>283258</v>
      </c>
      <c r="C305" s="1">
        <v>284787</v>
      </c>
      <c r="E305" s="1" t="s">
        <v>16</v>
      </c>
      <c r="F305" s="1" t="s">
        <v>945</v>
      </c>
      <c r="G305" s="1" t="s">
        <v>946</v>
      </c>
      <c r="I305" s="1" t="s">
        <v>19</v>
      </c>
      <c r="L305" s="1" t="s">
        <v>6341</v>
      </c>
      <c r="M305" s="1" t="s">
        <v>945</v>
      </c>
      <c r="N305" s="1">
        <v>509</v>
      </c>
      <c r="O305" s="1" t="s">
        <v>947</v>
      </c>
    </row>
    <row r="306" spans="1:17" x14ac:dyDescent="0.35">
      <c r="A306" s="1" t="s">
        <v>15</v>
      </c>
      <c r="B306" s="1">
        <v>284909</v>
      </c>
      <c r="C306" s="1">
        <v>285388</v>
      </c>
      <c r="E306" s="1" t="s">
        <v>16</v>
      </c>
      <c r="F306" s="1" t="s">
        <v>948</v>
      </c>
      <c r="G306" s="1" t="s">
        <v>949</v>
      </c>
      <c r="I306" s="1" t="s">
        <v>19</v>
      </c>
      <c r="L306" s="1" t="s">
        <v>6342</v>
      </c>
      <c r="M306" s="1" t="s">
        <v>948</v>
      </c>
      <c r="N306" s="1">
        <v>159</v>
      </c>
      <c r="O306" s="1" t="s">
        <v>950</v>
      </c>
    </row>
    <row r="307" spans="1:17" x14ac:dyDescent="0.35">
      <c r="A307" s="1" t="s">
        <v>15</v>
      </c>
      <c r="B307" s="1">
        <v>285385</v>
      </c>
      <c r="C307" s="1">
        <v>286560</v>
      </c>
      <c r="E307" s="1" t="s">
        <v>16</v>
      </c>
      <c r="F307" s="1" t="s">
        <v>951</v>
      </c>
      <c r="G307" s="1" t="s">
        <v>952</v>
      </c>
      <c r="I307" s="1" t="s">
        <v>19</v>
      </c>
      <c r="L307" s="1" t="s">
        <v>6343</v>
      </c>
      <c r="M307" s="1" t="s">
        <v>951</v>
      </c>
      <c r="N307" s="1">
        <v>391</v>
      </c>
      <c r="O307" s="1" t="s">
        <v>953</v>
      </c>
    </row>
    <row r="308" spans="1:17" x14ac:dyDescent="0.35">
      <c r="A308" s="1" t="s">
        <v>15</v>
      </c>
      <c r="B308" s="1">
        <v>286564</v>
      </c>
      <c r="C308" s="1">
        <v>287466</v>
      </c>
      <c r="E308" s="1" t="s">
        <v>16</v>
      </c>
      <c r="F308" s="1" t="s">
        <v>954</v>
      </c>
      <c r="G308" s="1" t="s">
        <v>955</v>
      </c>
      <c r="I308" s="1" t="s">
        <v>19</v>
      </c>
      <c r="L308" s="1" t="s">
        <v>6344</v>
      </c>
      <c r="M308" s="1" t="s">
        <v>954</v>
      </c>
      <c r="N308" s="1">
        <v>300</v>
      </c>
      <c r="O308" s="1" t="s">
        <v>956</v>
      </c>
    </row>
    <row r="309" spans="1:17" x14ac:dyDescent="0.35">
      <c r="A309" s="1" t="s">
        <v>15</v>
      </c>
      <c r="B309" s="1">
        <v>287571</v>
      </c>
      <c r="C309" s="1">
        <v>288881</v>
      </c>
      <c r="E309" s="1" t="s">
        <v>16</v>
      </c>
      <c r="F309" s="1" t="s">
        <v>957</v>
      </c>
      <c r="G309" s="1" t="s">
        <v>958</v>
      </c>
      <c r="I309" s="1" t="s">
        <v>19</v>
      </c>
      <c r="L309" s="1" t="s">
        <v>6345</v>
      </c>
      <c r="M309" s="1" t="s">
        <v>957</v>
      </c>
      <c r="N309" s="1">
        <v>436</v>
      </c>
      <c r="O309" s="1" t="s">
        <v>959</v>
      </c>
    </row>
    <row r="310" spans="1:17" x14ac:dyDescent="0.35">
      <c r="A310" s="1" t="s">
        <v>15</v>
      </c>
      <c r="B310" s="1">
        <v>288945</v>
      </c>
      <c r="C310" s="1">
        <v>289574</v>
      </c>
      <c r="E310" s="1" t="s">
        <v>16</v>
      </c>
      <c r="F310" s="1" t="s">
        <v>50</v>
      </c>
      <c r="I310" s="1" t="s">
        <v>19</v>
      </c>
      <c r="L310" s="1" t="s">
        <v>6346</v>
      </c>
      <c r="M310" s="1" t="s">
        <v>50</v>
      </c>
      <c r="N310" s="1">
        <v>209</v>
      </c>
      <c r="O310" s="1" t="s">
        <v>960</v>
      </c>
    </row>
    <row r="311" spans="1:17" x14ac:dyDescent="0.35">
      <c r="A311" s="1" t="s">
        <v>15</v>
      </c>
      <c r="B311" s="1">
        <v>289609</v>
      </c>
      <c r="C311" s="1">
        <v>290886</v>
      </c>
      <c r="E311" s="1" t="s">
        <v>178</v>
      </c>
      <c r="F311" s="1" t="s">
        <v>961</v>
      </c>
      <c r="G311" s="1" t="s">
        <v>962</v>
      </c>
      <c r="I311" s="1" t="s">
        <v>19</v>
      </c>
      <c r="L311" s="1" t="s">
        <v>6347</v>
      </c>
      <c r="M311" s="1" t="s">
        <v>961</v>
      </c>
      <c r="N311" s="1">
        <v>425</v>
      </c>
      <c r="O311" s="1" t="s">
        <v>963</v>
      </c>
      <c r="Q311" s="14"/>
    </row>
    <row r="312" spans="1:17" x14ac:dyDescent="0.35">
      <c r="A312" s="1" t="s">
        <v>15</v>
      </c>
      <c r="B312" s="1">
        <v>291096</v>
      </c>
      <c r="C312" s="1">
        <v>291470</v>
      </c>
      <c r="E312" s="1" t="s">
        <v>178</v>
      </c>
      <c r="F312" s="1" t="s">
        <v>50</v>
      </c>
      <c r="I312" s="1" t="s">
        <v>19</v>
      </c>
      <c r="L312" s="1" t="s">
        <v>6348</v>
      </c>
      <c r="M312" s="1" t="s">
        <v>50</v>
      </c>
      <c r="N312" s="1">
        <v>124</v>
      </c>
      <c r="O312" s="1" t="s">
        <v>964</v>
      </c>
    </row>
    <row r="313" spans="1:17" x14ac:dyDescent="0.35">
      <c r="A313" s="1" t="s">
        <v>15</v>
      </c>
      <c r="B313" s="1">
        <v>291549</v>
      </c>
      <c r="C313" s="1">
        <v>292460</v>
      </c>
      <c r="E313" s="1" t="s">
        <v>178</v>
      </c>
      <c r="F313" s="1" t="s">
        <v>965</v>
      </c>
      <c r="G313" s="1" t="s">
        <v>966</v>
      </c>
      <c r="I313" s="1" t="s">
        <v>19</v>
      </c>
      <c r="L313" s="1" t="s">
        <v>6349</v>
      </c>
      <c r="M313" s="1" t="s">
        <v>965</v>
      </c>
      <c r="N313" s="1">
        <v>303</v>
      </c>
      <c r="O313" s="1" t="s">
        <v>967</v>
      </c>
      <c r="Q313" s="14"/>
    </row>
    <row r="314" spans="1:17" x14ac:dyDescent="0.35">
      <c r="A314" s="1" t="s">
        <v>15</v>
      </c>
      <c r="B314" s="1">
        <v>292475</v>
      </c>
      <c r="C314" s="1">
        <v>293290</v>
      </c>
      <c r="E314" s="1" t="s">
        <v>178</v>
      </c>
      <c r="F314" s="1" t="s">
        <v>968</v>
      </c>
      <c r="G314" s="1" t="s">
        <v>969</v>
      </c>
      <c r="I314" s="1" t="s">
        <v>19</v>
      </c>
      <c r="L314" s="1" t="s">
        <v>6350</v>
      </c>
      <c r="M314" s="1" t="s">
        <v>968</v>
      </c>
      <c r="N314" s="1">
        <v>271</v>
      </c>
      <c r="O314" s="1" t="s">
        <v>970</v>
      </c>
      <c r="Q314" s="14"/>
    </row>
    <row r="315" spans="1:17" x14ac:dyDescent="0.35">
      <c r="A315" s="1" t="s">
        <v>15</v>
      </c>
      <c r="B315" s="1">
        <v>293358</v>
      </c>
      <c r="C315" s="1">
        <v>294350</v>
      </c>
      <c r="E315" s="1" t="s">
        <v>178</v>
      </c>
      <c r="F315" s="1" t="s">
        <v>971</v>
      </c>
      <c r="G315" s="1" t="s">
        <v>972</v>
      </c>
      <c r="I315" s="1" t="s">
        <v>19</v>
      </c>
      <c r="L315" s="1" t="s">
        <v>6351</v>
      </c>
      <c r="M315" s="1" t="s">
        <v>971</v>
      </c>
      <c r="N315" s="1">
        <v>330</v>
      </c>
      <c r="O315" s="1" t="s">
        <v>973</v>
      </c>
      <c r="Q315" s="14"/>
    </row>
    <row r="316" spans="1:17" x14ac:dyDescent="0.35">
      <c r="A316" s="1" t="s">
        <v>15</v>
      </c>
      <c r="B316" s="1">
        <v>294616</v>
      </c>
      <c r="C316" s="1">
        <v>295002</v>
      </c>
      <c r="E316" s="1" t="s">
        <v>178</v>
      </c>
      <c r="F316" s="1" t="s">
        <v>50</v>
      </c>
      <c r="I316" s="1" t="s">
        <v>19</v>
      </c>
      <c r="L316" s="1" t="s">
        <v>6352</v>
      </c>
      <c r="M316" s="1" t="s">
        <v>50</v>
      </c>
      <c r="N316" s="1">
        <v>128</v>
      </c>
      <c r="O316" s="1" t="s">
        <v>974</v>
      </c>
    </row>
    <row r="317" spans="1:17" x14ac:dyDescent="0.35">
      <c r="A317" s="1" t="s">
        <v>15</v>
      </c>
      <c r="B317" s="1">
        <v>295015</v>
      </c>
      <c r="C317" s="1">
        <v>295929</v>
      </c>
      <c r="E317" s="1" t="s">
        <v>178</v>
      </c>
      <c r="F317" s="1" t="s">
        <v>965</v>
      </c>
      <c r="G317" s="1" t="s">
        <v>975</v>
      </c>
      <c r="I317" s="1" t="s">
        <v>19</v>
      </c>
      <c r="L317" s="1" t="s">
        <v>6353</v>
      </c>
      <c r="M317" s="1" t="s">
        <v>965</v>
      </c>
      <c r="N317" s="1">
        <v>304</v>
      </c>
      <c r="O317" s="1" t="s">
        <v>976</v>
      </c>
      <c r="Q317" s="14"/>
    </row>
    <row r="318" spans="1:17" x14ac:dyDescent="0.35">
      <c r="A318" s="1" t="s">
        <v>15</v>
      </c>
      <c r="B318" s="1">
        <v>295945</v>
      </c>
      <c r="C318" s="1">
        <v>296745</v>
      </c>
      <c r="E318" s="1" t="s">
        <v>178</v>
      </c>
      <c r="F318" s="1" t="s">
        <v>977</v>
      </c>
      <c r="I318" s="1" t="s">
        <v>19</v>
      </c>
      <c r="L318" s="1" t="s">
        <v>6354</v>
      </c>
      <c r="M318" s="1" t="s">
        <v>977</v>
      </c>
      <c r="N318" s="1">
        <v>266</v>
      </c>
      <c r="O318" s="1" t="s">
        <v>978</v>
      </c>
      <c r="Q318" s="14"/>
    </row>
    <row r="319" spans="1:17" x14ac:dyDescent="0.35">
      <c r="A319" s="1" t="s">
        <v>15</v>
      </c>
      <c r="B319" s="1">
        <v>296763</v>
      </c>
      <c r="C319" s="1">
        <v>297770</v>
      </c>
      <c r="E319" s="1" t="s">
        <v>178</v>
      </c>
      <c r="F319" s="1" t="s">
        <v>979</v>
      </c>
      <c r="G319" s="1" t="s">
        <v>980</v>
      </c>
      <c r="I319" s="1" t="s">
        <v>19</v>
      </c>
      <c r="L319" s="1" t="s">
        <v>6355</v>
      </c>
      <c r="M319" s="1" t="s">
        <v>979</v>
      </c>
      <c r="N319" s="1">
        <v>335</v>
      </c>
      <c r="O319" s="1" t="s">
        <v>981</v>
      </c>
      <c r="Q319" s="14"/>
    </row>
    <row r="320" spans="1:17" x14ac:dyDescent="0.35">
      <c r="A320" s="1" t="s">
        <v>15</v>
      </c>
      <c r="B320" s="1">
        <v>298150</v>
      </c>
      <c r="C320" s="1">
        <v>298881</v>
      </c>
      <c r="E320" s="1" t="s">
        <v>16</v>
      </c>
      <c r="F320" s="1" t="s">
        <v>982</v>
      </c>
      <c r="I320" s="1" t="s">
        <v>19</v>
      </c>
      <c r="L320" s="1" t="s">
        <v>6356</v>
      </c>
      <c r="M320" s="1" t="s">
        <v>982</v>
      </c>
      <c r="N320" s="1">
        <v>243</v>
      </c>
      <c r="O320" s="1" t="s">
        <v>983</v>
      </c>
    </row>
    <row r="321" spans="1:17" x14ac:dyDescent="0.35">
      <c r="A321" s="1" t="s">
        <v>15</v>
      </c>
      <c r="B321" s="1">
        <v>298926</v>
      </c>
      <c r="C321" s="1">
        <v>299738</v>
      </c>
      <c r="E321" s="1" t="s">
        <v>178</v>
      </c>
      <c r="F321" s="1" t="s">
        <v>984</v>
      </c>
      <c r="G321" s="1" t="s">
        <v>985</v>
      </c>
      <c r="I321" s="1" t="s">
        <v>19</v>
      </c>
      <c r="L321" s="1" t="s">
        <v>6357</v>
      </c>
      <c r="M321" s="1" t="s">
        <v>984</v>
      </c>
      <c r="N321" s="1">
        <v>270</v>
      </c>
      <c r="O321" s="1" t="s">
        <v>986</v>
      </c>
    </row>
    <row r="322" spans="1:17" x14ac:dyDescent="0.35">
      <c r="A322" s="1" t="s">
        <v>15</v>
      </c>
      <c r="B322" s="1">
        <v>299947</v>
      </c>
      <c r="C322" s="1">
        <v>301368</v>
      </c>
      <c r="E322" s="1" t="s">
        <v>16</v>
      </c>
      <c r="F322" s="1" t="s">
        <v>987</v>
      </c>
      <c r="I322" s="1" t="s">
        <v>19</v>
      </c>
      <c r="L322" s="1" t="s">
        <v>6358</v>
      </c>
      <c r="M322" s="1" t="s">
        <v>987</v>
      </c>
      <c r="N322" s="1">
        <v>473</v>
      </c>
      <c r="O322" s="1" t="s">
        <v>988</v>
      </c>
    </row>
    <row r="323" spans="1:17" x14ac:dyDescent="0.35">
      <c r="A323" s="1" t="s">
        <v>15</v>
      </c>
      <c r="B323" s="1">
        <v>301645</v>
      </c>
      <c r="C323" s="1">
        <v>302088</v>
      </c>
      <c r="E323" s="1" t="s">
        <v>16</v>
      </c>
      <c r="F323" s="1" t="s">
        <v>989</v>
      </c>
      <c r="I323" s="1" t="s">
        <v>19</v>
      </c>
      <c r="L323" s="1" t="s">
        <v>6359</v>
      </c>
      <c r="M323" s="1" t="s">
        <v>989</v>
      </c>
      <c r="N323" s="1">
        <v>147</v>
      </c>
      <c r="O323" s="1" t="s">
        <v>990</v>
      </c>
    </row>
    <row r="324" spans="1:17" x14ac:dyDescent="0.35">
      <c r="A324" s="1" t="s">
        <v>15</v>
      </c>
      <c r="B324" s="1">
        <v>302081</v>
      </c>
      <c r="C324" s="1">
        <v>302602</v>
      </c>
      <c r="E324" s="1" t="s">
        <v>16</v>
      </c>
      <c r="F324" s="1" t="s">
        <v>764</v>
      </c>
      <c r="I324" s="1" t="s">
        <v>19</v>
      </c>
      <c r="L324" s="1" t="s">
        <v>6360</v>
      </c>
      <c r="M324" s="1" t="s">
        <v>764</v>
      </c>
      <c r="N324" s="1">
        <v>173</v>
      </c>
      <c r="O324" s="1" t="s">
        <v>991</v>
      </c>
    </row>
    <row r="325" spans="1:17" x14ac:dyDescent="0.35">
      <c r="A325" s="1" t="s">
        <v>15</v>
      </c>
      <c r="B325" s="1">
        <v>302611</v>
      </c>
      <c r="C325" s="1">
        <v>303864</v>
      </c>
      <c r="E325" s="1" t="s">
        <v>16</v>
      </c>
      <c r="F325" s="1" t="s">
        <v>849</v>
      </c>
      <c r="I325" s="1" t="s">
        <v>19</v>
      </c>
      <c r="L325" s="1" t="s">
        <v>6361</v>
      </c>
      <c r="M325" s="1" t="s">
        <v>849</v>
      </c>
      <c r="N325" s="1">
        <v>417</v>
      </c>
      <c r="O325" s="1" t="s">
        <v>992</v>
      </c>
    </row>
    <row r="326" spans="1:17" x14ac:dyDescent="0.35">
      <c r="A326" s="1" t="s">
        <v>15</v>
      </c>
      <c r="B326" s="1">
        <v>304017</v>
      </c>
      <c r="C326" s="1">
        <v>304490</v>
      </c>
      <c r="E326" s="1" t="s">
        <v>16</v>
      </c>
      <c r="F326" s="1" t="s">
        <v>993</v>
      </c>
      <c r="I326" s="1" t="s">
        <v>19</v>
      </c>
      <c r="L326" s="1" t="s">
        <v>6362</v>
      </c>
      <c r="M326" s="1" t="s">
        <v>993</v>
      </c>
      <c r="N326" s="1">
        <v>157</v>
      </c>
      <c r="O326" s="1" t="s">
        <v>994</v>
      </c>
    </row>
    <row r="327" spans="1:17" x14ac:dyDescent="0.35">
      <c r="A327" s="1" t="s">
        <v>15</v>
      </c>
      <c r="B327" s="1">
        <v>304568</v>
      </c>
      <c r="C327" s="1">
        <v>305755</v>
      </c>
      <c r="E327" s="1" t="s">
        <v>16</v>
      </c>
      <c r="F327" s="1" t="s">
        <v>995</v>
      </c>
      <c r="G327" s="1" t="s">
        <v>996</v>
      </c>
      <c r="I327" s="1" t="s">
        <v>19</v>
      </c>
      <c r="L327" s="1" t="s">
        <v>6363</v>
      </c>
      <c r="M327" s="1" t="s">
        <v>995</v>
      </c>
      <c r="N327" s="1">
        <v>395</v>
      </c>
      <c r="O327" s="1" t="s">
        <v>997</v>
      </c>
    </row>
    <row r="328" spans="1:17" x14ac:dyDescent="0.35">
      <c r="A328" s="1" t="s">
        <v>15</v>
      </c>
      <c r="B328" s="1">
        <v>305776</v>
      </c>
      <c r="C328" s="1">
        <v>306072</v>
      </c>
      <c r="E328" s="1" t="s">
        <v>16</v>
      </c>
      <c r="F328" s="1" t="s">
        <v>998</v>
      </c>
      <c r="I328" s="1" t="s">
        <v>19</v>
      </c>
      <c r="L328" s="1" t="s">
        <v>6364</v>
      </c>
      <c r="M328" s="1" t="s">
        <v>998</v>
      </c>
      <c r="N328" s="1">
        <v>98</v>
      </c>
      <c r="O328" s="1" t="s">
        <v>999</v>
      </c>
    </row>
    <row r="329" spans="1:17" x14ac:dyDescent="0.35">
      <c r="A329" s="1" t="s">
        <v>15</v>
      </c>
      <c r="B329" s="1">
        <v>306092</v>
      </c>
      <c r="C329" s="1">
        <v>306367</v>
      </c>
      <c r="E329" s="1" t="s">
        <v>16</v>
      </c>
      <c r="F329" s="1" t="s">
        <v>1000</v>
      </c>
      <c r="I329" s="1" t="s">
        <v>19</v>
      </c>
      <c r="L329" s="1" t="s">
        <v>6365</v>
      </c>
      <c r="M329" s="1" t="s">
        <v>1000</v>
      </c>
      <c r="N329" s="1">
        <v>91</v>
      </c>
      <c r="O329" s="1" t="s">
        <v>1001</v>
      </c>
    </row>
    <row r="330" spans="1:17" x14ac:dyDescent="0.35">
      <c r="A330" s="1" t="s">
        <v>15</v>
      </c>
      <c r="B330" s="1">
        <v>306386</v>
      </c>
      <c r="C330" s="1">
        <v>309220</v>
      </c>
      <c r="E330" s="1" t="s">
        <v>16</v>
      </c>
      <c r="F330" s="1" t="s">
        <v>1002</v>
      </c>
      <c r="G330" s="1" t="s">
        <v>1003</v>
      </c>
      <c r="I330" s="1" t="s">
        <v>19</v>
      </c>
      <c r="L330" s="1" t="s">
        <v>6366</v>
      </c>
      <c r="M330" s="1" t="s">
        <v>1002</v>
      </c>
      <c r="N330" s="1">
        <v>944</v>
      </c>
      <c r="O330" s="1" t="s">
        <v>1004</v>
      </c>
    </row>
    <row r="331" spans="1:17" x14ac:dyDescent="0.35">
      <c r="A331" s="1" t="s">
        <v>15</v>
      </c>
      <c r="B331" s="1">
        <v>309316</v>
      </c>
      <c r="C331" s="1">
        <v>309669</v>
      </c>
      <c r="E331" s="1" t="s">
        <v>16</v>
      </c>
      <c r="F331" s="1" t="s">
        <v>1005</v>
      </c>
      <c r="G331" s="1" t="s">
        <v>1006</v>
      </c>
      <c r="I331" s="1" t="s">
        <v>19</v>
      </c>
      <c r="L331" s="1" t="s">
        <v>6367</v>
      </c>
      <c r="M331" s="1" t="s">
        <v>1005</v>
      </c>
      <c r="N331" s="1">
        <v>117</v>
      </c>
      <c r="O331" s="1" t="s">
        <v>1007</v>
      </c>
    </row>
    <row r="332" spans="1:17" x14ac:dyDescent="0.35">
      <c r="A332" s="1" t="s">
        <v>15</v>
      </c>
      <c r="B332" s="1">
        <v>309734</v>
      </c>
      <c r="C332" s="1">
        <v>310297</v>
      </c>
      <c r="E332" s="1" t="s">
        <v>16</v>
      </c>
      <c r="F332" s="1" t="s">
        <v>50</v>
      </c>
      <c r="I332" s="1" t="s">
        <v>19</v>
      </c>
      <c r="L332" s="1" t="s">
        <v>6368</v>
      </c>
      <c r="M332" s="1" t="s">
        <v>50</v>
      </c>
      <c r="N332" s="1">
        <v>187</v>
      </c>
      <c r="O332" s="1" t="s">
        <v>1008</v>
      </c>
    </row>
    <row r="333" spans="1:17" x14ac:dyDescent="0.35">
      <c r="A333" s="1" t="s">
        <v>15</v>
      </c>
      <c r="B333" s="1">
        <v>310591</v>
      </c>
      <c r="C333" s="1">
        <v>311823</v>
      </c>
      <c r="E333" s="1" t="s">
        <v>16</v>
      </c>
      <c r="F333" s="1" t="s">
        <v>1009</v>
      </c>
      <c r="G333" s="1" t="s">
        <v>1010</v>
      </c>
      <c r="I333" s="1" t="s">
        <v>19</v>
      </c>
      <c r="L333" s="1" t="s">
        <v>6369</v>
      </c>
      <c r="M333" s="1" t="s">
        <v>1009</v>
      </c>
      <c r="N333" s="1">
        <v>410</v>
      </c>
      <c r="O333" s="1" t="s">
        <v>1011</v>
      </c>
    </row>
    <row r="334" spans="1:17" x14ac:dyDescent="0.35">
      <c r="A334" s="1" t="s">
        <v>15</v>
      </c>
      <c r="B334" s="1">
        <v>311886</v>
      </c>
      <c r="C334" s="1">
        <v>313331</v>
      </c>
      <c r="E334" s="1" t="s">
        <v>178</v>
      </c>
      <c r="F334" s="1" t="s">
        <v>1012</v>
      </c>
      <c r="G334" s="1" t="s">
        <v>1013</v>
      </c>
      <c r="I334" s="1" t="s">
        <v>19</v>
      </c>
      <c r="L334" s="1" t="s">
        <v>6370</v>
      </c>
      <c r="M334" s="1" t="s">
        <v>1012</v>
      </c>
      <c r="N334" s="1">
        <v>481</v>
      </c>
      <c r="O334" s="1" t="s">
        <v>1014</v>
      </c>
      <c r="Q334" s="14"/>
    </row>
    <row r="335" spans="1:17" x14ac:dyDescent="0.35">
      <c r="A335" s="1" t="s">
        <v>15</v>
      </c>
      <c r="B335" s="1">
        <v>313426</v>
      </c>
      <c r="C335" s="1">
        <v>315057</v>
      </c>
      <c r="E335" s="1" t="s">
        <v>16</v>
      </c>
      <c r="F335" s="1" t="s">
        <v>1015</v>
      </c>
      <c r="I335" s="1" t="s">
        <v>19</v>
      </c>
      <c r="L335" s="1" t="s">
        <v>6371</v>
      </c>
      <c r="M335" s="1" t="s">
        <v>1015</v>
      </c>
      <c r="N335" s="1">
        <v>543</v>
      </c>
      <c r="O335" s="1" t="s">
        <v>1016</v>
      </c>
    </row>
    <row r="336" spans="1:17" x14ac:dyDescent="0.35">
      <c r="A336" s="1" t="s">
        <v>15</v>
      </c>
      <c r="B336" s="1">
        <v>315174</v>
      </c>
      <c r="C336" s="1">
        <v>317954</v>
      </c>
      <c r="E336" s="1" t="s">
        <v>16</v>
      </c>
      <c r="F336" s="1" t="s">
        <v>1017</v>
      </c>
      <c r="G336" s="1" t="s">
        <v>1018</v>
      </c>
      <c r="I336" s="1" t="s">
        <v>19</v>
      </c>
      <c r="L336" s="1" t="s">
        <v>6372</v>
      </c>
      <c r="M336" s="1" t="s">
        <v>1017</v>
      </c>
      <c r="N336" s="1">
        <v>926</v>
      </c>
      <c r="O336" s="1" t="s">
        <v>1019</v>
      </c>
      <c r="Q336" s="14"/>
    </row>
    <row r="337" spans="1:17" x14ac:dyDescent="0.35">
      <c r="A337" s="1" t="s">
        <v>15</v>
      </c>
      <c r="B337" s="1">
        <v>318248</v>
      </c>
      <c r="C337" s="1">
        <v>319342</v>
      </c>
      <c r="E337" s="1" t="s">
        <v>16</v>
      </c>
      <c r="F337" s="1" t="s">
        <v>1020</v>
      </c>
      <c r="G337" s="1" t="s">
        <v>1021</v>
      </c>
      <c r="I337" s="1" t="s">
        <v>19</v>
      </c>
      <c r="L337" s="1" t="s">
        <v>6373</v>
      </c>
      <c r="M337" s="1" t="s">
        <v>1020</v>
      </c>
      <c r="N337" s="1">
        <v>364</v>
      </c>
      <c r="O337" s="1" t="s">
        <v>1022</v>
      </c>
      <c r="Q337" s="14"/>
    </row>
    <row r="338" spans="1:17" x14ac:dyDescent="0.35">
      <c r="A338" s="1" t="s">
        <v>15</v>
      </c>
      <c r="B338" s="1">
        <v>319353</v>
      </c>
      <c r="C338" s="1">
        <v>320516</v>
      </c>
      <c r="E338" s="1" t="s">
        <v>16</v>
      </c>
      <c r="F338" s="1" t="s">
        <v>1023</v>
      </c>
      <c r="G338" s="1" t="s">
        <v>1024</v>
      </c>
      <c r="I338" s="1" t="s">
        <v>19</v>
      </c>
      <c r="L338" s="1" t="s">
        <v>6374</v>
      </c>
      <c r="M338" s="1" t="s">
        <v>1023</v>
      </c>
      <c r="N338" s="1">
        <v>387</v>
      </c>
      <c r="O338" s="1" t="s">
        <v>1025</v>
      </c>
      <c r="Q338" s="14"/>
    </row>
    <row r="339" spans="1:17" x14ac:dyDescent="0.35">
      <c r="A339" s="1" t="s">
        <v>15</v>
      </c>
      <c r="B339" s="1">
        <v>320552</v>
      </c>
      <c r="C339" s="1">
        <v>322156</v>
      </c>
      <c r="E339" s="1" t="s">
        <v>178</v>
      </c>
      <c r="F339" s="1" t="s">
        <v>1026</v>
      </c>
      <c r="G339" s="1" t="s">
        <v>1027</v>
      </c>
      <c r="I339" s="1" t="s">
        <v>19</v>
      </c>
      <c r="L339" s="1" t="s">
        <v>6375</v>
      </c>
      <c r="M339" s="1" t="s">
        <v>1026</v>
      </c>
      <c r="N339" s="1">
        <v>534</v>
      </c>
      <c r="O339" s="1" t="s">
        <v>1028</v>
      </c>
    </row>
    <row r="340" spans="1:17" x14ac:dyDescent="0.35">
      <c r="A340" s="1" t="s">
        <v>15</v>
      </c>
      <c r="B340" s="1">
        <v>322433</v>
      </c>
      <c r="C340" s="1">
        <v>325348</v>
      </c>
      <c r="E340" s="1" t="s">
        <v>16</v>
      </c>
      <c r="F340" s="1" t="s">
        <v>1029</v>
      </c>
      <c r="G340" s="1" t="s">
        <v>1030</v>
      </c>
      <c r="I340" s="1" t="s">
        <v>19</v>
      </c>
      <c r="L340" s="1" t="s">
        <v>6376</v>
      </c>
      <c r="M340" s="1" t="s">
        <v>1029</v>
      </c>
      <c r="N340" s="1">
        <v>971</v>
      </c>
      <c r="O340" s="1" t="s">
        <v>1031</v>
      </c>
      <c r="Q340" s="14"/>
    </row>
    <row r="341" spans="1:17" x14ac:dyDescent="0.35">
      <c r="A341" s="1" t="s">
        <v>15</v>
      </c>
      <c r="B341" s="1">
        <v>325438</v>
      </c>
      <c r="C341" s="1">
        <v>326067</v>
      </c>
      <c r="E341" s="1" t="s">
        <v>16</v>
      </c>
      <c r="F341" s="1" t="s">
        <v>1032</v>
      </c>
      <c r="G341" s="1" t="s">
        <v>1033</v>
      </c>
      <c r="I341" s="1" t="s">
        <v>19</v>
      </c>
      <c r="L341" s="1" t="s">
        <v>6377</v>
      </c>
      <c r="M341" s="1" t="s">
        <v>1032</v>
      </c>
      <c r="N341" s="1">
        <v>209</v>
      </c>
      <c r="O341" s="1" t="s">
        <v>1034</v>
      </c>
      <c r="Q341" s="14"/>
    </row>
    <row r="342" spans="1:17" x14ac:dyDescent="0.35">
      <c r="A342" s="1" t="s">
        <v>15</v>
      </c>
      <c r="B342" s="1">
        <v>326242</v>
      </c>
      <c r="C342" s="1">
        <v>326832</v>
      </c>
      <c r="E342" s="1" t="s">
        <v>16</v>
      </c>
      <c r="F342" s="1" t="s">
        <v>1035</v>
      </c>
      <c r="G342" s="1" t="s">
        <v>1036</v>
      </c>
      <c r="I342" s="1" t="s">
        <v>19</v>
      </c>
      <c r="L342" s="1" t="s">
        <v>6378</v>
      </c>
      <c r="M342" s="1" t="s">
        <v>1035</v>
      </c>
      <c r="N342" s="1">
        <v>196</v>
      </c>
      <c r="O342" s="1" t="s">
        <v>1037</v>
      </c>
      <c r="Q342" s="14"/>
    </row>
    <row r="343" spans="1:17" x14ac:dyDescent="0.35">
      <c r="A343" s="1" t="s">
        <v>15</v>
      </c>
      <c r="B343" s="1">
        <v>326918</v>
      </c>
      <c r="C343" s="1">
        <v>327367</v>
      </c>
      <c r="E343" s="1" t="s">
        <v>16</v>
      </c>
      <c r="F343" s="1" t="s">
        <v>50</v>
      </c>
      <c r="I343" s="1" t="s">
        <v>19</v>
      </c>
      <c r="L343" s="1" t="s">
        <v>6379</v>
      </c>
      <c r="M343" s="1" t="s">
        <v>50</v>
      </c>
      <c r="N343" s="1">
        <v>149</v>
      </c>
      <c r="O343" s="1" t="s">
        <v>1038</v>
      </c>
    </row>
    <row r="344" spans="1:17" x14ac:dyDescent="0.35">
      <c r="A344" s="1" t="s">
        <v>15</v>
      </c>
      <c r="B344" s="1">
        <v>327360</v>
      </c>
      <c r="C344" s="1">
        <v>327641</v>
      </c>
      <c r="E344" s="1" t="s">
        <v>16</v>
      </c>
      <c r="F344" s="1" t="s">
        <v>50</v>
      </c>
      <c r="I344" s="1" t="s">
        <v>19</v>
      </c>
      <c r="L344" s="1" t="s">
        <v>6380</v>
      </c>
      <c r="M344" s="1" t="s">
        <v>50</v>
      </c>
      <c r="N344" s="1">
        <v>93</v>
      </c>
      <c r="O344" s="1" t="s">
        <v>1039</v>
      </c>
    </row>
    <row r="345" spans="1:17" x14ac:dyDescent="0.35">
      <c r="A345" s="1" t="s">
        <v>15</v>
      </c>
      <c r="B345" s="1">
        <v>327797</v>
      </c>
      <c r="C345" s="1">
        <v>328972</v>
      </c>
      <c r="E345" s="1" t="s">
        <v>16</v>
      </c>
      <c r="F345" s="1" t="s">
        <v>1040</v>
      </c>
      <c r="G345" s="1" t="s">
        <v>1041</v>
      </c>
      <c r="I345" s="1" t="s">
        <v>19</v>
      </c>
      <c r="L345" s="1" t="s">
        <v>6381</v>
      </c>
      <c r="M345" s="1" t="s">
        <v>1040</v>
      </c>
      <c r="N345" s="1">
        <v>391</v>
      </c>
      <c r="O345" s="1" t="s">
        <v>1042</v>
      </c>
    </row>
    <row r="346" spans="1:17" x14ac:dyDescent="0.35">
      <c r="A346" s="1" t="s">
        <v>15</v>
      </c>
      <c r="B346" s="1">
        <v>329016</v>
      </c>
      <c r="C346" s="1">
        <v>329900</v>
      </c>
      <c r="E346" s="1" t="s">
        <v>16</v>
      </c>
      <c r="F346" s="1" t="s">
        <v>1043</v>
      </c>
      <c r="G346" s="1" t="s">
        <v>1044</v>
      </c>
      <c r="I346" s="1" t="s">
        <v>19</v>
      </c>
      <c r="L346" s="1" t="s">
        <v>6382</v>
      </c>
      <c r="M346" s="1" t="s">
        <v>1043</v>
      </c>
      <c r="N346" s="1">
        <v>294</v>
      </c>
      <c r="O346" s="1" t="s">
        <v>1045</v>
      </c>
    </row>
    <row r="347" spans="1:17" x14ac:dyDescent="0.35">
      <c r="A347" s="1" t="s">
        <v>15</v>
      </c>
      <c r="B347" s="1">
        <v>329904</v>
      </c>
      <c r="C347" s="1">
        <v>330854</v>
      </c>
      <c r="E347" s="1" t="s">
        <v>16</v>
      </c>
      <c r="F347" s="1" t="s">
        <v>1046</v>
      </c>
      <c r="G347" s="1" t="s">
        <v>1047</v>
      </c>
      <c r="I347" s="1" t="s">
        <v>19</v>
      </c>
      <c r="L347" s="1" t="s">
        <v>6383</v>
      </c>
      <c r="M347" s="1" t="s">
        <v>1046</v>
      </c>
      <c r="N347" s="1">
        <v>316</v>
      </c>
      <c r="O347" s="1" t="s">
        <v>1048</v>
      </c>
    </row>
    <row r="348" spans="1:17" x14ac:dyDescent="0.35">
      <c r="A348" s="1" t="s">
        <v>15</v>
      </c>
      <c r="B348" s="1">
        <v>330857</v>
      </c>
      <c r="C348" s="1">
        <v>331621</v>
      </c>
      <c r="E348" s="1" t="s">
        <v>16</v>
      </c>
      <c r="F348" s="1" t="s">
        <v>1049</v>
      </c>
      <c r="G348" s="1" t="s">
        <v>1050</v>
      </c>
      <c r="I348" s="1" t="s">
        <v>19</v>
      </c>
      <c r="L348" s="1" t="s">
        <v>6384</v>
      </c>
      <c r="M348" s="1" t="s">
        <v>1049</v>
      </c>
      <c r="N348" s="1">
        <v>254</v>
      </c>
      <c r="O348" s="1" t="s">
        <v>1051</v>
      </c>
    </row>
    <row r="349" spans="1:17" x14ac:dyDescent="0.35">
      <c r="A349" s="1" t="s">
        <v>15</v>
      </c>
      <c r="B349" s="1">
        <v>331621</v>
      </c>
      <c r="C349" s="1">
        <v>332331</v>
      </c>
      <c r="E349" s="1" t="s">
        <v>16</v>
      </c>
      <c r="F349" s="1" t="s">
        <v>1049</v>
      </c>
      <c r="G349" s="1" t="s">
        <v>1052</v>
      </c>
      <c r="I349" s="1" t="s">
        <v>19</v>
      </c>
      <c r="L349" s="1" t="s">
        <v>6385</v>
      </c>
      <c r="M349" s="1" t="s">
        <v>1049</v>
      </c>
      <c r="N349" s="1">
        <v>236</v>
      </c>
      <c r="O349" s="1" t="s">
        <v>1053</v>
      </c>
    </row>
    <row r="350" spans="1:17" x14ac:dyDescent="0.35">
      <c r="A350" s="1" t="s">
        <v>15</v>
      </c>
      <c r="B350" s="1">
        <v>332466</v>
      </c>
      <c r="C350" s="1">
        <v>333125</v>
      </c>
      <c r="E350" s="1" t="s">
        <v>16</v>
      </c>
      <c r="F350" s="1" t="s">
        <v>1054</v>
      </c>
      <c r="I350" s="1" t="s">
        <v>19</v>
      </c>
      <c r="L350" s="1" t="s">
        <v>6386</v>
      </c>
      <c r="M350" s="1" t="s">
        <v>1054</v>
      </c>
      <c r="N350" s="1">
        <v>219</v>
      </c>
      <c r="O350" s="1" t="s">
        <v>1055</v>
      </c>
    </row>
    <row r="351" spans="1:17" x14ac:dyDescent="0.35">
      <c r="A351" s="1" t="s">
        <v>15</v>
      </c>
      <c r="B351" s="1">
        <v>333309</v>
      </c>
      <c r="C351" s="1">
        <v>334235</v>
      </c>
      <c r="E351" s="1" t="s">
        <v>178</v>
      </c>
      <c r="F351" s="1" t="s">
        <v>1056</v>
      </c>
      <c r="G351" s="1" t="s">
        <v>1057</v>
      </c>
      <c r="I351" s="1" t="s">
        <v>19</v>
      </c>
      <c r="L351" s="1" t="s">
        <v>6387</v>
      </c>
      <c r="M351" s="1" t="s">
        <v>1056</v>
      </c>
      <c r="N351" s="1">
        <v>308</v>
      </c>
      <c r="O351" s="1" t="s">
        <v>1058</v>
      </c>
    </row>
    <row r="352" spans="1:17" x14ac:dyDescent="0.35">
      <c r="A352" s="1" t="s">
        <v>15</v>
      </c>
      <c r="B352" s="1">
        <v>334337</v>
      </c>
      <c r="C352" s="1">
        <v>334963</v>
      </c>
      <c r="E352" s="1" t="s">
        <v>178</v>
      </c>
      <c r="F352" s="1" t="s">
        <v>50</v>
      </c>
      <c r="I352" s="1" t="s">
        <v>19</v>
      </c>
      <c r="L352" s="1" t="s">
        <v>6388</v>
      </c>
      <c r="M352" s="1" t="s">
        <v>50</v>
      </c>
      <c r="N352" s="1">
        <v>208</v>
      </c>
      <c r="O352" s="1" t="s">
        <v>1059</v>
      </c>
    </row>
    <row r="353" spans="1:17" x14ac:dyDescent="0.35">
      <c r="A353" s="1" t="s">
        <v>15</v>
      </c>
      <c r="B353" s="1">
        <v>335018</v>
      </c>
      <c r="C353" s="1">
        <v>336337</v>
      </c>
      <c r="E353" s="1" t="s">
        <v>16</v>
      </c>
      <c r="F353" s="1" t="s">
        <v>1060</v>
      </c>
      <c r="G353" s="1" t="s">
        <v>1061</v>
      </c>
      <c r="I353" s="1" t="s">
        <v>19</v>
      </c>
      <c r="L353" s="1" t="s">
        <v>6389</v>
      </c>
      <c r="M353" s="1" t="s">
        <v>1060</v>
      </c>
      <c r="N353" s="1">
        <v>439</v>
      </c>
      <c r="O353" s="1" t="s">
        <v>1062</v>
      </c>
      <c r="Q353" s="14"/>
    </row>
    <row r="354" spans="1:17" x14ac:dyDescent="0.35">
      <c r="A354" s="1" t="s">
        <v>15</v>
      </c>
      <c r="B354" s="1">
        <v>336507</v>
      </c>
      <c r="C354" s="1">
        <v>336980</v>
      </c>
      <c r="E354" s="1" t="s">
        <v>16</v>
      </c>
      <c r="F354" s="1" t="s">
        <v>1063</v>
      </c>
      <c r="G354" s="1" t="s">
        <v>1064</v>
      </c>
      <c r="I354" s="1" t="s">
        <v>19</v>
      </c>
      <c r="L354" s="1" t="s">
        <v>6390</v>
      </c>
      <c r="M354" s="1" t="s">
        <v>1063</v>
      </c>
      <c r="N354" s="1">
        <v>157</v>
      </c>
      <c r="O354" s="1" t="s">
        <v>1065</v>
      </c>
    </row>
    <row r="355" spans="1:17" x14ac:dyDescent="0.35">
      <c r="A355" s="1" t="s">
        <v>15</v>
      </c>
      <c r="B355" s="1">
        <v>337059</v>
      </c>
      <c r="C355" s="1">
        <v>337607</v>
      </c>
      <c r="E355" s="1" t="s">
        <v>16</v>
      </c>
      <c r="F355" s="1" t="s">
        <v>1066</v>
      </c>
      <c r="I355" s="1" t="s">
        <v>19</v>
      </c>
      <c r="L355" s="1" t="s">
        <v>6391</v>
      </c>
      <c r="M355" s="1" t="s">
        <v>1066</v>
      </c>
      <c r="N355" s="1">
        <v>182</v>
      </c>
      <c r="O355" s="1" t="s">
        <v>1067</v>
      </c>
    </row>
    <row r="356" spans="1:17" x14ac:dyDescent="0.35">
      <c r="A356" s="1" t="s">
        <v>15</v>
      </c>
      <c r="B356" s="1">
        <v>338038</v>
      </c>
      <c r="C356" s="1">
        <v>339573</v>
      </c>
      <c r="E356" s="1" t="s">
        <v>16</v>
      </c>
      <c r="F356" s="1" t="s">
        <v>70</v>
      </c>
      <c r="G356" s="1" t="s">
        <v>71</v>
      </c>
      <c r="I356" s="1" t="s">
        <v>72</v>
      </c>
      <c r="O356" s="1" t="s">
        <v>1068</v>
      </c>
    </row>
    <row r="357" spans="1:17" x14ac:dyDescent="0.35">
      <c r="A357" s="1" t="s">
        <v>15</v>
      </c>
      <c r="B357" s="1">
        <v>339633</v>
      </c>
      <c r="C357" s="1">
        <v>339705</v>
      </c>
      <c r="E357" s="1" t="s">
        <v>16</v>
      </c>
      <c r="F357" s="1" t="s">
        <v>74</v>
      </c>
      <c r="I357" s="1" t="s">
        <v>75</v>
      </c>
      <c r="O357" s="1" t="s">
        <v>1069</v>
      </c>
    </row>
    <row r="358" spans="1:17" x14ac:dyDescent="0.35">
      <c r="A358" s="1" t="s">
        <v>15</v>
      </c>
      <c r="B358" s="1">
        <v>339854</v>
      </c>
      <c r="C358" s="1">
        <v>342751</v>
      </c>
      <c r="E358" s="1" t="s">
        <v>16</v>
      </c>
      <c r="F358" s="1" t="s">
        <v>77</v>
      </c>
      <c r="G358" s="1" t="s">
        <v>78</v>
      </c>
      <c r="I358" s="1" t="s">
        <v>72</v>
      </c>
      <c r="O358" s="1" t="s">
        <v>1070</v>
      </c>
    </row>
    <row r="359" spans="1:17" x14ac:dyDescent="0.35">
      <c r="A359" s="1" t="s">
        <v>15</v>
      </c>
      <c r="B359" s="1">
        <v>342838</v>
      </c>
      <c r="C359" s="1">
        <v>342981</v>
      </c>
      <c r="E359" s="1" t="s">
        <v>16</v>
      </c>
      <c r="F359" s="1" t="s">
        <v>80</v>
      </c>
      <c r="G359" s="1" t="s">
        <v>81</v>
      </c>
      <c r="I359" s="1" t="s">
        <v>72</v>
      </c>
      <c r="O359" s="1" t="s">
        <v>1071</v>
      </c>
    </row>
    <row r="360" spans="1:17" x14ac:dyDescent="0.35">
      <c r="A360" s="1" t="s">
        <v>15</v>
      </c>
      <c r="B360" s="1">
        <v>342956</v>
      </c>
      <c r="C360" s="1">
        <v>343028</v>
      </c>
      <c r="E360" s="1" t="s">
        <v>16</v>
      </c>
      <c r="F360" s="1" t="s">
        <v>83</v>
      </c>
      <c r="I360" s="1" t="s">
        <v>75</v>
      </c>
      <c r="O360" s="1" t="s">
        <v>1072</v>
      </c>
    </row>
    <row r="361" spans="1:17" x14ac:dyDescent="0.35">
      <c r="A361" s="1" t="s">
        <v>15</v>
      </c>
      <c r="B361" s="1">
        <v>343031</v>
      </c>
      <c r="C361" s="1">
        <v>343106</v>
      </c>
      <c r="E361" s="1" t="s">
        <v>16</v>
      </c>
      <c r="F361" s="1" t="s">
        <v>85</v>
      </c>
      <c r="I361" s="1" t="s">
        <v>75</v>
      </c>
      <c r="O361" s="1" t="s">
        <v>1073</v>
      </c>
    </row>
    <row r="362" spans="1:17" x14ac:dyDescent="0.35">
      <c r="A362" s="1" t="s">
        <v>15</v>
      </c>
      <c r="B362" s="1">
        <v>343122</v>
      </c>
      <c r="C362" s="1">
        <v>343194</v>
      </c>
      <c r="E362" s="1" t="s">
        <v>16</v>
      </c>
      <c r="F362" s="1" t="s">
        <v>87</v>
      </c>
      <c r="I362" s="1" t="s">
        <v>75</v>
      </c>
      <c r="O362" s="1" t="s">
        <v>1074</v>
      </c>
    </row>
    <row r="363" spans="1:17" x14ac:dyDescent="0.35">
      <c r="A363" s="1" t="s">
        <v>15</v>
      </c>
      <c r="B363" s="1">
        <v>343200</v>
      </c>
      <c r="C363" s="1">
        <v>343281</v>
      </c>
      <c r="E363" s="1" t="s">
        <v>16</v>
      </c>
      <c r="F363" s="1" t="s">
        <v>89</v>
      </c>
      <c r="I363" s="1" t="s">
        <v>75</v>
      </c>
      <c r="O363" s="1" t="s">
        <v>1075</v>
      </c>
    </row>
    <row r="364" spans="1:17" x14ac:dyDescent="0.35">
      <c r="A364" s="1" t="s">
        <v>15</v>
      </c>
      <c r="B364" s="1">
        <v>343294</v>
      </c>
      <c r="C364" s="1">
        <v>343366</v>
      </c>
      <c r="E364" s="1" t="s">
        <v>16</v>
      </c>
      <c r="F364" s="1" t="s">
        <v>91</v>
      </c>
      <c r="I364" s="1" t="s">
        <v>75</v>
      </c>
      <c r="O364" s="1" t="s">
        <v>1076</v>
      </c>
    </row>
    <row r="365" spans="1:17" x14ac:dyDescent="0.35">
      <c r="A365" s="1" t="s">
        <v>15</v>
      </c>
      <c r="B365" s="1">
        <v>343374</v>
      </c>
      <c r="C365" s="1">
        <v>343445</v>
      </c>
      <c r="E365" s="1" t="s">
        <v>16</v>
      </c>
      <c r="F365" s="1" t="s">
        <v>261</v>
      </c>
      <c r="I365" s="1" t="s">
        <v>75</v>
      </c>
      <c r="O365" s="1" t="s">
        <v>1077</v>
      </c>
    </row>
    <row r="366" spans="1:17" x14ac:dyDescent="0.35">
      <c r="A366" s="1" t="s">
        <v>15</v>
      </c>
      <c r="B366" s="1">
        <v>343534</v>
      </c>
      <c r="C366" s="1">
        <v>344466</v>
      </c>
      <c r="E366" s="1" t="s">
        <v>16</v>
      </c>
      <c r="F366" s="1" t="s">
        <v>1078</v>
      </c>
      <c r="G366" s="1" t="s">
        <v>1079</v>
      </c>
      <c r="I366" s="1" t="s">
        <v>19</v>
      </c>
      <c r="L366" s="1" t="s">
        <v>1080</v>
      </c>
      <c r="M366" s="1" t="s">
        <v>1078</v>
      </c>
      <c r="N366" s="1">
        <v>310</v>
      </c>
      <c r="O366" s="1" t="s">
        <v>1081</v>
      </c>
      <c r="Q366" s="14"/>
    </row>
    <row r="367" spans="1:17" x14ac:dyDescent="0.35">
      <c r="A367" s="1" t="s">
        <v>15</v>
      </c>
      <c r="B367" s="1">
        <v>344569</v>
      </c>
      <c r="C367" s="1">
        <v>345180</v>
      </c>
      <c r="E367" s="1" t="s">
        <v>16</v>
      </c>
      <c r="F367" s="1" t="s">
        <v>50</v>
      </c>
      <c r="I367" s="1" t="s">
        <v>19</v>
      </c>
      <c r="L367" s="1" t="s">
        <v>1082</v>
      </c>
      <c r="M367" s="1" t="s">
        <v>50</v>
      </c>
      <c r="N367" s="1">
        <v>203</v>
      </c>
      <c r="O367" s="1" t="s">
        <v>1083</v>
      </c>
    </row>
    <row r="368" spans="1:17" x14ac:dyDescent="0.35">
      <c r="A368" s="1" t="s">
        <v>15</v>
      </c>
      <c r="B368" s="1">
        <v>345211</v>
      </c>
      <c r="C368" s="1">
        <v>345744</v>
      </c>
      <c r="E368" s="1" t="s">
        <v>178</v>
      </c>
      <c r="F368" s="1" t="s">
        <v>1084</v>
      </c>
      <c r="I368" s="1" t="s">
        <v>19</v>
      </c>
      <c r="L368" s="1" t="s">
        <v>1085</v>
      </c>
      <c r="M368" s="1" t="s">
        <v>1084</v>
      </c>
      <c r="N368" s="1">
        <v>177</v>
      </c>
      <c r="O368" s="1" t="s">
        <v>1086</v>
      </c>
    </row>
    <row r="369" spans="1:17" x14ac:dyDescent="0.35">
      <c r="A369" s="1" t="s">
        <v>15</v>
      </c>
      <c r="B369" s="1">
        <v>345815</v>
      </c>
      <c r="C369" s="1">
        <v>346492</v>
      </c>
      <c r="E369" s="1" t="s">
        <v>178</v>
      </c>
      <c r="F369" s="1" t="s">
        <v>1087</v>
      </c>
      <c r="G369" s="1" t="s">
        <v>1088</v>
      </c>
      <c r="I369" s="1" t="s">
        <v>19</v>
      </c>
      <c r="L369" s="1" t="s">
        <v>1089</v>
      </c>
      <c r="M369" s="1" t="s">
        <v>1087</v>
      </c>
      <c r="N369" s="1">
        <v>225</v>
      </c>
      <c r="O369" s="1" t="s">
        <v>1090</v>
      </c>
    </row>
    <row r="370" spans="1:17" x14ac:dyDescent="0.35">
      <c r="A370" s="1" t="s">
        <v>15</v>
      </c>
      <c r="B370" s="1">
        <v>346626</v>
      </c>
      <c r="C370" s="1">
        <v>347981</v>
      </c>
      <c r="E370" s="1" t="s">
        <v>16</v>
      </c>
      <c r="F370" s="1" t="s">
        <v>1091</v>
      </c>
      <c r="I370" s="1" t="s">
        <v>19</v>
      </c>
      <c r="L370" s="1" t="s">
        <v>1092</v>
      </c>
      <c r="M370" s="1" t="s">
        <v>1091</v>
      </c>
      <c r="N370" s="1">
        <v>451</v>
      </c>
      <c r="O370" s="1" t="s">
        <v>1093</v>
      </c>
    </row>
    <row r="371" spans="1:17" x14ac:dyDescent="0.35">
      <c r="A371" s="1" t="s">
        <v>15</v>
      </c>
      <c r="B371" s="1">
        <v>348091</v>
      </c>
      <c r="C371" s="1">
        <v>349083</v>
      </c>
      <c r="E371" s="1" t="s">
        <v>16</v>
      </c>
      <c r="F371" s="1" t="s">
        <v>1094</v>
      </c>
      <c r="G371" s="1" t="s">
        <v>1095</v>
      </c>
      <c r="I371" s="1" t="s">
        <v>19</v>
      </c>
      <c r="L371" s="1" t="s">
        <v>1096</v>
      </c>
      <c r="M371" s="1" t="s">
        <v>1094</v>
      </c>
      <c r="N371" s="1">
        <v>330</v>
      </c>
      <c r="O371" s="1" t="s">
        <v>1097</v>
      </c>
      <c r="Q371" s="14"/>
    </row>
    <row r="372" spans="1:17" x14ac:dyDescent="0.35">
      <c r="A372" s="1" t="s">
        <v>15</v>
      </c>
      <c r="B372" s="1">
        <v>349117</v>
      </c>
      <c r="C372" s="1">
        <v>350475</v>
      </c>
      <c r="E372" s="1" t="s">
        <v>178</v>
      </c>
      <c r="F372" s="1" t="s">
        <v>1098</v>
      </c>
      <c r="G372" s="1" t="s">
        <v>1099</v>
      </c>
      <c r="I372" s="1" t="s">
        <v>19</v>
      </c>
      <c r="L372" s="1" t="s">
        <v>1100</v>
      </c>
      <c r="M372" s="1" t="s">
        <v>1098</v>
      </c>
      <c r="N372" s="1">
        <v>452</v>
      </c>
      <c r="O372" s="1" t="s">
        <v>1101</v>
      </c>
      <c r="Q372" s="14"/>
    </row>
    <row r="373" spans="1:17" x14ac:dyDescent="0.35">
      <c r="A373" s="1" t="s">
        <v>15</v>
      </c>
      <c r="B373" s="1">
        <v>350605</v>
      </c>
      <c r="C373" s="1">
        <v>351243</v>
      </c>
      <c r="E373" s="1" t="s">
        <v>16</v>
      </c>
      <c r="F373" s="1" t="s">
        <v>1102</v>
      </c>
      <c r="I373" s="1" t="s">
        <v>19</v>
      </c>
      <c r="L373" s="1" t="s">
        <v>1103</v>
      </c>
      <c r="M373" s="1" t="s">
        <v>1102</v>
      </c>
      <c r="N373" s="1">
        <v>212</v>
      </c>
      <c r="O373" s="1" t="s">
        <v>1104</v>
      </c>
    </row>
    <row r="374" spans="1:17" x14ac:dyDescent="0.35">
      <c r="A374" s="1" t="s">
        <v>15</v>
      </c>
      <c r="B374" s="1">
        <v>351455</v>
      </c>
      <c r="C374" s="1">
        <v>352246</v>
      </c>
      <c r="E374" s="1" t="s">
        <v>16</v>
      </c>
      <c r="F374" s="1" t="s">
        <v>1105</v>
      </c>
      <c r="G374" s="1" t="s">
        <v>1106</v>
      </c>
      <c r="I374" s="1" t="s">
        <v>19</v>
      </c>
      <c r="L374" s="1" t="s">
        <v>1107</v>
      </c>
      <c r="M374" s="1" t="s">
        <v>1105</v>
      </c>
      <c r="N374" s="1">
        <v>263</v>
      </c>
      <c r="O374" s="1" t="s">
        <v>1108</v>
      </c>
      <c r="Q374" s="14"/>
    </row>
    <row r="375" spans="1:17" x14ac:dyDescent="0.35">
      <c r="A375" s="1" t="s">
        <v>15</v>
      </c>
      <c r="B375" s="1">
        <v>352351</v>
      </c>
      <c r="C375" s="1">
        <v>352785</v>
      </c>
      <c r="E375" s="1" t="s">
        <v>16</v>
      </c>
      <c r="F375" s="1" t="s">
        <v>285</v>
      </c>
      <c r="I375" s="1" t="s">
        <v>19</v>
      </c>
      <c r="L375" s="1" t="s">
        <v>1109</v>
      </c>
      <c r="M375" s="1" t="s">
        <v>285</v>
      </c>
      <c r="N375" s="1">
        <v>144</v>
      </c>
      <c r="O375" s="1" t="s">
        <v>1110</v>
      </c>
    </row>
    <row r="376" spans="1:17" x14ac:dyDescent="0.35">
      <c r="A376" s="1" t="s">
        <v>15</v>
      </c>
      <c r="B376" s="1">
        <v>352785</v>
      </c>
      <c r="C376" s="1">
        <v>353747</v>
      </c>
      <c r="E376" s="1" t="s">
        <v>16</v>
      </c>
      <c r="F376" s="1" t="s">
        <v>1111</v>
      </c>
      <c r="G376" s="1" t="s">
        <v>1112</v>
      </c>
      <c r="I376" s="1" t="s">
        <v>19</v>
      </c>
      <c r="L376" s="1" t="s">
        <v>1113</v>
      </c>
      <c r="M376" s="1" t="s">
        <v>1111</v>
      </c>
      <c r="N376" s="1">
        <v>320</v>
      </c>
      <c r="O376" s="1" t="s">
        <v>1114</v>
      </c>
      <c r="Q376" s="14"/>
    </row>
    <row r="377" spans="1:17" x14ac:dyDescent="0.35">
      <c r="A377" s="1" t="s">
        <v>15</v>
      </c>
      <c r="B377" s="1">
        <v>353811</v>
      </c>
      <c r="C377" s="1">
        <v>354035</v>
      </c>
      <c r="E377" s="1" t="s">
        <v>16</v>
      </c>
      <c r="F377" s="1" t="s">
        <v>140</v>
      </c>
      <c r="G377" s="1" t="s">
        <v>1115</v>
      </c>
      <c r="I377" s="1" t="s">
        <v>19</v>
      </c>
      <c r="L377" s="1" t="s">
        <v>1116</v>
      </c>
      <c r="M377" s="1" t="s">
        <v>140</v>
      </c>
      <c r="N377" s="1">
        <v>74</v>
      </c>
      <c r="O377" s="1" t="s">
        <v>1117</v>
      </c>
    </row>
    <row r="378" spans="1:17" x14ac:dyDescent="0.35">
      <c r="A378" s="1" t="s">
        <v>15</v>
      </c>
      <c r="B378" s="1">
        <v>354142</v>
      </c>
      <c r="C378" s="1">
        <v>355107</v>
      </c>
      <c r="E378" s="1" t="s">
        <v>16</v>
      </c>
      <c r="F378" s="1" t="s">
        <v>1118</v>
      </c>
      <c r="G378" s="1" t="s">
        <v>1119</v>
      </c>
      <c r="I378" s="1" t="s">
        <v>19</v>
      </c>
      <c r="L378" s="1" t="s">
        <v>1120</v>
      </c>
      <c r="M378" s="1" t="s">
        <v>1118</v>
      </c>
      <c r="N378" s="1">
        <v>321</v>
      </c>
      <c r="O378" s="1" t="s">
        <v>1121</v>
      </c>
      <c r="Q378" s="14"/>
    </row>
    <row r="379" spans="1:17" x14ac:dyDescent="0.35">
      <c r="A379" s="1" t="s">
        <v>15</v>
      </c>
      <c r="B379" s="1">
        <v>355130</v>
      </c>
      <c r="C379" s="1">
        <v>356050</v>
      </c>
      <c r="E379" s="1" t="s">
        <v>16</v>
      </c>
      <c r="F379" s="1" t="s">
        <v>1122</v>
      </c>
      <c r="G379" s="1" t="s">
        <v>1123</v>
      </c>
      <c r="I379" s="1" t="s">
        <v>19</v>
      </c>
      <c r="L379" s="1" t="s">
        <v>1124</v>
      </c>
      <c r="M379" s="1" t="s">
        <v>1122</v>
      </c>
      <c r="N379" s="1">
        <v>306</v>
      </c>
      <c r="O379" s="1" t="s">
        <v>1125</v>
      </c>
      <c r="Q379" s="14"/>
    </row>
    <row r="380" spans="1:17" x14ac:dyDescent="0.35">
      <c r="A380" s="1" t="s">
        <v>15</v>
      </c>
      <c r="B380" s="1">
        <v>356063</v>
      </c>
      <c r="C380" s="1">
        <v>356797</v>
      </c>
      <c r="E380" s="1" t="s">
        <v>16</v>
      </c>
      <c r="F380" s="1" t="s">
        <v>1126</v>
      </c>
      <c r="G380" s="1" t="s">
        <v>1127</v>
      </c>
      <c r="I380" s="1" t="s">
        <v>19</v>
      </c>
      <c r="L380" s="1" t="s">
        <v>1128</v>
      </c>
      <c r="M380" s="1" t="s">
        <v>1126</v>
      </c>
      <c r="N380" s="1">
        <v>244</v>
      </c>
      <c r="O380" s="1" t="s">
        <v>1129</v>
      </c>
      <c r="Q380" s="14"/>
    </row>
    <row r="381" spans="1:17" x14ac:dyDescent="0.35">
      <c r="A381" s="1" t="s">
        <v>15</v>
      </c>
      <c r="B381" s="1">
        <v>356859</v>
      </c>
      <c r="C381" s="1">
        <v>358091</v>
      </c>
      <c r="E381" s="1" t="s">
        <v>16</v>
      </c>
      <c r="F381" s="1" t="s">
        <v>1130</v>
      </c>
      <c r="G381" s="1" t="s">
        <v>1131</v>
      </c>
      <c r="I381" s="1" t="s">
        <v>19</v>
      </c>
      <c r="L381" s="1" t="s">
        <v>1132</v>
      </c>
      <c r="M381" s="1" t="s">
        <v>1130</v>
      </c>
      <c r="N381" s="1">
        <v>410</v>
      </c>
      <c r="O381" s="1" t="s">
        <v>1133</v>
      </c>
      <c r="Q381" s="14"/>
    </row>
    <row r="382" spans="1:17" x14ac:dyDescent="0.35">
      <c r="A382" s="1" t="s">
        <v>15</v>
      </c>
      <c r="B382" s="1">
        <v>358095</v>
      </c>
      <c r="C382" s="1">
        <v>358589</v>
      </c>
      <c r="E382" s="1" t="s">
        <v>16</v>
      </c>
      <c r="F382" s="1" t="s">
        <v>1134</v>
      </c>
      <c r="G382" s="1" t="s">
        <v>1135</v>
      </c>
      <c r="I382" s="1" t="s">
        <v>19</v>
      </c>
      <c r="L382" s="1" t="s">
        <v>1136</v>
      </c>
      <c r="M382" s="1" t="s">
        <v>1134</v>
      </c>
      <c r="N382" s="1">
        <v>164</v>
      </c>
      <c r="O382" s="1" t="s">
        <v>1137</v>
      </c>
      <c r="Q382" s="14"/>
    </row>
    <row r="383" spans="1:17" x14ac:dyDescent="0.35">
      <c r="A383" s="1" t="s">
        <v>15</v>
      </c>
      <c r="B383" s="1">
        <v>358586</v>
      </c>
      <c r="C383" s="1">
        <v>359011</v>
      </c>
      <c r="E383" s="1" t="s">
        <v>16</v>
      </c>
      <c r="F383" s="1" t="s">
        <v>1138</v>
      </c>
      <c r="G383" s="1" t="s">
        <v>1139</v>
      </c>
      <c r="I383" s="1" t="s">
        <v>19</v>
      </c>
      <c r="L383" s="1" t="s">
        <v>1140</v>
      </c>
      <c r="M383" s="1" t="s">
        <v>1138</v>
      </c>
      <c r="N383" s="1">
        <v>141</v>
      </c>
      <c r="O383" s="1" t="s">
        <v>1141</v>
      </c>
      <c r="Q383" s="14"/>
    </row>
    <row r="384" spans="1:17" x14ac:dyDescent="0.35">
      <c r="A384" s="1" t="s">
        <v>15</v>
      </c>
      <c r="B384" s="1">
        <v>359064</v>
      </c>
      <c r="C384" s="1">
        <v>360500</v>
      </c>
      <c r="E384" s="1" t="s">
        <v>16</v>
      </c>
      <c r="F384" s="1" t="s">
        <v>54</v>
      </c>
      <c r="I384" s="1" t="s">
        <v>19</v>
      </c>
      <c r="L384" s="1" t="s">
        <v>1142</v>
      </c>
      <c r="M384" s="1" t="s">
        <v>54</v>
      </c>
      <c r="N384" s="1">
        <v>478</v>
      </c>
      <c r="O384" s="1" t="s">
        <v>1143</v>
      </c>
    </row>
    <row r="385" spans="1:17" x14ac:dyDescent="0.35">
      <c r="A385" s="1" t="s">
        <v>15</v>
      </c>
      <c r="B385" s="1">
        <v>360506</v>
      </c>
      <c r="C385" s="1">
        <v>361372</v>
      </c>
      <c r="E385" s="1" t="s">
        <v>16</v>
      </c>
      <c r="F385" s="1" t="s">
        <v>1144</v>
      </c>
      <c r="G385" s="1" t="s">
        <v>1145</v>
      </c>
      <c r="I385" s="1" t="s">
        <v>19</v>
      </c>
      <c r="L385" s="1" t="s">
        <v>1146</v>
      </c>
      <c r="M385" s="1" t="s">
        <v>1144</v>
      </c>
      <c r="N385" s="1">
        <v>288</v>
      </c>
      <c r="O385" s="1" t="s">
        <v>1147</v>
      </c>
      <c r="Q385" s="14"/>
    </row>
    <row r="386" spans="1:17" x14ac:dyDescent="0.35">
      <c r="A386" s="1" t="s">
        <v>15</v>
      </c>
      <c r="B386" s="1">
        <v>361369</v>
      </c>
      <c r="C386" s="1">
        <v>362139</v>
      </c>
      <c r="E386" s="1" t="s">
        <v>16</v>
      </c>
      <c r="F386" s="1" t="s">
        <v>1148</v>
      </c>
      <c r="G386" s="1" t="s">
        <v>1149</v>
      </c>
      <c r="I386" s="1" t="s">
        <v>19</v>
      </c>
      <c r="L386" s="1" t="s">
        <v>1150</v>
      </c>
      <c r="M386" s="1" t="s">
        <v>1148</v>
      </c>
      <c r="N386" s="1">
        <v>256</v>
      </c>
      <c r="O386" s="1" t="s">
        <v>1151</v>
      </c>
      <c r="Q386" s="14"/>
    </row>
    <row r="387" spans="1:17" x14ac:dyDescent="0.35">
      <c r="A387" s="1" t="s">
        <v>15</v>
      </c>
      <c r="B387" s="1">
        <v>362170</v>
      </c>
      <c r="C387" s="1">
        <v>362652</v>
      </c>
      <c r="E387" s="1" t="s">
        <v>178</v>
      </c>
      <c r="F387" s="1" t="s">
        <v>1152</v>
      </c>
      <c r="G387" s="1" t="s">
        <v>1153</v>
      </c>
      <c r="I387" s="1" t="s">
        <v>19</v>
      </c>
      <c r="L387" s="1" t="s">
        <v>1154</v>
      </c>
      <c r="M387" s="1" t="s">
        <v>1152</v>
      </c>
      <c r="N387" s="1">
        <v>160</v>
      </c>
      <c r="O387" s="1" t="s">
        <v>1155</v>
      </c>
      <c r="Q387" s="14"/>
    </row>
    <row r="388" spans="1:17" x14ac:dyDescent="0.35">
      <c r="A388" s="1" t="s">
        <v>15</v>
      </c>
      <c r="B388" s="1">
        <v>362796</v>
      </c>
      <c r="C388" s="1">
        <v>364403</v>
      </c>
      <c r="E388" s="1" t="s">
        <v>16</v>
      </c>
      <c r="F388" s="1" t="s">
        <v>1156</v>
      </c>
      <c r="I388" s="1" t="s">
        <v>19</v>
      </c>
      <c r="L388" s="1" t="s">
        <v>1157</v>
      </c>
      <c r="M388" s="1" t="s">
        <v>1156</v>
      </c>
      <c r="N388" s="1">
        <v>535</v>
      </c>
      <c r="O388" s="1" t="s">
        <v>1158</v>
      </c>
    </row>
    <row r="389" spans="1:17" x14ac:dyDescent="0.35">
      <c r="A389" s="1" t="s">
        <v>15</v>
      </c>
      <c r="B389" s="1">
        <v>364615</v>
      </c>
      <c r="C389" s="1">
        <v>365361</v>
      </c>
      <c r="E389" s="1" t="s">
        <v>16</v>
      </c>
      <c r="F389" s="1" t="s">
        <v>1159</v>
      </c>
      <c r="G389" s="1" t="s">
        <v>1160</v>
      </c>
      <c r="I389" s="1" t="s">
        <v>19</v>
      </c>
      <c r="L389" s="1" t="s">
        <v>1161</v>
      </c>
      <c r="M389" s="1" t="s">
        <v>1159</v>
      </c>
      <c r="N389" s="1">
        <v>248</v>
      </c>
      <c r="O389" s="1" t="s">
        <v>1162</v>
      </c>
    </row>
    <row r="390" spans="1:17" x14ac:dyDescent="0.35">
      <c r="A390" s="1" t="s">
        <v>15</v>
      </c>
      <c r="B390" s="1">
        <v>365358</v>
      </c>
      <c r="C390" s="1">
        <v>366269</v>
      </c>
      <c r="E390" s="1" t="s">
        <v>16</v>
      </c>
      <c r="F390" s="1" t="s">
        <v>1163</v>
      </c>
      <c r="I390" s="1" t="s">
        <v>19</v>
      </c>
      <c r="L390" s="1" t="s">
        <v>1164</v>
      </c>
      <c r="M390" s="1" t="s">
        <v>1163</v>
      </c>
      <c r="N390" s="1">
        <v>303</v>
      </c>
      <c r="O390" s="1" t="s">
        <v>1165</v>
      </c>
      <c r="Q390" s="14"/>
    </row>
    <row r="391" spans="1:17" x14ac:dyDescent="0.35">
      <c r="A391" s="1" t="s">
        <v>15</v>
      </c>
      <c r="B391" s="1">
        <v>366266</v>
      </c>
      <c r="C391" s="1">
        <v>368242</v>
      </c>
      <c r="E391" s="1" t="s">
        <v>16</v>
      </c>
      <c r="F391" s="1" t="s">
        <v>1166</v>
      </c>
      <c r="G391" s="1" t="s">
        <v>1167</v>
      </c>
      <c r="I391" s="1" t="s">
        <v>19</v>
      </c>
      <c r="L391" s="1" t="s">
        <v>1168</v>
      </c>
      <c r="M391" s="1" t="s">
        <v>1166</v>
      </c>
      <c r="N391" s="1">
        <v>658</v>
      </c>
      <c r="O391" s="1" t="s">
        <v>1169</v>
      </c>
      <c r="Q391" s="14"/>
    </row>
    <row r="392" spans="1:17" x14ac:dyDescent="0.35">
      <c r="A392" s="1" t="s">
        <v>15</v>
      </c>
      <c r="B392" s="1">
        <v>368390</v>
      </c>
      <c r="C392" s="1">
        <v>369742</v>
      </c>
      <c r="E392" s="1" t="s">
        <v>16</v>
      </c>
      <c r="F392" s="1" t="s">
        <v>1170</v>
      </c>
      <c r="G392" s="1" t="s">
        <v>1171</v>
      </c>
      <c r="I392" s="1" t="s">
        <v>19</v>
      </c>
      <c r="L392" s="1" t="s">
        <v>1172</v>
      </c>
      <c r="M392" s="1" t="s">
        <v>1170</v>
      </c>
      <c r="N392" s="1">
        <v>450</v>
      </c>
      <c r="O392" s="1" t="s">
        <v>1173</v>
      </c>
      <c r="Q392" s="14"/>
    </row>
    <row r="393" spans="1:17" x14ac:dyDescent="0.35">
      <c r="A393" s="1" t="s">
        <v>15</v>
      </c>
      <c r="B393" s="1">
        <v>369792</v>
      </c>
      <c r="C393" s="1">
        <v>369905</v>
      </c>
      <c r="E393" s="1" t="s">
        <v>16</v>
      </c>
      <c r="F393" s="1" t="s">
        <v>54</v>
      </c>
      <c r="I393" s="1" t="s">
        <v>19</v>
      </c>
      <c r="L393" s="1" t="s">
        <v>1174</v>
      </c>
      <c r="M393" s="1" t="s">
        <v>54</v>
      </c>
      <c r="N393" s="1">
        <v>37</v>
      </c>
      <c r="O393" s="1" t="s">
        <v>1175</v>
      </c>
    </row>
    <row r="394" spans="1:17" x14ac:dyDescent="0.35">
      <c r="A394" s="1" t="s">
        <v>15</v>
      </c>
      <c r="B394" s="1">
        <v>370020</v>
      </c>
      <c r="C394" s="1">
        <v>371264</v>
      </c>
      <c r="E394" s="1" t="s">
        <v>178</v>
      </c>
      <c r="F394" s="1" t="s">
        <v>1176</v>
      </c>
      <c r="G394" s="1" t="s">
        <v>1177</v>
      </c>
      <c r="I394" s="1" t="s">
        <v>19</v>
      </c>
      <c r="L394" s="1" t="s">
        <v>1178</v>
      </c>
      <c r="M394" s="1" t="s">
        <v>1176</v>
      </c>
      <c r="N394" s="1">
        <v>414</v>
      </c>
      <c r="O394" s="1" t="s">
        <v>1179</v>
      </c>
      <c r="Q394" s="14"/>
    </row>
    <row r="395" spans="1:17" x14ac:dyDescent="0.35">
      <c r="A395" s="1" t="s">
        <v>15</v>
      </c>
      <c r="B395" s="1">
        <v>371309</v>
      </c>
      <c r="C395" s="1">
        <v>371770</v>
      </c>
      <c r="E395" s="1" t="s">
        <v>178</v>
      </c>
      <c r="F395" s="1" t="s">
        <v>54</v>
      </c>
      <c r="I395" s="1" t="s">
        <v>19</v>
      </c>
      <c r="L395" s="1" t="s">
        <v>1180</v>
      </c>
      <c r="M395" s="1" t="s">
        <v>54</v>
      </c>
      <c r="N395" s="1">
        <v>153</v>
      </c>
      <c r="O395" s="1" t="s">
        <v>1181</v>
      </c>
    </row>
    <row r="396" spans="1:17" x14ac:dyDescent="0.35">
      <c r="A396" s="1" t="s">
        <v>15</v>
      </c>
      <c r="B396" s="1">
        <v>371879</v>
      </c>
      <c r="C396" s="1">
        <v>373024</v>
      </c>
      <c r="E396" s="1" t="s">
        <v>16</v>
      </c>
      <c r="F396" s="1" t="s">
        <v>1182</v>
      </c>
      <c r="G396" s="1" t="s">
        <v>1183</v>
      </c>
      <c r="I396" s="1" t="s">
        <v>19</v>
      </c>
      <c r="L396" s="1" t="s">
        <v>1184</v>
      </c>
      <c r="M396" s="1" t="s">
        <v>1182</v>
      </c>
      <c r="N396" s="1">
        <v>381</v>
      </c>
      <c r="O396" s="1" t="s">
        <v>1185</v>
      </c>
      <c r="Q396" s="14"/>
    </row>
    <row r="397" spans="1:17" x14ac:dyDescent="0.35">
      <c r="A397" s="1" t="s">
        <v>15</v>
      </c>
      <c r="B397" s="1">
        <v>373079</v>
      </c>
      <c r="C397" s="1">
        <v>374302</v>
      </c>
      <c r="E397" s="1" t="s">
        <v>16</v>
      </c>
      <c r="F397" s="1" t="s">
        <v>1186</v>
      </c>
      <c r="G397" s="1" t="s">
        <v>1187</v>
      </c>
      <c r="I397" s="1" t="s">
        <v>19</v>
      </c>
      <c r="L397" s="1" t="s">
        <v>1188</v>
      </c>
      <c r="M397" s="1" t="s">
        <v>1186</v>
      </c>
      <c r="N397" s="1">
        <v>407</v>
      </c>
      <c r="O397" s="1" t="s">
        <v>1189</v>
      </c>
    </row>
    <row r="398" spans="1:17" x14ac:dyDescent="0.35">
      <c r="A398" s="1" t="s">
        <v>15</v>
      </c>
      <c r="B398" s="1">
        <v>374408</v>
      </c>
      <c r="C398" s="1">
        <v>375919</v>
      </c>
      <c r="E398" s="1" t="s">
        <v>16</v>
      </c>
      <c r="F398" s="1" t="s">
        <v>1190</v>
      </c>
      <c r="I398" s="1" t="s">
        <v>19</v>
      </c>
      <c r="L398" s="1" t="s">
        <v>1191</v>
      </c>
      <c r="M398" s="1" t="s">
        <v>1190</v>
      </c>
      <c r="N398" s="1">
        <v>503</v>
      </c>
      <c r="O398" s="1" t="s">
        <v>1192</v>
      </c>
    </row>
    <row r="399" spans="1:17" x14ac:dyDescent="0.35">
      <c r="A399" s="1" t="s">
        <v>15</v>
      </c>
      <c r="B399" s="1">
        <v>375912</v>
      </c>
      <c r="C399" s="1">
        <v>377231</v>
      </c>
      <c r="E399" s="1" t="s">
        <v>16</v>
      </c>
      <c r="F399" s="1" t="s">
        <v>50</v>
      </c>
      <c r="I399" s="1" t="s">
        <v>19</v>
      </c>
      <c r="L399" s="1" t="s">
        <v>1193</v>
      </c>
      <c r="M399" s="1" t="s">
        <v>50</v>
      </c>
      <c r="N399" s="1">
        <v>439</v>
      </c>
      <c r="O399" s="1" t="s">
        <v>1194</v>
      </c>
    </row>
    <row r="400" spans="1:17" x14ac:dyDescent="0.35">
      <c r="A400" s="1" t="s">
        <v>15</v>
      </c>
      <c r="B400" s="1">
        <v>377236</v>
      </c>
      <c r="C400" s="1">
        <v>377772</v>
      </c>
      <c r="E400" s="1" t="s">
        <v>16</v>
      </c>
      <c r="F400" s="1" t="s">
        <v>50</v>
      </c>
      <c r="I400" s="1" t="s">
        <v>19</v>
      </c>
      <c r="L400" s="1" t="s">
        <v>1195</v>
      </c>
      <c r="M400" s="1" t="s">
        <v>50</v>
      </c>
      <c r="N400" s="1">
        <v>178</v>
      </c>
      <c r="O400" s="1" t="s">
        <v>1196</v>
      </c>
    </row>
    <row r="401" spans="1:17" x14ac:dyDescent="0.35">
      <c r="A401" s="1" t="s">
        <v>15</v>
      </c>
      <c r="B401" s="1">
        <v>378000</v>
      </c>
      <c r="C401" s="1">
        <v>378314</v>
      </c>
      <c r="E401" s="1" t="s">
        <v>16</v>
      </c>
      <c r="F401" s="1" t="s">
        <v>1197</v>
      </c>
      <c r="G401" s="1" t="s">
        <v>1198</v>
      </c>
      <c r="I401" s="1" t="s">
        <v>19</v>
      </c>
      <c r="L401" s="1" t="s">
        <v>1199</v>
      </c>
      <c r="M401" s="1" t="s">
        <v>1197</v>
      </c>
      <c r="N401" s="1">
        <v>104</v>
      </c>
      <c r="O401" s="1" t="s">
        <v>1200</v>
      </c>
    </row>
    <row r="402" spans="1:17" x14ac:dyDescent="0.35">
      <c r="A402" s="1" t="s">
        <v>15</v>
      </c>
      <c r="B402" s="1">
        <v>378350</v>
      </c>
      <c r="C402" s="1">
        <v>378640</v>
      </c>
      <c r="E402" s="1" t="s">
        <v>16</v>
      </c>
      <c r="F402" s="1" t="s">
        <v>1201</v>
      </c>
      <c r="G402" s="1" t="s">
        <v>1202</v>
      </c>
      <c r="I402" s="1" t="s">
        <v>19</v>
      </c>
      <c r="L402" s="1" t="s">
        <v>1203</v>
      </c>
      <c r="M402" s="1" t="s">
        <v>1201</v>
      </c>
      <c r="N402" s="1">
        <v>96</v>
      </c>
      <c r="O402" s="1" t="s">
        <v>1204</v>
      </c>
    </row>
    <row r="403" spans="1:17" x14ac:dyDescent="0.35">
      <c r="A403" s="1" t="s">
        <v>15</v>
      </c>
      <c r="B403" s="1">
        <v>378698</v>
      </c>
      <c r="C403" s="1">
        <v>379393</v>
      </c>
      <c r="E403" s="1" t="s">
        <v>16</v>
      </c>
      <c r="F403" s="1" t="s">
        <v>1205</v>
      </c>
      <c r="I403" s="1" t="s">
        <v>19</v>
      </c>
      <c r="L403" s="1" t="s">
        <v>1206</v>
      </c>
      <c r="M403" s="1" t="s">
        <v>1205</v>
      </c>
      <c r="N403" s="1">
        <v>231</v>
      </c>
      <c r="O403" s="1" t="s">
        <v>1207</v>
      </c>
    </row>
    <row r="404" spans="1:17" x14ac:dyDescent="0.35">
      <c r="A404" s="1" t="s">
        <v>15</v>
      </c>
      <c r="B404" s="1">
        <v>379593</v>
      </c>
      <c r="C404" s="1">
        <v>379967</v>
      </c>
      <c r="E404" s="1" t="s">
        <v>16</v>
      </c>
      <c r="F404" s="1" t="s">
        <v>50</v>
      </c>
      <c r="I404" s="1" t="s">
        <v>19</v>
      </c>
      <c r="L404" s="1" t="s">
        <v>1208</v>
      </c>
      <c r="M404" s="1" t="s">
        <v>50</v>
      </c>
      <c r="N404" s="1">
        <v>124</v>
      </c>
      <c r="O404" s="1" t="s">
        <v>1209</v>
      </c>
    </row>
    <row r="405" spans="1:17" x14ac:dyDescent="0.35">
      <c r="A405" s="1" t="s">
        <v>15</v>
      </c>
      <c r="B405" s="1">
        <v>379969</v>
      </c>
      <c r="C405" s="1">
        <v>380811</v>
      </c>
      <c r="E405" s="1" t="s">
        <v>16</v>
      </c>
      <c r="F405" s="1" t="s">
        <v>50</v>
      </c>
      <c r="I405" s="1" t="s">
        <v>19</v>
      </c>
      <c r="L405" s="1" t="s">
        <v>1210</v>
      </c>
      <c r="M405" s="1" t="s">
        <v>50</v>
      </c>
      <c r="N405" s="1">
        <v>280</v>
      </c>
      <c r="O405" s="1" t="s">
        <v>1211</v>
      </c>
    </row>
    <row r="406" spans="1:17" x14ac:dyDescent="0.35">
      <c r="A406" s="1" t="s">
        <v>15</v>
      </c>
      <c r="B406" s="1">
        <v>380872</v>
      </c>
      <c r="C406" s="1">
        <v>381639</v>
      </c>
      <c r="E406" s="1" t="s">
        <v>16</v>
      </c>
      <c r="F406" s="1" t="s">
        <v>1212</v>
      </c>
      <c r="G406" s="1" t="s">
        <v>1213</v>
      </c>
      <c r="I406" s="1" t="s">
        <v>19</v>
      </c>
      <c r="L406" s="1" t="s">
        <v>1214</v>
      </c>
      <c r="M406" s="1" t="s">
        <v>1212</v>
      </c>
      <c r="N406" s="1">
        <v>255</v>
      </c>
      <c r="O406" s="1" t="s">
        <v>1215</v>
      </c>
      <c r="Q406" s="14"/>
    </row>
    <row r="407" spans="1:17" x14ac:dyDescent="0.35">
      <c r="A407" s="1" t="s">
        <v>15</v>
      </c>
      <c r="B407" s="1">
        <v>381636</v>
      </c>
      <c r="C407" s="1">
        <v>382838</v>
      </c>
      <c r="E407" s="1" t="s">
        <v>16</v>
      </c>
      <c r="F407" s="1" t="s">
        <v>1216</v>
      </c>
      <c r="G407" s="1" t="s">
        <v>1217</v>
      </c>
      <c r="I407" s="1" t="s">
        <v>19</v>
      </c>
      <c r="L407" s="1" t="s">
        <v>1218</v>
      </c>
      <c r="M407" s="1" t="s">
        <v>1216</v>
      </c>
      <c r="N407" s="1">
        <v>400</v>
      </c>
      <c r="O407" s="1" t="s">
        <v>1219</v>
      </c>
    </row>
    <row r="408" spans="1:17" x14ac:dyDescent="0.35">
      <c r="A408" s="1" t="s">
        <v>15</v>
      </c>
      <c r="B408" s="1">
        <v>382922</v>
      </c>
      <c r="C408" s="1">
        <v>384802</v>
      </c>
      <c r="E408" s="1" t="s">
        <v>16</v>
      </c>
      <c r="F408" s="1" t="s">
        <v>1220</v>
      </c>
      <c r="I408" s="1" t="s">
        <v>19</v>
      </c>
      <c r="L408" s="1" t="s">
        <v>1221</v>
      </c>
      <c r="M408" s="1" t="s">
        <v>1220</v>
      </c>
      <c r="N408" s="1">
        <v>626</v>
      </c>
      <c r="O408" s="1" t="s">
        <v>1222</v>
      </c>
    </row>
    <row r="409" spans="1:17" x14ac:dyDescent="0.35">
      <c r="A409" s="1" t="s">
        <v>15</v>
      </c>
      <c r="B409" s="1">
        <v>384888</v>
      </c>
      <c r="C409" s="1">
        <v>385391</v>
      </c>
      <c r="E409" s="1" t="s">
        <v>178</v>
      </c>
      <c r="F409" s="1" t="s">
        <v>530</v>
      </c>
      <c r="I409" s="1" t="s">
        <v>19</v>
      </c>
      <c r="L409" s="1" t="s">
        <v>1223</v>
      </c>
      <c r="M409" s="1" t="s">
        <v>530</v>
      </c>
      <c r="N409" s="1">
        <v>167</v>
      </c>
      <c r="O409" s="1" t="s">
        <v>1224</v>
      </c>
    </row>
    <row r="410" spans="1:17" x14ac:dyDescent="0.35">
      <c r="A410" s="1" t="s">
        <v>15</v>
      </c>
      <c r="B410" s="1">
        <v>385460</v>
      </c>
      <c r="C410" s="1">
        <v>386221</v>
      </c>
      <c r="E410" s="1" t="s">
        <v>178</v>
      </c>
      <c r="F410" s="1" t="s">
        <v>484</v>
      </c>
      <c r="I410" s="1" t="s">
        <v>19</v>
      </c>
      <c r="L410" s="1" t="s">
        <v>1225</v>
      </c>
      <c r="M410" s="1" t="s">
        <v>484</v>
      </c>
      <c r="N410" s="1">
        <v>253</v>
      </c>
      <c r="O410" s="1" t="s">
        <v>1226</v>
      </c>
      <c r="Q410" s="14"/>
    </row>
    <row r="411" spans="1:17" x14ac:dyDescent="0.35">
      <c r="A411" s="1" t="s">
        <v>15</v>
      </c>
      <c r="B411" s="1">
        <v>386278</v>
      </c>
      <c r="C411" s="1">
        <v>387384</v>
      </c>
      <c r="E411" s="1" t="s">
        <v>178</v>
      </c>
      <c r="F411" s="1" t="s">
        <v>1227</v>
      </c>
      <c r="G411" s="1" t="s">
        <v>1228</v>
      </c>
      <c r="I411" s="1" t="s">
        <v>19</v>
      </c>
      <c r="L411" s="1" t="s">
        <v>1229</v>
      </c>
      <c r="M411" s="1" t="s">
        <v>1227</v>
      </c>
      <c r="N411" s="1">
        <v>368</v>
      </c>
      <c r="O411" s="1" t="s">
        <v>1230</v>
      </c>
      <c r="Q411" s="14"/>
    </row>
    <row r="412" spans="1:17" x14ac:dyDescent="0.35">
      <c r="A412" s="1" t="s">
        <v>15</v>
      </c>
      <c r="B412" s="1">
        <v>387742</v>
      </c>
      <c r="C412" s="1">
        <v>389094</v>
      </c>
      <c r="E412" s="1" t="s">
        <v>16</v>
      </c>
      <c r="F412" s="1" t="s">
        <v>1231</v>
      </c>
      <c r="G412" s="1" t="s">
        <v>1232</v>
      </c>
      <c r="I412" s="1" t="s">
        <v>19</v>
      </c>
      <c r="L412" s="1" t="s">
        <v>1233</v>
      </c>
      <c r="M412" s="1" t="s">
        <v>1231</v>
      </c>
      <c r="N412" s="1">
        <v>450</v>
      </c>
      <c r="O412" s="1" t="s">
        <v>1234</v>
      </c>
      <c r="Q412" s="14"/>
    </row>
    <row r="413" spans="1:17" x14ac:dyDescent="0.35">
      <c r="A413" s="1" t="s">
        <v>15</v>
      </c>
      <c r="B413" s="1">
        <v>389273</v>
      </c>
      <c r="C413" s="1">
        <v>390916</v>
      </c>
      <c r="E413" s="1" t="s">
        <v>16</v>
      </c>
      <c r="F413" s="1" t="s">
        <v>1235</v>
      </c>
      <c r="I413" s="1" t="s">
        <v>19</v>
      </c>
      <c r="L413" s="1" t="s">
        <v>1236</v>
      </c>
      <c r="M413" s="1" t="s">
        <v>1235</v>
      </c>
      <c r="N413" s="1">
        <v>547</v>
      </c>
      <c r="O413" s="1" t="s">
        <v>1237</v>
      </c>
    </row>
    <row r="414" spans="1:17" x14ac:dyDescent="0.35">
      <c r="A414" s="1" t="s">
        <v>15</v>
      </c>
      <c r="B414" s="1">
        <v>391074</v>
      </c>
      <c r="C414" s="1">
        <v>391484</v>
      </c>
      <c r="E414" s="1" t="s">
        <v>16</v>
      </c>
      <c r="F414" s="1" t="s">
        <v>1238</v>
      </c>
      <c r="G414" s="1" t="s">
        <v>1239</v>
      </c>
      <c r="I414" s="1" t="s">
        <v>19</v>
      </c>
      <c r="L414" s="1" t="s">
        <v>1240</v>
      </c>
      <c r="M414" s="1" t="s">
        <v>1238</v>
      </c>
      <c r="N414" s="1">
        <v>136</v>
      </c>
      <c r="O414" s="1" t="s">
        <v>1241</v>
      </c>
      <c r="Q414" s="14"/>
    </row>
    <row r="415" spans="1:17" x14ac:dyDescent="0.35">
      <c r="A415" s="1" t="s">
        <v>15</v>
      </c>
      <c r="B415" s="1">
        <v>391670</v>
      </c>
      <c r="C415" s="1">
        <v>392113</v>
      </c>
      <c r="E415" s="1" t="s">
        <v>16</v>
      </c>
      <c r="F415" s="1" t="s">
        <v>285</v>
      </c>
      <c r="I415" s="1" t="s">
        <v>19</v>
      </c>
      <c r="L415" s="1" t="s">
        <v>1242</v>
      </c>
      <c r="M415" s="1" t="s">
        <v>285</v>
      </c>
      <c r="N415" s="1">
        <v>147</v>
      </c>
      <c r="O415" s="1" t="s">
        <v>1243</v>
      </c>
    </row>
    <row r="416" spans="1:17" x14ac:dyDescent="0.35">
      <c r="A416" s="1" t="s">
        <v>15</v>
      </c>
      <c r="B416" s="1">
        <v>392117</v>
      </c>
      <c r="C416" s="1">
        <v>393931</v>
      </c>
      <c r="E416" s="1" t="s">
        <v>16</v>
      </c>
      <c r="F416" s="1" t="s">
        <v>1244</v>
      </c>
      <c r="G416" s="1" t="s">
        <v>1245</v>
      </c>
      <c r="I416" s="1" t="s">
        <v>19</v>
      </c>
      <c r="L416" s="1" t="s">
        <v>1246</v>
      </c>
      <c r="M416" s="1" t="s">
        <v>1244</v>
      </c>
      <c r="N416" s="1">
        <v>604</v>
      </c>
      <c r="O416" s="1" t="s">
        <v>1247</v>
      </c>
    </row>
    <row r="417" spans="1:17" x14ac:dyDescent="0.35">
      <c r="A417" s="1" t="s">
        <v>15</v>
      </c>
      <c r="B417" s="1">
        <v>393921</v>
      </c>
      <c r="C417" s="1">
        <v>395699</v>
      </c>
      <c r="E417" s="1" t="s">
        <v>16</v>
      </c>
      <c r="F417" s="1" t="s">
        <v>1244</v>
      </c>
      <c r="G417" s="1" t="s">
        <v>1248</v>
      </c>
      <c r="I417" s="1" t="s">
        <v>19</v>
      </c>
      <c r="L417" s="1" t="s">
        <v>1249</v>
      </c>
      <c r="M417" s="1" t="s">
        <v>1244</v>
      </c>
      <c r="N417" s="1">
        <v>592</v>
      </c>
      <c r="O417" s="1" t="s">
        <v>1250</v>
      </c>
    </row>
    <row r="418" spans="1:17" x14ac:dyDescent="0.35">
      <c r="A418" s="1" t="s">
        <v>15</v>
      </c>
      <c r="B418" s="1">
        <v>395807</v>
      </c>
      <c r="C418" s="1">
        <v>396430</v>
      </c>
      <c r="E418" s="1" t="s">
        <v>16</v>
      </c>
      <c r="F418" s="1" t="s">
        <v>1251</v>
      </c>
      <c r="G418" s="1" t="s">
        <v>1252</v>
      </c>
      <c r="I418" s="1" t="s">
        <v>19</v>
      </c>
      <c r="L418" s="1" t="s">
        <v>1253</v>
      </c>
      <c r="M418" s="1" t="s">
        <v>1251</v>
      </c>
      <c r="N418" s="1">
        <v>207</v>
      </c>
      <c r="O418" s="1" t="s">
        <v>1254</v>
      </c>
      <c r="Q418" s="14"/>
    </row>
    <row r="419" spans="1:17" x14ac:dyDescent="0.35">
      <c r="A419" s="1" t="s">
        <v>15</v>
      </c>
      <c r="B419" s="1">
        <v>396578</v>
      </c>
      <c r="C419" s="1">
        <v>397201</v>
      </c>
      <c r="E419" s="1" t="s">
        <v>16</v>
      </c>
      <c r="F419" s="1" t="s">
        <v>1255</v>
      </c>
      <c r="I419" s="1" t="s">
        <v>19</v>
      </c>
      <c r="L419" s="1" t="s">
        <v>1256</v>
      </c>
      <c r="M419" s="1" t="s">
        <v>1255</v>
      </c>
      <c r="N419" s="1">
        <v>207</v>
      </c>
      <c r="O419" s="1" t="s">
        <v>1257</v>
      </c>
      <c r="Q419" s="14"/>
    </row>
    <row r="420" spans="1:17" x14ac:dyDescent="0.35">
      <c r="A420" s="1" t="s">
        <v>15</v>
      </c>
      <c r="B420" s="1">
        <v>397203</v>
      </c>
      <c r="C420" s="1">
        <v>397880</v>
      </c>
      <c r="E420" s="1" t="s">
        <v>16</v>
      </c>
      <c r="F420" s="1" t="s">
        <v>1258</v>
      </c>
      <c r="G420" s="1" t="s">
        <v>1259</v>
      </c>
      <c r="I420" s="1" t="s">
        <v>19</v>
      </c>
      <c r="L420" s="1" t="s">
        <v>1260</v>
      </c>
      <c r="M420" s="1" t="s">
        <v>1258</v>
      </c>
      <c r="N420" s="1">
        <v>225</v>
      </c>
      <c r="O420" s="1" t="s">
        <v>1261</v>
      </c>
    </row>
    <row r="421" spans="1:17" x14ac:dyDescent="0.35">
      <c r="A421" s="1" t="s">
        <v>15</v>
      </c>
      <c r="B421" s="1">
        <v>397894</v>
      </c>
      <c r="C421" s="1">
        <v>399117</v>
      </c>
      <c r="E421" s="1" t="s">
        <v>16</v>
      </c>
      <c r="F421" s="1" t="s">
        <v>54</v>
      </c>
      <c r="I421" s="1" t="s">
        <v>19</v>
      </c>
      <c r="L421" s="1" t="s">
        <v>1262</v>
      </c>
      <c r="M421" s="1" t="s">
        <v>54</v>
      </c>
      <c r="N421" s="1">
        <v>407</v>
      </c>
      <c r="O421" s="1" t="s">
        <v>1263</v>
      </c>
    </row>
    <row r="422" spans="1:17" x14ac:dyDescent="0.35">
      <c r="A422" s="1" t="s">
        <v>15</v>
      </c>
      <c r="B422" s="1">
        <v>399351</v>
      </c>
      <c r="C422" s="1">
        <v>400088</v>
      </c>
      <c r="E422" s="1" t="s">
        <v>16</v>
      </c>
      <c r="F422" s="1" t="s">
        <v>1264</v>
      </c>
      <c r="G422" s="1" t="s">
        <v>1265</v>
      </c>
      <c r="I422" s="1" t="s">
        <v>19</v>
      </c>
      <c r="L422" s="1" t="s">
        <v>1266</v>
      </c>
      <c r="M422" s="1" t="s">
        <v>1264</v>
      </c>
      <c r="N422" s="1">
        <v>245</v>
      </c>
      <c r="O422" s="1" t="s">
        <v>1267</v>
      </c>
    </row>
    <row r="423" spans="1:17" x14ac:dyDescent="0.35">
      <c r="A423" s="1" t="s">
        <v>15</v>
      </c>
      <c r="B423" s="1">
        <v>400103</v>
      </c>
      <c r="C423" s="1">
        <v>400660</v>
      </c>
      <c r="E423" s="1" t="s">
        <v>16</v>
      </c>
      <c r="F423" s="1" t="s">
        <v>1268</v>
      </c>
      <c r="G423" s="1" t="s">
        <v>1269</v>
      </c>
      <c r="I423" s="1" t="s">
        <v>19</v>
      </c>
      <c r="L423" s="1" t="s">
        <v>1270</v>
      </c>
      <c r="M423" s="1" t="s">
        <v>1268</v>
      </c>
      <c r="N423" s="1">
        <v>185</v>
      </c>
      <c r="O423" s="1" t="s">
        <v>1271</v>
      </c>
    </row>
    <row r="424" spans="1:17" x14ac:dyDescent="0.35">
      <c r="A424" s="1" t="s">
        <v>15</v>
      </c>
      <c r="B424" s="1">
        <v>400752</v>
      </c>
      <c r="C424" s="1">
        <v>401609</v>
      </c>
      <c r="E424" s="1" t="s">
        <v>16</v>
      </c>
      <c r="F424" s="1" t="s">
        <v>1272</v>
      </c>
      <c r="I424" s="1" t="s">
        <v>19</v>
      </c>
      <c r="L424" s="1" t="s">
        <v>1273</v>
      </c>
      <c r="M424" s="1" t="s">
        <v>1272</v>
      </c>
      <c r="N424" s="1">
        <v>285</v>
      </c>
      <c r="O424" s="1" t="s">
        <v>1274</v>
      </c>
    </row>
    <row r="425" spans="1:17" x14ac:dyDescent="0.35">
      <c r="A425" s="1" t="s">
        <v>15</v>
      </c>
      <c r="B425" s="1">
        <v>401618</v>
      </c>
      <c r="C425" s="1">
        <v>401833</v>
      </c>
      <c r="E425" s="1" t="s">
        <v>16</v>
      </c>
      <c r="F425" s="1" t="s">
        <v>1275</v>
      </c>
      <c r="I425" s="1" t="s">
        <v>19</v>
      </c>
      <c r="L425" s="1" t="s">
        <v>1276</v>
      </c>
      <c r="M425" s="1" t="s">
        <v>1275</v>
      </c>
      <c r="N425" s="1">
        <v>71</v>
      </c>
      <c r="O425" s="1" t="s">
        <v>1277</v>
      </c>
    </row>
    <row r="426" spans="1:17" x14ac:dyDescent="0.35">
      <c r="A426" s="1" t="s">
        <v>15</v>
      </c>
      <c r="B426" s="1">
        <v>402073</v>
      </c>
      <c r="C426" s="1">
        <v>403332</v>
      </c>
      <c r="E426" s="1" t="s">
        <v>16</v>
      </c>
      <c r="F426" s="1" t="s">
        <v>1278</v>
      </c>
      <c r="I426" s="1" t="s">
        <v>19</v>
      </c>
      <c r="L426" s="1" t="s">
        <v>1279</v>
      </c>
      <c r="M426" s="1" t="s">
        <v>1278</v>
      </c>
      <c r="N426" s="1">
        <v>419</v>
      </c>
      <c r="O426" s="1" t="s">
        <v>1280</v>
      </c>
    </row>
    <row r="427" spans="1:17" x14ac:dyDescent="0.35">
      <c r="A427" s="1" t="s">
        <v>15</v>
      </c>
      <c r="B427" s="1">
        <v>403412</v>
      </c>
      <c r="C427" s="1">
        <v>404476</v>
      </c>
      <c r="E427" s="1" t="s">
        <v>16</v>
      </c>
      <c r="F427" s="1" t="s">
        <v>1281</v>
      </c>
      <c r="I427" s="1" t="s">
        <v>19</v>
      </c>
      <c r="L427" s="1" t="s">
        <v>1282</v>
      </c>
      <c r="M427" s="1" t="s">
        <v>1281</v>
      </c>
      <c r="N427" s="1">
        <v>354</v>
      </c>
      <c r="O427" s="1" t="s">
        <v>1283</v>
      </c>
    </row>
    <row r="428" spans="1:17" x14ac:dyDescent="0.35">
      <c r="A428" s="1" t="s">
        <v>15</v>
      </c>
      <c r="B428" s="1">
        <v>404602</v>
      </c>
      <c r="C428" s="1">
        <v>405300</v>
      </c>
      <c r="E428" s="1" t="s">
        <v>16</v>
      </c>
      <c r="F428" s="1" t="s">
        <v>54</v>
      </c>
      <c r="I428" s="1" t="s">
        <v>19</v>
      </c>
      <c r="L428" s="1" t="s">
        <v>1284</v>
      </c>
      <c r="M428" s="1" t="s">
        <v>54</v>
      </c>
      <c r="N428" s="1">
        <v>232</v>
      </c>
      <c r="O428" s="1" t="s">
        <v>1285</v>
      </c>
    </row>
    <row r="429" spans="1:17" x14ac:dyDescent="0.35">
      <c r="A429" s="1" t="s">
        <v>15</v>
      </c>
      <c r="B429" s="1">
        <v>405453</v>
      </c>
      <c r="C429" s="1">
        <v>406535</v>
      </c>
      <c r="E429" s="1" t="s">
        <v>16</v>
      </c>
      <c r="F429" s="1" t="s">
        <v>54</v>
      </c>
      <c r="I429" s="1" t="s">
        <v>19</v>
      </c>
      <c r="L429" s="1" t="s">
        <v>1286</v>
      </c>
      <c r="M429" s="1" t="s">
        <v>54</v>
      </c>
      <c r="N429" s="1">
        <v>360</v>
      </c>
      <c r="O429" s="1" t="s">
        <v>1287</v>
      </c>
    </row>
    <row r="430" spans="1:17" x14ac:dyDescent="0.35">
      <c r="A430" s="1" t="s">
        <v>15</v>
      </c>
      <c r="B430" s="1">
        <v>406665</v>
      </c>
      <c r="C430" s="1">
        <v>407543</v>
      </c>
      <c r="E430" s="1" t="s">
        <v>16</v>
      </c>
      <c r="F430" s="1" t="s">
        <v>54</v>
      </c>
      <c r="I430" s="1" t="s">
        <v>19</v>
      </c>
      <c r="L430" s="1" t="s">
        <v>1288</v>
      </c>
      <c r="M430" s="1" t="s">
        <v>54</v>
      </c>
      <c r="N430" s="1">
        <v>292</v>
      </c>
      <c r="O430" s="1" t="s">
        <v>1289</v>
      </c>
    </row>
    <row r="431" spans="1:17" x14ac:dyDescent="0.35">
      <c r="A431" s="1" t="s">
        <v>15</v>
      </c>
      <c r="B431" s="1">
        <v>407619</v>
      </c>
      <c r="C431" s="1">
        <v>408323</v>
      </c>
      <c r="E431" s="1" t="s">
        <v>16</v>
      </c>
      <c r="F431" s="1" t="s">
        <v>54</v>
      </c>
      <c r="I431" s="1" t="s">
        <v>19</v>
      </c>
      <c r="L431" s="1" t="s">
        <v>1290</v>
      </c>
      <c r="M431" s="1" t="s">
        <v>54</v>
      </c>
      <c r="N431" s="1">
        <v>234</v>
      </c>
      <c r="O431" s="1" t="s">
        <v>1291</v>
      </c>
    </row>
    <row r="432" spans="1:17" x14ac:dyDescent="0.35">
      <c r="A432" s="1" t="s">
        <v>15</v>
      </c>
      <c r="B432" s="1">
        <v>408426</v>
      </c>
      <c r="C432" s="1">
        <v>409283</v>
      </c>
      <c r="E432" s="1" t="s">
        <v>16</v>
      </c>
      <c r="F432" s="1" t="s">
        <v>54</v>
      </c>
      <c r="I432" s="1" t="s">
        <v>19</v>
      </c>
      <c r="L432" s="1" t="s">
        <v>1292</v>
      </c>
      <c r="M432" s="1" t="s">
        <v>54</v>
      </c>
      <c r="N432" s="1">
        <v>285</v>
      </c>
      <c r="O432" s="1" t="s">
        <v>1293</v>
      </c>
    </row>
    <row r="433" spans="1:17" x14ac:dyDescent="0.35">
      <c r="A433" s="1" t="s">
        <v>15</v>
      </c>
      <c r="B433" s="1">
        <v>409451</v>
      </c>
      <c r="C433" s="1">
        <v>411454</v>
      </c>
      <c r="E433" s="1" t="s">
        <v>16</v>
      </c>
      <c r="F433" s="1" t="s">
        <v>1294</v>
      </c>
      <c r="G433" s="1" t="s">
        <v>1295</v>
      </c>
      <c r="I433" s="1" t="s">
        <v>19</v>
      </c>
      <c r="L433" s="1" t="s">
        <v>1296</v>
      </c>
      <c r="M433" s="1" t="s">
        <v>1294</v>
      </c>
      <c r="N433" s="1">
        <v>667</v>
      </c>
      <c r="O433" s="1" t="s">
        <v>1297</v>
      </c>
      <c r="Q433" s="14"/>
    </row>
    <row r="434" spans="1:17" x14ac:dyDescent="0.35">
      <c r="A434" s="1" t="s">
        <v>15</v>
      </c>
      <c r="B434" s="1">
        <v>411658</v>
      </c>
      <c r="C434" s="1">
        <v>412503</v>
      </c>
      <c r="E434" s="1" t="s">
        <v>178</v>
      </c>
      <c r="F434" s="1" t="s">
        <v>1298</v>
      </c>
      <c r="G434" s="1" t="s">
        <v>1299</v>
      </c>
      <c r="I434" s="1" t="s">
        <v>19</v>
      </c>
      <c r="L434" s="1" t="s">
        <v>1300</v>
      </c>
      <c r="M434" s="1" t="s">
        <v>1298</v>
      </c>
      <c r="N434" s="1">
        <v>281</v>
      </c>
      <c r="O434" s="1" t="s">
        <v>1301</v>
      </c>
      <c r="Q434" s="14"/>
    </row>
    <row r="435" spans="1:17" x14ac:dyDescent="0.35">
      <c r="A435" s="1" t="s">
        <v>15</v>
      </c>
      <c r="B435" s="1">
        <v>412514</v>
      </c>
      <c r="C435" s="1">
        <v>413410</v>
      </c>
      <c r="E435" s="1" t="s">
        <v>178</v>
      </c>
      <c r="F435" s="1" t="s">
        <v>1302</v>
      </c>
      <c r="G435" s="1" t="s">
        <v>1303</v>
      </c>
      <c r="I435" s="1" t="s">
        <v>19</v>
      </c>
      <c r="L435" s="1" t="s">
        <v>1304</v>
      </c>
      <c r="M435" s="1" t="s">
        <v>1302</v>
      </c>
      <c r="N435" s="1">
        <v>298</v>
      </c>
      <c r="O435" s="1" t="s">
        <v>1305</v>
      </c>
    </row>
    <row r="436" spans="1:17" x14ac:dyDescent="0.35">
      <c r="A436" s="1" t="s">
        <v>15</v>
      </c>
      <c r="B436" s="1">
        <v>413649</v>
      </c>
      <c r="C436" s="1">
        <v>414389</v>
      </c>
      <c r="E436" s="1" t="s">
        <v>178</v>
      </c>
      <c r="F436" s="1" t="s">
        <v>54</v>
      </c>
      <c r="I436" s="1" t="s">
        <v>19</v>
      </c>
      <c r="L436" s="1" t="s">
        <v>1306</v>
      </c>
      <c r="M436" s="1" t="s">
        <v>54</v>
      </c>
      <c r="N436" s="1">
        <v>246</v>
      </c>
      <c r="O436" s="1" t="s">
        <v>1307</v>
      </c>
    </row>
    <row r="437" spans="1:17" x14ac:dyDescent="0.35">
      <c r="A437" s="1" t="s">
        <v>15</v>
      </c>
      <c r="B437" s="1">
        <v>414800</v>
      </c>
      <c r="C437" s="1">
        <v>416737</v>
      </c>
      <c r="E437" s="1" t="s">
        <v>16</v>
      </c>
      <c r="F437" s="1" t="s">
        <v>54</v>
      </c>
      <c r="I437" s="1" t="s">
        <v>19</v>
      </c>
      <c r="L437" s="1" t="s">
        <v>1308</v>
      </c>
      <c r="M437" s="1" t="s">
        <v>54</v>
      </c>
      <c r="N437" s="1">
        <v>645</v>
      </c>
      <c r="O437" s="1" t="s">
        <v>1309</v>
      </c>
    </row>
    <row r="438" spans="1:17" x14ac:dyDescent="0.35">
      <c r="A438" s="1" t="s">
        <v>15</v>
      </c>
      <c r="B438" s="1">
        <v>418038</v>
      </c>
      <c r="C438" s="1">
        <v>418997</v>
      </c>
      <c r="E438" s="1" t="s">
        <v>16</v>
      </c>
      <c r="F438" s="1" t="s">
        <v>1310</v>
      </c>
      <c r="G438" s="1" t="s">
        <v>1311</v>
      </c>
      <c r="I438" s="1" t="s">
        <v>19</v>
      </c>
      <c r="L438" s="1" t="s">
        <v>1312</v>
      </c>
      <c r="M438" s="1" t="s">
        <v>1310</v>
      </c>
      <c r="N438" s="1">
        <v>319</v>
      </c>
      <c r="O438" s="1" t="s">
        <v>1313</v>
      </c>
    </row>
    <row r="439" spans="1:17" x14ac:dyDescent="0.35">
      <c r="A439" s="1" t="s">
        <v>15</v>
      </c>
      <c r="B439" s="1">
        <v>419008</v>
      </c>
      <c r="C439" s="1">
        <v>420813</v>
      </c>
      <c r="E439" s="1" t="s">
        <v>16</v>
      </c>
      <c r="F439" s="1" t="s">
        <v>1314</v>
      </c>
      <c r="G439" s="1" t="s">
        <v>1315</v>
      </c>
      <c r="I439" s="1" t="s">
        <v>19</v>
      </c>
      <c r="L439" s="1" t="s">
        <v>1316</v>
      </c>
      <c r="M439" s="1" t="s">
        <v>1314</v>
      </c>
      <c r="N439" s="1">
        <v>601</v>
      </c>
      <c r="O439" s="1" t="s">
        <v>1317</v>
      </c>
      <c r="Q439" s="14"/>
    </row>
    <row r="440" spans="1:17" x14ac:dyDescent="0.35">
      <c r="A440" s="1" t="s">
        <v>15</v>
      </c>
      <c r="B440" s="1">
        <v>421025</v>
      </c>
      <c r="C440" s="1">
        <v>422245</v>
      </c>
      <c r="E440" s="1" t="s">
        <v>16</v>
      </c>
      <c r="F440" s="1" t="s">
        <v>1318</v>
      </c>
      <c r="G440" s="1" t="s">
        <v>1319</v>
      </c>
      <c r="I440" s="1" t="s">
        <v>19</v>
      </c>
      <c r="L440" s="1" t="s">
        <v>1320</v>
      </c>
      <c r="M440" s="1" t="s">
        <v>1318</v>
      </c>
      <c r="N440" s="1">
        <v>406</v>
      </c>
      <c r="O440" s="1" t="s">
        <v>1321</v>
      </c>
    </row>
    <row r="441" spans="1:17" x14ac:dyDescent="0.35">
      <c r="A441" s="1" t="s">
        <v>15</v>
      </c>
      <c r="B441" s="1">
        <v>422317</v>
      </c>
      <c r="C441" s="1">
        <v>423024</v>
      </c>
      <c r="E441" s="1" t="s">
        <v>16</v>
      </c>
      <c r="F441" s="1" t="s">
        <v>1322</v>
      </c>
      <c r="I441" s="1" t="s">
        <v>19</v>
      </c>
      <c r="L441" s="1" t="s">
        <v>1323</v>
      </c>
      <c r="M441" s="1" t="s">
        <v>1322</v>
      </c>
      <c r="N441" s="1">
        <v>235</v>
      </c>
      <c r="O441" s="1" t="s">
        <v>1324</v>
      </c>
      <c r="Q441" s="14"/>
    </row>
    <row r="442" spans="1:17" x14ac:dyDescent="0.35">
      <c r="A442" s="1" t="s">
        <v>15</v>
      </c>
      <c r="B442" s="1">
        <v>423086</v>
      </c>
      <c r="C442" s="1">
        <v>424228</v>
      </c>
      <c r="E442" s="1" t="s">
        <v>16</v>
      </c>
      <c r="F442" s="1" t="s">
        <v>54</v>
      </c>
      <c r="I442" s="1" t="s">
        <v>19</v>
      </c>
      <c r="L442" s="1" t="s">
        <v>1325</v>
      </c>
      <c r="M442" s="1" t="s">
        <v>54</v>
      </c>
      <c r="N442" s="1">
        <v>380</v>
      </c>
      <c r="O442" s="1" t="s">
        <v>1326</v>
      </c>
    </row>
    <row r="443" spans="1:17" x14ac:dyDescent="0.35">
      <c r="A443" s="1" t="s">
        <v>15</v>
      </c>
      <c r="B443" s="1">
        <v>424447</v>
      </c>
      <c r="C443" s="1">
        <v>424539</v>
      </c>
      <c r="E443" s="1" t="s">
        <v>16</v>
      </c>
      <c r="F443" s="1" t="s">
        <v>54</v>
      </c>
      <c r="I443" s="1" t="s">
        <v>19</v>
      </c>
      <c r="L443" s="1" t="s">
        <v>1327</v>
      </c>
      <c r="M443" s="1" t="s">
        <v>54</v>
      </c>
      <c r="N443" s="1">
        <v>30</v>
      </c>
      <c r="O443" s="1" t="s">
        <v>1328</v>
      </c>
    </row>
    <row r="444" spans="1:17" x14ac:dyDescent="0.35">
      <c r="A444" s="1" t="s">
        <v>15</v>
      </c>
      <c r="B444" s="1">
        <v>424567</v>
      </c>
      <c r="C444" s="1">
        <v>425052</v>
      </c>
      <c r="E444" s="1" t="s">
        <v>16</v>
      </c>
      <c r="F444" s="1" t="s">
        <v>54</v>
      </c>
      <c r="I444" s="1" t="s">
        <v>19</v>
      </c>
      <c r="L444" s="1" t="s">
        <v>1329</v>
      </c>
      <c r="M444" s="1" t="s">
        <v>54</v>
      </c>
      <c r="N444" s="1">
        <v>161</v>
      </c>
      <c r="O444" s="1" t="s">
        <v>1330</v>
      </c>
    </row>
    <row r="445" spans="1:17" x14ac:dyDescent="0.35">
      <c r="A445" s="1" t="s">
        <v>15</v>
      </c>
      <c r="B445" s="1">
        <v>425077</v>
      </c>
      <c r="C445" s="1">
        <v>427695</v>
      </c>
      <c r="E445" s="1" t="s">
        <v>16</v>
      </c>
      <c r="F445" s="1" t="s">
        <v>1331</v>
      </c>
      <c r="G445" s="1" t="s">
        <v>1332</v>
      </c>
      <c r="I445" s="1" t="s">
        <v>19</v>
      </c>
      <c r="L445" s="1" t="s">
        <v>1333</v>
      </c>
      <c r="M445" s="1" t="s">
        <v>1331</v>
      </c>
      <c r="N445" s="1">
        <v>872</v>
      </c>
      <c r="O445" s="1" t="s">
        <v>1334</v>
      </c>
      <c r="Q445" s="14"/>
    </row>
    <row r="446" spans="1:17" x14ac:dyDescent="0.35">
      <c r="A446" s="1" t="s">
        <v>15</v>
      </c>
      <c r="B446" s="1">
        <v>427872</v>
      </c>
      <c r="C446" s="1">
        <v>430427</v>
      </c>
      <c r="E446" s="1" t="s">
        <v>16</v>
      </c>
      <c r="F446" s="1" t="s">
        <v>54</v>
      </c>
      <c r="I446" s="1" t="s">
        <v>19</v>
      </c>
      <c r="L446" s="1" t="s">
        <v>1335</v>
      </c>
      <c r="M446" s="1" t="s">
        <v>54</v>
      </c>
      <c r="N446" s="1">
        <v>851</v>
      </c>
      <c r="O446" s="1" t="s">
        <v>1336</v>
      </c>
    </row>
    <row r="447" spans="1:17" x14ac:dyDescent="0.35">
      <c r="A447" s="1" t="s">
        <v>15</v>
      </c>
      <c r="B447" s="1">
        <v>430763</v>
      </c>
      <c r="C447" s="1">
        <v>434845</v>
      </c>
      <c r="E447" s="1" t="s">
        <v>16</v>
      </c>
      <c r="F447" s="1" t="s">
        <v>1337</v>
      </c>
      <c r="I447" s="1" t="s">
        <v>19</v>
      </c>
      <c r="L447" s="1" t="s">
        <v>1338</v>
      </c>
      <c r="M447" s="1" t="s">
        <v>1337</v>
      </c>
      <c r="N447" s="1">
        <v>1360</v>
      </c>
      <c r="O447" s="1" t="s">
        <v>1339</v>
      </c>
    </row>
    <row r="448" spans="1:17" x14ac:dyDescent="0.35">
      <c r="A448" s="1" t="s">
        <v>15</v>
      </c>
      <c r="B448" s="1">
        <v>434978</v>
      </c>
      <c r="C448" s="1">
        <v>435760</v>
      </c>
      <c r="E448" s="1" t="s">
        <v>16</v>
      </c>
      <c r="F448" s="1" t="s">
        <v>1340</v>
      </c>
      <c r="G448" s="1" t="s">
        <v>1341</v>
      </c>
      <c r="I448" s="1" t="s">
        <v>19</v>
      </c>
      <c r="L448" s="1" t="s">
        <v>1342</v>
      </c>
      <c r="M448" s="1" t="s">
        <v>1340</v>
      </c>
      <c r="N448" s="1">
        <v>260</v>
      </c>
      <c r="O448" s="1" t="s">
        <v>1343</v>
      </c>
      <c r="Q448" s="14"/>
    </row>
    <row r="449" spans="1:17" x14ac:dyDescent="0.35">
      <c r="A449" s="1" t="s">
        <v>15</v>
      </c>
      <c r="B449" s="1">
        <v>435770</v>
      </c>
      <c r="C449" s="1">
        <v>436951</v>
      </c>
      <c r="E449" s="1" t="s">
        <v>16</v>
      </c>
      <c r="F449" s="1" t="s">
        <v>1344</v>
      </c>
      <c r="G449" s="1" t="s">
        <v>1345</v>
      </c>
      <c r="I449" s="1" t="s">
        <v>19</v>
      </c>
      <c r="L449" s="1" t="s">
        <v>1346</v>
      </c>
      <c r="M449" s="1" t="s">
        <v>1344</v>
      </c>
      <c r="N449" s="1">
        <v>393</v>
      </c>
      <c r="O449" s="1" t="s">
        <v>1347</v>
      </c>
      <c r="Q449" s="14"/>
    </row>
    <row r="450" spans="1:17" x14ac:dyDescent="0.35">
      <c r="A450" s="1" t="s">
        <v>15</v>
      </c>
      <c r="B450" s="1">
        <v>437079</v>
      </c>
      <c r="C450" s="1">
        <v>438101</v>
      </c>
      <c r="E450" s="1" t="s">
        <v>16</v>
      </c>
      <c r="F450" s="1" t="s">
        <v>1348</v>
      </c>
      <c r="G450" s="1" t="s">
        <v>1349</v>
      </c>
      <c r="I450" s="1" t="s">
        <v>19</v>
      </c>
      <c r="L450" s="1" t="s">
        <v>1350</v>
      </c>
      <c r="M450" s="1" t="s">
        <v>1348</v>
      </c>
      <c r="N450" s="1">
        <v>340</v>
      </c>
      <c r="O450" s="1" t="s">
        <v>1351</v>
      </c>
      <c r="Q450" s="14"/>
    </row>
    <row r="451" spans="1:17" x14ac:dyDescent="0.35">
      <c r="A451" s="1" t="s">
        <v>15</v>
      </c>
      <c r="B451" s="1">
        <v>438130</v>
      </c>
      <c r="C451" s="1">
        <v>439323</v>
      </c>
      <c r="E451" s="1" t="s">
        <v>16</v>
      </c>
      <c r="F451" s="1" t="s">
        <v>1352</v>
      </c>
      <c r="G451" s="1" t="s">
        <v>1353</v>
      </c>
      <c r="I451" s="1" t="s">
        <v>19</v>
      </c>
      <c r="L451" s="1" t="s">
        <v>1354</v>
      </c>
      <c r="M451" s="1" t="s">
        <v>1352</v>
      </c>
      <c r="N451" s="1">
        <v>397</v>
      </c>
      <c r="O451" s="1" t="s">
        <v>1355</v>
      </c>
      <c r="Q451" s="14"/>
    </row>
    <row r="452" spans="1:17" x14ac:dyDescent="0.35">
      <c r="A452" s="1" t="s">
        <v>15</v>
      </c>
      <c r="B452" s="1">
        <v>439350</v>
      </c>
      <c r="C452" s="1">
        <v>440087</v>
      </c>
      <c r="E452" s="1" t="s">
        <v>16</v>
      </c>
      <c r="F452" s="1" t="s">
        <v>1356</v>
      </c>
      <c r="G452" s="1" t="s">
        <v>1357</v>
      </c>
      <c r="I452" s="1" t="s">
        <v>19</v>
      </c>
      <c r="L452" s="1" t="s">
        <v>1358</v>
      </c>
      <c r="M452" s="1" t="s">
        <v>1356</v>
      </c>
      <c r="N452" s="1">
        <v>245</v>
      </c>
      <c r="O452" s="1" t="s">
        <v>1359</v>
      </c>
    </row>
    <row r="453" spans="1:17" x14ac:dyDescent="0.35">
      <c r="A453" s="1" t="s">
        <v>15</v>
      </c>
      <c r="B453" s="1">
        <v>440091</v>
      </c>
      <c r="C453" s="1">
        <v>441221</v>
      </c>
      <c r="E453" s="1" t="s">
        <v>16</v>
      </c>
      <c r="F453" s="1" t="s">
        <v>1360</v>
      </c>
      <c r="G453" s="1" t="s">
        <v>1361</v>
      </c>
      <c r="I453" s="1" t="s">
        <v>19</v>
      </c>
      <c r="L453" s="1" t="s">
        <v>1362</v>
      </c>
      <c r="M453" s="1" t="s">
        <v>1360</v>
      </c>
      <c r="N453" s="1">
        <v>376</v>
      </c>
      <c r="O453" s="1" t="s">
        <v>1363</v>
      </c>
      <c r="Q453" s="14"/>
    </row>
    <row r="454" spans="1:17" x14ac:dyDescent="0.35">
      <c r="A454" s="1" t="s">
        <v>15</v>
      </c>
      <c r="B454" s="1">
        <v>441262</v>
      </c>
      <c r="C454" s="1">
        <v>442140</v>
      </c>
      <c r="E454" s="1" t="s">
        <v>178</v>
      </c>
      <c r="F454" s="1" t="s">
        <v>1364</v>
      </c>
      <c r="I454" s="1" t="s">
        <v>19</v>
      </c>
      <c r="L454" s="1" t="s">
        <v>1365</v>
      </c>
      <c r="M454" s="1" t="s">
        <v>1364</v>
      </c>
      <c r="N454" s="1">
        <v>292</v>
      </c>
      <c r="O454" s="1" t="s">
        <v>1366</v>
      </c>
    </row>
    <row r="455" spans="1:17" x14ac:dyDescent="0.35">
      <c r="A455" s="1" t="s">
        <v>15</v>
      </c>
      <c r="B455" s="1">
        <v>442314</v>
      </c>
      <c r="C455" s="1">
        <v>443600</v>
      </c>
      <c r="E455" s="1" t="s">
        <v>16</v>
      </c>
      <c r="F455" s="1" t="s">
        <v>1367</v>
      </c>
      <c r="G455" s="1" t="s">
        <v>1368</v>
      </c>
      <c r="I455" s="1" t="s">
        <v>19</v>
      </c>
      <c r="L455" s="1" t="s">
        <v>1369</v>
      </c>
      <c r="M455" s="1" t="s">
        <v>1367</v>
      </c>
      <c r="N455" s="1">
        <v>428</v>
      </c>
      <c r="O455" s="1" t="s">
        <v>1370</v>
      </c>
      <c r="Q455" s="14"/>
    </row>
    <row r="456" spans="1:17" x14ac:dyDescent="0.35">
      <c r="A456" s="1" t="s">
        <v>15</v>
      </c>
      <c r="B456" s="1">
        <v>443684</v>
      </c>
      <c r="C456" s="1">
        <v>444544</v>
      </c>
      <c r="E456" s="1" t="s">
        <v>16</v>
      </c>
      <c r="F456" s="1" t="s">
        <v>1371</v>
      </c>
      <c r="G456" s="1" t="s">
        <v>1372</v>
      </c>
      <c r="I456" s="1" t="s">
        <v>19</v>
      </c>
      <c r="L456" s="1" t="s">
        <v>1373</v>
      </c>
      <c r="M456" s="1" t="s">
        <v>1371</v>
      </c>
      <c r="N456" s="1">
        <v>286</v>
      </c>
      <c r="O456" s="1" t="s">
        <v>1374</v>
      </c>
      <c r="Q456" s="14"/>
    </row>
    <row r="457" spans="1:17" x14ac:dyDescent="0.35">
      <c r="A457" s="1" t="s">
        <v>15</v>
      </c>
      <c r="B457" s="1">
        <v>444537</v>
      </c>
      <c r="C457" s="1">
        <v>445421</v>
      </c>
      <c r="E457" s="1" t="s">
        <v>16</v>
      </c>
      <c r="F457" s="1" t="s">
        <v>1375</v>
      </c>
      <c r="I457" s="1" t="s">
        <v>19</v>
      </c>
      <c r="L457" s="1" t="s">
        <v>1376</v>
      </c>
      <c r="M457" s="1" t="s">
        <v>1375</v>
      </c>
      <c r="N457" s="1">
        <v>294</v>
      </c>
      <c r="O457" s="1" t="s">
        <v>1377</v>
      </c>
    </row>
    <row r="458" spans="1:17" x14ac:dyDescent="0.35">
      <c r="A458" s="1" t="s">
        <v>15</v>
      </c>
      <c r="B458" s="1">
        <v>445534</v>
      </c>
      <c r="C458" s="1">
        <v>446151</v>
      </c>
      <c r="E458" s="1" t="s">
        <v>16</v>
      </c>
      <c r="F458" s="1" t="s">
        <v>50</v>
      </c>
      <c r="I458" s="1" t="s">
        <v>19</v>
      </c>
      <c r="L458" s="1" t="s">
        <v>1378</v>
      </c>
      <c r="M458" s="1" t="s">
        <v>50</v>
      </c>
      <c r="N458" s="1">
        <v>205</v>
      </c>
      <c r="O458" s="1" t="s">
        <v>1379</v>
      </c>
    </row>
    <row r="459" spans="1:17" x14ac:dyDescent="0.35">
      <c r="A459" s="1" t="s">
        <v>15</v>
      </c>
      <c r="B459" s="1">
        <v>446284</v>
      </c>
      <c r="C459" s="1">
        <v>446487</v>
      </c>
      <c r="E459" s="1" t="s">
        <v>16</v>
      </c>
      <c r="F459" s="1" t="s">
        <v>50</v>
      </c>
      <c r="I459" s="1" t="s">
        <v>19</v>
      </c>
      <c r="L459" s="1" t="s">
        <v>1380</v>
      </c>
      <c r="M459" s="1" t="s">
        <v>50</v>
      </c>
      <c r="N459" s="1">
        <v>67</v>
      </c>
      <c r="O459" s="1" t="s">
        <v>1381</v>
      </c>
    </row>
    <row r="460" spans="1:17" x14ac:dyDescent="0.35">
      <c r="A460" s="1" t="s">
        <v>15</v>
      </c>
      <c r="B460" s="1">
        <v>446934</v>
      </c>
      <c r="C460" s="1">
        <v>447503</v>
      </c>
      <c r="E460" s="1" t="s">
        <v>16</v>
      </c>
      <c r="F460" s="1" t="s">
        <v>54</v>
      </c>
      <c r="I460" s="1" t="s">
        <v>19</v>
      </c>
      <c r="L460" s="1" t="s">
        <v>1382</v>
      </c>
      <c r="M460" s="1" t="s">
        <v>54</v>
      </c>
      <c r="N460" s="1">
        <v>189</v>
      </c>
      <c r="O460" s="1" t="s">
        <v>1383</v>
      </c>
    </row>
    <row r="461" spans="1:17" x14ac:dyDescent="0.35">
      <c r="A461" s="1" t="s">
        <v>15</v>
      </c>
      <c r="B461" s="1">
        <v>448157</v>
      </c>
      <c r="C461" s="1">
        <v>449002</v>
      </c>
      <c r="E461" s="1" t="s">
        <v>16</v>
      </c>
      <c r="F461" s="1" t="s">
        <v>54</v>
      </c>
      <c r="I461" s="1" t="s">
        <v>19</v>
      </c>
      <c r="L461" s="1" t="s">
        <v>1384</v>
      </c>
      <c r="M461" s="1" t="s">
        <v>54</v>
      </c>
      <c r="N461" s="1">
        <v>281</v>
      </c>
      <c r="O461" s="1" t="s">
        <v>1385</v>
      </c>
    </row>
    <row r="462" spans="1:17" x14ac:dyDescent="0.35">
      <c r="A462" s="1" t="s">
        <v>15</v>
      </c>
      <c r="B462" s="1">
        <v>448995</v>
      </c>
      <c r="C462" s="1">
        <v>451646</v>
      </c>
      <c r="E462" s="1" t="s">
        <v>16</v>
      </c>
      <c r="F462" s="1" t="s">
        <v>1386</v>
      </c>
      <c r="G462" s="1" t="s">
        <v>1387</v>
      </c>
      <c r="I462" s="1" t="s">
        <v>19</v>
      </c>
      <c r="L462" s="1" t="s">
        <v>1388</v>
      </c>
      <c r="M462" s="1" t="s">
        <v>1386</v>
      </c>
      <c r="N462" s="1">
        <v>883</v>
      </c>
      <c r="O462" s="1" t="s">
        <v>1389</v>
      </c>
    </row>
    <row r="463" spans="1:17" x14ac:dyDescent="0.35">
      <c r="A463" s="1" t="s">
        <v>15</v>
      </c>
      <c r="B463" s="1">
        <v>451720</v>
      </c>
      <c r="C463" s="1">
        <v>453666</v>
      </c>
      <c r="E463" s="1" t="s">
        <v>16</v>
      </c>
      <c r="F463" s="1" t="s">
        <v>54</v>
      </c>
      <c r="I463" s="1" t="s">
        <v>19</v>
      </c>
      <c r="L463" s="1" t="s">
        <v>1390</v>
      </c>
      <c r="M463" s="1" t="s">
        <v>54</v>
      </c>
      <c r="N463" s="1">
        <v>648</v>
      </c>
      <c r="O463" s="1" t="s">
        <v>1391</v>
      </c>
    </row>
    <row r="464" spans="1:17" x14ac:dyDescent="0.35">
      <c r="A464" s="1" t="s">
        <v>15</v>
      </c>
      <c r="B464" s="1">
        <v>453987</v>
      </c>
      <c r="C464" s="1">
        <v>454493</v>
      </c>
      <c r="E464" s="1" t="s">
        <v>16</v>
      </c>
      <c r="F464" s="1" t="s">
        <v>54</v>
      </c>
      <c r="I464" s="1" t="s">
        <v>19</v>
      </c>
      <c r="L464" s="1" t="s">
        <v>1392</v>
      </c>
      <c r="M464" s="1" t="s">
        <v>54</v>
      </c>
      <c r="N464" s="1">
        <v>168</v>
      </c>
      <c r="O464" s="1" t="s">
        <v>1393</v>
      </c>
    </row>
    <row r="465" spans="1:17" x14ac:dyDescent="0.35">
      <c r="A465" s="1" t="s">
        <v>15</v>
      </c>
      <c r="B465" s="1">
        <v>454862</v>
      </c>
      <c r="C465" s="1">
        <v>455059</v>
      </c>
      <c r="E465" s="1" t="s">
        <v>16</v>
      </c>
      <c r="F465" s="1" t="s">
        <v>1394</v>
      </c>
      <c r="G465" s="1" t="s">
        <v>1395</v>
      </c>
      <c r="I465" s="1" t="s">
        <v>19</v>
      </c>
      <c r="L465" s="1" t="s">
        <v>1396</v>
      </c>
      <c r="M465" s="1" t="s">
        <v>1394</v>
      </c>
      <c r="N465" s="1">
        <v>65</v>
      </c>
      <c r="O465" s="1" t="s">
        <v>1397</v>
      </c>
    </row>
    <row r="466" spans="1:17" x14ac:dyDescent="0.35">
      <c r="A466" s="1" t="s">
        <v>15</v>
      </c>
      <c r="B466" s="1">
        <v>455092</v>
      </c>
      <c r="C466" s="1">
        <v>455799</v>
      </c>
      <c r="E466" s="1" t="s">
        <v>16</v>
      </c>
      <c r="F466" s="1" t="s">
        <v>1398</v>
      </c>
      <c r="G466" s="1" t="s">
        <v>1399</v>
      </c>
      <c r="I466" s="1" t="s">
        <v>19</v>
      </c>
      <c r="L466" s="1" t="s">
        <v>1400</v>
      </c>
      <c r="M466" s="1" t="s">
        <v>1398</v>
      </c>
      <c r="N466" s="1">
        <v>235</v>
      </c>
      <c r="O466" s="1" t="s">
        <v>1401</v>
      </c>
      <c r="Q466" s="14"/>
    </row>
    <row r="467" spans="1:17" x14ac:dyDescent="0.35">
      <c r="A467" s="1" t="s">
        <v>15</v>
      </c>
      <c r="B467" s="1">
        <v>455820</v>
      </c>
      <c r="C467" s="1">
        <v>456317</v>
      </c>
      <c r="E467" s="1" t="s">
        <v>16</v>
      </c>
      <c r="F467" s="1" t="s">
        <v>1402</v>
      </c>
      <c r="G467" s="1" t="s">
        <v>1403</v>
      </c>
      <c r="I467" s="1" t="s">
        <v>19</v>
      </c>
      <c r="L467" s="1" t="s">
        <v>1404</v>
      </c>
      <c r="M467" s="1" t="s">
        <v>1402</v>
      </c>
      <c r="N467" s="1">
        <v>165</v>
      </c>
      <c r="O467" s="1" t="s">
        <v>1405</v>
      </c>
      <c r="Q467" s="14"/>
    </row>
    <row r="468" spans="1:17" x14ac:dyDescent="0.35">
      <c r="A468" s="1" t="s">
        <v>15</v>
      </c>
      <c r="B468" s="1">
        <v>456317</v>
      </c>
      <c r="C468" s="1">
        <v>456853</v>
      </c>
      <c r="E468" s="1" t="s">
        <v>16</v>
      </c>
      <c r="F468" s="1" t="s">
        <v>1406</v>
      </c>
      <c r="G468" s="1" t="s">
        <v>1407</v>
      </c>
      <c r="I468" s="1" t="s">
        <v>19</v>
      </c>
      <c r="L468" s="1" t="s">
        <v>1408</v>
      </c>
      <c r="M468" s="1" t="s">
        <v>1406</v>
      </c>
      <c r="N468" s="1">
        <v>178</v>
      </c>
      <c r="O468" s="1" t="s">
        <v>1409</v>
      </c>
      <c r="Q468" s="14"/>
    </row>
    <row r="469" spans="1:17" x14ac:dyDescent="0.35">
      <c r="A469" s="1" t="s">
        <v>15</v>
      </c>
      <c r="B469" s="1">
        <v>456869</v>
      </c>
      <c r="C469" s="1">
        <v>458374</v>
      </c>
      <c r="E469" s="1" t="s">
        <v>16</v>
      </c>
      <c r="F469" s="1" t="s">
        <v>1410</v>
      </c>
      <c r="G469" s="1" t="s">
        <v>1411</v>
      </c>
      <c r="I469" s="1" t="s">
        <v>19</v>
      </c>
      <c r="L469" s="1" t="s">
        <v>1412</v>
      </c>
      <c r="M469" s="1" t="s">
        <v>1410</v>
      </c>
      <c r="N469" s="1">
        <v>501</v>
      </c>
      <c r="O469" s="1" t="s">
        <v>1413</v>
      </c>
      <c r="Q469" s="14"/>
    </row>
    <row r="470" spans="1:17" x14ac:dyDescent="0.35">
      <c r="A470" s="1" t="s">
        <v>15</v>
      </c>
      <c r="B470" s="1">
        <v>458393</v>
      </c>
      <c r="C470" s="1">
        <v>459271</v>
      </c>
      <c r="E470" s="1" t="s">
        <v>16</v>
      </c>
      <c r="F470" s="1" t="s">
        <v>1414</v>
      </c>
      <c r="G470" s="1" t="s">
        <v>1415</v>
      </c>
      <c r="I470" s="1" t="s">
        <v>19</v>
      </c>
      <c r="L470" s="1" t="s">
        <v>1416</v>
      </c>
      <c r="M470" s="1" t="s">
        <v>1414</v>
      </c>
      <c r="N470" s="1">
        <v>292</v>
      </c>
      <c r="O470" s="1" t="s">
        <v>1417</v>
      </c>
      <c r="Q470" s="14"/>
    </row>
    <row r="471" spans="1:17" x14ac:dyDescent="0.35">
      <c r="A471" s="1" t="s">
        <v>15</v>
      </c>
      <c r="B471" s="1">
        <v>459348</v>
      </c>
      <c r="C471" s="1">
        <v>460754</v>
      </c>
      <c r="E471" s="1" t="s">
        <v>16</v>
      </c>
      <c r="F471" s="1" t="s">
        <v>1418</v>
      </c>
      <c r="G471" s="1" t="s">
        <v>1419</v>
      </c>
      <c r="I471" s="1" t="s">
        <v>19</v>
      </c>
      <c r="L471" s="1" t="s">
        <v>1420</v>
      </c>
      <c r="M471" s="1" t="s">
        <v>1418</v>
      </c>
      <c r="N471" s="1">
        <v>468</v>
      </c>
      <c r="O471" s="1" t="s">
        <v>1421</v>
      </c>
      <c r="Q471" s="14"/>
    </row>
    <row r="472" spans="1:17" x14ac:dyDescent="0.35">
      <c r="A472" s="1" t="s">
        <v>15</v>
      </c>
      <c r="B472" s="1">
        <v>460767</v>
      </c>
      <c r="C472" s="1">
        <v>461183</v>
      </c>
      <c r="E472" s="1" t="s">
        <v>16</v>
      </c>
      <c r="F472" s="1" t="s">
        <v>1422</v>
      </c>
      <c r="G472" s="1" t="s">
        <v>1423</v>
      </c>
      <c r="I472" s="1" t="s">
        <v>19</v>
      </c>
      <c r="L472" s="1" t="s">
        <v>1424</v>
      </c>
      <c r="M472" s="1" t="s">
        <v>1422</v>
      </c>
      <c r="N472" s="1">
        <v>138</v>
      </c>
      <c r="O472" s="1" t="s">
        <v>1425</v>
      </c>
      <c r="Q472" s="14"/>
    </row>
    <row r="473" spans="1:17" x14ac:dyDescent="0.35">
      <c r="A473" s="1" t="s">
        <v>15</v>
      </c>
      <c r="B473" s="1">
        <v>461442</v>
      </c>
      <c r="C473" s="1">
        <v>462722</v>
      </c>
      <c r="E473" s="1" t="s">
        <v>16</v>
      </c>
      <c r="F473" s="1" t="s">
        <v>66</v>
      </c>
      <c r="G473" s="1" t="s">
        <v>1426</v>
      </c>
      <c r="I473" s="1" t="s">
        <v>19</v>
      </c>
      <c r="L473" s="1" t="s">
        <v>1427</v>
      </c>
      <c r="M473" s="1" t="s">
        <v>66</v>
      </c>
      <c r="N473" s="1">
        <v>426</v>
      </c>
      <c r="O473" s="1" t="s">
        <v>1428</v>
      </c>
    </row>
    <row r="474" spans="1:17" x14ac:dyDescent="0.35">
      <c r="A474" s="1" t="s">
        <v>15</v>
      </c>
      <c r="B474" s="1">
        <v>462960</v>
      </c>
      <c r="C474" s="1">
        <v>464156</v>
      </c>
      <c r="E474" s="1" t="s">
        <v>16</v>
      </c>
      <c r="F474" s="1" t="s">
        <v>1429</v>
      </c>
      <c r="G474" s="1" t="s">
        <v>1430</v>
      </c>
      <c r="I474" s="1" t="s">
        <v>19</v>
      </c>
      <c r="L474" s="1" t="s">
        <v>1431</v>
      </c>
      <c r="M474" s="1" t="s">
        <v>1429</v>
      </c>
      <c r="N474" s="1">
        <v>398</v>
      </c>
      <c r="O474" s="1" t="s">
        <v>1432</v>
      </c>
    </row>
    <row r="475" spans="1:17" x14ac:dyDescent="0.35">
      <c r="A475" s="1" t="s">
        <v>15</v>
      </c>
      <c r="B475" s="1">
        <v>464411</v>
      </c>
      <c r="C475" s="1">
        <v>465169</v>
      </c>
      <c r="E475" s="1" t="s">
        <v>16</v>
      </c>
      <c r="F475" s="1" t="s">
        <v>1433</v>
      </c>
      <c r="G475" s="1" t="s">
        <v>1434</v>
      </c>
      <c r="I475" s="1" t="s">
        <v>19</v>
      </c>
      <c r="L475" s="1" t="s">
        <v>1435</v>
      </c>
      <c r="M475" s="1" t="s">
        <v>1433</v>
      </c>
      <c r="N475" s="1">
        <v>252</v>
      </c>
      <c r="O475" s="1" t="s">
        <v>1436</v>
      </c>
      <c r="Q475" s="14"/>
    </row>
    <row r="476" spans="1:17" x14ac:dyDescent="0.35">
      <c r="A476" s="1" t="s">
        <v>15</v>
      </c>
      <c r="B476" s="1">
        <v>465435</v>
      </c>
      <c r="C476" s="1">
        <v>467420</v>
      </c>
      <c r="E476" s="1" t="s">
        <v>16</v>
      </c>
      <c r="F476" s="1" t="s">
        <v>1437</v>
      </c>
      <c r="G476" s="1" t="s">
        <v>1438</v>
      </c>
      <c r="I476" s="1" t="s">
        <v>19</v>
      </c>
      <c r="L476" s="1" t="s">
        <v>1439</v>
      </c>
      <c r="M476" s="1" t="s">
        <v>1437</v>
      </c>
      <c r="N476" s="1">
        <v>661</v>
      </c>
      <c r="O476" s="1" t="s">
        <v>1440</v>
      </c>
      <c r="Q476" s="14"/>
    </row>
    <row r="477" spans="1:17" x14ac:dyDescent="0.35">
      <c r="A477" s="1" t="s">
        <v>15</v>
      </c>
      <c r="B477" s="1">
        <v>467514</v>
      </c>
      <c r="C477" s="1">
        <v>467586</v>
      </c>
      <c r="E477" s="1" t="s">
        <v>16</v>
      </c>
      <c r="F477" s="1" t="s">
        <v>91</v>
      </c>
      <c r="I477" s="1" t="s">
        <v>75</v>
      </c>
      <c r="O477" s="1" t="s">
        <v>1441</v>
      </c>
    </row>
    <row r="478" spans="1:17" x14ac:dyDescent="0.35">
      <c r="A478" s="1" t="s">
        <v>15</v>
      </c>
      <c r="B478" s="1">
        <v>467710</v>
      </c>
      <c r="C478" s="1">
        <v>468339</v>
      </c>
      <c r="E478" s="1" t="s">
        <v>16</v>
      </c>
      <c r="F478" s="1" t="s">
        <v>1442</v>
      </c>
      <c r="G478" s="1" t="s">
        <v>1443</v>
      </c>
      <c r="I478" s="1" t="s">
        <v>19</v>
      </c>
      <c r="L478" s="1" t="s">
        <v>1444</v>
      </c>
      <c r="M478" s="1" t="s">
        <v>1442</v>
      </c>
      <c r="N478" s="1">
        <v>209</v>
      </c>
      <c r="O478" s="1" t="s">
        <v>1445</v>
      </c>
      <c r="Q478" s="14"/>
    </row>
    <row r="479" spans="1:17" x14ac:dyDescent="0.35">
      <c r="A479" s="1" t="s">
        <v>15</v>
      </c>
      <c r="B479" s="1">
        <v>468348</v>
      </c>
      <c r="C479" s="1">
        <v>469223</v>
      </c>
      <c r="E479" s="1" t="s">
        <v>16</v>
      </c>
      <c r="F479" s="1" t="s">
        <v>1446</v>
      </c>
      <c r="G479" s="1" t="s">
        <v>1447</v>
      </c>
      <c r="I479" s="1" t="s">
        <v>19</v>
      </c>
      <c r="L479" s="1" t="s">
        <v>1448</v>
      </c>
      <c r="M479" s="1" t="s">
        <v>1446</v>
      </c>
      <c r="N479" s="1">
        <v>291</v>
      </c>
      <c r="O479" s="1" t="s">
        <v>1449</v>
      </c>
      <c r="Q479" s="14"/>
    </row>
    <row r="480" spans="1:17" x14ac:dyDescent="0.35">
      <c r="A480" s="1" t="s">
        <v>15</v>
      </c>
      <c r="B480" s="1">
        <v>469220</v>
      </c>
      <c r="C480" s="1">
        <v>470026</v>
      </c>
      <c r="E480" s="1" t="s">
        <v>16</v>
      </c>
      <c r="F480" s="1" t="s">
        <v>1450</v>
      </c>
      <c r="I480" s="1" t="s">
        <v>19</v>
      </c>
      <c r="L480" s="1" t="s">
        <v>1451</v>
      </c>
      <c r="M480" s="1" t="s">
        <v>1450</v>
      </c>
      <c r="N480" s="1">
        <v>268</v>
      </c>
      <c r="O480" s="1" t="s">
        <v>1452</v>
      </c>
      <c r="Q480" s="14"/>
    </row>
    <row r="481" spans="1:17" x14ac:dyDescent="0.35">
      <c r="A481" s="1" t="s">
        <v>15</v>
      </c>
      <c r="B481" s="1">
        <v>470013</v>
      </c>
      <c r="C481" s="1">
        <v>470333</v>
      </c>
      <c r="E481" s="1" t="s">
        <v>16</v>
      </c>
      <c r="F481" s="1" t="s">
        <v>1453</v>
      </c>
      <c r="I481" s="1" t="s">
        <v>19</v>
      </c>
      <c r="L481" s="1" t="s">
        <v>1454</v>
      </c>
      <c r="M481" s="1" t="s">
        <v>1453</v>
      </c>
      <c r="N481" s="1">
        <v>106</v>
      </c>
      <c r="O481" s="1" t="s">
        <v>1455</v>
      </c>
    </row>
    <row r="482" spans="1:17" x14ac:dyDescent="0.35">
      <c r="A482" s="1" t="s">
        <v>15</v>
      </c>
      <c r="B482" s="1">
        <v>470336</v>
      </c>
      <c r="C482" s="1">
        <v>471202</v>
      </c>
      <c r="E482" s="1" t="s">
        <v>16</v>
      </c>
      <c r="F482" s="1" t="s">
        <v>799</v>
      </c>
      <c r="I482" s="1" t="s">
        <v>19</v>
      </c>
      <c r="L482" s="1" t="s">
        <v>1456</v>
      </c>
      <c r="M482" s="1" t="s">
        <v>799</v>
      </c>
      <c r="N482" s="1">
        <v>288</v>
      </c>
      <c r="O482" s="1" t="s">
        <v>1457</v>
      </c>
      <c r="Q482" s="14"/>
    </row>
    <row r="483" spans="1:17" x14ac:dyDescent="0.35">
      <c r="A483" s="1" t="s">
        <v>15</v>
      </c>
      <c r="B483" s="1">
        <v>471340</v>
      </c>
      <c r="C483" s="1">
        <v>472575</v>
      </c>
      <c r="E483" s="1" t="s">
        <v>16</v>
      </c>
      <c r="F483" s="1" t="s">
        <v>1458</v>
      </c>
      <c r="I483" s="1" t="s">
        <v>19</v>
      </c>
      <c r="L483" s="1" t="s">
        <v>1459</v>
      </c>
      <c r="M483" s="1" t="s">
        <v>1458</v>
      </c>
      <c r="N483" s="1">
        <v>411</v>
      </c>
      <c r="O483" s="1" t="s">
        <v>1460</v>
      </c>
    </row>
    <row r="484" spans="1:17" x14ac:dyDescent="0.35">
      <c r="A484" s="1" t="s">
        <v>15</v>
      </c>
      <c r="B484" s="1">
        <v>472586</v>
      </c>
      <c r="C484" s="1">
        <v>472927</v>
      </c>
      <c r="E484" s="1" t="s">
        <v>16</v>
      </c>
      <c r="F484" s="1" t="s">
        <v>1461</v>
      </c>
      <c r="G484" s="1" t="s">
        <v>1462</v>
      </c>
      <c r="I484" s="1" t="s">
        <v>19</v>
      </c>
      <c r="L484" s="1" t="s">
        <v>1463</v>
      </c>
      <c r="M484" s="1" t="s">
        <v>1461</v>
      </c>
      <c r="N484" s="1">
        <v>113</v>
      </c>
      <c r="O484" s="1" t="s">
        <v>1464</v>
      </c>
    </row>
    <row r="485" spans="1:17" x14ac:dyDescent="0.35">
      <c r="A485" s="1" t="s">
        <v>15</v>
      </c>
      <c r="B485" s="1">
        <v>473018</v>
      </c>
      <c r="C485" s="1">
        <v>473674</v>
      </c>
      <c r="E485" s="1" t="s">
        <v>16</v>
      </c>
      <c r="F485" s="1" t="s">
        <v>1465</v>
      </c>
      <c r="I485" s="1" t="s">
        <v>19</v>
      </c>
      <c r="L485" s="1" t="s">
        <v>1466</v>
      </c>
      <c r="M485" s="1" t="s">
        <v>1465</v>
      </c>
      <c r="N485" s="1">
        <v>218</v>
      </c>
      <c r="O485" s="1" t="s">
        <v>1467</v>
      </c>
    </row>
    <row r="486" spans="1:17" x14ac:dyDescent="0.35">
      <c r="A486" s="1" t="s">
        <v>15</v>
      </c>
      <c r="B486" s="1">
        <v>473692</v>
      </c>
      <c r="C486" s="1">
        <v>474513</v>
      </c>
      <c r="E486" s="1" t="s">
        <v>16</v>
      </c>
      <c r="F486" s="1" t="s">
        <v>672</v>
      </c>
      <c r="I486" s="1" t="s">
        <v>19</v>
      </c>
      <c r="L486" s="1" t="s">
        <v>1468</v>
      </c>
      <c r="M486" s="1" t="s">
        <v>672</v>
      </c>
      <c r="N486" s="1">
        <v>273</v>
      </c>
      <c r="O486" s="1" t="s">
        <v>1469</v>
      </c>
      <c r="Q486" s="14"/>
    </row>
    <row r="487" spans="1:17" x14ac:dyDescent="0.35">
      <c r="A487" s="1" t="s">
        <v>15</v>
      </c>
      <c r="B487" s="1">
        <v>474532</v>
      </c>
      <c r="C487" s="1">
        <v>475038</v>
      </c>
      <c r="E487" s="1" t="s">
        <v>178</v>
      </c>
      <c r="F487" s="1" t="s">
        <v>54</v>
      </c>
      <c r="I487" s="1" t="s">
        <v>19</v>
      </c>
      <c r="L487" s="1" t="s">
        <v>1470</v>
      </c>
      <c r="M487" s="1" t="s">
        <v>54</v>
      </c>
      <c r="N487" s="1">
        <v>168</v>
      </c>
      <c r="O487" s="1" t="s">
        <v>1471</v>
      </c>
    </row>
    <row r="488" spans="1:17" x14ac:dyDescent="0.35">
      <c r="A488" s="1" t="s">
        <v>15</v>
      </c>
      <c r="B488" s="1">
        <v>475263</v>
      </c>
      <c r="C488" s="1">
        <v>476339</v>
      </c>
      <c r="E488" s="1" t="s">
        <v>16</v>
      </c>
      <c r="F488" s="1" t="s">
        <v>54</v>
      </c>
      <c r="I488" s="1" t="s">
        <v>19</v>
      </c>
      <c r="L488" s="1" t="s">
        <v>1472</v>
      </c>
      <c r="M488" s="1" t="s">
        <v>54</v>
      </c>
      <c r="N488" s="1">
        <v>358</v>
      </c>
      <c r="O488" s="1" t="s">
        <v>1473</v>
      </c>
    </row>
    <row r="489" spans="1:17" x14ac:dyDescent="0.35">
      <c r="A489" s="1" t="s">
        <v>15</v>
      </c>
      <c r="B489" s="1">
        <v>476477</v>
      </c>
      <c r="C489" s="1">
        <v>478108</v>
      </c>
      <c r="E489" s="1" t="s">
        <v>16</v>
      </c>
      <c r="F489" s="1" t="s">
        <v>1474</v>
      </c>
      <c r="G489" s="1" t="s">
        <v>1475</v>
      </c>
      <c r="I489" s="1" t="s">
        <v>19</v>
      </c>
      <c r="L489" s="1" t="s">
        <v>1476</v>
      </c>
      <c r="M489" s="1" t="s">
        <v>1474</v>
      </c>
      <c r="N489" s="1">
        <v>543</v>
      </c>
      <c r="O489" s="1" t="s">
        <v>1477</v>
      </c>
      <c r="Q489" s="14"/>
    </row>
    <row r="490" spans="1:17" x14ac:dyDescent="0.35">
      <c r="A490" s="1" t="s">
        <v>15</v>
      </c>
      <c r="B490" s="1">
        <v>478193</v>
      </c>
      <c r="C490" s="1">
        <v>479341</v>
      </c>
      <c r="E490" s="1" t="s">
        <v>16</v>
      </c>
      <c r="F490" s="1" t="s">
        <v>1478</v>
      </c>
      <c r="G490" s="1" t="s">
        <v>1479</v>
      </c>
      <c r="I490" s="1" t="s">
        <v>19</v>
      </c>
      <c r="L490" s="1" t="s">
        <v>1480</v>
      </c>
      <c r="M490" s="1" t="s">
        <v>1478</v>
      </c>
      <c r="N490" s="1">
        <v>382</v>
      </c>
      <c r="O490" s="1" t="s">
        <v>1481</v>
      </c>
      <c r="Q490" s="14"/>
    </row>
    <row r="491" spans="1:17" x14ac:dyDescent="0.35">
      <c r="A491" s="1" t="s">
        <v>15</v>
      </c>
      <c r="B491" s="1">
        <v>479447</v>
      </c>
      <c r="C491" s="1">
        <v>480691</v>
      </c>
      <c r="E491" s="1" t="s">
        <v>16</v>
      </c>
      <c r="F491" s="1" t="s">
        <v>1482</v>
      </c>
      <c r="I491" s="1" t="s">
        <v>19</v>
      </c>
      <c r="L491" s="1" t="s">
        <v>1483</v>
      </c>
      <c r="M491" s="1" t="s">
        <v>1482</v>
      </c>
      <c r="N491" s="1">
        <v>414</v>
      </c>
      <c r="O491" s="1" t="s">
        <v>1484</v>
      </c>
    </row>
    <row r="492" spans="1:17" x14ac:dyDescent="0.35">
      <c r="A492" s="1" t="s">
        <v>15</v>
      </c>
      <c r="B492" s="1">
        <v>481319</v>
      </c>
      <c r="C492" s="1">
        <v>482236</v>
      </c>
      <c r="E492" s="1" t="s">
        <v>16</v>
      </c>
      <c r="F492" s="1" t="s">
        <v>1485</v>
      </c>
      <c r="G492" s="1" t="s">
        <v>1486</v>
      </c>
      <c r="I492" s="1" t="s">
        <v>19</v>
      </c>
      <c r="L492" s="1" t="s">
        <v>1487</v>
      </c>
      <c r="M492" s="1" t="s">
        <v>1485</v>
      </c>
      <c r="N492" s="1">
        <v>305</v>
      </c>
      <c r="O492" s="1" t="s">
        <v>1488</v>
      </c>
      <c r="Q492" s="14"/>
    </row>
    <row r="493" spans="1:17" x14ac:dyDescent="0.35">
      <c r="A493" s="1" t="s">
        <v>15</v>
      </c>
      <c r="B493" s="1">
        <v>482520</v>
      </c>
      <c r="C493" s="1">
        <v>484556</v>
      </c>
      <c r="E493" s="1" t="s">
        <v>16</v>
      </c>
      <c r="F493" s="1" t="s">
        <v>1489</v>
      </c>
      <c r="G493" s="1" t="s">
        <v>1490</v>
      </c>
      <c r="I493" s="1" t="s">
        <v>19</v>
      </c>
      <c r="L493" s="1" t="s">
        <v>1491</v>
      </c>
      <c r="M493" s="1" t="s">
        <v>1489</v>
      </c>
      <c r="N493" s="1">
        <v>678</v>
      </c>
      <c r="O493" s="1" t="s">
        <v>1492</v>
      </c>
      <c r="Q493" s="14"/>
    </row>
    <row r="494" spans="1:17" x14ac:dyDescent="0.35">
      <c r="A494" s="1" t="s">
        <v>15</v>
      </c>
      <c r="B494" s="1">
        <v>484590</v>
      </c>
      <c r="C494" s="1">
        <v>484847</v>
      </c>
      <c r="E494" s="1" t="s">
        <v>16</v>
      </c>
      <c r="F494" s="1" t="s">
        <v>1493</v>
      </c>
      <c r="I494" s="1" t="s">
        <v>19</v>
      </c>
      <c r="L494" s="1" t="s">
        <v>1494</v>
      </c>
      <c r="M494" s="1" t="s">
        <v>1493</v>
      </c>
      <c r="N494" s="1">
        <v>85</v>
      </c>
      <c r="O494" s="1" t="s">
        <v>1495</v>
      </c>
    </row>
    <row r="495" spans="1:17" x14ac:dyDescent="0.35">
      <c r="A495" s="1" t="s">
        <v>15</v>
      </c>
      <c r="B495" s="1">
        <v>485017</v>
      </c>
      <c r="C495" s="1">
        <v>486408</v>
      </c>
      <c r="E495" s="1" t="s">
        <v>16</v>
      </c>
      <c r="F495" s="1" t="s">
        <v>1496</v>
      </c>
      <c r="G495" s="1" t="s">
        <v>1497</v>
      </c>
      <c r="I495" s="1" t="s">
        <v>19</v>
      </c>
      <c r="L495" s="1" t="s">
        <v>1498</v>
      </c>
      <c r="M495" s="1" t="s">
        <v>1496</v>
      </c>
      <c r="N495" s="1">
        <v>463</v>
      </c>
      <c r="O495" s="1" t="s">
        <v>1499</v>
      </c>
    </row>
    <row r="496" spans="1:17" x14ac:dyDescent="0.35">
      <c r="A496" s="1" t="s">
        <v>15</v>
      </c>
      <c r="B496" s="1">
        <v>486478</v>
      </c>
      <c r="C496" s="1">
        <v>487113</v>
      </c>
      <c r="E496" s="1" t="s">
        <v>178</v>
      </c>
      <c r="F496" s="1" t="s">
        <v>1500</v>
      </c>
      <c r="I496" s="1" t="s">
        <v>19</v>
      </c>
      <c r="L496" s="1" t="s">
        <v>1501</v>
      </c>
      <c r="M496" s="1" t="s">
        <v>1500</v>
      </c>
      <c r="N496" s="1">
        <v>211</v>
      </c>
      <c r="O496" s="1" t="s">
        <v>1502</v>
      </c>
    </row>
    <row r="497" spans="1:17" x14ac:dyDescent="0.35">
      <c r="A497" s="1" t="s">
        <v>15</v>
      </c>
      <c r="B497" s="1">
        <v>487420</v>
      </c>
      <c r="C497" s="1">
        <v>489321</v>
      </c>
      <c r="E497" s="1" t="s">
        <v>16</v>
      </c>
      <c r="F497" s="1" t="s">
        <v>1503</v>
      </c>
      <c r="G497" s="1" t="s">
        <v>1504</v>
      </c>
      <c r="I497" s="1" t="s">
        <v>19</v>
      </c>
      <c r="L497" s="1" t="s">
        <v>1505</v>
      </c>
      <c r="M497" s="1" t="s">
        <v>1503</v>
      </c>
      <c r="N497" s="1">
        <v>633</v>
      </c>
      <c r="O497" s="1" t="s">
        <v>1506</v>
      </c>
      <c r="Q497" s="14"/>
    </row>
    <row r="498" spans="1:17" x14ac:dyDescent="0.35">
      <c r="A498" s="1" t="s">
        <v>15</v>
      </c>
      <c r="B498" s="1">
        <v>489357</v>
      </c>
      <c r="C498" s="1">
        <v>490115</v>
      </c>
      <c r="E498" s="1" t="s">
        <v>178</v>
      </c>
      <c r="F498" s="1" t="s">
        <v>1507</v>
      </c>
      <c r="G498" s="1" t="s">
        <v>1508</v>
      </c>
      <c r="I498" s="1" t="s">
        <v>19</v>
      </c>
      <c r="L498" s="1" t="s">
        <v>1509</v>
      </c>
      <c r="M498" s="1" t="s">
        <v>1507</v>
      </c>
      <c r="N498" s="1">
        <v>252</v>
      </c>
      <c r="O498" s="1" t="s">
        <v>1510</v>
      </c>
      <c r="Q498" s="14"/>
    </row>
    <row r="499" spans="1:17" x14ac:dyDescent="0.35">
      <c r="A499" s="1" t="s">
        <v>15</v>
      </c>
      <c r="B499" s="1">
        <v>490403</v>
      </c>
      <c r="C499" s="1">
        <v>491770</v>
      </c>
      <c r="E499" s="1" t="s">
        <v>16</v>
      </c>
      <c r="F499" s="1" t="s">
        <v>54</v>
      </c>
      <c r="I499" s="1" t="s">
        <v>19</v>
      </c>
      <c r="L499" s="1" t="s">
        <v>1511</v>
      </c>
      <c r="M499" s="1" t="s">
        <v>54</v>
      </c>
      <c r="N499" s="1">
        <v>455</v>
      </c>
      <c r="O499" s="1" t="s">
        <v>1512</v>
      </c>
    </row>
    <row r="500" spans="1:17" x14ac:dyDescent="0.35">
      <c r="A500" s="1" t="s">
        <v>15</v>
      </c>
      <c r="B500" s="1">
        <v>491826</v>
      </c>
      <c r="C500" s="1">
        <v>492611</v>
      </c>
      <c r="E500" s="1" t="s">
        <v>16</v>
      </c>
      <c r="F500" s="1" t="s">
        <v>54</v>
      </c>
      <c r="I500" s="1" t="s">
        <v>19</v>
      </c>
      <c r="L500" s="1" t="s">
        <v>1513</v>
      </c>
      <c r="M500" s="1" t="s">
        <v>54</v>
      </c>
      <c r="N500" s="1">
        <v>261</v>
      </c>
      <c r="O500" s="1" t="s">
        <v>1514</v>
      </c>
    </row>
    <row r="501" spans="1:17" x14ac:dyDescent="0.35">
      <c r="A501" s="1" t="s">
        <v>15</v>
      </c>
      <c r="B501" s="1">
        <v>493267</v>
      </c>
      <c r="C501" s="1">
        <v>493734</v>
      </c>
      <c r="E501" s="1" t="s">
        <v>16</v>
      </c>
      <c r="F501" s="1" t="s">
        <v>391</v>
      </c>
      <c r="I501" s="1" t="s">
        <v>19</v>
      </c>
      <c r="L501" s="1" t="s">
        <v>1515</v>
      </c>
      <c r="M501" s="1" t="s">
        <v>391</v>
      </c>
      <c r="N501" s="1">
        <v>155</v>
      </c>
      <c r="O501" s="1" t="s">
        <v>1516</v>
      </c>
    </row>
    <row r="502" spans="1:17" x14ac:dyDescent="0.35">
      <c r="A502" s="1" t="s">
        <v>15</v>
      </c>
      <c r="B502" s="1">
        <v>493982</v>
      </c>
      <c r="C502" s="1">
        <v>495220</v>
      </c>
      <c r="E502" s="1" t="s">
        <v>16</v>
      </c>
      <c r="F502" s="1" t="s">
        <v>54</v>
      </c>
      <c r="I502" s="1" t="s">
        <v>19</v>
      </c>
      <c r="L502" s="1" t="s">
        <v>1517</v>
      </c>
      <c r="M502" s="1" t="s">
        <v>54</v>
      </c>
      <c r="N502" s="1">
        <v>412</v>
      </c>
      <c r="O502" s="1" t="s">
        <v>1518</v>
      </c>
    </row>
    <row r="503" spans="1:17" x14ac:dyDescent="0.35">
      <c r="A503" s="1" t="s">
        <v>15</v>
      </c>
      <c r="B503" s="1">
        <v>495336</v>
      </c>
      <c r="C503" s="1">
        <v>496241</v>
      </c>
      <c r="E503" s="1" t="s">
        <v>16</v>
      </c>
      <c r="F503" s="1" t="s">
        <v>1302</v>
      </c>
      <c r="G503" s="1" t="s">
        <v>1519</v>
      </c>
      <c r="I503" s="1" t="s">
        <v>19</v>
      </c>
      <c r="L503" s="1" t="s">
        <v>1520</v>
      </c>
      <c r="M503" s="1" t="s">
        <v>1302</v>
      </c>
      <c r="N503" s="1">
        <v>301</v>
      </c>
      <c r="O503" s="1" t="s">
        <v>1521</v>
      </c>
    </row>
    <row r="504" spans="1:17" x14ac:dyDescent="0.35">
      <c r="A504" s="1" t="s">
        <v>15</v>
      </c>
      <c r="B504" s="1">
        <v>496250</v>
      </c>
      <c r="C504" s="1">
        <v>496711</v>
      </c>
      <c r="E504" s="1" t="s">
        <v>16</v>
      </c>
      <c r="F504" s="1" t="s">
        <v>1522</v>
      </c>
      <c r="G504" s="1" t="s">
        <v>1523</v>
      </c>
      <c r="I504" s="1" t="s">
        <v>19</v>
      </c>
      <c r="L504" s="1" t="s">
        <v>1524</v>
      </c>
      <c r="M504" s="1" t="s">
        <v>1522</v>
      </c>
      <c r="N504" s="1">
        <v>153</v>
      </c>
      <c r="O504" s="1" t="s">
        <v>1525</v>
      </c>
      <c r="Q504" s="14"/>
    </row>
    <row r="505" spans="1:17" x14ac:dyDescent="0.35">
      <c r="A505" s="1" t="s">
        <v>15</v>
      </c>
      <c r="B505" s="1">
        <v>496695</v>
      </c>
      <c r="C505" s="1">
        <v>497585</v>
      </c>
      <c r="E505" s="1" t="s">
        <v>16</v>
      </c>
      <c r="F505" s="1" t="s">
        <v>826</v>
      </c>
      <c r="G505" s="1" t="s">
        <v>1526</v>
      </c>
      <c r="I505" s="1" t="s">
        <v>19</v>
      </c>
      <c r="L505" s="1" t="s">
        <v>1527</v>
      </c>
      <c r="M505" s="1" t="s">
        <v>826</v>
      </c>
      <c r="N505" s="1">
        <v>296</v>
      </c>
      <c r="O505" s="1" t="s">
        <v>1528</v>
      </c>
      <c r="Q505" s="14"/>
    </row>
    <row r="506" spans="1:17" x14ac:dyDescent="0.35">
      <c r="A506" s="1" t="s">
        <v>15</v>
      </c>
      <c r="B506" s="1">
        <v>497806</v>
      </c>
      <c r="C506" s="1">
        <v>498327</v>
      </c>
      <c r="E506" s="1" t="s">
        <v>16</v>
      </c>
      <c r="F506" s="1" t="s">
        <v>1529</v>
      </c>
      <c r="G506" s="1" t="s">
        <v>1530</v>
      </c>
      <c r="I506" s="1" t="s">
        <v>19</v>
      </c>
      <c r="L506" s="1" t="s">
        <v>1531</v>
      </c>
      <c r="M506" s="1" t="s">
        <v>1529</v>
      </c>
      <c r="N506" s="1">
        <v>173</v>
      </c>
      <c r="O506" s="1" t="s">
        <v>1532</v>
      </c>
    </row>
    <row r="507" spans="1:17" x14ac:dyDescent="0.35">
      <c r="A507" s="1" t="s">
        <v>15</v>
      </c>
      <c r="B507" s="1">
        <v>498633</v>
      </c>
      <c r="C507" s="1">
        <v>499910</v>
      </c>
      <c r="E507" s="1" t="s">
        <v>16</v>
      </c>
      <c r="F507" s="1" t="s">
        <v>1533</v>
      </c>
      <c r="G507" s="1" t="s">
        <v>1534</v>
      </c>
      <c r="I507" s="1" t="s">
        <v>19</v>
      </c>
      <c r="L507" s="1" t="s">
        <v>1535</v>
      </c>
      <c r="M507" s="1" t="s">
        <v>1533</v>
      </c>
      <c r="N507" s="1">
        <v>425</v>
      </c>
      <c r="O507" s="1" t="s">
        <v>1536</v>
      </c>
    </row>
    <row r="508" spans="1:17" x14ac:dyDescent="0.35">
      <c r="A508" s="1" t="s">
        <v>15</v>
      </c>
      <c r="B508" s="1">
        <v>499935</v>
      </c>
      <c r="C508" s="1">
        <v>500861</v>
      </c>
      <c r="E508" s="1" t="s">
        <v>16</v>
      </c>
      <c r="F508" s="1" t="s">
        <v>1537</v>
      </c>
      <c r="G508" s="1" t="s">
        <v>1538</v>
      </c>
      <c r="I508" s="1" t="s">
        <v>19</v>
      </c>
      <c r="L508" s="1" t="s">
        <v>1539</v>
      </c>
      <c r="M508" s="1" t="s">
        <v>1537</v>
      </c>
      <c r="N508" s="1">
        <v>308</v>
      </c>
      <c r="O508" s="1" t="s">
        <v>1540</v>
      </c>
      <c r="Q508" s="14"/>
    </row>
    <row r="509" spans="1:17" x14ac:dyDescent="0.35">
      <c r="A509" s="1" t="s">
        <v>15</v>
      </c>
      <c r="B509" s="1">
        <v>501026</v>
      </c>
      <c r="C509" s="1">
        <v>502114</v>
      </c>
      <c r="E509" s="1" t="s">
        <v>16</v>
      </c>
      <c r="F509" s="1" t="s">
        <v>1541</v>
      </c>
      <c r="G509" s="1" t="s">
        <v>1542</v>
      </c>
      <c r="I509" s="1" t="s">
        <v>19</v>
      </c>
      <c r="L509" s="1" t="s">
        <v>1543</v>
      </c>
      <c r="M509" s="1" t="s">
        <v>1541</v>
      </c>
      <c r="N509" s="1">
        <v>362</v>
      </c>
      <c r="O509" s="1" t="s">
        <v>1544</v>
      </c>
      <c r="Q509" s="14"/>
    </row>
    <row r="510" spans="1:17" x14ac:dyDescent="0.35">
      <c r="A510" s="1" t="s">
        <v>15</v>
      </c>
      <c r="B510" s="1">
        <v>502345</v>
      </c>
      <c r="C510" s="1">
        <v>505524</v>
      </c>
      <c r="E510" s="1" t="s">
        <v>16</v>
      </c>
      <c r="F510" s="1" t="s">
        <v>1545</v>
      </c>
      <c r="G510" s="1" t="s">
        <v>1546</v>
      </c>
      <c r="I510" s="1" t="s">
        <v>19</v>
      </c>
      <c r="L510" s="1" t="s">
        <v>1547</v>
      </c>
      <c r="M510" s="1" t="s">
        <v>1545</v>
      </c>
      <c r="N510" s="1">
        <v>1059</v>
      </c>
      <c r="O510" s="1" t="s">
        <v>1548</v>
      </c>
      <c r="Q510" s="14"/>
    </row>
    <row r="511" spans="1:17" x14ac:dyDescent="0.35">
      <c r="A511" s="1" t="s">
        <v>15</v>
      </c>
      <c r="B511" s="1">
        <v>505891</v>
      </c>
      <c r="C511" s="1">
        <v>506646</v>
      </c>
      <c r="E511" s="1" t="s">
        <v>16</v>
      </c>
      <c r="F511" s="1" t="s">
        <v>54</v>
      </c>
      <c r="I511" s="1" t="s">
        <v>19</v>
      </c>
      <c r="L511" s="1" t="s">
        <v>1549</v>
      </c>
      <c r="M511" s="1" t="s">
        <v>54</v>
      </c>
      <c r="N511" s="1">
        <v>251</v>
      </c>
      <c r="O511" s="1" t="s">
        <v>1550</v>
      </c>
    </row>
    <row r="512" spans="1:17" x14ac:dyDescent="0.35">
      <c r="A512" s="1" t="s">
        <v>15</v>
      </c>
      <c r="B512" s="1">
        <v>506709</v>
      </c>
      <c r="C512" s="1">
        <v>507962</v>
      </c>
      <c r="E512" s="1" t="s">
        <v>16</v>
      </c>
      <c r="F512" s="1" t="s">
        <v>1551</v>
      </c>
      <c r="I512" s="1" t="s">
        <v>19</v>
      </c>
      <c r="L512" s="1" t="s">
        <v>1552</v>
      </c>
      <c r="M512" s="1" t="s">
        <v>1551</v>
      </c>
      <c r="N512" s="1">
        <v>417</v>
      </c>
      <c r="O512" s="1" t="s">
        <v>1553</v>
      </c>
    </row>
    <row r="513" spans="1:17" x14ac:dyDescent="0.35">
      <c r="A513" s="1" t="s">
        <v>15</v>
      </c>
      <c r="B513" s="1">
        <v>507955</v>
      </c>
      <c r="C513" s="1">
        <v>508659</v>
      </c>
      <c r="E513" s="1" t="s">
        <v>16</v>
      </c>
      <c r="F513" s="1" t="s">
        <v>712</v>
      </c>
      <c r="I513" s="1" t="s">
        <v>19</v>
      </c>
      <c r="L513" s="1" t="s">
        <v>1554</v>
      </c>
      <c r="M513" s="1" t="s">
        <v>712</v>
      </c>
      <c r="N513" s="1">
        <v>234</v>
      </c>
      <c r="O513" s="1" t="s">
        <v>1555</v>
      </c>
      <c r="Q513" s="14"/>
    </row>
    <row r="514" spans="1:17" x14ac:dyDescent="0.35">
      <c r="A514" s="1" t="s">
        <v>15</v>
      </c>
      <c r="B514" s="1">
        <v>508669</v>
      </c>
      <c r="C514" s="1">
        <v>509877</v>
      </c>
      <c r="E514" s="1" t="s">
        <v>16</v>
      </c>
      <c r="F514" s="1" t="s">
        <v>1556</v>
      </c>
      <c r="G514" s="1" t="s">
        <v>1557</v>
      </c>
      <c r="I514" s="1" t="s">
        <v>19</v>
      </c>
      <c r="L514" s="1" t="s">
        <v>1558</v>
      </c>
      <c r="M514" s="1" t="s">
        <v>1556</v>
      </c>
      <c r="N514" s="1">
        <v>402</v>
      </c>
      <c r="O514" s="1" t="s">
        <v>1559</v>
      </c>
    </row>
    <row r="515" spans="1:17" x14ac:dyDescent="0.35">
      <c r="A515" s="1" t="s">
        <v>15</v>
      </c>
      <c r="B515" s="1">
        <v>510168</v>
      </c>
      <c r="C515" s="1">
        <v>510671</v>
      </c>
      <c r="E515" s="1" t="s">
        <v>16</v>
      </c>
      <c r="F515" s="1" t="s">
        <v>1560</v>
      </c>
      <c r="G515" s="1" t="s">
        <v>1561</v>
      </c>
      <c r="I515" s="1" t="s">
        <v>19</v>
      </c>
      <c r="L515" s="1" t="s">
        <v>1562</v>
      </c>
      <c r="M515" s="1" t="s">
        <v>1560</v>
      </c>
      <c r="N515" s="1">
        <v>167</v>
      </c>
      <c r="O515" s="1" t="s">
        <v>1563</v>
      </c>
    </row>
    <row r="516" spans="1:17" x14ac:dyDescent="0.35">
      <c r="A516" s="1" t="s">
        <v>15</v>
      </c>
      <c r="B516" s="1">
        <v>510746</v>
      </c>
      <c r="C516" s="1">
        <v>511114</v>
      </c>
      <c r="E516" s="1" t="s">
        <v>16</v>
      </c>
      <c r="F516" s="1" t="s">
        <v>1564</v>
      </c>
      <c r="G516" s="1" t="s">
        <v>1565</v>
      </c>
      <c r="I516" s="1" t="s">
        <v>19</v>
      </c>
      <c r="L516" s="1" t="s">
        <v>1566</v>
      </c>
      <c r="M516" s="1" t="s">
        <v>1564</v>
      </c>
      <c r="N516" s="1">
        <v>122</v>
      </c>
      <c r="O516" s="1" t="s">
        <v>1567</v>
      </c>
    </row>
    <row r="517" spans="1:17" x14ac:dyDescent="0.35">
      <c r="A517" s="1" t="s">
        <v>15</v>
      </c>
      <c r="B517" s="1">
        <v>511254</v>
      </c>
      <c r="C517" s="1">
        <v>511877</v>
      </c>
      <c r="E517" s="1" t="s">
        <v>178</v>
      </c>
      <c r="F517" s="1" t="s">
        <v>54</v>
      </c>
      <c r="I517" s="1" t="s">
        <v>19</v>
      </c>
      <c r="L517" s="1" t="s">
        <v>1568</v>
      </c>
      <c r="M517" s="1" t="s">
        <v>54</v>
      </c>
      <c r="N517" s="1">
        <v>207</v>
      </c>
      <c r="O517" s="1" t="s">
        <v>1569</v>
      </c>
    </row>
    <row r="518" spans="1:17" x14ac:dyDescent="0.35">
      <c r="A518" s="1" t="s">
        <v>15</v>
      </c>
      <c r="B518" s="1">
        <v>511959</v>
      </c>
      <c r="C518" s="1">
        <v>513212</v>
      </c>
      <c r="E518" s="1" t="s">
        <v>178</v>
      </c>
      <c r="F518" s="1" t="s">
        <v>54</v>
      </c>
      <c r="I518" s="1" t="s">
        <v>19</v>
      </c>
      <c r="L518" s="1" t="s">
        <v>1570</v>
      </c>
      <c r="M518" s="1" t="s">
        <v>54</v>
      </c>
      <c r="N518" s="1">
        <v>417</v>
      </c>
      <c r="O518" s="1" t="s">
        <v>1571</v>
      </c>
    </row>
    <row r="519" spans="1:17" x14ac:dyDescent="0.35">
      <c r="A519" s="1" t="s">
        <v>15</v>
      </c>
      <c r="B519" s="1">
        <v>513993</v>
      </c>
      <c r="C519" s="1">
        <v>515837</v>
      </c>
      <c r="E519" s="1" t="s">
        <v>16</v>
      </c>
      <c r="F519" s="1" t="s">
        <v>54</v>
      </c>
      <c r="I519" s="1" t="s">
        <v>19</v>
      </c>
      <c r="L519" s="1" t="s">
        <v>1572</v>
      </c>
      <c r="M519" s="1" t="s">
        <v>54</v>
      </c>
      <c r="N519" s="1">
        <v>614</v>
      </c>
      <c r="O519" s="1" t="s">
        <v>1573</v>
      </c>
    </row>
    <row r="520" spans="1:17" x14ac:dyDescent="0.35">
      <c r="A520" s="1" t="s">
        <v>15</v>
      </c>
      <c r="B520" s="1">
        <v>515968</v>
      </c>
      <c r="C520" s="1">
        <v>516528</v>
      </c>
      <c r="E520" s="1" t="s">
        <v>16</v>
      </c>
      <c r="F520" s="1" t="s">
        <v>54</v>
      </c>
      <c r="I520" s="1" t="s">
        <v>19</v>
      </c>
      <c r="L520" s="1" t="s">
        <v>1574</v>
      </c>
      <c r="M520" s="1" t="s">
        <v>54</v>
      </c>
      <c r="N520" s="1">
        <v>186</v>
      </c>
      <c r="O520" s="1" t="s">
        <v>1575</v>
      </c>
    </row>
    <row r="521" spans="1:17" x14ac:dyDescent="0.35">
      <c r="A521" s="1" t="s">
        <v>15</v>
      </c>
      <c r="B521" s="1">
        <v>516816</v>
      </c>
      <c r="C521" s="1">
        <v>521339</v>
      </c>
      <c r="E521" s="1" t="s">
        <v>16</v>
      </c>
      <c r="F521" s="1" t="s">
        <v>54</v>
      </c>
      <c r="I521" s="1" t="s">
        <v>19</v>
      </c>
      <c r="L521" s="1" t="s">
        <v>1576</v>
      </c>
      <c r="M521" s="1" t="s">
        <v>54</v>
      </c>
      <c r="N521" s="1">
        <v>1507</v>
      </c>
      <c r="O521" s="1" t="s">
        <v>1577</v>
      </c>
    </row>
    <row r="522" spans="1:17" x14ac:dyDescent="0.35">
      <c r="A522" s="1" t="s">
        <v>15</v>
      </c>
      <c r="B522" s="1">
        <v>521914</v>
      </c>
      <c r="C522" s="1">
        <v>522066</v>
      </c>
      <c r="E522" s="1" t="s">
        <v>16</v>
      </c>
      <c r="F522" s="1" t="s">
        <v>54</v>
      </c>
      <c r="I522" s="1" t="s">
        <v>19</v>
      </c>
      <c r="L522" s="1" t="s">
        <v>1578</v>
      </c>
      <c r="M522" s="1" t="s">
        <v>54</v>
      </c>
      <c r="N522" s="1">
        <v>50</v>
      </c>
      <c r="O522" s="1" t="s">
        <v>1579</v>
      </c>
    </row>
    <row r="523" spans="1:17" x14ac:dyDescent="0.35">
      <c r="A523" s="1" t="s">
        <v>15</v>
      </c>
      <c r="B523" s="1">
        <v>522218</v>
      </c>
      <c r="C523" s="1">
        <v>522655</v>
      </c>
      <c r="E523" s="1" t="s">
        <v>16</v>
      </c>
      <c r="F523" s="1" t="s">
        <v>54</v>
      </c>
      <c r="I523" s="1" t="s">
        <v>19</v>
      </c>
      <c r="L523" s="1" t="s">
        <v>1580</v>
      </c>
      <c r="M523" s="1" t="s">
        <v>54</v>
      </c>
      <c r="N523" s="1">
        <v>145</v>
      </c>
      <c r="O523" s="1" t="s">
        <v>1581</v>
      </c>
    </row>
    <row r="524" spans="1:17" x14ac:dyDescent="0.35">
      <c r="A524" s="1" t="s">
        <v>15</v>
      </c>
      <c r="B524" s="1">
        <v>523818</v>
      </c>
      <c r="C524" s="1">
        <v>525134</v>
      </c>
      <c r="E524" s="1" t="s">
        <v>178</v>
      </c>
      <c r="F524" s="1" t="s">
        <v>1582</v>
      </c>
      <c r="G524" s="1" t="s">
        <v>1583</v>
      </c>
      <c r="I524" s="1" t="s">
        <v>19</v>
      </c>
      <c r="L524" s="1" t="s">
        <v>1584</v>
      </c>
      <c r="M524" s="1" t="s">
        <v>1582</v>
      </c>
      <c r="N524" s="1">
        <v>438</v>
      </c>
      <c r="O524" s="1" t="s">
        <v>1585</v>
      </c>
    </row>
    <row r="525" spans="1:17" x14ac:dyDescent="0.35">
      <c r="A525" s="1" t="s">
        <v>15</v>
      </c>
      <c r="B525" s="1">
        <v>525144</v>
      </c>
      <c r="C525" s="1">
        <v>525887</v>
      </c>
      <c r="E525" s="1" t="s">
        <v>178</v>
      </c>
      <c r="F525" s="1" t="s">
        <v>1586</v>
      </c>
      <c r="G525" s="1" t="s">
        <v>1587</v>
      </c>
      <c r="I525" s="1" t="s">
        <v>19</v>
      </c>
      <c r="L525" s="1" t="s">
        <v>1588</v>
      </c>
      <c r="M525" s="1" t="s">
        <v>1586</v>
      </c>
      <c r="N525" s="1">
        <v>247</v>
      </c>
      <c r="O525" s="1" t="s">
        <v>1589</v>
      </c>
    </row>
    <row r="526" spans="1:17" x14ac:dyDescent="0.35">
      <c r="A526" s="1" t="s">
        <v>15</v>
      </c>
      <c r="B526" s="1">
        <v>526446</v>
      </c>
      <c r="C526" s="1">
        <v>526592</v>
      </c>
      <c r="E526" s="1" t="s">
        <v>16</v>
      </c>
      <c r="F526" s="1" t="s">
        <v>54</v>
      </c>
      <c r="I526" s="1" t="s">
        <v>19</v>
      </c>
      <c r="L526" s="1" t="s">
        <v>1590</v>
      </c>
      <c r="M526" s="1" t="s">
        <v>54</v>
      </c>
      <c r="N526" s="1">
        <v>48</v>
      </c>
      <c r="O526" s="1" t="s">
        <v>1591</v>
      </c>
    </row>
    <row r="527" spans="1:17" x14ac:dyDescent="0.35">
      <c r="A527" s="1" t="s">
        <v>15</v>
      </c>
      <c r="B527" s="1">
        <v>526912</v>
      </c>
      <c r="C527" s="1">
        <v>527328</v>
      </c>
      <c r="E527" s="1" t="s">
        <v>16</v>
      </c>
      <c r="F527" s="1" t="s">
        <v>1592</v>
      </c>
      <c r="G527" s="1" t="s">
        <v>1593</v>
      </c>
      <c r="I527" s="1" t="s">
        <v>19</v>
      </c>
      <c r="L527" s="1" t="s">
        <v>1594</v>
      </c>
      <c r="M527" s="1" t="s">
        <v>1592</v>
      </c>
      <c r="N527" s="1">
        <v>138</v>
      </c>
      <c r="O527" s="1" t="s">
        <v>1595</v>
      </c>
    </row>
    <row r="528" spans="1:17" x14ac:dyDescent="0.35">
      <c r="A528" s="1" t="s">
        <v>15</v>
      </c>
      <c r="B528" s="1">
        <v>527464</v>
      </c>
      <c r="C528" s="1">
        <v>528540</v>
      </c>
      <c r="E528" s="1" t="s">
        <v>178</v>
      </c>
      <c r="F528" s="1" t="s">
        <v>1596</v>
      </c>
      <c r="G528" s="1" t="s">
        <v>1597</v>
      </c>
      <c r="I528" s="1" t="s">
        <v>19</v>
      </c>
      <c r="L528" s="1" t="s">
        <v>1598</v>
      </c>
      <c r="M528" s="1" t="s">
        <v>1596</v>
      </c>
      <c r="N528" s="1">
        <v>358</v>
      </c>
      <c r="O528" s="1" t="s">
        <v>1599</v>
      </c>
    </row>
    <row r="529" spans="1:17" x14ac:dyDescent="0.35">
      <c r="A529" s="1" t="s">
        <v>15</v>
      </c>
      <c r="B529" s="1">
        <v>528525</v>
      </c>
      <c r="C529" s="1">
        <v>529196</v>
      </c>
      <c r="E529" s="1" t="s">
        <v>178</v>
      </c>
      <c r="F529" s="1" t="s">
        <v>1600</v>
      </c>
      <c r="G529" s="1" t="s">
        <v>1601</v>
      </c>
      <c r="I529" s="1" t="s">
        <v>19</v>
      </c>
      <c r="L529" s="1" t="s">
        <v>1602</v>
      </c>
      <c r="M529" s="1" t="s">
        <v>1600</v>
      </c>
      <c r="N529" s="1">
        <v>223</v>
      </c>
      <c r="O529" s="1" t="s">
        <v>1603</v>
      </c>
    </row>
    <row r="530" spans="1:17" x14ac:dyDescent="0.35">
      <c r="A530" s="1" t="s">
        <v>15</v>
      </c>
      <c r="B530" s="1">
        <v>529675</v>
      </c>
      <c r="C530" s="1">
        <v>529803</v>
      </c>
      <c r="E530" s="1" t="s">
        <v>16</v>
      </c>
      <c r="F530" s="1" t="s">
        <v>54</v>
      </c>
      <c r="I530" s="1" t="s">
        <v>19</v>
      </c>
      <c r="L530" s="1" t="s">
        <v>1604</v>
      </c>
      <c r="M530" s="1" t="s">
        <v>54</v>
      </c>
      <c r="N530" s="1">
        <v>42</v>
      </c>
      <c r="O530" s="1" t="s">
        <v>1605</v>
      </c>
    </row>
    <row r="531" spans="1:17" x14ac:dyDescent="0.35">
      <c r="A531" s="1" t="s">
        <v>15</v>
      </c>
      <c r="B531" s="1">
        <v>529883</v>
      </c>
      <c r="C531" s="1">
        <v>531646</v>
      </c>
      <c r="E531" s="1" t="s">
        <v>16</v>
      </c>
      <c r="F531" s="1" t="s">
        <v>1606</v>
      </c>
      <c r="I531" s="1" t="s">
        <v>19</v>
      </c>
      <c r="L531" s="1" t="s">
        <v>1607</v>
      </c>
      <c r="M531" s="1" t="s">
        <v>1606</v>
      </c>
      <c r="N531" s="1">
        <v>587</v>
      </c>
      <c r="O531" s="1" t="s">
        <v>1608</v>
      </c>
    </row>
    <row r="532" spans="1:17" x14ac:dyDescent="0.35">
      <c r="A532" s="1" t="s">
        <v>15</v>
      </c>
      <c r="B532" s="1">
        <v>531636</v>
      </c>
      <c r="C532" s="1">
        <v>531902</v>
      </c>
      <c r="E532" s="1" t="s">
        <v>16</v>
      </c>
      <c r="F532" s="1" t="s">
        <v>54</v>
      </c>
      <c r="I532" s="1" t="s">
        <v>19</v>
      </c>
      <c r="L532" s="1" t="s">
        <v>1609</v>
      </c>
      <c r="M532" s="1" t="s">
        <v>54</v>
      </c>
      <c r="N532" s="1">
        <v>88</v>
      </c>
      <c r="O532" s="1" t="s">
        <v>1610</v>
      </c>
    </row>
    <row r="533" spans="1:17" x14ac:dyDescent="0.35">
      <c r="A533" s="1" t="s">
        <v>15</v>
      </c>
      <c r="B533" s="1">
        <v>532319</v>
      </c>
      <c r="C533" s="1">
        <v>533026</v>
      </c>
      <c r="E533" s="1" t="s">
        <v>16</v>
      </c>
      <c r="F533" s="1" t="s">
        <v>1611</v>
      </c>
      <c r="G533" s="1" t="s">
        <v>1612</v>
      </c>
      <c r="I533" s="1" t="s">
        <v>19</v>
      </c>
      <c r="L533" s="1" t="s">
        <v>1613</v>
      </c>
      <c r="M533" s="1" t="s">
        <v>1611</v>
      </c>
      <c r="N533" s="1">
        <v>235</v>
      </c>
      <c r="O533" s="1" t="s">
        <v>1614</v>
      </c>
    </row>
    <row r="534" spans="1:17" x14ac:dyDescent="0.35">
      <c r="A534" s="1" t="s">
        <v>15</v>
      </c>
      <c r="B534" s="1">
        <v>533032</v>
      </c>
      <c r="C534" s="1">
        <v>533832</v>
      </c>
      <c r="E534" s="1" t="s">
        <v>16</v>
      </c>
      <c r="F534" s="1" t="s">
        <v>54</v>
      </c>
      <c r="I534" s="1" t="s">
        <v>19</v>
      </c>
      <c r="L534" s="1" t="s">
        <v>1615</v>
      </c>
      <c r="M534" s="1" t="s">
        <v>54</v>
      </c>
      <c r="N534" s="1">
        <v>266</v>
      </c>
      <c r="O534" s="1" t="s">
        <v>1616</v>
      </c>
    </row>
    <row r="535" spans="1:17" x14ac:dyDescent="0.35">
      <c r="A535" s="1" t="s">
        <v>15</v>
      </c>
      <c r="B535" s="1">
        <v>533825</v>
      </c>
      <c r="C535" s="1">
        <v>534514</v>
      </c>
      <c r="E535" s="1" t="s">
        <v>16</v>
      </c>
      <c r="F535" s="1" t="s">
        <v>54</v>
      </c>
      <c r="I535" s="1" t="s">
        <v>19</v>
      </c>
      <c r="L535" s="1" t="s">
        <v>1617</v>
      </c>
      <c r="M535" s="1" t="s">
        <v>54</v>
      </c>
      <c r="N535" s="1">
        <v>229</v>
      </c>
      <c r="O535" s="1" t="s">
        <v>1618</v>
      </c>
    </row>
    <row r="536" spans="1:17" x14ac:dyDescent="0.35">
      <c r="A536" s="1" t="s">
        <v>15</v>
      </c>
      <c r="B536" s="1">
        <v>534507</v>
      </c>
      <c r="C536" s="1">
        <v>536249</v>
      </c>
      <c r="E536" s="1" t="s">
        <v>16</v>
      </c>
      <c r="F536" s="1" t="s">
        <v>606</v>
      </c>
      <c r="I536" s="1" t="s">
        <v>19</v>
      </c>
      <c r="L536" s="1" t="s">
        <v>1619</v>
      </c>
      <c r="M536" s="1" t="s">
        <v>606</v>
      </c>
      <c r="N536" s="1">
        <v>580</v>
      </c>
      <c r="O536" s="1" t="s">
        <v>1620</v>
      </c>
      <c r="Q536" s="14"/>
    </row>
    <row r="537" spans="1:17" x14ac:dyDescent="0.35">
      <c r="A537" s="1" t="s">
        <v>15</v>
      </c>
      <c r="B537" s="1">
        <v>536833</v>
      </c>
      <c r="C537" s="1">
        <v>537159</v>
      </c>
      <c r="E537" s="1" t="s">
        <v>178</v>
      </c>
      <c r="F537" s="1" t="s">
        <v>391</v>
      </c>
      <c r="I537" s="1" t="s">
        <v>19</v>
      </c>
      <c r="L537" s="1" t="s">
        <v>1621</v>
      </c>
      <c r="M537" s="1" t="s">
        <v>391</v>
      </c>
      <c r="N537" s="1">
        <v>108</v>
      </c>
      <c r="O537" s="1" t="s">
        <v>1622</v>
      </c>
    </row>
    <row r="538" spans="1:17" x14ac:dyDescent="0.35">
      <c r="A538" s="1" t="s">
        <v>15</v>
      </c>
      <c r="B538" s="1">
        <v>537320</v>
      </c>
      <c r="C538" s="1">
        <v>540364</v>
      </c>
      <c r="E538" s="1" t="s">
        <v>16</v>
      </c>
      <c r="F538" s="1" t="s">
        <v>54</v>
      </c>
      <c r="I538" s="1" t="s">
        <v>19</v>
      </c>
      <c r="L538" s="1" t="s">
        <v>1623</v>
      </c>
      <c r="M538" s="1" t="s">
        <v>54</v>
      </c>
      <c r="N538" s="1">
        <v>1014</v>
      </c>
      <c r="O538" s="1" t="s">
        <v>1624</v>
      </c>
    </row>
    <row r="539" spans="1:17" x14ac:dyDescent="0.35">
      <c r="A539" s="1" t="s">
        <v>15</v>
      </c>
      <c r="B539" s="1">
        <v>540512</v>
      </c>
      <c r="C539" s="1">
        <v>540874</v>
      </c>
      <c r="E539" s="1" t="s">
        <v>16</v>
      </c>
      <c r="F539" s="1" t="s">
        <v>54</v>
      </c>
      <c r="I539" s="1" t="s">
        <v>19</v>
      </c>
      <c r="L539" s="1" t="s">
        <v>1625</v>
      </c>
      <c r="M539" s="1" t="s">
        <v>54</v>
      </c>
      <c r="N539" s="1">
        <v>120</v>
      </c>
      <c r="O539" s="1" t="s">
        <v>1626</v>
      </c>
    </row>
    <row r="540" spans="1:17" x14ac:dyDescent="0.35">
      <c r="A540" s="1" t="s">
        <v>15</v>
      </c>
      <c r="B540" s="1">
        <v>541121</v>
      </c>
      <c r="C540" s="1">
        <v>542389</v>
      </c>
      <c r="E540" s="1" t="s">
        <v>16</v>
      </c>
      <c r="F540" s="1" t="s">
        <v>54</v>
      </c>
      <c r="I540" s="1" t="s">
        <v>19</v>
      </c>
      <c r="L540" s="1" t="s">
        <v>1627</v>
      </c>
      <c r="M540" s="1" t="s">
        <v>54</v>
      </c>
      <c r="N540" s="1">
        <v>422</v>
      </c>
      <c r="O540" s="1" t="s">
        <v>1628</v>
      </c>
    </row>
    <row r="541" spans="1:17" x14ac:dyDescent="0.35">
      <c r="A541" s="1" t="s">
        <v>15</v>
      </c>
      <c r="B541" s="1">
        <v>542889</v>
      </c>
      <c r="C541" s="1">
        <v>543272</v>
      </c>
      <c r="E541" s="1" t="s">
        <v>16</v>
      </c>
      <c r="F541" s="1" t="s">
        <v>54</v>
      </c>
      <c r="I541" s="1" t="s">
        <v>19</v>
      </c>
      <c r="L541" s="1" t="s">
        <v>1629</v>
      </c>
      <c r="M541" s="1" t="s">
        <v>54</v>
      </c>
      <c r="N541" s="1">
        <v>127</v>
      </c>
      <c r="O541" s="1" t="s">
        <v>1630</v>
      </c>
    </row>
    <row r="542" spans="1:17" x14ac:dyDescent="0.35">
      <c r="A542" s="1" t="s">
        <v>15</v>
      </c>
      <c r="B542" s="1">
        <v>543384</v>
      </c>
      <c r="C542" s="1">
        <v>544022</v>
      </c>
      <c r="E542" s="1" t="s">
        <v>16</v>
      </c>
      <c r="F542" s="1" t="s">
        <v>54</v>
      </c>
      <c r="I542" s="1" t="s">
        <v>19</v>
      </c>
      <c r="L542" s="1" t="s">
        <v>1631</v>
      </c>
      <c r="M542" s="1" t="s">
        <v>54</v>
      </c>
      <c r="N542" s="1">
        <v>212</v>
      </c>
      <c r="O542" s="1" t="s">
        <v>1632</v>
      </c>
    </row>
    <row r="543" spans="1:17" x14ac:dyDescent="0.35">
      <c r="A543" s="1" t="s">
        <v>15</v>
      </c>
      <c r="B543" s="1">
        <v>544276</v>
      </c>
      <c r="C543" s="1">
        <v>544683</v>
      </c>
      <c r="E543" s="1" t="s">
        <v>16</v>
      </c>
      <c r="F543" s="1" t="s">
        <v>54</v>
      </c>
      <c r="I543" s="1" t="s">
        <v>19</v>
      </c>
      <c r="L543" s="1" t="s">
        <v>1633</v>
      </c>
      <c r="M543" s="1" t="s">
        <v>54</v>
      </c>
      <c r="N543" s="1">
        <v>135</v>
      </c>
      <c r="O543" s="1" t="s">
        <v>1634</v>
      </c>
    </row>
    <row r="544" spans="1:17" x14ac:dyDescent="0.35">
      <c r="A544" s="1" t="s">
        <v>15</v>
      </c>
      <c r="B544" s="1">
        <v>544860</v>
      </c>
      <c r="C544" s="1">
        <v>546221</v>
      </c>
      <c r="E544" s="1" t="s">
        <v>178</v>
      </c>
      <c r="F544" s="1" t="s">
        <v>54</v>
      </c>
      <c r="I544" s="1" t="s">
        <v>19</v>
      </c>
      <c r="L544" s="1" t="s">
        <v>1635</v>
      </c>
      <c r="M544" s="1" t="s">
        <v>54</v>
      </c>
      <c r="N544" s="1">
        <v>453</v>
      </c>
      <c r="O544" s="1" t="s">
        <v>1636</v>
      </c>
    </row>
    <row r="545" spans="1:17" x14ac:dyDescent="0.35">
      <c r="A545" s="1" t="s">
        <v>15</v>
      </c>
      <c r="B545" s="1">
        <v>547045</v>
      </c>
      <c r="C545" s="1">
        <v>547311</v>
      </c>
      <c r="E545" s="1" t="s">
        <v>16</v>
      </c>
      <c r="F545" s="1" t="s">
        <v>54</v>
      </c>
      <c r="I545" s="1" t="s">
        <v>19</v>
      </c>
      <c r="L545" s="1" t="s">
        <v>1637</v>
      </c>
      <c r="M545" s="1" t="s">
        <v>54</v>
      </c>
      <c r="N545" s="1">
        <v>88</v>
      </c>
      <c r="O545" s="1" t="s">
        <v>1638</v>
      </c>
    </row>
    <row r="546" spans="1:17" x14ac:dyDescent="0.35">
      <c r="A546" s="1" t="s">
        <v>15</v>
      </c>
      <c r="B546" s="1">
        <v>547301</v>
      </c>
      <c r="C546" s="1">
        <v>548461</v>
      </c>
      <c r="E546" s="1" t="s">
        <v>16</v>
      </c>
      <c r="F546" s="1" t="s">
        <v>1639</v>
      </c>
      <c r="I546" s="1" t="s">
        <v>19</v>
      </c>
      <c r="L546" s="1" t="s">
        <v>1640</v>
      </c>
      <c r="M546" s="1" t="s">
        <v>1639</v>
      </c>
      <c r="N546" s="1">
        <v>386</v>
      </c>
      <c r="O546" s="1" t="s">
        <v>1641</v>
      </c>
    </row>
    <row r="547" spans="1:17" x14ac:dyDescent="0.35">
      <c r="A547" s="1" t="s">
        <v>15</v>
      </c>
      <c r="B547" s="1">
        <v>548983</v>
      </c>
      <c r="C547" s="1">
        <v>550719</v>
      </c>
      <c r="E547" s="1" t="s">
        <v>16</v>
      </c>
      <c r="F547" s="1" t="s">
        <v>1642</v>
      </c>
      <c r="I547" s="1" t="s">
        <v>19</v>
      </c>
      <c r="L547" s="1" t="s">
        <v>1643</v>
      </c>
      <c r="M547" s="1" t="s">
        <v>1642</v>
      </c>
      <c r="N547" s="1">
        <v>578</v>
      </c>
      <c r="O547" s="1" t="s">
        <v>1644</v>
      </c>
    </row>
    <row r="548" spans="1:17" x14ac:dyDescent="0.35">
      <c r="A548" s="1" t="s">
        <v>15</v>
      </c>
      <c r="B548" s="1">
        <v>550732</v>
      </c>
      <c r="C548" s="1">
        <v>552519</v>
      </c>
      <c r="E548" s="1" t="s">
        <v>16</v>
      </c>
      <c r="F548" s="1" t="s">
        <v>1642</v>
      </c>
      <c r="I548" s="1" t="s">
        <v>19</v>
      </c>
      <c r="L548" s="1" t="s">
        <v>1645</v>
      </c>
      <c r="M548" s="1" t="s">
        <v>1642</v>
      </c>
      <c r="N548" s="1">
        <v>595</v>
      </c>
      <c r="O548" s="1" t="s">
        <v>1646</v>
      </c>
    </row>
    <row r="549" spans="1:17" x14ac:dyDescent="0.35">
      <c r="A549" s="1" t="s">
        <v>15</v>
      </c>
      <c r="B549" s="1">
        <v>552616</v>
      </c>
      <c r="C549" s="1">
        <v>553659</v>
      </c>
      <c r="E549" s="1" t="s">
        <v>178</v>
      </c>
      <c r="F549" s="1" t="s">
        <v>1647</v>
      </c>
      <c r="G549" s="1" t="s">
        <v>1648</v>
      </c>
      <c r="I549" s="1" t="s">
        <v>19</v>
      </c>
      <c r="L549" s="1" t="s">
        <v>1649</v>
      </c>
      <c r="M549" s="1" t="s">
        <v>1647</v>
      </c>
      <c r="N549" s="1">
        <v>347</v>
      </c>
      <c r="O549" s="1" t="s">
        <v>1650</v>
      </c>
      <c r="Q549" s="14"/>
    </row>
    <row r="550" spans="1:17" x14ac:dyDescent="0.35">
      <c r="A550" s="1" t="s">
        <v>15</v>
      </c>
      <c r="B550" s="1">
        <v>553811</v>
      </c>
      <c r="C550" s="1">
        <v>554512</v>
      </c>
      <c r="E550" s="1" t="s">
        <v>16</v>
      </c>
      <c r="F550" s="1" t="s">
        <v>1651</v>
      </c>
      <c r="G550" s="1" t="s">
        <v>1652</v>
      </c>
      <c r="I550" s="1" t="s">
        <v>19</v>
      </c>
      <c r="L550" s="1" t="s">
        <v>1653</v>
      </c>
      <c r="M550" s="1" t="s">
        <v>1651</v>
      </c>
      <c r="N550" s="1">
        <v>233</v>
      </c>
      <c r="O550" s="1" t="s">
        <v>1654</v>
      </c>
      <c r="Q550" s="14"/>
    </row>
    <row r="551" spans="1:17" x14ac:dyDescent="0.35">
      <c r="A551" s="1" t="s">
        <v>15</v>
      </c>
      <c r="B551" s="1">
        <v>554661</v>
      </c>
      <c r="C551" s="1">
        <v>555956</v>
      </c>
      <c r="E551" s="1" t="s">
        <v>178</v>
      </c>
      <c r="F551" s="1" t="s">
        <v>1655</v>
      </c>
      <c r="I551" s="1" t="s">
        <v>19</v>
      </c>
      <c r="L551" s="1" t="s">
        <v>1656</v>
      </c>
      <c r="M551" s="1" t="s">
        <v>1655</v>
      </c>
      <c r="N551" s="1">
        <v>431</v>
      </c>
      <c r="O551" s="1" t="s">
        <v>1657</v>
      </c>
    </row>
    <row r="552" spans="1:17" x14ac:dyDescent="0.35">
      <c r="A552" s="1" t="s">
        <v>15</v>
      </c>
      <c r="B552" s="1">
        <v>555956</v>
      </c>
      <c r="C552" s="1">
        <v>556666</v>
      </c>
      <c r="E552" s="1" t="s">
        <v>178</v>
      </c>
      <c r="F552" s="1" t="s">
        <v>222</v>
      </c>
      <c r="I552" s="1" t="s">
        <v>19</v>
      </c>
      <c r="L552" s="1" t="s">
        <v>1658</v>
      </c>
      <c r="M552" s="1" t="s">
        <v>222</v>
      </c>
      <c r="N552" s="1">
        <v>236</v>
      </c>
      <c r="O552" s="1" t="s">
        <v>1659</v>
      </c>
    </row>
    <row r="553" spans="1:17" x14ac:dyDescent="0.35">
      <c r="A553" s="1" t="s">
        <v>15</v>
      </c>
      <c r="B553" s="1">
        <v>556821</v>
      </c>
      <c r="C553" s="1">
        <v>557732</v>
      </c>
      <c r="E553" s="1" t="s">
        <v>16</v>
      </c>
      <c r="F553" s="1" t="s">
        <v>1660</v>
      </c>
      <c r="I553" s="1" t="s">
        <v>19</v>
      </c>
      <c r="L553" s="1" t="s">
        <v>1661</v>
      </c>
      <c r="M553" s="1" t="s">
        <v>1660</v>
      </c>
      <c r="N553" s="1">
        <v>303</v>
      </c>
      <c r="O553" s="1" t="s">
        <v>1662</v>
      </c>
    </row>
    <row r="554" spans="1:17" x14ac:dyDescent="0.35">
      <c r="A554" s="1" t="s">
        <v>15</v>
      </c>
      <c r="B554" s="1">
        <v>557734</v>
      </c>
      <c r="C554" s="1">
        <v>558456</v>
      </c>
      <c r="E554" s="1" t="s">
        <v>16</v>
      </c>
      <c r="F554" s="1" t="s">
        <v>1663</v>
      </c>
      <c r="I554" s="1" t="s">
        <v>19</v>
      </c>
      <c r="L554" s="1" t="s">
        <v>1664</v>
      </c>
      <c r="M554" s="1" t="s">
        <v>1663</v>
      </c>
      <c r="N554" s="1">
        <v>240</v>
      </c>
      <c r="O554" s="1" t="s">
        <v>1665</v>
      </c>
    </row>
    <row r="555" spans="1:17" x14ac:dyDescent="0.35">
      <c r="A555" s="1" t="s">
        <v>15</v>
      </c>
      <c r="B555" s="1">
        <v>558646</v>
      </c>
      <c r="C555" s="1">
        <v>559629</v>
      </c>
      <c r="E555" s="1" t="s">
        <v>16</v>
      </c>
      <c r="F555" s="1" t="s">
        <v>1666</v>
      </c>
      <c r="I555" s="1" t="s">
        <v>19</v>
      </c>
      <c r="L555" s="1" t="s">
        <v>1667</v>
      </c>
      <c r="M555" s="1" t="s">
        <v>1666</v>
      </c>
      <c r="N555" s="1">
        <v>327</v>
      </c>
      <c r="O555" s="1" t="s">
        <v>1668</v>
      </c>
    </row>
    <row r="556" spans="1:17" x14ac:dyDescent="0.35">
      <c r="A556" s="1" t="s">
        <v>15</v>
      </c>
      <c r="B556" s="1">
        <v>559808</v>
      </c>
      <c r="C556" s="1">
        <v>560005</v>
      </c>
      <c r="E556" s="1" t="s">
        <v>16</v>
      </c>
      <c r="F556" s="1" t="s">
        <v>1669</v>
      </c>
      <c r="I556" s="1" t="s">
        <v>19</v>
      </c>
      <c r="L556" s="1" t="s">
        <v>1670</v>
      </c>
      <c r="M556" s="1" t="s">
        <v>1669</v>
      </c>
      <c r="N556" s="1">
        <v>65</v>
      </c>
      <c r="O556" s="1" t="s">
        <v>1671</v>
      </c>
    </row>
    <row r="557" spans="1:17" x14ac:dyDescent="0.35">
      <c r="A557" s="1" t="s">
        <v>15</v>
      </c>
      <c r="B557" s="1">
        <v>560019</v>
      </c>
      <c r="C557" s="1">
        <v>560513</v>
      </c>
      <c r="E557" s="1" t="s">
        <v>16</v>
      </c>
      <c r="F557" s="1" t="s">
        <v>54</v>
      </c>
      <c r="I557" s="1" t="s">
        <v>19</v>
      </c>
      <c r="L557" s="1" t="s">
        <v>1672</v>
      </c>
      <c r="M557" s="1" t="s">
        <v>54</v>
      </c>
      <c r="N557" s="1">
        <v>164</v>
      </c>
      <c r="O557" s="1" t="s">
        <v>1673</v>
      </c>
    </row>
    <row r="558" spans="1:17" x14ac:dyDescent="0.35">
      <c r="A558" s="1" t="s">
        <v>15</v>
      </c>
      <c r="B558" s="1">
        <v>560593</v>
      </c>
      <c r="C558" s="1">
        <v>561363</v>
      </c>
      <c r="E558" s="1" t="s">
        <v>16</v>
      </c>
      <c r="F558" s="1" t="s">
        <v>1674</v>
      </c>
      <c r="I558" s="1" t="s">
        <v>19</v>
      </c>
      <c r="L558" s="1" t="s">
        <v>1675</v>
      </c>
      <c r="M558" s="1" t="s">
        <v>1674</v>
      </c>
      <c r="N558" s="1">
        <v>256</v>
      </c>
      <c r="O558" s="1" t="s">
        <v>1676</v>
      </c>
    </row>
    <row r="559" spans="1:17" x14ac:dyDescent="0.35">
      <c r="A559" s="1" t="s">
        <v>15</v>
      </c>
      <c r="B559" s="1">
        <v>561454</v>
      </c>
      <c r="C559" s="1">
        <v>562137</v>
      </c>
      <c r="E559" s="1" t="s">
        <v>16</v>
      </c>
      <c r="F559" s="1" t="s">
        <v>54</v>
      </c>
      <c r="I559" s="1" t="s">
        <v>19</v>
      </c>
      <c r="L559" s="1" t="s">
        <v>1677</v>
      </c>
      <c r="M559" s="1" t="s">
        <v>54</v>
      </c>
      <c r="N559" s="1">
        <v>227</v>
      </c>
      <c r="O559" s="1" t="s">
        <v>1678</v>
      </c>
    </row>
    <row r="560" spans="1:17" x14ac:dyDescent="0.35">
      <c r="A560" s="1" t="s">
        <v>15</v>
      </c>
      <c r="B560" s="1">
        <v>562213</v>
      </c>
      <c r="C560" s="1">
        <v>562989</v>
      </c>
      <c r="E560" s="1" t="s">
        <v>16</v>
      </c>
      <c r="F560" s="1" t="s">
        <v>826</v>
      </c>
      <c r="G560" s="1" t="s">
        <v>1679</v>
      </c>
      <c r="I560" s="1" t="s">
        <v>19</v>
      </c>
      <c r="L560" s="1" t="s">
        <v>1680</v>
      </c>
      <c r="M560" s="1" t="s">
        <v>826</v>
      </c>
      <c r="N560" s="1">
        <v>258</v>
      </c>
      <c r="O560" s="1" t="s">
        <v>1681</v>
      </c>
      <c r="Q560" s="14"/>
    </row>
    <row r="561" spans="1:17" x14ac:dyDescent="0.35">
      <c r="A561" s="1" t="s">
        <v>15</v>
      </c>
      <c r="B561" s="1">
        <v>563236</v>
      </c>
      <c r="C561" s="1">
        <v>564375</v>
      </c>
      <c r="E561" s="1" t="s">
        <v>16</v>
      </c>
      <c r="F561" s="1" t="s">
        <v>1682</v>
      </c>
      <c r="G561" s="1" t="s">
        <v>1683</v>
      </c>
      <c r="I561" s="1" t="s">
        <v>19</v>
      </c>
      <c r="L561" s="1" t="s">
        <v>1684</v>
      </c>
      <c r="M561" s="1" t="s">
        <v>1682</v>
      </c>
      <c r="N561" s="1">
        <v>379</v>
      </c>
      <c r="O561" s="1" t="s">
        <v>1685</v>
      </c>
      <c r="Q561" s="14"/>
    </row>
    <row r="562" spans="1:17" x14ac:dyDescent="0.35">
      <c r="A562" s="1" t="s">
        <v>15</v>
      </c>
      <c r="B562" s="1">
        <v>564409</v>
      </c>
      <c r="C562" s="1">
        <v>564534</v>
      </c>
      <c r="E562" s="1" t="s">
        <v>16</v>
      </c>
      <c r="F562" s="1" t="s">
        <v>54</v>
      </c>
      <c r="I562" s="1" t="s">
        <v>19</v>
      </c>
      <c r="L562" s="1" t="s">
        <v>1686</v>
      </c>
      <c r="M562" s="1" t="s">
        <v>54</v>
      </c>
      <c r="N562" s="1">
        <v>41</v>
      </c>
      <c r="O562" s="1" t="s">
        <v>1687</v>
      </c>
    </row>
    <row r="563" spans="1:17" x14ac:dyDescent="0.35">
      <c r="A563" s="1" t="s">
        <v>15</v>
      </c>
      <c r="B563" s="1">
        <v>564830</v>
      </c>
      <c r="C563" s="1">
        <v>565942</v>
      </c>
      <c r="E563" s="1" t="s">
        <v>16</v>
      </c>
      <c r="F563" s="1" t="s">
        <v>1688</v>
      </c>
      <c r="G563" s="1" t="s">
        <v>1689</v>
      </c>
      <c r="I563" s="1" t="s">
        <v>19</v>
      </c>
      <c r="L563" s="1" t="s">
        <v>1690</v>
      </c>
      <c r="M563" s="1" t="s">
        <v>1688</v>
      </c>
      <c r="N563" s="1">
        <v>370</v>
      </c>
      <c r="O563" s="1" t="s">
        <v>1691</v>
      </c>
      <c r="Q563" s="14"/>
    </row>
    <row r="564" spans="1:17" x14ac:dyDescent="0.35">
      <c r="A564" s="1" t="s">
        <v>15</v>
      </c>
      <c r="B564" s="1">
        <v>566134</v>
      </c>
      <c r="C564" s="1">
        <v>566547</v>
      </c>
      <c r="E564" s="1" t="s">
        <v>16</v>
      </c>
      <c r="F564" s="1" t="s">
        <v>54</v>
      </c>
      <c r="I564" s="1" t="s">
        <v>19</v>
      </c>
      <c r="L564" s="1" t="s">
        <v>1692</v>
      </c>
      <c r="M564" s="1" t="s">
        <v>54</v>
      </c>
      <c r="N564" s="1">
        <v>137</v>
      </c>
      <c r="O564" s="1" t="s">
        <v>1693</v>
      </c>
    </row>
    <row r="565" spans="1:17" x14ac:dyDescent="0.35">
      <c r="A565" s="1" t="s">
        <v>15</v>
      </c>
      <c r="B565" s="1">
        <v>566583</v>
      </c>
      <c r="C565" s="1">
        <v>567383</v>
      </c>
      <c r="E565" s="1" t="s">
        <v>16</v>
      </c>
      <c r="F565" s="1" t="s">
        <v>1694</v>
      </c>
      <c r="G565" s="1" t="s">
        <v>1695</v>
      </c>
      <c r="I565" s="1" t="s">
        <v>19</v>
      </c>
      <c r="L565" s="1" t="s">
        <v>1696</v>
      </c>
      <c r="M565" s="1" t="s">
        <v>1694</v>
      </c>
      <c r="N565" s="1">
        <v>266</v>
      </c>
      <c r="O565" s="1" t="s">
        <v>1697</v>
      </c>
      <c r="Q565" s="14"/>
    </row>
    <row r="566" spans="1:17" x14ac:dyDescent="0.35">
      <c r="A566" s="1" t="s">
        <v>15</v>
      </c>
      <c r="B566" s="1">
        <v>567525</v>
      </c>
      <c r="C566" s="1">
        <v>568841</v>
      </c>
      <c r="E566" s="1" t="s">
        <v>16</v>
      </c>
      <c r="F566" s="1" t="s">
        <v>1698</v>
      </c>
      <c r="G566" s="1" t="s">
        <v>1699</v>
      </c>
      <c r="I566" s="1" t="s">
        <v>19</v>
      </c>
      <c r="L566" s="1" t="s">
        <v>1700</v>
      </c>
      <c r="M566" s="1" t="s">
        <v>1698</v>
      </c>
      <c r="N566" s="1">
        <v>438</v>
      </c>
      <c r="O566" s="1" t="s">
        <v>1701</v>
      </c>
      <c r="Q566" s="14"/>
    </row>
    <row r="567" spans="1:17" x14ac:dyDescent="0.35">
      <c r="A567" s="1" t="s">
        <v>15</v>
      </c>
      <c r="B567" s="1">
        <v>569084</v>
      </c>
      <c r="C567" s="1">
        <v>569962</v>
      </c>
      <c r="E567" s="1" t="s">
        <v>16</v>
      </c>
      <c r="F567" s="1" t="s">
        <v>1702</v>
      </c>
      <c r="G567" s="1" t="s">
        <v>1703</v>
      </c>
      <c r="I567" s="1" t="s">
        <v>19</v>
      </c>
      <c r="L567" s="1" t="s">
        <v>1704</v>
      </c>
      <c r="M567" s="1" t="s">
        <v>1702</v>
      </c>
      <c r="N567" s="1">
        <v>292</v>
      </c>
      <c r="O567" s="1" t="s">
        <v>1705</v>
      </c>
      <c r="Q567" s="14"/>
    </row>
    <row r="568" spans="1:17" x14ac:dyDescent="0.35">
      <c r="A568" s="1" t="s">
        <v>15</v>
      </c>
      <c r="B568" s="1">
        <v>569944</v>
      </c>
      <c r="C568" s="1">
        <v>570888</v>
      </c>
      <c r="E568" s="1" t="s">
        <v>16</v>
      </c>
      <c r="F568" s="1" t="s">
        <v>1706</v>
      </c>
      <c r="G568" s="1" t="s">
        <v>1707</v>
      </c>
      <c r="I568" s="1" t="s">
        <v>19</v>
      </c>
      <c r="L568" s="1" t="s">
        <v>1708</v>
      </c>
      <c r="M568" s="1" t="s">
        <v>1706</v>
      </c>
      <c r="N568" s="1">
        <v>314</v>
      </c>
      <c r="O568" s="1" t="s">
        <v>1709</v>
      </c>
      <c r="Q568" s="14"/>
    </row>
    <row r="569" spans="1:17" x14ac:dyDescent="0.35">
      <c r="A569" s="1" t="s">
        <v>15</v>
      </c>
      <c r="B569" s="1">
        <v>570881</v>
      </c>
      <c r="C569" s="1">
        <v>571876</v>
      </c>
      <c r="E569" s="1" t="s">
        <v>16</v>
      </c>
      <c r="F569" s="1" t="s">
        <v>1710</v>
      </c>
      <c r="G569" s="1" t="s">
        <v>1711</v>
      </c>
      <c r="I569" s="1" t="s">
        <v>19</v>
      </c>
      <c r="L569" s="1" t="s">
        <v>1712</v>
      </c>
      <c r="M569" s="1" t="s">
        <v>1710</v>
      </c>
      <c r="N569" s="1">
        <v>331</v>
      </c>
      <c r="O569" s="1" t="s">
        <v>1713</v>
      </c>
      <c r="Q569" s="14"/>
    </row>
    <row r="570" spans="1:17" x14ac:dyDescent="0.35">
      <c r="A570" s="1" t="s">
        <v>15</v>
      </c>
      <c r="B570" s="1">
        <v>571926</v>
      </c>
      <c r="C570" s="1">
        <v>572930</v>
      </c>
      <c r="E570" s="1" t="s">
        <v>16</v>
      </c>
      <c r="F570" s="1" t="s">
        <v>1714</v>
      </c>
      <c r="G570" s="1" t="s">
        <v>1715</v>
      </c>
      <c r="I570" s="1" t="s">
        <v>19</v>
      </c>
      <c r="L570" s="1" t="s">
        <v>1716</v>
      </c>
      <c r="M570" s="1" t="s">
        <v>1714</v>
      </c>
      <c r="N570" s="1">
        <v>334</v>
      </c>
      <c r="O570" s="1" t="s">
        <v>1717</v>
      </c>
      <c r="Q570" s="14"/>
    </row>
    <row r="571" spans="1:17" x14ac:dyDescent="0.35">
      <c r="A571" s="1" t="s">
        <v>15</v>
      </c>
      <c r="B571" s="1">
        <v>573081</v>
      </c>
      <c r="C571" s="1">
        <v>573920</v>
      </c>
      <c r="E571" s="1" t="s">
        <v>16</v>
      </c>
      <c r="F571" s="1" t="s">
        <v>1718</v>
      </c>
      <c r="I571" s="1" t="s">
        <v>19</v>
      </c>
      <c r="L571" s="1" t="s">
        <v>1719</v>
      </c>
      <c r="M571" s="1" t="s">
        <v>1718</v>
      </c>
      <c r="N571" s="1">
        <v>279</v>
      </c>
      <c r="O571" s="1" t="s">
        <v>1720</v>
      </c>
      <c r="Q571" s="14"/>
    </row>
    <row r="572" spans="1:17" x14ac:dyDescent="0.35">
      <c r="A572" s="1" t="s">
        <v>15</v>
      </c>
      <c r="B572" s="1">
        <v>573913</v>
      </c>
      <c r="C572" s="1">
        <v>574632</v>
      </c>
      <c r="E572" s="1" t="s">
        <v>16</v>
      </c>
      <c r="F572" s="1" t="s">
        <v>54</v>
      </c>
      <c r="I572" s="1" t="s">
        <v>19</v>
      </c>
      <c r="L572" s="1" t="s">
        <v>1721</v>
      </c>
      <c r="M572" s="1" t="s">
        <v>54</v>
      </c>
      <c r="N572" s="1">
        <v>239</v>
      </c>
      <c r="O572" s="1" t="s">
        <v>1722</v>
      </c>
    </row>
    <row r="573" spans="1:17" x14ac:dyDescent="0.35">
      <c r="A573" s="1" t="s">
        <v>15</v>
      </c>
      <c r="B573" s="1">
        <v>575190</v>
      </c>
      <c r="C573" s="1">
        <v>577850</v>
      </c>
      <c r="E573" s="1" t="s">
        <v>16</v>
      </c>
      <c r="F573" s="1" t="s">
        <v>1723</v>
      </c>
      <c r="G573" s="1" t="s">
        <v>1724</v>
      </c>
      <c r="I573" s="1" t="s">
        <v>19</v>
      </c>
      <c r="L573" s="1" t="s">
        <v>1725</v>
      </c>
      <c r="M573" s="1" t="s">
        <v>1723</v>
      </c>
      <c r="N573" s="1">
        <v>886</v>
      </c>
      <c r="O573" s="1" t="s">
        <v>1726</v>
      </c>
      <c r="Q573" s="14"/>
    </row>
    <row r="574" spans="1:17" x14ac:dyDescent="0.35">
      <c r="A574" s="1" t="s">
        <v>15</v>
      </c>
      <c r="B574" s="1">
        <v>578135</v>
      </c>
      <c r="C574" s="1">
        <v>579517</v>
      </c>
      <c r="E574" s="1" t="s">
        <v>16</v>
      </c>
      <c r="F574" s="1" t="s">
        <v>1727</v>
      </c>
      <c r="G574" s="1" t="s">
        <v>1728</v>
      </c>
      <c r="I574" s="1" t="s">
        <v>19</v>
      </c>
      <c r="L574" s="1" t="s">
        <v>1729</v>
      </c>
      <c r="M574" s="1" t="s">
        <v>1727</v>
      </c>
      <c r="N574" s="1">
        <v>460</v>
      </c>
      <c r="O574" s="1" t="s">
        <v>1730</v>
      </c>
      <c r="Q574" s="14"/>
    </row>
    <row r="575" spans="1:17" x14ac:dyDescent="0.35">
      <c r="A575" s="1" t="s">
        <v>15</v>
      </c>
      <c r="B575" s="1">
        <v>579597</v>
      </c>
      <c r="C575" s="1">
        <v>580145</v>
      </c>
      <c r="E575" s="1" t="s">
        <v>16</v>
      </c>
      <c r="F575" s="1" t="s">
        <v>1731</v>
      </c>
      <c r="G575" s="1" t="s">
        <v>1732</v>
      </c>
      <c r="I575" s="1" t="s">
        <v>19</v>
      </c>
      <c r="L575" s="1" t="s">
        <v>1733</v>
      </c>
      <c r="M575" s="1" t="s">
        <v>1731</v>
      </c>
      <c r="N575" s="1">
        <v>182</v>
      </c>
      <c r="O575" s="1" t="s">
        <v>1734</v>
      </c>
      <c r="Q575" s="14"/>
    </row>
    <row r="576" spans="1:17" x14ac:dyDescent="0.35">
      <c r="A576" s="1" t="s">
        <v>15</v>
      </c>
      <c r="B576" s="1">
        <v>580149</v>
      </c>
      <c r="C576" s="1">
        <v>580409</v>
      </c>
      <c r="E576" s="1" t="s">
        <v>16</v>
      </c>
      <c r="F576" s="1" t="s">
        <v>54</v>
      </c>
      <c r="I576" s="1" t="s">
        <v>19</v>
      </c>
      <c r="L576" s="1" t="s">
        <v>1735</v>
      </c>
      <c r="M576" s="1" t="s">
        <v>54</v>
      </c>
      <c r="N576" s="1">
        <v>86</v>
      </c>
      <c r="O576" s="1" t="s">
        <v>1736</v>
      </c>
    </row>
    <row r="577" spans="1:17" x14ac:dyDescent="0.35">
      <c r="A577" s="1" t="s">
        <v>15</v>
      </c>
      <c r="B577" s="1">
        <v>580476</v>
      </c>
      <c r="C577" s="1">
        <v>581168</v>
      </c>
      <c r="E577" s="1" t="s">
        <v>16</v>
      </c>
      <c r="F577" s="1" t="s">
        <v>1737</v>
      </c>
      <c r="G577" s="1" t="s">
        <v>1738</v>
      </c>
      <c r="I577" s="1" t="s">
        <v>19</v>
      </c>
      <c r="L577" s="1" t="s">
        <v>1739</v>
      </c>
      <c r="M577" s="1" t="s">
        <v>1737</v>
      </c>
      <c r="N577" s="1">
        <v>230</v>
      </c>
      <c r="O577" s="1" t="s">
        <v>1740</v>
      </c>
      <c r="Q577" s="14"/>
    </row>
    <row r="578" spans="1:17" x14ac:dyDescent="0.35">
      <c r="A578" s="1" t="s">
        <v>15</v>
      </c>
      <c r="B578" s="1">
        <v>581561</v>
      </c>
      <c r="C578" s="1">
        <v>584578</v>
      </c>
      <c r="E578" s="1" t="s">
        <v>16</v>
      </c>
      <c r="F578" s="1" t="s">
        <v>54</v>
      </c>
      <c r="I578" s="1" t="s">
        <v>19</v>
      </c>
      <c r="L578" s="1" t="s">
        <v>1741</v>
      </c>
      <c r="M578" s="1" t="s">
        <v>54</v>
      </c>
      <c r="N578" s="1">
        <v>1005</v>
      </c>
      <c r="O578" s="1" t="s">
        <v>1742</v>
      </c>
    </row>
    <row r="579" spans="1:17" x14ac:dyDescent="0.35">
      <c r="A579" s="1" t="s">
        <v>15</v>
      </c>
      <c r="B579" s="1">
        <v>584700</v>
      </c>
      <c r="C579" s="1">
        <v>585707</v>
      </c>
      <c r="E579" s="1" t="s">
        <v>16</v>
      </c>
      <c r="F579" s="1" t="s">
        <v>1743</v>
      </c>
      <c r="I579" s="1" t="s">
        <v>19</v>
      </c>
      <c r="L579" s="1" t="s">
        <v>1744</v>
      </c>
      <c r="M579" s="1" t="s">
        <v>1743</v>
      </c>
      <c r="N579" s="1">
        <v>335</v>
      </c>
      <c r="O579" s="1" t="s">
        <v>1745</v>
      </c>
      <c r="Q579" s="14"/>
    </row>
    <row r="580" spans="1:17" x14ac:dyDescent="0.35">
      <c r="A580" s="1" t="s">
        <v>15</v>
      </c>
      <c r="B580" s="1">
        <v>585708</v>
      </c>
      <c r="C580" s="1">
        <v>587030</v>
      </c>
      <c r="E580" s="1" t="s">
        <v>16</v>
      </c>
      <c r="F580" s="1" t="s">
        <v>1746</v>
      </c>
      <c r="G580" s="1" t="s">
        <v>1747</v>
      </c>
      <c r="I580" s="1" t="s">
        <v>19</v>
      </c>
      <c r="L580" s="1" t="s">
        <v>1748</v>
      </c>
      <c r="M580" s="1" t="s">
        <v>1746</v>
      </c>
      <c r="N580" s="1">
        <v>440</v>
      </c>
      <c r="O580" s="1" t="s">
        <v>1749</v>
      </c>
    </row>
    <row r="581" spans="1:17" x14ac:dyDescent="0.35">
      <c r="A581" s="1" t="s">
        <v>15</v>
      </c>
      <c r="B581" s="1">
        <v>587489</v>
      </c>
      <c r="C581" s="1">
        <v>587884</v>
      </c>
      <c r="E581" s="1" t="s">
        <v>16</v>
      </c>
      <c r="F581" s="1" t="s">
        <v>54</v>
      </c>
      <c r="I581" s="1" t="s">
        <v>19</v>
      </c>
      <c r="L581" s="1" t="s">
        <v>1750</v>
      </c>
      <c r="M581" s="1" t="s">
        <v>54</v>
      </c>
      <c r="N581" s="1">
        <v>131</v>
      </c>
      <c r="O581" s="1" t="s">
        <v>1751</v>
      </c>
    </row>
    <row r="582" spans="1:17" x14ac:dyDescent="0.35">
      <c r="A582" s="1" t="s">
        <v>15</v>
      </c>
      <c r="B582" s="1">
        <v>587929</v>
      </c>
      <c r="C582" s="1">
        <v>589875</v>
      </c>
      <c r="E582" s="1" t="s">
        <v>16</v>
      </c>
      <c r="F582" s="1" t="s">
        <v>1752</v>
      </c>
      <c r="G582" s="1" t="s">
        <v>1753</v>
      </c>
      <c r="I582" s="1" t="s">
        <v>19</v>
      </c>
      <c r="L582" s="1" t="s">
        <v>1754</v>
      </c>
      <c r="M582" s="1" t="s">
        <v>1752</v>
      </c>
      <c r="N582" s="1">
        <v>648</v>
      </c>
      <c r="O582" s="1" t="s">
        <v>1755</v>
      </c>
      <c r="Q582" s="14"/>
    </row>
    <row r="583" spans="1:17" x14ac:dyDescent="0.35">
      <c r="A583" s="1" t="s">
        <v>15</v>
      </c>
      <c r="B583" s="1">
        <v>590042</v>
      </c>
      <c r="C583" s="1">
        <v>590863</v>
      </c>
      <c r="E583" s="1" t="s">
        <v>16</v>
      </c>
      <c r="F583" s="1" t="s">
        <v>54</v>
      </c>
      <c r="I583" s="1" t="s">
        <v>19</v>
      </c>
      <c r="L583" s="1" t="s">
        <v>1756</v>
      </c>
      <c r="M583" s="1" t="s">
        <v>54</v>
      </c>
      <c r="N583" s="1">
        <v>273</v>
      </c>
      <c r="O583" s="1" t="s">
        <v>1757</v>
      </c>
    </row>
    <row r="584" spans="1:17" x14ac:dyDescent="0.35">
      <c r="A584" s="1" t="s">
        <v>15</v>
      </c>
      <c r="B584" s="1">
        <v>590893</v>
      </c>
      <c r="C584" s="1">
        <v>591951</v>
      </c>
      <c r="E584" s="1" t="s">
        <v>16</v>
      </c>
      <c r="F584" s="1" t="s">
        <v>54</v>
      </c>
      <c r="I584" s="1" t="s">
        <v>19</v>
      </c>
      <c r="L584" s="1" t="s">
        <v>1758</v>
      </c>
      <c r="M584" s="1" t="s">
        <v>54</v>
      </c>
      <c r="N584" s="1">
        <v>352</v>
      </c>
      <c r="O584" s="1" t="s">
        <v>1759</v>
      </c>
    </row>
    <row r="585" spans="1:17" x14ac:dyDescent="0.35">
      <c r="A585" s="1" t="s">
        <v>15</v>
      </c>
      <c r="B585" s="1">
        <v>592026</v>
      </c>
      <c r="C585" s="1">
        <v>592217</v>
      </c>
      <c r="E585" s="1" t="s">
        <v>178</v>
      </c>
      <c r="F585" s="1" t="s">
        <v>1760</v>
      </c>
      <c r="I585" s="1" t="s">
        <v>19</v>
      </c>
      <c r="L585" s="1" t="s">
        <v>1761</v>
      </c>
      <c r="M585" s="1" t="s">
        <v>1760</v>
      </c>
      <c r="N585" s="1">
        <v>63</v>
      </c>
      <c r="O585" s="1" t="s">
        <v>1762</v>
      </c>
    </row>
    <row r="586" spans="1:17" x14ac:dyDescent="0.35">
      <c r="A586" s="1" t="s">
        <v>15</v>
      </c>
      <c r="B586" s="1">
        <v>592274</v>
      </c>
      <c r="C586" s="1">
        <v>592951</v>
      </c>
      <c r="E586" s="1" t="s">
        <v>178</v>
      </c>
      <c r="F586" s="1" t="s">
        <v>1763</v>
      </c>
      <c r="I586" s="1" t="s">
        <v>19</v>
      </c>
      <c r="L586" s="1" t="s">
        <v>1764</v>
      </c>
      <c r="M586" s="1" t="s">
        <v>1763</v>
      </c>
      <c r="N586" s="1">
        <v>225</v>
      </c>
      <c r="O586" s="1" t="s">
        <v>1765</v>
      </c>
    </row>
    <row r="587" spans="1:17" x14ac:dyDescent="0.35">
      <c r="A587" s="1" t="s">
        <v>15</v>
      </c>
      <c r="B587" s="1">
        <v>592944</v>
      </c>
      <c r="C587" s="1">
        <v>593393</v>
      </c>
      <c r="E587" s="1" t="s">
        <v>178</v>
      </c>
      <c r="F587" s="1" t="s">
        <v>1766</v>
      </c>
      <c r="I587" s="1" t="s">
        <v>19</v>
      </c>
      <c r="L587" s="1" t="s">
        <v>1767</v>
      </c>
      <c r="M587" s="1" t="s">
        <v>1766</v>
      </c>
      <c r="N587" s="1">
        <v>149</v>
      </c>
      <c r="O587" s="1" t="s">
        <v>1768</v>
      </c>
    </row>
    <row r="588" spans="1:17" x14ac:dyDescent="0.35">
      <c r="A588" s="1" t="s">
        <v>15</v>
      </c>
      <c r="B588" s="1">
        <v>593563</v>
      </c>
      <c r="C588" s="1">
        <v>594834</v>
      </c>
      <c r="E588" s="1" t="s">
        <v>178</v>
      </c>
      <c r="F588" s="1" t="s">
        <v>1769</v>
      </c>
      <c r="G588" s="1" t="s">
        <v>1770</v>
      </c>
      <c r="I588" s="1" t="s">
        <v>19</v>
      </c>
      <c r="L588" s="1" t="s">
        <v>1771</v>
      </c>
      <c r="M588" s="1" t="s">
        <v>1769</v>
      </c>
      <c r="N588" s="1">
        <v>423</v>
      </c>
      <c r="O588" s="1" t="s">
        <v>1772</v>
      </c>
      <c r="Q588" s="14"/>
    </row>
    <row r="589" spans="1:17" x14ac:dyDescent="0.35">
      <c r="A589" s="1" t="s">
        <v>15</v>
      </c>
      <c r="B589" s="1">
        <v>594836</v>
      </c>
      <c r="C589" s="1">
        <v>596005</v>
      </c>
      <c r="E589" s="1" t="s">
        <v>178</v>
      </c>
      <c r="F589" s="1" t="s">
        <v>1773</v>
      </c>
      <c r="G589" s="1" t="s">
        <v>1774</v>
      </c>
      <c r="I589" s="1" t="s">
        <v>19</v>
      </c>
      <c r="L589" s="1" t="s">
        <v>1775</v>
      </c>
      <c r="M589" s="1" t="s">
        <v>1773</v>
      </c>
      <c r="N589" s="1">
        <v>389</v>
      </c>
      <c r="O589" s="1" t="s">
        <v>1776</v>
      </c>
      <c r="Q589" s="14"/>
    </row>
    <row r="590" spans="1:17" x14ac:dyDescent="0.35">
      <c r="A590" s="1" t="s">
        <v>15</v>
      </c>
      <c r="B590" s="1">
        <v>596476</v>
      </c>
      <c r="C590" s="1">
        <v>597336</v>
      </c>
      <c r="E590" s="1" t="s">
        <v>16</v>
      </c>
      <c r="F590" s="1" t="s">
        <v>1777</v>
      </c>
      <c r="G590" s="1" t="s">
        <v>1778</v>
      </c>
      <c r="I590" s="1" t="s">
        <v>19</v>
      </c>
      <c r="L590" s="1" t="s">
        <v>1779</v>
      </c>
      <c r="M590" s="1" t="s">
        <v>1777</v>
      </c>
      <c r="N590" s="1">
        <v>286</v>
      </c>
      <c r="O590" s="1" t="s">
        <v>1780</v>
      </c>
      <c r="Q590" s="14"/>
    </row>
    <row r="591" spans="1:17" x14ac:dyDescent="0.35">
      <c r="A591" s="1" t="s">
        <v>15</v>
      </c>
      <c r="B591" s="1">
        <v>597444</v>
      </c>
      <c r="C591" s="1">
        <v>597947</v>
      </c>
      <c r="E591" s="1" t="s">
        <v>16</v>
      </c>
      <c r="F591" s="1" t="s">
        <v>1781</v>
      </c>
      <c r="G591" s="1" t="s">
        <v>1782</v>
      </c>
      <c r="I591" s="1" t="s">
        <v>19</v>
      </c>
      <c r="L591" s="1" t="s">
        <v>1783</v>
      </c>
      <c r="M591" s="1" t="s">
        <v>1781</v>
      </c>
      <c r="N591" s="1">
        <v>167</v>
      </c>
      <c r="O591" s="1" t="s">
        <v>1784</v>
      </c>
      <c r="Q591" s="14"/>
    </row>
    <row r="592" spans="1:17" x14ac:dyDescent="0.35">
      <c r="A592" s="1" t="s">
        <v>15</v>
      </c>
      <c r="B592" s="1">
        <v>597952</v>
      </c>
      <c r="C592" s="1">
        <v>598122</v>
      </c>
      <c r="E592" s="1" t="s">
        <v>16</v>
      </c>
      <c r="F592" s="1" t="s">
        <v>50</v>
      </c>
      <c r="I592" s="1" t="s">
        <v>19</v>
      </c>
      <c r="L592" s="1" t="s">
        <v>1785</v>
      </c>
      <c r="M592" s="1" t="s">
        <v>50</v>
      </c>
      <c r="N592" s="1">
        <v>56</v>
      </c>
      <c r="O592" s="1" t="s">
        <v>1786</v>
      </c>
    </row>
    <row r="593" spans="1:17" x14ac:dyDescent="0.35">
      <c r="A593" s="1" t="s">
        <v>15</v>
      </c>
      <c r="B593" s="1">
        <v>598140</v>
      </c>
      <c r="C593" s="1">
        <v>599366</v>
      </c>
      <c r="E593" s="1" t="s">
        <v>16</v>
      </c>
      <c r="F593" s="1" t="s">
        <v>1787</v>
      </c>
      <c r="G593" s="1" t="s">
        <v>1788</v>
      </c>
      <c r="I593" s="1" t="s">
        <v>19</v>
      </c>
      <c r="L593" s="1" t="s">
        <v>1789</v>
      </c>
      <c r="M593" s="1" t="s">
        <v>1787</v>
      </c>
      <c r="N593" s="1">
        <v>408</v>
      </c>
      <c r="O593" s="1" t="s">
        <v>1790</v>
      </c>
    </row>
    <row r="594" spans="1:17" x14ac:dyDescent="0.35">
      <c r="A594" s="1" t="s">
        <v>15</v>
      </c>
      <c r="B594" s="1">
        <v>599376</v>
      </c>
      <c r="C594" s="1">
        <v>599975</v>
      </c>
      <c r="E594" s="1" t="s">
        <v>16</v>
      </c>
      <c r="F594" s="1" t="s">
        <v>1791</v>
      </c>
      <c r="G594" s="1" t="s">
        <v>1792</v>
      </c>
      <c r="I594" s="1" t="s">
        <v>19</v>
      </c>
      <c r="L594" s="1" t="s">
        <v>1793</v>
      </c>
      <c r="M594" s="1" t="s">
        <v>1791</v>
      </c>
      <c r="N594" s="1">
        <v>199</v>
      </c>
      <c r="O594" s="1" t="s">
        <v>1794</v>
      </c>
    </row>
    <row r="595" spans="1:17" x14ac:dyDescent="0.35">
      <c r="A595" s="1" t="s">
        <v>15</v>
      </c>
      <c r="B595" s="1">
        <v>600150</v>
      </c>
      <c r="C595" s="1">
        <v>601481</v>
      </c>
      <c r="E595" s="1" t="s">
        <v>16</v>
      </c>
      <c r="F595" s="1" t="s">
        <v>1795</v>
      </c>
      <c r="I595" s="1" t="s">
        <v>19</v>
      </c>
      <c r="L595" s="1" t="s">
        <v>1796</v>
      </c>
      <c r="M595" s="1" t="s">
        <v>1795</v>
      </c>
      <c r="N595" s="1">
        <v>443</v>
      </c>
      <c r="O595" s="1" t="s">
        <v>1797</v>
      </c>
    </row>
    <row r="596" spans="1:17" x14ac:dyDescent="0.35">
      <c r="A596" s="1" t="s">
        <v>15</v>
      </c>
      <c r="B596" s="1">
        <v>601493</v>
      </c>
      <c r="C596" s="1">
        <v>602443</v>
      </c>
      <c r="E596" s="1" t="s">
        <v>16</v>
      </c>
      <c r="F596" s="1" t="s">
        <v>1798</v>
      </c>
      <c r="G596" s="1" t="s">
        <v>1799</v>
      </c>
      <c r="I596" s="1" t="s">
        <v>19</v>
      </c>
      <c r="L596" s="1" t="s">
        <v>1800</v>
      </c>
      <c r="M596" s="1" t="s">
        <v>1798</v>
      </c>
      <c r="N596" s="1">
        <v>316</v>
      </c>
      <c r="O596" s="1" t="s">
        <v>1801</v>
      </c>
      <c r="Q596" s="14"/>
    </row>
    <row r="597" spans="1:17" x14ac:dyDescent="0.35">
      <c r="A597" s="1" t="s">
        <v>15</v>
      </c>
      <c r="B597" s="1">
        <v>602556</v>
      </c>
      <c r="C597" s="1">
        <v>602810</v>
      </c>
      <c r="E597" s="1" t="s">
        <v>16</v>
      </c>
      <c r="F597" s="1" t="s">
        <v>50</v>
      </c>
      <c r="I597" s="1" t="s">
        <v>19</v>
      </c>
      <c r="L597" s="1" t="s">
        <v>1802</v>
      </c>
      <c r="M597" s="1" t="s">
        <v>50</v>
      </c>
      <c r="N597" s="1">
        <v>84</v>
      </c>
      <c r="O597" s="1" t="s">
        <v>1803</v>
      </c>
    </row>
    <row r="598" spans="1:17" x14ac:dyDescent="0.35">
      <c r="A598" s="1" t="s">
        <v>15</v>
      </c>
      <c r="B598" s="1">
        <v>602885</v>
      </c>
      <c r="C598" s="1">
        <v>603262</v>
      </c>
      <c r="E598" s="1" t="s">
        <v>16</v>
      </c>
      <c r="F598" s="1" t="s">
        <v>231</v>
      </c>
      <c r="I598" s="1" t="s">
        <v>19</v>
      </c>
      <c r="L598" s="1" t="s">
        <v>1804</v>
      </c>
      <c r="M598" s="1" t="s">
        <v>231</v>
      </c>
      <c r="N598" s="1">
        <v>125</v>
      </c>
      <c r="O598" s="1" t="s">
        <v>1805</v>
      </c>
    </row>
    <row r="599" spans="1:17" x14ac:dyDescent="0.35">
      <c r="A599" s="1" t="s">
        <v>15</v>
      </c>
      <c r="B599" s="1">
        <v>603380</v>
      </c>
      <c r="C599" s="1">
        <v>604021</v>
      </c>
      <c r="E599" s="1" t="s">
        <v>178</v>
      </c>
      <c r="F599" s="1" t="s">
        <v>1806</v>
      </c>
      <c r="I599" s="1" t="s">
        <v>19</v>
      </c>
      <c r="L599" s="1" t="s">
        <v>1807</v>
      </c>
      <c r="M599" s="1" t="s">
        <v>1806</v>
      </c>
      <c r="N599" s="1">
        <v>213</v>
      </c>
      <c r="O599" s="1" t="s">
        <v>1808</v>
      </c>
    </row>
    <row r="600" spans="1:17" x14ac:dyDescent="0.35">
      <c r="A600" s="1" t="s">
        <v>15</v>
      </c>
      <c r="B600" s="1">
        <v>604159</v>
      </c>
      <c r="C600" s="1">
        <v>606108</v>
      </c>
      <c r="E600" s="1" t="s">
        <v>16</v>
      </c>
      <c r="F600" s="1" t="s">
        <v>1809</v>
      </c>
      <c r="G600" s="1" t="s">
        <v>1810</v>
      </c>
      <c r="I600" s="1" t="s">
        <v>19</v>
      </c>
      <c r="L600" s="1" t="s">
        <v>1811</v>
      </c>
      <c r="M600" s="1" t="s">
        <v>1809</v>
      </c>
      <c r="N600" s="1">
        <v>649</v>
      </c>
      <c r="O600" s="1" t="s">
        <v>1812</v>
      </c>
      <c r="Q600" s="14"/>
    </row>
    <row r="601" spans="1:17" x14ac:dyDescent="0.35">
      <c r="A601" s="1" t="s">
        <v>15</v>
      </c>
      <c r="B601" s="1">
        <v>606264</v>
      </c>
      <c r="C601" s="1">
        <v>606812</v>
      </c>
      <c r="E601" s="1" t="s">
        <v>16</v>
      </c>
      <c r="F601" s="1" t="s">
        <v>54</v>
      </c>
      <c r="I601" s="1" t="s">
        <v>19</v>
      </c>
      <c r="L601" s="1" t="s">
        <v>1813</v>
      </c>
      <c r="M601" s="1" t="s">
        <v>54</v>
      </c>
      <c r="N601" s="1">
        <v>182</v>
      </c>
      <c r="O601" s="1" t="s">
        <v>1814</v>
      </c>
    </row>
    <row r="602" spans="1:17" x14ac:dyDescent="0.35">
      <c r="A602" s="1" t="s">
        <v>15</v>
      </c>
      <c r="B602" s="1">
        <v>606817</v>
      </c>
      <c r="C602" s="1">
        <v>607344</v>
      </c>
      <c r="E602" s="1" t="s">
        <v>16</v>
      </c>
      <c r="F602" s="1" t="s">
        <v>54</v>
      </c>
      <c r="I602" s="1" t="s">
        <v>19</v>
      </c>
      <c r="L602" s="1" t="s">
        <v>1815</v>
      </c>
      <c r="M602" s="1" t="s">
        <v>54</v>
      </c>
      <c r="N602" s="1">
        <v>175</v>
      </c>
      <c r="O602" s="1" t="s">
        <v>1816</v>
      </c>
    </row>
    <row r="603" spans="1:17" x14ac:dyDescent="0.35">
      <c r="A603" s="1" t="s">
        <v>15</v>
      </c>
      <c r="B603" s="1">
        <v>607431</v>
      </c>
      <c r="C603" s="1">
        <v>609887</v>
      </c>
      <c r="E603" s="1" t="s">
        <v>16</v>
      </c>
      <c r="F603" s="1" t="s">
        <v>1817</v>
      </c>
      <c r="G603" s="1" t="s">
        <v>1818</v>
      </c>
      <c r="I603" s="1" t="s">
        <v>19</v>
      </c>
      <c r="L603" s="1" t="s">
        <v>1819</v>
      </c>
      <c r="M603" s="1" t="s">
        <v>1817</v>
      </c>
      <c r="N603" s="1">
        <v>818</v>
      </c>
      <c r="O603" s="1" t="s">
        <v>1820</v>
      </c>
      <c r="Q603" s="14"/>
    </row>
    <row r="604" spans="1:17" x14ac:dyDescent="0.35">
      <c r="A604" s="1" t="s">
        <v>15</v>
      </c>
      <c r="B604" s="1">
        <v>610054</v>
      </c>
      <c r="C604" s="1">
        <v>611076</v>
      </c>
      <c r="E604" s="1" t="s">
        <v>16</v>
      </c>
      <c r="F604" s="1" t="s">
        <v>1821</v>
      </c>
      <c r="G604" s="1" t="s">
        <v>1822</v>
      </c>
      <c r="I604" s="1" t="s">
        <v>19</v>
      </c>
      <c r="L604" s="1" t="s">
        <v>1823</v>
      </c>
      <c r="M604" s="1" t="s">
        <v>1821</v>
      </c>
      <c r="N604" s="1">
        <v>340</v>
      </c>
      <c r="O604" s="1" t="s">
        <v>1824</v>
      </c>
    </row>
    <row r="605" spans="1:17" x14ac:dyDescent="0.35">
      <c r="A605" s="1" t="s">
        <v>15</v>
      </c>
      <c r="B605" s="1">
        <v>611194</v>
      </c>
      <c r="C605" s="1">
        <v>611424</v>
      </c>
      <c r="E605" s="1" t="s">
        <v>16</v>
      </c>
      <c r="F605" s="1" t="s">
        <v>50</v>
      </c>
      <c r="I605" s="1" t="s">
        <v>19</v>
      </c>
      <c r="L605" s="1" t="s">
        <v>1825</v>
      </c>
      <c r="M605" s="1" t="s">
        <v>50</v>
      </c>
      <c r="N605" s="1">
        <v>76</v>
      </c>
      <c r="O605" s="1" t="s">
        <v>1826</v>
      </c>
    </row>
    <row r="606" spans="1:17" x14ac:dyDescent="0.35">
      <c r="A606" s="1" t="s">
        <v>15</v>
      </c>
      <c r="B606" s="1">
        <v>611485</v>
      </c>
      <c r="C606" s="1">
        <v>611565</v>
      </c>
      <c r="E606" s="1" t="s">
        <v>16</v>
      </c>
      <c r="F606" s="1" t="s">
        <v>266</v>
      </c>
      <c r="I606" s="1" t="s">
        <v>75</v>
      </c>
      <c r="O606" s="1" t="s">
        <v>1827</v>
      </c>
    </row>
    <row r="607" spans="1:17" x14ac:dyDescent="0.35">
      <c r="A607" s="1" t="s">
        <v>15</v>
      </c>
      <c r="B607" s="1">
        <v>611634</v>
      </c>
      <c r="C607" s="1">
        <v>611705</v>
      </c>
      <c r="E607" s="1" t="s">
        <v>16</v>
      </c>
      <c r="F607" s="1" t="s">
        <v>272</v>
      </c>
      <c r="I607" s="1" t="s">
        <v>75</v>
      </c>
      <c r="O607" s="1" t="s">
        <v>1828</v>
      </c>
    </row>
    <row r="608" spans="1:17" x14ac:dyDescent="0.35">
      <c r="A608" s="1" t="s">
        <v>15</v>
      </c>
      <c r="B608" s="1">
        <v>611826</v>
      </c>
      <c r="C608" s="1">
        <v>613028</v>
      </c>
      <c r="E608" s="1" t="s">
        <v>16</v>
      </c>
      <c r="F608" s="1" t="s">
        <v>1829</v>
      </c>
      <c r="G608" s="1" t="s">
        <v>1830</v>
      </c>
      <c r="I608" s="1" t="s">
        <v>19</v>
      </c>
      <c r="L608" s="1" t="s">
        <v>1831</v>
      </c>
      <c r="M608" s="1" t="s">
        <v>1829</v>
      </c>
      <c r="N608" s="1">
        <v>400</v>
      </c>
      <c r="O608" s="1" t="s">
        <v>1832</v>
      </c>
    </row>
    <row r="609" spans="1:17" x14ac:dyDescent="0.35">
      <c r="A609" s="1" t="s">
        <v>15</v>
      </c>
      <c r="B609" s="1">
        <v>613097</v>
      </c>
      <c r="C609" s="1">
        <v>613168</v>
      </c>
      <c r="E609" s="1" t="s">
        <v>16</v>
      </c>
      <c r="F609" s="1" t="s">
        <v>96</v>
      </c>
      <c r="I609" s="1" t="s">
        <v>75</v>
      </c>
      <c r="O609" s="1" t="s">
        <v>1833</v>
      </c>
    </row>
    <row r="610" spans="1:17" x14ac:dyDescent="0.35">
      <c r="A610" s="1" t="s">
        <v>15</v>
      </c>
      <c r="B610" s="1">
        <v>613813</v>
      </c>
      <c r="C610" s="1">
        <v>614433</v>
      </c>
      <c r="E610" s="1" t="s">
        <v>16</v>
      </c>
      <c r="F610" s="1" t="s">
        <v>1834</v>
      </c>
      <c r="I610" s="1" t="s">
        <v>19</v>
      </c>
      <c r="L610" s="1" t="s">
        <v>1835</v>
      </c>
      <c r="M610" s="1" t="s">
        <v>1834</v>
      </c>
      <c r="N610" s="1">
        <v>206</v>
      </c>
      <c r="O610" s="1" t="s">
        <v>1836</v>
      </c>
    </row>
    <row r="611" spans="1:17" x14ac:dyDescent="0.35">
      <c r="A611" s="1" t="s">
        <v>15</v>
      </c>
      <c r="B611" s="1">
        <v>614516</v>
      </c>
      <c r="C611" s="1">
        <v>615199</v>
      </c>
      <c r="E611" s="1" t="s">
        <v>16</v>
      </c>
      <c r="F611" s="1" t="s">
        <v>54</v>
      </c>
      <c r="I611" s="1" t="s">
        <v>19</v>
      </c>
      <c r="L611" s="1" t="s">
        <v>1837</v>
      </c>
      <c r="M611" s="1" t="s">
        <v>54</v>
      </c>
      <c r="N611" s="1">
        <v>227</v>
      </c>
      <c r="O611" s="1" t="s">
        <v>1838</v>
      </c>
    </row>
    <row r="612" spans="1:17" x14ac:dyDescent="0.35">
      <c r="A612" s="1" t="s">
        <v>15</v>
      </c>
      <c r="B612" s="1">
        <v>615177</v>
      </c>
      <c r="C612" s="1">
        <v>616412</v>
      </c>
      <c r="E612" s="1" t="s">
        <v>16</v>
      </c>
      <c r="F612" s="1" t="s">
        <v>1839</v>
      </c>
      <c r="G612" s="1" t="s">
        <v>1840</v>
      </c>
      <c r="I612" s="1" t="s">
        <v>19</v>
      </c>
      <c r="L612" s="1" t="s">
        <v>1841</v>
      </c>
      <c r="M612" s="1" t="s">
        <v>1839</v>
      </c>
      <c r="N612" s="1">
        <v>411</v>
      </c>
      <c r="O612" s="1" t="s">
        <v>1842</v>
      </c>
    </row>
    <row r="613" spans="1:17" x14ac:dyDescent="0.35">
      <c r="A613" s="1" t="s">
        <v>15</v>
      </c>
      <c r="B613" s="1">
        <v>616510</v>
      </c>
      <c r="C613" s="1">
        <v>617472</v>
      </c>
      <c r="E613" s="1" t="s">
        <v>16</v>
      </c>
      <c r="F613" s="1" t="s">
        <v>1843</v>
      </c>
      <c r="G613" s="1" t="s">
        <v>1844</v>
      </c>
      <c r="I613" s="1" t="s">
        <v>19</v>
      </c>
      <c r="L613" s="1" t="s">
        <v>1845</v>
      </c>
      <c r="M613" s="1" t="s">
        <v>1843</v>
      </c>
      <c r="N613" s="1">
        <v>320</v>
      </c>
      <c r="O613" s="1" t="s">
        <v>1846</v>
      </c>
      <c r="Q613" s="14"/>
    </row>
    <row r="614" spans="1:17" x14ac:dyDescent="0.35">
      <c r="A614" s="1" t="s">
        <v>15</v>
      </c>
      <c r="B614" s="1">
        <v>617518</v>
      </c>
      <c r="C614" s="1">
        <v>617820</v>
      </c>
      <c r="E614" s="1" t="s">
        <v>178</v>
      </c>
      <c r="F614" s="1" t="s">
        <v>54</v>
      </c>
      <c r="I614" s="1" t="s">
        <v>19</v>
      </c>
      <c r="L614" s="1" t="s">
        <v>1847</v>
      </c>
      <c r="M614" s="1" t="s">
        <v>54</v>
      </c>
      <c r="N614" s="1">
        <v>100</v>
      </c>
      <c r="O614" s="1" t="s">
        <v>1848</v>
      </c>
    </row>
    <row r="615" spans="1:17" x14ac:dyDescent="0.35">
      <c r="A615" s="1" t="s">
        <v>15</v>
      </c>
      <c r="B615" s="1">
        <v>617830</v>
      </c>
      <c r="C615" s="1">
        <v>618288</v>
      </c>
      <c r="E615" s="1" t="s">
        <v>178</v>
      </c>
      <c r="F615" s="1" t="s">
        <v>1849</v>
      </c>
      <c r="I615" s="1" t="s">
        <v>19</v>
      </c>
      <c r="L615" s="1" t="s">
        <v>1850</v>
      </c>
      <c r="M615" s="1" t="s">
        <v>1849</v>
      </c>
      <c r="N615" s="1">
        <v>152</v>
      </c>
      <c r="O615" s="1" t="s">
        <v>1851</v>
      </c>
    </row>
    <row r="616" spans="1:17" x14ac:dyDescent="0.35">
      <c r="A616" s="1" t="s">
        <v>15</v>
      </c>
      <c r="B616" s="1">
        <v>618431</v>
      </c>
      <c r="C616" s="1">
        <v>620701</v>
      </c>
      <c r="E616" s="1" t="s">
        <v>178</v>
      </c>
      <c r="F616" s="1" t="s">
        <v>1852</v>
      </c>
      <c r="G616" s="1" t="s">
        <v>1853</v>
      </c>
      <c r="I616" s="1" t="s">
        <v>19</v>
      </c>
      <c r="L616" s="1" t="s">
        <v>1854</v>
      </c>
      <c r="M616" s="1" t="s">
        <v>1852</v>
      </c>
      <c r="N616" s="1">
        <v>756</v>
      </c>
      <c r="O616" s="1" t="s">
        <v>1855</v>
      </c>
    </row>
    <row r="617" spans="1:17" x14ac:dyDescent="0.35">
      <c r="A617" s="1" t="s">
        <v>15</v>
      </c>
      <c r="B617" s="1">
        <v>620944</v>
      </c>
      <c r="C617" s="1">
        <v>621924</v>
      </c>
      <c r="E617" s="1" t="s">
        <v>16</v>
      </c>
      <c r="F617" s="1" t="s">
        <v>1856</v>
      </c>
      <c r="G617" s="1" t="s">
        <v>1857</v>
      </c>
      <c r="I617" s="1" t="s">
        <v>19</v>
      </c>
      <c r="L617" s="1" t="s">
        <v>1858</v>
      </c>
      <c r="M617" s="1" t="s">
        <v>1856</v>
      </c>
      <c r="N617" s="1">
        <v>326</v>
      </c>
      <c r="O617" s="1" t="s">
        <v>1859</v>
      </c>
      <c r="Q617" s="14"/>
    </row>
    <row r="618" spans="1:17" x14ac:dyDescent="0.35">
      <c r="A618" s="1" t="s">
        <v>15</v>
      </c>
      <c r="B618" s="1">
        <v>621993</v>
      </c>
      <c r="C618" s="1">
        <v>622223</v>
      </c>
      <c r="E618" s="1" t="s">
        <v>16</v>
      </c>
      <c r="F618" s="1" t="s">
        <v>26</v>
      </c>
      <c r="I618" s="1" t="s">
        <v>19</v>
      </c>
      <c r="L618" s="1" t="s">
        <v>1860</v>
      </c>
      <c r="M618" s="1" t="s">
        <v>26</v>
      </c>
      <c r="N618" s="1">
        <v>76</v>
      </c>
      <c r="O618" s="1" t="s">
        <v>1861</v>
      </c>
    </row>
    <row r="619" spans="1:17" x14ac:dyDescent="0.35">
      <c r="A619" s="1" t="s">
        <v>15</v>
      </c>
      <c r="B619" s="1">
        <v>622537</v>
      </c>
      <c r="C619" s="1">
        <v>623217</v>
      </c>
      <c r="E619" s="1" t="s">
        <v>16</v>
      </c>
      <c r="F619" s="1" t="s">
        <v>1862</v>
      </c>
      <c r="I619" s="1" t="s">
        <v>19</v>
      </c>
      <c r="L619" s="1" t="s">
        <v>1863</v>
      </c>
      <c r="M619" s="1" t="s">
        <v>1862</v>
      </c>
      <c r="N619" s="1">
        <v>226</v>
      </c>
      <c r="O619" s="1" t="s">
        <v>1864</v>
      </c>
    </row>
    <row r="620" spans="1:17" x14ac:dyDescent="0.35">
      <c r="A620" s="1" t="s">
        <v>15</v>
      </c>
      <c r="B620" s="1">
        <v>623217</v>
      </c>
      <c r="C620" s="1">
        <v>623951</v>
      </c>
      <c r="E620" s="1" t="s">
        <v>16</v>
      </c>
      <c r="F620" s="1" t="s">
        <v>535</v>
      </c>
      <c r="I620" s="1" t="s">
        <v>19</v>
      </c>
      <c r="L620" s="1" t="s">
        <v>1865</v>
      </c>
      <c r="M620" s="1" t="s">
        <v>535</v>
      </c>
      <c r="N620" s="1">
        <v>244</v>
      </c>
      <c r="O620" s="1" t="s">
        <v>1866</v>
      </c>
    </row>
    <row r="621" spans="1:17" x14ac:dyDescent="0.35">
      <c r="A621" s="1" t="s">
        <v>15</v>
      </c>
      <c r="B621" s="1">
        <v>624123</v>
      </c>
      <c r="C621" s="1">
        <v>624599</v>
      </c>
      <c r="E621" s="1" t="s">
        <v>16</v>
      </c>
      <c r="F621" s="1" t="s">
        <v>1867</v>
      </c>
      <c r="G621" s="1" t="s">
        <v>1868</v>
      </c>
      <c r="I621" s="1" t="s">
        <v>19</v>
      </c>
      <c r="L621" s="1" t="s">
        <v>1869</v>
      </c>
      <c r="M621" s="1" t="s">
        <v>1867</v>
      </c>
      <c r="N621" s="1">
        <v>158</v>
      </c>
      <c r="O621" s="1" t="s">
        <v>1870</v>
      </c>
    </row>
    <row r="622" spans="1:17" x14ac:dyDescent="0.35">
      <c r="A622" s="1" t="s">
        <v>15</v>
      </c>
      <c r="B622" s="1">
        <v>624596</v>
      </c>
      <c r="C622" s="1">
        <v>626734</v>
      </c>
      <c r="E622" s="1" t="s">
        <v>16</v>
      </c>
      <c r="F622" s="1" t="s">
        <v>1871</v>
      </c>
      <c r="G622" s="1" t="s">
        <v>1872</v>
      </c>
      <c r="I622" s="1" t="s">
        <v>19</v>
      </c>
      <c r="L622" s="1" t="s">
        <v>1873</v>
      </c>
      <c r="M622" s="1" t="s">
        <v>1871</v>
      </c>
      <c r="N622" s="1">
        <v>712</v>
      </c>
      <c r="O622" s="1" t="s">
        <v>1874</v>
      </c>
    </row>
    <row r="623" spans="1:17" x14ac:dyDescent="0.35">
      <c r="A623" s="1" t="s">
        <v>15</v>
      </c>
      <c r="B623" s="1">
        <v>626752</v>
      </c>
      <c r="C623" s="1">
        <v>626892</v>
      </c>
      <c r="E623" s="1" t="s">
        <v>16</v>
      </c>
      <c r="F623" s="1" t="s">
        <v>54</v>
      </c>
      <c r="I623" s="1" t="s">
        <v>19</v>
      </c>
      <c r="L623" s="1" t="s">
        <v>1875</v>
      </c>
      <c r="M623" s="1" t="s">
        <v>54</v>
      </c>
      <c r="N623" s="1">
        <v>46</v>
      </c>
      <c r="O623" s="1" t="s">
        <v>1876</v>
      </c>
    </row>
    <row r="624" spans="1:17" x14ac:dyDescent="0.35">
      <c r="A624" s="1" t="s">
        <v>15</v>
      </c>
      <c r="B624" s="1">
        <v>627047</v>
      </c>
      <c r="C624" s="1">
        <v>627823</v>
      </c>
      <c r="E624" s="1" t="s">
        <v>16</v>
      </c>
      <c r="F624" s="1" t="s">
        <v>1877</v>
      </c>
      <c r="I624" s="1" t="s">
        <v>19</v>
      </c>
      <c r="L624" s="1" t="s">
        <v>1878</v>
      </c>
      <c r="M624" s="1" t="s">
        <v>1877</v>
      </c>
      <c r="N624" s="1">
        <v>258</v>
      </c>
      <c r="O624" s="1" t="s">
        <v>1879</v>
      </c>
    </row>
    <row r="625" spans="1:17" x14ac:dyDescent="0.35">
      <c r="A625" s="1" t="s">
        <v>15</v>
      </c>
      <c r="B625" s="1">
        <v>627973</v>
      </c>
      <c r="C625" s="1">
        <v>628827</v>
      </c>
      <c r="E625" s="1" t="s">
        <v>16</v>
      </c>
      <c r="F625" s="1" t="s">
        <v>1880</v>
      </c>
      <c r="G625" s="1" t="s">
        <v>1881</v>
      </c>
      <c r="I625" s="1" t="s">
        <v>19</v>
      </c>
      <c r="L625" s="1" t="s">
        <v>1882</v>
      </c>
      <c r="M625" s="1" t="s">
        <v>1880</v>
      </c>
      <c r="N625" s="1">
        <v>284</v>
      </c>
      <c r="O625" s="1" t="s">
        <v>1883</v>
      </c>
      <c r="Q625" s="14"/>
    </row>
    <row r="626" spans="1:17" x14ac:dyDescent="0.35">
      <c r="A626" s="1" t="s">
        <v>15</v>
      </c>
      <c r="B626" s="1">
        <v>628831</v>
      </c>
      <c r="C626" s="1">
        <v>629667</v>
      </c>
      <c r="E626" s="1" t="s">
        <v>16</v>
      </c>
      <c r="F626" s="1" t="s">
        <v>1884</v>
      </c>
      <c r="G626" s="1" t="s">
        <v>1885</v>
      </c>
      <c r="I626" s="1" t="s">
        <v>19</v>
      </c>
      <c r="L626" s="1" t="s">
        <v>1886</v>
      </c>
      <c r="M626" s="1" t="s">
        <v>1884</v>
      </c>
      <c r="N626" s="1">
        <v>278</v>
      </c>
      <c r="O626" s="1" t="s">
        <v>1887</v>
      </c>
      <c r="Q626" s="14"/>
    </row>
    <row r="627" spans="1:17" x14ac:dyDescent="0.35">
      <c r="A627" s="1" t="s">
        <v>15</v>
      </c>
      <c r="B627" s="1">
        <v>629792</v>
      </c>
      <c r="C627" s="1">
        <v>631906</v>
      </c>
      <c r="E627" s="1" t="s">
        <v>16</v>
      </c>
      <c r="F627" s="1" t="s">
        <v>1888</v>
      </c>
      <c r="G627" s="1" t="s">
        <v>1889</v>
      </c>
      <c r="I627" s="1" t="s">
        <v>19</v>
      </c>
      <c r="L627" s="1" t="s">
        <v>1890</v>
      </c>
      <c r="M627" s="1" t="s">
        <v>1888</v>
      </c>
      <c r="N627" s="1">
        <v>704</v>
      </c>
      <c r="O627" s="1" t="s">
        <v>1891</v>
      </c>
      <c r="Q627" s="14"/>
    </row>
    <row r="628" spans="1:17" x14ac:dyDescent="0.35">
      <c r="A628" s="1" t="s">
        <v>15</v>
      </c>
      <c r="B628" s="1">
        <v>632048</v>
      </c>
      <c r="C628" s="1">
        <v>632644</v>
      </c>
      <c r="E628" s="1" t="s">
        <v>16</v>
      </c>
      <c r="F628" s="1" t="s">
        <v>1892</v>
      </c>
      <c r="G628" s="1" t="s">
        <v>1893</v>
      </c>
      <c r="I628" s="1" t="s">
        <v>19</v>
      </c>
      <c r="L628" s="1" t="s">
        <v>1894</v>
      </c>
      <c r="M628" s="1" t="s">
        <v>1892</v>
      </c>
      <c r="N628" s="1">
        <v>198</v>
      </c>
      <c r="O628" s="1" t="s">
        <v>1895</v>
      </c>
    </row>
    <row r="629" spans="1:17" x14ac:dyDescent="0.35">
      <c r="A629" s="1" t="s">
        <v>15</v>
      </c>
      <c r="B629" s="1">
        <v>632745</v>
      </c>
      <c r="C629" s="1">
        <v>633587</v>
      </c>
      <c r="E629" s="1" t="s">
        <v>16</v>
      </c>
      <c r="F629" s="1" t="s">
        <v>1896</v>
      </c>
      <c r="G629" s="1" t="s">
        <v>1897</v>
      </c>
      <c r="I629" s="1" t="s">
        <v>19</v>
      </c>
      <c r="L629" s="1" t="s">
        <v>1898</v>
      </c>
      <c r="M629" s="1" t="s">
        <v>1896</v>
      </c>
      <c r="N629" s="1">
        <v>280</v>
      </c>
      <c r="O629" s="1" t="s">
        <v>1899</v>
      </c>
    </row>
    <row r="630" spans="1:17" x14ac:dyDescent="0.35">
      <c r="A630" s="1" t="s">
        <v>15</v>
      </c>
      <c r="B630" s="1">
        <v>633805</v>
      </c>
      <c r="C630" s="1">
        <v>634302</v>
      </c>
      <c r="E630" s="1" t="s">
        <v>16</v>
      </c>
      <c r="F630" s="1" t="s">
        <v>1900</v>
      </c>
      <c r="G630" s="1" t="s">
        <v>1901</v>
      </c>
      <c r="I630" s="1" t="s">
        <v>19</v>
      </c>
      <c r="L630" s="1" t="s">
        <v>1902</v>
      </c>
      <c r="M630" s="1" t="s">
        <v>1900</v>
      </c>
      <c r="N630" s="1">
        <v>165</v>
      </c>
      <c r="O630" s="1" t="s">
        <v>1903</v>
      </c>
      <c r="Q630" s="14"/>
    </row>
    <row r="631" spans="1:17" x14ac:dyDescent="0.35">
      <c r="A631" s="1" t="s">
        <v>15</v>
      </c>
      <c r="B631" s="1">
        <v>634283</v>
      </c>
      <c r="C631" s="1">
        <v>634687</v>
      </c>
      <c r="E631" s="1" t="s">
        <v>16</v>
      </c>
      <c r="F631" s="1" t="s">
        <v>1904</v>
      </c>
      <c r="G631" s="1" t="s">
        <v>1905</v>
      </c>
      <c r="I631" s="1" t="s">
        <v>19</v>
      </c>
      <c r="L631" s="1" t="s">
        <v>1906</v>
      </c>
      <c r="M631" s="1" t="s">
        <v>1904</v>
      </c>
      <c r="N631" s="1">
        <v>134</v>
      </c>
      <c r="O631" s="1" t="s">
        <v>1907</v>
      </c>
      <c r="Q631" s="14"/>
    </row>
    <row r="632" spans="1:17" x14ac:dyDescent="0.35">
      <c r="A632" s="1" t="s">
        <v>15</v>
      </c>
      <c r="B632" s="1">
        <v>634710</v>
      </c>
      <c r="C632" s="1">
        <v>635609</v>
      </c>
      <c r="E632" s="1" t="s">
        <v>16</v>
      </c>
      <c r="F632" s="1" t="s">
        <v>1908</v>
      </c>
      <c r="G632" s="1" t="s">
        <v>1909</v>
      </c>
      <c r="I632" s="1" t="s">
        <v>19</v>
      </c>
      <c r="L632" s="1" t="s">
        <v>1910</v>
      </c>
      <c r="M632" s="1" t="s">
        <v>1908</v>
      </c>
      <c r="N632" s="1">
        <v>299</v>
      </c>
      <c r="O632" s="1" t="s">
        <v>1911</v>
      </c>
    </row>
    <row r="633" spans="1:17" x14ac:dyDescent="0.35">
      <c r="A633" s="1" t="s">
        <v>15</v>
      </c>
      <c r="B633" s="1">
        <v>635654</v>
      </c>
      <c r="C633" s="1">
        <v>636475</v>
      </c>
      <c r="E633" s="1" t="s">
        <v>16</v>
      </c>
      <c r="F633" s="1" t="s">
        <v>1912</v>
      </c>
      <c r="G633" s="1" t="s">
        <v>1913</v>
      </c>
      <c r="I633" s="1" t="s">
        <v>19</v>
      </c>
      <c r="L633" s="1" t="s">
        <v>1914</v>
      </c>
      <c r="M633" s="1" t="s">
        <v>1912</v>
      </c>
      <c r="N633" s="1">
        <v>273</v>
      </c>
      <c r="O633" s="1" t="s">
        <v>1915</v>
      </c>
      <c r="Q633" s="14"/>
    </row>
    <row r="634" spans="1:17" x14ac:dyDescent="0.35">
      <c r="A634" s="1" t="s">
        <v>15</v>
      </c>
      <c r="B634" s="1">
        <v>636472</v>
      </c>
      <c r="C634" s="1">
        <v>637065</v>
      </c>
      <c r="E634" s="1" t="s">
        <v>16</v>
      </c>
      <c r="F634" s="1" t="s">
        <v>1916</v>
      </c>
      <c r="G634" s="1" t="s">
        <v>1917</v>
      </c>
      <c r="I634" s="1" t="s">
        <v>19</v>
      </c>
      <c r="L634" s="1" t="s">
        <v>1918</v>
      </c>
      <c r="M634" s="1" t="s">
        <v>1916</v>
      </c>
      <c r="N634" s="1">
        <v>197</v>
      </c>
      <c r="O634" s="1" t="s">
        <v>1919</v>
      </c>
      <c r="Q634" s="14"/>
    </row>
    <row r="635" spans="1:17" x14ac:dyDescent="0.35">
      <c r="A635" s="1" t="s">
        <v>15</v>
      </c>
      <c r="B635" s="1">
        <v>637116</v>
      </c>
      <c r="C635" s="1">
        <v>638339</v>
      </c>
      <c r="E635" s="1" t="s">
        <v>16</v>
      </c>
      <c r="F635" s="1" t="s">
        <v>1920</v>
      </c>
      <c r="G635" s="1" t="s">
        <v>1921</v>
      </c>
      <c r="I635" s="1" t="s">
        <v>19</v>
      </c>
      <c r="L635" s="1" t="s">
        <v>1922</v>
      </c>
      <c r="M635" s="1" t="s">
        <v>1920</v>
      </c>
      <c r="N635" s="1">
        <v>407</v>
      </c>
      <c r="O635" s="1" t="s">
        <v>1923</v>
      </c>
    </row>
    <row r="636" spans="1:17" x14ac:dyDescent="0.35">
      <c r="A636" s="1" t="s">
        <v>15</v>
      </c>
      <c r="B636" s="1">
        <v>638521</v>
      </c>
      <c r="C636" s="1">
        <v>638757</v>
      </c>
      <c r="E636" s="1" t="s">
        <v>16</v>
      </c>
      <c r="F636" s="1" t="s">
        <v>1924</v>
      </c>
      <c r="I636" s="1" t="s">
        <v>19</v>
      </c>
      <c r="L636" s="1" t="s">
        <v>1925</v>
      </c>
      <c r="M636" s="1" t="s">
        <v>1924</v>
      </c>
      <c r="N636" s="1">
        <v>78</v>
      </c>
      <c r="O636" s="1" t="s">
        <v>1926</v>
      </c>
    </row>
    <row r="637" spans="1:17" x14ac:dyDescent="0.35">
      <c r="A637" s="1" t="s">
        <v>15</v>
      </c>
      <c r="B637" s="1">
        <v>638820</v>
      </c>
      <c r="C637" s="1">
        <v>641273</v>
      </c>
      <c r="E637" s="1" t="s">
        <v>16</v>
      </c>
      <c r="F637" s="1" t="s">
        <v>1927</v>
      </c>
      <c r="G637" s="1" t="s">
        <v>1928</v>
      </c>
      <c r="I637" s="1" t="s">
        <v>19</v>
      </c>
      <c r="L637" s="1" t="s">
        <v>1929</v>
      </c>
      <c r="M637" s="1" t="s">
        <v>1927</v>
      </c>
      <c r="N637" s="1">
        <v>817</v>
      </c>
      <c r="O637" s="1" t="s">
        <v>1930</v>
      </c>
      <c r="Q637" s="14"/>
    </row>
    <row r="638" spans="1:17" x14ac:dyDescent="0.35">
      <c r="A638" s="1" t="s">
        <v>15</v>
      </c>
      <c r="B638" s="1">
        <v>641295</v>
      </c>
      <c r="C638" s="1">
        <v>641759</v>
      </c>
      <c r="E638" s="1" t="s">
        <v>16</v>
      </c>
      <c r="F638" s="1" t="s">
        <v>1931</v>
      </c>
      <c r="G638" s="1" t="s">
        <v>1932</v>
      </c>
      <c r="I638" s="1" t="s">
        <v>19</v>
      </c>
      <c r="L638" s="1" t="s">
        <v>1933</v>
      </c>
      <c r="M638" s="1" t="s">
        <v>1931</v>
      </c>
      <c r="N638" s="1">
        <v>154</v>
      </c>
      <c r="O638" s="1" t="s">
        <v>1934</v>
      </c>
    </row>
    <row r="639" spans="1:17" x14ac:dyDescent="0.35">
      <c r="A639" s="1" t="s">
        <v>15</v>
      </c>
      <c r="B639" s="1">
        <v>641906</v>
      </c>
      <c r="C639" s="1">
        <v>643312</v>
      </c>
      <c r="E639" s="1" t="s">
        <v>16</v>
      </c>
      <c r="F639" s="1" t="s">
        <v>1507</v>
      </c>
      <c r="G639" s="1" t="s">
        <v>1935</v>
      </c>
      <c r="I639" s="1" t="s">
        <v>19</v>
      </c>
      <c r="L639" s="1" t="s">
        <v>1936</v>
      </c>
      <c r="M639" s="1" t="s">
        <v>1507</v>
      </c>
      <c r="N639" s="1">
        <v>468</v>
      </c>
      <c r="O639" s="1" t="s">
        <v>1937</v>
      </c>
      <c r="Q639" s="14"/>
    </row>
    <row r="640" spans="1:17" x14ac:dyDescent="0.35">
      <c r="A640" s="1" t="s">
        <v>15</v>
      </c>
      <c r="B640" s="1">
        <v>643314</v>
      </c>
      <c r="C640" s="1">
        <v>643682</v>
      </c>
      <c r="E640" s="1" t="s">
        <v>16</v>
      </c>
      <c r="F640" s="1" t="s">
        <v>1938</v>
      </c>
      <c r="I640" s="1" t="s">
        <v>19</v>
      </c>
      <c r="L640" s="1" t="s">
        <v>1939</v>
      </c>
      <c r="M640" s="1" t="s">
        <v>1938</v>
      </c>
      <c r="N640" s="1">
        <v>122</v>
      </c>
      <c r="O640" s="1" t="s">
        <v>1940</v>
      </c>
    </row>
    <row r="641" spans="1:17" x14ac:dyDescent="0.35">
      <c r="A641" s="1" t="s">
        <v>15</v>
      </c>
      <c r="B641" s="1">
        <v>643779</v>
      </c>
      <c r="C641" s="1">
        <v>644861</v>
      </c>
      <c r="E641" s="1" t="s">
        <v>178</v>
      </c>
      <c r="F641" s="1" t="s">
        <v>1941</v>
      </c>
      <c r="G641" s="1" t="s">
        <v>1942</v>
      </c>
      <c r="I641" s="1" t="s">
        <v>19</v>
      </c>
      <c r="L641" s="1" t="s">
        <v>1943</v>
      </c>
      <c r="M641" s="1" t="s">
        <v>1941</v>
      </c>
      <c r="N641" s="1">
        <v>360</v>
      </c>
      <c r="O641" s="1" t="s">
        <v>1944</v>
      </c>
      <c r="Q641" s="14"/>
    </row>
    <row r="642" spans="1:17" x14ac:dyDescent="0.35">
      <c r="A642" s="1" t="s">
        <v>15</v>
      </c>
      <c r="B642" s="1">
        <v>645174</v>
      </c>
      <c r="C642" s="1">
        <v>646175</v>
      </c>
      <c r="E642" s="1" t="s">
        <v>16</v>
      </c>
      <c r="F642" s="1" t="s">
        <v>1945</v>
      </c>
      <c r="G642" s="1" t="s">
        <v>1946</v>
      </c>
      <c r="I642" s="1" t="s">
        <v>19</v>
      </c>
      <c r="L642" s="1" t="s">
        <v>1947</v>
      </c>
      <c r="M642" s="1" t="s">
        <v>1945</v>
      </c>
      <c r="N642" s="1">
        <v>333</v>
      </c>
      <c r="O642" s="1" t="s">
        <v>1948</v>
      </c>
    </row>
    <row r="643" spans="1:17" x14ac:dyDescent="0.35">
      <c r="A643" s="1" t="s">
        <v>15</v>
      </c>
      <c r="B643" s="1">
        <v>646235</v>
      </c>
      <c r="C643" s="1">
        <v>647302</v>
      </c>
      <c r="E643" s="1" t="s">
        <v>16</v>
      </c>
      <c r="F643" s="1" t="s">
        <v>1949</v>
      </c>
      <c r="I643" s="1" t="s">
        <v>19</v>
      </c>
      <c r="L643" s="1" t="s">
        <v>1950</v>
      </c>
      <c r="M643" s="1" t="s">
        <v>1949</v>
      </c>
      <c r="N643" s="1">
        <v>355</v>
      </c>
      <c r="O643" s="1" t="s">
        <v>1951</v>
      </c>
    </row>
    <row r="644" spans="1:17" x14ac:dyDescent="0.35">
      <c r="A644" s="1" t="s">
        <v>15</v>
      </c>
      <c r="B644" s="1">
        <v>647315</v>
      </c>
      <c r="C644" s="1">
        <v>648430</v>
      </c>
      <c r="E644" s="1" t="s">
        <v>16</v>
      </c>
      <c r="F644" s="1" t="s">
        <v>1952</v>
      </c>
      <c r="G644" s="1" t="s">
        <v>1953</v>
      </c>
      <c r="I644" s="1" t="s">
        <v>19</v>
      </c>
      <c r="L644" s="1" t="s">
        <v>1954</v>
      </c>
      <c r="M644" s="1" t="s">
        <v>1952</v>
      </c>
      <c r="N644" s="1">
        <v>371</v>
      </c>
      <c r="O644" s="1" t="s">
        <v>1955</v>
      </c>
      <c r="Q644" s="14"/>
    </row>
    <row r="645" spans="1:17" x14ac:dyDescent="0.35">
      <c r="A645" s="1" t="s">
        <v>15</v>
      </c>
      <c r="B645" s="1">
        <v>648461</v>
      </c>
      <c r="C645" s="1">
        <v>648916</v>
      </c>
      <c r="E645" s="1" t="s">
        <v>178</v>
      </c>
      <c r="F645" s="1" t="s">
        <v>1956</v>
      </c>
      <c r="G645" s="1" t="s">
        <v>1957</v>
      </c>
      <c r="I645" s="1" t="s">
        <v>19</v>
      </c>
      <c r="L645" s="1" t="s">
        <v>1958</v>
      </c>
      <c r="M645" s="1" t="s">
        <v>1956</v>
      </c>
      <c r="N645" s="1">
        <v>151</v>
      </c>
      <c r="O645" s="1" t="s">
        <v>1959</v>
      </c>
      <c r="Q645" s="14"/>
    </row>
    <row r="646" spans="1:17" x14ac:dyDescent="0.35">
      <c r="A646" s="1" t="s">
        <v>15</v>
      </c>
      <c r="B646" s="1">
        <v>649122</v>
      </c>
      <c r="C646" s="1">
        <v>650426</v>
      </c>
      <c r="E646" s="1" t="s">
        <v>16</v>
      </c>
      <c r="F646" s="1" t="s">
        <v>1960</v>
      </c>
      <c r="G646" s="1" t="s">
        <v>1961</v>
      </c>
      <c r="I646" s="1" t="s">
        <v>19</v>
      </c>
      <c r="L646" s="1" t="s">
        <v>1962</v>
      </c>
      <c r="M646" s="1" t="s">
        <v>1960</v>
      </c>
      <c r="N646" s="1">
        <v>434</v>
      </c>
      <c r="O646" s="1" t="s">
        <v>1963</v>
      </c>
      <c r="Q646" s="14"/>
    </row>
    <row r="647" spans="1:17" x14ac:dyDescent="0.35">
      <c r="A647" s="1" t="s">
        <v>15</v>
      </c>
      <c r="B647" s="1">
        <v>650578</v>
      </c>
      <c r="C647" s="1">
        <v>650763</v>
      </c>
      <c r="E647" s="1" t="s">
        <v>178</v>
      </c>
      <c r="F647" s="1" t="s">
        <v>50</v>
      </c>
      <c r="I647" s="1" t="s">
        <v>19</v>
      </c>
      <c r="L647" s="1" t="s">
        <v>1964</v>
      </c>
      <c r="M647" s="1" t="s">
        <v>50</v>
      </c>
      <c r="N647" s="1">
        <v>61</v>
      </c>
      <c r="O647" s="1" t="s">
        <v>1965</v>
      </c>
    </row>
    <row r="648" spans="1:17" x14ac:dyDescent="0.35">
      <c r="A648" s="1" t="s">
        <v>15</v>
      </c>
      <c r="B648" s="1">
        <v>650938</v>
      </c>
      <c r="C648" s="1">
        <v>653124</v>
      </c>
      <c r="E648" s="1" t="s">
        <v>178</v>
      </c>
      <c r="F648" s="1" t="s">
        <v>54</v>
      </c>
      <c r="I648" s="1" t="s">
        <v>19</v>
      </c>
      <c r="L648" s="1" t="s">
        <v>1966</v>
      </c>
      <c r="M648" s="1" t="s">
        <v>54</v>
      </c>
      <c r="N648" s="1">
        <v>728</v>
      </c>
      <c r="O648" s="1" t="s">
        <v>1967</v>
      </c>
    </row>
    <row r="649" spans="1:17" x14ac:dyDescent="0.35">
      <c r="A649" s="1" t="s">
        <v>15</v>
      </c>
      <c r="B649" s="1">
        <v>653286</v>
      </c>
      <c r="C649" s="1">
        <v>654449</v>
      </c>
      <c r="E649" s="1" t="s">
        <v>16</v>
      </c>
      <c r="F649" s="1" t="s">
        <v>1968</v>
      </c>
      <c r="I649" s="1" t="s">
        <v>19</v>
      </c>
      <c r="L649" s="1" t="s">
        <v>1969</v>
      </c>
      <c r="M649" s="1" t="s">
        <v>1968</v>
      </c>
      <c r="N649" s="1">
        <v>387</v>
      </c>
      <c r="O649" s="1" t="s">
        <v>1970</v>
      </c>
      <c r="Q649" s="14"/>
    </row>
    <row r="650" spans="1:17" x14ac:dyDescent="0.35">
      <c r="A650" s="1" t="s">
        <v>15</v>
      </c>
      <c r="B650" s="1">
        <v>654446</v>
      </c>
      <c r="C650" s="1">
        <v>655123</v>
      </c>
      <c r="E650" s="1" t="s">
        <v>16</v>
      </c>
      <c r="F650" s="1" t="s">
        <v>1971</v>
      </c>
      <c r="G650" s="1" t="s">
        <v>1972</v>
      </c>
      <c r="I650" s="1" t="s">
        <v>19</v>
      </c>
      <c r="L650" s="1" t="s">
        <v>1973</v>
      </c>
      <c r="M650" s="1" t="s">
        <v>1971</v>
      </c>
      <c r="N650" s="1">
        <v>225</v>
      </c>
      <c r="O650" s="1" t="s">
        <v>1974</v>
      </c>
      <c r="Q650" s="14"/>
    </row>
    <row r="651" spans="1:17" x14ac:dyDescent="0.35">
      <c r="A651" s="1" t="s">
        <v>15</v>
      </c>
      <c r="B651" s="1">
        <v>655113</v>
      </c>
      <c r="C651" s="1">
        <v>655970</v>
      </c>
      <c r="E651" s="1" t="s">
        <v>16</v>
      </c>
      <c r="F651" s="1" t="s">
        <v>1975</v>
      </c>
      <c r="G651" s="1" t="s">
        <v>1976</v>
      </c>
      <c r="I651" s="1" t="s">
        <v>19</v>
      </c>
      <c r="L651" s="1" t="s">
        <v>1977</v>
      </c>
      <c r="M651" s="1" t="s">
        <v>1975</v>
      </c>
      <c r="N651" s="1">
        <v>285</v>
      </c>
      <c r="O651" s="1" t="s">
        <v>1978</v>
      </c>
      <c r="Q651" s="14"/>
    </row>
    <row r="652" spans="1:17" x14ac:dyDescent="0.35">
      <c r="A652" s="1" t="s">
        <v>15</v>
      </c>
      <c r="B652" s="1">
        <v>655983</v>
      </c>
      <c r="C652" s="1">
        <v>657050</v>
      </c>
      <c r="E652" s="1" t="s">
        <v>16</v>
      </c>
      <c r="F652" s="1" t="s">
        <v>1979</v>
      </c>
      <c r="G652" s="1" t="s">
        <v>1980</v>
      </c>
      <c r="I652" s="1" t="s">
        <v>19</v>
      </c>
      <c r="L652" s="1" t="s">
        <v>1981</v>
      </c>
      <c r="M652" s="1" t="s">
        <v>1979</v>
      </c>
      <c r="N652" s="1">
        <v>355</v>
      </c>
      <c r="O652" s="1" t="s">
        <v>1982</v>
      </c>
      <c r="Q652" s="14"/>
    </row>
    <row r="653" spans="1:17" x14ac:dyDescent="0.35">
      <c r="A653" s="1" t="s">
        <v>15</v>
      </c>
      <c r="B653" s="1">
        <v>657051</v>
      </c>
      <c r="C653" s="1">
        <v>658217</v>
      </c>
      <c r="E653" s="1" t="s">
        <v>16</v>
      </c>
      <c r="F653" s="1" t="s">
        <v>1983</v>
      </c>
      <c r="G653" s="1" t="s">
        <v>1984</v>
      </c>
      <c r="I653" s="1" t="s">
        <v>19</v>
      </c>
      <c r="L653" s="1" t="s">
        <v>1985</v>
      </c>
      <c r="M653" s="1" t="s">
        <v>1983</v>
      </c>
      <c r="N653" s="1">
        <v>388</v>
      </c>
      <c r="O653" s="1" t="s">
        <v>1986</v>
      </c>
      <c r="Q653" s="14"/>
    </row>
    <row r="654" spans="1:17" x14ac:dyDescent="0.35">
      <c r="A654" s="1" t="s">
        <v>15</v>
      </c>
      <c r="B654" s="1">
        <v>658247</v>
      </c>
      <c r="C654" s="1">
        <v>659353</v>
      </c>
      <c r="E654" s="1" t="s">
        <v>16</v>
      </c>
      <c r="F654" s="1" t="s">
        <v>1987</v>
      </c>
      <c r="G654" s="1" t="s">
        <v>1988</v>
      </c>
      <c r="I654" s="1" t="s">
        <v>19</v>
      </c>
      <c r="L654" s="1" t="s">
        <v>1989</v>
      </c>
      <c r="M654" s="1" t="s">
        <v>1987</v>
      </c>
      <c r="N654" s="1">
        <v>368</v>
      </c>
      <c r="O654" s="1" t="s">
        <v>1990</v>
      </c>
      <c r="Q654" s="14"/>
    </row>
    <row r="655" spans="1:17" x14ac:dyDescent="0.35">
      <c r="A655" s="1" t="s">
        <v>15</v>
      </c>
      <c r="B655" s="1">
        <v>659363</v>
      </c>
      <c r="C655" s="1">
        <v>659701</v>
      </c>
      <c r="E655" s="1" t="s">
        <v>16</v>
      </c>
      <c r="F655" s="1" t="s">
        <v>1991</v>
      </c>
      <c r="I655" s="1" t="s">
        <v>19</v>
      </c>
      <c r="L655" s="1" t="s">
        <v>1992</v>
      </c>
      <c r="M655" s="1" t="s">
        <v>1991</v>
      </c>
      <c r="N655" s="1">
        <v>112</v>
      </c>
      <c r="O655" s="1" t="s">
        <v>1993</v>
      </c>
    </row>
    <row r="656" spans="1:17" x14ac:dyDescent="0.35">
      <c r="A656" s="1" t="s">
        <v>15</v>
      </c>
      <c r="B656" s="1">
        <v>659792</v>
      </c>
      <c r="C656" s="1">
        <v>660742</v>
      </c>
      <c r="E656" s="1" t="s">
        <v>16</v>
      </c>
      <c r="F656" s="1" t="s">
        <v>1994</v>
      </c>
      <c r="G656" s="1" t="s">
        <v>1995</v>
      </c>
      <c r="I656" s="1" t="s">
        <v>19</v>
      </c>
      <c r="L656" s="1" t="s">
        <v>1996</v>
      </c>
      <c r="M656" s="1" t="s">
        <v>1994</v>
      </c>
      <c r="N656" s="1">
        <v>316</v>
      </c>
      <c r="O656" s="1" t="s">
        <v>1997</v>
      </c>
      <c r="Q656" s="14"/>
    </row>
    <row r="657" spans="1:17" x14ac:dyDescent="0.35">
      <c r="A657" s="1" t="s">
        <v>15</v>
      </c>
      <c r="B657" s="1">
        <v>660823</v>
      </c>
      <c r="C657" s="1">
        <v>662106</v>
      </c>
      <c r="E657" s="1" t="s">
        <v>16</v>
      </c>
      <c r="F657" s="1" t="s">
        <v>1998</v>
      </c>
      <c r="G657" s="1" t="s">
        <v>1999</v>
      </c>
      <c r="I657" s="1" t="s">
        <v>19</v>
      </c>
      <c r="L657" s="1" t="s">
        <v>2000</v>
      </c>
      <c r="M657" s="1" t="s">
        <v>1998</v>
      </c>
      <c r="N657" s="1">
        <v>427</v>
      </c>
      <c r="O657" s="1" t="s">
        <v>2001</v>
      </c>
      <c r="Q657" s="14"/>
    </row>
    <row r="658" spans="1:17" x14ac:dyDescent="0.35">
      <c r="A658" s="1" t="s">
        <v>15</v>
      </c>
      <c r="B658" s="1">
        <v>662099</v>
      </c>
      <c r="C658" s="1">
        <v>662590</v>
      </c>
      <c r="E658" s="1" t="s">
        <v>16</v>
      </c>
      <c r="F658" s="1" t="s">
        <v>2002</v>
      </c>
      <c r="G658" s="1" t="s">
        <v>2003</v>
      </c>
      <c r="I658" s="1" t="s">
        <v>19</v>
      </c>
      <c r="L658" s="1" t="s">
        <v>2004</v>
      </c>
      <c r="M658" s="1" t="s">
        <v>2002</v>
      </c>
      <c r="N658" s="1">
        <v>163</v>
      </c>
      <c r="O658" s="1" t="s">
        <v>2005</v>
      </c>
      <c r="Q658" s="14"/>
    </row>
    <row r="659" spans="1:17" x14ac:dyDescent="0.35">
      <c r="A659" s="1" t="s">
        <v>15</v>
      </c>
      <c r="B659" s="1">
        <v>662596</v>
      </c>
      <c r="C659" s="1">
        <v>663405</v>
      </c>
      <c r="E659" s="1" t="s">
        <v>16</v>
      </c>
      <c r="F659" s="1" t="s">
        <v>2006</v>
      </c>
      <c r="G659" s="1" t="s">
        <v>2007</v>
      </c>
      <c r="I659" s="1" t="s">
        <v>19</v>
      </c>
      <c r="L659" s="1" t="s">
        <v>2008</v>
      </c>
      <c r="M659" s="1" t="s">
        <v>2006</v>
      </c>
      <c r="N659" s="1">
        <v>269</v>
      </c>
      <c r="O659" s="1" t="s">
        <v>2009</v>
      </c>
      <c r="Q659" s="14"/>
    </row>
    <row r="660" spans="1:17" x14ac:dyDescent="0.35">
      <c r="A660" s="1" t="s">
        <v>15</v>
      </c>
      <c r="B660" s="1">
        <v>663417</v>
      </c>
      <c r="C660" s="1">
        <v>664838</v>
      </c>
      <c r="E660" s="1" t="s">
        <v>16</v>
      </c>
      <c r="F660" s="1" t="s">
        <v>2010</v>
      </c>
      <c r="I660" s="1" t="s">
        <v>19</v>
      </c>
      <c r="L660" s="1" t="s">
        <v>2011</v>
      </c>
      <c r="M660" s="1" t="s">
        <v>2010</v>
      </c>
      <c r="N660" s="1">
        <v>473</v>
      </c>
      <c r="O660" s="1" t="s">
        <v>2012</v>
      </c>
    </row>
    <row r="661" spans="1:17" x14ac:dyDescent="0.35">
      <c r="A661" s="1" t="s">
        <v>15</v>
      </c>
      <c r="B661" s="1">
        <v>664853</v>
      </c>
      <c r="C661" s="1">
        <v>665791</v>
      </c>
      <c r="E661" s="1" t="s">
        <v>178</v>
      </c>
      <c r="F661" s="1" t="s">
        <v>2013</v>
      </c>
      <c r="I661" s="1" t="s">
        <v>19</v>
      </c>
      <c r="L661" s="1" t="s">
        <v>2014</v>
      </c>
      <c r="M661" s="1" t="s">
        <v>2013</v>
      </c>
      <c r="N661" s="1">
        <v>312</v>
      </c>
      <c r="O661" s="1" t="s">
        <v>2015</v>
      </c>
    </row>
    <row r="662" spans="1:17" x14ac:dyDescent="0.35">
      <c r="A662" s="1" t="s">
        <v>15</v>
      </c>
      <c r="B662" s="1">
        <v>665808</v>
      </c>
      <c r="C662" s="1">
        <v>666872</v>
      </c>
      <c r="E662" s="1" t="s">
        <v>178</v>
      </c>
      <c r="F662" s="1" t="s">
        <v>2016</v>
      </c>
      <c r="I662" s="1" t="s">
        <v>19</v>
      </c>
      <c r="L662" s="1" t="s">
        <v>2017</v>
      </c>
      <c r="M662" s="1" t="s">
        <v>2016</v>
      </c>
      <c r="N662" s="1">
        <v>354</v>
      </c>
      <c r="O662" s="1" t="s">
        <v>2018</v>
      </c>
      <c r="Q662" s="14"/>
    </row>
    <row r="663" spans="1:17" x14ac:dyDescent="0.35">
      <c r="A663" s="1" t="s">
        <v>15</v>
      </c>
      <c r="B663" s="1">
        <v>666912</v>
      </c>
      <c r="C663" s="1">
        <v>667460</v>
      </c>
      <c r="E663" s="1" t="s">
        <v>178</v>
      </c>
      <c r="F663" s="1" t="s">
        <v>50</v>
      </c>
      <c r="I663" s="1" t="s">
        <v>19</v>
      </c>
      <c r="L663" s="1" t="s">
        <v>2019</v>
      </c>
      <c r="M663" s="1" t="s">
        <v>50</v>
      </c>
      <c r="N663" s="1">
        <v>182</v>
      </c>
      <c r="O663" s="1" t="s">
        <v>2020</v>
      </c>
    </row>
    <row r="664" spans="1:17" x14ac:dyDescent="0.35">
      <c r="A664" s="1" t="s">
        <v>15</v>
      </c>
      <c r="B664" s="1">
        <v>667673</v>
      </c>
      <c r="C664" s="1">
        <v>669034</v>
      </c>
      <c r="E664" s="1" t="s">
        <v>16</v>
      </c>
      <c r="F664" s="1" t="s">
        <v>1091</v>
      </c>
      <c r="I664" s="1" t="s">
        <v>19</v>
      </c>
      <c r="L664" s="1" t="s">
        <v>2021</v>
      </c>
      <c r="M664" s="1" t="s">
        <v>1091</v>
      </c>
      <c r="N664" s="1">
        <v>453</v>
      </c>
      <c r="O664" s="1" t="s">
        <v>2022</v>
      </c>
      <c r="Q664" s="14"/>
    </row>
    <row r="665" spans="1:17" x14ac:dyDescent="0.35">
      <c r="A665" s="1" t="s">
        <v>15</v>
      </c>
      <c r="B665" s="1">
        <v>669263</v>
      </c>
      <c r="C665" s="1">
        <v>669412</v>
      </c>
      <c r="E665" s="1" t="s">
        <v>16</v>
      </c>
      <c r="F665" s="1" t="s">
        <v>54</v>
      </c>
      <c r="I665" s="1" t="s">
        <v>19</v>
      </c>
      <c r="L665" s="1" t="s">
        <v>2023</v>
      </c>
      <c r="M665" s="1" t="s">
        <v>54</v>
      </c>
      <c r="N665" s="1">
        <v>49</v>
      </c>
      <c r="O665" s="1" t="s">
        <v>2024</v>
      </c>
    </row>
    <row r="666" spans="1:17" x14ac:dyDescent="0.35">
      <c r="A666" s="1" t="s">
        <v>15</v>
      </c>
      <c r="B666" s="1">
        <v>669385</v>
      </c>
      <c r="C666" s="1">
        <v>670023</v>
      </c>
      <c r="E666" s="1" t="s">
        <v>16</v>
      </c>
      <c r="F666" s="1" t="s">
        <v>2025</v>
      </c>
      <c r="I666" s="1" t="s">
        <v>19</v>
      </c>
      <c r="L666" s="1" t="s">
        <v>2026</v>
      </c>
      <c r="M666" s="1" t="s">
        <v>2025</v>
      </c>
      <c r="N666" s="1">
        <v>212</v>
      </c>
      <c r="O666" s="1" t="s">
        <v>2027</v>
      </c>
    </row>
    <row r="667" spans="1:17" x14ac:dyDescent="0.35">
      <c r="A667" s="1" t="s">
        <v>15</v>
      </c>
      <c r="B667" s="1">
        <v>670374</v>
      </c>
      <c r="C667" s="1">
        <v>670853</v>
      </c>
      <c r="E667" s="1" t="s">
        <v>16</v>
      </c>
      <c r="F667" s="1" t="s">
        <v>54</v>
      </c>
      <c r="I667" s="1" t="s">
        <v>19</v>
      </c>
      <c r="L667" s="1" t="s">
        <v>2028</v>
      </c>
      <c r="M667" s="1" t="s">
        <v>54</v>
      </c>
      <c r="N667" s="1">
        <v>159</v>
      </c>
      <c r="O667" s="1" t="s">
        <v>2029</v>
      </c>
    </row>
    <row r="668" spans="1:17" x14ac:dyDescent="0.35">
      <c r="A668" s="1" t="s">
        <v>15</v>
      </c>
      <c r="B668" s="1">
        <v>670855</v>
      </c>
      <c r="C668" s="1">
        <v>671160</v>
      </c>
      <c r="E668" s="1" t="s">
        <v>16</v>
      </c>
      <c r="F668" s="1" t="s">
        <v>54</v>
      </c>
      <c r="I668" s="1" t="s">
        <v>19</v>
      </c>
      <c r="L668" s="1" t="s">
        <v>2030</v>
      </c>
      <c r="M668" s="1" t="s">
        <v>54</v>
      </c>
      <c r="N668" s="1">
        <v>101</v>
      </c>
      <c r="O668" s="1" t="s">
        <v>2031</v>
      </c>
    </row>
    <row r="669" spans="1:17" x14ac:dyDescent="0.35">
      <c r="A669" s="1" t="s">
        <v>15</v>
      </c>
      <c r="B669" s="1">
        <v>671228</v>
      </c>
      <c r="C669" s="1">
        <v>671437</v>
      </c>
      <c r="E669" s="1" t="s">
        <v>16</v>
      </c>
      <c r="F669" s="1" t="s">
        <v>54</v>
      </c>
      <c r="I669" s="1" t="s">
        <v>19</v>
      </c>
      <c r="L669" s="1" t="s">
        <v>2032</v>
      </c>
      <c r="M669" s="1" t="s">
        <v>54</v>
      </c>
      <c r="N669" s="1">
        <v>69</v>
      </c>
      <c r="O669" s="1" t="s">
        <v>2033</v>
      </c>
    </row>
    <row r="670" spans="1:17" x14ac:dyDescent="0.35">
      <c r="A670" s="1" t="s">
        <v>15</v>
      </c>
      <c r="B670" s="1">
        <v>671660</v>
      </c>
      <c r="C670" s="1">
        <v>671791</v>
      </c>
      <c r="E670" s="1" t="s">
        <v>16</v>
      </c>
      <c r="F670" s="1" t="s">
        <v>54</v>
      </c>
      <c r="I670" s="1" t="s">
        <v>19</v>
      </c>
      <c r="L670" s="1" t="s">
        <v>2034</v>
      </c>
      <c r="M670" s="1" t="s">
        <v>54</v>
      </c>
      <c r="N670" s="1">
        <v>43</v>
      </c>
      <c r="O670" s="1" t="s">
        <v>2035</v>
      </c>
    </row>
    <row r="671" spans="1:17" x14ac:dyDescent="0.35">
      <c r="A671" s="1" t="s">
        <v>15</v>
      </c>
      <c r="B671" s="1">
        <v>671830</v>
      </c>
      <c r="C671" s="1">
        <v>671964</v>
      </c>
      <c r="E671" s="1" t="s">
        <v>16</v>
      </c>
      <c r="F671" s="1" t="s">
        <v>54</v>
      </c>
      <c r="I671" s="1" t="s">
        <v>19</v>
      </c>
      <c r="L671" s="1" t="s">
        <v>2036</v>
      </c>
      <c r="M671" s="1" t="s">
        <v>54</v>
      </c>
      <c r="N671" s="1">
        <v>44</v>
      </c>
      <c r="O671" s="1" t="s">
        <v>2037</v>
      </c>
    </row>
    <row r="672" spans="1:17" x14ac:dyDescent="0.35">
      <c r="A672" s="1" t="s">
        <v>15</v>
      </c>
      <c r="B672" s="1">
        <v>672028</v>
      </c>
      <c r="C672" s="1">
        <v>672381</v>
      </c>
      <c r="E672" s="1" t="s">
        <v>178</v>
      </c>
      <c r="F672" s="1" t="s">
        <v>54</v>
      </c>
      <c r="I672" s="1" t="s">
        <v>19</v>
      </c>
      <c r="L672" s="1" t="s">
        <v>2038</v>
      </c>
      <c r="M672" s="1" t="s">
        <v>54</v>
      </c>
      <c r="N672" s="1">
        <v>117</v>
      </c>
      <c r="O672" s="1" t="s">
        <v>2039</v>
      </c>
    </row>
    <row r="673" spans="1:15" x14ac:dyDescent="0.35">
      <c r="A673" s="1" t="s">
        <v>15</v>
      </c>
      <c r="B673" s="1">
        <v>673077</v>
      </c>
      <c r="C673" s="1">
        <v>673319</v>
      </c>
      <c r="E673" s="1" t="s">
        <v>16</v>
      </c>
      <c r="F673" s="1" t="s">
        <v>54</v>
      </c>
      <c r="I673" s="1" t="s">
        <v>19</v>
      </c>
      <c r="L673" s="1" t="s">
        <v>2040</v>
      </c>
      <c r="M673" s="1" t="s">
        <v>54</v>
      </c>
      <c r="N673" s="1">
        <v>80</v>
      </c>
      <c r="O673" s="1" t="s">
        <v>2041</v>
      </c>
    </row>
    <row r="674" spans="1:15" x14ac:dyDescent="0.35">
      <c r="A674" s="1" t="s">
        <v>15</v>
      </c>
      <c r="B674" s="1">
        <v>673324</v>
      </c>
      <c r="C674" s="1">
        <v>673941</v>
      </c>
      <c r="E674" s="1" t="s">
        <v>16</v>
      </c>
      <c r="F674" s="1" t="s">
        <v>2042</v>
      </c>
      <c r="I674" s="1" t="s">
        <v>19</v>
      </c>
      <c r="L674" s="1" t="s">
        <v>2043</v>
      </c>
      <c r="M674" s="1" t="s">
        <v>2042</v>
      </c>
      <c r="N674" s="1">
        <v>205</v>
      </c>
      <c r="O674" s="1" t="s">
        <v>2044</v>
      </c>
    </row>
    <row r="675" spans="1:15" x14ac:dyDescent="0.35">
      <c r="A675" s="1" t="s">
        <v>15</v>
      </c>
      <c r="B675" s="1">
        <v>674147</v>
      </c>
      <c r="C675" s="1">
        <v>674920</v>
      </c>
      <c r="E675" s="1" t="s">
        <v>16</v>
      </c>
      <c r="F675" s="1" t="s">
        <v>2045</v>
      </c>
      <c r="I675" s="1" t="s">
        <v>19</v>
      </c>
      <c r="L675" s="1" t="s">
        <v>2046</v>
      </c>
      <c r="M675" s="1" t="s">
        <v>2045</v>
      </c>
      <c r="N675" s="1">
        <v>257</v>
      </c>
      <c r="O675" s="1" t="s">
        <v>2047</v>
      </c>
    </row>
    <row r="676" spans="1:15" x14ac:dyDescent="0.35">
      <c r="A676" s="1" t="s">
        <v>15</v>
      </c>
      <c r="B676" s="1">
        <v>674933</v>
      </c>
      <c r="C676" s="1">
        <v>675373</v>
      </c>
      <c r="E676" s="1" t="s">
        <v>16</v>
      </c>
      <c r="F676" s="1" t="s">
        <v>2048</v>
      </c>
      <c r="I676" s="1" t="s">
        <v>19</v>
      </c>
      <c r="L676" s="1" t="s">
        <v>2049</v>
      </c>
      <c r="M676" s="1" t="s">
        <v>2048</v>
      </c>
      <c r="N676" s="1">
        <v>146</v>
      </c>
      <c r="O676" s="1" t="s">
        <v>2050</v>
      </c>
    </row>
    <row r="677" spans="1:15" x14ac:dyDescent="0.35">
      <c r="A677" s="1" t="s">
        <v>15</v>
      </c>
      <c r="B677" s="1">
        <v>675724</v>
      </c>
      <c r="C677" s="1">
        <v>676896</v>
      </c>
      <c r="E677" s="1" t="s">
        <v>178</v>
      </c>
      <c r="F677" s="1" t="s">
        <v>2051</v>
      </c>
      <c r="G677" s="1" t="s">
        <v>2052</v>
      </c>
      <c r="I677" s="1" t="s">
        <v>19</v>
      </c>
      <c r="L677" s="1" t="s">
        <v>2053</v>
      </c>
      <c r="M677" s="1" t="s">
        <v>2051</v>
      </c>
      <c r="N677" s="1">
        <v>390</v>
      </c>
      <c r="O677" s="1" t="s">
        <v>2054</v>
      </c>
    </row>
    <row r="678" spans="1:15" x14ac:dyDescent="0.35">
      <c r="A678" s="1" t="s">
        <v>15</v>
      </c>
      <c r="B678" s="1">
        <v>677125</v>
      </c>
      <c r="C678" s="1">
        <v>677967</v>
      </c>
      <c r="E678" s="1" t="s">
        <v>178</v>
      </c>
      <c r="F678" s="1" t="s">
        <v>2055</v>
      </c>
      <c r="I678" s="1" t="s">
        <v>19</v>
      </c>
      <c r="L678" s="1" t="s">
        <v>2056</v>
      </c>
      <c r="M678" s="1" t="s">
        <v>2055</v>
      </c>
      <c r="N678" s="1">
        <v>280</v>
      </c>
      <c r="O678" s="1" t="s">
        <v>2057</v>
      </c>
    </row>
    <row r="679" spans="1:15" x14ac:dyDescent="0.35">
      <c r="A679" s="1" t="s">
        <v>15</v>
      </c>
      <c r="B679" s="1">
        <v>678093</v>
      </c>
      <c r="C679" s="1">
        <v>678662</v>
      </c>
      <c r="E679" s="1" t="s">
        <v>16</v>
      </c>
      <c r="F679" s="1" t="s">
        <v>2058</v>
      </c>
      <c r="I679" s="1" t="s">
        <v>19</v>
      </c>
      <c r="L679" s="1" t="s">
        <v>2059</v>
      </c>
      <c r="M679" s="1" t="s">
        <v>2058</v>
      </c>
      <c r="N679" s="1">
        <v>189</v>
      </c>
      <c r="O679" s="1" t="s">
        <v>2060</v>
      </c>
    </row>
    <row r="680" spans="1:15" x14ac:dyDescent="0.35">
      <c r="A680" s="1" t="s">
        <v>15</v>
      </c>
      <c r="B680" s="1">
        <v>678699</v>
      </c>
      <c r="C680" s="1">
        <v>679334</v>
      </c>
      <c r="E680" s="1" t="s">
        <v>16</v>
      </c>
      <c r="F680" s="1" t="s">
        <v>2061</v>
      </c>
      <c r="I680" s="1" t="s">
        <v>19</v>
      </c>
      <c r="L680" s="1" t="s">
        <v>2062</v>
      </c>
      <c r="M680" s="1" t="s">
        <v>2061</v>
      </c>
      <c r="N680" s="1">
        <v>211</v>
      </c>
      <c r="O680" s="1" t="s">
        <v>2063</v>
      </c>
    </row>
    <row r="681" spans="1:15" x14ac:dyDescent="0.35">
      <c r="A681" s="1" t="s">
        <v>15</v>
      </c>
      <c r="B681" s="1">
        <v>679458</v>
      </c>
      <c r="C681" s="1">
        <v>679730</v>
      </c>
      <c r="E681" s="1" t="s">
        <v>16</v>
      </c>
      <c r="F681" s="1" t="s">
        <v>54</v>
      </c>
      <c r="I681" s="1" t="s">
        <v>19</v>
      </c>
      <c r="L681" s="1" t="s">
        <v>2064</v>
      </c>
      <c r="M681" s="1" t="s">
        <v>54</v>
      </c>
      <c r="N681" s="1">
        <v>90</v>
      </c>
      <c r="O681" s="1" t="s">
        <v>2065</v>
      </c>
    </row>
    <row r="682" spans="1:15" x14ac:dyDescent="0.35">
      <c r="A682" s="1" t="s">
        <v>15</v>
      </c>
      <c r="B682" s="1">
        <v>679849</v>
      </c>
      <c r="C682" s="1">
        <v>681096</v>
      </c>
      <c r="E682" s="1" t="s">
        <v>16</v>
      </c>
      <c r="F682" s="1" t="s">
        <v>54</v>
      </c>
      <c r="I682" s="1" t="s">
        <v>19</v>
      </c>
      <c r="L682" s="1" t="s">
        <v>2066</v>
      </c>
      <c r="M682" s="1" t="s">
        <v>54</v>
      </c>
      <c r="N682" s="1">
        <v>415</v>
      </c>
      <c r="O682" s="1" t="s">
        <v>2067</v>
      </c>
    </row>
    <row r="683" spans="1:15" x14ac:dyDescent="0.35">
      <c r="A683" s="1" t="s">
        <v>15</v>
      </c>
      <c r="B683" s="1">
        <v>681256</v>
      </c>
      <c r="C683" s="1">
        <v>683022</v>
      </c>
      <c r="E683" s="1" t="s">
        <v>178</v>
      </c>
      <c r="F683" s="1" t="s">
        <v>2068</v>
      </c>
      <c r="I683" s="1" t="s">
        <v>19</v>
      </c>
      <c r="L683" s="1" t="s">
        <v>2069</v>
      </c>
      <c r="M683" s="1" t="s">
        <v>2068</v>
      </c>
      <c r="N683" s="1">
        <v>588</v>
      </c>
      <c r="O683" s="1" t="s">
        <v>2070</v>
      </c>
    </row>
    <row r="684" spans="1:15" x14ac:dyDescent="0.35">
      <c r="A684" s="1" t="s">
        <v>15</v>
      </c>
      <c r="B684" s="1">
        <v>683194</v>
      </c>
      <c r="C684" s="1">
        <v>683736</v>
      </c>
      <c r="E684" s="1" t="s">
        <v>16</v>
      </c>
      <c r="F684" s="1" t="s">
        <v>796</v>
      </c>
      <c r="I684" s="1" t="s">
        <v>19</v>
      </c>
      <c r="L684" s="1" t="s">
        <v>2071</v>
      </c>
      <c r="M684" s="1" t="s">
        <v>796</v>
      </c>
      <c r="N684" s="1">
        <v>180</v>
      </c>
      <c r="O684" s="1" t="s">
        <v>2072</v>
      </c>
    </row>
    <row r="685" spans="1:15" x14ac:dyDescent="0.35">
      <c r="A685" s="1" t="s">
        <v>15</v>
      </c>
      <c r="B685" s="1">
        <v>684051</v>
      </c>
      <c r="C685" s="1">
        <v>684890</v>
      </c>
      <c r="E685" s="1" t="s">
        <v>16</v>
      </c>
      <c r="F685" s="1" t="s">
        <v>54</v>
      </c>
      <c r="I685" s="1" t="s">
        <v>19</v>
      </c>
      <c r="L685" s="1" t="s">
        <v>2073</v>
      </c>
      <c r="M685" s="1" t="s">
        <v>54</v>
      </c>
      <c r="N685" s="1">
        <v>279</v>
      </c>
      <c r="O685" s="1" t="s">
        <v>2074</v>
      </c>
    </row>
    <row r="686" spans="1:15" x14ac:dyDescent="0.35">
      <c r="A686" s="1" t="s">
        <v>15</v>
      </c>
      <c r="B686" s="1">
        <v>684939</v>
      </c>
      <c r="C686" s="1">
        <v>685688</v>
      </c>
      <c r="E686" s="1" t="s">
        <v>16</v>
      </c>
      <c r="F686" s="1" t="s">
        <v>54</v>
      </c>
      <c r="I686" s="1" t="s">
        <v>19</v>
      </c>
      <c r="L686" s="1" t="s">
        <v>2075</v>
      </c>
      <c r="M686" s="1" t="s">
        <v>54</v>
      </c>
      <c r="N686" s="1">
        <v>249</v>
      </c>
      <c r="O686" s="1" t="s">
        <v>2076</v>
      </c>
    </row>
    <row r="687" spans="1:15" x14ac:dyDescent="0.35">
      <c r="A687" s="1" t="s">
        <v>15</v>
      </c>
      <c r="B687" s="1">
        <v>685862</v>
      </c>
      <c r="C687" s="1">
        <v>686905</v>
      </c>
      <c r="E687" s="1" t="s">
        <v>16</v>
      </c>
      <c r="F687" s="1" t="s">
        <v>2077</v>
      </c>
      <c r="G687" s="1" t="s">
        <v>2078</v>
      </c>
      <c r="I687" s="1" t="s">
        <v>19</v>
      </c>
      <c r="L687" s="1" t="s">
        <v>2079</v>
      </c>
      <c r="M687" s="1" t="s">
        <v>2077</v>
      </c>
      <c r="N687" s="1">
        <v>347</v>
      </c>
      <c r="O687" s="1" t="s">
        <v>2080</v>
      </c>
    </row>
    <row r="688" spans="1:15" x14ac:dyDescent="0.35">
      <c r="A688" s="1" t="s">
        <v>15</v>
      </c>
      <c r="B688" s="1">
        <v>686910</v>
      </c>
      <c r="C688" s="1">
        <v>687665</v>
      </c>
      <c r="E688" s="1" t="s">
        <v>16</v>
      </c>
      <c r="F688" s="1" t="s">
        <v>2081</v>
      </c>
      <c r="G688" s="1" t="s">
        <v>2082</v>
      </c>
      <c r="I688" s="1" t="s">
        <v>19</v>
      </c>
      <c r="L688" s="1" t="s">
        <v>2083</v>
      </c>
      <c r="M688" s="1" t="s">
        <v>2081</v>
      </c>
      <c r="N688" s="1">
        <v>251</v>
      </c>
      <c r="O688" s="1" t="s">
        <v>2084</v>
      </c>
    </row>
    <row r="689" spans="1:17" x14ac:dyDescent="0.35">
      <c r="A689" s="1" t="s">
        <v>15</v>
      </c>
      <c r="B689" s="1">
        <v>687686</v>
      </c>
      <c r="C689" s="1">
        <v>688702</v>
      </c>
      <c r="E689" s="1" t="s">
        <v>16</v>
      </c>
      <c r="F689" s="1" t="s">
        <v>2085</v>
      </c>
      <c r="I689" s="1" t="s">
        <v>19</v>
      </c>
      <c r="L689" s="1" t="s">
        <v>2086</v>
      </c>
      <c r="M689" s="1" t="s">
        <v>2085</v>
      </c>
      <c r="N689" s="1">
        <v>338</v>
      </c>
      <c r="O689" s="1" t="s">
        <v>2087</v>
      </c>
    </row>
    <row r="690" spans="1:17" x14ac:dyDescent="0.35">
      <c r="A690" s="1" t="s">
        <v>15</v>
      </c>
      <c r="B690" s="1">
        <v>688689</v>
      </c>
      <c r="C690" s="1">
        <v>689372</v>
      </c>
      <c r="E690" s="1" t="s">
        <v>16</v>
      </c>
      <c r="F690" s="1" t="s">
        <v>2088</v>
      </c>
      <c r="I690" s="1" t="s">
        <v>19</v>
      </c>
      <c r="L690" s="1" t="s">
        <v>2089</v>
      </c>
      <c r="M690" s="1" t="s">
        <v>2088</v>
      </c>
      <c r="N690" s="1">
        <v>227</v>
      </c>
      <c r="O690" s="1" t="s">
        <v>2090</v>
      </c>
    </row>
    <row r="691" spans="1:17" x14ac:dyDescent="0.35">
      <c r="A691" s="1" t="s">
        <v>15</v>
      </c>
      <c r="B691" s="1">
        <v>689666</v>
      </c>
      <c r="C691" s="1">
        <v>690547</v>
      </c>
      <c r="E691" s="1" t="s">
        <v>178</v>
      </c>
      <c r="F691" s="1" t="s">
        <v>54</v>
      </c>
      <c r="I691" s="1" t="s">
        <v>19</v>
      </c>
      <c r="L691" s="1" t="s">
        <v>2091</v>
      </c>
      <c r="M691" s="1" t="s">
        <v>54</v>
      </c>
      <c r="N691" s="1">
        <v>293</v>
      </c>
      <c r="O691" s="1" t="s">
        <v>2092</v>
      </c>
    </row>
    <row r="692" spans="1:17" x14ac:dyDescent="0.35">
      <c r="A692" s="1" t="s">
        <v>15</v>
      </c>
      <c r="B692" s="1">
        <v>690651</v>
      </c>
      <c r="C692" s="1">
        <v>691676</v>
      </c>
      <c r="E692" s="1" t="s">
        <v>178</v>
      </c>
      <c r="F692" s="1" t="s">
        <v>1760</v>
      </c>
      <c r="I692" s="1" t="s">
        <v>19</v>
      </c>
      <c r="L692" s="1" t="s">
        <v>2093</v>
      </c>
      <c r="M692" s="1" t="s">
        <v>1760</v>
      </c>
      <c r="N692" s="1">
        <v>341</v>
      </c>
      <c r="O692" s="1" t="s">
        <v>2094</v>
      </c>
    </row>
    <row r="693" spans="1:17" x14ac:dyDescent="0.35">
      <c r="A693" s="1" t="s">
        <v>15</v>
      </c>
      <c r="B693" s="1">
        <v>692376</v>
      </c>
      <c r="C693" s="1">
        <v>692615</v>
      </c>
      <c r="E693" s="1" t="s">
        <v>16</v>
      </c>
      <c r="F693" s="1" t="s">
        <v>54</v>
      </c>
      <c r="I693" s="1" t="s">
        <v>19</v>
      </c>
      <c r="L693" s="1" t="s">
        <v>2095</v>
      </c>
      <c r="M693" s="1" t="s">
        <v>54</v>
      </c>
      <c r="N693" s="1">
        <v>79</v>
      </c>
      <c r="O693" s="1" t="s">
        <v>2096</v>
      </c>
    </row>
    <row r="694" spans="1:17" x14ac:dyDescent="0.35">
      <c r="A694" s="1" t="s">
        <v>15</v>
      </c>
      <c r="B694" s="1">
        <v>692872</v>
      </c>
      <c r="C694" s="1">
        <v>693075</v>
      </c>
      <c r="E694" s="1" t="s">
        <v>16</v>
      </c>
      <c r="F694" s="1" t="s">
        <v>54</v>
      </c>
      <c r="I694" s="1" t="s">
        <v>19</v>
      </c>
      <c r="L694" s="1" t="s">
        <v>2097</v>
      </c>
      <c r="M694" s="1" t="s">
        <v>54</v>
      </c>
      <c r="N694" s="1">
        <v>67</v>
      </c>
      <c r="O694" s="1" t="s">
        <v>2098</v>
      </c>
    </row>
    <row r="695" spans="1:17" x14ac:dyDescent="0.35">
      <c r="A695" s="1" t="s">
        <v>15</v>
      </c>
      <c r="B695" s="1">
        <v>693644</v>
      </c>
      <c r="C695" s="1">
        <v>694984</v>
      </c>
      <c r="E695" s="1" t="s">
        <v>16</v>
      </c>
      <c r="F695" s="1" t="s">
        <v>1698</v>
      </c>
      <c r="G695" s="1" t="s">
        <v>2099</v>
      </c>
      <c r="I695" s="1" t="s">
        <v>19</v>
      </c>
      <c r="L695" s="1" t="s">
        <v>2100</v>
      </c>
      <c r="M695" s="1" t="s">
        <v>1698</v>
      </c>
      <c r="N695" s="1">
        <v>446</v>
      </c>
      <c r="O695" s="1" t="s">
        <v>2101</v>
      </c>
      <c r="Q695" s="14"/>
    </row>
    <row r="696" spans="1:17" x14ac:dyDescent="0.35">
      <c r="A696" s="1" t="s">
        <v>15</v>
      </c>
      <c r="B696" s="1">
        <v>695089</v>
      </c>
      <c r="C696" s="1">
        <v>696162</v>
      </c>
      <c r="E696" s="1" t="s">
        <v>16</v>
      </c>
      <c r="F696" s="1" t="s">
        <v>2102</v>
      </c>
      <c r="G696" s="1" t="s">
        <v>2103</v>
      </c>
      <c r="I696" s="1" t="s">
        <v>19</v>
      </c>
      <c r="L696" s="1" t="s">
        <v>2104</v>
      </c>
      <c r="M696" s="1" t="s">
        <v>2102</v>
      </c>
      <c r="N696" s="1">
        <v>357</v>
      </c>
      <c r="O696" s="1" t="s">
        <v>2105</v>
      </c>
      <c r="Q696" s="14"/>
    </row>
    <row r="697" spans="1:17" x14ac:dyDescent="0.35">
      <c r="A697" s="1" t="s">
        <v>15</v>
      </c>
      <c r="B697" s="1">
        <v>696179</v>
      </c>
      <c r="C697" s="1">
        <v>697210</v>
      </c>
      <c r="E697" s="1" t="s">
        <v>16</v>
      </c>
      <c r="F697" s="1" t="s">
        <v>2106</v>
      </c>
      <c r="G697" s="1" t="s">
        <v>2107</v>
      </c>
      <c r="I697" s="1" t="s">
        <v>19</v>
      </c>
      <c r="L697" s="1" t="s">
        <v>2108</v>
      </c>
      <c r="M697" s="1" t="s">
        <v>2106</v>
      </c>
      <c r="N697" s="1">
        <v>343</v>
      </c>
      <c r="O697" s="1" t="s">
        <v>2109</v>
      </c>
      <c r="Q697" s="14"/>
    </row>
    <row r="698" spans="1:17" x14ac:dyDescent="0.35">
      <c r="A698" s="1" t="s">
        <v>15</v>
      </c>
      <c r="B698" s="1">
        <v>697221</v>
      </c>
      <c r="C698" s="1">
        <v>698450</v>
      </c>
      <c r="E698" s="1" t="s">
        <v>16</v>
      </c>
      <c r="F698" s="1" t="s">
        <v>2110</v>
      </c>
      <c r="G698" s="1" t="s">
        <v>2111</v>
      </c>
      <c r="I698" s="1" t="s">
        <v>19</v>
      </c>
      <c r="L698" s="1" t="s">
        <v>2112</v>
      </c>
      <c r="M698" s="1" t="s">
        <v>2110</v>
      </c>
      <c r="N698" s="1">
        <v>409</v>
      </c>
      <c r="O698" s="1" t="s">
        <v>2113</v>
      </c>
      <c r="Q698" s="14"/>
    </row>
    <row r="699" spans="1:17" x14ac:dyDescent="0.35">
      <c r="A699" s="1" t="s">
        <v>15</v>
      </c>
      <c r="B699" s="1">
        <v>698633</v>
      </c>
      <c r="C699" s="1">
        <v>699226</v>
      </c>
      <c r="E699" s="1" t="s">
        <v>178</v>
      </c>
      <c r="F699" s="1" t="s">
        <v>2114</v>
      </c>
      <c r="I699" s="1" t="s">
        <v>19</v>
      </c>
      <c r="L699" s="1" t="s">
        <v>2115</v>
      </c>
      <c r="M699" s="1" t="s">
        <v>2114</v>
      </c>
      <c r="N699" s="1">
        <v>197</v>
      </c>
      <c r="O699" s="1" t="s">
        <v>2116</v>
      </c>
      <c r="Q699" s="14"/>
    </row>
    <row r="700" spans="1:17" x14ac:dyDescent="0.35">
      <c r="A700" s="1" t="s">
        <v>15</v>
      </c>
      <c r="B700" s="1">
        <v>699382</v>
      </c>
      <c r="C700" s="1">
        <v>699969</v>
      </c>
      <c r="E700" s="1" t="s">
        <v>16</v>
      </c>
      <c r="F700" s="1" t="s">
        <v>2117</v>
      </c>
      <c r="I700" s="1" t="s">
        <v>19</v>
      </c>
      <c r="L700" s="1" t="s">
        <v>2118</v>
      </c>
      <c r="M700" s="1" t="s">
        <v>2117</v>
      </c>
      <c r="N700" s="1">
        <v>195</v>
      </c>
      <c r="O700" s="1" t="s">
        <v>2119</v>
      </c>
    </row>
    <row r="701" spans="1:17" x14ac:dyDescent="0.35">
      <c r="A701" s="1" t="s">
        <v>15</v>
      </c>
      <c r="B701" s="1">
        <v>700080</v>
      </c>
      <c r="C701" s="1">
        <v>700391</v>
      </c>
      <c r="E701" s="1" t="s">
        <v>16</v>
      </c>
      <c r="F701" s="1" t="s">
        <v>54</v>
      </c>
      <c r="I701" s="1" t="s">
        <v>19</v>
      </c>
      <c r="L701" s="1" t="s">
        <v>2120</v>
      </c>
      <c r="M701" s="1" t="s">
        <v>54</v>
      </c>
      <c r="N701" s="1">
        <v>103</v>
      </c>
      <c r="O701" s="1" t="s">
        <v>2121</v>
      </c>
    </row>
    <row r="702" spans="1:17" x14ac:dyDescent="0.35">
      <c r="A702" s="1" t="s">
        <v>15</v>
      </c>
      <c r="B702" s="1">
        <v>700488</v>
      </c>
      <c r="C702" s="1">
        <v>701237</v>
      </c>
      <c r="E702" s="1" t="s">
        <v>16</v>
      </c>
      <c r="F702" s="1" t="s">
        <v>2122</v>
      </c>
      <c r="I702" s="1" t="s">
        <v>19</v>
      </c>
      <c r="L702" s="1" t="s">
        <v>2123</v>
      </c>
      <c r="M702" s="1" t="s">
        <v>2122</v>
      </c>
      <c r="N702" s="1">
        <v>249</v>
      </c>
      <c r="O702" s="1" t="s">
        <v>2124</v>
      </c>
    </row>
    <row r="703" spans="1:17" x14ac:dyDescent="0.35">
      <c r="A703" s="1" t="s">
        <v>15</v>
      </c>
      <c r="B703" s="1">
        <v>701333</v>
      </c>
      <c r="C703" s="1">
        <v>701443</v>
      </c>
      <c r="E703" s="1" t="s">
        <v>16</v>
      </c>
      <c r="F703" s="1" t="s">
        <v>54</v>
      </c>
      <c r="I703" s="1" t="s">
        <v>19</v>
      </c>
      <c r="L703" s="1" t="s">
        <v>2125</v>
      </c>
      <c r="M703" s="1" t="s">
        <v>54</v>
      </c>
      <c r="N703" s="1">
        <v>36</v>
      </c>
      <c r="O703" s="1" t="s">
        <v>2126</v>
      </c>
    </row>
    <row r="704" spans="1:17" x14ac:dyDescent="0.35">
      <c r="A704" s="1" t="s">
        <v>15</v>
      </c>
      <c r="B704" s="1">
        <v>701495</v>
      </c>
      <c r="C704" s="1">
        <v>701692</v>
      </c>
      <c r="E704" s="1" t="s">
        <v>178</v>
      </c>
      <c r="F704" s="1" t="s">
        <v>54</v>
      </c>
      <c r="I704" s="1" t="s">
        <v>19</v>
      </c>
      <c r="L704" s="1" t="s">
        <v>2127</v>
      </c>
      <c r="M704" s="1" t="s">
        <v>54</v>
      </c>
      <c r="N704" s="1">
        <v>65</v>
      </c>
      <c r="O704" s="1" t="s">
        <v>2128</v>
      </c>
    </row>
    <row r="705" spans="1:15" x14ac:dyDescent="0.35">
      <c r="A705" s="1" t="s">
        <v>15</v>
      </c>
      <c r="B705" s="1">
        <v>701792</v>
      </c>
      <c r="C705" s="1">
        <v>702211</v>
      </c>
      <c r="E705" s="1" t="s">
        <v>178</v>
      </c>
      <c r="F705" s="1" t="s">
        <v>54</v>
      </c>
      <c r="I705" s="1" t="s">
        <v>19</v>
      </c>
      <c r="L705" s="1" t="s">
        <v>2129</v>
      </c>
      <c r="M705" s="1" t="s">
        <v>54</v>
      </c>
      <c r="N705" s="1">
        <v>139</v>
      </c>
      <c r="O705" s="1" t="s">
        <v>2130</v>
      </c>
    </row>
    <row r="706" spans="1:15" x14ac:dyDescent="0.35">
      <c r="A706" s="1" t="s">
        <v>15</v>
      </c>
      <c r="B706" s="1">
        <v>702386</v>
      </c>
      <c r="C706" s="1">
        <v>702778</v>
      </c>
      <c r="E706" s="1" t="s">
        <v>16</v>
      </c>
      <c r="F706" s="1" t="s">
        <v>2131</v>
      </c>
      <c r="I706" s="1" t="s">
        <v>19</v>
      </c>
      <c r="L706" s="1" t="s">
        <v>2132</v>
      </c>
      <c r="M706" s="1" t="s">
        <v>2131</v>
      </c>
      <c r="N706" s="1">
        <v>130</v>
      </c>
      <c r="O706" s="1" t="s">
        <v>2133</v>
      </c>
    </row>
    <row r="707" spans="1:15" x14ac:dyDescent="0.35">
      <c r="A707" s="1" t="s">
        <v>15</v>
      </c>
      <c r="B707" s="1">
        <v>702775</v>
      </c>
      <c r="C707" s="1">
        <v>703137</v>
      </c>
      <c r="E707" s="1" t="s">
        <v>16</v>
      </c>
      <c r="F707" s="1" t="s">
        <v>2134</v>
      </c>
      <c r="I707" s="1" t="s">
        <v>19</v>
      </c>
      <c r="L707" s="1" t="s">
        <v>2135</v>
      </c>
      <c r="M707" s="1" t="s">
        <v>2134</v>
      </c>
      <c r="N707" s="1">
        <v>120</v>
      </c>
      <c r="O707" s="1" t="s">
        <v>2136</v>
      </c>
    </row>
    <row r="708" spans="1:15" x14ac:dyDescent="0.35">
      <c r="A708" s="1" t="s">
        <v>15</v>
      </c>
      <c r="B708" s="1">
        <v>703150</v>
      </c>
      <c r="C708" s="1">
        <v>703527</v>
      </c>
      <c r="E708" s="1" t="s">
        <v>16</v>
      </c>
      <c r="F708" s="1" t="s">
        <v>54</v>
      </c>
      <c r="I708" s="1" t="s">
        <v>19</v>
      </c>
      <c r="L708" s="1" t="s">
        <v>2137</v>
      </c>
      <c r="M708" s="1" t="s">
        <v>54</v>
      </c>
      <c r="N708" s="1">
        <v>125</v>
      </c>
      <c r="O708" s="1" t="s">
        <v>2138</v>
      </c>
    </row>
    <row r="709" spans="1:15" x14ac:dyDescent="0.35">
      <c r="A709" s="1" t="s">
        <v>15</v>
      </c>
      <c r="B709" s="1">
        <v>703532</v>
      </c>
      <c r="C709" s="1">
        <v>703894</v>
      </c>
      <c r="E709" s="1" t="s">
        <v>16</v>
      </c>
      <c r="F709" s="1" t="s">
        <v>54</v>
      </c>
      <c r="I709" s="1" t="s">
        <v>19</v>
      </c>
      <c r="L709" s="1" t="s">
        <v>2139</v>
      </c>
      <c r="M709" s="1" t="s">
        <v>54</v>
      </c>
      <c r="N709" s="1">
        <v>120</v>
      </c>
      <c r="O709" s="1" t="s">
        <v>2140</v>
      </c>
    </row>
    <row r="710" spans="1:15" x14ac:dyDescent="0.35">
      <c r="A710" s="1" t="s">
        <v>15</v>
      </c>
      <c r="B710" s="1">
        <v>703998</v>
      </c>
      <c r="C710" s="1">
        <v>704609</v>
      </c>
      <c r="E710" s="1" t="s">
        <v>16</v>
      </c>
      <c r="F710" s="1" t="s">
        <v>54</v>
      </c>
      <c r="I710" s="1" t="s">
        <v>19</v>
      </c>
      <c r="L710" s="1" t="s">
        <v>2141</v>
      </c>
      <c r="M710" s="1" t="s">
        <v>54</v>
      </c>
      <c r="N710" s="1">
        <v>203</v>
      </c>
      <c r="O710" s="1" t="s">
        <v>2142</v>
      </c>
    </row>
    <row r="711" spans="1:15" x14ac:dyDescent="0.35">
      <c r="A711" s="1" t="s">
        <v>15</v>
      </c>
      <c r="B711" s="1">
        <v>704636</v>
      </c>
      <c r="C711" s="1">
        <v>705277</v>
      </c>
      <c r="E711" s="1" t="s">
        <v>16</v>
      </c>
      <c r="F711" s="1" t="s">
        <v>2143</v>
      </c>
      <c r="G711" s="1" t="s">
        <v>2144</v>
      </c>
      <c r="I711" s="1" t="s">
        <v>19</v>
      </c>
      <c r="L711" s="1" t="s">
        <v>2145</v>
      </c>
      <c r="M711" s="1" t="s">
        <v>2143</v>
      </c>
      <c r="N711" s="1">
        <v>213</v>
      </c>
      <c r="O711" s="1" t="s">
        <v>2146</v>
      </c>
    </row>
    <row r="712" spans="1:15" x14ac:dyDescent="0.35">
      <c r="A712" s="1" t="s">
        <v>15</v>
      </c>
      <c r="B712" s="1">
        <v>705373</v>
      </c>
      <c r="C712" s="1">
        <v>705987</v>
      </c>
      <c r="E712" s="1" t="s">
        <v>16</v>
      </c>
      <c r="F712" s="1" t="s">
        <v>54</v>
      </c>
      <c r="I712" s="1" t="s">
        <v>19</v>
      </c>
      <c r="L712" s="1" t="s">
        <v>2147</v>
      </c>
      <c r="M712" s="1" t="s">
        <v>54</v>
      </c>
      <c r="N712" s="1">
        <v>204</v>
      </c>
      <c r="O712" s="1" t="s">
        <v>2148</v>
      </c>
    </row>
    <row r="713" spans="1:15" x14ac:dyDescent="0.35">
      <c r="A713" s="1" t="s">
        <v>15</v>
      </c>
      <c r="B713" s="1">
        <v>706227</v>
      </c>
      <c r="C713" s="1">
        <v>707888</v>
      </c>
      <c r="E713" s="1" t="s">
        <v>16</v>
      </c>
      <c r="F713" s="1" t="s">
        <v>2149</v>
      </c>
      <c r="G713" s="1" t="s">
        <v>2150</v>
      </c>
      <c r="I713" s="1" t="s">
        <v>19</v>
      </c>
      <c r="L713" s="1" t="s">
        <v>2151</v>
      </c>
      <c r="M713" s="1" t="s">
        <v>2149</v>
      </c>
      <c r="N713" s="1">
        <v>553</v>
      </c>
      <c r="O713" s="1" t="s">
        <v>2152</v>
      </c>
    </row>
    <row r="714" spans="1:15" x14ac:dyDescent="0.35">
      <c r="A714" s="1" t="s">
        <v>15</v>
      </c>
      <c r="B714" s="1">
        <v>708034</v>
      </c>
      <c r="C714" s="1">
        <v>711417</v>
      </c>
      <c r="E714" s="1" t="s">
        <v>16</v>
      </c>
      <c r="F714" s="1" t="s">
        <v>2153</v>
      </c>
      <c r="I714" s="1" t="s">
        <v>19</v>
      </c>
      <c r="L714" s="1" t="s">
        <v>2154</v>
      </c>
      <c r="M714" s="1" t="s">
        <v>2153</v>
      </c>
      <c r="N714" s="1">
        <v>1127</v>
      </c>
      <c r="O714" s="1" t="s">
        <v>2155</v>
      </c>
    </row>
    <row r="715" spans="1:15" x14ac:dyDescent="0.35">
      <c r="A715" s="1" t="s">
        <v>15</v>
      </c>
      <c r="B715" s="1">
        <v>711594</v>
      </c>
      <c r="C715" s="1">
        <v>712505</v>
      </c>
      <c r="E715" s="1" t="s">
        <v>16</v>
      </c>
      <c r="F715" s="1" t="s">
        <v>54</v>
      </c>
      <c r="I715" s="1" t="s">
        <v>19</v>
      </c>
      <c r="L715" s="1" t="s">
        <v>2156</v>
      </c>
      <c r="M715" s="1" t="s">
        <v>54</v>
      </c>
      <c r="N715" s="1">
        <v>303</v>
      </c>
      <c r="O715" s="1" t="s">
        <v>2157</v>
      </c>
    </row>
    <row r="716" spans="1:15" x14ac:dyDescent="0.35">
      <c r="A716" s="1" t="s">
        <v>15</v>
      </c>
      <c r="B716" s="1">
        <v>712507</v>
      </c>
      <c r="C716" s="1">
        <v>712830</v>
      </c>
      <c r="E716" s="1" t="s">
        <v>16</v>
      </c>
      <c r="F716" s="1" t="s">
        <v>54</v>
      </c>
      <c r="I716" s="1" t="s">
        <v>19</v>
      </c>
      <c r="L716" s="1" t="s">
        <v>2158</v>
      </c>
      <c r="M716" s="1" t="s">
        <v>54</v>
      </c>
      <c r="N716" s="1">
        <v>107</v>
      </c>
      <c r="O716" s="1" t="s">
        <v>2159</v>
      </c>
    </row>
    <row r="717" spans="1:15" x14ac:dyDescent="0.35">
      <c r="A717" s="1" t="s">
        <v>15</v>
      </c>
      <c r="B717" s="1">
        <v>712827</v>
      </c>
      <c r="C717" s="1">
        <v>713879</v>
      </c>
      <c r="E717" s="1" t="s">
        <v>16</v>
      </c>
      <c r="F717" s="1" t="s">
        <v>54</v>
      </c>
      <c r="I717" s="1" t="s">
        <v>19</v>
      </c>
      <c r="L717" s="1" t="s">
        <v>2160</v>
      </c>
      <c r="M717" s="1" t="s">
        <v>54</v>
      </c>
      <c r="N717" s="1">
        <v>350</v>
      </c>
      <c r="O717" s="1" t="s">
        <v>2161</v>
      </c>
    </row>
    <row r="718" spans="1:15" x14ac:dyDescent="0.35">
      <c r="A718" s="1" t="s">
        <v>15</v>
      </c>
      <c r="B718" s="1">
        <v>714953</v>
      </c>
      <c r="C718" s="1">
        <v>715495</v>
      </c>
      <c r="E718" s="1" t="s">
        <v>178</v>
      </c>
      <c r="F718" s="1" t="s">
        <v>54</v>
      </c>
      <c r="I718" s="1" t="s">
        <v>19</v>
      </c>
      <c r="L718" s="1" t="s">
        <v>2162</v>
      </c>
      <c r="M718" s="1" t="s">
        <v>54</v>
      </c>
      <c r="N718" s="1">
        <v>180</v>
      </c>
      <c r="O718" s="1" t="s">
        <v>2163</v>
      </c>
    </row>
    <row r="719" spans="1:15" x14ac:dyDescent="0.35">
      <c r="A719" s="1" t="s">
        <v>15</v>
      </c>
      <c r="B719" s="1">
        <v>715734</v>
      </c>
      <c r="C719" s="1">
        <v>716549</v>
      </c>
      <c r="E719" s="1" t="s">
        <v>178</v>
      </c>
      <c r="F719" s="1" t="s">
        <v>213</v>
      </c>
      <c r="I719" s="1" t="s">
        <v>19</v>
      </c>
      <c r="L719" s="1" t="s">
        <v>2164</v>
      </c>
      <c r="M719" s="1" t="s">
        <v>213</v>
      </c>
      <c r="N719" s="1">
        <v>271</v>
      </c>
      <c r="O719" s="1" t="s">
        <v>2165</v>
      </c>
    </row>
    <row r="720" spans="1:15" x14ac:dyDescent="0.35">
      <c r="A720" s="1" t="s">
        <v>15</v>
      </c>
      <c r="B720" s="1">
        <v>716549</v>
      </c>
      <c r="C720" s="1">
        <v>717451</v>
      </c>
      <c r="E720" s="1" t="s">
        <v>178</v>
      </c>
      <c r="F720" s="1" t="s">
        <v>1375</v>
      </c>
      <c r="I720" s="1" t="s">
        <v>19</v>
      </c>
      <c r="L720" s="1" t="s">
        <v>2166</v>
      </c>
      <c r="M720" s="1" t="s">
        <v>1375</v>
      </c>
      <c r="N720" s="1">
        <v>300</v>
      </c>
      <c r="O720" s="1" t="s">
        <v>2167</v>
      </c>
    </row>
    <row r="721" spans="1:17" x14ac:dyDescent="0.35">
      <c r="A721" s="1" t="s">
        <v>15</v>
      </c>
      <c r="B721" s="1">
        <v>717457</v>
      </c>
      <c r="C721" s="1">
        <v>717588</v>
      </c>
      <c r="E721" s="1" t="s">
        <v>178</v>
      </c>
      <c r="F721" s="1" t="s">
        <v>54</v>
      </c>
      <c r="I721" s="1" t="s">
        <v>19</v>
      </c>
      <c r="L721" s="1" t="s">
        <v>2168</v>
      </c>
      <c r="M721" s="1" t="s">
        <v>54</v>
      </c>
      <c r="N721" s="1">
        <v>43</v>
      </c>
      <c r="O721" s="1" t="s">
        <v>2169</v>
      </c>
    </row>
    <row r="722" spans="1:17" x14ac:dyDescent="0.35">
      <c r="A722" s="1" t="s">
        <v>15</v>
      </c>
      <c r="B722" s="1">
        <v>717816</v>
      </c>
      <c r="C722" s="1">
        <v>719948</v>
      </c>
      <c r="E722" s="1" t="s">
        <v>16</v>
      </c>
      <c r="F722" s="1" t="s">
        <v>520</v>
      </c>
      <c r="G722" s="1" t="s">
        <v>2170</v>
      </c>
      <c r="I722" s="1" t="s">
        <v>19</v>
      </c>
      <c r="L722" s="1" t="s">
        <v>2171</v>
      </c>
      <c r="M722" s="1" t="s">
        <v>520</v>
      </c>
      <c r="N722" s="1">
        <v>710</v>
      </c>
      <c r="O722" s="1" t="s">
        <v>2172</v>
      </c>
    </row>
    <row r="723" spans="1:17" x14ac:dyDescent="0.35">
      <c r="A723" s="1" t="s">
        <v>15</v>
      </c>
      <c r="B723" s="1">
        <v>719935</v>
      </c>
      <c r="C723" s="1">
        <v>720375</v>
      </c>
      <c r="E723" s="1" t="s">
        <v>16</v>
      </c>
      <c r="F723" s="1" t="s">
        <v>2173</v>
      </c>
      <c r="I723" s="1" t="s">
        <v>19</v>
      </c>
      <c r="L723" s="1" t="s">
        <v>2174</v>
      </c>
      <c r="M723" s="1" t="s">
        <v>2173</v>
      </c>
      <c r="N723" s="1">
        <v>146</v>
      </c>
      <c r="O723" s="1" t="s">
        <v>2175</v>
      </c>
      <c r="Q723" s="14"/>
    </row>
    <row r="724" spans="1:17" x14ac:dyDescent="0.35">
      <c r="A724" s="1" t="s">
        <v>15</v>
      </c>
      <c r="B724" s="1">
        <v>720441</v>
      </c>
      <c r="C724" s="1">
        <v>720704</v>
      </c>
      <c r="E724" s="1" t="s">
        <v>16</v>
      </c>
      <c r="F724" s="1" t="s">
        <v>2176</v>
      </c>
      <c r="I724" s="1" t="s">
        <v>19</v>
      </c>
      <c r="L724" s="1" t="s">
        <v>2177</v>
      </c>
      <c r="M724" s="1" t="s">
        <v>2176</v>
      </c>
      <c r="N724" s="1">
        <v>87</v>
      </c>
      <c r="O724" s="1" t="s">
        <v>2178</v>
      </c>
    </row>
    <row r="725" spans="1:17" x14ac:dyDescent="0.35">
      <c r="A725" s="1" t="s">
        <v>15</v>
      </c>
      <c r="B725" s="1">
        <v>720831</v>
      </c>
      <c r="C725" s="1">
        <v>721760</v>
      </c>
      <c r="E725" s="1" t="s">
        <v>16</v>
      </c>
      <c r="F725" s="1" t="s">
        <v>2179</v>
      </c>
      <c r="G725" s="1" t="s">
        <v>2180</v>
      </c>
      <c r="I725" s="1" t="s">
        <v>19</v>
      </c>
      <c r="L725" s="1" t="s">
        <v>2181</v>
      </c>
      <c r="M725" s="1" t="s">
        <v>2179</v>
      </c>
      <c r="N725" s="1">
        <v>309</v>
      </c>
      <c r="O725" s="1" t="s">
        <v>2182</v>
      </c>
      <c r="Q725" s="14"/>
    </row>
    <row r="726" spans="1:17" x14ac:dyDescent="0.35">
      <c r="A726" s="1" t="s">
        <v>15</v>
      </c>
      <c r="B726" s="1">
        <v>721760</v>
      </c>
      <c r="C726" s="1">
        <v>722551</v>
      </c>
      <c r="E726" s="1" t="s">
        <v>16</v>
      </c>
      <c r="F726" s="1" t="s">
        <v>2183</v>
      </c>
      <c r="G726" s="1" t="s">
        <v>2184</v>
      </c>
      <c r="I726" s="1" t="s">
        <v>19</v>
      </c>
      <c r="L726" s="1" t="s">
        <v>2185</v>
      </c>
      <c r="M726" s="1" t="s">
        <v>2183</v>
      </c>
      <c r="N726" s="1">
        <v>263</v>
      </c>
      <c r="O726" s="1" t="s">
        <v>2186</v>
      </c>
      <c r="Q726" s="14"/>
    </row>
    <row r="727" spans="1:17" x14ac:dyDescent="0.35">
      <c r="A727" s="1" t="s">
        <v>15</v>
      </c>
      <c r="B727" s="1">
        <v>722676</v>
      </c>
      <c r="C727" s="1">
        <v>723074</v>
      </c>
      <c r="E727" s="1" t="s">
        <v>16</v>
      </c>
      <c r="F727" s="1" t="s">
        <v>54</v>
      </c>
      <c r="I727" s="1" t="s">
        <v>19</v>
      </c>
      <c r="L727" s="1" t="s">
        <v>2187</v>
      </c>
      <c r="M727" s="1" t="s">
        <v>54</v>
      </c>
      <c r="N727" s="1">
        <v>132</v>
      </c>
      <c r="O727" s="1" t="s">
        <v>2188</v>
      </c>
    </row>
    <row r="728" spans="1:17" x14ac:dyDescent="0.35">
      <c r="A728" s="1" t="s">
        <v>15</v>
      </c>
      <c r="B728" s="1">
        <v>723087</v>
      </c>
      <c r="C728" s="1">
        <v>723527</v>
      </c>
      <c r="E728" s="1" t="s">
        <v>16</v>
      </c>
      <c r="F728" s="1" t="s">
        <v>50</v>
      </c>
      <c r="I728" s="1" t="s">
        <v>19</v>
      </c>
      <c r="L728" s="1" t="s">
        <v>2189</v>
      </c>
      <c r="M728" s="1" t="s">
        <v>50</v>
      </c>
      <c r="N728" s="1">
        <v>146</v>
      </c>
      <c r="O728" s="1" t="s">
        <v>2190</v>
      </c>
    </row>
    <row r="729" spans="1:17" x14ac:dyDescent="0.35">
      <c r="A729" s="1" t="s">
        <v>15</v>
      </c>
      <c r="B729" s="1">
        <v>723583</v>
      </c>
      <c r="C729" s="1">
        <v>723879</v>
      </c>
      <c r="E729" s="1" t="s">
        <v>178</v>
      </c>
      <c r="F729" s="1" t="s">
        <v>50</v>
      </c>
      <c r="I729" s="1" t="s">
        <v>19</v>
      </c>
      <c r="L729" s="1" t="s">
        <v>2191</v>
      </c>
      <c r="M729" s="1" t="s">
        <v>50</v>
      </c>
      <c r="N729" s="1">
        <v>98</v>
      </c>
      <c r="O729" s="1" t="s">
        <v>2192</v>
      </c>
    </row>
    <row r="730" spans="1:17" x14ac:dyDescent="0.35">
      <c r="A730" s="1" t="s">
        <v>15</v>
      </c>
      <c r="B730" s="1">
        <v>724130</v>
      </c>
      <c r="C730" s="1">
        <v>725047</v>
      </c>
      <c r="E730" s="1" t="s">
        <v>16</v>
      </c>
      <c r="F730" s="1" t="s">
        <v>2193</v>
      </c>
      <c r="G730" s="1" t="s">
        <v>2194</v>
      </c>
      <c r="I730" s="1" t="s">
        <v>19</v>
      </c>
      <c r="L730" s="1" t="s">
        <v>2195</v>
      </c>
      <c r="M730" s="1" t="s">
        <v>2193</v>
      </c>
      <c r="N730" s="1">
        <v>305</v>
      </c>
      <c r="O730" s="1" t="s">
        <v>2196</v>
      </c>
    </row>
    <row r="731" spans="1:17" x14ac:dyDescent="0.35">
      <c r="A731" s="1" t="s">
        <v>15</v>
      </c>
      <c r="B731" s="1">
        <v>725143</v>
      </c>
      <c r="C731" s="1">
        <v>726429</v>
      </c>
      <c r="E731" s="1" t="s">
        <v>16</v>
      </c>
      <c r="F731" s="1" t="s">
        <v>2193</v>
      </c>
      <c r="G731" s="1" t="s">
        <v>2197</v>
      </c>
      <c r="I731" s="1" t="s">
        <v>19</v>
      </c>
      <c r="L731" s="1" t="s">
        <v>2198</v>
      </c>
      <c r="M731" s="1" t="s">
        <v>2193</v>
      </c>
      <c r="N731" s="1">
        <v>428</v>
      </c>
      <c r="O731" s="1" t="s">
        <v>2199</v>
      </c>
    </row>
    <row r="732" spans="1:17" x14ac:dyDescent="0.35">
      <c r="A732" s="1" t="s">
        <v>15</v>
      </c>
      <c r="B732" s="1">
        <v>726429</v>
      </c>
      <c r="C732" s="1">
        <v>726746</v>
      </c>
      <c r="E732" s="1" t="s">
        <v>16</v>
      </c>
      <c r="F732" s="1" t="s">
        <v>2200</v>
      </c>
      <c r="G732" s="1" t="s">
        <v>2201</v>
      </c>
      <c r="I732" s="1" t="s">
        <v>19</v>
      </c>
      <c r="L732" s="1" t="s">
        <v>2202</v>
      </c>
      <c r="M732" s="1" t="s">
        <v>2200</v>
      </c>
      <c r="N732" s="1">
        <v>105</v>
      </c>
      <c r="O732" s="1" t="s">
        <v>2203</v>
      </c>
    </row>
    <row r="733" spans="1:17" x14ac:dyDescent="0.35">
      <c r="A733" s="1" t="s">
        <v>15</v>
      </c>
      <c r="B733" s="1">
        <v>726792</v>
      </c>
      <c r="C733" s="1">
        <v>727331</v>
      </c>
      <c r="E733" s="1" t="s">
        <v>178</v>
      </c>
      <c r="F733" s="1" t="s">
        <v>2204</v>
      </c>
      <c r="G733" s="1" t="s">
        <v>2205</v>
      </c>
      <c r="I733" s="1" t="s">
        <v>19</v>
      </c>
      <c r="L733" s="1" t="s">
        <v>2206</v>
      </c>
      <c r="M733" s="1" t="s">
        <v>2204</v>
      </c>
      <c r="N733" s="1">
        <v>179</v>
      </c>
      <c r="O733" s="1" t="s">
        <v>2207</v>
      </c>
      <c r="Q733" s="14"/>
    </row>
    <row r="734" spans="1:17" x14ac:dyDescent="0.35">
      <c r="A734" s="1" t="s">
        <v>15</v>
      </c>
      <c r="B734" s="1">
        <v>727427</v>
      </c>
      <c r="C734" s="1">
        <v>727717</v>
      </c>
      <c r="E734" s="1" t="s">
        <v>178</v>
      </c>
      <c r="F734" s="1" t="s">
        <v>54</v>
      </c>
      <c r="I734" s="1" t="s">
        <v>19</v>
      </c>
      <c r="L734" s="1" t="s">
        <v>2208</v>
      </c>
      <c r="M734" s="1" t="s">
        <v>54</v>
      </c>
      <c r="N734" s="1">
        <v>96</v>
      </c>
      <c r="O734" s="1" t="s">
        <v>2209</v>
      </c>
    </row>
    <row r="735" spans="1:17" x14ac:dyDescent="0.35">
      <c r="A735" s="1" t="s">
        <v>15</v>
      </c>
      <c r="B735" s="1">
        <v>727836</v>
      </c>
      <c r="C735" s="1">
        <v>728048</v>
      </c>
      <c r="E735" s="1" t="s">
        <v>16</v>
      </c>
      <c r="F735" s="1" t="s">
        <v>54</v>
      </c>
      <c r="I735" s="1" t="s">
        <v>19</v>
      </c>
      <c r="L735" s="1" t="s">
        <v>2210</v>
      </c>
      <c r="M735" s="1" t="s">
        <v>54</v>
      </c>
      <c r="N735" s="1">
        <v>70</v>
      </c>
      <c r="O735" s="1" t="s">
        <v>2211</v>
      </c>
    </row>
    <row r="736" spans="1:17" x14ac:dyDescent="0.35">
      <c r="A736" s="1" t="s">
        <v>15</v>
      </c>
      <c r="B736" s="1">
        <v>728085</v>
      </c>
      <c r="C736" s="1">
        <v>729419</v>
      </c>
      <c r="E736" s="1" t="s">
        <v>178</v>
      </c>
      <c r="F736" s="1" t="s">
        <v>2212</v>
      </c>
      <c r="I736" s="1" t="s">
        <v>19</v>
      </c>
      <c r="L736" s="1" t="s">
        <v>2213</v>
      </c>
      <c r="M736" s="1" t="s">
        <v>2212</v>
      </c>
      <c r="N736" s="1">
        <v>444</v>
      </c>
      <c r="O736" s="1" t="s">
        <v>2214</v>
      </c>
    </row>
    <row r="737" spans="1:17" x14ac:dyDescent="0.35">
      <c r="A737" s="1" t="s">
        <v>15</v>
      </c>
      <c r="B737" s="1">
        <v>729626</v>
      </c>
      <c r="C737" s="1">
        <v>729934</v>
      </c>
      <c r="E737" s="1" t="s">
        <v>16</v>
      </c>
      <c r="F737" s="1" t="s">
        <v>54</v>
      </c>
      <c r="I737" s="1" t="s">
        <v>19</v>
      </c>
      <c r="L737" s="1" t="s">
        <v>2215</v>
      </c>
      <c r="M737" s="1" t="s">
        <v>54</v>
      </c>
      <c r="N737" s="1">
        <v>102</v>
      </c>
      <c r="O737" s="1" t="s">
        <v>2216</v>
      </c>
    </row>
    <row r="738" spans="1:17" x14ac:dyDescent="0.35">
      <c r="A738" s="1" t="s">
        <v>15</v>
      </c>
      <c r="B738" s="1">
        <v>730036</v>
      </c>
      <c r="C738" s="1">
        <v>730425</v>
      </c>
      <c r="E738" s="1" t="s">
        <v>16</v>
      </c>
      <c r="F738" s="1" t="s">
        <v>2217</v>
      </c>
      <c r="G738" s="1" t="s">
        <v>2218</v>
      </c>
      <c r="I738" s="1" t="s">
        <v>19</v>
      </c>
      <c r="L738" s="1" t="s">
        <v>2219</v>
      </c>
      <c r="M738" s="1" t="s">
        <v>2217</v>
      </c>
      <c r="N738" s="1">
        <v>129</v>
      </c>
      <c r="O738" s="1" t="s">
        <v>2220</v>
      </c>
      <c r="Q738" s="14"/>
    </row>
    <row r="739" spans="1:17" x14ac:dyDescent="0.35">
      <c r="A739" s="1" t="s">
        <v>15</v>
      </c>
      <c r="B739" s="1">
        <v>730448</v>
      </c>
      <c r="C739" s="1">
        <v>733333</v>
      </c>
      <c r="E739" s="1" t="s">
        <v>178</v>
      </c>
      <c r="F739" s="1" t="s">
        <v>2221</v>
      </c>
      <c r="I739" s="1" t="s">
        <v>19</v>
      </c>
      <c r="L739" s="1" t="s">
        <v>2222</v>
      </c>
      <c r="M739" s="1" t="s">
        <v>2221</v>
      </c>
      <c r="N739" s="1">
        <v>961</v>
      </c>
      <c r="O739" s="1" t="s">
        <v>2223</v>
      </c>
    </row>
    <row r="740" spans="1:17" x14ac:dyDescent="0.35">
      <c r="A740" s="1" t="s">
        <v>15</v>
      </c>
      <c r="B740" s="1">
        <v>733607</v>
      </c>
      <c r="C740" s="1">
        <v>734113</v>
      </c>
      <c r="E740" s="1" t="s">
        <v>178</v>
      </c>
      <c r="F740" s="1" t="s">
        <v>54</v>
      </c>
      <c r="I740" s="1" t="s">
        <v>19</v>
      </c>
      <c r="L740" s="1" t="s">
        <v>2224</v>
      </c>
      <c r="M740" s="1" t="s">
        <v>54</v>
      </c>
      <c r="N740" s="1">
        <v>168</v>
      </c>
      <c r="O740" s="1" t="s">
        <v>2225</v>
      </c>
    </row>
    <row r="741" spans="1:17" x14ac:dyDescent="0.35">
      <c r="A741" s="1" t="s">
        <v>15</v>
      </c>
      <c r="B741" s="1">
        <v>734209</v>
      </c>
      <c r="C741" s="1">
        <v>735699</v>
      </c>
      <c r="E741" s="1" t="s">
        <v>178</v>
      </c>
      <c r="F741" s="1" t="s">
        <v>2226</v>
      </c>
      <c r="G741" s="1" t="s">
        <v>2227</v>
      </c>
      <c r="I741" s="1" t="s">
        <v>19</v>
      </c>
      <c r="L741" s="1" t="s">
        <v>2228</v>
      </c>
      <c r="M741" s="1" t="s">
        <v>2226</v>
      </c>
      <c r="N741" s="1">
        <v>496</v>
      </c>
      <c r="O741" s="1" t="s">
        <v>2229</v>
      </c>
      <c r="Q741" s="14"/>
    </row>
    <row r="742" spans="1:17" x14ac:dyDescent="0.35">
      <c r="A742" s="1" t="s">
        <v>15</v>
      </c>
      <c r="B742" s="1">
        <v>735927</v>
      </c>
      <c r="C742" s="1">
        <v>737234</v>
      </c>
      <c r="E742" s="1" t="s">
        <v>16</v>
      </c>
      <c r="F742" s="1" t="s">
        <v>50</v>
      </c>
      <c r="I742" s="1" t="s">
        <v>19</v>
      </c>
      <c r="L742" s="1" t="s">
        <v>2230</v>
      </c>
      <c r="M742" s="1" t="s">
        <v>50</v>
      </c>
      <c r="N742" s="1">
        <v>435</v>
      </c>
      <c r="O742" s="1" t="s">
        <v>2231</v>
      </c>
    </row>
    <row r="743" spans="1:17" x14ac:dyDescent="0.35">
      <c r="A743" s="1" t="s">
        <v>15</v>
      </c>
      <c r="B743" s="1">
        <v>737248</v>
      </c>
      <c r="C743" s="1">
        <v>737727</v>
      </c>
      <c r="E743" s="1" t="s">
        <v>16</v>
      </c>
      <c r="F743" s="1" t="s">
        <v>54</v>
      </c>
      <c r="I743" s="1" t="s">
        <v>19</v>
      </c>
      <c r="L743" s="1" t="s">
        <v>2232</v>
      </c>
      <c r="M743" s="1" t="s">
        <v>54</v>
      </c>
      <c r="N743" s="1">
        <v>159</v>
      </c>
      <c r="O743" s="1" t="s">
        <v>2233</v>
      </c>
    </row>
    <row r="744" spans="1:17" x14ac:dyDescent="0.35">
      <c r="A744" s="1" t="s">
        <v>15</v>
      </c>
      <c r="B744" s="1">
        <v>738043</v>
      </c>
      <c r="C744" s="1">
        <v>738945</v>
      </c>
      <c r="E744" s="1" t="s">
        <v>16</v>
      </c>
      <c r="F744" s="1" t="s">
        <v>2234</v>
      </c>
      <c r="I744" s="1" t="s">
        <v>19</v>
      </c>
      <c r="L744" s="1" t="s">
        <v>2235</v>
      </c>
      <c r="M744" s="1" t="s">
        <v>2234</v>
      </c>
      <c r="N744" s="1">
        <v>300</v>
      </c>
      <c r="O744" s="1" t="s">
        <v>2236</v>
      </c>
    </row>
    <row r="745" spans="1:17" x14ac:dyDescent="0.35">
      <c r="A745" s="1" t="s">
        <v>15</v>
      </c>
      <c r="B745" s="1">
        <v>739003</v>
      </c>
      <c r="C745" s="1">
        <v>739422</v>
      </c>
      <c r="E745" s="1" t="s">
        <v>16</v>
      </c>
      <c r="F745" s="1" t="s">
        <v>54</v>
      </c>
      <c r="I745" s="1" t="s">
        <v>19</v>
      </c>
      <c r="L745" s="1" t="s">
        <v>2237</v>
      </c>
      <c r="M745" s="1" t="s">
        <v>54</v>
      </c>
      <c r="N745" s="1">
        <v>139</v>
      </c>
      <c r="O745" s="1" t="s">
        <v>2238</v>
      </c>
    </row>
    <row r="746" spans="1:17" x14ac:dyDescent="0.35">
      <c r="A746" s="1" t="s">
        <v>15</v>
      </c>
      <c r="B746" s="1">
        <v>739523</v>
      </c>
      <c r="C746" s="1">
        <v>740161</v>
      </c>
      <c r="E746" s="1" t="s">
        <v>178</v>
      </c>
      <c r="F746" s="1" t="s">
        <v>2239</v>
      </c>
      <c r="I746" s="1" t="s">
        <v>19</v>
      </c>
      <c r="L746" s="1" t="s">
        <v>2240</v>
      </c>
      <c r="M746" s="1" t="s">
        <v>2239</v>
      </c>
      <c r="N746" s="1">
        <v>212</v>
      </c>
      <c r="O746" s="1" t="s">
        <v>2241</v>
      </c>
      <c r="Q746" s="14"/>
    </row>
    <row r="747" spans="1:17" x14ac:dyDescent="0.35">
      <c r="A747" s="1" t="s">
        <v>15</v>
      </c>
      <c r="B747" s="1">
        <v>740164</v>
      </c>
      <c r="C747" s="1">
        <v>740637</v>
      </c>
      <c r="E747" s="1" t="s">
        <v>178</v>
      </c>
      <c r="F747" s="1" t="s">
        <v>849</v>
      </c>
      <c r="I747" s="1" t="s">
        <v>19</v>
      </c>
      <c r="L747" s="1" t="s">
        <v>2242</v>
      </c>
      <c r="M747" s="1" t="s">
        <v>849</v>
      </c>
      <c r="N747" s="1">
        <v>157</v>
      </c>
      <c r="O747" s="1" t="s">
        <v>2243</v>
      </c>
    </row>
    <row r="748" spans="1:17" x14ac:dyDescent="0.35">
      <c r="A748" s="1" t="s">
        <v>15</v>
      </c>
      <c r="B748" s="1">
        <v>740750</v>
      </c>
      <c r="C748" s="1">
        <v>741652</v>
      </c>
      <c r="E748" s="1" t="s">
        <v>178</v>
      </c>
      <c r="F748" s="1" t="s">
        <v>2244</v>
      </c>
      <c r="I748" s="1" t="s">
        <v>19</v>
      </c>
      <c r="L748" s="1" t="s">
        <v>2245</v>
      </c>
      <c r="M748" s="1" t="s">
        <v>2244</v>
      </c>
      <c r="N748" s="1">
        <v>300</v>
      </c>
      <c r="O748" s="1" t="s">
        <v>2246</v>
      </c>
      <c r="Q748" s="14"/>
    </row>
    <row r="749" spans="1:17" x14ac:dyDescent="0.35">
      <c r="A749" s="1" t="s">
        <v>15</v>
      </c>
      <c r="B749" s="1">
        <v>741843</v>
      </c>
      <c r="C749" s="1">
        <v>742295</v>
      </c>
      <c r="E749" s="1" t="s">
        <v>178</v>
      </c>
      <c r="F749" s="1" t="s">
        <v>54</v>
      </c>
      <c r="I749" s="1" t="s">
        <v>19</v>
      </c>
      <c r="L749" s="1" t="s">
        <v>2247</v>
      </c>
      <c r="M749" s="1" t="s">
        <v>54</v>
      </c>
      <c r="N749" s="1">
        <v>150</v>
      </c>
      <c r="O749" s="1" t="s">
        <v>2248</v>
      </c>
    </row>
    <row r="750" spans="1:17" x14ac:dyDescent="0.35">
      <c r="A750" s="1" t="s">
        <v>15</v>
      </c>
      <c r="B750" s="1">
        <v>742384</v>
      </c>
      <c r="C750" s="1">
        <v>743226</v>
      </c>
      <c r="E750" s="1" t="s">
        <v>16</v>
      </c>
      <c r="F750" s="1" t="s">
        <v>2249</v>
      </c>
      <c r="G750" s="1" t="s">
        <v>2250</v>
      </c>
      <c r="I750" s="1" t="s">
        <v>19</v>
      </c>
      <c r="L750" s="1" t="s">
        <v>2251</v>
      </c>
      <c r="M750" s="1" t="s">
        <v>2249</v>
      </c>
      <c r="N750" s="1">
        <v>280</v>
      </c>
      <c r="O750" s="1" t="s">
        <v>2252</v>
      </c>
    </row>
    <row r="751" spans="1:17" x14ac:dyDescent="0.35">
      <c r="A751" s="1" t="s">
        <v>15</v>
      </c>
      <c r="B751" s="1">
        <v>743264</v>
      </c>
      <c r="C751" s="1">
        <v>743890</v>
      </c>
      <c r="E751" s="1" t="s">
        <v>178</v>
      </c>
      <c r="F751" s="1" t="s">
        <v>54</v>
      </c>
      <c r="I751" s="1" t="s">
        <v>19</v>
      </c>
      <c r="L751" s="1" t="s">
        <v>2253</v>
      </c>
      <c r="M751" s="1" t="s">
        <v>54</v>
      </c>
      <c r="N751" s="1">
        <v>208</v>
      </c>
      <c r="O751" s="1" t="s">
        <v>2254</v>
      </c>
    </row>
    <row r="752" spans="1:17" x14ac:dyDescent="0.35">
      <c r="A752" s="1" t="s">
        <v>15</v>
      </c>
      <c r="B752" s="1">
        <v>744000</v>
      </c>
      <c r="C752" s="1">
        <v>745157</v>
      </c>
      <c r="E752" s="1" t="s">
        <v>16</v>
      </c>
      <c r="F752" s="1" t="s">
        <v>2255</v>
      </c>
      <c r="I752" s="1" t="s">
        <v>19</v>
      </c>
      <c r="L752" s="1" t="s">
        <v>2256</v>
      </c>
      <c r="M752" s="1" t="s">
        <v>2255</v>
      </c>
      <c r="N752" s="1">
        <v>385</v>
      </c>
      <c r="O752" s="1" t="s">
        <v>2257</v>
      </c>
    </row>
    <row r="753" spans="1:17" x14ac:dyDescent="0.35">
      <c r="A753" s="1" t="s">
        <v>15</v>
      </c>
      <c r="B753" s="1">
        <v>745189</v>
      </c>
      <c r="C753" s="1">
        <v>745953</v>
      </c>
      <c r="E753" s="1" t="s">
        <v>16</v>
      </c>
      <c r="F753" s="1" t="s">
        <v>2258</v>
      </c>
      <c r="G753" s="1" t="s">
        <v>2259</v>
      </c>
      <c r="I753" s="1" t="s">
        <v>19</v>
      </c>
      <c r="L753" s="1" t="s">
        <v>2260</v>
      </c>
      <c r="M753" s="1" t="s">
        <v>2258</v>
      </c>
      <c r="N753" s="1">
        <v>254</v>
      </c>
      <c r="O753" s="1" t="s">
        <v>2261</v>
      </c>
    </row>
    <row r="754" spans="1:17" x14ac:dyDescent="0.35">
      <c r="A754" s="1" t="s">
        <v>15</v>
      </c>
      <c r="B754" s="1">
        <v>746073</v>
      </c>
      <c r="C754" s="1">
        <v>749141</v>
      </c>
      <c r="E754" s="1" t="s">
        <v>16</v>
      </c>
      <c r="F754" s="1" t="s">
        <v>2262</v>
      </c>
      <c r="I754" s="1" t="s">
        <v>19</v>
      </c>
      <c r="L754" s="1" t="s">
        <v>2263</v>
      </c>
      <c r="M754" s="1" t="s">
        <v>2262</v>
      </c>
      <c r="N754" s="1">
        <v>1022</v>
      </c>
      <c r="O754" s="1" t="s">
        <v>2264</v>
      </c>
      <c r="Q754" s="14"/>
    </row>
    <row r="755" spans="1:17" x14ac:dyDescent="0.35">
      <c r="A755" s="1" t="s">
        <v>15</v>
      </c>
      <c r="B755" s="1">
        <v>749141</v>
      </c>
      <c r="C755" s="1">
        <v>750745</v>
      </c>
      <c r="E755" s="1" t="s">
        <v>16</v>
      </c>
      <c r="F755" s="1" t="s">
        <v>2265</v>
      </c>
      <c r="G755" s="1" t="s">
        <v>2266</v>
      </c>
      <c r="I755" s="1" t="s">
        <v>19</v>
      </c>
      <c r="L755" s="1" t="s">
        <v>2267</v>
      </c>
      <c r="M755" s="1" t="s">
        <v>2265</v>
      </c>
      <c r="N755" s="1">
        <v>534</v>
      </c>
      <c r="O755" s="1" t="s">
        <v>2268</v>
      </c>
      <c r="Q755" s="14"/>
    </row>
    <row r="756" spans="1:17" x14ac:dyDescent="0.35">
      <c r="A756" s="1" t="s">
        <v>15</v>
      </c>
      <c r="B756" s="1">
        <v>750738</v>
      </c>
      <c r="C756" s="1">
        <v>751943</v>
      </c>
      <c r="E756" s="1" t="s">
        <v>16</v>
      </c>
      <c r="F756" s="1" t="s">
        <v>2269</v>
      </c>
      <c r="I756" s="1" t="s">
        <v>19</v>
      </c>
      <c r="L756" s="1" t="s">
        <v>2270</v>
      </c>
      <c r="M756" s="1" t="s">
        <v>2269</v>
      </c>
      <c r="N756" s="1">
        <v>401</v>
      </c>
      <c r="O756" s="1" t="s">
        <v>2271</v>
      </c>
    </row>
    <row r="757" spans="1:17" x14ac:dyDescent="0.35">
      <c r="A757" s="1" t="s">
        <v>15</v>
      </c>
      <c r="B757" s="1">
        <v>751985</v>
      </c>
      <c r="C757" s="1">
        <v>752818</v>
      </c>
      <c r="E757" s="1" t="s">
        <v>16</v>
      </c>
      <c r="F757" s="1" t="s">
        <v>231</v>
      </c>
      <c r="I757" s="1" t="s">
        <v>19</v>
      </c>
      <c r="L757" s="1" t="s">
        <v>2272</v>
      </c>
      <c r="M757" s="1" t="s">
        <v>231</v>
      </c>
      <c r="N757" s="1">
        <v>277</v>
      </c>
      <c r="O757" s="1" t="s">
        <v>2273</v>
      </c>
    </row>
    <row r="758" spans="1:17" x14ac:dyDescent="0.35">
      <c r="A758" s="1" t="s">
        <v>15</v>
      </c>
      <c r="B758" s="1">
        <v>752793</v>
      </c>
      <c r="C758" s="1">
        <v>753206</v>
      </c>
      <c r="E758" s="1" t="s">
        <v>16</v>
      </c>
      <c r="F758" s="1" t="s">
        <v>54</v>
      </c>
      <c r="I758" s="1" t="s">
        <v>19</v>
      </c>
      <c r="L758" s="1" t="s">
        <v>2274</v>
      </c>
      <c r="M758" s="1" t="s">
        <v>54</v>
      </c>
      <c r="N758" s="1">
        <v>137</v>
      </c>
      <c r="O758" s="1" t="s">
        <v>2275</v>
      </c>
    </row>
    <row r="759" spans="1:17" x14ac:dyDescent="0.35">
      <c r="A759" s="1" t="s">
        <v>15</v>
      </c>
      <c r="B759" s="1">
        <v>753375</v>
      </c>
      <c r="C759" s="1">
        <v>753713</v>
      </c>
      <c r="E759" s="1" t="s">
        <v>16</v>
      </c>
      <c r="F759" s="1" t="s">
        <v>54</v>
      </c>
      <c r="I759" s="1" t="s">
        <v>19</v>
      </c>
      <c r="L759" s="1" t="s">
        <v>2276</v>
      </c>
      <c r="M759" s="1" t="s">
        <v>54</v>
      </c>
      <c r="N759" s="1">
        <v>112</v>
      </c>
      <c r="O759" s="1" t="s">
        <v>2277</v>
      </c>
    </row>
    <row r="760" spans="1:17" x14ac:dyDescent="0.35">
      <c r="A760" s="1" t="s">
        <v>15</v>
      </c>
      <c r="B760" s="1">
        <v>753706</v>
      </c>
      <c r="C760" s="1">
        <v>754791</v>
      </c>
      <c r="E760" s="1" t="s">
        <v>16</v>
      </c>
      <c r="F760" s="1" t="s">
        <v>2278</v>
      </c>
      <c r="I760" s="1" t="s">
        <v>19</v>
      </c>
      <c r="L760" s="1" t="s">
        <v>2279</v>
      </c>
      <c r="M760" s="1" t="s">
        <v>2278</v>
      </c>
      <c r="N760" s="1">
        <v>361</v>
      </c>
      <c r="O760" s="1" t="s">
        <v>2280</v>
      </c>
    </row>
    <row r="761" spans="1:17" x14ac:dyDescent="0.35">
      <c r="A761" s="1" t="s">
        <v>15</v>
      </c>
      <c r="B761" s="1">
        <v>754878</v>
      </c>
      <c r="C761" s="1">
        <v>755789</v>
      </c>
      <c r="E761" s="1" t="s">
        <v>16</v>
      </c>
      <c r="F761" s="1" t="s">
        <v>54</v>
      </c>
      <c r="I761" s="1" t="s">
        <v>19</v>
      </c>
      <c r="L761" s="1" t="s">
        <v>2281</v>
      </c>
      <c r="M761" s="1" t="s">
        <v>54</v>
      </c>
      <c r="N761" s="1">
        <v>303</v>
      </c>
      <c r="O761" s="1" t="s">
        <v>2282</v>
      </c>
    </row>
    <row r="762" spans="1:17" x14ac:dyDescent="0.35">
      <c r="A762" s="1" t="s">
        <v>15</v>
      </c>
      <c r="B762" s="1">
        <v>756320</v>
      </c>
      <c r="C762" s="1">
        <v>759658</v>
      </c>
      <c r="E762" s="1" t="s">
        <v>16</v>
      </c>
      <c r="F762" s="1" t="s">
        <v>54</v>
      </c>
      <c r="I762" s="1" t="s">
        <v>19</v>
      </c>
      <c r="L762" s="1" t="s">
        <v>2283</v>
      </c>
      <c r="M762" s="1" t="s">
        <v>54</v>
      </c>
      <c r="N762" s="1">
        <v>1112</v>
      </c>
      <c r="O762" s="1" t="s">
        <v>2284</v>
      </c>
    </row>
    <row r="763" spans="1:17" x14ac:dyDescent="0.35">
      <c r="A763" s="1" t="s">
        <v>15</v>
      </c>
      <c r="B763" s="1">
        <v>759805</v>
      </c>
      <c r="C763" s="1">
        <v>760806</v>
      </c>
      <c r="E763" s="1" t="s">
        <v>16</v>
      </c>
      <c r="F763" s="1" t="s">
        <v>2285</v>
      </c>
      <c r="I763" s="1" t="s">
        <v>19</v>
      </c>
      <c r="L763" s="1" t="s">
        <v>2286</v>
      </c>
      <c r="M763" s="1" t="s">
        <v>2285</v>
      </c>
      <c r="N763" s="1">
        <v>333</v>
      </c>
      <c r="O763" s="1" t="s">
        <v>2287</v>
      </c>
    </row>
    <row r="764" spans="1:17" x14ac:dyDescent="0.35">
      <c r="A764" s="1" t="s">
        <v>15</v>
      </c>
      <c r="B764" s="1">
        <v>760955</v>
      </c>
      <c r="C764" s="1">
        <v>761515</v>
      </c>
      <c r="E764" s="1" t="s">
        <v>16</v>
      </c>
      <c r="F764" s="1" t="s">
        <v>2288</v>
      </c>
      <c r="G764" s="1" t="s">
        <v>2289</v>
      </c>
      <c r="I764" s="1" t="s">
        <v>19</v>
      </c>
      <c r="L764" s="1" t="s">
        <v>2290</v>
      </c>
      <c r="M764" s="1" t="s">
        <v>2288</v>
      </c>
      <c r="N764" s="1">
        <v>186</v>
      </c>
      <c r="O764" s="1" t="s">
        <v>2291</v>
      </c>
    </row>
    <row r="765" spans="1:17" x14ac:dyDescent="0.35">
      <c r="A765" s="1" t="s">
        <v>15</v>
      </c>
      <c r="B765" s="1">
        <v>761517</v>
      </c>
      <c r="C765" s="1">
        <v>762416</v>
      </c>
      <c r="E765" s="1" t="s">
        <v>16</v>
      </c>
      <c r="F765" s="1" t="s">
        <v>2292</v>
      </c>
      <c r="G765" s="1" t="s">
        <v>2293</v>
      </c>
      <c r="I765" s="1" t="s">
        <v>19</v>
      </c>
      <c r="L765" s="1" t="s">
        <v>2294</v>
      </c>
      <c r="M765" s="1" t="s">
        <v>2292</v>
      </c>
      <c r="N765" s="1">
        <v>299</v>
      </c>
      <c r="O765" s="1" t="s">
        <v>2295</v>
      </c>
      <c r="Q765" s="14"/>
    </row>
    <row r="766" spans="1:17" x14ac:dyDescent="0.35">
      <c r="A766" s="1" t="s">
        <v>15</v>
      </c>
      <c r="B766" s="1">
        <v>762467</v>
      </c>
      <c r="C766" s="1">
        <v>763114</v>
      </c>
      <c r="E766" s="1" t="s">
        <v>178</v>
      </c>
      <c r="F766" s="1" t="s">
        <v>2296</v>
      </c>
      <c r="G766" s="1" t="s">
        <v>2297</v>
      </c>
      <c r="I766" s="1" t="s">
        <v>19</v>
      </c>
      <c r="L766" s="1" t="s">
        <v>2298</v>
      </c>
      <c r="M766" s="1" t="s">
        <v>2296</v>
      </c>
      <c r="N766" s="1">
        <v>215</v>
      </c>
      <c r="O766" s="1" t="s">
        <v>2299</v>
      </c>
    </row>
    <row r="767" spans="1:17" x14ac:dyDescent="0.35">
      <c r="A767" s="1" t="s">
        <v>15</v>
      </c>
      <c r="B767" s="1">
        <v>763194</v>
      </c>
      <c r="C767" s="1">
        <v>764120</v>
      </c>
      <c r="E767" s="1" t="s">
        <v>178</v>
      </c>
      <c r="F767" s="1" t="s">
        <v>2300</v>
      </c>
      <c r="G767" s="1" t="s">
        <v>2301</v>
      </c>
      <c r="I767" s="1" t="s">
        <v>19</v>
      </c>
      <c r="L767" s="1" t="s">
        <v>2302</v>
      </c>
      <c r="M767" s="1" t="s">
        <v>2300</v>
      </c>
      <c r="N767" s="1">
        <v>308</v>
      </c>
      <c r="O767" s="1" t="s">
        <v>2303</v>
      </c>
    </row>
    <row r="768" spans="1:17" x14ac:dyDescent="0.35">
      <c r="A768" s="1" t="s">
        <v>15</v>
      </c>
      <c r="B768" s="1">
        <v>764141</v>
      </c>
      <c r="C768" s="1">
        <v>764980</v>
      </c>
      <c r="E768" s="1" t="s">
        <v>178</v>
      </c>
      <c r="F768" s="1" t="s">
        <v>2304</v>
      </c>
      <c r="G768" s="1" t="s">
        <v>2305</v>
      </c>
      <c r="I768" s="1" t="s">
        <v>19</v>
      </c>
      <c r="L768" s="1" t="s">
        <v>2306</v>
      </c>
      <c r="M768" s="1" t="s">
        <v>2304</v>
      </c>
      <c r="N768" s="1">
        <v>279</v>
      </c>
      <c r="O768" s="1" t="s">
        <v>2307</v>
      </c>
    </row>
    <row r="769" spans="1:17" x14ac:dyDescent="0.35">
      <c r="A769" s="1" t="s">
        <v>15</v>
      </c>
      <c r="B769" s="1">
        <v>764970</v>
      </c>
      <c r="C769" s="1">
        <v>765698</v>
      </c>
      <c r="E769" s="1" t="s">
        <v>178</v>
      </c>
      <c r="F769" s="1" t="s">
        <v>2308</v>
      </c>
      <c r="G769" s="1" t="s">
        <v>2309</v>
      </c>
      <c r="I769" s="1" t="s">
        <v>19</v>
      </c>
      <c r="L769" s="1" t="s">
        <v>2310</v>
      </c>
      <c r="M769" s="1" t="s">
        <v>2308</v>
      </c>
      <c r="N769" s="1">
        <v>242</v>
      </c>
      <c r="O769" s="1" t="s">
        <v>2311</v>
      </c>
    </row>
    <row r="770" spans="1:17" x14ac:dyDescent="0.35">
      <c r="A770" s="1" t="s">
        <v>15</v>
      </c>
      <c r="B770" s="1">
        <v>765987</v>
      </c>
      <c r="C770" s="1">
        <v>766460</v>
      </c>
      <c r="E770" s="1" t="s">
        <v>16</v>
      </c>
      <c r="F770" s="1" t="s">
        <v>54</v>
      </c>
      <c r="I770" s="1" t="s">
        <v>19</v>
      </c>
      <c r="L770" s="1" t="s">
        <v>2312</v>
      </c>
      <c r="M770" s="1" t="s">
        <v>54</v>
      </c>
      <c r="N770" s="1">
        <v>157</v>
      </c>
      <c r="O770" s="1" t="s">
        <v>2313</v>
      </c>
    </row>
    <row r="771" spans="1:17" x14ac:dyDescent="0.35">
      <c r="A771" s="1" t="s">
        <v>15</v>
      </c>
      <c r="B771" s="1">
        <v>766457</v>
      </c>
      <c r="C771" s="1">
        <v>766852</v>
      </c>
      <c r="E771" s="1" t="s">
        <v>16</v>
      </c>
      <c r="F771" s="1" t="s">
        <v>50</v>
      </c>
      <c r="I771" s="1" t="s">
        <v>19</v>
      </c>
      <c r="L771" s="1" t="s">
        <v>2314</v>
      </c>
      <c r="M771" s="1" t="s">
        <v>50</v>
      </c>
      <c r="N771" s="1">
        <v>131</v>
      </c>
      <c r="O771" s="1" t="s">
        <v>2315</v>
      </c>
    </row>
    <row r="772" spans="1:17" x14ac:dyDescent="0.35">
      <c r="A772" s="1" t="s">
        <v>15</v>
      </c>
      <c r="B772" s="1">
        <v>767028</v>
      </c>
      <c r="C772" s="1">
        <v>769850</v>
      </c>
      <c r="E772" s="1" t="s">
        <v>16</v>
      </c>
      <c r="F772" s="1" t="s">
        <v>2316</v>
      </c>
      <c r="G772" s="1" t="s">
        <v>2317</v>
      </c>
      <c r="I772" s="1" t="s">
        <v>19</v>
      </c>
      <c r="L772" s="1" t="s">
        <v>2318</v>
      </c>
      <c r="M772" s="1" t="s">
        <v>2316</v>
      </c>
      <c r="N772" s="1">
        <v>940</v>
      </c>
      <c r="O772" s="1" t="s">
        <v>2319</v>
      </c>
    </row>
    <row r="773" spans="1:17" x14ac:dyDescent="0.35">
      <c r="A773" s="1" t="s">
        <v>15</v>
      </c>
      <c r="B773" s="1">
        <v>769918</v>
      </c>
      <c r="C773" s="1">
        <v>770952</v>
      </c>
      <c r="E773" s="1" t="s">
        <v>16</v>
      </c>
      <c r="F773" s="1" t="s">
        <v>2320</v>
      </c>
      <c r="G773" s="1" t="s">
        <v>2321</v>
      </c>
      <c r="I773" s="1" t="s">
        <v>19</v>
      </c>
      <c r="L773" s="1" t="s">
        <v>2322</v>
      </c>
      <c r="M773" s="1" t="s">
        <v>2320</v>
      </c>
      <c r="N773" s="1">
        <v>344</v>
      </c>
      <c r="O773" s="1" t="s">
        <v>2323</v>
      </c>
      <c r="Q773" s="14"/>
    </row>
    <row r="774" spans="1:17" x14ac:dyDescent="0.35">
      <c r="A774" s="1" t="s">
        <v>15</v>
      </c>
      <c r="B774" s="1">
        <v>771048</v>
      </c>
      <c r="C774" s="1">
        <v>771653</v>
      </c>
      <c r="E774" s="1" t="s">
        <v>16</v>
      </c>
      <c r="F774" s="1" t="s">
        <v>2324</v>
      </c>
      <c r="G774" s="1" t="s">
        <v>2325</v>
      </c>
      <c r="I774" s="1" t="s">
        <v>19</v>
      </c>
      <c r="L774" s="1" t="s">
        <v>2326</v>
      </c>
      <c r="M774" s="1" t="s">
        <v>2324</v>
      </c>
      <c r="N774" s="1">
        <v>201</v>
      </c>
      <c r="O774" s="1" t="s">
        <v>2327</v>
      </c>
      <c r="Q774" s="14"/>
    </row>
    <row r="775" spans="1:17" x14ac:dyDescent="0.35">
      <c r="A775" s="1" t="s">
        <v>15</v>
      </c>
      <c r="B775" s="1">
        <v>771751</v>
      </c>
      <c r="C775" s="1">
        <v>773136</v>
      </c>
      <c r="E775" s="1" t="s">
        <v>16</v>
      </c>
      <c r="F775" s="1" t="s">
        <v>54</v>
      </c>
      <c r="I775" s="1" t="s">
        <v>19</v>
      </c>
      <c r="L775" s="1" t="s">
        <v>2328</v>
      </c>
      <c r="M775" s="1" t="s">
        <v>54</v>
      </c>
      <c r="N775" s="1">
        <v>461</v>
      </c>
      <c r="O775" s="1" t="s">
        <v>2329</v>
      </c>
    </row>
    <row r="776" spans="1:17" x14ac:dyDescent="0.35">
      <c r="A776" s="1" t="s">
        <v>15</v>
      </c>
      <c r="B776" s="1">
        <v>773168</v>
      </c>
      <c r="C776" s="1">
        <v>773497</v>
      </c>
      <c r="E776" s="1" t="s">
        <v>178</v>
      </c>
      <c r="F776" s="1" t="s">
        <v>2330</v>
      </c>
      <c r="I776" s="1" t="s">
        <v>19</v>
      </c>
      <c r="L776" s="1" t="s">
        <v>2331</v>
      </c>
      <c r="M776" s="1" t="s">
        <v>2330</v>
      </c>
      <c r="N776" s="1">
        <v>109</v>
      </c>
      <c r="O776" s="1" t="s">
        <v>2332</v>
      </c>
    </row>
    <row r="777" spans="1:17" x14ac:dyDescent="0.35">
      <c r="A777" s="1" t="s">
        <v>15</v>
      </c>
      <c r="B777" s="1">
        <v>773934</v>
      </c>
      <c r="C777" s="1">
        <v>774455</v>
      </c>
      <c r="E777" s="1" t="s">
        <v>16</v>
      </c>
      <c r="F777" s="1" t="s">
        <v>2333</v>
      </c>
      <c r="G777" s="1" t="s">
        <v>2334</v>
      </c>
      <c r="I777" s="1" t="s">
        <v>19</v>
      </c>
      <c r="L777" s="1" t="s">
        <v>2335</v>
      </c>
      <c r="M777" s="1" t="s">
        <v>2333</v>
      </c>
      <c r="N777" s="1">
        <v>173</v>
      </c>
      <c r="O777" s="1" t="s">
        <v>2336</v>
      </c>
      <c r="Q777" s="14"/>
    </row>
    <row r="778" spans="1:17" x14ac:dyDescent="0.35">
      <c r="A778" s="1" t="s">
        <v>15</v>
      </c>
      <c r="B778" s="1">
        <v>774543</v>
      </c>
      <c r="C778" s="1">
        <v>774980</v>
      </c>
      <c r="E778" s="1" t="s">
        <v>16</v>
      </c>
      <c r="F778" s="1" t="s">
        <v>2337</v>
      </c>
      <c r="I778" s="1" t="s">
        <v>19</v>
      </c>
      <c r="L778" s="1" t="s">
        <v>2338</v>
      </c>
      <c r="M778" s="1" t="s">
        <v>2337</v>
      </c>
      <c r="N778" s="1">
        <v>145</v>
      </c>
      <c r="O778" s="1" t="s">
        <v>2339</v>
      </c>
    </row>
    <row r="779" spans="1:17" x14ac:dyDescent="0.35">
      <c r="A779" s="1" t="s">
        <v>15</v>
      </c>
      <c r="B779" s="1">
        <v>775083</v>
      </c>
      <c r="C779" s="1">
        <v>775289</v>
      </c>
      <c r="E779" s="1" t="s">
        <v>16</v>
      </c>
      <c r="F779" s="1" t="s">
        <v>26</v>
      </c>
      <c r="I779" s="1" t="s">
        <v>19</v>
      </c>
      <c r="L779" s="1" t="s">
        <v>2340</v>
      </c>
      <c r="M779" s="1" t="s">
        <v>26</v>
      </c>
      <c r="N779" s="1">
        <v>68</v>
      </c>
      <c r="O779" s="1" t="s">
        <v>2341</v>
      </c>
    </row>
    <row r="780" spans="1:17" x14ac:dyDescent="0.35">
      <c r="A780" s="1" t="s">
        <v>15</v>
      </c>
      <c r="B780" s="1">
        <v>775282</v>
      </c>
      <c r="C780" s="1">
        <v>776250</v>
      </c>
      <c r="E780" s="1" t="s">
        <v>16</v>
      </c>
      <c r="F780" s="1" t="s">
        <v>2342</v>
      </c>
      <c r="G780" s="1" t="s">
        <v>2343</v>
      </c>
      <c r="I780" s="1" t="s">
        <v>19</v>
      </c>
      <c r="L780" s="1" t="s">
        <v>2344</v>
      </c>
      <c r="M780" s="1" t="s">
        <v>2342</v>
      </c>
      <c r="N780" s="1">
        <v>322</v>
      </c>
      <c r="O780" s="1" t="s">
        <v>2345</v>
      </c>
      <c r="Q780" s="14"/>
    </row>
    <row r="781" spans="1:17" x14ac:dyDescent="0.35">
      <c r="A781" s="1" t="s">
        <v>15</v>
      </c>
      <c r="B781" s="1">
        <v>776395</v>
      </c>
      <c r="C781" s="1">
        <v>778245</v>
      </c>
      <c r="E781" s="1" t="s">
        <v>16</v>
      </c>
      <c r="F781" s="1" t="s">
        <v>2346</v>
      </c>
      <c r="G781" s="1" t="s">
        <v>2347</v>
      </c>
      <c r="I781" s="1" t="s">
        <v>19</v>
      </c>
      <c r="L781" s="1" t="s">
        <v>2348</v>
      </c>
      <c r="M781" s="1" t="s">
        <v>2346</v>
      </c>
      <c r="N781" s="1">
        <v>616</v>
      </c>
      <c r="O781" s="1" t="s">
        <v>2349</v>
      </c>
    </row>
    <row r="782" spans="1:17" x14ac:dyDescent="0.35">
      <c r="A782" s="1" t="s">
        <v>15</v>
      </c>
      <c r="B782" s="1">
        <v>778265</v>
      </c>
      <c r="C782" s="1">
        <v>778534</v>
      </c>
      <c r="E782" s="1" t="s">
        <v>16</v>
      </c>
      <c r="F782" s="1" t="s">
        <v>50</v>
      </c>
      <c r="I782" s="1" t="s">
        <v>19</v>
      </c>
      <c r="L782" s="1" t="s">
        <v>2350</v>
      </c>
      <c r="M782" s="1" t="s">
        <v>50</v>
      </c>
      <c r="N782" s="1">
        <v>89</v>
      </c>
      <c r="O782" s="1" t="s">
        <v>2351</v>
      </c>
    </row>
    <row r="783" spans="1:17" x14ac:dyDescent="0.35">
      <c r="A783" s="1" t="s">
        <v>15</v>
      </c>
      <c r="B783" s="1">
        <v>778662</v>
      </c>
      <c r="C783" s="1">
        <v>780014</v>
      </c>
      <c r="E783" s="1" t="s">
        <v>16</v>
      </c>
      <c r="F783" s="1" t="s">
        <v>2352</v>
      </c>
      <c r="G783" s="1" t="s">
        <v>2353</v>
      </c>
      <c r="I783" s="1" t="s">
        <v>19</v>
      </c>
      <c r="L783" s="1" t="s">
        <v>2354</v>
      </c>
      <c r="M783" s="1" t="s">
        <v>2352</v>
      </c>
      <c r="N783" s="1">
        <v>450</v>
      </c>
      <c r="O783" s="1" t="s">
        <v>2355</v>
      </c>
      <c r="Q783" s="14"/>
    </row>
    <row r="784" spans="1:17" x14ac:dyDescent="0.35">
      <c r="A784" s="1" t="s">
        <v>15</v>
      </c>
      <c r="B784" s="1">
        <v>780018</v>
      </c>
      <c r="C784" s="1">
        <v>781088</v>
      </c>
      <c r="E784" s="1" t="s">
        <v>16</v>
      </c>
      <c r="F784" s="1" t="s">
        <v>2356</v>
      </c>
      <c r="G784" s="1" t="s">
        <v>2357</v>
      </c>
      <c r="I784" s="1" t="s">
        <v>19</v>
      </c>
      <c r="L784" s="1" t="s">
        <v>2358</v>
      </c>
      <c r="M784" s="1" t="s">
        <v>2356</v>
      </c>
      <c r="N784" s="1">
        <v>356</v>
      </c>
      <c r="O784" s="1" t="s">
        <v>2359</v>
      </c>
      <c r="Q784" s="14"/>
    </row>
    <row r="785" spans="1:17" x14ac:dyDescent="0.35">
      <c r="A785" s="1" t="s">
        <v>15</v>
      </c>
      <c r="B785" s="1">
        <v>781098</v>
      </c>
      <c r="C785" s="1">
        <v>782240</v>
      </c>
      <c r="E785" s="1" t="s">
        <v>16</v>
      </c>
      <c r="F785" s="1" t="s">
        <v>2360</v>
      </c>
      <c r="G785" s="1" t="s">
        <v>2361</v>
      </c>
      <c r="I785" s="1" t="s">
        <v>19</v>
      </c>
      <c r="L785" s="1" t="s">
        <v>2362</v>
      </c>
      <c r="M785" s="1" t="s">
        <v>2360</v>
      </c>
      <c r="N785" s="1">
        <v>380</v>
      </c>
      <c r="O785" s="1" t="s">
        <v>2363</v>
      </c>
    </row>
    <row r="786" spans="1:17" x14ac:dyDescent="0.35">
      <c r="A786" s="1" t="s">
        <v>15</v>
      </c>
      <c r="B786" s="1">
        <v>782367</v>
      </c>
      <c r="C786" s="1">
        <v>783743</v>
      </c>
      <c r="E786" s="1" t="s">
        <v>16</v>
      </c>
      <c r="F786" s="1" t="s">
        <v>2364</v>
      </c>
      <c r="I786" s="1" t="s">
        <v>19</v>
      </c>
      <c r="L786" s="1" t="s">
        <v>2365</v>
      </c>
      <c r="M786" s="1" t="s">
        <v>2364</v>
      </c>
      <c r="N786" s="1">
        <v>458</v>
      </c>
      <c r="O786" s="1" t="s">
        <v>2366</v>
      </c>
    </row>
    <row r="787" spans="1:17" x14ac:dyDescent="0.35">
      <c r="A787" s="1" t="s">
        <v>15</v>
      </c>
      <c r="B787" s="1">
        <v>783772</v>
      </c>
      <c r="C787" s="1">
        <v>785094</v>
      </c>
      <c r="E787" s="1" t="s">
        <v>16</v>
      </c>
      <c r="F787" s="1" t="s">
        <v>2367</v>
      </c>
      <c r="I787" s="1" t="s">
        <v>19</v>
      </c>
      <c r="L787" s="1" t="s">
        <v>2368</v>
      </c>
      <c r="M787" s="1" t="s">
        <v>2367</v>
      </c>
      <c r="N787" s="1">
        <v>440</v>
      </c>
      <c r="O787" s="1" t="s">
        <v>2369</v>
      </c>
    </row>
    <row r="788" spans="1:17" x14ac:dyDescent="0.35">
      <c r="A788" s="1" t="s">
        <v>15</v>
      </c>
      <c r="B788" s="1">
        <v>785097</v>
      </c>
      <c r="C788" s="1">
        <v>785780</v>
      </c>
      <c r="E788" s="1" t="s">
        <v>16</v>
      </c>
      <c r="F788" s="1" t="s">
        <v>2370</v>
      </c>
      <c r="G788" s="1" t="s">
        <v>2371</v>
      </c>
      <c r="I788" s="1" t="s">
        <v>19</v>
      </c>
      <c r="L788" s="1" t="s">
        <v>2372</v>
      </c>
      <c r="M788" s="1" t="s">
        <v>2370</v>
      </c>
      <c r="N788" s="1">
        <v>227</v>
      </c>
      <c r="O788" s="1" t="s">
        <v>2373</v>
      </c>
      <c r="Q788" s="14"/>
    </row>
    <row r="789" spans="1:17" x14ac:dyDescent="0.35">
      <c r="A789" s="1" t="s">
        <v>15</v>
      </c>
      <c r="B789" s="1">
        <v>785752</v>
      </c>
      <c r="C789" s="1">
        <v>786369</v>
      </c>
      <c r="E789" s="1" t="s">
        <v>16</v>
      </c>
      <c r="F789" s="1" t="s">
        <v>54</v>
      </c>
      <c r="I789" s="1" t="s">
        <v>19</v>
      </c>
      <c r="L789" s="1" t="s">
        <v>2374</v>
      </c>
      <c r="M789" s="1" t="s">
        <v>54</v>
      </c>
      <c r="N789" s="1">
        <v>205</v>
      </c>
      <c r="O789" s="1" t="s">
        <v>2375</v>
      </c>
    </row>
    <row r="790" spans="1:17" x14ac:dyDescent="0.35">
      <c r="A790" s="1" t="s">
        <v>15</v>
      </c>
      <c r="B790" s="1">
        <v>786373</v>
      </c>
      <c r="C790" s="1">
        <v>786630</v>
      </c>
      <c r="E790" s="1" t="s">
        <v>16</v>
      </c>
      <c r="F790" s="1" t="s">
        <v>2376</v>
      </c>
      <c r="I790" s="1" t="s">
        <v>19</v>
      </c>
      <c r="L790" s="1" t="s">
        <v>2377</v>
      </c>
      <c r="M790" s="1" t="s">
        <v>2376</v>
      </c>
      <c r="N790" s="1">
        <v>85</v>
      </c>
      <c r="O790" s="1" t="s">
        <v>2378</v>
      </c>
    </row>
    <row r="791" spans="1:17" x14ac:dyDescent="0.35">
      <c r="A791" s="1" t="s">
        <v>15</v>
      </c>
      <c r="B791" s="1">
        <v>786630</v>
      </c>
      <c r="C791" s="1">
        <v>787433</v>
      </c>
      <c r="E791" s="1" t="s">
        <v>16</v>
      </c>
      <c r="F791" s="1" t="s">
        <v>2379</v>
      </c>
      <c r="I791" s="1" t="s">
        <v>19</v>
      </c>
      <c r="L791" s="1" t="s">
        <v>2380</v>
      </c>
      <c r="M791" s="1" t="s">
        <v>2379</v>
      </c>
      <c r="N791" s="1">
        <v>267</v>
      </c>
      <c r="O791" s="1" t="s">
        <v>2381</v>
      </c>
    </row>
    <row r="792" spans="1:17" x14ac:dyDescent="0.35">
      <c r="A792" s="1" t="s">
        <v>15</v>
      </c>
      <c r="B792" s="1">
        <v>787486</v>
      </c>
      <c r="C792" s="1">
        <v>788361</v>
      </c>
      <c r="E792" s="1" t="s">
        <v>16</v>
      </c>
      <c r="F792" s="1" t="s">
        <v>2382</v>
      </c>
      <c r="G792" s="1" t="s">
        <v>2383</v>
      </c>
      <c r="I792" s="1" t="s">
        <v>19</v>
      </c>
      <c r="L792" s="1" t="s">
        <v>2384</v>
      </c>
      <c r="M792" s="1" t="s">
        <v>2382</v>
      </c>
      <c r="N792" s="1">
        <v>291</v>
      </c>
      <c r="O792" s="1" t="s">
        <v>2385</v>
      </c>
    </row>
    <row r="793" spans="1:17" x14ac:dyDescent="0.35">
      <c r="A793" s="1" t="s">
        <v>15</v>
      </c>
      <c r="B793" s="1">
        <v>788609</v>
      </c>
      <c r="C793" s="1">
        <v>791407</v>
      </c>
      <c r="E793" s="1" t="s">
        <v>16</v>
      </c>
      <c r="F793" s="1" t="s">
        <v>2386</v>
      </c>
      <c r="I793" s="1" t="s">
        <v>19</v>
      </c>
      <c r="L793" s="1" t="s">
        <v>2387</v>
      </c>
      <c r="M793" s="1" t="s">
        <v>2386</v>
      </c>
      <c r="N793" s="1">
        <v>932</v>
      </c>
      <c r="O793" s="1" t="s">
        <v>2388</v>
      </c>
      <c r="Q793" s="14"/>
    </row>
    <row r="794" spans="1:17" x14ac:dyDescent="0.35">
      <c r="A794" s="1" t="s">
        <v>15</v>
      </c>
      <c r="B794" s="1">
        <v>791499</v>
      </c>
      <c r="C794" s="1">
        <v>792458</v>
      </c>
      <c r="E794" s="1" t="s">
        <v>178</v>
      </c>
      <c r="F794" s="1" t="s">
        <v>2389</v>
      </c>
      <c r="G794" s="1" t="s">
        <v>2390</v>
      </c>
      <c r="I794" s="1" t="s">
        <v>19</v>
      </c>
      <c r="L794" s="1" t="s">
        <v>2391</v>
      </c>
      <c r="M794" s="1" t="s">
        <v>2389</v>
      </c>
      <c r="N794" s="1">
        <v>319</v>
      </c>
      <c r="O794" s="1" t="s">
        <v>2392</v>
      </c>
      <c r="Q794" s="14"/>
    </row>
    <row r="795" spans="1:17" x14ac:dyDescent="0.35">
      <c r="A795" s="1" t="s">
        <v>15</v>
      </c>
      <c r="B795" s="1">
        <v>792616</v>
      </c>
      <c r="C795" s="1">
        <v>794775</v>
      </c>
      <c r="E795" s="1" t="s">
        <v>178</v>
      </c>
      <c r="F795" s="1" t="s">
        <v>2393</v>
      </c>
      <c r="G795" s="1" t="s">
        <v>2394</v>
      </c>
      <c r="I795" s="1" t="s">
        <v>19</v>
      </c>
      <c r="L795" s="1" t="s">
        <v>2395</v>
      </c>
      <c r="M795" s="1" t="s">
        <v>2393</v>
      </c>
      <c r="N795" s="1">
        <v>719</v>
      </c>
      <c r="O795" s="1" t="s">
        <v>2396</v>
      </c>
      <c r="Q795" s="14"/>
    </row>
    <row r="796" spans="1:17" x14ac:dyDescent="0.35">
      <c r="A796" s="1" t="s">
        <v>15</v>
      </c>
      <c r="B796" s="1">
        <v>794866</v>
      </c>
      <c r="C796" s="1">
        <v>795090</v>
      </c>
      <c r="E796" s="1" t="s">
        <v>178</v>
      </c>
      <c r="F796" s="1" t="s">
        <v>2397</v>
      </c>
      <c r="I796" s="1" t="s">
        <v>19</v>
      </c>
      <c r="L796" s="1" t="s">
        <v>2398</v>
      </c>
      <c r="M796" s="1" t="s">
        <v>2397</v>
      </c>
      <c r="N796" s="1">
        <v>74</v>
      </c>
      <c r="O796" s="1" t="s">
        <v>2399</v>
      </c>
      <c r="Q796" s="14"/>
    </row>
    <row r="797" spans="1:17" x14ac:dyDescent="0.35">
      <c r="A797" s="1" t="s">
        <v>15</v>
      </c>
      <c r="B797" s="1">
        <v>795425</v>
      </c>
      <c r="C797" s="1">
        <v>798088</v>
      </c>
      <c r="E797" s="1" t="s">
        <v>16</v>
      </c>
      <c r="F797" s="1" t="s">
        <v>2400</v>
      </c>
      <c r="G797" s="1" t="s">
        <v>2401</v>
      </c>
      <c r="I797" s="1" t="s">
        <v>19</v>
      </c>
      <c r="L797" s="1" t="s">
        <v>2402</v>
      </c>
      <c r="M797" s="1" t="s">
        <v>2400</v>
      </c>
      <c r="N797" s="1">
        <v>887</v>
      </c>
      <c r="O797" s="1" t="s">
        <v>2403</v>
      </c>
      <c r="Q797" s="14"/>
    </row>
    <row r="798" spans="1:17" x14ac:dyDescent="0.35">
      <c r="A798" s="1" t="s">
        <v>15</v>
      </c>
      <c r="B798" s="1">
        <v>798090</v>
      </c>
      <c r="C798" s="1">
        <v>799214</v>
      </c>
      <c r="E798" s="1" t="s">
        <v>16</v>
      </c>
      <c r="F798" s="1" t="s">
        <v>2404</v>
      </c>
      <c r="G798" s="1" t="s">
        <v>2405</v>
      </c>
      <c r="I798" s="1" t="s">
        <v>19</v>
      </c>
      <c r="L798" s="1" t="s">
        <v>2406</v>
      </c>
      <c r="M798" s="1" t="s">
        <v>2404</v>
      </c>
      <c r="N798" s="1">
        <v>374</v>
      </c>
      <c r="O798" s="1" t="s">
        <v>2407</v>
      </c>
      <c r="Q798" s="14"/>
    </row>
    <row r="799" spans="1:17" x14ac:dyDescent="0.35">
      <c r="A799" s="1" t="s">
        <v>15</v>
      </c>
      <c r="B799" s="1">
        <v>799228</v>
      </c>
      <c r="C799" s="1">
        <v>800403</v>
      </c>
      <c r="E799" s="1" t="s">
        <v>16</v>
      </c>
      <c r="F799" s="1" t="s">
        <v>2408</v>
      </c>
      <c r="G799" s="1" t="s">
        <v>2409</v>
      </c>
      <c r="I799" s="1" t="s">
        <v>19</v>
      </c>
      <c r="L799" s="1" t="s">
        <v>2410</v>
      </c>
      <c r="M799" s="1" t="s">
        <v>2408</v>
      </c>
      <c r="N799" s="1">
        <v>391</v>
      </c>
      <c r="O799" s="1" t="s">
        <v>2411</v>
      </c>
    </row>
    <row r="800" spans="1:17" x14ac:dyDescent="0.35">
      <c r="A800" s="1" t="s">
        <v>15</v>
      </c>
      <c r="B800" s="1">
        <v>800665</v>
      </c>
      <c r="C800" s="1">
        <v>800928</v>
      </c>
      <c r="E800" s="1" t="s">
        <v>16</v>
      </c>
      <c r="F800" s="1" t="s">
        <v>2412</v>
      </c>
      <c r="G800" s="1" t="s">
        <v>2413</v>
      </c>
      <c r="I800" s="1" t="s">
        <v>19</v>
      </c>
      <c r="L800" s="1" t="s">
        <v>2414</v>
      </c>
      <c r="M800" s="1" t="s">
        <v>2412</v>
      </c>
      <c r="N800" s="1">
        <v>87</v>
      </c>
      <c r="O800" s="1" t="s">
        <v>2415</v>
      </c>
      <c r="Q800" s="14"/>
    </row>
    <row r="801" spans="1:17" x14ac:dyDescent="0.35">
      <c r="A801" s="1" t="s">
        <v>15</v>
      </c>
      <c r="B801" s="1">
        <v>800933</v>
      </c>
      <c r="C801" s="1">
        <v>802666</v>
      </c>
      <c r="E801" s="1" t="s">
        <v>16</v>
      </c>
      <c r="F801" s="1" t="s">
        <v>2416</v>
      </c>
      <c r="G801" s="1" t="s">
        <v>2417</v>
      </c>
      <c r="I801" s="1" t="s">
        <v>19</v>
      </c>
      <c r="L801" s="1" t="s">
        <v>2418</v>
      </c>
      <c r="M801" s="1" t="s">
        <v>2416</v>
      </c>
      <c r="N801" s="1">
        <v>577</v>
      </c>
      <c r="O801" s="1" t="s">
        <v>2419</v>
      </c>
      <c r="Q801" s="14"/>
    </row>
    <row r="802" spans="1:17" x14ac:dyDescent="0.35">
      <c r="A802" s="1" t="s">
        <v>15</v>
      </c>
      <c r="B802" s="1">
        <v>802885</v>
      </c>
      <c r="C802" s="1">
        <v>804318</v>
      </c>
      <c r="E802" s="1" t="s">
        <v>16</v>
      </c>
      <c r="F802" s="1" t="s">
        <v>2420</v>
      </c>
      <c r="G802" s="1" t="s">
        <v>2421</v>
      </c>
      <c r="I802" s="1" t="s">
        <v>19</v>
      </c>
      <c r="L802" s="1" t="s">
        <v>2422</v>
      </c>
      <c r="M802" s="1" t="s">
        <v>2420</v>
      </c>
      <c r="N802" s="1">
        <v>477</v>
      </c>
      <c r="O802" s="1" t="s">
        <v>2423</v>
      </c>
      <c r="Q802" s="14"/>
    </row>
    <row r="803" spans="1:17" x14ac:dyDescent="0.35">
      <c r="A803" s="1" t="s">
        <v>15</v>
      </c>
      <c r="B803" s="1">
        <v>804434</v>
      </c>
      <c r="C803" s="1">
        <v>805261</v>
      </c>
      <c r="E803" s="1" t="s">
        <v>16</v>
      </c>
      <c r="F803" s="1" t="s">
        <v>2424</v>
      </c>
      <c r="I803" s="1" t="s">
        <v>19</v>
      </c>
      <c r="L803" s="1" t="s">
        <v>2425</v>
      </c>
      <c r="M803" s="1" t="s">
        <v>2424</v>
      </c>
      <c r="N803" s="1">
        <v>275</v>
      </c>
      <c r="O803" s="1" t="s">
        <v>2426</v>
      </c>
    </row>
    <row r="804" spans="1:17" x14ac:dyDescent="0.35">
      <c r="A804" s="1" t="s">
        <v>15</v>
      </c>
      <c r="B804" s="1">
        <v>805309</v>
      </c>
      <c r="C804" s="1">
        <v>806049</v>
      </c>
      <c r="E804" s="1" t="s">
        <v>16</v>
      </c>
      <c r="F804" s="1" t="s">
        <v>2427</v>
      </c>
      <c r="I804" s="1" t="s">
        <v>19</v>
      </c>
      <c r="L804" s="1" t="s">
        <v>2428</v>
      </c>
      <c r="M804" s="1" t="s">
        <v>2427</v>
      </c>
      <c r="N804" s="1">
        <v>246</v>
      </c>
      <c r="O804" s="1" t="s">
        <v>2429</v>
      </c>
    </row>
    <row r="805" spans="1:17" x14ac:dyDescent="0.35">
      <c r="A805" s="1" t="s">
        <v>15</v>
      </c>
      <c r="B805" s="1">
        <v>806096</v>
      </c>
      <c r="C805" s="1">
        <v>807259</v>
      </c>
      <c r="E805" s="1" t="s">
        <v>16</v>
      </c>
      <c r="F805" s="1" t="s">
        <v>54</v>
      </c>
      <c r="I805" s="1" t="s">
        <v>19</v>
      </c>
      <c r="L805" s="1" t="s">
        <v>2430</v>
      </c>
      <c r="M805" s="1" t="s">
        <v>54</v>
      </c>
      <c r="N805" s="1">
        <v>387</v>
      </c>
      <c r="O805" s="1" t="s">
        <v>2431</v>
      </c>
    </row>
    <row r="806" spans="1:17" x14ac:dyDescent="0.35">
      <c r="A806" s="1" t="s">
        <v>15</v>
      </c>
      <c r="B806" s="1">
        <v>807312</v>
      </c>
      <c r="C806" s="1">
        <v>808394</v>
      </c>
      <c r="E806" s="1" t="s">
        <v>178</v>
      </c>
      <c r="F806" s="1" t="s">
        <v>2432</v>
      </c>
      <c r="G806" s="1" t="s">
        <v>2433</v>
      </c>
      <c r="I806" s="1" t="s">
        <v>19</v>
      </c>
      <c r="L806" s="1" t="s">
        <v>2434</v>
      </c>
      <c r="M806" s="1" t="s">
        <v>2432</v>
      </c>
      <c r="N806" s="1">
        <v>360</v>
      </c>
      <c r="O806" s="1" t="s">
        <v>2435</v>
      </c>
    </row>
    <row r="807" spans="1:17" x14ac:dyDescent="0.35">
      <c r="A807" s="1" t="s">
        <v>15</v>
      </c>
      <c r="B807" s="1">
        <v>808486</v>
      </c>
      <c r="C807" s="1">
        <v>809121</v>
      </c>
      <c r="E807" s="1" t="s">
        <v>16</v>
      </c>
      <c r="F807" s="1" t="s">
        <v>2436</v>
      </c>
      <c r="G807" s="1" t="s">
        <v>2437</v>
      </c>
      <c r="I807" s="1" t="s">
        <v>19</v>
      </c>
      <c r="L807" s="1" t="s">
        <v>2438</v>
      </c>
      <c r="M807" s="1" t="s">
        <v>2436</v>
      </c>
      <c r="N807" s="1">
        <v>211</v>
      </c>
      <c r="O807" s="1" t="s">
        <v>2439</v>
      </c>
      <c r="Q807" s="14"/>
    </row>
    <row r="808" spans="1:17" x14ac:dyDescent="0.35">
      <c r="A808" s="1" t="s">
        <v>15</v>
      </c>
      <c r="B808" s="1">
        <v>809158</v>
      </c>
      <c r="C808" s="1">
        <v>811077</v>
      </c>
      <c r="E808" s="1" t="s">
        <v>16</v>
      </c>
      <c r="F808" s="1" t="s">
        <v>1220</v>
      </c>
      <c r="I808" s="1" t="s">
        <v>19</v>
      </c>
      <c r="L808" s="1" t="s">
        <v>2440</v>
      </c>
      <c r="M808" s="1" t="s">
        <v>1220</v>
      </c>
      <c r="N808" s="1">
        <v>639</v>
      </c>
      <c r="O808" s="1" t="s">
        <v>2441</v>
      </c>
    </row>
    <row r="809" spans="1:17" x14ac:dyDescent="0.35">
      <c r="A809" s="1" t="s">
        <v>15</v>
      </c>
      <c r="B809" s="1">
        <v>811167</v>
      </c>
      <c r="C809" s="1">
        <v>811427</v>
      </c>
      <c r="E809" s="1" t="s">
        <v>16</v>
      </c>
      <c r="F809" s="1" t="s">
        <v>388</v>
      </c>
      <c r="I809" s="1" t="s">
        <v>19</v>
      </c>
      <c r="L809" s="1" t="s">
        <v>2442</v>
      </c>
      <c r="M809" s="1" t="s">
        <v>388</v>
      </c>
      <c r="N809" s="1">
        <v>86</v>
      </c>
      <c r="O809" s="1" t="s">
        <v>2443</v>
      </c>
    </row>
    <row r="810" spans="1:17" x14ac:dyDescent="0.35">
      <c r="A810" s="1" t="s">
        <v>15</v>
      </c>
      <c r="B810" s="1">
        <v>811623</v>
      </c>
      <c r="C810" s="1">
        <v>812342</v>
      </c>
      <c r="E810" s="1" t="s">
        <v>16</v>
      </c>
      <c r="F810" s="1" t="s">
        <v>2444</v>
      </c>
      <c r="I810" s="1" t="s">
        <v>19</v>
      </c>
      <c r="L810" s="1" t="s">
        <v>2445</v>
      </c>
      <c r="M810" s="1" t="s">
        <v>2444</v>
      </c>
      <c r="N810" s="1">
        <v>239</v>
      </c>
      <c r="O810" s="1" t="s">
        <v>2446</v>
      </c>
      <c r="Q810" s="14"/>
    </row>
    <row r="811" spans="1:17" x14ac:dyDescent="0.35">
      <c r="A811" s="1" t="s">
        <v>15</v>
      </c>
      <c r="B811" s="1">
        <v>812339</v>
      </c>
      <c r="C811" s="1">
        <v>814894</v>
      </c>
      <c r="E811" s="1" t="s">
        <v>16</v>
      </c>
      <c r="F811" s="1" t="s">
        <v>54</v>
      </c>
      <c r="I811" s="1" t="s">
        <v>19</v>
      </c>
      <c r="L811" s="1" t="s">
        <v>2447</v>
      </c>
      <c r="M811" s="1" t="s">
        <v>54</v>
      </c>
      <c r="N811" s="1">
        <v>851</v>
      </c>
      <c r="O811" s="1" t="s">
        <v>2448</v>
      </c>
    </row>
    <row r="812" spans="1:17" x14ac:dyDescent="0.35">
      <c r="A812" s="1" t="s">
        <v>15</v>
      </c>
      <c r="B812" s="1">
        <v>814949</v>
      </c>
      <c r="C812" s="1">
        <v>815737</v>
      </c>
      <c r="E812" s="1" t="s">
        <v>178</v>
      </c>
      <c r="F812" s="1" t="s">
        <v>2449</v>
      </c>
      <c r="I812" s="1" t="s">
        <v>19</v>
      </c>
      <c r="L812" s="1" t="s">
        <v>2450</v>
      </c>
      <c r="M812" s="1" t="s">
        <v>2449</v>
      </c>
      <c r="N812" s="1">
        <v>262</v>
      </c>
      <c r="O812" s="1" t="s">
        <v>2451</v>
      </c>
      <c r="Q812" s="14"/>
    </row>
    <row r="813" spans="1:17" x14ac:dyDescent="0.35">
      <c r="A813" s="1" t="s">
        <v>15</v>
      </c>
      <c r="B813" s="1">
        <v>815737</v>
      </c>
      <c r="C813" s="1">
        <v>817080</v>
      </c>
      <c r="E813" s="1" t="s">
        <v>178</v>
      </c>
      <c r="F813" s="1" t="s">
        <v>2452</v>
      </c>
      <c r="I813" s="1" t="s">
        <v>19</v>
      </c>
      <c r="L813" s="1" t="s">
        <v>2453</v>
      </c>
      <c r="M813" s="1" t="s">
        <v>2452</v>
      </c>
      <c r="N813" s="1">
        <v>447</v>
      </c>
      <c r="O813" s="1" t="s">
        <v>2454</v>
      </c>
      <c r="Q813" s="14"/>
    </row>
    <row r="814" spans="1:17" x14ac:dyDescent="0.35">
      <c r="A814" s="1" t="s">
        <v>15</v>
      </c>
      <c r="B814" s="1">
        <v>817182</v>
      </c>
      <c r="C814" s="1">
        <v>818033</v>
      </c>
      <c r="E814" s="1" t="s">
        <v>16</v>
      </c>
      <c r="F814" s="1" t="s">
        <v>54</v>
      </c>
      <c r="I814" s="1" t="s">
        <v>19</v>
      </c>
      <c r="L814" s="1" t="s">
        <v>2455</v>
      </c>
      <c r="M814" s="1" t="s">
        <v>54</v>
      </c>
      <c r="N814" s="1">
        <v>283</v>
      </c>
      <c r="O814" s="1" t="s">
        <v>2456</v>
      </c>
    </row>
    <row r="815" spans="1:17" x14ac:dyDescent="0.35">
      <c r="A815" s="1" t="s">
        <v>15</v>
      </c>
      <c r="B815" s="1">
        <v>818030</v>
      </c>
      <c r="C815" s="1">
        <v>818995</v>
      </c>
      <c r="E815" s="1" t="s">
        <v>16</v>
      </c>
      <c r="F815" s="1" t="s">
        <v>26</v>
      </c>
      <c r="I815" s="1" t="s">
        <v>19</v>
      </c>
      <c r="L815" s="1" t="s">
        <v>2457</v>
      </c>
      <c r="M815" s="1" t="s">
        <v>26</v>
      </c>
      <c r="N815" s="1">
        <v>321</v>
      </c>
      <c r="O815" s="1" t="s">
        <v>2458</v>
      </c>
    </row>
    <row r="816" spans="1:17" x14ac:dyDescent="0.35">
      <c r="A816" s="1" t="s">
        <v>15</v>
      </c>
      <c r="B816" s="1">
        <v>819216</v>
      </c>
      <c r="C816" s="1">
        <v>820568</v>
      </c>
      <c r="E816" s="1" t="s">
        <v>16</v>
      </c>
      <c r="F816" s="1" t="s">
        <v>2459</v>
      </c>
      <c r="G816" s="1" t="s">
        <v>2460</v>
      </c>
      <c r="I816" s="1" t="s">
        <v>19</v>
      </c>
      <c r="L816" s="1" t="s">
        <v>2461</v>
      </c>
      <c r="M816" s="1" t="s">
        <v>2459</v>
      </c>
      <c r="N816" s="1">
        <v>450</v>
      </c>
      <c r="O816" s="1" t="s">
        <v>2462</v>
      </c>
      <c r="Q816" s="14"/>
    </row>
    <row r="817" spans="1:17" x14ac:dyDescent="0.35">
      <c r="A817" s="1" t="s">
        <v>15</v>
      </c>
      <c r="B817" s="1">
        <v>820571</v>
      </c>
      <c r="C817" s="1">
        <v>821011</v>
      </c>
      <c r="E817" s="1" t="s">
        <v>16</v>
      </c>
      <c r="F817" s="1" t="s">
        <v>54</v>
      </c>
      <c r="I817" s="1" t="s">
        <v>19</v>
      </c>
      <c r="L817" s="1" t="s">
        <v>2463</v>
      </c>
      <c r="M817" s="1" t="s">
        <v>54</v>
      </c>
      <c r="N817" s="1">
        <v>146</v>
      </c>
      <c r="O817" s="1" t="s">
        <v>2464</v>
      </c>
    </row>
    <row r="818" spans="1:17" x14ac:dyDescent="0.35">
      <c r="A818" s="1" t="s">
        <v>15</v>
      </c>
      <c r="B818" s="1">
        <v>821109</v>
      </c>
      <c r="C818" s="1">
        <v>821795</v>
      </c>
      <c r="E818" s="1" t="s">
        <v>16</v>
      </c>
      <c r="F818" s="1" t="s">
        <v>54</v>
      </c>
      <c r="I818" s="1" t="s">
        <v>19</v>
      </c>
      <c r="L818" s="1" t="s">
        <v>2465</v>
      </c>
      <c r="M818" s="1" t="s">
        <v>54</v>
      </c>
      <c r="N818" s="1">
        <v>228</v>
      </c>
      <c r="O818" s="1" t="s">
        <v>2466</v>
      </c>
    </row>
    <row r="819" spans="1:17" x14ac:dyDescent="0.35">
      <c r="A819" s="1" t="s">
        <v>15</v>
      </c>
      <c r="B819" s="1">
        <v>821785</v>
      </c>
      <c r="C819" s="1">
        <v>822573</v>
      </c>
      <c r="E819" s="1" t="s">
        <v>16</v>
      </c>
      <c r="F819" s="1" t="s">
        <v>50</v>
      </c>
      <c r="I819" s="1" t="s">
        <v>19</v>
      </c>
      <c r="L819" s="1" t="s">
        <v>2467</v>
      </c>
      <c r="M819" s="1" t="s">
        <v>50</v>
      </c>
      <c r="N819" s="1">
        <v>262</v>
      </c>
      <c r="O819" s="1" t="s">
        <v>2468</v>
      </c>
    </row>
    <row r="820" spans="1:17" x14ac:dyDescent="0.35">
      <c r="A820" s="1" t="s">
        <v>15</v>
      </c>
      <c r="B820" s="1">
        <v>822580</v>
      </c>
      <c r="C820" s="1">
        <v>823413</v>
      </c>
      <c r="E820" s="1" t="s">
        <v>16</v>
      </c>
      <c r="F820" s="1" t="s">
        <v>2469</v>
      </c>
      <c r="G820" s="1" t="s">
        <v>2470</v>
      </c>
      <c r="I820" s="1" t="s">
        <v>19</v>
      </c>
      <c r="L820" s="1" t="s">
        <v>2471</v>
      </c>
      <c r="M820" s="1" t="s">
        <v>2469</v>
      </c>
      <c r="N820" s="1">
        <v>277</v>
      </c>
      <c r="O820" s="1" t="s">
        <v>2472</v>
      </c>
    </row>
    <row r="821" spans="1:17" x14ac:dyDescent="0.35">
      <c r="A821" s="1" t="s">
        <v>15</v>
      </c>
      <c r="B821" s="1">
        <v>823480</v>
      </c>
      <c r="C821" s="1">
        <v>824568</v>
      </c>
      <c r="E821" s="1" t="s">
        <v>16</v>
      </c>
      <c r="F821" s="1" t="s">
        <v>2473</v>
      </c>
      <c r="G821" s="1" t="s">
        <v>2474</v>
      </c>
      <c r="I821" s="1" t="s">
        <v>19</v>
      </c>
      <c r="L821" s="1" t="s">
        <v>2475</v>
      </c>
      <c r="M821" s="1" t="s">
        <v>2473</v>
      </c>
      <c r="N821" s="1">
        <v>362</v>
      </c>
      <c r="O821" s="1" t="s">
        <v>2476</v>
      </c>
      <c r="Q821" s="14"/>
    </row>
    <row r="822" spans="1:17" x14ac:dyDescent="0.35">
      <c r="A822" s="1" t="s">
        <v>15</v>
      </c>
      <c r="B822" s="1">
        <v>824755</v>
      </c>
      <c r="C822" s="1">
        <v>826101</v>
      </c>
      <c r="E822" s="1" t="s">
        <v>16</v>
      </c>
      <c r="F822" s="1" t="s">
        <v>2477</v>
      </c>
      <c r="G822" s="1" t="s">
        <v>2477</v>
      </c>
      <c r="I822" s="1" t="s">
        <v>19</v>
      </c>
      <c r="L822" s="1" t="s">
        <v>2478</v>
      </c>
      <c r="M822" s="1" t="s">
        <v>2477</v>
      </c>
      <c r="N822" s="1">
        <v>448</v>
      </c>
      <c r="O822" s="1" t="s">
        <v>2479</v>
      </c>
    </row>
    <row r="823" spans="1:17" x14ac:dyDescent="0.35">
      <c r="A823" s="1" t="s">
        <v>15</v>
      </c>
      <c r="B823" s="1">
        <v>826314</v>
      </c>
      <c r="C823" s="1">
        <v>827183</v>
      </c>
      <c r="E823" s="1" t="s">
        <v>16</v>
      </c>
      <c r="F823" s="1" t="s">
        <v>2480</v>
      </c>
      <c r="G823" s="1" t="s">
        <v>2481</v>
      </c>
      <c r="I823" s="1" t="s">
        <v>19</v>
      </c>
      <c r="L823" s="1" t="s">
        <v>2482</v>
      </c>
      <c r="M823" s="1" t="s">
        <v>2480</v>
      </c>
      <c r="N823" s="1">
        <v>289</v>
      </c>
      <c r="O823" s="1" t="s">
        <v>2483</v>
      </c>
      <c r="Q823" s="14"/>
    </row>
    <row r="824" spans="1:17" x14ac:dyDescent="0.35">
      <c r="A824" s="1" t="s">
        <v>15</v>
      </c>
      <c r="B824" s="1">
        <v>827183</v>
      </c>
      <c r="C824" s="1">
        <v>827776</v>
      </c>
      <c r="E824" s="1" t="s">
        <v>16</v>
      </c>
      <c r="F824" s="1" t="s">
        <v>2484</v>
      </c>
      <c r="G824" s="1" t="s">
        <v>2485</v>
      </c>
      <c r="I824" s="1" t="s">
        <v>19</v>
      </c>
      <c r="L824" s="1" t="s">
        <v>2486</v>
      </c>
      <c r="M824" s="1" t="s">
        <v>2484</v>
      </c>
      <c r="N824" s="1">
        <v>197</v>
      </c>
      <c r="O824" s="1" t="s">
        <v>2487</v>
      </c>
      <c r="Q824" s="14"/>
    </row>
    <row r="825" spans="1:17" x14ac:dyDescent="0.35">
      <c r="A825" s="1" t="s">
        <v>15</v>
      </c>
      <c r="B825" s="1">
        <v>827979</v>
      </c>
      <c r="C825" s="1">
        <v>829025</v>
      </c>
      <c r="E825" s="1" t="s">
        <v>16</v>
      </c>
      <c r="F825" s="1" t="s">
        <v>2488</v>
      </c>
      <c r="G825" s="1" t="s">
        <v>2489</v>
      </c>
      <c r="I825" s="1" t="s">
        <v>19</v>
      </c>
      <c r="L825" s="1" t="s">
        <v>2490</v>
      </c>
      <c r="M825" s="1" t="s">
        <v>2488</v>
      </c>
      <c r="N825" s="1">
        <v>348</v>
      </c>
      <c r="O825" s="1" t="s">
        <v>2491</v>
      </c>
      <c r="Q825" s="14"/>
    </row>
    <row r="826" spans="1:17" x14ac:dyDescent="0.35">
      <c r="A826" s="1" t="s">
        <v>15</v>
      </c>
      <c r="B826" s="1">
        <v>829090</v>
      </c>
      <c r="C826" s="1">
        <v>830178</v>
      </c>
      <c r="E826" s="1" t="s">
        <v>16</v>
      </c>
      <c r="F826" s="1" t="s">
        <v>54</v>
      </c>
      <c r="I826" s="1" t="s">
        <v>19</v>
      </c>
      <c r="L826" s="1" t="s">
        <v>2492</v>
      </c>
      <c r="M826" s="1" t="s">
        <v>54</v>
      </c>
      <c r="N826" s="1">
        <v>362</v>
      </c>
      <c r="O826" s="1" t="s">
        <v>2493</v>
      </c>
    </row>
    <row r="827" spans="1:17" x14ac:dyDescent="0.35">
      <c r="A827" s="1" t="s">
        <v>15</v>
      </c>
      <c r="B827" s="1">
        <v>830396</v>
      </c>
      <c r="C827" s="1">
        <v>831130</v>
      </c>
      <c r="E827" s="1" t="s">
        <v>16</v>
      </c>
      <c r="F827" s="1" t="s">
        <v>54</v>
      </c>
      <c r="I827" s="1" t="s">
        <v>19</v>
      </c>
      <c r="L827" s="1" t="s">
        <v>2494</v>
      </c>
      <c r="M827" s="1" t="s">
        <v>54</v>
      </c>
      <c r="N827" s="1">
        <v>244</v>
      </c>
      <c r="O827" s="1" t="s">
        <v>2495</v>
      </c>
    </row>
    <row r="828" spans="1:17" x14ac:dyDescent="0.35">
      <c r="A828" s="1" t="s">
        <v>15</v>
      </c>
      <c r="B828" s="1">
        <v>831225</v>
      </c>
      <c r="C828" s="1">
        <v>832361</v>
      </c>
      <c r="E828" s="1" t="s">
        <v>16</v>
      </c>
      <c r="F828" s="1" t="s">
        <v>2496</v>
      </c>
      <c r="G828" s="1" t="s">
        <v>2497</v>
      </c>
      <c r="I828" s="1" t="s">
        <v>19</v>
      </c>
      <c r="L828" s="1" t="s">
        <v>2498</v>
      </c>
      <c r="M828" s="1" t="s">
        <v>2496</v>
      </c>
      <c r="N828" s="1">
        <v>378</v>
      </c>
      <c r="O828" s="1" t="s">
        <v>2499</v>
      </c>
    </row>
    <row r="829" spans="1:17" x14ac:dyDescent="0.35">
      <c r="A829" s="1" t="s">
        <v>15</v>
      </c>
      <c r="B829" s="1">
        <v>832362</v>
      </c>
      <c r="C829" s="1">
        <v>833105</v>
      </c>
      <c r="E829" s="1" t="s">
        <v>16</v>
      </c>
      <c r="F829" s="1" t="s">
        <v>2500</v>
      </c>
      <c r="G829" s="1" t="s">
        <v>2501</v>
      </c>
      <c r="I829" s="1" t="s">
        <v>19</v>
      </c>
      <c r="L829" s="1" t="s">
        <v>2502</v>
      </c>
      <c r="M829" s="1" t="s">
        <v>2500</v>
      </c>
      <c r="N829" s="1">
        <v>247</v>
      </c>
      <c r="O829" s="1" t="s">
        <v>2503</v>
      </c>
      <c r="Q829" s="14"/>
    </row>
    <row r="830" spans="1:17" x14ac:dyDescent="0.35">
      <c r="A830" s="1" t="s">
        <v>15</v>
      </c>
      <c r="B830" s="1">
        <v>833107</v>
      </c>
      <c r="C830" s="1">
        <v>833880</v>
      </c>
      <c r="E830" s="1" t="s">
        <v>16</v>
      </c>
      <c r="F830" s="1" t="s">
        <v>2504</v>
      </c>
      <c r="G830" s="1" t="s">
        <v>2505</v>
      </c>
      <c r="I830" s="1" t="s">
        <v>19</v>
      </c>
      <c r="L830" s="1" t="s">
        <v>2506</v>
      </c>
      <c r="M830" s="1" t="s">
        <v>2504</v>
      </c>
      <c r="N830" s="1">
        <v>257</v>
      </c>
      <c r="O830" s="1" t="s">
        <v>2507</v>
      </c>
      <c r="Q830" s="14"/>
    </row>
    <row r="831" spans="1:17" x14ac:dyDescent="0.35">
      <c r="A831" s="1" t="s">
        <v>15</v>
      </c>
      <c r="B831" s="1">
        <v>833870</v>
      </c>
      <c r="C831" s="1">
        <v>834514</v>
      </c>
      <c r="E831" s="1" t="s">
        <v>16</v>
      </c>
      <c r="F831" s="1" t="s">
        <v>213</v>
      </c>
      <c r="I831" s="1" t="s">
        <v>19</v>
      </c>
      <c r="L831" s="1" t="s">
        <v>2508</v>
      </c>
      <c r="M831" s="1" t="s">
        <v>213</v>
      </c>
      <c r="N831" s="1">
        <v>214</v>
      </c>
      <c r="O831" s="1" t="s">
        <v>2509</v>
      </c>
      <c r="Q831" s="16"/>
    </row>
    <row r="832" spans="1:17" x14ac:dyDescent="0.35">
      <c r="A832" s="1" t="s">
        <v>15</v>
      </c>
      <c r="B832" s="1">
        <v>834517</v>
      </c>
      <c r="C832" s="1">
        <v>835257</v>
      </c>
      <c r="E832" s="1" t="s">
        <v>16</v>
      </c>
      <c r="F832" s="1" t="s">
        <v>2510</v>
      </c>
      <c r="G832" s="1" t="s">
        <v>2511</v>
      </c>
      <c r="I832" s="1" t="s">
        <v>19</v>
      </c>
      <c r="L832" s="1" t="s">
        <v>2512</v>
      </c>
      <c r="M832" s="1" t="s">
        <v>2510</v>
      </c>
      <c r="N832" s="1">
        <v>246</v>
      </c>
      <c r="O832" s="1" t="s">
        <v>2513</v>
      </c>
      <c r="Q832" s="14"/>
    </row>
    <row r="833" spans="1:17" x14ac:dyDescent="0.35">
      <c r="A833" s="1" t="s">
        <v>15</v>
      </c>
      <c r="B833" s="1">
        <v>835419</v>
      </c>
      <c r="C833" s="1">
        <v>836342</v>
      </c>
      <c r="E833" s="1" t="s">
        <v>16</v>
      </c>
      <c r="F833" s="1" t="s">
        <v>2514</v>
      </c>
      <c r="I833" s="1" t="s">
        <v>19</v>
      </c>
      <c r="L833" s="1" t="s">
        <v>2515</v>
      </c>
      <c r="M833" s="1" t="s">
        <v>2514</v>
      </c>
      <c r="N833" s="1">
        <v>307</v>
      </c>
      <c r="O833" s="1" t="s">
        <v>2516</v>
      </c>
    </row>
    <row r="834" spans="1:17" x14ac:dyDescent="0.35">
      <c r="A834" s="1" t="s">
        <v>15</v>
      </c>
      <c r="B834" s="1">
        <v>836443</v>
      </c>
      <c r="C834" s="1">
        <v>836712</v>
      </c>
      <c r="E834" s="1" t="s">
        <v>16</v>
      </c>
      <c r="F834" s="1" t="s">
        <v>54</v>
      </c>
      <c r="I834" s="1" t="s">
        <v>19</v>
      </c>
      <c r="L834" s="1" t="s">
        <v>2517</v>
      </c>
      <c r="M834" s="1" t="s">
        <v>54</v>
      </c>
      <c r="N834" s="1">
        <v>89</v>
      </c>
      <c r="O834" s="1" t="s">
        <v>2518</v>
      </c>
    </row>
    <row r="835" spans="1:17" x14ac:dyDescent="0.35">
      <c r="A835" s="1" t="s">
        <v>15</v>
      </c>
      <c r="B835" s="1">
        <v>837461</v>
      </c>
      <c r="C835" s="1">
        <v>838513</v>
      </c>
      <c r="E835" s="1" t="s">
        <v>16</v>
      </c>
      <c r="F835" s="1" t="s">
        <v>2519</v>
      </c>
      <c r="G835" s="1" t="s">
        <v>2520</v>
      </c>
      <c r="I835" s="1" t="s">
        <v>19</v>
      </c>
      <c r="L835" s="1" t="s">
        <v>2521</v>
      </c>
      <c r="M835" s="1" t="s">
        <v>2519</v>
      </c>
      <c r="N835" s="1">
        <v>350</v>
      </c>
      <c r="O835" s="1" t="s">
        <v>2522</v>
      </c>
      <c r="Q835" s="14"/>
    </row>
    <row r="836" spans="1:17" x14ac:dyDescent="0.35">
      <c r="A836" s="1" t="s">
        <v>15</v>
      </c>
      <c r="B836" s="1">
        <v>838510</v>
      </c>
      <c r="C836" s="1">
        <v>839490</v>
      </c>
      <c r="E836" s="1" t="s">
        <v>16</v>
      </c>
      <c r="F836" s="1" t="s">
        <v>2523</v>
      </c>
      <c r="G836" s="1" t="s">
        <v>2524</v>
      </c>
      <c r="I836" s="1" t="s">
        <v>19</v>
      </c>
      <c r="L836" s="1" t="s">
        <v>2525</v>
      </c>
      <c r="M836" s="1" t="s">
        <v>2523</v>
      </c>
      <c r="N836" s="1">
        <v>326</v>
      </c>
      <c r="O836" s="1" t="s">
        <v>2526</v>
      </c>
    </row>
    <row r="837" spans="1:17" x14ac:dyDescent="0.35">
      <c r="A837" s="1" t="s">
        <v>15</v>
      </c>
      <c r="B837" s="1">
        <v>839483</v>
      </c>
      <c r="C837" s="1">
        <v>840133</v>
      </c>
      <c r="E837" s="1" t="s">
        <v>16</v>
      </c>
      <c r="F837" s="1" t="s">
        <v>2527</v>
      </c>
      <c r="G837" s="1" t="s">
        <v>2528</v>
      </c>
      <c r="I837" s="1" t="s">
        <v>19</v>
      </c>
      <c r="L837" s="1" t="s">
        <v>2529</v>
      </c>
      <c r="M837" s="1" t="s">
        <v>2527</v>
      </c>
      <c r="N837" s="1">
        <v>216</v>
      </c>
      <c r="O837" s="1" t="s">
        <v>2530</v>
      </c>
      <c r="Q837" s="14"/>
    </row>
    <row r="838" spans="1:17" x14ac:dyDescent="0.35">
      <c r="A838" s="1" t="s">
        <v>15</v>
      </c>
      <c r="B838" s="1">
        <v>840130</v>
      </c>
      <c r="C838" s="1">
        <v>841413</v>
      </c>
      <c r="E838" s="1" t="s">
        <v>16</v>
      </c>
      <c r="F838" s="1" t="s">
        <v>2531</v>
      </c>
      <c r="G838" s="1" t="s">
        <v>2532</v>
      </c>
      <c r="I838" s="1" t="s">
        <v>19</v>
      </c>
      <c r="L838" s="1" t="s">
        <v>2533</v>
      </c>
      <c r="M838" s="1" t="s">
        <v>2531</v>
      </c>
      <c r="N838" s="1">
        <v>427</v>
      </c>
      <c r="O838" s="1" t="s">
        <v>2534</v>
      </c>
      <c r="Q838" s="14"/>
    </row>
    <row r="839" spans="1:17" x14ac:dyDescent="0.35">
      <c r="A839" s="1" t="s">
        <v>15</v>
      </c>
      <c r="B839" s="1">
        <v>841388</v>
      </c>
      <c r="C839" s="1">
        <v>842017</v>
      </c>
      <c r="E839" s="1" t="s">
        <v>16</v>
      </c>
      <c r="F839" s="1" t="s">
        <v>2535</v>
      </c>
      <c r="G839" s="1" t="s">
        <v>2536</v>
      </c>
      <c r="I839" s="1" t="s">
        <v>19</v>
      </c>
      <c r="L839" s="1" t="s">
        <v>2537</v>
      </c>
      <c r="M839" s="1" t="s">
        <v>2535</v>
      </c>
      <c r="N839" s="1">
        <v>209</v>
      </c>
      <c r="O839" s="1" t="s">
        <v>2538</v>
      </c>
      <c r="Q839" s="14"/>
    </row>
    <row r="840" spans="1:17" x14ac:dyDescent="0.35">
      <c r="A840" s="1" t="s">
        <v>15</v>
      </c>
      <c r="B840" s="1">
        <v>842014</v>
      </c>
      <c r="C840" s="1">
        <v>842622</v>
      </c>
      <c r="E840" s="1" t="s">
        <v>16</v>
      </c>
      <c r="F840" s="1" t="s">
        <v>2539</v>
      </c>
      <c r="G840" s="1" t="s">
        <v>2540</v>
      </c>
      <c r="I840" s="1" t="s">
        <v>19</v>
      </c>
      <c r="L840" s="1" t="s">
        <v>2541</v>
      </c>
      <c r="M840" s="1" t="s">
        <v>2539</v>
      </c>
      <c r="N840" s="1">
        <v>202</v>
      </c>
      <c r="O840" s="1" t="s">
        <v>2542</v>
      </c>
      <c r="Q840" s="14"/>
    </row>
    <row r="841" spans="1:17" x14ac:dyDescent="0.35">
      <c r="A841" s="1" t="s">
        <v>15</v>
      </c>
      <c r="B841" s="1">
        <v>842659</v>
      </c>
      <c r="C841" s="1">
        <v>843390</v>
      </c>
      <c r="E841" s="1" t="s">
        <v>16</v>
      </c>
      <c r="F841" s="1" t="s">
        <v>2543</v>
      </c>
      <c r="G841" s="1" t="s">
        <v>2544</v>
      </c>
      <c r="I841" s="1" t="s">
        <v>19</v>
      </c>
      <c r="L841" s="1" t="s">
        <v>2545</v>
      </c>
      <c r="M841" s="1" t="s">
        <v>2543</v>
      </c>
      <c r="N841" s="1">
        <v>243</v>
      </c>
      <c r="O841" s="1" t="s">
        <v>2546</v>
      </c>
      <c r="Q841" s="14"/>
    </row>
    <row r="842" spans="1:17" x14ac:dyDescent="0.35">
      <c r="A842" s="1" t="s">
        <v>15</v>
      </c>
      <c r="B842" s="1">
        <v>843392</v>
      </c>
      <c r="C842" s="1">
        <v>844150</v>
      </c>
      <c r="E842" s="1" t="s">
        <v>16</v>
      </c>
      <c r="F842" s="1" t="s">
        <v>2547</v>
      </c>
      <c r="G842" s="1" t="s">
        <v>2548</v>
      </c>
      <c r="I842" s="1" t="s">
        <v>19</v>
      </c>
      <c r="L842" s="1" t="s">
        <v>2549</v>
      </c>
      <c r="M842" s="1" t="s">
        <v>2547</v>
      </c>
      <c r="N842" s="1">
        <v>252</v>
      </c>
      <c r="O842" s="1" t="s">
        <v>2550</v>
      </c>
      <c r="Q842" s="14"/>
    </row>
    <row r="843" spans="1:17" x14ac:dyDescent="0.35">
      <c r="A843" s="1" t="s">
        <v>15</v>
      </c>
      <c r="B843" s="1">
        <v>844147</v>
      </c>
      <c r="C843" s="1">
        <v>844485</v>
      </c>
      <c r="E843" s="1" t="s">
        <v>16</v>
      </c>
      <c r="F843" s="1" t="s">
        <v>2551</v>
      </c>
      <c r="G843" s="1" t="s">
        <v>2552</v>
      </c>
      <c r="I843" s="1" t="s">
        <v>19</v>
      </c>
      <c r="L843" s="1" t="s">
        <v>2553</v>
      </c>
      <c r="M843" s="1" t="s">
        <v>2551</v>
      </c>
      <c r="N843" s="1">
        <v>112</v>
      </c>
      <c r="O843" s="1" t="s">
        <v>2554</v>
      </c>
      <c r="Q843" s="14"/>
    </row>
    <row r="844" spans="1:17" x14ac:dyDescent="0.35">
      <c r="A844" s="1" t="s">
        <v>15</v>
      </c>
      <c r="B844" s="1">
        <v>844494</v>
      </c>
      <c r="C844" s="1">
        <v>844808</v>
      </c>
      <c r="E844" s="1" t="s">
        <v>16</v>
      </c>
      <c r="F844" s="1" t="s">
        <v>2555</v>
      </c>
      <c r="G844" s="1" t="s">
        <v>2556</v>
      </c>
      <c r="I844" s="1" t="s">
        <v>19</v>
      </c>
      <c r="L844" s="1" t="s">
        <v>2557</v>
      </c>
      <c r="M844" s="1" t="s">
        <v>2555</v>
      </c>
      <c r="N844" s="1">
        <v>104</v>
      </c>
      <c r="O844" s="1" t="s">
        <v>2558</v>
      </c>
      <c r="Q844" s="14"/>
    </row>
    <row r="845" spans="1:17" x14ac:dyDescent="0.35">
      <c r="A845" s="1" t="s">
        <v>15</v>
      </c>
      <c r="B845" s="1">
        <v>845016</v>
      </c>
      <c r="C845" s="1">
        <v>845810</v>
      </c>
      <c r="E845" s="1" t="s">
        <v>16</v>
      </c>
      <c r="F845" s="1" t="s">
        <v>54</v>
      </c>
      <c r="I845" s="1" t="s">
        <v>19</v>
      </c>
      <c r="L845" s="1" t="s">
        <v>2559</v>
      </c>
      <c r="M845" s="1" t="s">
        <v>54</v>
      </c>
      <c r="N845" s="1">
        <v>264</v>
      </c>
      <c r="O845" s="1" t="s">
        <v>2560</v>
      </c>
    </row>
    <row r="846" spans="1:17" x14ac:dyDescent="0.35">
      <c r="A846" s="1" t="s">
        <v>15</v>
      </c>
      <c r="B846" s="1">
        <v>845945</v>
      </c>
      <c r="C846" s="1">
        <v>846628</v>
      </c>
      <c r="E846" s="1" t="s">
        <v>178</v>
      </c>
      <c r="F846" s="1" t="s">
        <v>54</v>
      </c>
      <c r="I846" s="1" t="s">
        <v>19</v>
      </c>
      <c r="L846" s="1" t="s">
        <v>2561</v>
      </c>
      <c r="M846" s="1" t="s">
        <v>54</v>
      </c>
      <c r="N846" s="1">
        <v>227</v>
      </c>
      <c r="O846" s="1" t="s">
        <v>2562</v>
      </c>
    </row>
    <row r="847" spans="1:17" x14ac:dyDescent="0.35">
      <c r="A847" s="1" t="s">
        <v>15</v>
      </c>
      <c r="B847" s="1">
        <v>846621</v>
      </c>
      <c r="C847" s="1">
        <v>847400</v>
      </c>
      <c r="E847" s="1" t="s">
        <v>178</v>
      </c>
      <c r="F847" s="1" t="s">
        <v>2563</v>
      </c>
      <c r="I847" s="1" t="s">
        <v>19</v>
      </c>
      <c r="L847" s="1" t="s">
        <v>2564</v>
      </c>
      <c r="M847" s="1" t="s">
        <v>2563</v>
      </c>
      <c r="N847" s="1">
        <v>259</v>
      </c>
      <c r="O847" s="1" t="s">
        <v>2565</v>
      </c>
    </row>
    <row r="848" spans="1:17" x14ac:dyDescent="0.35">
      <c r="A848" s="1" t="s">
        <v>15</v>
      </c>
      <c r="B848" s="1">
        <v>847722</v>
      </c>
      <c r="C848" s="1">
        <v>848999</v>
      </c>
      <c r="E848" s="1" t="s">
        <v>16</v>
      </c>
      <c r="F848" s="1" t="s">
        <v>54</v>
      </c>
      <c r="I848" s="1" t="s">
        <v>19</v>
      </c>
      <c r="L848" s="1" t="s">
        <v>2566</v>
      </c>
      <c r="M848" s="1" t="s">
        <v>54</v>
      </c>
      <c r="N848" s="1">
        <v>425</v>
      </c>
      <c r="O848" s="1" t="s">
        <v>2567</v>
      </c>
    </row>
    <row r="849" spans="1:17" x14ac:dyDescent="0.35">
      <c r="A849" s="1" t="s">
        <v>15</v>
      </c>
      <c r="B849" s="1">
        <v>849033</v>
      </c>
      <c r="C849" s="1">
        <v>850055</v>
      </c>
      <c r="E849" s="1" t="s">
        <v>16</v>
      </c>
      <c r="F849" s="1" t="s">
        <v>2568</v>
      </c>
      <c r="I849" s="1" t="s">
        <v>19</v>
      </c>
      <c r="L849" s="1" t="s">
        <v>2569</v>
      </c>
      <c r="M849" s="1" t="s">
        <v>2568</v>
      </c>
      <c r="N849" s="1">
        <v>340</v>
      </c>
      <c r="O849" s="1" t="s">
        <v>2570</v>
      </c>
    </row>
    <row r="850" spans="1:17" x14ac:dyDescent="0.35">
      <c r="A850" s="1" t="s">
        <v>15</v>
      </c>
      <c r="B850" s="1">
        <v>850329</v>
      </c>
      <c r="C850" s="1">
        <v>854810</v>
      </c>
      <c r="E850" s="1" t="s">
        <v>16</v>
      </c>
      <c r="F850" s="1" t="s">
        <v>2571</v>
      </c>
      <c r="G850" s="1" t="s">
        <v>2572</v>
      </c>
      <c r="I850" s="1" t="s">
        <v>19</v>
      </c>
      <c r="L850" s="1" t="s">
        <v>2573</v>
      </c>
      <c r="M850" s="1" t="s">
        <v>2571</v>
      </c>
      <c r="N850" s="1">
        <v>1493</v>
      </c>
      <c r="O850" s="1" t="s">
        <v>2574</v>
      </c>
      <c r="Q850" s="14"/>
    </row>
    <row r="851" spans="1:17" x14ac:dyDescent="0.35">
      <c r="A851" s="1" t="s">
        <v>15</v>
      </c>
      <c r="B851" s="1">
        <v>855237</v>
      </c>
      <c r="C851" s="1">
        <v>859793</v>
      </c>
      <c r="E851" s="1" t="s">
        <v>16</v>
      </c>
      <c r="F851" s="1" t="s">
        <v>2571</v>
      </c>
      <c r="I851" s="1" t="s">
        <v>19</v>
      </c>
      <c r="L851" s="1" t="s">
        <v>2575</v>
      </c>
      <c r="M851" s="1" t="s">
        <v>2571</v>
      </c>
      <c r="N851" s="1">
        <v>1518</v>
      </c>
      <c r="O851" s="1" t="s">
        <v>2576</v>
      </c>
      <c r="Q851" s="14"/>
    </row>
    <row r="852" spans="1:17" x14ac:dyDescent="0.35">
      <c r="A852" s="1" t="s">
        <v>15</v>
      </c>
      <c r="B852" s="1">
        <v>860029</v>
      </c>
      <c r="C852" s="1">
        <v>864828</v>
      </c>
      <c r="E852" s="1" t="s">
        <v>16</v>
      </c>
      <c r="F852" s="1" t="s">
        <v>2577</v>
      </c>
      <c r="G852" s="1" t="s">
        <v>2578</v>
      </c>
      <c r="I852" s="1" t="s">
        <v>19</v>
      </c>
      <c r="L852" s="1" t="s">
        <v>2579</v>
      </c>
      <c r="M852" s="1" t="s">
        <v>2577</v>
      </c>
      <c r="N852" s="1">
        <v>1599</v>
      </c>
      <c r="O852" s="1" t="s">
        <v>2580</v>
      </c>
      <c r="Q852" s="14"/>
    </row>
    <row r="853" spans="1:17" x14ac:dyDescent="0.35">
      <c r="A853" s="1" t="s">
        <v>15</v>
      </c>
      <c r="B853" s="1">
        <v>864969</v>
      </c>
      <c r="C853" s="1">
        <v>866396</v>
      </c>
      <c r="E853" s="1" t="s">
        <v>16</v>
      </c>
      <c r="F853" s="1" t="s">
        <v>66</v>
      </c>
      <c r="G853" s="1" t="s">
        <v>2581</v>
      </c>
      <c r="I853" s="1" t="s">
        <v>19</v>
      </c>
      <c r="L853" s="1" t="s">
        <v>2582</v>
      </c>
      <c r="M853" s="1" t="s">
        <v>66</v>
      </c>
      <c r="N853" s="1">
        <v>475</v>
      </c>
      <c r="O853" s="1" t="s">
        <v>2583</v>
      </c>
    </row>
    <row r="854" spans="1:17" x14ac:dyDescent="0.35">
      <c r="A854" s="1" t="s">
        <v>15</v>
      </c>
      <c r="B854" s="1">
        <v>866516</v>
      </c>
      <c r="C854" s="1">
        <v>867754</v>
      </c>
      <c r="E854" s="1" t="s">
        <v>16</v>
      </c>
      <c r="F854" s="1" t="s">
        <v>1908</v>
      </c>
      <c r="G854" s="1" t="s">
        <v>2584</v>
      </c>
      <c r="I854" s="1" t="s">
        <v>19</v>
      </c>
      <c r="L854" s="1" t="s">
        <v>2585</v>
      </c>
      <c r="M854" s="1" t="s">
        <v>1908</v>
      </c>
      <c r="N854" s="1">
        <v>412</v>
      </c>
      <c r="O854" s="1" t="s">
        <v>2586</v>
      </c>
    </row>
    <row r="855" spans="1:17" x14ac:dyDescent="0.35">
      <c r="A855" s="1" t="s">
        <v>15</v>
      </c>
      <c r="B855" s="1">
        <v>867747</v>
      </c>
      <c r="C855" s="1">
        <v>868388</v>
      </c>
      <c r="E855" s="1" t="s">
        <v>16</v>
      </c>
      <c r="F855" s="1" t="s">
        <v>2587</v>
      </c>
      <c r="G855" s="1" t="s">
        <v>2588</v>
      </c>
      <c r="I855" s="1" t="s">
        <v>19</v>
      </c>
      <c r="L855" s="1" t="s">
        <v>2589</v>
      </c>
      <c r="M855" s="1" t="s">
        <v>2587</v>
      </c>
      <c r="N855" s="1">
        <v>213</v>
      </c>
      <c r="O855" s="1" t="s">
        <v>2590</v>
      </c>
      <c r="Q855" s="14"/>
    </row>
    <row r="856" spans="1:17" x14ac:dyDescent="0.35">
      <c r="A856" s="1" t="s">
        <v>15</v>
      </c>
      <c r="B856" s="1">
        <v>868420</v>
      </c>
      <c r="C856" s="1">
        <v>869349</v>
      </c>
      <c r="E856" s="1" t="s">
        <v>16</v>
      </c>
      <c r="F856" s="1" t="s">
        <v>2591</v>
      </c>
      <c r="G856" s="1" t="s">
        <v>2592</v>
      </c>
      <c r="I856" s="1" t="s">
        <v>19</v>
      </c>
      <c r="L856" s="1" t="s">
        <v>2593</v>
      </c>
      <c r="M856" s="1" t="s">
        <v>2591</v>
      </c>
      <c r="N856" s="1">
        <v>309</v>
      </c>
      <c r="O856" s="1" t="s">
        <v>2594</v>
      </c>
      <c r="Q856" s="14"/>
    </row>
    <row r="857" spans="1:17" x14ac:dyDescent="0.35">
      <c r="A857" s="1" t="s">
        <v>15</v>
      </c>
      <c r="B857" s="1">
        <v>869349</v>
      </c>
      <c r="C857" s="1">
        <v>870116</v>
      </c>
      <c r="E857" s="1" t="s">
        <v>16</v>
      </c>
      <c r="F857" s="1" t="s">
        <v>2595</v>
      </c>
      <c r="G857" s="1" t="s">
        <v>2596</v>
      </c>
      <c r="I857" s="1" t="s">
        <v>19</v>
      </c>
      <c r="L857" s="1" t="s">
        <v>2597</v>
      </c>
      <c r="M857" s="1" t="s">
        <v>2595</v>
      </c>
      <c r="N857" s="1">
        <v>255</v>
      </c>
      <c r="O857" s="1" t="s">
        <v>2598</v>
      </c>
      <c r="Q857" s="14"/>
    </row>
    <row r="858" spans="1:17" x14ac:dyDescent="0.35">
      <c r="A858" s="1" t="s">
        <v>15</v>
      </c>
      <c r="B858" s="1">
        <v>870128</v>
      </c>
      <c r="C858" s="1">
        <v>870838</v>
      </c>
      <c r="E858" s="1" t="s">
        <v>16</v>
      </c>
      <c r="F858" s="1" t="s">
        <v>2599</v>
      </c>
      <c r="G858" s="1" t="s">
        <v>2600</v>
      </c>
      <c r="I858" s="1" t="s">
        <v>19</v>
      </c>
      <c r="L858" s="1" t="s">
        <v>2601</v>
      </c>
      <c r="M858" s="1" t="s">
        <v>2599</v>
      </c>
      <c r="N858" s="1">
        <v>236</v>
      </c>
      <c r="O858" s="1" t="s">
        <v>2602</v>
      </c>
    </row>
    <row r="859" spans="1:17" x14ac:dyDescent="0.35">
      <c r="A859" s="1" t="s">
        <v>15</v>
      </c>
      <c r="B859" s="1">
        <v>870840</v>
      </c>
      <c r="C859" s="1">
        <v>871244</v>
      </c>
      <c r="E859" s="1" t="s">
        <v>16</v>
      </c>
      <c r="F859" s="1" t="s">
        <v>2603</v>
      </c>
      <c r="I859" s="1" t="s">
        <v>19</v>
      </c>
      <c r="L859" s="1" t="s">
        <v>2604</v>
      </c>
      <c r="M859" s="1" t="s">
        <v>2603</v>
      </c>
      <c r="N859" s="1">
        <v>134</v>
      </c>
      <c r="O859" s="1" t="s">
        <v>2605</v>
      </c>
      <c r="Q859" s="14"/>
    </row>
    <row r="860" spans="1:17" x14ac:dyDescent="0.35">
      <c r="A860" s="1" t="s">
        <v>15</v>
      </c>
      <c r="B860" s="1">
        <v>871555</v>
      </c>
      <c r="C860" s="1">
        <v>873756</v>
      </c>
      <c r="E860" s="1" t="s">
        <v>16</v>
      </c>
      <c r="F860" s="1" t="s">
        <v>2606</v>
      </c>
      <c r="G860" s="1" t="s">
        <v>2607</v>
      </c>
      <c r="I860" s="1" t="s">
        <v>19</v>
      </c>
      <c r="L860" s="1" t="s">
        <v>2608</v>
      </c>
      <c r="M860" s="1" t="s">
        <v>2606</v>
      </c>
      <c r="N860" s="1">
        <v>733</v>
      </c>
      <c r="O860" s="1" t="s">
        <v>2609</v>
      </c>
      <c r="Q860" s="14"/>
    </row>
    <row r="861" spans="1:17" x14ac:dyDescent="0.35">
      <c r="A861" s="1" t="s">
        <v>15</v>
      </c>
      <c r="B861" s="1">
        <v>873875</v>
      </c>
      <c r="C861" s="1">
        <v>874393</v>
      </c>
      <c r="E861" s="1" t="s">
        <v>16</v>
      </c>
      <c r="F861" s="1" t="s">
        <v>2610</v>
      </c>
      <c r="G861" s="1" t="s">
        <v>2611</v>
      </c>
      <c r="I861" s="1" t="s">
        <v>19</v>
      </c>
      <c r="L861" s="1" t="s">
        <v>2612</v>
      </c>
      <c r="M861" s="1" t="s">
        <v>2610</v>
      </c>
      <c r="N861" s="1">
        <v>172</v>
      </c>
      <c r="O861" s="1" t="s">
        <v>2613</v>
      </c>
      <c r="Q861" s="14"/>
    </row>
    <row r="862" spans="1:17" x14ac:dyDescent="0.35">
      <c r="A862" s="1" t="s">
        <v>15</v>
      </c>
      <c r="B862" s="1">
        <v>874566</v>
      </c>
      <c r="C862" s="1">
        <v>875510</v>
      </c>
      <c r="E862" s="1" t="s">
        <v>16</v>
      </c>
      <c r="F862" s="1" t="s">
        <v>2614</v>
      </c>
      <c r="G862" s="1" t="s">
        <v>2615</v>
      </c>
      <c r="I862" s="1" t="s">
        <v>19</v>
      </c>
      <c r="L862" s="1" t="s">
        <v>2616</v>
      </c>
      <c r="M862" s="1" t="s">
        <v>2614</v>
      </c>
      <c r="N862" s="1">
        <v>314</v>
      </c>
      <c r="O862" s="1" t="s">
        <v>2617</v>
      </c>
      <c r="Q862" s="14"/>
    </row>
    <row r="863" spans="1:17" x14ac:dyDescent="0.35">
      <c r="A863" s="1" t="s">
        <v>15</v>
      </c>
      <c r="B863" s="1">
        <v>875582</v>
      </c>
      <c r="C863" s="1">
        <v>876280</v>
      </c>
      <c r="E863" s="1" t="s">
        <v>16</v>
      </c>
      <c r="F863" s="1" t="s">
        <v>2618</v>
      </c>
      <c r="G863" s="1" t="s">
        <v>2619</v>
      </c>
      <c r="I863" s="1" t="s">
        <v>19</v>
      </c>
      <c r="L863" s="1" t="s">
        <v>2620</v>
      </c>
      <c r="M863" s="1" t="s">
        <v>2618</v>
      </c>
      <c r="N863" s="1">
        <v>232</v>
      </c>
      <c r="O863" s="1" t="s">
        <v>2621</v>
      </c>
    </row>
    <row r="864" spans="1:17" x14ac:dyDescent="0.35">
      <c r="A864" s="1" t="s">
        <v>15</v>
      </c>
      <c r="B864" s="1">
        <v>876280</v>
      </c>
      <c r="C864" s="1">
        <v>876924</v>
      </c>
      <c r="E864" s="1" t="s">
        <v>16</v>
      </c>
      <c r="F864" s="1" t="s">
        <v>2622</v>
      </c>
      <c r="G864" s="1" t="s">
        <v>2623</v>
      </c>
      <c r="I864" s="1" t="s">
        <v>19</v>
      </c>
      <c r="L864" s="1" t="s">
        <v>2624</v>
      </c>
      <c r="M864" s="1" t="s">
        <v>2622</v>
      </c>
      <c r="N864" s="1">
        <v>214</v>
      </c>
      <c r="O864" s="1" t="s">
        <v>2625</v>
      </c>
      <c r="Q864" s="14"/>
    </row>
    <row r="865" spans="1:17" x14ac:dyDescent="0.35">
      <c r="A865" s="1" t="s">
        <v>15</v>
      </c>
      <c r="B865" s="1">
        <v>877052</v>
      </c>
      <c r="C865" s="1">
        <v>877810</v>
      </c>
      <c r="E865" s="1" t="s">
        <v>16</v>
      </c>
      <c r="F865" s="1" t="s">
        <v>54</v>
      </c>
      <c r="I865" s="1" t="s">
        <v>19</v>
      </c>
      <c r="L865" s="1" t="s">
        <v>2626</v>
      </c>
      <c r="M865" s="1" t="s">
        <v>54</v>
      </c>
      <c r="N865" s="1">
        <v>252</v>
      </c>
      <c r="O865" s="1" t="s">
        <v>2627</v>
      </c>
    </row>
    <row r="866" spans="1:17" x14ac:dyDescent="0.35">
      <c r="A866" s="1" t="s">
        <v>15</v>
      </c>
      <c r="B866" s="1">
        <v>877997</v>
      </c>
      <c r="C866" s="1">
        <v>879325</v>
      </c>
      <c r="E866" s="1" t="s">
        <v>16</v>
      </c>
      <c r="F866" s="1" t="s">
        <v>2628</v>
      </c>
      <c r="G866" s="1" t="s">
        <v>2629</v>
      </c>
      <c r="I866" s="1" t="s">
        <v>19</v>
      </c>
      <c r="L866" s="1" t="s">
        <v>2630</v>
      </c>
      <c r="M866" s="1" t="s">
        <v>2628</v>
      </c>
      <c r="N866" s="1">
        <v>442</v>
      </c>
      <c r="O866" s="1" t="s">
        <v>2631</v>
      </c>
      <c r="Q866" s="14"/>
    </row>
    <row r="867" spans="1:17" x14ac:dyDescent="0.35">
      <c r="A867" s="1" t="s">
        <v>15</v>
      </c>
      <c r="B867" s="1">
        <v>879315</v>
      </c>
      <c r="C867" s="1">
        <v>879530</v>
      </c>
      <c r="E867" s="1" t="s">
        <v>16</v>
      </c>
      <c r="F867" s="1" t="s">
        <v>2632</v>
      </c>
      <c r="G867" s="1" t="s">
        <v>2633</v>
      </c>
      <c r="I867" s="1" t="s">
        <v>19</v>
      </c>
      <c r="L867" s="1" t="s">
        <v>2634</v>
      </c>
      <c r="M867" s="1" t="s">
        <v>2632</v>
      </c>
      <c r="N867" s="1">
        <v>71</v>
      </c>
      <c r="O867" s="1" t="s">
        <v>2635</v>
      </c>
      <c r="Q867" s="14"/>
    </row>
    <row r="868" spans="1:17" x14ac:dyDescent="0.35">
      <c r="A868" s="1" t="s">
        <v>15</v>
      </c>
      <c r="B868" s="1">
        <v>879530</v>
      </c>
      <c r="C868" s="1">
        <v>880402</v>
      </c>
      <c r="E868" s="1" t="s">
        <v>16</v>
      </c>
      <c r="F868" s="1" t="s">
        <v>2636</v>
      </c>
      <c r="G868" s="1" t="s">
        <v>2637</v>
      </c>
      <c r="I868" s="1" t="s">
        <v>19</v>
      </c>
      <c r="L868" s="1" t="s">
        <v>2638</v>
      </c>
      <c r="M868" s="1" t="s">
        <v>2636</v>
      </c>
      <c r="N868" s="1">
        <v>290</v>
      </c>
      <c r="O868" s="1" t="s">
        <v>2639</v>
      </c>
      <c r="Q868" s="14"/>
    </row>
    <row r="869" spans="1:17" x14ac:dyDescent="0.35">
      <c r="A869" s="1" t="s">
        <v>15</v>
      </c>
      <c r="B869" s="1">
        <v>880395</v>
      </c>
      <c r="C869" s="1">
        <v>881222</v>
      </c>
      <c r="E869" s="1" t="s">
        <v>16</v>
      </c>
      <c r="F869" s="1" t="s">
        <v>2640</v>
      </c>
      <c r="I869" s="1" t="s">
        <v>19</v>
      </c>
      <c r="L869" s="1" t="s">
        <v>2641</v>
      </c>
      <c r="M869" s="1" t="s">
        <v>2640</v>
      </c>
      <c r="N869" s="1">
        <v>275</v>
      </c>
      <c r="O869" s="1" t="s">
        <v>2642</v>
      </c>
    </row>
    <row r="870" spans="1:17" x14ac:dyDescent="0.35">
      <c r="A870" s="1" t="s">
        <v>15</v>
      </c>
      <c r="B870" s="1">
        <v>881209</v>
      </c>
      <c r="C870" s="1">
        <v>881655</v>
      </c>
      <c r="E870" s="1" t="s">
        <v>16</v>
      </c>
      <c r="F870" s="1" t="s">
        <v>2643</v>
      </c>
      <c r="I870" s="1" t="s">
        <v>19</v>
      </c>
      <c r="L870" s="1" t="s">
        <v>2644</v>
      </c>
      <c r="M870" s="1" t="s">
        <v>2643</v>
      </c>
      <c r="N870" s="1">
        <v>148</v>
      </c>
      <c r="O870" s="1" t="s">
        <v>2645</v>
      </c>
    </row>
    <row r="871" spans="1:17" x14ac:dyDescent="0.35">
      <c r="A871" s="1" t="s">
        <v>15</v>
      </c>
      <c r="B871" s="1">
        <v>881664</v>
      </c>
      <c r="C871" s="1">
        <v>883334</v>
      </c>
      <c r="E871" s="1" t="s">
        <v>16</v>
      </c>
      <c r="F871" s="1" t="s">
        <v>2646</v>
      </c>
      <c r="G871" s="1" t="s">
        <v>2647</v>
      </c>
      <c r="I871" s="1" t="s">
        <v>19</v>
      </c>
      <c r="L871" s="1" t="s">
        <v>2648</v>
      </c>
      <c r="M871" s="1" t="s">
        <v>2646</v>
      </c>
      <c r="N871" s="1">
        <v>556</v>
      </c>
      <c r="O871" s="1" t="s">
        <v>2649</v>
      </c>
    </row>
    <row r="872" spans="1:17" x14ac:dyDescent="0.35">
      <c r="A872" s="1" t="s">
        <v>15</v>
      </c>
      <c r="B872" s="1">
        <v>883404</v>
      </c>
      <c r="C872" s="1">
        <v>884240</v>
      </c>
      <c r="E872" s="1" t="s">
        <v>16</v>
      </c>
      <c r="F872" s="1" t="s">
        <v>54</v>
      </c>
      <c r="I872" s="1" t="s">
        <v>19</v>
      </c>
      <c r="L872" s="1" t="s">
        <v>2650</v>
      </c>
      <c r="M872" s="1" t="s">
        <v>54</v>
      </c>
      <c r="N872" s="1">
        <v>278</v>
      </c>
      <c r="O872" s="1" t="s">
        <v>2651</v>
      </c>
    </row>
    <row r="873" spans="1:17" x14ac:dyDescent="0.35">
      <c r="A873" s="1" t="s">
        <v>15</v>
      </c>
      <c r="B873" s="1">
        <v>884233</v>
      </c>
      <c r="C873" s="1">
        <v>885108</v>
      </c>
      <c r="E873" s="1" t="s">
        <v>16</v>
      </c>
      <c r="F873" s="1" t="s">
        <v>54</v>
      </c>
      <c r="I873" s="1" t="s">
        <v>19</v>
      </c>
      <c r="L873" s="1" t="s">
        <v>2652</v>
      </c>
      <c r="M873" s="1" t="s">
        <v>54</v>
      </c>
      <c r="N873" s="1">
        <v>291</v>
      </c>
      <c r="O873" s="1" t="s">
        <v>2653</v>
      </c>
    </row>
    <row r="874" spans="1:17" x14ac:dyDescent="0.35">
      <c r="A874" s="1" t="s">
        <v>15</v>
      </c>
      <c r="B874" s="1">
        <v>885101</v>
      </c>
      <c r="C874" s="1">
        <v>885673</v>
      </c>
      <c r="E874" s="1" t="s">
        <v>16</v>
      </c>
      <c r="F874" s="1" t="s">
        <v>54</v>
      </c>
      <c r="I874" s="1" t="s">
        <v>19</v>
      </c>
      <c r="L874" s="1" t="s">
        <v>2654</v>
      </c>
      <c r="M874" s="1" t="s">
        <v>54</v>
      </c>
      <c r="N874" s="1">
        <v>190</v>
      </c>
      <c r="O874" s="1" t="s">
        <v>2655</v>
      </c>
    </row>
    <row r="875" spans="1:17" x14ac:dyDescent="0.35">
      <c r="A875" s="1" t="s">
        <v>15</v>
      </c>
      <c r="B875" s="1">
        <v>885810</v>
      </c>
      <c r="C875" s="1">
        <v>886085</v>
      </c>
      <c r="E875" s="1" t="s">
        <v>16</v>
      </c>
      <c r="F875" s="1" t="s">
        <v>2656</v>
      </c>
      <c r="G875" s="1" t="s">
        <v>2657</v>
      </c>
      <c r="I875" s="1" t="s">
        <v>19</v>
      </c>
      <c r="L875" s="1" t="s">
        <v>2658</v>
      </c>
      <c r="M875" s="1" t="s">
        <v>2656</v>
      </c>
      <c r="N875" s="1">
        <v>91</v>
      </c>
      <c r="O875" s="1" t="s">
        <v>2659</v>
      </c>
    </row>
    <row r="876" spans="1:17" x14ac:dyDescent="0.35">
      <c r="A876" s="1" t="s">
        <v>15</v>
      </c>
      <c r="B876" s="1">
        <v>886145</v>
      </c>
      <c r="C876" s="1">
        <v>886345</v>
      </c>
      <c r="E876" s="1" t="s">
        <v>16</v>
      </c>
      <c r="F876" s="1" t="s">
        <v>54</v>
      </c>
      <c r="I876" s="1" t="s">
        <v>19</v>
      </c>
      <c r="L876" s="1" t="s">
        <v>2660</v>
      </c>
      <c r="M876" s="1" t="s">
        <v>54</v>
      </c>
      <c r="N876" s="1">
        <v>66</v>
      </c>
      <c r="O876" s="1" t="s">
        <v>2661</v>
      </c>
    </row>
    <row r="877" spans="1:17" x14ac:dyDescent="0.35">
      <c r="A877" s="1" t="s">
        <v>15</v>
      </c>
      <c r="B877" s="1">
        <v>886407</v>
      </c>
      <c r="C877" s="1">
        <v>887342</v>
      </c>
      <c r="E877" s="1" t="s">
        <v>178</v>
      </c>
      <c r="F877" s="1" t="s">
        <v>2662</v>
      </c>
      <c r="G877" s="1" t="s">
        <v>2663</v>
      </c>
      <c r="I877" s="1" t="s">
        <v>19</v>
      </c>
      <c r="L877" s="1" t="s">
        <v>2664</v>
      </c>
      <c r="M877" s="1" t="s">
        <v>2662</v>
      </c>
      <c r="N877" s="1">
        <v>311</v>
      </c>
      <c r="O877" s="1" t="s">
        <v>2665</v>
      </c>
      <c r="Q877" s="14"/>
    </row>
    <row r="878" spans="1:17" x14ac:dyDescent="0.35">
      <c r="A878" s="1" t="s">
        <v>15</v>
      </c>
      <c r="B878" s="1">
        <v>887722</v>
      </c>
      <c r="C878" s="1">
        <v>888291</v>
      </c>
      <c r="E878" s="1" t="s">
        <v>16</v>
      </c>
      <c r="F878" s="1" t="s">
        <v>2666</v>
      </c>
      <c r="G878" s="1" t="s">
        <v>2667</v>
      </c>
      <c r="I878" s="1" t="s">
        <v>19</v>
      </c>
      <c r="L878" s="1" t="s">
        <v>2668</v>
      </c>
      <c r="M878" s="1" t="s">
        <v>2666</v>
      </c>
      <c r="N878" s="1">
        <v>189</v>
      </c>
      <c r="O878" s="1" t="s">
        <v>2669</v>
      </c>
      <c r="Q878" s="14"/>
    </row>
    <row r="879" spans="1:17" x14ac:dyDescent="0.35">
      <c r="A879" s="1" t="s">
        <v>15</v>
      </c>
      <c r="B879" s="1">
        <v>888638</v>
      </c>
      <c r="C879" s="1">
        <v>890194</v>
      </c>
      <c r="E879" s="1" t="s">
        <v>16</v>
      </c>
      <c r="F879" s="1" t="s">
        <v>2670</v>
      </c>
      <c r="G879" s="1" t="s">
        <v>2671</v>
      </c>
      <c r="I879" s="1" t="s">
        <v>19</v>
      </c>
      <c r="L879" s="1" t="s">
        <v>2672</v>
      </c>
      <c r="M879" s="1" t="s">
        <v>2670</v>
      </c>
      <c r="N879" s="1">
        <v>518</v>
      </c>
      <c r="O879" s="1" t="s">
        <v>2673</v>
      </c>
      <c r="Q879" s="14"/>
    </row>
    <row r="880" spans="1:17" x14ac:dyDescent="0.35">
      <c r="A880" s="1" t="s">
        <v>15</v>
      </c>
      <c r="B880" s="1">
        <v>890213</v>
      </c>
      <c r="C880" s="1">
        <v>891250</v>
      </c>
      <c r="E880" s="1" t="s">
        <v>16</v>
      </c>
      <c r="F880" s="1" t="s">
        <v>2674</v>
      </c>
      <c r="G880" s="1" t="s">
        <v>2675</v>
      </c>
      <c r="I880" s="1" t="s">
        <v>19</v>
      </c>
      <c r="L880" s="1" t="s">
        <v>2676</v>
      </c>
      <c r="M880" s="1" t="s">
        <v>2674</v>
      </c>
      <c r="N880" s="1">
        <v>345</v>
      </c>
      <c r="O880" s="1" t="s">
        <v>2677</v>
      </c>
      <c r="Q880" s="14"/>
    </row>
    <row r="881" spans="1:17" x14ac:dyDescent="0.35">
      <c r="A881" s="1" t="s">
        <v>15</v>
      </c>
      <c r="B881" s="1">
        <v>891255</v>
      </c>
      <c r="C881" s="1">
        <v>891536</v>
      </c>
      <c r="E881" s="1" t="s">
        <v>16</v>
      </c>
      <c r="F881" s="1" t="s">
        <v>54</v>
      </c>
      <c r="I881" s="1" t="s">
        <v>19</v>
      </c>
      <c r="L881" s="1" t="s">
        <v>2678</v>
      </c>
      <c r="M881" s="1" t="s">
        <v>54</v>
      </c>
      <c r="N881" s="1">
        <v>93</v>
      </c>
      <c r="O881" s="1" t="s">
        <v>2679</v>
      </c>
    </row>
    <row r="882" spans="1:17" x14ac:dyDescent="0.35">
      <c r="A882" s="1" t="s">
        <v>15</v>
      </c>
      <c r="B882" s="1">
        <v>891567</v>
      </c>
      <c r="C882" s="1">
        <v>892958</v>
      </c>
      <c r="E882" s="1" t="s">
        <v>16</v>
      </c>
      <c r="F882" s="1" t="s">
        <v>2680</v>
      </c>
      <c r="G882" s="1" t="s">
        <v>2681</v>
      </c>
      <c r="I882" s="1" t="s">
        <v>19</v>
      </c>
      <c r="L882" s="1" t="s">
        <v>2682</v>
      </c>
      <c r="M882" s="1" t="s">
        <v>2680</v>
      </c>
      <c r="N882" s="1">
        <v>463</v>
      </c>
      <c r="O882" s="1" t="s">
        <v>2683</v>
      </c>
      <c r="Q882" s="14"/>
    </row>
    <row r="883" spans="1:17" x14ac:dyDescent="0.35">
      <c r="A883" s="1" t="s">
        <v>15</v>
      </c>
      <c r="B883" s="1">
        <v>892970</v>
      </c>
      <c r="C883" s="1">
        <v>893560</v>
      </c>
      <c r="E883" s="1" t="s">
        <v>16</v>
      </c>
      <c r="F883" s="1" t="s">
        <v>2684</v>
      </c>
      <c r="G883" s="1" t="s">
        <v>2685</v>
      </c>
      <c r="I883" s="1" t="s">
        <v>19</v>
      </c>
      <c r="L883" s="1" t="s">
        <v>2686</v>
      </c>
      <c r="M883" s="1" t="s">
        <v>2684</v>
      </c>
      <c r="N883" s="1">
        <v>196</v>
      </c>
      <c r="O883" s="1" t="s">
        <v>2687</v>
      </c>
      <c r="Q883" s="14"/>
    </row>
    <row r="884" spans="1:17" x14ac:dyDescent="0.35">
      <c r="A884" s="1" t="s">
        <v>15</v>
      </c>
      <c r="B884" s="1">
        <v>893775</v>
      </c>
      <c r="C884" s="1">
        <v>896885</v>
      </c>
      <c r="E884" s="1" t="s">
        <v>16</v>
      </c>
      <c r="F884" s="1" t="s">
        <v>2688</v>
      </c>
      <c r="G884" s="1" t="s">
        <v>2689</v>
      </c>
      <c r="I884" s="1" t="s">
        <v>19</v>
      </c>
      <c r="L884" s="1" t="s">
        <v>2690</v>
      </c>
      <c r="M884" s="1" t="s">
        <v>2688</v>
      </c>
      <c r="N884" s="1">
        <v>1036</v>
      </c>
      <c r="O884" s="1" t="s">
        <v>2691</v>
      </c>
      <c r="Q884" s="14"/>
    </row>
    <row r="885" spans="1:17" x14ac:dyDescent="0.35">
      <c r="A885" s="1" t="s">
        <v>15</v>
      </c>
      <c r="B885" s="1">
        <v>896978</v>
      </c>
      <c r="C885" s="1">
        <v>897997</v>
      </c>
      <c r="E885" s="1" t="s">
        <v>16</v>
      </c>
      <c r="F885" s="1" t="s">
        <v>2692</v>
      </c>
      <c r="G885" s="1" t="s">
        <v>2693</v>
      </c>
      <c r="I885" s="1" t="s">
        <v>19</v>
      </c>
      <c r="L885" s="1" t="s">
        <v>2694</v>
      </c>
      <c r="M885" s="1" t="s">
        <v>2692</v>
      </c>
      <c r="N885" s="1">
        <v>339</v>
      </c>
      <c r="O885" s="1" t="s">
        <v>2695</v>
      </c>
      <c r="Q885" s="14"/>
    </row>
    <row r="886" spans="1:17" x14ac:dyDescent="0.35">
      <c r="A886" s="1" t="s">
        <v>15</v>
      </c>
      <c r="B886" s="1">
        <v>898068</v>
      </c>
      <c r="C886" s="1">
        <v>899570</v>
      </c>
      <c r="E886" s="1" t="s">
        <v>16</v>
      </c>
      <c r="F886" s="1" t="s">
        <v>2696</v>
      </c>
      <c r="G886" s="1" t="s">
        <v>2697</v>
      </c>
      <c r="I886" s="1" t="s">
        <v>19</v>
      </c>
      <c r="L886" s="1" t="s">
        <v>2698</v>
      </c>
      <c r="M886" s="1" t="s">
        <v>2696</v>
      </c>
      <c r="N886" s="1">
        <v>500</v>
      </c>
      <c r="O886" s="1" t="s">
        <v>2699</v>
      </c>
      <c r="Q886" s="14"/>
    </row>
    <row r="887" spans="1:17" x14ac:dyDescent="0.35">
      <c r="A887" s="1" t="s">
        <v>15</v>
      </c>
      <c r="B887" s="1">
        <v>900312</v>
      </c>
      <c r="C887" s="1">
        <v>912128</v>
      </c>
      <c r="E887" s="1" t="s">
        <v>16</v>
      </c>
      <c r="F887" s="1" t="s">
        <v>54</v>
      </c>
      <c r="I887" s="1" t="s">
        <v>19</v>
      </c>
      <c r="L887" s="1" t="s">
        <v>2700</v>
      </c>
      <c r="M887" s="1" t="s">
        <v>54</v>
      </c>
      <c r="N887" s="1">
        <v>3938</v>
      </c>
      <c r="O887" s="1" t="s">
        <v>2701</v>
      </c>
    </row>
    <row r="888" spans="1:17" x14ac:dyDescent="0.35">
      <c r="A888" s="1" t="s">
        <v>15</v>
      </c>
      <c r="B888" s="1">
        <v>912312</v>
      </c>
      <c r="C888" s="1">
        <v>912533</v>
      </c>
      <c r="E888" s="1" t="s">
        <v>16</v>
      </c>
      <c r="F888" s="1" t="s">
        <v>50</v>
      </c>
      <c r="I888" s="1" t="s">
        <v>19</v>
      </c>
      <c r="L888" s="1" t="s">
        <v>2702</v>
      </c>
      <c r="M888" s="1" t="s">
        <v>50</v>
      </c>
      <c r="N888" s="1">
        <v>73</v>
      </c>
      <c r="O888" s="1" t="s">
        <v>2703</v>
      </c>
    </row>
    <row r="889" spans="1:17" x14ac:dyDescent="0.35">
      <c r="A889" s="1" t="s">
        <v>15</v>
      </c>
      <c r="B889" s="1">
        <v>912670</v>
      </c>
      <c r="C889" s="1">
        <v>913671</v>
      </c>
      <c r="E889" s="1" t="s">
        <v>16</v>
      </c>
      <c r="F889" s="1" t="s">
        <v>2704</v>
      </c>
      <c r="I889" s="1" t="s">
        <v>19</v>
      </c>
      <c r="L889" s="1" t="s">
        <v>2705</v>
      </c>
      <c r="M889" s="1" t="s">
        <v>2704</v>
      </c>
      <c r="N889" s="1">
        <v>333</v>
      </c>
      <c r="O889" s="1" t="s">
        <v>2706</v>
      </c>
    </row>
    <row r="890" spans="1:17" x14ac:dyDescent="0.35">
      <c r="A890" s="1" t="s">
        <v>15</v>
      </c>
      <c r="B890" s="1">
        <v>913681</v>
      </c>
      <c r="C890" s="1">
        <v>914550</v>
      </c>
      <c r="E890" s="1" t="s">
        <v>16</v>
      </c>
      <c r="F890" s="1" t="s">
        <v>1663</v>
      </c>
      <c r="I890" s="1" t="s">
        <v>19</v>
      </c>
      <c r="L890" s="1" t="s">
        <v>2707</v>
      </c>
      <c r="M890" s="1" t="s">
        <v>1663</v>
      </c>
      <c r="N890" s="1">
        <v>289</v>
      </c>
      <c r="O890" s="1" t="s">
        <v>2708</v>
      </c>
    </row>
    <row r="891" spans="1:17" x14ac:dyDescent="0.35">
      <c r="A891" s="1" t="s">
        <v>15</v>
      </c>
      <c r="B891" s="1">
        <v>914547</v>
      </c>
      <c r="C891" s="1">
        <v>915305</v>
      </c>
      <c r="E891" s="1" t="s">
        <v>16</v>
      </c>
      <c r="F891" s="1" t="s">
        <v>635</v>
      </c>
      <c r="I891" s="1" t="s">
        <v>19</v>
      </c>
      <c r="L891" s="1" t="s">
        <v>2709</v>
      </c>
      <c r="M891" s="1" t="s">
        <v>635</v>
      </c>
      <c r="N891" s="1">
        <v>252</v>
      </c>
      <c r="O891" s="1" t="s">
        <v>2710</v>
      </c>
      <c r="Q891" s="14"/>
    </row>
    <row r="892" spans="1:17" x14ac:dyDescent="0.35">
      <c r="A892" s="1" t="s">
        <v>15</v>
      </c>
      <c r="B892" s="1">
        <v>915485</v>
      </c>
      <c r="C892" s="1">
        <v>917146</v>
      </c>
      <c r="E892" s="1" t="s">
        <v>16</v>
      </c>
      <c r="F892" s="1" t="s">
        <v>2711</v>
      </c>
      <c r="I892" s="1" t="s">
        <v>19</v>
      </c>
      <c r="L892" s="1" t="s">
        <v>2712</v>
      </c>
      <c r="M892" s="1" t="s">
        <v>2711</v>
      </c>
      <c r="N892" s="1">
        <v>553</v>
      </c>
      <c r="O892" s="1" t="s">
        <v>2713</v>
      </c>
    </row>
    <row r="893" spans="1:17" x14ac:dyDescent="0.35">
      <c r="A893" s="1" t="s">
        <v>15</v>
      </c>
      <c r="B893" s="1">
        <v>917281</v>
      </c>
      <c r="C893" s="1">
        <v>918063</v>
      </c>
      <c r="E893" s="1" t="s">
        <v>16</v>
      </c>
      <c r="F893" s="1" t="s">
        <v>2714</v>
      </c>
      <c r="G893" s="1" t="s">
        <v>2715</v>
      </c>
      <c r="I893" s="1" t="s">
        <v>19</v>
      </c>
      <c r="L893" s="1" t="s">
        <v>2716</v>
      </c>
      <c r="M893" s="1" t="s">
        <v>2714</v>
      </c>
      <c r="N893" s="1">
        <v>260</v>
      </c>
      <c r="O893" s="1" t="s">
        <v>2717</v>
      </c>
    </row>
    <row r="894" spans="1:17" x14ac:dyDescent="0.35">
      <c r="A894" s="1" t="s">
        <v>15</v>
      </c>
      <c r="B894" s="1">
        <v>918183</v>
      </c>
      <c r="C894" s="1">
        <v>918902</v>
      </c>
      <c r="E894" s="1" t="s">
        <v>16</v>
      </c>
      <c r="F894" s="1" t="s">
        <v>2718</v>
      </c>
      <c r="I894" s="1" t="s">
        <v>19</v>
      </c>
      <c r="L894" s="1" t="s">
        <v>2719</v>
      </c>
      <c r="M894" s="1" t="s">
        <v>2718</v>
      </c>
      <c r="N894" s="1">
        <v>239</v>
      </c>
      <c r="O894" s="1" t="s">
        <v>2720</v>
      </c>
    </row>
    <row r="895" spans="1:17" x14ac:dyDescent="0.35">
      <c r="A895" s="1" t="s">
        <v>15</v>
      </c>
      <c r="B895" s="1">
        <v>918914</v>
      </c>
      <c r="C895" s="1">
        <v>919285</v>
      </c>
      <c r="E895" s="1" t="s">
        <v>16</v>
      </c>
      <c r="F895" s="1" t="s">
        <v>50</v>
      </c>
      <c r="I895" s="1" t="s">
        <v>19</v>
      </c>
      <c r="L895" s="1" t="s">
        <v>2721</v>
      </c>
      <c r="M895" s="1" t="s">
        <v>50</v>
      </c>
      <c r="N895" s="1">
        <v>123</v>
      </c>
      <c r="O895" s="1" t="s">
        <v>2722</v>
      </c>
    </row>
    <row r="896" spans="1:17" x14ac:dyDescent="0.35">
      <c r="A896" s="1" t="s">
        <v>15</v>
      </c>
      <c r="B896" s="1">
        <v>919371</v>
      </c>
      <c r="C896" s="1">
        <v>919814</v>
      </c>
      <c r="E896" s="1" t="s">
        <v>16</v>
      </c>
      <c r="F896" s="1" t="s">
        <v>2723</v>
      </c>
      <c r="I896" s="1" t="s">
        <v>19</v>
      </c>
      <c r="L896" s="1" t="s">
        <v>2724</v>
      </c>
      <c r="M896" s="1" t="s">
        <v>2723</v>
      </c>
      <c r="N896" s="1">
        <v>147</v>
      </c>
      <c r="O896" s="1" t="s">
        <v>2725</v>
      </c>
    </row>
    <row r="897" spans="1:17" x14ac:dyDescent="0.35">
      <c r="A897" s="1" t="s">
        <v>15</v>
      </c>
      <c r="B897" s="1">
        <v>919866</v>
      </c>
      <c r="C897" s="1">
        <v>921401</v>
      </c>
      <c r="E897" s="1" t="s">
        <v>16</v>
      </c>
      <c r="F897" s="1" t="s">
        <v>2726</v>
      </c>
      <c r="G897" s="1" t="s">
        <v>2727</v>
      </c>
      <c r="I897" s="1" t="s">
        <v>19</v>
      </c>
      <c r="L897" s="1" t="s">
        <v>2728</v>
      </c>
      <c r="M897" s="1" t="s">
        <v>2726</v>
      </c>
      <c r="N897" s="1">
        <v>511</v>
      </c>
      <c r="O897" s="1" t="s">
        <v>2729</v>
      </c>
      <c r="Q897" s="14"/>
    </row>
    <row r="898" spans="1:17" x14ac:dyDescent="0.35">
      <c r="A898" s="1" t="s">
        <v>15</v>
      </c>
      <c r="B898" s="1">
        <v>921475</v>
      </c>
      <c r="C898" s="1">
        <v>921747</v>
      </c>
      <c r="E898" s="1" t="s">
        <v>16</v>
      </c>
      <c r="F898" s="1" t="s">
        <v>2730</v>
      </c>
      <c r="I898" s="1" t="s">
        <v>19</v>
      </c>
      <c r="L898" s="1" t="s">
        <v>2731</v>
      </c>
      <c r="M898" s="1" t="s">
        <v>2730</v>
      </c>
      <c r="N898" s="1">
        <v>90</v>
      </c>
      <c r="O898" s="1" t="s">
        <v>2732</v>
      </c>
      <c r="Q898" s="14"/>
    </row>
    <row r="899" spans="1:17" x14ac:dyDescent="0.35">
      <c r="A899" s="1" t="s">
        <v>15</v>
      </c>
      <c r="B899" s="1">
        <v>921757</v>
      </c>
      <c r="C899" s="1">
        <v>922983</v>
      </c>
      <c r="E899" s="1" t="s">
        <v>16</v>
      </c>
      <c r="F899" s="1" t="s">
        <v>54</v>
      </c>
      <c r="I899" s="1" t="s">
        <v>19</v>
      </c>
      <c r="L899" s="1" t="s">
        <v>2733</v>
      </c>
      <c r="M899" s="1" t="s">
        <v>54</v>
      </c>
      <c r="N899" s="1">
        <v>408</v>
      </c>
      <c r="O899" s="1" t="s">
        <v>2734</v>
      </c>
    </row>
    <row r="900" spans="1:17" x14ac:dyDescent="0.35">
      <c r="A900" s="1" t="s">
        <v>15</v>
      </c>
      <c r="B900" s="1">
        <v>923111</v>
      </c>
      <c r="C900" s="1">
        <v>923458</v>
      </c>
      <c r="E900" s="1" t="s">
        <v>16</v>
      </c>
      <c r="F900" s="1" t="s">
        <v>2735</v>
      </c>
      <c r="G900" s="1" t="s">
        <v>2736</v>
      </c>
      <c r="I900" s="1" t="s">
        <v>19</v>
      </c>
      <c r="L900" s="1" t="s">
        <v>2737</v>
      </c>
      <c r="M900" s="1" t="s">
        <v>2735</v>
      </c>
      <c r="N900" s="1">
        <v>115</v>
      </c>
      <c r="O900" s="1" t="s">
        <v>2738</v>
      </c>
    </row>
    <row r="901" spans="1:17" x14ac:dyDescent="0.35">
      <c r="A901" s="1" t="s">
        <v>15</v>
      </c>
      <c r="B901" s="1">
        <v>923509</v>
      </c>
      <c r="C901" s="1">
        <v>923580</v>
      </c>
      <c r="E901" s="1" t="s">
        <v>16</v>
      </c>
      <c r="F901" s="1" t="s">
        <v>96</v>
      </c>
      <c r="I901" s="1" t="s">
        <v>75</v>
      </c>
      <c r="O901" s="1" t="s">
        <v>2739</v>
      </c>
    </row>
    <row r="902" spans="1:17" x14ac:dyDescent="0.35">
      <c r="A902" s="1" t="s">
        <v>15</v>
      </c>
      <c r="B902" s="1">
        <v>923591</v>
      </c>
      <c r="C902" s="1">
        <v>924670</v>
      </c>
      <c r="E902" s="1" t="s">
        <v>178</v>
      </c>
      <c r="F902" s="1" t="s">
        <v>1639</v>
      </c>
      <c r="I902" s="1" t="s">
        <v>19</v>
      </c>
      <c r="L902" s="1" t="s">
        <v>2740</v>
      </c>
      <c r="M902" s="1" t="s">
        <v>1639</v>
      </c>
      <c r="N902" s="1">
        <v>359</v>
      </c>
      <c r="O902" s="1" t="s">
        <v>2741</v>
      </c>
    </row>
    <row r="903" spans="1:17" x14ac:dyDescent="0.35">
      <c r="A903" s="1" t="s">
        <v>15</v>
      </c>
      <c r="B903" s="1">
        <v>924751</v>
      </c>
      <c r="C903" s="1">
        <v>925209</v>
      </c>
      <c r="E903" s="1" t="s">
        <v>178</v>
      </c>
      <c r="F903" s="1" t="s">
        <v>2742</v>
      </c>
      <c r="I903" s="1" t="s">
        <v>19</v>
      </c>
      <c r="L903" s="1" t="s">
        <v>2743</v>
      </c>
      <c r="M903" s="1" t="s">
        <v>2742</v>
      </c>
      <c r="N903" s="1">
        <v>152</v>
      </c>
      <c r="O903" s="1" t="s">
        <v>2744</v>
      </c>
    </row>
    <row r="904" spans="1:17" x14ac:dyDescent="0.35">
      <c r="A904" s="1" t="s">
        <v>15</v>
      </c>
      <c r="B904" s="1">
        <v>925228</v>
      </c>
      <c r="C904" s="1">
        <v>925614</v>
      </c>
      <c r="E904" s="1" t="s">
        <v>178</v>
      </c>
      <c r="F904" s="1" t="s">
        <v>2745</v>
      </c>
      <c r="I904" s="1" t="s">
        <v>19</v>
      </c>
      <c r="L904" s="1" t="s">
        <v>2746</v>
      </c>
      <c r="M904" s="1" t="s">
        <v>2745</v>
      </c>
      <c r="N904" s="1">
        <v>128</v>
      </c>
      <c r="O904" s="1" t="s">
        <v>2747</v>
      </c>
    </row>
    <row r="905" spans="1:17" x14ac:dyDescent="0.35">
      <c r="A905" s="1" t="s">
        <v>15</v>
      </c>
      <c r="B905" s="1">
        <v>925604</v>
      </c>
      <c r="C905" s="1">
        <v>925990</v>
      </c>
      <c r="E905" s="1" t="s">
        <v>178</v>
      </c>
      <c r="F905" s="1" t="s">
        <v>2748</v>
      </c>
      <c r="I905" s="1" t="s">
        <v>19</v>
      </c>
      <c r="L905" s="1" t="s">
        <v>2749</v>
      </c>
      <c r="M905" s="1" t="s">
        <v>2748</v>
      </c>
      <c r="N905" s="1">
        <v>128</v>
      </c>
      <c r="O905" s="1" t="s">
        <v>2750</v>
      </c>
    </row>
    <row r="906" spans="1:17" x14ac:dyDescent="0.35">
      <c r="A906" s="1" t="s">
        <v>15</v>
      </c>
      <c r="B906" s="1">
        <v>926159</v>
      </c>
      <c r="C906" s="1">
        <v>926395</v>
      </c>
      <c r="E906" s="1" t="s">
        <v>16</v>
      </c>
      <c r="F906" s="1" t="s">
        <v>2751</v>
      </c>
      <c r="G906" s="1" t="s">
        <v>2752</v>
      </c>
      <c r="I906" s="1" t="s">
        <v>19</v>
      </c>
      <c r="L906" s="1" t="s">
        <v>2753</v>
      </c>
      <c r="M906" s="1" t="s">
        <v>2751</v>
      </c>
      <c r="N906" s="1">
        <v>78</v>
      </c>
      <c r="O906" s="1" t="s">
        <v>2754</v>
      </c>
    </row>
    <row r="907" spans="1:17" x14ac:dyDescent="0.35">
      <c r="A907" s="1" t="s">
        <v>15</v>
      </c>
      <c r="B907" s="1">
        <v>926557</v>
      </c>
      <c r="C907" s="1">
        <v>926760</v>
      </c>
      <c r="E907" s="1" t="s">
        <v>178</v>
      </c>
      <c r="F907" s="1" t="s">
        <v>54</v>
      </c>
      <c r="I907" s="1" t="s">
        <v>19</v>
      </c>
      <c r="L907" s="1" t="s">
        <v>2755</v>
      </c>
      <c r="M907" s="1" t="s">
        <v>54</v>
      </c>
      <c r="N907" s="1">
        <v>67</v>
      </c>
      <c r="O907" s="1" t="s">
        <v>2756</v>
      </c>
    </row>
    <row r="908" spans="1:17" x14ac:dyDescent="0.35">
      <c r="A908" s="1" t="s">
        <v>15</v>
      </c>
      <c r="B908" s="1">
        <v>926928</v>
      </c>
      <c r="C908" s="1">
        <v>927116</v>
      </c>
      <c r="E908" s="1" t="s">
        <v>16</v>
      </c>
      <c r="F908" s="1" t="s">
        <v>2757</v>
      </c>
      <c r="I908" s="1" t="s">
        <v>19</v>
      </c>
      <c r="L908" s="1" t="s">
        <v>2758</v>
      </c>
      <c r="M908" s="1" t="s">
        <v>2757</v>
      </c>
      <c r="N908" s="1">
        <v>62</v>
      </c>
      <c r="O908" s="1" t="s">
        <v>2759</v>
      </c>
    </row>
    <row r="909" spans="1:17" x14ac:dyDescent="0.35">
      <c r="A909" s="1" t="s">
        <v>15</v>
      </c>
      <c r="B909" s="1">
        <v>927113</v>
      </c>
      <c r="C909" s="1">
        <v>927838</v>
      </c>
      <c r="E909" s="1" t="s">
        <v>16</v>
      </c>
      <c r="F909" s="1" t="s">
        <v>2760</v>
      </c>
      <c r="I909" s="1" t="s">
        <v>19</v>
      </c>
      <c r="L909" s="1" t="s">
        <v>2761</v>
      </c>
      <c r="M909" s="1" t="s">
        <v>2760</v>
      </c>
      <c r="N909" s="1">
        <v>241</v>
      </c>
      <c r="O909" s="1" t="s">
        <v>2762</v>
      </c>
    </row>
    <row r="910" spans="1:17" x14ac:dyDescent="0.35">
      <c r="A910" s="1" t="s">
        <v>15</v>
      </c>
      <c r="B910" s="1">
        <v>928130</v>
      </c>
      <c r="C910" s="1">
        <v>928438</v>
      </c>
      <c r="E910" s="1" t="s">
        <v>16</v>
      </c>
      <c r="F910" s="1" t="s">
        <v>54</v>
      </c>
      <c r="I910" s="1" t="s">
        <v>19</v>
      </c>
      <c r="L910" s="1" t="s">
        <v>2763</v>
      </c>
      <c r="M910" s="1" t="s">
        <v>54</v>
      </c>
      <c r="N910" s="1">
        <v>102</v>
      </c>
      <c r="O910" s="1" t="s">
        <v>2764</v>
      </c>
    </row>
    <row r="911" spans="1:17" x14ac:dyDescent="0.35">
      <c r="A911" s="1" t="s">
        <v>15</v>
      </c>
      <c r="B911" s="1">
        <v>928593</v>
      </c>
      <c r="C911" s="1">
        <v>928748</v>
      </c>
      <c r="E911" s="1" t="s">
        <v>16</v>
      </c>
      <c r="F911" s="1" t="s">
        <v>54</v>
      </c>
      <c r="I911" s="1" t="s">
        <v>19</v>
      </c>
      <c r="L911" s="1" t="s">
        <v>2765</v>
      </c>
      <c r="M911" s="1" t="s">
        <v>54</v>
      </c>
      <c r="N911" s="1">
        <v>51</v>
      </c>
      <c r="O911" s="1" t="s">
        <v>2766</v>
      </c>
    </row>
    <row r="912" spans="1:17" x14ac:dyDescent="0.35">
      <c r="A912" s="1" t="s">
        <v>15</v>
      </c>
      <c r="B912" s="1">
        <v>928964</v>
      </c>
      <c r="C912" s="1">
        <v>930712</v>
      </c>
      <c r="E912" s="1" t="s">
        <v>16</v>
      </c>
      <c r="F912" s="1" t="s">
        <v>54</v>
      </c>
      <c r="I912" s="1" t="s">
        <v>19</v>
      </c>
      <c r="L912" s="1" t="s">
        <v>2767</v>
      </c>
      <c r="M912" s="1" t="s">
        <v>54</v>
      </c>
      <c r="N912" s="1">
        <v>582</v>
      </c>
      <c r="O912" s="1" t="s">
        <v>2768</v>
      </c>
    </row>
    <row r="913" spans="1:15" x14ac:dyDescent="0.35">
      <c r="A913" s="1" t="s">
        <v>15</v>
      </c>
      <c r="B913" s="1">
        <v>930715</v>
      </c>
      <c r="C913" s="1">
        <v>931035</v>
      </c>
      <c r="E913" s="1" t="s">
        <v>16</v>
      </c>
      <c r="F913" s="1" t="s">
        <v>54</v>
      </c>
      <c r="I913" s="1" t="s">
        <v>19</v>
      </c>
      <c r="L913" s="1" t="s">
        <v>2769</v>
      </c>
      <c r="M913" s="1" t="s">
        <v>54</v>
      </c>
      <c r="N913" s="1">
        <v>106</v>
      </c>
      <c r="O913" s="1" t="s">
        <v>2770</v>
      </c>
    </row>
    <row r="914" spans="1:15" x14ac:dyDescent="0.35">
      <c r="A914" s="1" t="s">
        <v>15</v>
      </c>
      <c r="B914" s="1">
        <v>931153</v>
      </c>
      <c r="C914" s="1">
        <v>931971</v>
      </c>
      <c r="E914" s="1" t="s">
        <v>16</v>
      </c>
      <c r="F914" s="1" t="s">
        <v>2771</v>
      </c>
      <c r="I914" s="1" t="s">
        <v>19</v>
      </c>
      <c r="L914" s="1" t="s">
        <v>2772</v>
      </c>
      <c r="M914" s="1" t="s">
        <v>2771</v>
      </c>
      <c r="N914" s="1">
        <v>272</v>
      </c>
      <c r="O914" s="1" t="s">
        <v>2773</v>
      </c>
    </row>
    <row r="915" spans="1:15" x14ac:dyDescent="0.35">
      <c r="A915" s="1" t="s">
        <v>15</v>
      </c>
      <c r="B915" s="1">
        <v>932061</v>
      </c>
      <c r="C915" s="1">
        <v>932834</v>
      </c>
      <c r="E915" s="1" t="s">
        <v>16</v>
      </c>
      <c r="F915" s="1" t="s">
        <v>2774</v>
      </c>
      <c r="I915" s="1" t="s">
        <v>19</v>
      </c>
      <c r="L915" s="1" t="s">
        <v>2775</v>
      </c>
      <c r="M915" s="1" t="s">
        <v>2774</v>
      </c>
      <c r="N915" s="1">
        <v>257</v>
      </c>
      <c r="O915" s="1" t="s">
        <v>2776</v>
      </c>
    </row>
    <row r="916" spans="1:15" x14ac:dyDescent="0.35">
      <c r="A916" s="1" t="s">
        <v>15</v>
      </c>
      <c r="B916" s="1">
        <v>932839</v>
      </c>
      <c r="C916" s="1">
        <v>933021</v>
      </c>
      <c r="E916" s="1" t="s">
        <v>16</v>
      </c>
      <c r="F916" s="1" t="s">
        <v>2777</v>
      </c>
      <c r="G916" s="1" t="s">
        <v>2778</v>
      </c>
      <c r="I916" s="1" t="s">
        <v>19</v>
      </c>
      <c r="L916" s="1" t="s">
        <v>2779</v>
      </c>
      <c r="M916" s="1" t="s">
        <v>2777</v>
      </c>
      <c r="N916" s="1">
        <v>60</v>
      </c>
      <c r="O916" s="1" t="s">
        <v>2780</v>
      </c>
    </row>
    <row r="917" spans="1:15" x14ac:dyDescent="0.35">
      <c r="A917" s="1" t="s">
        <v>15</v>
      </c>
      <c r="B917" s="1">
        <v>933157</v>
      </c>
      <c r="C917" s="1">
        <v>933912</v>
      </c>
      <c r="E917" s="1" t="s">
        <v>16</v>
      </c>
      <c r="F917" s="1" t="s">
        <v>54</v>
      </c>
      <c r="I917" s="1" t="s">
        <v>19</v>
      </c>
      <c r="L917" s="1" t="s">
        <v>2781</v>
      </c>
      <c r="M917" s="1" t="s">
        <v>54</v>
      </c>
      <c r="N917" s="1">
        <v>251</v>
      </c>
      <c r="O917" s="1" t="s">
        <v>2782</v>
      </c>
    </row>
    <row r="918" spans="1:15" x14ac:dyDescent="0.35">
      <c r="A918" s="1" t="s">
        <v>15</v>
      </c>
      <c r="B918" s="1">
        <v>933926</v>
      </c>
      <c r="C918" s="1">
        <v>934936</v>
      </c>
      <c r="E918" s="1" t="s">
        <v>16</v>
      </c>
      <c r="F918" s="1" t="s">
        <v>2783</v>
      </c>
      <c r="I918" s="1" t="s">
        <v>19</v>
      </c>
      <c r="L918" s="1" t="s">
        <v>2784</v>
      </c>
      <c r="M918" s="1" t="s">
        <v>2783</v>
      </c>
      <c r="N918" s="1">
        <v>336</v>
      </c>
      <c r="O918" s="1" t="s">
        <v>2785</v>
      </c>
    </row>
    <row r="919" spans="1:15" x14ac:dyDescent="0.35">
      <c r="A919" s="1" t="s">
        <v>15</v>
      </c>
      <c r="B919" s="1">
        <v>935004</v>
      </c>
      <c r="C919" s="1">
        <v>935507</v>
      </c>
      <c r="E919" s="1" t="s">
        <v>16</v>
      </c>
      <c r="F919" s="1" t="s">
        <v>2786</v>
      </c>
      <c r="G919" s="1" t="s">
        <v>2787</v>
      </c>
      <c r="I919" s="1" t="s">
        <v>19</v>
      </c>
      <c r="L919" s="1" t="s">
        <v>2788</v>
      </c>
      <c r="M919" s="1" t="s">
        <v>2786</v>
      </c>
      <c r="N919" s="1">
        <v>167</v>
      </c>
      <c r="O919" s="1" t="s">
        <v>2789</v>
      </c>
    </row>
    <row r="920" spans="1:15" x14ac:dyDescent="0.35">
      <c r="A920" s="1" t="s">
        <v>15</v>
      </c>
      <c r="B920" s="1">
        <v>935516</v>
      </c>
      <c r="C920" s="1">
        <v>935977</v>
      </c>
      <c r="E920" s="1" t="s">
        <v>16</v>
      </c>
      <c r="F920" s="1" t="s">
        <v>2790</v>
      </c>
      <c r="G920" s="1" t="s">
        <v>2791</v>
      </c>
      <c r="I920" s="1" t="s">
        <v>19</v>
      </c>
      <c r="L920" s="1" t="s">
        <v>2792</v>
      </c>
      <c r="M920" s="1" t="s">
        <v>2790</v>
      </c>
      <c r="N920" s="1">
        <v>153</v>
      </c>
      <c r="O920" s="1" t="s">
        <v>2793</v>
      </c>
    </row>
    <row r="921" spans="1:15" x14ac:dyDescent="0.35">
      <c r="A921" s="1" t="s">
        <v>15</v>
      </c>
      <c r="B921" s="1">
        <v>935974</v>
      </c>
      <c r="C921" s="1">
        <v>936213</v>
      </c>
      <c r="E921" s="1" t="s">
        <v>16</v>
      </c>
      <c r="F921" s="1" t="s">
        <v>2794</v>
      </c>
      <c r="I921" s="1" t="s">
        <v>19</v>
      </c>
      <c r="L921" s="1" t="s">
        <v>2795</v>
      </c>
      <c r="M921" s="1" t="s">
        <v>2794</v>
      </c>
      <c r="N921" s="1">
        <v>79</v>
      </c>
      <c r="O921" s="1" t="s">
        <v>2796</v>
      </c>
    </row>
    <row r="922" spans="1:15" x14ac:dyDescent="0.35">
      <c r="A922" s="1" t="s">
        <v>15</v>
      </c>
      <c r="B922" s="1">
        <v>936761</v>
      </c>
      <c r="C922" s="1">
        <v>937048</v>
      </c>
      <c r="E922" s="1" t="s">
        <v>16</v>
      </c>
      <c r="F922" s="1" t="s">
        <v>2797</v>
      </c>
      <c r="I922" s="1" t="s">
        <v>19</v>
      </c>
      <c r="L922" s="1" t="s">
        <v>2798</v>
      </c>
      <c r="M922" s="1" t="s">
        <v>2797</v>
      </c>
      <c r="N922" s="1">
        <v>95</v>
      </c>
      <c r="O922" s="1" t="s">
        <v>2799</v>
      </c>
    </row>
    <row r="923" spans="1:15" x14ac:dyDescent="0.35">
      <c r="A923" s="1" t="s">
        <v>15</v>
      </c>
      <c r="B923" s="1">
        <v>937045</v>
      </c>
      <c r="C923" s="1">
        <v>937422</v>
      </c>
      <c r="E923" s="1" t="s">
        <v>16</v>
      </c>
      <c r="F923" s="1" t="s">
        <v>2800</v>
      </c>
      <c r="I923" s="1" t="s">
        <v>19</v>
      </c>
      <c r="L923" s="1" t="s">
        <v>2801</v>
      </c>
      <c r="M923" s="1" t="s">
        <v>2800</v>
      </c>
      <c r="N923" s="1">
        <v>125</v>
      </c>
      <c r="O923" s="1" t="s">
        <v>2802</v>
      </c>
    </row>
    <row r="924" spans="1:15" x14ac:dyDescent="0.35">
      <c r="A924" s="1" t="s">
        <v>15</v>
      </c>
      <c r="B924" s="1">
        <v>937419</v>
      </c>
      <c r="C924" s="1">
        <v>938123</v>
      </c>
      <c r="E924" s="1" t="s">
        <v>16</v>
      </c>
      <c r="F924" s="1" t="s">
        <v>2803</v>
      </c>
      <c r="G924" s="1" t="s">
        <v>2804</v>
      </c>
      <c r="I924" s="1" t="s">
        <v>19</v>
      </c>
      <c r="L924" s="1" t="s">
        <v>2805</v>
      </c>
      <c r="M924" s="1" t="s">
        <v>2803</v>
      </c>
      <c r="N924" s="1">
        <v>234</v>
      </c>
      <c r="O924" s="1" t="s">
        <v>2806</v>
      </c>
    </row>
    <row r="925" spans="1:15" x14ac:dyDescent="0.35">
      <c r="A925" s="1" t="s">
        <v>15</v>
      </c>
      <c r="B925" s="1">
        <v>938453</v>
      </c>
      <c r="C925" s="1">
        <v>938851</v>
      </c>
      <c r="E925" s="1" t="s">
        <v>16</v>
      </c>
      <c r="F925" s="1" t="s">
        <v>2807</v>
      </c>
      <c r="I925" s="1" t="s">
        <v>19</v>
      </c>
      <c r="L925" s="1" t="s">
        <v>2808</v>
      </c>
      <c r="M925" s="1" t="s">
        <v>2807</v>
      </c>
      <c r="N925" s="1">
        <v>132</v>
      </c>
      <c r="O925" s="1" t="s">
        <v>2809</v>
      </c>
    </row>
    <row r="926" spans="1:15" x14ac:dyDescent="0.35">
      <c r="A926" s="1" t="s">
        <v>15</v>
      </c>
      <c r="B926" s="1">
        <v>938971</v>
      </c>
      <c r="C926" s="1">
        <v>939489</v>
      </c>
      <c r="E926" s="1" t="s">
        <v>16</v>
      </c>
      <c r="F926" s="1" t="s">
        <v>54</v>
      </c>
      <c r="I926" s="1" t="s">
        <v>19</v>
      </c>
      <c r="L926" s="1" t="s">
        <v>2810</v>
      </c>
      <c r="M926" s="1" t="s">
        <v>54</v>
      </c>
      <c r="N926" s="1">
        <v>172</v>
      </c>
      <c r="O926" s="1" t="s">
        <v>2811</v>
      </c>
    </row>
    <row r="927" spans="1:15" x14ac:dyDescent="0.35">
      <c r="A927" s="1" t="s">
        <v>15</v>
      </c>
      <c r="B927" s="1">
        <v>939670</v>
      </c>
      <c r="C927" s="1">
        <v>940128</v>
      </c>
      <c r="E927" s="1" t="s">
        <v>16</v>
      </c>
      <c r="F927" s="1" t="s">
        <v>2812</v>
      </c>
      <c r="G927" s="1" t="s">
        <v>2813</v>
      </c>
      <c r="I927" s="1" t="s">
        <v>19</v>
      </c>
      <c r="L927" s="1" t="s">
        <v>2814</v>
      </c>
      <c r="M927" s="1" t="s">
        <v>2812</v>
      </c>
      <c r="N927" s="1">
        <v>152</v>
      </c>
      <c r="O927" s="1" t="s">
        <v>2815</v>
      </c>
    </row>
    <row r="928" spans="1:15" x14ac:dyDescent="0.35">
      <c r="A928" s="1" t="s">
        <v>15</v>
      </c>
      <c r="B928" s="1">
        <v>940141</v>
      </c>
      <c r="C928" s="1">
        <v>942018</v>
      </c>
      <c r="E928" s="1" t="s">
        <v>16</v>
      </c>
      <c r="F928" s="1" t="s">
        <v>2816</v>
      </c>
      <c r="G928" s="1">
        <v>2</v>
      </c>
      <c r="I928" s="1" t="s">
        <v>19</v>
      </c>
      <c r="L928" s="1" t="s">
        <v>2817</v>
      </c>
      <c r="M928" s="1" t="s">
        <v>2816</v>
      </c>
      <c r="N928" s="1">
        <v>625</v>
      </c>
      <c r="O928" s="1" t="s">
        <v>2818</v>
      </c>
    </row>
    <row r="929" spans="1:17" x14ac:dyDescent="0.35">
      <c r="A929" s="1" t="s">
        <v>15</v>
      </c>
      <c r="B929" s="1">
        <v>942022</v>
      </c>
      <c r="C929" s="1">
        <v>942201</v>
      </c>
      <c r="E929" s="1" t="s">
        <v>16</v>
      </c>
      <c r="F929" s="1" t="s">
        <v>2819</v>
      </c>
      <c r="G929" s="1" t="s">
        <v>2820</v>
      </c>
      <c r="I929" s="1" t="s">
        <v>19</v>
      </c>
      <c r="L929" s="1" t="s">
        <v>2821</v>
      </c>
      <c r="M929" s="1" t="s">
        <v>2819</v>
      </c>
      <c r="N929" s="1">
        <v>59</v>
      </c>
      <c r="O929" s="1" t="s">
        <v>2822</v>
      </c>
    </row>
    <row r="930" spans="1:17" x14ac:dyDescent="0.35">
      <c r="A930" s="1" t="s">
        <v>15</v>
      </c>
      <c r="B930" s="1">
        <v>942219</v>
      </c>
      <c r="C930" s="1">
        <v>943370</v>
      </c>
      <c r="E930" s="1" t="s">
        <v>16</v>
      </c>
      <c r="F930" s="1" t="s">
        <v>2823</v>
      </c>
      <c r="G930" s="1" t="s">
        <v>2824</v>
      </c>
      <c r="I930" s="1" t="s">
        <v>19</v>
      </c>
      <c r="L930" s="1" t="s">
        <v>2825</v>
      </c>
      <c r="M930" s="1" t="s">
        <v>2823</v>
      </c>
      <c r="N930" s="1">
        <v>383</v>
      </c>
      <c r="O930" s="1" t="s">
        <v>2826</v>
      </c>
    </row>
    <row r="931" spans="1:17" x14ac:dyDescent="0.35">
      <c r="A931" s="1" t="s">
        <v>15</v>
      </c>
      <c r="B931" s="1">
        <v>943357</v>
      </c>
      <c r="C931" s="1">
        <v>944025</v>
      </c>
      <c r="E931" s="1" t="s">
        <v>16</v>
      </c>
      <c r="F931" s="1" t="s">
        <v>2827</v>
      </c>
      <c r="I931" s="1" t="s">
        <v>19</v>
      </c>
      <c r="L931" s="1" t="s">
        <v>2828</v>
      </c>
      <c r="M931" s="1" t="s">
        <v>2827</v>
      </c>
      <c r="N931" s="1">
        <v>222</v>
      </c>
      <c r="O931" s="1" t="s">
        <v>2829</v>
      </c>
      <c r="Q931" s="14"/>
    </row>
    <row r="932" spans="1:17" x14ac:dyDescent="0.35">
      <c r="A932" s="1" t="s">
        <v>15</v>
      </c>
      <c r="B932" s="1">
        <v>944040</v>
      </c>
      <c r="C932" s="1">
        <v>945230</v>
      </c>
      <c r="E932" s="1" t="s">
        <v>16</v>
      </c>
      <c r="F932" s="1" t="s">
        <v>2830</v>
      </c>
      <c r="G932" s="1" t="s">
        <v>2831</v>
      </c>
      <c r="I932" s="1" t="s">
        <v>19</v>
      </c>
      <c r="L932" s="1" t="s">
        <v>2832</v>
      </c>
      <c r="M932" s="1" t="s">
        <v>2830</v>
      </c>
      <c r="N932" s="1">
        <v>396</v>
      </c>
      <c r="O932" s="1" t="s">
        <v>2833</v>
      </c>
    </row>
    <row r="933" spans="1:17" x14ac:dyDescent="0.35">
      <c r="A933" s="1" t="s">
        <v>15</v>
      </c>
      <c r="B933" s="1">
        <v>945246</v>
      </c>
      <c r="C933" s="1">
        <v>945560</v>
      </c>
      <c r="E933" s="1" t="s">
        <v>16</v>
      </c>
      <c r="F933" s="1" t="s">
        <v>2834</v>
      </c>
      <c r="G933" s="1" t="s">
        <v>2835</v>
      </c>
      <c r="I933" s="1" t="s">
        <v>19</v>
      </c>
      <c r="L933" s="1" t="s">
        <v>2836</v>
      </c>
      <c r="M933" s="1" t="s">
        <v>2834</v>
      </c>
      <c r="N933" s="1">
        <v>104</v>
      </c>
      <c r="O933" s="1" t="s">
        <v>2837</v>
      </c>
    </row>
    <row r="934" spans="1:17" x14ac:dyDescent="0.35">
      <c r="A934" s="1" t="s">
        <v>15</v>
      </c>
      <c r="B934" s="1">
        <v>945560</v>
      </c>
      <c r="C934" s="1">
        <v>945910</v>
      </c>
      <c r="E934" s="1" t="s">
        <v>16</v>
      </c>
      <c r="F934" s="1" t="s">
        <v>2838</v>
      </c>
      <c r="G934" s="1" t="s">
        <v>2839</v>
      </c>
      <c r="I934" s="1" t="s">
        <v>19</v>
      </c>
      <c r="L934" s="1" t="s">
        <v>2840</v>
      </c>
      <c r="M934" s="1" t="s">
        <v>2838</v>
      </c>
      <c r="N934" s="1">
        <v>116</v>
      </c>
      <c r="O934" s="1" t="s">
        <v>2841</v>
      </c>
    </row>
    <row r="935" spans="1:17" x14ac:dyDescent="0.35">
      <c r="A935" s="1" t="s">
        <v>15</v>
      </c>
      <c r="B935" s="1">
        <v>945917</v>
      </c>
      <c r="C935" s="1">
        <v>946339</v>
      </c>
      <c r="E935" s="1" t="s">
        <v>16</v>
      </c>
      <c r="F935" s="1" t="s">
        <v>2842</v>
      </c>
      <c r="I935" s="1" t="s">
        <v>19</v>
      </c>
      <c r="L935" s="1" t="s">
        <v>2843</v>
      </c>
      <c r="M935" s="1" t="s">
        <v>2842</v>
      </c>
      <c r="N935" s="1">
        <v>140</v>
      </c>
      <c r="O935" s="1" t="s">
        <v>2844</v>
      </c>
    </row>
    <row r="936" spans="1:17" x14ac:dyDescent="0.35">
      <c r="A936" s="1" t="s">
        <v>15</v>
      </c>
      <c r="B936" s="1">
        <v>946344</v>
      </c>
      <c r="C936" s="1">
        <v>946715</v>
      </c>
      <c r="E936" s="1" t="s">
        <v>16</v>
      </c>
      <c r="F936" s="1" t="s">
        <v>2845</v>
      </c>
      <c r="I936" s="1" t="s">
        <v>19</v>
      </c>
      <c r="L936" s="1" t="s">
        <v>2846</v>
      </c>
      <c r="M936" s="1" t="s">
        <v>2845</v>
      </c>
      <c r="N936" s="1">
        <v>123</v>
      </c>
      <c r="O936" s="1" t="s">
        <v>2847</v>
      </c>
    </row>
    <row r="937" spans="1:17" x14ac:dyDescent="0.35">
      <c r="A937" s="1" t="s">
        <v>15</v>
      </c>
      <c r="B937" s="1">
        <v>946734</v>
      </c>
      <c r="C937" s="1">
        <v>947348</v>
      </c>
      <c r="E937" s="1" t="s">
        <v>16</v>
      </c>
      <c r="F937" s="1" t="s">
        <v>2848</v>
      </c>
      <c r="G937" s="1" t="s">
        <v>2849</v>
      </c>
      <c r="I937" s="1" t="s">
        <v>19</v>
      </c>
      <c r="L937" s="1" t="s">
        <v>2850</v>
      </c>
      <c r="M937" s="1" t="s">
        <v>2848</v>
      </c>
      <c r="N937" s="1">
        <v>204</v>
      </c>
      <c r="O937" s="1" t="s">
        <v>2851</v>
      </c>
    </row>
    <row r="938" spans="1:17" x14ac:dyDescent="0.35">
      <c r="A938" s="1" t="s">
        <v>15</v>
      </c>
      <c r="B938" s="1">
        <v>947412</v>
      </c>
      <c r="C938" s="1">
        <v>947765</v>
      </c>
      <c r="E938" s="1" t="s">
        <v>16</v>
      </c>
      <c r="F938" s="1" t="s">
        <v>2852</v>
      </c>
      <c r="G938" s="1" t="s">
        <v>2853</v>
      </c>
      <c r="I938" s="1" t="s">
        <v>19</v>
      </c>
      <c r="L938" s="1" t="s">
        <v>2854</v>
      </c>
      <c r="M938" s="1" t="s">
        <v>2852</v>
      </c>
      <c r="N938" s="1">
        <v>117</v>
      </c>
      <c r="O938" s="1" t="s">
        <v>2855</v>
      </c>
    </row>
    <row r="939" spans="1:17" x14ac:dyDescent="0.35">
      <c r="A939" s="1" t="s">
        <v>15</v>
      </c>
      <c r="B939" s="1">
        <v>947813</v>
      </c>
      <c r="C939" s="1">
        <v>947956</v>
      </c>
      <c r="E939" s="1" t="s">
        <v>16</v>
      </c>
      <c r="F939" s="1" t="s">
        <v>54</v>
      </c>
      <c r="I939" s="1" t="s">
        <v>19</v>
      </c>
      <c r="L939" s="1" t="s">
        <v>2856</v>
      </c>
      <c r="M939" s="1" t="s">
        <v>54</v>
      </c>
      <c r="N939" s="1">
        <v>47</v>
      </c>
      <c r="O939" s="1" t="s">
        <v>2857</v>
      </c>
    </row>
    <row r="940" spans="1:17" x14ac:dyDescent="0.35">
      <c r="A940" s="1" t="s">
        <v>15</v>
      </c>
      <c r="B940" s="1">
        <v>947986</v>
      </c>
      <c r="C940" s="1">
        <v>952950</v>
      </c>
      <c r="E940" s="1" t="s">
        <v>16</v>
      </c>
      <c r="F940" s="1" t="s">
        <v>2858</v>
      </c>
      <c r="G940" s="1" t="s">
        <v>2859</v>
      </c>
      <c r="I940" s="1" t="s">
        <v>19</v>
      </c>
      <c r="L940" s="1" t="s">
        <v>2860</v>
      </c>
      <c r="M940" s="1" t="s">
        <v>2858</v>
      </c>
      <c r="N940" s="1">
        <v>1654</v>
      </c>
      <c r="O940" s="1" t="s">
        <v>2861</v>
      </c>
    </row>
    <row r="941" spans="1:17" x14ac:dyDescent="0.35">
      <c r="A941" s="1" t="s">
        <v>15</v>
      </c>
      <c r="B941" s="1">
        <v>952956</v>
      </c>
      <c r="C941" s="1">
        <v>954512</v>
      </c>
      <c r="E941" s="1" t="s">
        <v>16</v>
      </c>
      <c r="F941" s="1" t="s">
        <v>54</v>
      </c>
      <c r="I941" s="1" t="s">
        <v>19</v>
      </c>
      <c r="L941" s="1" t="s">
        <v>2862</v>
      </c>
      <c r="M941" s="1" t="s">
        <v>54</v>
      </c>
      <c r="N941" s="1">
        <v>518</v>
      </c>
      <c r="O941" s="1" t="s">
        <v>2863</v>
      </c>
    </row>
    <row r="942" spans="1:17" x14ac:dyDescent="0.35">
      <c r="A942" s="1" t="s">
        <v>15</v>
      </c>
      <c r="B942" s="1">
        <v>954512</v>
      </c>
      <c r="C942" s="1">
        <v>958864</v>
      </c>
      <c r="E942" s="1" t="s">
        <v>16</v>
      </c>
      <c r="F942" s="1" t="s">
        <v>54</v>
      </c>
      <c r="I942" s="1" t="s">
        <v>19</v>
      </c>
      <c r="L942" s="1" t="s">
        <v>2864</v>
      </c>
      <c r="M942" s="1" t="s">
        <v>54</v>
      </c>
      <c r="N942" s="1">
        <v>1450</v>
      </c>
      <c r="O942" s="1" t="s">
        <v>2865</v>
      </c>
    </row>
    <row r="943" spans="1:17" x14ac:dyDescent="0.35">
      <c r="A943" s="1" t="s">
        <v>15</v>
      </c>
      <c r="B943" s="1">
        <v>958866</v>
      </c>
      <c r="C943" s="1">
        <v>960908</v>
      </c>
      <c r="E943" s="1" t="s">
        <v>16</v>
      </c>
      <c r="F943" s="1" t="s">
        <v>54</v>
      </c>
      <c r="I943" s="1" t="s">
        <v>19</v>
      </c>
      <c r="L943" s="1" t="s">
        <v>2866</v>
      </c>
      <c r="M943" s="1" t="s">
        <v>54</v>
      </c>
      <c r="N943" s="1">
        <v>680</v>
      </c>
      <c r="O943" s="1" t="s">
        <v>2867</v>
      </c>
    </row>
    <row r="944" spans="1:17" x14ac:dyDescent="0.35">
      <c r="A944" s="1" t="s">
        <v>15</v>
      </c>
      <c r="B944" s="1">
        <v>960925</v>
      </c>
      <c r="C944" s="1">
        <v>961176</v>
      </c>
      <c r="E944" s="1" t="s">
        <v>16</v>
      </c>
      <c r="F944" s="1" t="s">
        <v>54</v>
      </c>
      <c r="I944" s="1" t="s">
        <v>19</v>
      </c>
      <c r="L944" s="1" t="s">
        <v>2868</v>
      </c>
      <c r="M944" s="1" t="s">
        <v>54</v>
      </c>
      <c r="N944" s="1">
        <v>83</v>
      </c>
      <c r="O944" s="1" t="s">
        <v>2869</v>
      </c>
    </row>
    <row r="945" spans="1:17" x14ac:dyDescent="0.35">
      <c r="A945" s="1" t="s">
        <v>15</v>
      </c>
      <c r="B945" s="1">
        <v>961209</v>
      </c>
      <c r="C945" s="1">
        <v>961625</v>
      </c>
      <c r="E945" s="1" t="s">
        <v>16</v>
      </c>
      <c r="F945" s="1" t="s">
        <v>2870</v>
      </c>
      <c r="I945" s="1" t="s">
        <v>19</v>
      </c>
      <c r="L945" s="1" t="s">
        <v>2871</v>
      </c>
      <c r="M945" s="1" t="s">
        <v>2870</v>
      </c>
      <c r="N945" s="1">
        <v>138</v>
      </c>
      <c r="O945" s="1" t="s">
        <v>2872</v>
      </c>
    </row>
    <row r="946" spans="1:17" x14ac:dyDescent="0.35">
      <c r="A946" s="1" t="s">
        <v>15</v>
      </c>
      <c r="B946" s="1">
        <v>961628</v>
      </c>
      <c r="C946" s="1">
        <v>961903</v>
      </c>
      <c r="E946" s="1" t="s">
        <v>16</v>
      </c>
      <c r="F946" s="1" t="s">
        <v>2873</v>
      </c>
      <c r="I946" s="1" t="s">
        <v>19</v>
      </c>
      <c r="L946" s="1" t="s">
        <v>2874</v>
      </c>
      <c r="M946" s="1" t="s">
        <v>2873</v>
      </c>
      <c r="N946" s="1">
        <v>91</v>
      </c>
      <c r="O946" s="1" t="s">
        <v>2875</v>
      </c>
    </row>
    <row r="947" spans="1:17" x14ac:dyDescent="0.35">
      <c r="A947" s="1" t="s">
        <v>15</v>
      </c>
      <c r="B947" s="1">
        <v>961907</v>
      </c>
      <c r="C947" s="1">
        <v>962359</v>
      </c>
      <c r="E947" s="1" t="s">
        <v>16</v>
      </c>
      <c r="F947" s="1" t="s">
        <v>54</v>
      </c>
      <c r="I947" s="1" t="s">
        <v>19</v>
      </c>
      <c r="L947" s="1" t="s">
        <v>2876</v>
      </c>
      <c r="M947" s="1" t="s">
        <v>54</v>
      </c>
      <c r="N947" s="1">
        <v>150</v>
      </c>
      <c r="O947" s="1" t="s">
        <v>2877</v>
      </c>
    </row>
    <row r="948" spans="1:17" x14ac:dyDescent="0.35">
      <c r="A948" s="1" t="s">
        <v>15</v>
      </c>
      <c r="B948" s="1">
        <v>962372</v>
      </c>
      <c r="C948" s="1">
        <v>962698</v>
      </c>
      <c r="E948" s="1" t="s">
        <v>16</v>
      </c>
      <c r="F948" s="1" t="s">
        <v>54</v>
      </c>
      <c r="I948" s="1" t="s">
        <v>19</v>
      </c>
      <c r="L948" s="1" t="s">
        <v>2878</v>
      </c>
      <c r="M948" s="1" t="s">
        <v>54</v>
      </c>
      <c r="N948" s="1">
        <v>108</v>
      </c>
      <c r="O948" s="1" t="s">
        <v>2879</v>
      </c>
    </row>
    <row r="949" spans="1:17" x14ac:dyDescent="0.35">
      <c r="A949" s="1" t="s">
        <v>15</v>
      </c>
      <c r="B949" s="1">
        <v>962712</v>
      </c>
      <c r="C949" s="1">
        <v>962984</v>
      </c>
      <c r="E949" s="1" t="s">
        <v>16</v>
      </c>
      <c r="F949" s="1" t="s">
        <v>54</v>
      </c>
      <c r="I949" s="1" t="s">
        <v>19</v>
      </c>
      <c r="L949" s="1" t="s">
        <v>2880</v>
      </c>
      <c r="M949" s="1" t="s">
        <v>54</v>
      </c>
      <c r="N949" s="1">
        <v>90</v>
      </c>
      <c r="O949" s="1" t="s">
        <v>2881</v>
      </c>
    </row>
    <row r="950" spans="1:17" x14ac:dyDescent="0.35">
      <c r="A950" s="1" t="s">
        <v>15</v>
      </c>
      <c r="B950" s="1">
        <v>963003</v>
      </c>
      <c r="C950" s="1">
        <v>964388</v>
      </c>
      <c r="E950" s="1" t="s">
        <v>16</v>
      </c>
      <c r="F950" s="1" t="s">
        <v>54</v>
      </c>
      <c r="I950" s="1" t="s">
        <v>19</v>
      </c>
      <c r="L950" s="1" t="s">
        <v>2882</v>
      </c>
      <c r="M950" s="1" t="s">
        <v>54</v>
      </c>
      <c r="N950" s="1">
        <v>461</v>
      </c>
      <c r="O950" s="1" t="s">
        <v>2883</v>
      </c>
    </row>
    <row r="951" spans="1:17" x14ac:dyDescent="0.35">
      <c r="A951" s="1" t="s">
        <v>15</v>
      </c>
      <c r="B951" s="1">
        <v>964700</v>
      </c>
      <c r="C951" s="1">
        <v>965074</v>
      </c>
      <c r="E951" s="1" t="s">
        <v>16</v>
      </c>
      <c r="F951" s="1" t="s">
        <v>54</v>
      </c>
      <c r="I951" s="1" t="s">
        <v>19</v>
      </c>
      <c r="L951" s="1" t="s">
        <v>2884</v>
      </c>
      <c r="M951" s="1" t="s">
        <v>54</v>
      </c>
      <c r="N951" s="1">
        <v>124</v>
      </c>
      <c r="O951" s="1" t="s">
        <v>2885</v>
      </c>
    </row>
    <row r="952" spans="1:17" x14ac:dyDescent="0.35">
      <c r="A952" s="1" t="s">
        <v>15</v>
      </c>
      <c r="B952" s="1">
        <v>965542</v>
      </c>
      <c r="C952" s="1">
        <v>966087</v>
      </c>
      <c r="E952" s="1" t="s">
        <v>178</v>
      </c>
      <c r="F952" s="1" t="s">
        <v>54</v>
      </c>
      <c r="I952" s="1" t="s">
        <v>19</v>
      </c>
      <c r="L952" s="1" t="s">
        <v>2886</v>
      </c>
      <c r="M952" s="1" t="s">
        <v>54</v>
      </c>
      <c r="N952" s="1">
        <v>181</v>
      </c>
      <c r="O952" s="1" t="s">
        <v>2887</v>
      </c>
    </row>
    <row r="953" spans="1:17" x14ac:dyDescent="0.35">
      <c r="A953" s="1" t="s">
        <v>15</v>
      </c>
      <c r="B953" s="1">
        <v>966162</v>
      </c>
      <c r="C953" s="1">
        <v>966338</v>
      </c>
      <c r="E953" s="1" t="s">
        <v>178</v>
      </c>
      <c r="F953" s="1" t="s">
        <v>54</v>
      </c>
      <c r="I953" s="1" t="s">
        <v>19</v>
      </c>
      <c r="L953" s="1" t="s">
        <v>2888</v>
      </c>
      <c r="M953" s="1" t="s">
        <v>54</v>
      </c>
      <c r="N953" s="1">
        <v>58</v>
      </c>
      <c r="O953" s="1" t="s">
        <v>2889</v>
      </c>
    </row>
    <row r="954" spans="1:17" x14ac:dyDescent="0.35">
      <c r="A954" s="1" t="s">
        <v>15</v>
      </c>
      <c r="B954" s="1">
        <v>966414</v>
      </c>
      <c r="C954" s="1">
        <v>967325</v>
      </c>
      <c r="E954" s="1" t="s">
        <v>16</v>
      </c>
      <c r="F954" s="1" t="s">
        <v>2587</v>
      </c>
      <c r="I954" s="1" t="s">
        <v>19</v>
      </c>
      <c r="L954" s="1" t="s">
        <v>2890</v>
      </c>
      <c r="M954" s="1" t="s">
        <v>2587</v>
      </c>
      <c r="N954" s="1">
        <v>303</v>
      </c>
      <c r="O954" s="1" t="s">
        <v>2891</v>
      </c>
      <c r="Q954" s="14"/>
    </row>
    <row r="955" spans="1:17" x14ac:dyDescent="0.35">
      <c r="A955" s="1" t="s">
        <v>15</v>
      </c>
      <c r="B955" s="1">
        <v>967350</v>
      </c>
      <c r="C955" s="1">
        <v>967859</v>
      </c>
      <c r="E955" s="1" t="s">
        <v>16</v>
      </c>
      <c r="F955" s="1" t="s">
        <v>2892</v>
      </c>
      <c r="I955" s="1" t="s">
        <v>19</v>
      </c>
      <c r="L955" s="1" t="s">
        <v>2893</v>
      </c>
      <c r="M955" s="1" t="s">
        <v>2892</v>
      </c>
      <c r="N955" s="1">
        <v>169</v>
      </c>
      <c r="O955" s="1" t="s">
        <v>2894</v>
      </c>
    </row>
    <row r="956" spans="1:17" x14ac:dyDescent="0.35">
      <c r="A956" s="1" t="s">
        <v>15</v>
      </c>
      <c r="B956" s="1">
        <v>967859</v>
      </c>
      <c r="C956" s="1">
        <v>969511</v>
      </c>
      <c r="E956" s="1" t="s">
        <v>16</v>
      </c>
      <c r="F956" s="1" t="s">
        <v>2895</v>
      </c>
      <c r="G956" s="1" t="s">
        <v>2896</v>
      </c>
      <c r="I956" s="1" t="s">
        <v>19</v>
      </c>
      <c r="L956" s="1" t="s">
        <v>2897</v>
      </c>
      <c r="M956" s="1" t="s">
        <v>2895</v>
      </c>
      <c r="N956" s="1">
        <v>550</v>
      </c>
      <c r="O956" s="1" t="s">
        <v>2898</v>
      </c>
      <c r="Q956" s="14"/>
    </row>
    <row r="957" spans="1:17" x14ac:dyDescent="0.35">
      <c r="A957" s="1" t="s">
        <v>15</v>
      </c>
      <c r="B957" s="1">
        <v>969999</v>
      </c>
      <c r="C957" s="1">
        <v>970937</v>
      </c>
      <c r="E957" s="1" t="s">
        <v>178</v>
      </c>
      <c r="F957" s="1" t="s">
        <v>2899</v>
      </c>
      <c r="G957" s="1" t="s">
        <v>2900</v>
      </c>
      <c r="I957" s="1" t="s">
        <v>19</v>
      </c>
      <c r="L957" s="1" t="s">
        <v>2901</v>
      </c>
      <c r="M957" s="1" t="s">
        <v>2899</v>
      </c>
      <c r="N957" s="1">
        <v>312</v>
      </c>
      <c r="O957" s="1" t="s">
        <v>2902</v>
      </c>
      <c r="Q957" s="14"/>
    </row>
    <row r="958" spans="1:17" x14ac:dyDescent="0.35">
      <c r="A958" s="1" t="s">
        <v>15</v>
      </c>
      <c r="B958" s="1">
        <v>971217</v>
      </c>
      <c r="C958" s="1">
        <v>972410</v>
      </c>
      <c r="E958" s="1" t="s">
        <v>16</v>
      </c>
      <c r="F958" s="1" t="s">
        <v>2903</v>
      </c>
      <c r="G958" s="1" t="s">
        <v>2904</v>
      </c>
      <c r="I958" s="1" t="s">
        <v>19</v>
      </c>
      <c r="L958" s="1" t="s">
        <v>2905</v>
      </c>
      <c r="M958" s="1" t="s">
        <v>2903</v>
      </c>
      <c r="N958" s="1">
        <v>397</v>
      </c>
      <c r="O958" s="1" t="s">
        <v>2906</v>
      </c>
      <c r="Q958" s="14"/>
    </row>
    <row r="959" spans="1:17" x14ac:dyDescent="0.35">
      <c r="A959" s="1" t="s">
        <v>15</v>
      </c>
      <c r="B959" s="1">
        <v>973078</v>
      </c>
      <c r="C959" s="1">
        <v>974850</v>
      </c>
      <c r="E959" s="1" t="s">
        <v>16</v>
      </c>
      <c r="F959" s="1" t="s">
        <v>213</v>
      </c>
      <c r="I959" s="1" t="s">
        <v>19</v>
      </c>
      <c r="L959" s="1" t="s">
        <v>2907</v>
      </c>
      <c r="M959" s="1" t="s">
        <v>213</v>
      </c>
      <c r="N959" s="1">
        <v>590</v>
      </c>
      <c r="O959" s="1" t="s">
        <v>2908</v>
      </c>
    </row>
    <row r="960" spans="1:17" x14ac:dyDescent="0.35">
      <c r="A960" s="1" t="s">
        <v>15</v>
      </c>
      <c r="B960" s="1">
        <v>974847</v>
      </c>
      <c r="C960" s="1">
        <v>975764</v>
      </c>
      <c r="E960" s="1" t="s">
        <v>16</v>
      </c>
      <c r="F960" s="1" t="s">
        <v>2909</v>
      </c>
      <c r="I960" s="1" t="s">
        <v>19</v>
      </c>
      <c r="L960" s="1" t="s">
        <v>2910</v>
      </c>
      <c r="M960" s="1" t="s">
        <v>2909</v>
      </c>
      <c r="N960" s="1">
        <v>305</v>
      </c>
      <c r="O960" s="1" t="s">
        <v>2911</v>
      </c>
    </row>
    <row r="961" spans="1:17" x14ac:dyDescent="0.35">
      <c r="A961" s="1" t="s">
        <v>15</v>
      </c>
      <c r="B961" s="1">
        <v>975761</v>
      </c>
      <c r="C961" s="1">
        <v>977587</v>
      </c>
      <c r="E961" s="1" t="s">
        <v>16</v>
      </c>
      <c r="F961" s="1" t="s">
        <v>26</v>
      </c>
      <c r="I961" s="1" t="s">
        <v>19</v>
      </c>
      <c r="L961" s="1" t="s">
        <v>2912</v>
      </c>
      <c r="M961" s="1" t="s">
        <v>26</v>
      </c>
      <c r="N961" s="1">
        <v>608</v>
      </c>
      <c r="O961" s="1" t="s">
        <v>2913</v>
      </c>
    </row>
    <row r="962" spans="1:17" x14ac:dyDescent="0.35">
      <c r="A962" s="1" t="s">
        <v>15</v>
      </c>
      <c r="B962" s="1">
        <v>977610</v>
      </c>
      <c r="C962" s="1">
        <v>979016</v>
      </c>
      <c r="E962" s="1" t="s">
        <v>16</v>
      </c>
      <c r="F962" s="1" t="s">
        <v>1190</v>
      </c>
      <c r="I962" s="1" t="s">
        <v>19</v>
      </c>
      <c r="L962" s="1" t="s">
        <v>2914</v>
      </c>
      <c r="M962" s="1" t="s">
        <v>1190</v>
      </c>
      <c r="N962" s="1">
        <v>468</v>
      </c>
      <c r="O962" s="1" t="s">
        <v>2915</v>
      </c>
    </row>
    <row r="963" spans="1:17" x14ac:dyDescent="0.35">
      <c r="A963" s="1" t="s">
        <v>15</v>
      </c>
      <c r="B963" s="1">
        <v>979016</v>
      </c>
      <c r="C963" s="1">
        <v>980467</v>
      </c>
      <c r="E963" s="1" t="s">
        <v>16</v>
      </c>
      <c r="F963" s="1" t="s">
        <v>2916</v>
      </c>
      <c r="I963" s="1" t="s">
        <v>19</v>
      </c>
      <c r="L963" s="1" t="s">
        <v>2917</v>
      </c>
      <c r="M963" s="1" t="s">
        <v>2916</v>
      </c>
      <c r="N963" s="1">
        <v>483</v>
      </c>
      <c r="O963" s="1" t="s">
        <v>2918</v>
      </c>
    </row>
    <row r="964" spans="1:17" x14ac:dyDescent="0.35">
      <c r="A964" s="1" t="s">
        <v>15</v>
      </c>
      <c r="B964" s="1">
        <v>980455</v>
      </c>
      <c r="C964" s="1">
        <v>982230</v>
      </c>
      <c r="E964" s="1" t="s">
        <v>16</v>
      </c>
      <c r="F964" s="1" t="s">
        <v>54</v>
      </c>
      <c r="I964" s="1" t="s">
        <v>19</v>
      </c>
      <c r="L964" s="1" t="s">
        <v>2919</v>
      </c>
      <c r="M964" s="1" t="s">
        <v>54</v>
      </c>
      <c r="N964" s="1">
        <v>591</v>
      </c>
      <c r="O964" s="1" t="s">
        <v>2920</v>
      </c>
    </row>
    <row r="965" spans="1:17" x14ac:dyDescent="0.35">
      <c r="A965" s="1" t="s">
        <v>15</v>
      </c>
      <c r="B965" s="1">
        <v>982220</v>
      </c>
      <c r="C965" s="1">
        <v>982948</v>
      </c>
      <c r="E965" s="1" t="s">
        <v>16</v>
      </c>
      <c r="F965" s="1" t="s">
        <v>2921</v>
      </c>
      <c r="I965" s="1" t="s">
        <v>19</v>
      </c>
      <c r="L965" s="1" t="s">
        <v>2922</v>
      </c>
      <c r="M965" s="1" t="s">
        <v>2921</v>
      </c>
      <c r="N965" s="1">
        <v>242</v>
      </c>
      <c r="O965" s="1" t="s">
        <v>2923</v>
      </c>
    </row>
    <row r="966" spans="1:17" x14ac:dyDescent="0.35">
      <c r="A966" s="1" t="s">
        <v>15</v>
      </c>
      <c r="B966" s="1">
        <v>982997</v>
      </c>
      <c r="C966" s="1">
        <v>983668</v>
      </c>
      <c r="E966" s="1" t="s">
        <v>16</v>
      </c>
      <c r="F966" s="1" t="s">
        <v>388</v>
      </c>
      <c r="I966" s="1" t="s">
        <v>19</v>
      </c>
      <c r="L966" s="1" t="s">
        <v>2924</v>
      </c>
      <c r="M966" s="1" t="s">
        <v>388</v>
      </c>
      <c r="N966" s="1">
        <v>223</v>
      </c>
      <c r="O966" s="1" t="s">
        <v>2925</v>
      </c>
    </row>
    <row r="967" spans="1:17" x14ac:dyDescent="0.35">
      <c r="A967" s="1" t="s">
        <v>15</v>
      </c>
      <c r="B967" s="1">
        <v>983661</v>
      </c>
      <c r="C967" s="1">
        <v>985082</v>
      </c>
      <c r="E967" s="1" t="s">
        <v>16</v>
      </c>
      <c r="F967" s="1" t="s">
        <v>54</v>
      </c>
      <c r="I967" s="1" t="s">
        <v>19</v>
      </c>
      <c r="L967" s="1" t="s">
        <v>2926</v>
      </c>
      <c r="M967" s="1" t="s">
        <v>54</v>
      </c>
      <c r="N967" s="1">
        <v>473</v>
      </c>
      <c r="O967" s="1" t="s">
        <v>2927</v>
      </c>
    </row>
    <row r="968" spans="1:17" x14ac:dyDescent="0.35">
      <c r="A968" s="1" t="s">
        <v>15</v>
      </c>
      <c r="B968" s="1">
        <v>985097</v>
      </c>
      <c r="C968" s="1">
        <v>986110</v>
      </c>
      <c r="E968" s="1" t="s">
        <v>16</v>
      </c>
      <c r="F968" s="1" t="s">
        <v>2928</v>
      </c>
      <c r="G968" s="1" t="s">
        <v>2929</v>
      </c>
      <c r="I968" s="1" t="s">
        <v>19</v>
      </c>
      <c r="L968" s="1" t="s">
        <v>2930</v>
      </c>
      <c r="M968" s="1" t="s">
        <v>2928</v>
      </c>
      <c r="N968" s="1">
        <v>337</v>
      </c>
      <c r="O968" s="1" t="s">
        <v>2931</v>
      </c>
      <c r="Q968" s="14"/>
    </row>
    <row r="969" spans="1:17" x14ac:dyDescent="0.35">
      <c r="A969" s="1" t="s">
        <v>15</v>
      </c>
      <c r="B969" s="1">
        <v>986302</v>
      </c>
      <c r="C969" s="1">
        <v>986538</v>
      </c>
      <c r="E969" s="1" t="s">
        <v>16</v>
      </c>
      <c r="F969" s="1" t="s">
        <v>213</v>
      </c>
      <c r="I969" s="1" t="s">
        <v>19</v>
      </c>
      <c r="L969" s="1" t="s">
        <v>2932</v>
      </c>
      <c r="M969" s="1" t="s">
        <v>213</v>
      </c>
      <c r="N969" s="1">
        <v>78</v>
      </c>
      <c r="O969" s="1" t="s">
        <v>2933</v>
      </c>
    </row>
    <row r="970" spans="1:17" x14ac:dyDescent="0.35">
      <c r="A970" s="1" t="s">
        <v>15</v>
      </c>
      <c r="B970" s="1">
        <v>986606</v>
      </c>
      <c r="C970" s="1">
        <v>987877</v>
      </c>
      <c r="E970" s="1" t="s">
        <v>16</v>
      </c>
      <c r="F970" s="1" t="s">
        <v>2934</v>
      </c>
      <c r="G970" s="1" t="s">
        <v>2935</v>
      </c>
      <c r="I970" s="1" t="s">
        <v>19</v>
      </c>
      <c r="L970" s="1" t="s">
        <v>2936</v>
      </c>
      <c r="M970" s="1" t="s">
        <v>2934</v>
      </c>
      <c r="N970" s="1">
        <v>423</v>
      </c>
      <c r="O970" s="1" t="s">
        <v>2937</v>
      </c>
    </row>
    <row r="971" spans="1:17" x14ac:dyDescent="0.35">
      <c r="A971" s="1" t="s">
        <v>15</v>
      </c>
      <c r="B971" s="1">
        <v>987879</v>
      </c>
      <c r="C971" s="1">
        <v>988067</v>
      </c>
      <c r="E971" s="1" t="s">
        <v>16</v>
      </c>
      <c r="F971" s="1" t="s">
        <v>50</v>
      </c>
      <c r="I971" s="1" t="s">
        <v>19</v>
      </c>
      <c r="L971" s="1" t="s">
        <v>2938</v>
      </c>
      <c r="M971" s="1" t="s">
        <v>50</v>
      </c>
      <c r="N971" s="1">
        <v>62</v>
      </c>
      <c r="O971" s="1" t="s">
        <v>2939</v>
      </c>
    </row>
    <row r="972" spans="1:17" x14ac:dyDescent="0.35">
      <c r="A972" s="1" t="s">
        <v>15</v>
      </c>
      <c r="B972" s="1">
        <v>988129</v>
      </c>
      <c r="C972" s="1">
        <v>989010</v>
      </c>
      <c r="E972" s="1" t="s">
        <v>16</v>
      </c>
      <c r="F972" s="1" t="s">
        <v>2940</v>
      </c>
      <c r="G972" s="1" t="s">
        <v>2941</v>
      </c>
      <c r="I972" s="1" t="s">
        <v>19</v>
      </c>
      <c r="L972" s="1" t="s">
        <v>2942</v>
      </c>
      <c r="M972" s="1" t="s">
        <v>2940</v>
      </c>
      <c r="N972" s="1">
        <v>293</v>
      </c>
      <c r="O972" s="1" t="s">
        <v>2943</v>
      </c>
    </row>
    <row r="973" spans="1:17" x14ac:dyDescent="0.35">
      <c r="A973" s="1" t="s">
        <v>15</v>
      </c>
      <c r="B973" s="1">
        <v>989087</v>
      </c>
      <c r="C973" s="1">
        <v>989737</v>
      </c>
      <c r="E973" s="1" t="s">
        <v>178</v>
      </c>
      <c r="F973" s="1" t="s">
        <v>2944</v>
      </c>
      <c r="I973" s="1" t="s">
        <v>19</v>
      </c>
      <c r="L973" s="1" t="s">
        <v>2945</v>
      </c>
      <c r="M973" s="1" t="s">
        <v>2944</v>
      </c>
      <c r="N973" s="1">
        <v>216</v>
      </c>
      <c r="O973" s="1" t="s">
        <v>2946</v>
      </c>
    </row>
    <row r="974" spans="1:17" x14ac:dyDescent="0.35">
      <c r="A974" s="1" t="s">
        <v>15</v>
      </c>
      <c r="B974" s="1">
        <v>989749</v>
      </c>
      <c r="C974" s="1">
        <v>990447</v>
      </c>
      <c r="E974" s="1" t="s">
        <v>178</v>
      </c>
      <c r="F974" s="1" t="s">
        <v>2944</v>
      </c>
      <c r="I974" s="1" t="s">
        <v>19</v>
      </c>
      <c r="L974" s="1" t="s">
        <v>2947</v>
      </c>
      <c r="M974" s="1" t="s">
        <v>2944</v>
      </c>
      <c r="N974" s="1">
        <v>232</v>
      </c>
      <c r="O974" s="1" t="s">
        <v>2948</v>
      </c>
    </row>
    <row r="975" spans="1:17" x14ac:dyDescent="0.35">
      <c r="A975" s="1" t="s">
        <v>15</v>
      </c>
      <c r="B975" s="1">
        <v>990465</v>
      </c>
      <c r="C975" s="1">
        <v>991298</v>
      </c>
      <c r="E975" s="1" t="s">
        <v>178</v>
      </c>
      <c r="F975" s="1" t="s">
        <v>2949</v>
      </c>
      <c r="I975" s="1" t="s">
        <v>19</v>
      </c>
      <c r="L975" s="1" t="s">
        <v>2950</v>
      </c>
      <c r="M975" s="1" t="s">
        <v>2949</v>
      </c>
      <c r="N975" s="1">
        <v>277</v>
      </c>
      <c r="O975" s="1" t="s">
        <v>2951</v>
      </c>
    </row>
    <row r="976" spans="1:17" x14ac:dyDescent="0.35">
      <c r="A976" s="1" t="s">
        <v>15</v>
      </c>
      <c r="B976" s="1">
        <v>991310</v>
      </c>
      <c r="C976" s="1">
        <v>992077</v>
      </c>
      <c r="E976" s="1" t="s">
        <v>178</v>
      </c>
      <c r="F976" s="1" t="s">
        <v>535</v>
      </c>
      <c r="I976" s="1" t="s">
        <v>19</v>
      </c>
      <c r="L976" s="1" t="s">
        <v>2952</v>
      </c>
      <c r="M976" s="1" t="s">
        <v>535</v>
      </c>
      <c r="N976" s="1">
        <v>255</v>
      </c>
      <c r="O976" s="1" t="s">
        <v>2953</v>
      </c>
    </row>
    <row r="977" spans="1:17" x14ac:dyDescent="0.35">
      <c r="A977" s="1" t="s">
        <v>15</v>
      </c>
      <c r="B977" s="1">
        <v>992268</v>
      </c>
      <c r="C977" s="1">
        <v>992918</v>
      </c>
      <c r="E977" s="1" t="s">
        <v>178</v>
      </c>
      <c r="F977" s="1" t="s">
        <v>2944</v>
      </c>
      <c r="I977" s="1" t="s">
        <v>19</v>
      </c>
      <c r="L977" s="1" t="s">
        <v>2954</v>
      </c>
      <c r="M977" s="1" t="s">
        <v>2944</v>
      </c>
      <c r="N977" s="1">
        <v>216</v>
      </c>
      <c r="O977" s="1" t="s">
        <v>2955</v>
      </c>
    </row>
    <row r="978" spans="1:17" x14ac:dyDescent="0.35">
      <c r="A978" s="1" t="s">
        <v>15</v>
      </c>
      <c r="B978" s="1">
        <v>992930</v>
      </c>
      <c r="C978" s="1">
        <v>993628</v>
      </c>
      <c r="E978" s="1" t="s">
        <v>178</v>
      </c>
      <c r="F978" s="1" t="s">
        <v>2944</v>
      </c>
      <c r="I978" s="1" t="s">
        <v>19</v>
      </c>
      <c r="L978" s="1" t="s">
        <v>2956</v>
      </c>
      <c r="M978" s="1" t="s">
        <v>2944</v>
      </c>
      <c r="N978" s="1">
        <v>232</v>
      </c>
      <c r="O978" s="1" t="s">
        <v>2957</v>
      </c>
    </row>
    <row r="979" spans="1:17" x14ac:dyDescent="0.35">
      <c r="A979" s="1" t="s">
        <v>15</v>
      </c>
      <c r="B979" s="1">
        <v>993646</v>
      </c>
      <c r="C979" s="1">
        <v>994479</v>
      </c>
      <c r="E979" s="1" t="s">
        <v>178</v>
      </c>
      <c r="F979" s="1" t="s">
        <v>2949</v>
      </c>
      <c r="I979" s="1" t="s">
        <v>19</v>
      </c>
      <c r="L979" s="1" t="s">
        <v>2958</v>
      </c>
      <c r="M979" s="1" t="s">
        <v>2949</v>
      </c>
      <c r="N979" s="1">
        <v>277</v>
      </c>
      <c r="O979" s="1" t="s">
        <v>2959</v>
      </c>
    </row>
    <row r="980" spans="1:17" x14ac:dyDescent="0.35">
      <c r="A980" s="1" t="s">
        <v>15</v>
      </c>
      <c r="B980" s="1">
        <v>994489</v>
      </c>
      <c r="C980" s="1">
        <v>995256</v>
      </c>
      <c r="E980" s="1" t="s">
        <v>178</v>
      </c>
      <c r="F980" s="1" t="s">
        <v>535</v>
      </c>
      <c r="I980" s="1" t="s">
        <v>19</v>
      </c>
      <c r="L980" s="1" t="s">
        <v>2960</v>
      </c>
      <c r="M980" s="1" t="s">
        <v>535</v>
      </c>
      <c r="N980" s="1">
        <v>255</v>
      </c>
      <c r="O980" s="1" t="s">
        <v>2961</v>
      </c>
    </row>
    <row r="981" spans="1:17" x14ac:dyDescent="0.35">
      <c r="A981" s="1" t="s">
        <v>15</v>
      </c>
      <c r="B981" s="1">
        <v>995541</v>
      </c>
      <c r="C981" s="1">
        <v>996248</v>
      </c>
      <c r="E981" s="1" t="s">
        <v>16</v>
      </c>
      <c r="F981" s="1" t="s">
        <v>2962</v>
      </c>
      <c r="G981" s="1" t="s">
        <v>2963</v>
      </c>
      <c r="I981" s="1" t="s">
        <v>19</v>
      </c>
      <c r="L981" s="1" t="s">
        <v>2964</v>
      </c>
      <c r="M981" s="1" t="s">
        <v>2962</v>
      </c>
      <c r="N981" s="1">
        <v>235</v>
      </c>
      <c r="O981" s="1" t="s">
        <v>2965</v>
      </c>
    </row>
    <row r="982" spans="1:17" x14ac:dyDescent="0.35">
      <c r="A982" s="1" t="s">
        <v>15</v>
      </c>
      <c r="B982" s="1">
        <v>996241</v>
      </c>
      <c r="C982" s="1">
        <v>997581</v>
      </c>
      <c r="E982" s="1" t="s">
        <v>16</v>
      </c>
      <c r="F982" s="1" t="s">
        <v>2966</v>
      </c>
      <c r="G982" s="1" t="s">
        <v>2967</v>
      </c>
      <c r="I982" s="1" t="s">
        <v>19</v>
      </c>
      <c r="L982" s="1" t="s">
        <v>2968</v>
      </c>
      <c r="M982" s="1" t="s">
        <v>2966</v>
      </c>
      <c r="N982" s="1">
        <v>446</v>
      </c>
      <c r="O982" s="1" t="s">
        <v>2969</v>
      </c>
      <c r="Q982" s="14"/>
    </row>
    <row r="983" spans="1:17" x14ac:dyDescent="0.35">
      <c r="A983" s="1" t="s">
        <v>15</v>
      </c>
      <c r="B983" s="1">
        <v>997587</v>
      </c>
      <c r="C983" s="1">
        <v>998399</v>
      </c>
      <c r="E983" s="1" t="s">
        <v>16</v>
      </c>
      <c r="F983" s="1" t="s">
        <v>2970</v>
      </c>
      <c r="G983" s="1" t="s">
        <v>2971</v>
      </c>
      <c r="I983" s="1" t="s">
        <v>19</v>
      </c>
      <c r="L983" s="1" t="s">
        <v>2972</v>
      </c>
      <c r="M983" s="1" t="s">
        <v>2970</v>
      </c>
      <c r="N983" s="1">
        <v>270</v>
      </c>
      <c r="O983" s="1" t="s">
        <v>2973</v>
      </c>
    </row>
    <row r="984" spans="1:17" x14ac:dyDescent="0.35">
      <c r="A984" s="1" t="s">
        <v>15</v>
      </c>
      <c r="B984" s="1">
        <v>998458</v>
      </c>
      <c r="C984" s="1">
        <v>998817</v>
      </c>
      <c r="E984" s="1" t="s">
        <v>16</v>
      </c>
      <c r="F984" s="1" t="s">
        <v>2974</v>
      </c>
      <c r="I984" s="1" t="s">
        <v>19</v>
      </c>
      <c r="L984" s="1" t="s">
        <v>2975</v>
      </c>
      <c r="M984" s="1" t="s">
        <v>2974</v>
      </c>
      <c r="N984" s="1">
        <v>119</v>
      </c>
      <c r="O984" s="1" t="s">
        <v>2976</v>
      </c>
      <c r="Q984" s="14"/>
    </row>
    <row r="985" spans="1:17" x14ac:dyDescent="0.35">
      <c r="A985" s="1" t="s">
        <v>15</v>
      </c>
      <c r="B985" s="1">
        <v>998869</v>
      </c>
      <c r="C985" s="1">
        <v>1000083</v>
      </c>
      <c r="E985" s="1" t="s">
        <v>178</v>
      </c>
      <c r="F985" s="1" t="s">
        <v>1839</v>
      </c>
      <c r="G985" s="1" t="s">
        <v>2977</v>
      </c>
      <c r="I985" s="1" t="s">
        <v>19</v>
      </c>
      <c r="L985" s="1" t="s">
        <v>2978</v>
      </c>
      <c r="M985" s="1" t="s">
        <v>1839</v>
      </c>
      <c r="N985" s="1">
        <v>404</v>
      </c>
      <c r="O985" s="1" t="s">
        <v>2979</v>
      </c>
    </row>
    <row r="986" spans="1:17" x14ac:dyDescent="0.35">
      <c r="A986" s="1" t="s">
        <v>15</v>
      </c>
      <c r="B986" s="1">
        <v>1000085</v>
      </c>
      <c r="C986" s="1">
        <v>1000894</v>
      </c>
      <c r="E986" s="1" t="s">
        <v>178</v>
      </c>
      <c r="F986" s="1" t="s">
        <v>2980</v>
      </c>
      <c r="I986" s="1" t="s">
        <v>19</v>
      </c>
      <c r="L986" s="1" t="s">
        <v>2981</v>
      </c>
      <c r="M986" s="1" t="s">
        <v>2980</v>
      </c>
      <c r="N986" s="1">
        <v>269</v>
      </c>
      <c r="O986" s="1" t="s">
        <v>2982</v>
      </c>
      <c r="Q986" s="14"/>
    </row>
    <row r="987" spans="1:17" x14ac:dyDescent="0.35">
      <c r="A987" s="1" t="s">
        <v>15</v>
      </c>
      <c r="B987" s="1">
        <v>1001072</v>
      </c>
      <c r="C987" s="1">
        <v>1001938</v>
      </c>
      <c r="E987" s="1" t="s">
        <v>16</v>
      </c>
      <c r="F987" s="1" t="s">
        <v>764</v>
      </c>
      <c r="I987" s="1" t="s">
        <v>19</v>
      </c>
      <c r="L987" s="1" t="s">
        <v>2983</v>
      </c>
      <c r="M987" s="1" t="s">
        <v>764</v>
      </c>
      <c r="N987" s="1">
        <v>288</v>
      </c>
      <c r="O987" s="1" t="s">
        <v>2984</v>
      </c>
    </row>
    <row r="988" spans="1:17" x14ac:dyDescent="0.35">
      <c r="A988" s="1" t="s">
        <v>15</v>
      </c>
      <c r="B988" s="1">
        <v>1002021</v>
      </c>
      <c r="C988" s="1">
        <v>1002407</v>
      </c>
      <c r="E988" s="1" t="s">
        <v>16</v>
      </c>
      <c r="F988" s="1" t="s">
        <v>26</v>
      </c>
      <c r="I988" s="1" t="s">
        <v>19</v>
      </c>
      <c r="L988" s="1" t="s">
        <v>2985</v>
      </c>
      <c r="M988" s="1" t="s">
        <v>26</v>
      </c>
      <c r="N988" s="1">
        <v>128</v>
      </c>
      <c r="O988" s="1" t="s">
        <v>2986</v>
      </c>
    </row>
    <row r="989" spans="1:17" x14ac:dyDescent="0.35">
      <c r="A989" s="1" t="s">
        <v>15</v>
      </c>
      <c r="B989" s="1">
        <v>1002672</v>
      </c>
      <c r="C989" s="1">
        <v>1005356</v>
      </c>
      <c r="E989" s="1" t="s">
        <v>16</v>
      </c>
      <c r="F989" s="1" t="s">
        <v>1017</v>
      </c>
      <c r="I989" s="1" t="s">
        <v>19</v>
      </c>
      <c r="L989" s="1" t="s">
        <v>2987</v>
      </c>
      <c r="M989" s="1" t="s">
        <v>1017</v>
      </c>
      <c r="N989" s="1">
        <v>894</v>
      </c>
      <c r="O989" s="1" t="s">
        <v>2988</v>
      </c>
      <c r="Q989" s="14"/>
    </row>
    <row r="990" spans="1:17" x14ac:dyDescent="0.35">
      <c r="A990" s="1" t="s">
        <v>15</v>
      </c>
      <c r="B990" s="1">
        <v>1005466</v>
      </c>
      <c r="C990" s="1">
        <v>1006212</v>
      </c>
      <c r="E990" s="1" t="s">
        <v>16</v>
      </c>
      <c r="F990" s="1" t="s">
        <v>2989</v>
      </c>
      <c r="G990" s="1" t="s">
        <v>2990</v>
      </c>
      <c r="I990" s="1" t="s">
        <v>19</v>
      </c>
      <c r="L990" s="1" t="s">
        <v>2991</v>
      </c>
      <c r="M990" s="1" t="s">
        <v>2989</v>
      </c>
      <c r="N990" s="1">
        <v>248</v>
      </c>
      <c r="O990" s="1" t="s">
        <v>2992</v>
      </c>
      <c r="Q990" s="14"/>
    </row>
    <row r="991" spans="1:17" x14ac:dyDescent="0.35">
      <c r="A991" s="1" t="s">
        <v>15</v>
      </c>
      <c r="B991" s="1">
        <v>1006238</v>
      </c>
      <c r="C991" s="1">
        <v>1007077</v>
      </c>
      <c r="E991" s="1" t="s">
        <v>178</v>
      </c>
      <c r="F991" s="1" t="s">
        <v>54</v>
      </c>
      <c r="I991" s="1" t="s">
        <v>19</v>
      </c>
      <c r="L991" s="1" t="s">
        <v>2993</v>
      </c>
      <c r="M991" s="1" t="s">
        <v>54</v>
      </c>
      <c r="N991" s="1">
        <v>279</v>
      </c>
      <c r="O991" s="1" t="s">
        <v>2994</v>
      </c>
    </row>
    <row r="992" spans="1:17" x14ac:dyDescent="0.35">
      <c r="A992" s="1" t="s">
        <v>15</v>
      </c>
      <c r="B992" s="1">
        <v>1007189</v>
      </c>
      <c r="C992" s="1">
        <v>1008307</v>
      </c>
      <c r="E992" s="1" t="s">
        <v>16</v>
      </c>
      <c r="F992" s="1" t="s">
        <v>54</v>
      </c>
      <c r="I992" s="1" t="s">
        <v>19</v>
      </c>
      <c r="L992" s="1" t="s">
        <v>2995</v>
      </c>
      <c r="M992" s="1" t="s">
        <v>54</v>
      </c>
      <c r="N992" s="1">
        <v>372</v>
      </c>
      <c r="O992" s="1" t="s">
        <v>2996</v>
      </c>
    </row>
    <row r="993" spans="1:17" x14ac:dyDescent="0.35">
      <c r="A993" s="1" t="s">
        <v>15</v>
      </c>
      <c r="B993" s="1">
        <v>1008445</v>
      </c>
      <c r="C993" s="1">
        <v>1009458</v>
      </c>
      <c r="E993" s="1" t="s">
        <v>16</v>
      </c>
      <c r="F993" s="1" t="s">
        <v>2997</v>
      </c>
      <c r="G993" s="1" t="s">
        <v>2998</v>
      </c>
      <c r="I993" s="1" t="s">
        <v>19</v>
      </c>
      <c r="L993" s="1" t="s">
        <v>2999</v>
      </c>
      <c r="M993" s="1" t="s">
        <v>2997</v>
      </c>
      <c r="N993" s="1">
        <v>337</v>
      </c>
      <c r="O993" s="1" t="s">
        <v>3000</v>
      </c>
    </row>
    <row r="994" spans="1:17" x14ac:dyDescent="0.35">
      <c r="A994" s="1" t="s">
        <v>15</v>
      </c>
      <c r="B994" s="1">
        <v>1009546</v>
      </c>
      <c r="C994" s="1">
        <v>1010238</v>
      </c>
      <c r="E994" s="1" t="s">
        <v>16</v>
      </c>
      <c r="F994" s="1" t="s">
        <v>3001</v>
      </c>
      <c r="G994" s="1" t="s">
        <v>3002</v>
      </c>
      <c r="I994" s="1" t="s">
        <v>19</v>
      </c>
      <c r="L994" s="1" t="s">
        <v>3003</v>
      </c>
      <c r="M994" s="1" t="s">
        <v>3001</v>
      </c>
      <c r="N994" s="1">
        <v>230</v>
      </c>
      <c r="O994" s="1" t="s">
        <v>3004</v>
      </c>
    </row>
    <row r="995" spans="1:17" x14ac:dyDescent="0.35">
      <c r="A995" s="1" t="s">
        <v>15</v>
      </c>
      <c r="B995" s="1">
        <v>1010231</v>
      </c>
      <c r="C995" s="1">
        <v>1011160</v>
      </c>
      <c r="E995" s="1" t="s">
        <v>16</v>
      </c>
      <c r="F995" s="1" t="s">
        <v>3005</v>
      </c>
      <c r="G995" s="1" t="s">
        <v>3006</v>
      </c>
      <c r="I995" s="1" t="s">
        <v>19</v>
      </c>
      <c r="L995" s="1" t="s">
        <v>3007</v>
      </c>
      <c r="M995" s="1" t="s">
        <v>3005</v>
      </c>
      <c r="N995" s="1">
        <v>309</v>
      </c>
      <c r="O995" s="1" t="s">
        <v>3008</v>
      </c>
    </row>
    <row r="996" spans="1:17" x14ac:dyDescent="0.35">
      <c r="A996" s="1" t="s">
        <v>15</v>
      </c>
      <c r="B996" s="1">
        <v>1011316</v>
      </c>
      <c r="C996" s="1">
        <v>1011798</v>
      </c>
      <c r="E996" s="1" t="s">
        <v>16</v>
      </c>
      <c r="F996" s="1" t="s">
        <v>3009</v>
      </c>
      <c r="G996" s="1" t="s">
        <v>3010</v>
      </c>
      <c r="I996" s="1" t="s">
        <v>19</v>
      </c>
      <c r="L996" s="1" t="s">
        <v>3011</v>
      </c>
      <c r="M996" s="1" t="s">
        <v>3009</v>
      </c>
      <c r="N996" s="1">
        <v>160</v>
      </c>
      <c r="O996" s="1" t="s">
        <v>3012</v>
      </c>
      <c r="Q996" s="14"/>
    </row>
    <row r="997" spans="1:17" x14ac:dyDescent="0.35">
      <c r="A997" s="1" t="s">
        <v>15</v>
      </c>
      <c r="B997" s="1">
        <v>1011808</v>
      </c>
      <c r="C997" s="1">
        <v>1012986</v>
      </c>
      <c r="E997" s="1" t="s">
        <v>16</v>
      </c>
      <c r="F997" s="1" t="s">
        <v>54</v>
      </c>
      <c r="I997" s="1" t="s">
        <v>19</v>
      </c>
      <c r="L997" s="1" t="s">
        <v>3013</v>
      </c>
      <c r="M997" s="1" t="s">
        <v>54</v>
      </c>
      <c r="N997" s="1">
        <v>392</v>
      </c>
      <c r="O997" s="1" t="s">
        <v>3014</v>
      </c>
    </row>
    <row r="998" spans="1:17" x14ac:dyDescent="0.35">
      <c r="A998" s="1" t="s">
        <v>15</v>
      </c>
      <c r="B998" s="1">
        <v>1012994</v>
      </c>
      <c r="C998" s="1">
        <v>1014205</v>
      </c>
      <c r="E998" s="1" t="s">
        <v>16</v>
      </c>
      <c r="F998" s="1" t="s">
        <v>54</v>
      </c>
      <c r="I998" s="1" t="s">
        <v>19</v>
      </c>
      <c r="L998" s="1" t="s">
        <v>3015</v>
      </c>
      <c r="M998" s="1" t="s">
        <v>54</v>
      </c>
      <c r="N998" s="1">
        <v>403</v>
      </c>
      <c r="O998" s="1" t="s">
        <v>3016</v>
      </c>
    </row>
    <row r="999" spans="1:17" x14ac:dyDescent="0.35">
      <c r="A999" s="1" t="s">
        <v>15</v>
      </c>
      <c r="B999" s="1">
        <v>1014327</v>
      </c>
      <c r="C999" s="1">
        <v>1014884</v>
      </c>
      <c r="E999" s="1" t="s">
        <v>16</v>
      </c>
      <c r="F999" s="1" t="s">
        <v>3017</v>
      </c>
      <c r="G999" s="1" t="s">
        <v>3018</v>
      </c>
      <c r="I999" s="1" t="s">
        <v>19</v>
      </c>
      <c r="L999" s="1" t="s">
        <v>3019</v>
      </c>
      <c r="M999" s="1" t="s">
        <v>3017</v>
      </c>
      <c r="N999" s="1">
        <v>185</v>
      </c>
      <c r="O999" s="1" t="s">
        <v>3020</v>
      </c>
      <c r="Q999" s="14"/>
    </row>
    <row r="1000" spans="1:17" x14ac:dyDescent="0.35">
      <c r="A1000" s="1" t="s">
        <v>15</v>
      </c>
      <c r="B1000" s="1">
        <v>1015042</v>
      </c>
      <c r="C1000" s="1">
        <v>1017168</v>
      </c>
      <c r="E1000" s="1" t="s">
        <v>16</v>
      </c>
      <c r="F1000" s="1" t="s">
        <v>54</v>
      </c>
      <c r="I1000" s="1" t="s">
        <v>19</v>
      </c>
      <c r="L1000" s="1" t="s">
        <v>3021</v>
      </c>
      <c r="M1000" s="1" t="s">
        <v>54</v>
      </c>
      <c r="N1000" s="1">
        <v>708</v>
      </c>
      <c r="O1000" s="1" t="s">
        <v>3022</v>
      </c>
    </row>
    <row r="1001" spans="1:17" x14ac:dyDescent="0.35">
      <c r="A1001" s="1" t="s">
        <v>15</v>
      </c>
      <c r="B1001" s="1">
        <v>1017248</v>
      </c>
      <c r="C1001" s="1">
        <v>1018471</v>
      </c>
      <c r="E1001" s="1" t="s">
        <v>16</v>
      </c>
      <c r="F1001" s="1" t="s">
        <v>3023</v>
      </c>
      <c r="G1001" s="1" t="s">
        <v>3024</v>
      </c>
      <c r="I1001" s="1" t="s">
        <v>19</v>
      </c>
      <c r="L1001" s="1" t="s">
        <v>3025</v>
      </c>
      <c r="M1001" s="1" t="s">
        <v>3023</v>
      </c>
      <c r="N1001" s="1">
        <v>407</v>
      </c>
      <c r="O1001" s="1" t="s">
        <v>3026</v>
      </c>
      <c r="Q1001" s="14"/>
    </row>
    <row r="1002" spans="1:17" x14ac:dyDescent="0.35">
      <c r="A1002" s="1" t="s">
        <v>15</v>
      </c>
      <c r="B1002" s="1">
        <v>1018528</v>
      </c>
      <c r="C1002" s="1">
        <v>1019028</v>
      </c>
      <c r="E1002" s="1" t="s">
        <v>16</v>
      </c>
      <c r="F1002" s="1" t="s">
        <v>50</v>
      </c>
      <c r="I1002" s="1" t="s">
        <v>19</v>
      </c>
      <c r="L1002" s="1" t="s">
        <v>3027</v>
      </c>
      <c r="M1002" s="1" t="s">
        <v>50</v>
      </c>
      <c r="N1002" s="1">
        <v>166</v>
      </c>
      <c r="O1002" s="1" t="s">
        <v>3028</v>
      </c>
    </row>
    <row r="1003" spans="1:17" x14ac:dyDescent="0.35">
      <c r="A1003" s="1" t="s">
        <v>15</v>
      </c>
      <c r="B1003" s="1">
        <v>1019255</v>
      </c>
      <c r="C1003" s="1">
        <v>1019905</v>
      </c>
      <c r="E1003" s="1" t="s">
        <v>16</v>
      </c>
      <c r="F1003" s="1" t="s">
        <v>54</v>
      </c>
      <c r="I1003" s="1" t="s">
        <v>19</v>
      </c>
      <c r="L1003" s="1" t="s">
        <v>3029</v>
      </c>
      <c r="M1003" s="1" t="s">
        <v>54</v>
      </c>
      <c r="N1003" s="1">
        <v>216</v>
      </c>
      <c r="O1003" s="1" t="s">
        <v>3030</v>
      </c>
    </row>
    <row r="1004" spans="1:17" x14ac:dyDescent="0.35">
      <c r="A1004" s="1" t="s">
        <v>15</v>
      </c>
      <c r="B1004" s="1">
        <v>1019927</v>
      </c>
      <c r="C1004" s="1">
        <v>1020607</v>
      </c>
      <c r="E1004" s="1" t="s">
        <v>16</v>
      </c>
      <c r="F1004" s="1" t="s">
        <v>3031</v>
      </c>
      <c r="G1004" s="1" t="s">
        <v>3032</v>
      </c>
      <c r="I1004" s="1" t="s">
        <v>19</v>
      </c>
      <c r="L1004" s="1" t="s">
        <v>3033</v>
      </c>
      <c r="M1004" s="1" t="s">
        <v>3031</v>
      </c>
      <c r="N1004" s="1">
        <v>226</v>
      </c>
      <c r="O1004" s="1" t="s">
        <v>3034</v>
      </c>
      <c r="Q1004" s="14"/>
    </row>
    <row r="1005" spans="1:17" x14ac:dyDescent="0.35">
      <c r="A1005" s="1" t="s">
        <v>15</v>
      </c>
      <c r="B1005" s="1">
        <v>1020767</v>
      </c>
      <c r="C1005" s="1">
        <v>1021297</v>
      </c>
      <c r="E1005" s="1" t="s">
        <v>16</v>
      </c>
      <c r="F1005" s="1" t="s">
        <v>3035</v>
      </c>
      <c r="G1005" s="1" t="s">
        <v>3036</v>
      </c>
      <c r="I1005" s="1" t="s">
        <v>19</v>
      </c>
      <c r="L1005" s="1" t="s">
        <v>3037</v>
      </c>
      <c r="M1005" s="1" t="s">
        <v>3035</v>
      </c>
      <c r="N1005" s="1">
        <v>176</v>
      </c>
      <c r="O1005" s="1" t="s">
        <v>3038</v>
      </c>
    </row>
    <row r="1006" spans="1:17" x14ac:dyDescent="0.35">
      <c r="A1006" s="1" t="s">
        <v>15</v>
      </c>
      <c r="B1006" s="1">
        <v>1021336</v>
      </c>
      <c r="C1006" s="1">
        <v>1021536</v>
      </c>
      <c r="E1006" s="1" t="s">
        <v>16</v>
      </c>
      <c r="F1006" s="1" t="s">
        <v>3039</v>
      </c>
      <c r="G1006" s="1" t="s">
        <v>3040</v>
      </c>
      <c r="I1006" s="1" t="s">
        <v>19</v>
      </c>
      <c r="L1006" s="1" t="s">
        <v>3041</v>
      </c>
      <c r="M1006" s="1" t="s">
        <v>3039</v>
      </c>
      <c r="N1006" s="1">
        <v>66</v>
      </c>
      <c r="O1006" s="1" t="s">
        <v>3042</v>
      </c>
    </row>
    <row r="1007" spans="1:17" x14ac:dyDescent="0.35">
      <c r="A1007" s="1" t="s">
        <v>15</v>
      </c>
      <c r="B1007" s="1">
        <v>1021593</v>
      </c>
      <c r="C1007" s="1">
        <v>1021952</v>
      </c>
      <c r="E1007" s="1" t="s">
        <v>16</v>
      </c>
      <c r="F1007" s="1" t="s">
        <v>3043</v>
      </c>
      <c r="G1007" s="1" t="s">
        <v>3044</v>
      </c>
      <c r="I1007" s="1" t="s">
        <v>19</v>
      </c>
      <c r="L1007" s="1" t="s">
        <v>3045</v>
      </c>
      <c r="M1007" s="1" t="s">
        <v>3043</v>
      </c>
      <c r="N1007" s="1">
        <v>119</v>
      </c>
      <c r="O1007" s="1" t="s">
        <v>3046</v>
      </c>
    </row>
    <row r="1008" spans="1:17" x14ac:dyDescent="0.35">
      <c r="A1008" s="1" t="s">
        <v>15</v>
      </c>
      <c r="B1008" s="1">
        <v>1021996</v>
      </c>
      <c r="C1008" s="1">
        <v>1022469</v>
      </c>
      <c r="E1008" s="1" t="s">
        <v>16</v>
      </c>
      <c r="F1008" s="1" t="s">
        <v>54</v>
      </c>
      <c r="I1008" s="1" t="s">
        <v>19</v>
      </c>
      <c r="L1008" s="1" t="s">
        <v>3047</v>
      </c>
      <c r="M1008" s="1" t="s">
        <v>54</v>
      </c>
      <c r="N1008" s="1">
        <v>157</v>
      </c>
      <c r="O1008" s="1" t="s">
        <v>3048</v>
      </c>
    </row>
    <row r="1009" spans="1:17" x14ac:dyDescent="0.35">
      <c r="A1009" s="1" t="s">
        <v>15</v>
      </c>
      <c r="B1009" s="1">
        <v>1022555</v>
      </c>
      <c r="C1009" s="1">
        <v>1023076</v>
      </c>
      <c r="E1009" s="1" t="s">
        <v>16</v>
      </c>
      <c r="F1009" s="1" t="s">
        <v>3049</v>
      </c>
      <c r="G1009" s="1" t="s">
        <v>3050</v>
      </c>
      <c r="I1009" s="1" t="s">
        <v>19</v>
      </c>
      <c r="L1009" s="1" t="s">
        <v>3051</v>
      </c>
      <c r="M1009" s="1" t="s">
        <v>3049</v>
      </c>
      <c r="N1009" s="1">
        <v>173</v>
      </c>
      <c r="O1009" s="1" t="s">
        <v>3052</v>
      </c>
    </row>
    <row r="1010" spans="1:17" x14ac:dyDescent="0.35">
      <c r="A1010" s="1" t="s">
        <v>15</v>
      </c>
      <c r="B1010" s="1">
        <v>1023148</v>
      </c>
      <c r="C1010" s="1">
        <v>1023333</v>
      </c>
      <c r="E1010" s="1" t="s">
        <v>178</v>
      </c>
      <c r="F1010" s="1" t="s">
        <v>3053</v>
      </c>
      <c r="I1010" s="1" t="s">
        <v>19</v>
      </c>
      <c r="L1010" s="1" t="s">
        <v>3054</v>
      </c>
      <c r="M1010" s="1" t="s">
        <v>3053</v>
      </c>
      <c r="N1010" s="1">
        <v>61</v>
      </c>
      <c r="O1010" s="1" t="s">
        <v>3055</v>
      </c>
      <c r="Q1010" s="14"/>
    </row>
    <row r="1011" spans="1:17" x14ac:dyDescent="0.35">
      <c r="A1011" s="1" t="s">
        <v>15</v>
      </c>
      <c r="B1011" s="1">
        <v>1023695</v>
      </c>
      <c r="C1011" s="1">
        <v>1025101</v>
      </c>
      <c r="E1011" s="1" t="s">
        <v>16</v>
      </c>
      <c r="F1011" s="1" t="s">
        <v>3056</v>
      </c>
      <c r="G1011" s="1" t="s">
        <v>3057</v>
      </c>
      <c r="I1011" s="1" t="s">
        <v>19</v>
      </c>
      <c r="L1011" s="1" t="s">
        <v>3058</v>
      </c>
      <c r="M1011" s="1" t="s">
        <v>3056</v>
      </c>
      <c r="N1011" s="1">
        <v>468</v>
      </c>
      <c r="O1011" s="1" t="s">
        <v>3059</v>
      </c>
      <c r="Q1011" s="14"/>
    </row>
    <row r="1012" spans="1:17" x14ac:dyDescent="0.35">
      <c r="A1012" s="1" t="s">
        <v>15</v>
      </c>
      <c r="B1012" s="1">
        <v>1025142</v>
      </c>
      <c r="C1012" s="1">
        <v>1025726</v>
      </c>
      <c r="E1012" s="1" t="s">
        <v>16</v>
      </c>
      <c r="F1012" s="1" t="s">
        <v>3060</v>
      </c>
      <c r="I1012" s="1" t="s">
        <v>19</v>
      </c>
      <c r="L1012" s="1" t="s">
        <v>3061</v>
      </c>
      <c r="M1012" s="1" t="s">
        <v>3060</v>
      </c>
      <c r="N1012" s="1">
        <v>194</v>
      </c>
      <c r="O1012" s="1" t="s">
        <v>3062</v>
      </c>
    </row>
    <row r="1013" spans="1:17" x14ac:dyDescent="0.35">
      <c r="A1013" s="1" t="s">
        <v>15</v>
      </c>
      <c r="B1013" s="1">
        <v>1026100</v>
      </c>
      <c r="C1013" s="1">
        <v>1029888</v>
      </c>
      <c r="E1013" s="1" t="s">
        <v>16</v>
      </c>
      <c r="F1013" s="1" t="s">
        <v>54</v>
      </c>
      <c r="I1013" s="1" t="s">
        <v>19</v>
      </c>
      <c r="L1013" s="1" t="s">
        <v>3063</v>
      </c>
      <c r="M1013" s="1" t="s">
        <v>54</v>
      </c>
      <c r="N1013" s="1">
        <v>1262</v>
      </c>
      <c r="O1013" s="1" t="s">
        <v>3064</v>
      </c>
    </row>
    <row r="1014" spans="1:17" x14ac:dyDescent="0.35">
      <c r="A1014" s="1" t="s">
        <v>15</v>
      </c>
      <c r="B1014" s="1">
        <v>1030350</v>
      </c>
      <c r="C1014" s="1">
        <v>1033460</v>
      </c>
      <c r="E1014" s="1" t="s">
        <v>16</v>
      </c>
      <c r="F1014" s="1" t="s">
        <v>54</v>
      </c>
      <c r="I1014" s="1" t="s">
        <v>19</v>
      </c>
      <c r="L1014" s="1" t="s">
        <v>3065</v>
      </c>
      <c r="M1014" s="1" t="s">
        <v>54</v>
      </c>
      <c r="N1014" s="1">
        <v>1036</v>
      </c>
      <c r="O1014" s="1" t="s">
        <v>3066</v>
      </c>
    </row>
    <row r="1015" spans="1:17" x14ac:dyDescent="0.35">
      <c r="A1015" s="1" t="s">
        <v>15</v>
      </c>
      <c r="B1015" s="1">
        <v>1033620</v>
      </c>
      <c r="C1015" s="1">
        <v>1034300</v>
      </c>
      <c r="E1015" s="1" t="s">
        <v>16</v>
      </c>
      <c r="F1015" s="1" t="s">
        <v>3067</v>
      </c>
      <c r="G1015" s="1" t="s">
        <v>3068</v>
      </c>
      <c r="I1015" s="1" t="s">
        <v>19</v>
      </c>
      <c r="L1015" s="1" t="s">
        <v>3069</v>
      </c>
      <c r="M1015" s="1" t="s">
        <v>3067</v>
      </c>
      <c r="N1015" s="1">
        <v>226</v>
      </c>
      <c r="O1015" s="1" t="s">
        <v>3070</v>
      </c>
      <c r="Q1015" s="14"/>
    </row>
    <row r="1016" spans="1:17" x14ac:dyDescent="0.35">
      <c r="A1016" s="1" t="s">
        <v>15</v>
      </c>
      <c r="B1016" s="1">
        <v>1034422</v>
      </c>
      <c r="C1016" s="1">
        <v>1035633</v>
      </c>
      <c r="E1016" s="1" t="s">
        <v>16</v>
      </c>
      <c r="F1016" s="1" t="s">
        <v>3071</v>
      </c>
      <c r="G1016" s="1" t="s">
        <v>3072</v>
      </c>
      <c r="I1016" s="1" t="s">
        <v>19</v>
      </c>
      <c r="L1016" s="1" t="s">
        <v>3073</v>
      </c>
      <c r="M1016" s="1" t="s">
        <v>3071</v>
      </c>
      <c r="N1016" s="1">
        <v>403</v>
      </c>
      <c r="O1016" s="1" t="s">
        <v>3074</v>
      </c>
      <c r="Q1016" s="14"/>
    </row>
    <row r="1017" spans="1:17" x14ac:dyDescent="0.35">
      <c r="A1017" s="1" t="s">
        <v>15</v>
      </c>
      <c r="B1017" s="1">
        <v>1035635</v>
      </c>
      <c r="C1017" s="1">
        <v>1036180</v>
      </c>
      <c r="E1017" s="1" t="s">
        <v>16</v>
      </c>
      <c r="F1017" s="1" t="s">
        <v>3075</v>
      </c>
      <c r="I1017" s="1" t="s">
        <v>19</v>
      </c>
      <c r="L1017" s="1" t="s">
        <v>3076</v>
      </c>
      <c r="M1017" s="1" t="s">
        <v>3075</v>
      </c>
      <c r="N1017" s="1">
        <v>181</v>
      </c>
      <c r="O1017" s="1" t="s">
        <v>3077</v>
      </c>
      <c r="Q1017" s="14"/>
    </row>
    <row r="1018" spans="1:17" x14ac:dyDescent="0.35">
      <c r="A1018" s="1" t="s">
        <v>15</v>
      </c>
      <c r="B1018" s="1">
        <v>1036199</v>
      </c>
      <c r="C1018" s="1">
        <v>1037008</v>
      </c>
      <c r="E1018" s="1" t="s">
        <v>16</v>
      </c>
      <c r="F1018" s="1" t="s">
        <v>3078</v>
      </c>
      <c r="G1018" s="1" t="s">
        <v>3079</v>
      </c>
      <c r="I1018" s="1" t="s">
        <v>19</v>
      </c>
      <c r="L1018" s="1" t="s">
        <v>3080</v>
      </c>
      <c r="M1018" s="1" t="s">
        <v>3078</v>
      </c>
      <c r="N1018" s="1">
        <v>269</v>
      </c>
      <c r="O1018" s="1" t="s">
        <v>3081</v>
      </c>
      <c r="Q1018" s="14"/>
    </row>
    <row r="1019" spans="1:17" x14ac:dyDescent="0.35">
      <c r="A1019" s="1" t="s">
        <v>15</v>
      </c>
      <c r="B1019" s="1">
        <v>1037022</v>
      </c>
      <c r="C1019" s="1">
        <v>1037735</v>
      </c>
      <c r="E1019" s="1" t="s">
        <v>16</v>
      </c>
      <c r="F1019" s="1" t="s">
        <v>3082</v>
      </c>
      <c r="I1019" s="1" t="s">
        <v>19</v>
      </c>
      <c r="L1019" s="1" t="s">
        <v>3083</v>
      </c>
      <c r="M1019" s="1" t="s">
        <v>3082</v>
      </c>
      <c r="N1019" s="1">
        <v>237</v>
      </c>
      <c r="O1019" s="1" t="s">
        <v>3084</v>
      </c>
    </row>
    <row r="1020" spans="1:17" x14ac:dyDescent="0.35">
      <c r="A1020" s="1" t="s">
        <v>15</v>
      </c>
      <c r="B1020" s="1">
        <v>1037918</v>
      </c>
      <c r="C1020" s="1">
        <v>1039165</v>
      </c>
      <c r="E1020" s="1" t="s">
        <v>16</v>
      </c>
      <c r="F1020" s="1" t="s">
        <v>3085</v>
      </c>
      <c r="G1020" s="1" t="s">
        <v>3086</v>
      </c>
      <c r="I1020" s="1" t="s">
        <v>19</v>
      </c>
      <c r="L1020" s="1" t="s">
        <v>3087</v>
      </c>
      <c r="M1020" s="1" t="s">
        <v>3085</v>
      </c>
      <c r="N1020" s="1">
        <v>415</v>
      </c>
      <c r="O1020" s="1" t="s">
        <v>3088</v>
      </c>
    </row>
    <row r="1021" spans="1:17" x14ac:dyDescent="0.35">
      <c r="A1021" s="1" t="s">
        <v>15</v>
      </c>
      <c r="B1021" s="1">
        <v>1039147</v>
      </c>
      <c r="C1021" s="1">
        <v>1039875</v>
      </c>
      <c r="E1021" s="1" t="s">
        <v>16</v>
      </c>
      <c r="F1021" s="1" t="s">
        <v>3089</v>
      </c>
      <c r="G1021" s="1" t="s">
        <v>3090</v>
      </c>
      <c r="I1021" s="1" t="s">
        <v>19</v>
      </c>
      <c r="L1021" s="1" t="s">
        <v>3091</v>
      </c>
      <c r="M1021" s="1" t="s">
        <v>3089</v>
      </c>
      <c r="N1021" s="1">
        <v>242</v>
      </c>
      <c r="O1021" s="1" t="s">
        <v>3092</v>
      </c>
      <c r="Q1021" s="14"/>
    </row>
    <row r="1022" spans="1:17" x14ac:dyDescent="0.35">
      <c r="A1022" s="1" t="s">
        <v>15</v>
      </c>
      <c r="B1022" s="1">
        <v>1040273</v>
      </c>
      <c r="C1022" s="1">
        <v>1040983</v>
      </c>
      <c r="E1022" s="1" t="s">
        <v>16</v>
      </c>
      <c r="F1022" s="1" t="s">
        <v>3093</v>
      </c>
      <c r="G1022" s="1" t="s">
        <v>3094</v>
      </c>
      <c r="I1022" s="1" t="s">
        <v>19</v>
      </c>
      <c r="L1022" s="1" t="s">
        <v>3095</v>
      </c>
      <c r="M1022" s="1" t="s">
        <v>3093</v>
      </c>
      <c r="N1022" s="1">
        <v>236</v>
      </c>
      <c r="O1022" s="1" t="s">
        <v>3096</v>
      </c>
      <c r="Q1022" s="14"/>
    </row>
    <row r="1023" spans="1:17" x14ac:dyDescent="0.35">
      <c r="A1023" s="1" t="s">
        <v>15</v>
      </c>
      <c r="B1023" s="1">
        <v>1041324</v>
      </c>
      <c r="C1023" s="1">
        <v>1042784</v>
      </c>
      <c r="E1023" s="1" t="s">
        <v>16</v>
      </c>
      <c r="F1023" s="1" t="s">
        <v>849</v>
      </c>
      <c r="G1023" s="1" t="s">
        <v>3097</v>
      </c>
      <c r="I1023" s="1" t="s">
        <v>19</v>
      </c>
      <c r="L1023" s="1" t="s">
        <v>3098</v>
      </c>
      <c r="M1023" s="1" t="s">
        <v>849</v>
      </c>
      <c r="N1023" s="1">
        <v>486</v>
      </c>
      <c r="O1023" s="1" t="s">
        <v>3099</v>
      </c>
    </row>
    <row r="1024" spans="1:17" x14ac:dyDescent="0.35">
      <c r="A1024" s="1" t="s">
        <v>15</v>
      </c>
      <c r="B1024" s="1">
        <v>1042785</v>
      </c>
      <c r="C1024" s="1">
        <v>1043516</v>
      </c>
      <c r="E1024" s="1" t="s">
        <v>16</v>
      </c>
      <c r="F1024" s="1" t="s">
        <v>3100</v>
      </c>
      <c r="G1024" s="1" t="s">
        <v>3101</v>
      </c>
      <c r="I1024" s="1" t="s">
        <v>19</v>
      </c>
      <c r="L1024" s="1" t="s">
        <v>3102</v>
      </c>
      <c r="M1024" s="1" t="s">
        <v>3100</v>
      </c>
      <c r="N1024" s="1">
        <v>243</v>
      </c>
      <c r="O1024" s="1" t="s">
        <v>3103</v>
      </c>
      <c r="Q1024" s="14"/>
    </row>
    <row r="1025" spans="1:17" x14ac:dyDescent="0.35">
      <c r="A1025" s="1" t="s">
        <v>15</v>
      </c>
      <c r="B1025" s="1">
        <v>1043525</v>
      </c>
      <c r="C1025" s="1">
        <v>1044217</v>
      </c>
      <c r="E1025" s="1" t="s">
        <v>16</v>
      </c>
      <c r="F1025" s="1" t="s">
        <v>3104</v>
      </c>
      <c r="G1025" s="1" t="s">
        <v>3105</v>
      </c>
      <c r="I1025" s="1" t="s">
        <v>19</v>
      </c>
      <c r="L1025" s="1" t="s">
        <v>3106</v>
      </c>
      <c r="M1025" s="1" t="s">
        <v>3104</v>
      </c>
      <c r="N1025" s="1">
        <v>230</v>
      </c>
      <c r="O1025" s="1" t="s">
        <v>3107</v>
      </c>
    </row>
    <row r="1026" spans="1:17" x14ac:dyDescent="0.35">
      <c r="A1026" s="1" t="s">
        <v>15</v>
      </c>
      <c r="B1026" s="1">
        <v>1044227</v>
      </c>
      <c r="C1026" s="1">
        <v>1044967</v>
      </c>
      <c r="E1026" s="1" t="s">
        <v>16</v>
      </c>
      <c r="F1026" s="1" t="s">
        <v>3108</v>
      </c>
      <c r="G1026" s="1" t="s">
        <v>3109</v>
      </c>
      <c r="I1026" s="1" t="s">
        <v>19</v>
      </c>
      <c r="L1026" s="1" t="s">
        <v>3110</v>
      </c>
      <c r="M1026" s="1" t="s">
        <v>3108</v>
      </c>
      <c r="N1026" s="1">
        <v>246</v>
      </c>
      <c r="O1026" s="1" t="s">
        <v>3111</v>
      </c>
      <c r="Q1026" s="14"/>
    </row>
    <row r="1027" spans="1:17" x14ac:dyDescent="0.35">
      <c r="A1027" s="1" t="s">
        <v>15</v>
      </c>
      <c r="B1027" s="1">
        <v>1045024</v>
      </c>
      <c r="C1027" s="1">
        <v>1046391</v>
      </c>
      <c r="E1027" s="1" t="s">
        <v>16</v>
      </c>
      <c r="F1027" s="1" t="s">
        <v>3112</v>
      </c>
      <c r="G1027" s="1" t="s">
        <v>3113</v>
      </c>
      <c r="I1027" s="1" t="s">
        <v>19</v>
      </c>
      <c r="L1027" s="1" t="s">
        <v>3114</v>
      </c>
      <c r="M1027" s="1" t="s">
        <v>3112</v>
      </c>
      <c r="N1027" s="1">
        <v>455</v>
      </c>
      <c r="O1027" s="1" t="s">
        <v>3115</v>
      </c>
      <c r="Q1027" s="14"/>
    </row>
    <row r="1028" spans="1:17" x14ac:dyDescent="0.35">
      <c r="A1028" s="1" t="s">
        <v>15</v>
      </c>
      <c r="B1028" s="1">
        <v>1046424</v>
      </c>
      <c r="C1028" s="1">
        <v>1047596</v>
      </c>
      <c r="E1028" s="1" t="s">
        <v>16</v>
      </c>
      <c r="F1028" s="1" t="s">
        <v>3116</v>
      </c>
      <c r="G1028" s="1" t="s">
        <v>3117</v>
      </c>
      <c r="I1028" s="1" t="s">
        <v>19</v>
      </c>
      <c r="L1028" s="1" t="s">
        <v>3118</v>
      </c>
      <c r="M1028" s="1" t="s">
        <v>3116</v>
      </c>
      <c r="N1028" s="1">
        <v>390</v>
      </c>
      <c r="O1028" s="1" t="s">
        <v>3119</v>
      </c>
      <c r="Q1028" s="14"/>
    </row>
    <row r="1029" spans="1:17" x14ac:dyDescent="0.35">
      <c r="A1029" s="1" t="s">
        <v>15</v>
      </c>
      <c r="B1029" s="1">
        <v>1047599</v>
      </c>
      <c r="C1029" s="1">
        <v>1048744</v>
      </c>
      <c r="E1029" s="1" t="s">
        <v>16</v>
      </c>
      <c r="F1029" s="1" t="s">
        <v>551</v>
      </c>
      <c r="G1029" s="1" t="s">
        <v>3120</v>
      </c>
      <c r="I1029" s="1" t="s">
        <v>19</v>
      </c>
      <c r="L1029" s="1" t="s">
        <v>3121</v>
      </c>
      <c r="M1029" s="1" t="s">
        <v>551</v>
      </c>
      <c r="N1029" s="1">
        <v>381</v>
      </c>
      <c r="O1029" s="1" t="s">
        <v>3122</v>
      </c>
    </row>
    <row r="1030" spans="1:17" x14ac:dyDescent="0.35">
      <c r="A1030" s="1" t="s">
        <v>15</v>
      </c>
      <c r="B1030" s="1">
        <v>1048809</v>
      </c>
      <c r="C1030" s="1">
        <v>1049447</v>
      </c>
      <c r="E1030" s="1" t="s">
        <v>16</v>
      </c>
      <c r="F1030" s="1" t="s">
        <v>3123</v>
      </c>
      <c r="G1030" s="1" t="s">
        <v>3124</v>
      </c>
      <c r="I1030" s="1" t="s">
        <v>19</v>
      </c>
      <c r="L1030" s="1" t="s">
        <v>3125</v>
      </c>
      <c r="M1030" s="1" t="s">
        <v>3123</v>
      </c>
      <c r="N1030" s="1">
        <v>212</v>
      </c>
      <c r="O1030" s="1" t="s">
        <v>3126</v>
      </c>
    </row>
    <row r="1031" spans="1:17" x14ac:dyDescent="0.35">
      <c r="A1031" s="1" t="s">
        <v>15</v>
      </c>
      <c r="B1031" s="1">
        <v>1049467</v>
      </c>
      <c r="C1031" s="1">
        <v>1050441</v>
      </c>
      <c r="E1031" s="1" t="s">
        <v>16</v>
      </c>
      <c r="F1031" s="1" t="s">
        <v>3127</v>
      </c>
      <c r="G1031" s="1" t="s">
        <v>3128</v>
      </c>
      <c r="I1031" s="1" t="s">
        <v>19</v>
      </c>
      <c r="L1031" s="1" t="s">
        <v>3129</v>
      </c>
      <c r="M1031" s="1" t="s">
        <v>3127</v>
      </c>
      <c r="N1031" s="1">
        <v>324</v>
      </c>
      <c r="O1031" s="1" t="s">
        <v>3130</v>
      </c>
    </row>
    <row r="1032" spans="1:17" x14ac:dyDescent="0.35">
      <c r="A1032" s="1" t="s">
        <v>15</v>
      </c>
      <c r="B1032" s="1">
        <v>1050462</v>
      </c>
      <c r="C1032" s="1">
        <v>1051454</v>
      </c>
      <c r="E1032" s="1" t="s">
        <v>16</v>
      </c>
      <c r="F1032" s="1" t="s">
        <v>3131</v>
      </c>
      <c r="G1032" s="1" t="s">
        <v>3132</v>
      </c>
      <c r="I1032" s="1" t="s">
        <v>19</v>
      </c>
      <c r="L1032" s="1" t="s">
        <v>3133</v>
      </c>
      <c r="M1032" s="1" t="s">
        <v>3131</v>
      </c>
      <c r="N1032" s="1">
        <v>330</v>
      </c>
      <c r="O1032" s="1" t="s">
        <v>3134</v>
      </c>
      <c r="Q1032" s="14"/>
    </row>
    <row r="1033" spans="1:17" x14ac:dyDescent="0.35">
      <c r="A1033" s="1" t="s">
        <v>15</v>
      </c>
      <c r="B1033" s="1">
        <v>1051483</v>
      </c>
      <c r="C1033" s="1">
        <v>1052649</v>
      </c>
      <c r="E1033" s="1" t="s">
        <v>16</v>
      </c>
      <c r="F1033" s="1" t="s">
        <v>3135</v>
      </c>
      <c r="G1033" s="1" t="s">
        <v>3136</v>
      </c>
      <c r="I1033" s="1" t="s">
        <v>19</v>
      </c>
      <c r="L1033" s="1" t="s">
        <v>3137</v>
      </c>
      <c r="M1033" s="1" t="s">
        <v>3135</v>
      </c>
      <c r="N1033" s="1">
        <v>388</v>
      </c>
      <c r="O1033" s="1" t="s">
        <v>3138</v>
      </c>
    </row>
    <row r="1034" spans="1:17" x14ac:dyDescent="0.35">
      <c r="A1034" s="1" t="s">
        <v>15</v>
      </c>
      <c r="B1034" s="1">
        <v>1052699</v>
      </c>
      <c r="C1034" s="1">
        <v>1054114</v>
      </c>
      <c r="E1034" s="1" t="s">
        <v>16</v>
      </c>
      <c r="F1034" s="1" t="s">
        <v>3139</v>
      </c>
      <c r="G1034" s="1" t="s">
        <v>3140</v>
      </c>
      <c r="I1034" s="1" t="s">
        <v>19</v>
      </c>
      <c r="L1034" s="1" t="s">
        <v>3141</v>
      </c>
      <c r="M1034" s="1" t="s">
        <v>3139</v>
      </c>
      <c r="N1034" s="1">
        <v>471</v>
      </c>
      <c r="O1034" s="1" t="s">
        <v>3142</v>
      </c>
    </row>
    <row r="1035" spans="1:17" x14ac:dyDescent="0.35">
      <c r="A1035" s="1" t="s">
        <v>15</v>
      </c>
      <c r="B1035" s="1">
        <v>1054125</v>
      </c>
      <c r="C1035" s="1">
        <v>1055225</v>
      </c>
      <c r="E1035" s="1" t="s">
        <v>16</v>
      </c>
      <c r="F1035" s="1" t="s">
        <v>3143</v>
      </c>
      <c r="G1035" s="1" t="s">
        <v>3144</v>
      </c>
      <c r="I1035" s="1" t="s">
        <v>19</v>
      </c>
      <c r="L1035" s="1" t="s">
        <v>3145</v>
      </c>
      <c r="M1035" s="1" t="s">
        <v>3143</v>
      </c>
      <c r="N1035" s="1">
        <v>366</v>
      </c>
      <c r="O1035" s="1" t="s">
        <v>3146</v>
      </c>
      <c r="Q1035" s="14"/>
    </row>
    <row r="1036" spans="1:17" x14ac:dyDescent="0.35">
      <c r="A1036" s="1" t="s">
        <v>15</v>
      </c>
      <c r="B1036" s="1">
        <v>1055222</v>
      </c>
      <c r="C1036" s="1">
        <v>1056214</v>
      </c>
      <c r="E1036" s="1" t="s">
        <v>16</v>
      </c>
      <c r="F1036" s="1" t="s">
        <v>3147</v>
      </c>
      <c r="G1036" s="1" t="s">
        <v>3148</v>
      </c>
      <c r="I1036" s="1" t="s">
        <v>19</v>
      </c>
      <c r="L1036" s="1" t="s">
        <v>3149</v>
      </c>
      <c r="M1036" s="1" t="s">
        <v>3147</v>
      </c>
      <c r="N1036" s="1">
        <v>330</v>
      </c>
      <c r="O1036" s="1" t="s">
        <v>3150</v>
      </c>
      <c r="Q1036" s="14"/>
    </row>
    <row r="1037" spans="1:17" x14ac:dyDescent="0.35">
      <c r="A1037" s="1" t="s">
        <v>15</v>
      </c>
      <c r="B1037" s="1">
        <v>1056225</v>
      </c>
      <c r="C1037" s="1">
        <v>1057277</v>
      </c>
      <c r="E1037" s="1" t="s">
        <v>16</v>
      </c>
      <c r="F1037" s="1" t="s">
        <v>3151</v>
      </c>
      <c r="G1037" s="1" t="s">
        <v>3152</v>
      </c>
      <c r="I1037" s="1" t="s">
        <v>19</v>
      </c>
      <c r="L1037" s="1" t="s">
        <v>3153</v>
      </c>
      <c r="M1037" s="1" t="s">
        <v>3151</v>
      </c>
      <c r="N1037" s="1">
        <v>350</v>
      </c>
      <c r="O1037" s="1" t="s">
        <v>3154</v>
      </c>
      <c r="Q1037" s="14"/>
    </row>
    <row r="1038" spans="1:17" x14ac:dyDescent="0.35">
      <c r="A1038" s="1" t="s">
        <v>15</v>
      </c>
      <c r="B1038" s="1">
        <v>1057317</v>
      </c>
      <c r="C1038" s="1">
        <v>1058294</v>
      </c>
      <c r="E1038" s="1" t="s">
        <v>178</v>
      </c>
      <c r="F1038" s="1" t="s">
        <v>54</v>
      </c>
      <c r="I1038" s="1" t="s">
        <v>19</v>
      </c>
      <c r="L1038" s="1" t="s">
        <v>3155</v>
      </c>
      <c r="M1038" s="1" t="s">
        <v>54</v>
      </c>
      <c r="N1038" s="1">
        <v>325</v>
      </c>
      <c r="O1038" s="1" t="s">
        <v>3156</v>
      </c>
    </row>
    <row r="1039" spans="1:17" x14ac:dyDescent="0.35">
      <c r="A1039" s="1" t="s">
        <v>15</v>
      </c>
      <c r="B1039" s="1">
        <v>1058482</v>
      </c>
      <c r="C1039" s="1">
        <v>1059300</v>
      </c>
      <c r="E1039" s="1" t="s">
        <v>16</v>
      </c>
      <c r="F1039" s="1" t="s">
        <v>3157</v>
      </c>
      <c r="G1039" s="1" t="s">
        <v>3158</v>
      </c>
      <c r="I1039" s="1" t="s">
        <v>19</v>
      </c>
      <c r="L1039" s="1" t="s">
        <v>3159</v>
      </c>
      <c r="M1039" s="1" t="s">
        <v>3157</v>
      </c>
      <c r="N1039" s="1">
        <v>272</v>
      </c>
      <c r="O1039" s="1" t="s">
        <v>3160</v>
      </c>
      <c r="Q1039" s="14"/>
    </row>
    <row r="1040" spans="1:17" x14ac:dyDescent="0.35">
      <c r="A1040" s="1" t="s">
        <v>15</v>
      </c>
      <c r="B1040" s="1">
        <v>1059319</v>
      </c>
      <c r="C1040" s="1">
        <v>1059921</v>
      </c>
      <c r="E1040" s="1" t="s">
        <v>16</v>
      </c>
      <c r="F1040" s="1" t="s">
        <v>3161</v>
      </c>
      <c r="I1040" s="1" t="s">
        <v>19</v>
      </c>
      <c r="L1040" s="1" t="s">
        <v>3162</v>
      </c>
      <c r="M1040" s="1" t="s">
        <v>3161</v>
      </c>
      <c r="N1040" s="1">
        <v>200</v>
      </c>
      <c r="O1040" s="1" t="s">
        <v>3163</v>
      </c>
      <c r="Q1040" s="14"/>
    </row>
    <row r="1041" spans="1:17" x14ac:dyDescent="0.35">
      <c r="A1041" s="1" t="s">
        <v>15</v>
      </c>
      <c r="B1041" s="1">
        <v>1059918</v>
      </c>
      <c r="C1041" s="1">
        <v>1060526</v>
      </c>
      <c r="E1041" s="1" t="s">
        <v>16</v>
      </c>
      <c r="F1041" s="1" t="s">
        <v>3161</v>
      </c>
      <c r="I1041" s="1" t="s">
        <v>19</v>
      </c>
      <c r="L1041" s="1" t="s">
        <v>3164</v>
      </c>
      <c r="M1041" s="1" t="s">
        <v>3161</v>
      </c>
      <c r="N1041" s="1">
        <v>202</v>
      </c>
      <c r="O1041" s="1" t="s">
        <v>3165</v>
      </c>
      <c r="Q1041" s="14"/>
    </row>
    <row r="1042" spans="1:17" x14ac:dyDescent="0.35">
      <c r="A1042" s="1" t="s">
        <v>15</v>
      </c>
      <c r="B1042" s="1">
        <v>1060523</v>
      </c>
      <c r="C1042" s="1">
        <v>1061119</v>
      </c>
      <c r="E1042" s="1" t="s">
        <v>16</v>
      </c>
      <c r="F1042" s="1" t="s">
        <v>3166</v>
      </c>
      <c r="G1042" s="1" t="s">
        <v>3167</v>
      </c>
      <c r="I1042" s="1" t="s">
        <v>19</v>
      </c>
      <c r="L1042" s="1" t="s">
        <v>3168</v>
      </c>
      <c r="M1042" s="1" t="s">
        <v>3166</v>
      </c>
      <c r="N1042" s="1">
        <v>198</v>
      </c>
      <c r="O1042" s="1" t="s">
        <v>3169</v>
      </c>
      <c r="Q1042" s="14"/>
    </row>
    <row r="1043" spans="1:17" x14ac:dyDescent="0.35">
      <c r="A1043" s="1" t="s">
        <v>15</v>
      </c>
      <c r="B1043" s="1">
        <v>1061197</v>
      </c>
      <c r="C1043" s="1">
        <v>1062333</v>
      </c>
      <c r="E1043" s="1" t="s">
        <v>16</v>
      </c>
      <c r="F1043" s="1" t="s">
        <v>1375</v>
      </c>
      <c r="I1043" s="1" t="s">
        <v>19</v>
      </c>
      <c r="L1043" s="1" t="s">
        <v>3170</v>
      </c>
      <c r="M1043" s="1" t="s">
        <v>1375</v>
      </c>
      <c r="N1043" s="1">
        <v>378</v>
      </c>
      <c r="O1043" s="1" t="s">
        <v>3171</v>
      </c>
    </row>
    <row r="1044" spans="1:17" x14ac:dyDescent="0.35">
      <c r="A1044" s="1" t="s">
        <v>15</v>
      </c>
      <c r="B1044" s="1">
        <v>1062457</v>
      </c>
      <c r="C1044" s="1">
        <v>1063893</v>
      </c>
      <c r="E1044" s="1" t="s">
        <v>16</v>
      </c>
      <c r="F1044" s="1" t="s">
        <v>3172</v>
      </c>
      <c r="G1044" s="1" t="s">
        <v>3173</v>
      </c>
      <c r="I1044" s="1" t="s">
        <v>19</v>
      </c>
      <c r="L1044" s="1" t="s">
        <v>3174</v>
      </c>
      <c r="M1044" s="1" t="s">
        <v>3172</v>
      </c>
      <c r="N1044" s="1">
        <v>478</v>
      </c>
      <c r="O1044" s="1" t="s">
        <v>3175</v>
      </c>
      <c r="Q1044" s="14"/>
    </row>
    <row r="1045" spans="1:17" x14ac:dyDescent="0.35">
      <c r="A1045" s="1" t="s">
        <v>15</v>
      </c>
      <c r="B1045" s="1">
        <v>1064141</v>
      </c>
      <c r="C1045" s="1">
        <v>1064419</v>
      </c>
      <c r="E1045" s="1" t="s">
        <v>16</v>
      </c>
      <c r="F1045" s="1" t="s">
        <v>54</v>
      </c>
      <c r="I1045" s="1" t="s">
        <v>19</v>
      </c>
      <c r="L1045" s="1" t="s">
        <v>3176</v>
      </c>
      <c r="M1045" s="1" t="s">
        <v>54</v>
      </c>
      <c r="N1045" s="1">
        <v>92</v>
      </c>
      <c r="O1045" s="1" t="s">
        <v>3177</v>
      </c>
    </row>
    <row r="1046" spans="1:17" x14ac:dyDescent="0.35">
      <c r="A1046" s="1" t="s">
        <v>15</v>
      </c>
      <c r="B1046" s="1">
        <v>1064437</v>
      </c>
      <c r="C1046" s="1">
        <v>1066014</v>
      </c>
      <c r="E1046" s="1" t="s">
        <v>16</v>
      </c>
      <c r="F1046" s="1" t="s">
        <v>3178</v>
      </c>
      <c r="I1046" s="1" t="s">
        <v>19</v>
      </c>
      <c r="L1046" s="1" t="s">
        <v>3179</v>
      </c>
      <c r="M1046" s="1" t="s">
        <v>3178</v>
      </c>
      <c r="N1046" s="1">
        <v>525</v>
      </c>
      <c r="O1046" s="1" t="s">
        <v>3180</v>
      </c>
      <c r="Q1046" s="14"/>
    </row>
    <row r="1047" spans="1:17" x14ac:dyDescent="0.35">
      <c r="A1047" s="1" t="s">
        <v>15</v>
      </c>
      <c r="B1047" s="1">
        <v>1066018</v>
      </c>
      <c r="C1047" s="1">
        <v>1066638</v>
      </c>
      <c r="E1047" s="1" t="s">
        <v>16</v>
      </c>
      <c r="F1047" s="1" t="s">
        <v>54</v>
      </c>
      <c r="I1047" s="1" t="s">
        <v>19</v>
      </c>
      <c r="L1047" s="1" t="s">
        <v>3181</v>
      </c>
      <c r="M1047" s="1" t="s">
        <v>54</v>
      </c>
      <c r="N1047" s="1">
        <v>206</v>
      </c>
      <c r="O1047" s="1" t="s">
        <v>3182</v>
      </c>
    </row>
    <row r="1048" spans="1:17" x14ac:dyDescent="0.35">
      <c r="A1048" s="1" t="s">
        <v>15</v>
      </c>
      <c r="B1048" s="1">
        <v>1066635</v>
      </c>
      <c r="C1048" s="1">
        <v>1067486</v>
      </c>
      <c r="E1048" s="1" t="s">
        <v>16</v>
      </c>
      <c r="F1048" s="1" t="s">
        <v>3183</v>
      </c>
      <c r="I1048" s="1" t="s">
        <v>19</v>
      </c>
      <c r="L1048" s="1" t="s">
        <v>3184</v>
      </c>
      <c r="M1048" s="1" t="s">
        <v>3183</v>
      </c>
      <c r="N1048" s="1">
        <v>283</v>
      </c>
      <c r="O1048" s="1" t="s">
        <v>3185</v>
      </c>
      <c r="Q1048" s="14"/>
    </row>
    <row r="1049" spans="1:17" x14ac:dyDescent="0.35">
      <c r="A1049" s="1" t="s">
        <v>15</v>
      </c>
      <c r="B1049" s="1">
        <v>1067513</v>
      </c>
      <c r="C1049" s="1">
        <v>1068859</v>
      </c>
      <c r="E1049" s="1" t="s">
        <v>178</v>
      </c>
      <c r="F1049" s="1" t="s">
        <v>3186</v>
      </c>
      <c r="G1049" s="1" t="s">
        <v>3187</v>
      </c>
      <c r="I1049" s="1" t="s">
        <v>19</v>
      </c>
      <c r="L1049" s="1" t="s">
        <v>3188</v>
      </c>
      <c r="M1049" s="1" t="s">
        <v>3186</v>
      </c>
      <c r="N1049" s="1">
        <v>448</v>
      </c>
      <c r="O1049" s="1" t="s">
        <v>3189</v>
      </c>
      <c r="Q1049" s="14"/>
    </row>
    <row r="1050" spans="1:17" x14ac:dyDescent="0.35">
      <c r="A1050" s="1" t="s">
        <v>15</v>
      </c>
      <c r="B1050" s="1">
        <v>1069090</v>
      </c>
      <c r="C1050" s="1">
        <v>1070286</v>
      </c>
      <c r="E1050" s="1" t="s">
        <v>178</v>
      </c>
      <c r="F1050" s="1" t="s">
        <v>3190</v>
      </c>
      <c r="I1050" s="1" t="s">
        <v>19</v>
      </c>
      <c r="L1050" s="1" t="s">
        <v>3191</v>
      </c>
      <c r="M1050" s="1" t="s">
        <v>3190</v>
      </c>
      <c r="N1050" s="1">
        <v>398</v>
      </c>
      <c r="O1050" s="1" t="s">
        <v>3192</v>
      </c>
    </row>
    <row r="1051" spans="1:17" x14ac:dyDescent="0.35">
      <c r="A1051" s="1" t="s">
        <v>15</v>
      </c>
      <c r="B1051" s="1">
        <v>1070500</v>
      </c>
      <c r="C1051" s="1">
        <v>1071153</v>
      </c>
      <c r="E1051" s="1" t="s">
        <v>16</v>
      </c>
      <c r="F1051" s="1" t="s">
        <v>3060</v>
      </c>
      <c r="G1051" s="1" t="s">
        <v>3193</v>
      </c>
      <c r="I1051" s="1" t="s">
        <v>19</v>
      </c>
      <c r="L1051" s="1" t="s">
        <v>3194</v>
      </c>
      <c r="M1051" s="1" t="s">
        <v>3060</v>
      </c>
      <c r="N1051" s="1">
        <v>217</v>
      </c>
      <c r="O1051" s="1" t="s">
        <v>3195</v>
      </c>
      <c r="Q1051" s="14"/>
    </row>
    <row r="1052" spans="1:17" x14ac:dyDescent="0.35">
      <c r="A1052" s="1" t="s">
        <v>15</v>
      </c>
      <c r="B1052" s="1">
        <v>1071173</v>
      </c>
      <c r="C1052" s="1">
        <v>1072441</v>
      </c>
      <c r="E1052" s="1" t="s">
        <v>16</v>
      </c>
      <c r="F1052" s="1" t="s">
        <v>3196</v>
      </c>
      <c r="G1052" s="1" t="s">
        <v>3197</v>
      </c>
      <c r="I1052" s="1" t="s">
        <v>19</v>
      </c>
      <c r="L1052" s="1" t="s">
        <v>3198</v>
      </c>
      <c r="M1052" s="1" t="s">
        <v>3196</v>
      </c>
      <c r="N1052" s="1">
        <v>422</v>
      </c>
      <c r="O1052" s="1" t="s">
        <v>3199</v>
      </c>
      <c r="Q1052" s="14"/>
    </row>
    <row r="1053" spans="1:17" x14ac:dyDescent="0.35">
      <c r="A1053" s="1" t="s">
        <v>15</v>
      </c>
      <c r="B1053" s="1">
        <v>1072519</v>
      </c>
      <c r="C1053" s="1">
        <v>1074498</v>
      </c>
      <c r="E1053" s="1" t="s">
        <v>16</v>
      </c>
      <c r="F1053" s="1" t="s">
        <v>54</v>
      </c>
      <c r="I1053" s="1" t="s">
        <v>19</v>
      </c>
      <c r="L1053" s="1" t="s">
        <v>3200</v>
      </c>
      <c r="M1053" s="1" t="s">
        <v>54</v>
      </c>
      <c r="N1053" s="1">
        <v>659</v>
      </c>
      <c r="O1053" s="1" t="s">
        <v>3201</v>
      </c>
    </row>
    <row r="1054" spans="1:17" x14ac:dyDescent="0.35">
      <c r="A1054" s="1" t="s">
        <v>15</v>
      </c>
      <c r="B1054" s="1">
        <v>1074671</v>
      </c>
      <c r="C1054" s="1">
        <v>1075960</v>
      </c>
      <c r="E1054" s="1" t="s">
        <v>178</v>
      </c>
      <c r="F1054" s="1" t="s">
        <v>54</v>
      </c>
      <c r="I1054" s="1" t="s">
        <v>19</v>
      </c>
      <c r="L1054" s="1" t="s">
        <v>3202</v>
      </c>
      <c r="M1054" s="1" t="s">
        <v>54</v>
      </c>
      <c r="N1054" s="1">
        <v>429</v>
      </c>
      <c r="O1054" s="1" t="s">
        <v>3203</v>
      </c>
    </row>
    <row r="1055" spans="1:17" x14ac:dyDescent="0.35">
      <c r="A1055" s="1" t="s">
        <v>15</v>
      </c>
      <c r="B1055" s="1">
        <v>1075950</v>
      </c>
      <c r="C1055" s="1">
        <v>1077212</v>
      </c>
      <c r="E1055" s="1" t="s">
        <v>178</v>
      </c>
      <c r="F1055" s="1" t="s">
        <v>54</v>
      </c>
      <c r="I1055" s="1" t="s">
        <v>19</v>
      </c>
      <c r="L1055" s="1" t="s">
        <v>3204</v>
      </c>
      <c r="M1055" s="1" t="s">
        <v>54</v>
      </c>
      <c r="N1055" s="1">
        <v>420</v>
      </c>
      <c r="O1055" s="1" t="s">
        <v>3205</v>
      </c>
    </row>
    <row r="1056" spans="1:17" x14ac:dyDescent="0.35">
      <c r="A1056" s="1" t="s">
        <v>15</v>
      </c>
      <c r="B1056" s="1">
        <v>1077393</v>
      </c>
      <c r="C1056" s="1">
        <v>1078364</v>
      </c>
      <c r="E1056" s="1" t="s">
        <v>16</v>
      </c>
      <c r="F1056" s="1" t="s">
        <v>3206</v>
      </c>
      <c r="I1056" s="1" t="s">
        <v>19</v>
      </c>
      <c r="L1056" s="1" t="s">
        <v>3207</v>
      </c>
      <c r="M1056" s="1" t="s">
        <v>3206</v>
      </c>
      <c r="N1056" s="1">
        <v>323</v>
      </c>
      <c r="O1056" s="1" t="s">
        <v>3208</v>
      </c>
      <c r="Q1056" s="14"/>
    </row>
    <row r="1057" spans="1:17" x14ac:dyDescent="0.35">
      <c r="A1057" s="1" t="s">
        <v>15</v>
      </c>
      <c r="B1057" s="1">
        <v>1078389</v>
      </c>
      <c r="C1057" s="1">
        <v>1079387</v>
      </c>
      <c r="E1057" s="1" t="s">
        <v>16</v>
      </c>
      <c r="F1057" s="1" t="s">
        <v>3209</v>
      </c>
      <c r="I1057" s="1" t="s">
        <v>19</v>
      </c>
      <c r="L1057" s="1" t="s">
        <v>3210</v>
      </c>
      <c r="M1057" s="1" t="s">
        <v>3209</v>
      </c>
      <c r="N1057" s="1">
        <v>332</v>
      </c>
      <c r="O1057" s="1" t="s">
        <v>3211</v>
      </c>
      <c r="Q1057" s="14"/>
    </row>
    <row r="1058" spans="1:17" x14ac:dyDescent="0.35">
      <c r="A1058" s="1" t="s">
        <v>15</v>
      </c>
      <c r="B1058" s="1">
        <v>1079617</v>
      </c>
      <c r="C1058" s="1">
        <v>1081005</v>
      </c>
      <c r="E1058" s="1" t="s">
        <v>16</v>
      </c>
      <c r="F1058" s="1" t="s">
        <v>3212</v>
      </c>
      <c r="I1058" s="1" t="s">
        <v>19</v>
      </c>
      <c r="L1058" s="1" t="s">
        <v>3213</v>
      </c>
      <c r="M1058" s="1" t="s">
        <v>3212</v>
      </c>
      <c r="N1058" s="1">
        <v>462</v>
      </c>
      <c r="O1058" s="1" t="s">
        <v>3214</v>
      </c>
      <c r="Q1058" s="14"/>
    </row>
    <row r="1059" spans="1:17" x14ac:dyDescent="0.35">
      <c r="A1059" s="1" t="s">
        <v>15</v>
      </c>
      <c r="B1059" s="1">
        <v>1081183</v>
      </c>
      <c r="C1059" s="1">
        <v>1082940</v>
      </c>
      <c r="E1059" s="1" t="s">
        <v>16</v>
      </c>
      <c r="F1059" s="1" t="s">
        <v>3215</v>
      </c>
      <c r="G1059" s="1" t="s">
        <v>3216</v>
      </c>
      <c r="I1059" s="1" t="s">
        <v>19</v>
      </c>
      <c r="L1059" s="1" t="s">
        <v>3217</v>
      </c>
      <c r="M1059" s="1" t="s">
        <v>3215</v>
      </c>
      <c r="N1059" s="1">
        <v>585</v>
      </c>
      <c r="O1059" s="1" t="s">
        <v>3218</v>
      </c>
      <c r="Q1059" s="14"/>
    </row>
    <row r="1060" spans="1:17" x14ac:dyDescent="0.35">
      <c r="A1060" s="1" t="s">
        <v>15</v>
      </c>
      <c r="B1060" s="1">
        <v>1083215</v>
      </c>
      <c r="C1060" s="1">
        <v>1086766</v>
      </c>
      <c r="E1060" s="1" t="s">
        <v>16</v>
      </c>
      <c r="F1060" s="1" t="s">
        <v>54</v>
      </c>
      <c r="I1060" s="1" t="s">
        <v>19</v>
      </c>
      <c r="L1060" s="1" t="s">
        <v>3219</v>
      </c>
      <c r="M1060" s="1" t="s">
        <v>54</v>
      </c>
      <c r="N1060" s="1">
        <v>1183</v>
      </c>
      <c r="O1060" s="1" t="s">
        <v>3220</v>
      </c>
    </row>
    <row r="1061" spans="1:17" x14ac:dyDescent="0.35">
      <c r="A1061" s="1" t="s">
        <v>15</v>
      </c>
      <c r="B1061" s="1">
        <v>1087061</v>
      </c>
      <c r="C1061" s="1">
        <v>1090003</v>
      </c>
      <c r="E1061" s="1" t="s">
        <v>16</v>
      </c>
      <c r="F1061" s="1" t="s">
        <v>3221</v>
      </c>
      <c r="I1061" s="1" t="s">
        <v>19</v>
      </c>
      <c r="L1061" s="1" t="s">
        <v>3222</v>
      </c>
      <c r="M1061" s="1" t="s">
        <v>3221</v>
      </c>
      <c r="N1061" s="1">
        <v>980</v>
      </c>
      <c r="O1061" s="1" t="s">
        <v>3223</v>
      </c>
    </row>
    <row r="1062" spans="1:17" x14ac:dyDescent="0.35">
      <c r="A1062" s="1" t="s">
        <v>15</v>
      </c>
      <c r="B1062" s="1">
        <v>1090135</v>
      </c>
      <c r="C1062" s="1">
        <v>1093848</v>
      </c>
      <c r="E1062" s="1" t="s">
        <v>16</v>
      </c>
      <c r="F1062" s="1" t="s">
        <v>3224</v>
      </c>
      <c r="G1062" s="1" t="s">
        <v>3225</v>
      </c>
      <c r="I1062" s="1" t="s">
        <v>19</v>
      </c>
      <c r="L1062" s="1" t="s">
        <v>3226</v>
      </c>
      <c r="M1062" s="1" t="s">
        <v>3224</v>
      </c>
      <c r="N1062" s="1">
        <v>1237</v>
      </c>
      <c r="O1062" s="1" t="s">
        <v>3227</v>
      </c>
      <c r="Q1062" s="14"/>
    </row>
    <row r="1063" spans="1:17" x14ac:dyDescent="0.35">
      <c r="A1063" s="1" t="s">
        <v>15</v>
      </c>
      <c r="B1063" s="1">
        <v>1094099</v>
      </c>
      <c r="C1063" s="1">
        <v>1094971</v>
      </c>
      <c r="E1063" s="1" t="s">
        <v>16</v>
      </c>
      <c r="F1063" s="1" t="s">
        <v>50</v>
      </c>
      <c r="I1063" s="1" t="s">
        <v>19</v>
      </c>
      <c r="L1063" s="1" t="s">
        <v>3228</v>
      </c>
      <c r="M1063" s="1" t="s">
        <v>50</v>
      </c>
      <c r="N1063" s="1">
        <v>290</v>
      </c>
      <c r="O1063" s="1" t="s">
        <v>3229</v>
      </c>
    </row>
    <row r="1064" spans="1:17" x14ac:dyDescent="0.35">
      <c r="A1064" s="1" t="s">
        <v>15</v>
      </c>
      <c r="B1064" s="1">
        <v>1094977</v>
      </c>
      <c r="C1064" s="1">
        <v>1096182</v>
      </c>
      <c r="E1064" s="1" t="s">
        <v>16</v>
      </c>
      <c r="F1064" s="1" t="s">
        <v>3230</v>
      </c>
      <c r="I1064" s="1" t="s">
        <v>19</v>
      </c>
      <c r="L1064" s="1" t="s">
        <v>3231</v>
      </c>
      <c r="M1064" s="1" t="s">
        <v>3230</v>
      </c>
      <c r="N1064" s="1">
        <v>401</v>
      </c>
      <c r="O1064" s="1" t="s">
        <v>3232</v>
      </c>
    </row>
    <row r="1065" spans="1:17" x14ac:dyDescent="0.35">
      <c r="A1065" s="1" t="s">
        <v>15</v>
      </c>
      <c r="B1065" s="1">
        <v>1096175</v>
      </c>
      <c r="C1065" s="1">
        <v>1097845</v>
      </c>
      <c r="E1065" s="1" t="s">
        <v>16</v>
      </c>
      <c r="F1065" s="1" t="s">
        <v>3233</v>
      </c>
      <c r="I1065" s="1" t="s">
        <v>19</v>
      </c>
      <c r="L1065" s="1" t="s">
        <v>3234</v>
      </c>
      <c r="M1065" s="1" t="s">
        <v>3233</v>
      </c>
      <c r="N1065" s="1">
        <v>556</v>
      </c>
      <c r="O1065" s="1" t="s">
        <v>3235</v>
      </c>
    </row>
    <row r="1066" spans="1:17" x14ac:dyDescent="0.35">
      <c r="A1066" s="1" t="s">
        <v>15</v>
      </c>
      <c r="B1066" s="1">
        <v>1097832</v>
      </c>
      <c r="C1066" s="1">
        <v>1098560</v>
      </c>
      <c r="E1066" s="1" t="s">
        <v>16</v>
      </c>
      <c r="F1066" s="1" t="s">
        <v>3236</v>
      </c>
      <c r="G1066" s="1" t="s">
        <v>3237</v>
      </c>
      <c r="I1066" s="1" t="s">
        <v>19</v>
      </c>
      <c r="L1066" s="1" t="s">
        <v>3238</v>
      </c>
      <c r="M1066" s="1" t="s">
        <v>3236</v>
      </c>
      <c r="N1066" s="1">
        <v>242</v>
      </c>
      <c r="O1066" s="1" t="s">
        <v>3239</v>
      </c>
    </row>
    <row r="1067" spans="1:17" x14ac:dyDescent="0.35">
      <c r="A1067" s="1" t="s">
        <v>15</v>
      </c>
      <c r="B1067" s="1">
        <v>1098573</v>
      </c>
      <c r="C1067" s="1">
        <v>1098761</v>
      </c>
      <c r="E1067" s="1" t="s">
        <v>16</v>
      </c>
      <c r="F1067" s="1" t="s">
        <v>3240</v>
      </c>
      <c r="I1067" s="1" t="s">
        <v>19</v>
      </c>
      <c r="L1067" s="1" t="s">
        <v>3241</v>
      </c>
      <c r="M1067" s="1" t="s">
        <v>3240</v>
      </c>
      <c r="N1067" s="1">
        <v>62</v>
      </c>
      <c r="O1067" s="1" t="s">
        <v>3242</v>
      </c>
    </row>
    <row r="1068" spans="1:17" x14ac:dyDescent="0.35">
      <c r="A1068" s="1" t="s">
        <v>15</v>
      </c>
      <c r="B1068" s="1">
        <v>1098897</v>
      </c>
      <c r="C1068" s="1">
        <v>1098995</v>
      </c>
      <c r="E1068" s="1" t="s">
        <v>178</v>
      </c>
      <c r="F1068" s="1" t="s">
        <v>54</v>
      </c>
      <c r="I1068" s="1" t="s">
        <v>19</v>
      </c>
      <c r="L1068" s="1" t="s">
        <v>3243</v>
      </c>
      <c r="M1068" s="1" t="s">
        <v>54</v>
      </c>
      <c r="N1068" s="1">
        <v>32</v>
      </c>
      <c r="O1068" s="1" t="s">
        <v>3244</v>
      </c>
    </row>
    <row r="1069" spans="1:17" x14ac:dyDescent="0.35">
      <c r="A1069" s="1" t="s">
        <v>15</v>
      </c>
      <c r="B1069" s="1">
        <v>1099150</v>
      </c>
      <c r="C1069" s="1">
        <v>1100286</v>
      </c>
      <c r="E1069" s="1" t="s">
        <v>178</v>
      </c>
      <c r="F1069" s="1" t="s">
        <v>3245</v>
      </c>
      <c r="G1069" s="1" t="s">
        <v>3246</v>
      </c>
      <c r="I1069" s="1" t="s">
        <v>19</v>
      </c>
      <c r="L1069" s="1" t="s">
        <v>3247</v>
      </c>
      <c r="M1069" s="1" t="s">
        <v>3245</v>
      </c>
      <c r="N1069" s="1">
        <v>378</v>
      </c>
      <c r="O1069" s="1" t="s">
        <v>3248</v>
      </c>
    </row>
    <row r="1070" spans="1:17" x14ac:dyDescent="0.35">
      <c r="A1070" s="1" t="s">
        <v>15</v>
      </c>
      <c r="B1070" s="1">
        <v>1100302</v>
      </c>
      <c r="C1070" s="1">
        <v>1101138</v>
      </c>
      <c r="E1070" s="1" t="s">
        <v>178</v>
      </c>
      <c r="F1070" s="1" t="s">
        <v>3249</v>
      </c>
      <c r="G1070" s="1" t="s">
        <v>3250</v>
      </c>
      <c r="I1070" s="1" t="s">
        <v>19</v>
      </c>
      <c r="L1070" s="1" t="s">
        <v>3251</v>
      </c>
      <c r="M1070" s="1" t="s">
        <v>3249</v>
      </c>
      <c r="N1070" s="1">
        <v>278</v>
      </c>
      <c r="O1070" s="1" t="s">
        <v>3252</v>
      </c>
    </row>
    <row r="1071" spans="1:17" x14ac:dyDescent="0.35">
      <c r="A1071" s="1" t="s">
        <v>15</v>
      </c>
      <c r="B1071" s="1">
        <v>1101138</v>
      </c>
      <c r="C1071" s="1">
        <v>1102496</v>
      </c>
      <c r="E1071" s="1" t="s">
        <v>178</v>
      </c>
      <c r="F1071" s="1" t="s">
        <v>3253</v>
      </c>
      <c r="G1071" s="1" t="s">
        <v>3254</v>
      </c>
      <c r="I1071" s="1" t="s">
        <v>19</v>
      </c>
      <c r="L1071" s="1" t="s">
        <v>3255</v>
      </c>
      <c r="M1071" s="1" t="s">
        <v>3253</v>
      </c>
      <c r="N1071" s="1">
        <v>452</v>
      </c>
      <c r="O1071" s="1" t="s">
        <v>3256</v>
      </c>
    </row>
    <row r="1072" spans="1:17" x14ac:dyDescent="0.35">
      <c r="A1072" s="1" t="s">
        <v>15</v>
      </c>
      <c r="B1072" s="1">
        <v>1102586</v>
      </c>
      <c r="C1072" s="1">
        <v>1103833</v>
      </c>
      <c r="E1072" s="1" t="s">
        <v>178</v>
      </c>
      <c r="F1072" s="1" t="s">
        <v>3257</v>
      </c>
      <c r="G1072" s="1" t="s">
        <v>3258</v>
      </c>
      <c r="I1072" s="1" t="s">
        <v>19</v>
      </c>
      <c r="L1072" s="1" t="s">
        <v>3259</v>
      </c>
      <c r="M1072" s="1" t="s">
        <v>3257</v>
      </c>
      <c r="N1072" s="1">
        <v>415</v>
      </c>
      <c r="O1072" s="1" t="s">
        <v>3260</v>
      </c>
    </row>
    <row r="1073" spans="1:17" x14ac:dyDescent="0.35">
      <c r="A1073" s="1" t="s">
        <v>15</v>
      </c>
      <c r="B1073" s="1">
        <v>1104016</v>
      </c>
      <c r="C1073" s="1">
        <v>1105020</v>
      </c>
      <c r="E1073" s="1" t="s">
        <v>16</v>
      </c>
      <c r="F1073" s="1" t="s">
        <v>3261</v>
      </c>
      <c r="G1073" s="1" t="s">
        <v>3262</v>
      </c>
      <c r="I1073" s="1" t="s">
        <v>19</v>
      </c>
      <c r="L1073" s="1" t="s">
        <v>3263</v>
      </c>
      <c r="M1073" s="1" t="s">
        <v>3261</v>
      </c>
      <c r="N1073" s="1">
        <v>334</v>
      </c>
      <c r="O1073" s="1" t="s">
        <v>3264</v>
      </c>
    </row>
    <row r="1074" spans="1:17" x14ac:dyDescent="0.35">
      <c r="A1074" s="1" t="s">
        <v>15</v>
      </c>
      <c r="B1074" s="1">
        <v>1105274</v>
      </c>
      <c r="C1074" s="1">
        <v>1106773</v>
      </c>
      <c r="E1074" s="1" t="s">
        <v>16</v>
      </c>
      <c r="F1074" s="1" t="s">
        <v>3265</v>
      </c>
      <c r="G1074" s="1" t="s">
        <v>3266</v>
      </c>
      <c r="I1074" s="1" t="s">
        <v>19</v>
      </c>
      <c r="L1074" s="1" t="s">
        <v>3267</v>
      </c>
      <c r="M1074" s="1" t="s">
        <v>3265</v>
      </c>
      <c r="N1074" s="1">
        <v>499</v>
      </c>
      <c r="O1074" s="1" t="s">
        <v>3268</v>
      </c>
      <c r="Q1074" s="14"/>
    </row>
    <row r="1075" spans="1:17" x14ac:dyDescent="0.35">
      <c r="A1075" s="1" t="s">
        <v>15</v>
      </c>
      <c r="B1075" s="1">
        <v>1106775</v>
      </c>
      <c r="C1075" s="1">
        <v>1109036</v>
      </c>
      <c r="E1075" s="1" t="s">
        <v>16</v>
      </c>
      <c r="F1075" s="1" t="s">
        <v>3269</v>
      </c>
      <c r="G1075" s="1" t="s">
        <v>3270</v>
      </c>
      <c r="I1075" s="1" t="s">
        <v>19</v>
      </c>
      <c r="L1075" s="1" t="s">
        <v>3271</v>
      </c>
      <c r="M1075" s="1" t="s">
        <v>3269</v>
      </c>
      <c r="N1075" s="1">
        <v>753</v>
      </c>
      <c r="O1075" s="1" t="s">
        <v>3272</v>
      </c>
      <c r="Q1075" s="14"/>
    </row>
    <row r="1076" spans="1:17" x14ac:dyDescent="0.35">
      <c r="A1076" s="1" t="s">
        <v>15</v>
      </c>
      <c r="B1076" s="1">
        <v>1109468</v>
      </c>
      <c r="C1076" s="1">
        <v>1109983</v>
      </c>
      <c r="E1076" s="1" t="s">
        <v>178</v>
      </c>
      <c r="F1076" s="1" t="s">
        <v>54</v>
      </c>
      <c r="I1076" s="1" t="s">
        <v>19</v>
      </c>
      <c r="L1076" s="1" t="s">
        <v>3273</v>
      </c>
      <c r="M1076" s="1" t="s">
        <v>54</v>
      </c>
      <c r="N1076" s="1">
        <v>171</v>
      </c>
      <c r="O1076" s="1" t="s">
        <v>3274</v>
      </c>
    </row>
    <row r="1077" spans="1:17" x14ac:dyDescent="0.35">
      <c r="A1077" s="1" t="s">
        <v>15</v>
      </c>
      <c r="B1077" s="1">
        <v>1110215</v>
      </c>
      <c r="C1077" s="1">
        <v>1111204</v>
      </c>
      <c r="E1077" s="1" t="s">
        <v>16</v>
      </c>
      <c r="F1077" s="1" t="s">
        <v>3275</v>
      </c>
      <c r="G1077" s="1" t="s">
        <v>3276</v>
      </c>
      <c r="I1077" s="1" t="s">
        <v>19</v>
      </c>
      <c r="L1077" s="1" t="s">
        <v>3277</v>
      </c>
      <c r="M1077" s="1" t="s">
        <v>3275</v>
      </c>
      <c r="N1077" s="1">
        <v>329</v>
      </c>
      <c r="O1077" s="1" t="s">
        <v>3278</v>
      </c>
      <c r="Q1077" s="14"/>
    </row>
    <row r="1078" spans="1:17" x14ac:dyDescent="0.35">
      <c r="A1078" s="1" t="s">
        <v>15</v>
      </c>
      <c r="B1078" s="1">
        <v>1111489</v>
      </c>
      <c r="C1078" s="1">
        <v>1112559</v>
      </c>
      <c r="E1078" s="1" t="s">
        <v>16</v>
      </c>
      <c r="F1078" s="1" t="s">
        <v>3279</v>
      </c>
      <c r="G1078" s="1" t="s">
        <v>3280</v>
      </c>
      <c r="I1078" s="1" t="s">
        <v>19</v>
      </c>
      <c r="L1078" s="1" t="s">
        <v>3281</v>
      </c>
      <c r="M1078" s="1" t="s">
        <v>3279</v>
      </c>
      <c r="N1078" s="1">
        <v>356</v>
      </c>
      <c r="O1078" s="1" t="s">
        <v>3282</v>
      </c>
    </row>
    <row r="1079" spans="1:17" x14ac:dyDescent="0.35">
      <c r="A1079" s="1" t="s">
        <v>15</v>
      </c>
      <c r="B1079" s="1">
        <v>1112723</v>
      </c>
      <c r="C1079" s="1">
        <v>1115263</v>
      </c>
      <c r="E1079" s="1" t="s">
        <v>178</v>
      </c>
      <c r="F1079" s="1" t="s">
        <v>3283</v>
      </c>
      <c r="G1079" s="1" t="s">
        <v>3284</v>
      </c>
      <c r="I1079" s="1" t="s">
        <v>19</v>
      </c>
      <c r="L1079" s="1" t="s">
        <v>3285</v>
      </c>
      <c r="M1079" s="1" t="s">
        <v>3283</v>
      </c>
      <c r="N1079" s="1">
        <v>846</v>
      </c>
      <c r="O1079" s="1" t="s">
        <v>3286</v>
      </c>
      <c r="Q1079" s="14"/>
    </row>
    <row r="1080" spans="1:17" x14ac:dyDescent="0.35">
      <c r="A1080" s="1" t="s">
        <v>15</v>
      </c>
      <c r="B1080" s="1">
        <v>1115398</v>
      </c>
      <c r="C1080" s="1">
        <v>1116051</v>
      </c>
      <c r="E1080" s="1" t="s">
        <v>178</v>
      </c>
      <c r="F1080" s="1" t="s">
        <v>3287</v>
      </c>
      <c r="I1080" s="1" t="s">
        <v>19</v>
      </c>
      <c r="L1080" s="1" t="s">
        <v>3288</v>
      </c>
      <c r="M1080" s="1" t="s">
        <v>3287</v>
      </c>
      <c r="N1080" s="1">
        <v>217</v>
      </c>
      <c r="O1080" s="1" t="s">
        <v>3289</v>
      </c>
    </row>
    <row r="1081" spans="1:17" x14ac:dyDescent="0.35">
      <c r="A1081" s="1" t="s">
        <v>15</v>
      </c>
      <c r="B1081" s="1">
        <v>1116080</v>
      </c>
      <c r="C1081" s="1">
        <v>1116838</v>
      </c>
      <c r="E1081" s="1" t="s">
        <v>178</v>
      </c>
      <c r="F1081" s="1" t="s">
        <v>3290</v>
      </c>
      <c r="G1081" s="1" t="s">
        <v>3291</v>
      </c>
      <c r="I1081" s="1" t="s">
        <v>19</v>
      </c>
      <c r="L1081" s="1" t="s">
        <v>3292</v>
      </c>
      <c r="M1081" s="1" t="s">
        <v>3290</v>
      </c>
      <c r="N1081" s="1">
        <v>252</v>
      </c>
      <c r="O1081" s="1" t="s">
        <v>3293</v>
      </c>
      <c r="Q1081" s="14"/>
    </row>
    <row r="1082" spans="1:17" x14ac:dyDescent="0.35">
      <c r="A1082" s="1" t="s">
        <v>15</v>
      </c>
      <c r="B1082" s="1">
        <v>1116851</v>
      </c>
      <c r="C1082" s="1">
        <v>1117654</v>
      </c>
      <c r="E1082" s="1" t="s">
        <v>178</v>
      </c>
      <c r="F1082" s="1" t="s">
        <v>3294</v>
      </c>
      <c r="G1082" s="1" t="s">
        <v>3295</v>
      </c>
      <c r="I1082" s="1" t="s">
        <v>19</v>
      </c>
      <c r="L1082" s="1" t="s">
        <v>3296</v>
      </c>
      <c r="M1082" s="1" t="s">
        <v>3294</v>
      </c>
      <c r="N1082" s="1">
        <v>267</v>
      </c>
      <c r="O1082" s="1" t="s">
        <v>3297</v>
      </c>
      <c r="Q1082" s="14"/>
    </row>
    <row r="1083" spans="1:17" x14ac:dyDescent="0.35">
      <c r="A1083" s="1" t="s">
        <v>15</v>
      </c>
      <c r="B1083" s="1">
        <v>1117665</v>
      </c>
      <c r="C1083" s="1">
        <v>1118567</v>
      </c>
      <c r="E1083" s="1" t="s">
        <v>178</v>
      </c>
      <c r="F1083" s="1" t="s">
        <v>3298</v>
      </c>
      <c r="G1083" s="1" t="s">
        <v>3299</v>
      </c>
      <c r="I1083" s="1" t="s">
        <v>19</v>
      </c>
      <c r="L1083" s="1" t="s">
        <v>3300</v>
      </c>
      <c r="M1083" s="1" t="s">
        <v>3298</v>
      </c>
      <c r="N1083" s="1">
        <v>300</v>
      </c>
      <c r="O1083" s="1" t="s">
        <v>3301</v>
      </c>
    </row>
    <row r="1084" spans="1:17" x14ac:dyDescent="0.35">
      <c r="A1084" s="1" t="s">
        <v>15</v>
      </c>
      <c r="B1084" s="1">
        <v>1118539</v>
      </c>
      <c r="C1084" s="1">
        <v>1119453</v>
      </c>
      <c r="E1084" s="1" t="s">
        <v>178</v>
      </c>
      <c r="F1084" s="1" t="s">
        <v>3302</v>
      </c>
      <c r="I1084" s="1" t="s">
        <v>19</v>
      </c>
      <c r="L1084" s="1" t="s">
        <v>3303</v>
      </c>
      <c r="M1084" s="1" t="s">
        <v>3302</v>
      </c>
      <c r="N1084" s="1">
        <v>304</v>
      </c>
      <c r="O1084" s="1" t="s">
        <v>3304</v>
      </c>
    </row>
    <row r="1085" spans="1:17" x14ac:dyDescent="0.35">
      <c r="A1085" s="1" t="s">
        <v>15</v>
      </c>
      <c r="B1085" s="1">
        <v>1119456</v>
      </c>
      <c r="C1085" s="1">
        <v>1120331</v>
      </c>
      <c r="E1085" s="1" t="s">
        <v>178</v>
      </c>
      <c r="F1085" s="1" t="s">
        <v>3305</v>
      </c>
      <c r="I1085" s="1" t="s">
        <v>19</v>
      </c>
      <c r="L1085" s="1" t="s">
        <v>3306</v>
      </c>
      <c r="M1085" s="1" t="s">
        <v>3305</v>
      </c>
      <c r="N1085" s="1">
        <v>291</v>
      </c>
      <c r="O1085" s="1" t="s">
        <v>3307</v>
      </c>
    </row>
    <row r="1086" spans="1:17" x14ac:dyDescent="0.35">
      <c r="A1086" s="1" t="s">
        <v>15</v>
      </c>
      <c r="B1086" s="1">
        <v>1120457</v>
      </c>
      <c r="C1086" s="1">
        <v>1121767</v>
      </c>
      <c r="E1086" s="1" t="s">
        <v>178</v>
      </c>
      <c r="F1086" s="1" t="s">
        <v>3308</v>
      </c>
      <c r="G1086" s="1" t="s">
        <v>3309</v>
      </c>
      <c r="I1086" s="1" t="s">
        <v>19</v>
      </c>
      <c r="L1086" s="1" t="s">
        <v>3310</v>
      </c>
      <c r="M1086" s="1" t="s">
        <v>3308</v>
      </c>
      <c r="N1086" s="1">
        <v>436</v>
      </c>
      <c r="O1086" s="1" t="s">
        <v>3311</v>
      </c>
      <c r="Q1086" s="14"/>
    </row>
    <row r="1087" spans="1:17" x14ac:dyDescent="0.35">
      <c r="A1087" s="1" t="s">
        <v>15</v>
      </c>
      <c r="B1087" s="1">
        <v>1121848</v>
      </c>
      <c r="C1087" s="1">
        <v>1122615</v>
      </c>
      <c r="E1087" s="1" t="s">
        <v>178</v>
      </c>
      <c r="F1087" s="1" t="s">
        <v>3312</v>
      </c>
      <c r="G1087" s="1" t="s">
        <v>3313</v>
      </c>
      <c r="I1087" s="1" t="s">
        <v>19</v>
      </c>
      <c r="L1087" s="1" t="s">
        <v>3314</v>
      </c>
      <c r="M1087" s="1" t="s">
        <v>3312</v>
      </c>
      <c r="N1087" s="1">
        <v>255</v>
      </c>
      <c r="O1087" s="1" t="s">
        <v>3315</v>
      </c>
      <c r="Q1087" s="14"/>
    </row>
    <row r="1088" spans="1:17" x14ac:dyDescent="0.35">
      <c r="A1088" s="1" t="s">
        <v>15</v>
      </c>
      <c r="B1088" s="1">
        <v>1122605</v>
      </c>
      <c r="C1088" s="1">
        <v>1122886</v>
      </c>
      <c r="E1088" s="1" t="s">
        <v>178</v>
      </c>
      <c r="F1088" s="1" t="s">
        <v>3316</v>
      </c>
      <c r="I1088" s="1" t="s">
        <v>19</v>
      </c>
      <c r="L1088" s="1" t="s">
        <v>3317</v>
      </c>
      <c r="M1088" s="1" t="s">
        <v>3316</v>
      </c>
      <c r="N1088" s="1">
        <v>93</v>
      </c>
      <c r="O1088" s="1" t="s">
        <v>3318</v>
      </c>
    </row>
    <row r="1089" spans="1:17" x14ac:dyDescent="0.35">
      <c r="A1089" s="1" t="s">
        <v>15</v>
      </c>
      <c r="B1089" s="1">
        <v>1122879</v>
      </c>
      <c r="C1089" s="1">
        <v>1123292</v>
      </c>
      <c r="E1089" s="1" t="s">
        <v>178</v>
      </c>
      <c r="F1089" s="1" t="s">
        <v>3319</v>
      </c>
      <c r="G1089" s="1" t="s">
        <v>3320</v>
      </c>
      <c r="I1089" s="1" t="s">
        <v>19</v>
      </c>
      <c r="L1089" s="1" t="s">
        <v>3321</v>
      </c>
      <c r="M1089" s="1" t="s">
        <v>3319</v>
      </c>
      <c r="N1089" s="1">
        <v>137</v>
      </c>
      <c r="O1089" s="1" t="s">
        <v>3322</v>
      </c>
    </row>
    <row r="1090" spans="1:17" x14ac:dyDescent="0.35">
      <c r="A1090" s="1" t="s">
        <v>15</v>
      </c>
      <c r="B1090" s="1">
        <v>1123362</v>
      </c>
      <c r="C1090" s="1">
        <v>1124273</v>
      </c>
      <c r="E1090" s="1" t="s">
        <v>178</v>
      </c>
      <c r="F1090" s="1" t="s">
        <v>3323</v>
      </c>
      <c r="G1090" s="1" t="s">
        <v>3324</v>
      </c>
      <c r="I1090" s="1" t="s">
        <v>19</v>
      </c>
      <c r="L1090" s="1" t="s">
        <v>3325</v>
      </c>
      <c r="M1090" s="1" t="s">
        <v>3323</v>
      </c>
      <c r="N1090" s="1">
        <v>303</v>
      </c>
      <c r="O1090" s="1" t="s">
        <v>3326</v>
      </c>
      <c r="Q1090" s="14"/>
    </row>
    <row r="1091" spans="1:17" x14ac:dyDescent="0.35">
      <c r="A1091" s="1" t="s">
        <v>15</v>
      </c>
      <c r="B1091" s="1">
        <v>1124270</v>
      </c>
      <c r="C1091" s="1">
        <v>1125112</v>
      </c>
      <c r="E1091" s="1" t="s">
        <v>178</v>
      </c>
      <c r="F1091" s="1" t="s">
        <v>3327</v>
      </c>
      <c r="G1091" s="1" t="s">
        <v>3328</v>
      </c>
      <c r="I1091" s="1" t="s">
        <v>19</v>
      </c>
      <c r="L1091" s="1" t="s">
        <v>3329</v>
      </c>
      <c r="M1091" s="1" t="s">
        <v>3327</v>
      </c>
      <c r="N1091" s="1">
        <v>280</v>
      </c>
      <c r="O1091" s="1" t="s">
        <v>3330</v>
      </c>
      <c r="Q1091" s="14"/>
    </row>
    <row r="1092" spans="1:17" x14ac:dyDescent="0.35">
      <c r="A1092" s="1" t="s">
        <v>15</v>
      </c>
      <c r="B1092" s="1">
        <v>1125271</v>
      </c>
      <c r="C1092" s="1">
        <v>1126641</v>
      </c>
      <c r="E1092" s="1" t="s">
        <v>178</v>
      </c>
      <c r="F1092" s="1" t="s">
        <v>54</v>
      </c>
      <c r="I1092" s="1" t="s">
        <v>19</v>
      </c>
      <c r="L1092" s="1" t="s">
        <v>3331</v>
      </c>
      <c r="M1092" s="1" t="s">
        <v>54</v>
      </c>
      <c r="N1092" s="1">
        <v>456</v>
      </c>
      <c r="O1092" s="1" t="s">
        <v>3332</v>
      </c>
    </row>
    <row r="1093" spans="1:17" x14ac:dyDescent="0.35">
      <c r="A1093" s="1" t="s">
        <v>15</v>
      </c>
      <c r="B1093" s="1">
        <v>1126625</v>
      </c>
      <c r="C1093" s="1">
        <v>1126858</v>
      </c>
      <c r="E1093" s="1" t="s">
        <v>178</v>
      </c>
      <c r="F1093" s="1" t="s">
        <v>54</v>
      </c>
      <c r="I1093" s="1" t="s">
        <v>19</v>
      </c>
      <c r="L1093" s="1" t="s">
        <v>3333</v>
      </c>
      <c r="M1093" s="1" t="s">
        <v>54</v>
      </c>
      <c r="N1093" s="1">
        <v>77</v>
      </c>
      <c r="O1093" s="1" t="s">
        <v>3334</v>
      </c>
    </row>
    <row r="1094" spans="1:17" x14ac:dyDescent="0.35">
      <c r="A1094" s="1" t="s">
        <v>15</v>
      </c>
      <c r="B1094" s="1">
        <v>1126947</v>
      </c>
      <c r="C1094" s="1">
        <v>1127567</v>
      </c>
      <c r="E1094" s="1" t="s">
        <v>178</v>
      </c>
      <c r="F1094" s="1" t="s">
        <v>3335</v>
      </c>
      <c r="G1094" s="1" t="s">
        <v>3336</v>
      </c>
      <c r="I1094" s="1" t="s">
        <v>19</v>
      </c>
      <c r="L1094" s="1" t="s">
        <v>3337</v>
      </c>
      <c r="M1094" s="1" t="s">
        <v>3335</v>
      </c>
      <c r="N1094" s="1">
        <v>206</v>
      </c>
      <c r="O1094" s="1" t="s">
        <v>3338</v>
      </c>
    </row>
    <row r="1095" spans="1:17" x14ac:dyDescent="0.35">
      <c r="A1095" s="1" t="s">
        <v>15</v>
      </c>
      <c r="B1095" s="1">
        <v>1127696</v>
      </c>
      <c r="C1095" s="1">
        <v>1128190</v>
      </c>
      <c r="E1095" s="1" t="s">
        <v>178</v>
      </c>
      <c r="F1095" s="1" t="s">
        <v>3339</v>
      </c>
      <c r="G1095" s="1" t="s">
        <v>3340</v>
      </c>
      <c r="I1095" s="1" t="s">
        <v>19</v>
      </c>
      <c r="L1095" s="1" t="s">
        <v>3341</v>
      </c>
      <c r="M1095" s="1" t="s">
        <v>3339</v>
      </c>
      <c r="N1095" s="1">
        <v>164</v>
      </c>
      <c r="O1095" s="1" t="s">
        <v>3342</v>
      </c>
      <c r="Q1095" s="14"/>
    </row>
    <row r="1096" spans="1:17" x14ac:dyDescent="0.35">
      <c r="A1096" s="1" t="s">
        <v>15</v>
      </c>
      <c r="B1096" s="1">
        <v>1128255</v>
      </c>
      <c r="C1096" s="1">
        <v>1129010</v>
      </c>
      <c r="E1096" s="1" t="s">
        <v>178</v>
      </c>
      <c r="F1096" s="1" t="s">
        <v>54</v>
      </c>
      <c r="I1096" s="1" t="s">
        <v>19</v>
      </c>
      <c r="L1096" s="1" t="s">
        <v>3343</v>
      </c>
      <c r="M1096" s="1" t="s">
        <v>54</v>
      </c>
      <c r="N1096" s="1">
        <v>251</v>
      </c>
      <c r="O1096" s="1" t="s">
        <v>3344</v>
      </c>
    </row>
    <row r="1097" spans="1:17" x14ac:dyDescent="0.35">
      <c r="A1097" s="1" t="s">
        <v>15</v>
      </c>
      <c r="B1097" s="1">
        <v>1129071</v>
      </c>
      <c r="C1097" s="1">
        <v>1130384</v>
      </c>
      <c r="E1097" s="1" t="s">
        <v>178</v>
      </c>
      <c r="F1097" s="1" t="s">
        <v>3345</v>
      </c>
      <c r="G1097" s="1" t="s">
        <v>3346</v>
      </c>
      <c r="I1097" s="1" t="s">
        <v>19</v>
      </c>
      <c r="L1097" s="1" t="s">
        <v>3347</v>
      </c>
      <c r="M1097" s="1" t="s">
        <v>3345</v>
      </c>
      <c r="N1097" s="1">
        <v>437</v>
      </c>
      <c r="O1097" s="1" t="s">
        <v>3348</v>
      </c>
      <c r="Q1097" s="14"/>
    </row>
    <row r="1098" spans="1:17" x14ac:dyDescent="0.35">
      <c r="A1098" s="1" t="s">
        <v>15</v>
      </c>
      <c r="B1098" s="1">
        <v>1130472</v>
      </c>
      <c r="C1098" s="1">
        <v>1132781</v>
      </c>
      <c r="E1098" s="1" t="s">
        <v>178</v>
      </c>
      <c r="F1098" s="1" t="s">
        <v>3349</v>
      </c>
      <c r="G1098" s="1" t="s">
        <v>3350</v>
      </c>
      <c r="I1098" s="1" t="s">
        <v>19</v>
      </c>
      <c r="L1098" s="1" t="s">
        <v>3351</v>
      </c>
      <c r="M1098" s="1" t="s">
        <v>3349</v>
      </c>
      <c r="N1098" s="1">
        <v>769</v>
      </c>
      <c r="O1098" s="1" t="s">
        <v>3352</v>
      </c>
      <c r="Q1098" s="14"/>
    </row>
    <row r="1099" spans="1:17" x14ac:dyDescent="0.35">
      <c r="A1099" s="1" t="s">
        <v>15</v>
      </c>
      <c r="B1099" s="1">
        <v>1133289</v>
      </c>
      <c r="C1099" s="1">
        <v>1134632</v>
      </c>
      <c r="E1099" s="1" t="s">
        <v>16</v>
      </c>
      <c r="F1099" s="1" t="s">
        <v>3353</v>
      </c>
      <c r="G1099" s="1" t="s">
        <v>3354</v>
      </c>
      <c r="I1099" s="1" t="s">
        <v>19</v>
      </c>
      <c r="L1099" s="1" t="s">
        <v>3355</v>
      </c>
      <c r="M1099" s="1" t="s">
        <v>3353</v>
      </c>
      <c r="N1099" s="1">
        <v>447</v>
      </c>
      <c r="O1099" s="1" t="s">
        <v>3356</v>
      </c>
    </row>
    <row r="1100" spans="1:17" x14ac:dyDescent="0.35">
      <c r="A1100" s="1" t="s">
        <v>15</v>
      </c>
      <c r="B1100" s="1">
        <v>1134760</v>
      </c>
      <c r="C1100" s="1">
        <v>1136130</v>
      </c>
      <c r="E1100" s="1" t="s">
        <v>16</v>
      </c>
      <c r="F1100" s="1" t="s">
        <v>3357</v>
      </c>
      <c r="G1100" s="1" t="s">
        <v>3358</v>
      </c>
      <c r="I1100" s="1" t="s">
        <v>19</v>
      </c>
      <c r="L1100" s="1" t="s">
        <v>3359</v>
      </c>
      <c r="M1100" s="1" t="s">
        <v>3357</v>
      </c>
      <c r="N1100" s="1">
        <v>456</v>
      </c>
      <c r="O1100" s="1" t="s">
        <v>3360</v>
      </c>
    </row>
    <row r="1101" spans="1:17" x14ac:dyDescent="0.35">
      <c r="A1101" s="1" t="s">
        <v>15</v>
      </c>
      <c r="B1101" s="1">
        <v>1136270</v>
      </c>
      <c r="C1101" s="1">
        <v>1137211</v>
      </c>
      <c r="E1101" s="1" t="s">
        <v>16</v>
      </c>
      <c r="F1101" s="1" t="s">
        <v>3361</v>
      </c>
      <c r="G1101" s="1" t="s">
        <v>3362</v>
      </c>
      <c r="I1101" s="1" t="s">
        <v>19</v>
      </c>
      <c r="L1101" s="1" t="s">
        <v>3363</v>
      </c>
      <c r="M1101" s="1" t="s">
        <v>3361</v>
      </c>
      <c r="N1101" s="1">
        <v>313</v>
      </c>
      <c r="O1101" s="1" t="s">
        <v>3364</v>
      </c>
    </row>
    <row r="1102" spans="1:17" x14ac:dyDescent="0.35">
      <c r="A1102" s="1" t="s">
        <v>15</v>
      </c>
      <c r="B1102" s="1">
        <v>1137247</v>
      </c>
      <c r="C1102" s="1">
        <v>1139493</v>
      </c>
      <c r="E1102" s="1" t="s">
        <v>178</v>
      </c>
      <c r="F1102" s="1" t="s">
        <v>3365</v>
      </c>
      <c r="I1102" s="1" t="s">
        <v>19</v>
      </c>
      <c r="L1102" s="1" t="s">
        <v>3366</v>
      </c>
      <c r="M1102" s="1" t="s">
        <v>3365</v>
      </c>
      <c r="N1102" s="1">
        <v>748</v>
      </c>
      <c r="O1102" s="1" t="s">
        <v>3367</v>
      </c>
    </row>
    <row r="1103" spans="1:17" x14ac:dyDescent="0.35">
      <c r="A1103" s="1" t="s">
        <v>15</v>
      </c>
      <c r="B1103" s="1">
        <v>1139147</v>
      </c>
      <c r="C1103" s="1">
        <v>1139398</v>
      </c>
      <c r="E1103" s="1" t="s">
        <v>16</v>
      </c>
      <c r="F1103" s="1" t="s">
        <v>54</v>
      </c>
      <c r="I1103" s="1" t="s">
        <v>19</v>
      </c>
      <c r="L1103" s="1" t="s">
        <v>3368</v>
      </c>
      <c r="M1103" s="1" t="s">
        <v>54</v>
      </c>
      <c r="N1103" s="1">
        <v>83</v>
      </c>
      <c r="O1103" s="1" t="s">
        <v>3369</v>
      </c>
    </row>
    <row r="1104" spans="1:17" x14ac:dyDescent="0.35">
      <c r="A1104" s="1" t="s">
        <v>15</v>
      </c>
      <c r="B1104" s="1">
        <v>1139426</v>
      </c>
      <c r="C1104" s="1">
        <v>1139518</v>
      </c>
      <c r="E1104" s="1" t="s">
        <v>16</v>
      </c>
      <c r="F1104" s="1" t="s">
        <v>54</v>
      </c>
      <c r="I1104" s="1" t="s">
        <v>19</v>
      </c>
      <c r="L1104" s="1" t="s">
        <v>3370</v>
      </c>
      <c r="M1104" s="1" t="s">
        <v>54</v>
      </c>
      <c r="N1104" s="1">
        <v>30</v>
      </c>
      <c r="O1104" s="1" t="s">
        <v>3371</v>
      </c>
    </row>
    <row r="1105" spans="1:17" x14ac:dyDescent="0.35">
      <c r="A1105" s="1" t="s">
        <v>15</v>
      </c>
      <c r="B1105" s="1">
        <v>1139603</v>
      </c>
      <c r="C1105" s="1">
        <v>1140256</v>
      </c>
      <c r="E1105" s="1" t="s">
        <v>178</v>
      </c>
      <c r="F1105" s="1" t="s">
        <v>3372</v>
      </c>
      <c r="I1105" s="1" t="s">
        <v>19</v>
      </c>
      <c r="L1105" s="1" t="s">
        <v>3373</v>
      </c>
      <c r="M1105" s="1" t="s">
        <v>3372</v>
      </c>
      <c r="N1105" s="1">
        <v>217</v>
      </c>
      <c r="O1105" s="1" t="s">
        <v>3374</v>
      </c>
    </row>
    <row r="1106" spans="1:17" x14ac:dyDescent="0.35">
      <c r="A1106" s="1" t="s">
        <v>15</v>
      </c>
      <c r="B1106" s="1">
        <v>1140315</v>
      </c>
      <c r="C1106" s="1">
        <v>1141163</v>
      </c>
      <c r="E1106" s="1" t="s">
        <v>178</v>
      </c>
      <c r="F1106" s="1" t="s">
        <v>54</v>
      </c>
      <c r="I1106" s="1" t="s">
        <v>19</v>
      </c>
      <c r="L1106" s="1" t="s">
        <v>3375</v>
      </c>
      <c r="M1106" s="1" t="s">
        <v>54</v>
      </c>
      <c r="N1106" s="1">
        <v>282</v>
      </c>
      <c r="O1106" s="1" t="s">
        <v>3376</v>
      </c>
    </row>
    <row r="1107" spans="1:17" x14ac:dyDescent="0.35">
      <c r="A1107" s="1" t="s">
        <v>15</v>
      </c>
      <c r="B1107" s="1">
        <v>1141268</v>
      </c>
      <c r="C1107" s="1">
        <v>1142719</v>
      </c>
      <c r="E1107" s="1" t="s">
        <v>178</v>
      </c>
      <c r="F1107" s="1" t="s">
        <v>3377</v>
      </c>
      <c r="G1107" s="1" t="s">
        <v>3378</v>
      </c>
      <c r="I1107" s="1" t="s">
        <v>19</v>
      </c>
      <c r="L1107" s="1" t="s">
        <v>3379</v>
      </c>
      <c r="M1107" s="1" t="s">
        <v>3377</v>
      </c>
      <c r="N1107" s="1">
        <v>483</v>
      </c>
      <c r="O1107" s="1" t="s">
        <v>3380</v>
      </c>
      <c r="Q1107" s="14"/>
    </row>
    <row r="1108" spans="1:17" x14ac:dyDescent="0.35">
      <c r="A1108" s="1" t="s">
        <v>15</v>
      </c>
      <c r="B1108" s="1">
        <v>1142803</v>
      </c>
      <c r="C1108" s="1">
        <v>1143432</v>
      </c>
      <c r="E1108" s="1" t="s">
        <v>178</v>
      </c>
      <c r="F1108" s="1" t="s">
        <v>3381</v>
      </c>
      <c r="G1108" s="1" t="s">
        <v>3382</v>
      </c>
      <c r="I1108" s="1" t="s">
        <v>19</v>
      </c>
      <c r="L1108" s="1" t="s">
        <v>3383</v>
      </c>
      <c r="M1108" s="1" t="s">
        <v>3381</v>
      </c>
      <c r="N1108" s="1">
        <v>209</v>
      </c>
      <c r="O1108" s="1" t="s">
        <v>3384</v>
      </c>
      <c r="Q1108" s="14"/>
    </row>
    <row r="1109" spans="1:17" x14ac:dyDescent="0.35">
      <c r="A1109" s="1" t="s">
        <v>15</v>
      </c>
      <c r="B1109" s="1">
        <v>1143520</v>
      </c>
      <c r="C1109" s="1">
        <v>1144215</v>
      </c>
      <c r="E1109" s="1" t="s">
        <v>178</v>
      </c>
      <c r="F1109" s="1" t="s">
        <v>3385</v>
      </c>
      <c r="G1109" s="1" t="s">
        <v>3386</v>
      </c>
      <c r="I1109" s="1" t="s">
        <v>19</v>
      </c>
      <c r="L1109" s="1" t="s">
        <v>3387</v>
      </c>
      <c r="M1109" s="1" t="s">
        <v>3385</v>
      </c>
      <c r="N1109" s="1">
        <v>231</v>
      </c>
      <c r="O1109" s="1" t="s">
        <v>3388</v>
      </c>
      <c r="Q1109" s="14"/>
    </row>
    <row r="1110" spans="1:17" x14ac:dyDescent="0.35">
      <c r="A1110" s="1" t="s">
        <v>15</v>
      </c>
      <c r="B1110" s="1">
        <v>1144545</v>
      </c>
      <c r="C1110" s="1">
        <v>1145714</v>
      </c>
      <c r="E1110" s="1" t="s">
        <v>16</v>
      </c>
      <c r="F1110" s="1" t="s">
        <v>54</v>
      </c>
      <c r="I1110" s="1" t="s">
        <v>19</v>
      </c>
      <c r="L1110" s="1" t="s">
        <v>3389</v>
      </c>
      <c r="M1110" s="1" t="s">
        <v>54</v>
      </c>
      <c r="N1110" s="1">
        <v>389</v>
      </c>
      <c r="O1110" s="1" t="s">
        <v>3390</v>
      </c>
    </row>
    <row r="1111" spans="1:17" x14ac:dyDescent="0.35">
      <c r="A1111" s="1" t="s">
        <v>15</v>
      </c>
      <c r="B1111" s="1">
        <v>1145711</v>
      </c>
      <c r="C1111" s="1">
        <v>1146481</v>
      </c>
      <c r="E1111" s="1" t="s">
        <v>16</v>
      </c>
      <c r="F1111" s="1" t="s">
        <v>54</v>
      </c>
      <c r="I1111" s="1" t="s">
        <v>19</v>
      </c>
      <c r="L1111" s="1" t="s">
        <v>3391</v>
      </c>
      <c r="M1111" s="1" t="s">
        <v>54</v>
      </c>
      <c r="N1111" s="1">
        <v>256</v>
      </c>
      <c r="O1111" s="1" t="s">
        <v>3392</v>
      </c>
    </row>
    <row r="1112" spans="1:17" x14ac:dyDescent="0.35">
      <c r="A1112" s="1" t="s">
        <v>15</v>
      </c>
      <c r="B1112" s="1">
        <v>1146536</v>
      </c>
      <c r="C1112" s="1">
        <v>1147492</v>
      </c>
      <c r="E1112" s="1" t="s">
        <v>178</v>
      </c>
      <c r="F1112" s="1" t="s">
        <v>3393</v>
      </c>
      <c r="G1112" s="1" t="s">
        <v>3394</v>
      </c>
      <c r="I1112" s="1" t="s">
        <v>19</v>
      </c>
      <c r="L1112" s="1" t="s">
        <v>3395</v>
      </c>
      <c r="M1112" s="1" t="s">
        <v>3393</v>
      </c>
      <c r="N1112" s="1">
        <v>318</v>
      </c>
      <c r="O1112" s="1" t="s">
        <v>3396</v>
      </c>
      <c r="Q1112" s="14"/>
    </row>
    <row r="1113" spans="1:17" x14ac:dyDescent="0.35">
      <c r="A1113" s="1" t="s">
        <v>15</v>
      </c>
      <c r="B1113" s="1">
        <v>1147502</v>
      </c>
      <c r="C1113" s="1">
        <v>1148275</v>
      </c>
      <c r="E1113" s="1" t="s">
        <v>178</v>
      </c>
      <c r="F1113" s="1" t="s">
        <v>3397</v>
      </c>
      <c r="G1113" s="1" t="s">
        <v>3398</v>
      </c>
      <c r="I1113" s="1" t="s">
        <v>19</v>
      </c>
      <c r="L1113" s="1" t="s">
        <v>3399</v>
      </c>
      <c r="M1113" s="1" t="s">
        <v>3397</v>
      </c>
      <c r="N1113" s="1">
        <v>257</v>
      </c>
      <c r="O1113" s="1" t="s">
        <v>3400</v>
      </c>
      <c r="Q1113" s="14"/>
    </row>
    <row r="1114" spans="1:17" x14ac:dyDescent="0.35">
      <c r="A1114" s="1" t="s">
        <v>15</v>
      </c>
      <c r="B1114" s="1">
        <v>1148615</v>
      </c>
      <c r="C1114" s="1">
        <v>1149163</v>
      </c>
      <c r="E1114" s="1" t="s">
        <v>178</v>
      </c>
      <c r="F1114" s="1" t="s">
        <v>3401</v>
      </c>
      <c r="G1114" s="1" t="s">
        <v>3402</v>
      </c>
      <c r="I1114" s="1" t="s">
        <v>19</v>
      </c>
      <c r="L1114" s="1" t="s">
        <v>3403</v>
      </c>
      <c r="M1114" s="1" t="s">
        <v>3401</v>
      </c>
      <c r="N1114" s="1">
        <v>182</v>
      </c>
      <c r="O1114" s="1" t="s">
        <v>3404</v>
      </c>
      <c r="Q1114" s="14"/>
    </row>
    <row r="1115" spans="1:17" x14ac:dyDescent="0.35">
      <c r="A1115" s="1" t="s">
        <v>15</v>
      </c>
      <c r="B1115" s="1">
        <v>1149296</v>
      </c>
      <c r="C1115" s="1">
        <v>1150096</v>
      </c>
      <c r="E1115" s="1" t="s">
        <v>178</v>
      </c>
      <c r="F1115" s="1" t="s">
        <v>50</v>
      </c>
      <c r="I1115" s="1" t="s">
        <v>19</v>
      </c>
      <c r="L1115" s="1" t="s">
        <v>3405</v>
      </c>
      <c r="M1115" s="1" t="s">
        <v>50</v>
      </c>
      <c r="N1115" s="1">
        <v>266</v>
      </c>
      <c r="O1115" s="1" t="s">
        <v>3406</v>
      </c>
    </row>
    <row r="1116" spans="1:17" x14ac:dyDescent="0.35">
      <c r="A1116" s="1" t="s">
        <v>15</v>
      </c>
      <c r="B1116" s="1">
        <v>1150616</v>
      </c>
      <c r="C1116" s="1">
        <v>1152274</v>
      </c>
      <c r="E1116" s="1" t="s">
        <v>16</v>
      </c>
      <c r="F1116" s="1" t="s">
        <v>3407</v>
      </c>
      <c r="G1116" s="1" t="s">
        <v>3408</v>
      </c>
      <c r="I1116" s="1" t="s">
        <v>19</v>
      </c>
      <c r="L1116" s="1" t="s">
        <v>3409</v>
      </c>
      <c r="M1116" s="1" t="s">
        <v>3407</v>
      </c>
      <c r="N1116" s="1">
        <v>552</v>
      </c>
      <c r="O1116" s="1" t="s">
        <v>3410</v>
      </c>
    </row>
    <row r="1117" spans="1:17" x14ac:dyDescent="0.35">
      <c r="A1117" s="1" t="s">
        <v>15</v>
      </c>
      <c r="B1117" s="1">
        <v>1152449</v>
      </c>
      <c r="C1117" s="1">
        <v>1153993</v>
      </c>
      <c r="E1117" s="1" t="s">
        <v>16</v>
      </c>
      <c r="F1117" s="1" t="s">
        <v>1235</v>
      </c>
      <c r="I1117" s="1" t="s">
        <v>19</v>
      </c>
      <c r="L1117" s="1" t="s">
        <v>3411</v>
      </c>
      <c r="M1117" s="1" t="s">
        <v>1235</v>
      </c>
      <c r="N1117" s="1">
        <v>514</v>
      </c>
      <c r="O1117" s="1" t="s">
        <v>3412</v>
      </c>
    </row>
    <row r="1118" spans="1:17" x14ac:dyDescent="0.35">
      <c r="A1118" s="1" t="s">
        <v>15</v>
      </c>
      <c r="B1118" s="1">
        <v>1154044</v>
      </c>
      <c r="C1118" s="1">
        <v>1155384</v>
      </c>
      <c r="E1118" s="1" t="s">
        <v>16</v>
      </c>
      <c r="F1118" s="1" t="s">
        <v>3413</v>
      </c>
      <c r="G1118" s="1" t="s">
        <v>3414</v>
      </c>
      <c r="I1118" s="1" t="s">
        <v>19</v>
      </c>
      <c r="L1118" s="1" t="s">
        <v>3415</v>
      </c>
      <c r="M1118" s="1" t="s">
        <v>3413</v>
      </c>
      <c r="N1118" s="1">
        <v>446</v>
      </c>
      <c r="O1118" s="1" t="s">
        <v>3416</v>
      </c>
    </row>
    <row r="1119" spans="1:17" x14ac:dyDescent="0.35">
      <c r="A1119" s="1" t="s">
        <v>15</v>
      </c>
      <c r="B1119" s="1">
        <v>1155429</v>
      </c>
      <c r="C1119" s="1">
        <v>1156397</v>
      </c>
      <c r="E1119" s="1" t="s">
        <v>178</v>
      </c>
      <c r="F1119" s="1" t="s">
        <v>3417</v>
      </c>
      <c r="G1119" s="1" t="s">
        <v>3418</v>
      </c>
      <c r="I1119" s="1" t="s">
        <v>19</v>
      </c>
      <c r="L1119" s="1" t="s">
        <v>3419</v>
      </c>
      <c r="M1119" s="1" t="s">
        <v>3417</v>
      </c>
      <c r="N1119" s="1">
        <v>322</v>
      </c>
      <c r="O1119" s="1" t="s">
        <v>3420</v>
      </c>
    </row>
    <row r="1120" spans="1:17" x14ac:dyDescent="0.35">
      <c r="A1120" s="1" t="s">
        <v>15</v>
      </c>
      <c r="B1120" s="1">
        <v>1156924</v>
      </c>
      <c r="C1120" s="1">
        <v>1157811</v>
      </c>
      <c r="E1120" s="1" t="s">
        <v>16</v>
      </c>
      <c r="F1120" s="1" t="s">
        <v>54</v>
      </c>
      <c r="I1120" s="1" t="s">
        <v>19</v>
      </c>
      <c r="L1120" s="1" t="s">
        <v>3421</v>
      </c>
      <c r="M1120" s="1" t="s">
        <v>54</v>
      </c>
      <c r="N1120" s="1">
        <v>295</v>
      </c>
      <c r="O1120" s="1" t="s">
        <v>3422</v>
      </c>
    </row>
    <row r="1121" spans="1:17" x14ac:dyDescent="0.35">
      <c r="A1121" s="1" t="s">
        <v>15</v>
      </c>
      <c r="B1121" s="1">
        <v>1157884</v>
      </c>
      <c r="C1121" s="1">
        <v>1158315</v>
      </c>
      <c r="E1121" s="1" t="s">
        <v>16</v>
      </c>
      <c r="F1121" s="1" t="s">
        <v>54</v>
      </c>
      <c r="I1121" s="1" t="s">
        <v>19</v>
      </c>
      <c r="L1121" s="1" t="s">
        <v>3423</v>
      </c>
      <c r="M1121" s="1" t="s">
        <v>54</v>
      </c>
      <c r="N1121" s="1">
        <v>143</v>
      </c>
      <c r="O1121" s="1" t="s">
        <v>3424</v>
      </c>
    </row>
    <row r="1122" spans="1:17" x14ac:dyDescent="0.35">
      <c r="A1122" s="1" t="s">
        <v>15</v>
      </c>
      <c r="B1122" s="1">
        <v>1158505</v>
      </c>
      <c r="C1122" s="1">
        <v>1161219</v>
      </c>
      <c r="E1122" s="1" t="s">
        <v>16</v>
      </c>
      <c r="F1122" s="1" t="s">
        <v>54</v>
      </c>
      <c r="I1122" s="1" t="s">
        <v>19</v>
      </c>
      <c r="L1122" s="1" t="s">
        <v>3425</v>
      </c>
      <c r="M1122" s="1" t="s">
        <v>54</v>
      </c>
      <c r="N1122" s="1">
        <v>904</v>
      </c>
      <c r="O1122" s="1" t="s">
        <v>3426</v>
      </c>
    </row>
    <row r="1123" spans="1:17" x14ac:dyDescent="0.35">
      <c r="A1123" s="1" t="s">
        <v>15</v>
      </c>
      <c r="B1123" s="1">
        <v>1161292</v>
      </c>
      <c r="C1123" s="1">
        <v>1161927</v>
      </c>
      <c r="E1123" s="1" t="s">
        <v>16</v>
      </c>
      <c r="F1123" s="1" t="s">
        <v>3427</v>
      </c>
      <c r="G1123" s="1" t="s">
        <v>3428</v>
      </c>
      <c r="I1123" s="1" t="s">
        <v>19</v>
      </c>
      <c r="L1123" s="1" t="s">
        <v>3429</v>
      </c>
      <c r="M1123" s="1" t="s">
        <v>3427</v>
      </c>
      <c r="N1123" s="1">
        <v>211</v>
      </c>
      <c r="O1123" s="1" t="s">
        <v>3430</v>
      </c>
      <c r="Q1123" s="14"/>
    </row>
    <row r="1124" spans="1:17" x14ac:dyDescent="0.35">
      <c r="A1124" s="1" t="s">
        <v>15</v>
      </c>
      <c r="B1124" s="1">
        <v>1161987</v>
      </c>
      <c r="C1124" s="1">
        <v>1162751</v>
      </c>
      <c r="E1124" s="1" t="s">
        <v>178</v>
      </c>
      <c r="F1124" s="1" t="s">
        <v>3431</v>
      </c>
      <c r="I1124" s="1" t="s">
        <v>19</v>
      </c>
      <c r="L1124" s="1" t="s">
        <v>3432</v>
      </c>
      <c r="M1124" s="1" t="s">
        <v>3431</v>
      </c>
      <c r="N1124" s="1">
        <v>254</v>
      </c>
      <c r="O1124" s="1" t="s">
        <v>3433</v>
      </c>
    </row>
    <row r="1125" spans="1:17" x14ac:dyDescent="0.35">
      <c r="A1125" s="1" t="s">
        <v>15</v>
      </c>
      <c r="B1125" s="1">
        <v>1162946</v>
      </c>
      <c r="C1125" s="1">
        <v>1163569</v>
      </c>
      <c r="E1125" s="1" t="s">
        <v>178</v>
      </c>
      <c r="F1125" s="1" t="s">
        <v>2058</v>
      </c>
      <c r="I1125" s="1" t="s">
        <v>19</v>
      </c>
      <c r="L1125" s="1" t="s">
        <v>3434</v>
      </c>
      <c r="M1125" s="1" t="s">
        <v>2058</v>
      </c>
      <c r="N1125" s="1">
        <v>207</v>
      </c>
      <c r="O1125" s="1" t="s">
        <v>3435</v>
      </c>
    </row>
    <row r="1126" spans="1:17" x14ac:dyDescent="0.35">
      <c r="A1126" s="1" t="s">
        <v>15</v>
      </c>
      <c r="B1126" s="1">
        <v>1163593</v>
      </c>
      <c r="C1126" s="1">
        <v>1164675</v>
      </c>
      <c r="E1126" s="1" t="s">
        <v>178</v>
      </c>
      <c r="F1126" s="1" t="s">
        <v>3436</v>
      </c>
      <c r="G1126" s="1" t="s">
        <v>3437</v>
      </c>
      <c r="I1126" s="1" t="s">
        <v>19</v>
      </c>
      <c r="L1126" s="1" t="s">
        <v>3438</v>
      </c>
      <c r="M1126" s="1" t="s">
        <v>3436</v>
      </c>
      <c r="N1126" s="1">
        <v>360</v>
      </c>
      <c r="O1126" s="1" t="s">
        <v>3439</v>
      </c>
    </row>
    <row r="1127" spans="1:17" x14ac:dyDescent="0.35">
      <c r="A1127" s="1" t="s">
        <v>15</v>
      </c>
      <c r="B1127" s="1">
        <v>1164677</v>
      </c>
      <c r="C1127" s="1">
        <v>1165393</v>
      </c>
      <c r="E1127" s="1" t="s">
        <v>178</v>
      </c>
      <c r="F1127" s="1" t="s">
        <v>3440</v>
      </c>
      <c r="I1127" s="1" t="s">
        <v>19</v>
      </c>
      <c r="L1127" s="1" t="s">
        <v>3441</v>
      </c>
      <c r="M1127" s="1" t="s">
        <v>3440</v>
      </c>
      <c r="N1127" s="1">
        <v>238</v>
      </c>
      <c r="O1127" s="1" t="s">
        <v>3442</v>
      </c>
    </row>
    <row r="1128" spans="1:17" x14ac:dyDescent="0.35">
      <c r="A1128" s="1" t="s">
        <v>15</v>
      </c>
      <c r="B1128" s="1">
        <v>1165463</v>
      </c>
      <c r="C1128" s="1">
        <v>1165708</v>
      </c>
      <c r="E1128" s="1" t="s">
        <v>16</v>
      </c>
      <c r="F1128" s="1" t="s">
        <v>54</v>
      </c>
      <c r="I1128" s="1" t="s">
        <v>19</v>
      </c>
      <c r="L1128" s="1" t="s">
        <v>3443</v>
      </c>
      <c r="M1128" s="1" t="s">
        <v>54</v>
      </c>
      <c r="N1128" s="1">
        <v>81</v>
      </c>
      <c r="O1128" s="1" t="s">
        <v>3444</v>
      </c>
    </row>
    <row r="1129" spans="1:17" x14ac:dyDescent="0.35">
      <c r="A1129" s="1" t="s">
        <v>15</v>
      </c>
      <c r="B1129" s="1">
        <v>1165748</v>
      </c>
      <c r="C1129" s="1">
        <v>1166785</v>
      </c>
      <c r="E1129" s="1" t="s">
        <v>178</v>
      </c>
      <c r="F1129" s="1" t="s">
        <v>3445</v>
      </c>
      <c r="G1129" s="1" t="s">
        <v>3446</v>
      </c>
      <c r="I1129" s="1" t="s">
        <v>19</v>
      </c>
      <c r="L1129" s="1" t="s">
        <v>3447</v>
      </c>
      <c r="M1129" s="1" t="s">
        <v>3445</v>
      </c>
      <c r="N1129" s="1">
        <v>345</v>
      </c>
      <c r="O1129" s="1" t="s">
        <v>3448</v>
      </c>
      <c r="Q1129" s="14"/>
    </row>
    <row r="1130" spans="1:17" x14ac:dyDescent="0.35">
      <c r="A1130" s="1" t="s">
        <v>15</v>
      </c>
      <c r="B1130" s="1">
        <v>1166882</v>
      </c>
      <c r="C1130" s="1">
        <v>1167976</v>
      </c>
      <c r="E1130" s="1" t="s">
        <v>178</v>
      </c>
      <c r="F1130" s="1" t="s">
        <v>3449</v>
      </c>
      <c r="G1130" s="1" t="s">
        <v>3450</v>
      </c>
      <c r="I1130" s="1" t="s">
        <v>19</v>
      </c>
      <c r="L1130" s="1" t="s">
        <v>3451</v>
      </c>
      <c r="M1130" s="1" t="s">
        <v>3449</v>
      </c>
      <c r="N1130" s="1">
        <v>364</v>
      </c>
      <c r="O1130" s="1" t="s">
        <v>3452</v>
      </c>
      <c r="Q1130" s="14"/>
    </row>
    <row r="1131" spans="1:17" x14ac:dyDescent="0.35">
      <c r="A1131" s="1" t="s">
        <v>15</v>
      </c>
      <c r="B1131" s="1">
        <v>1168088</v>
      </c>
      <c r="C1131" s="1">
        <v>1168984</v>
      </c>
      <c r="E1131" s="1" t="s">
        <v>178</v>
      </c>
      <c r="F1131" s="1" t="s">
        <v>3453</v>
      </c>
      <c r="I1131" s="1" t="s">
        <v>19</v>
      </c>
      <c r="L1131" s="1" t="s">
        <v>3454</v>
      </c>
      <c r="M1131" s="1" t="s">
        <v>3453</v>
      </c>
      <c r="N1131" s="1">
        <v>298</v>
      </c>
      <c r="O1131" s="1" t="s">
        <v>3455</v>
      </c>
    </row>
    <row r="1132" spans="1:17" x14ac:dyDescent="0.35">
      <c r="A1132" s="1" t="s">
        <v>15</v>
      </c>
      <c r="B1132" s="1">
        <v>1169082</v>
      </c>
      <c r="C1132" s="1">
        <v>1169657</v>
      </c>
      <c r="E1132" s="1" t="s">
        <v>16</v>
      </c>
      <c r="F1132" s="1" t="s">
        <v>2058</v>
      </c>
      <c r="I1132" s="1" t="s">
        <v>19</v>
      </c>
      <c r="L1132" s="1" t="s">
        <v>3456</v>
      </c>
      <c r="M1132" s="1" t="s">
        <v>2058</v>
      </c>
      <c r="N1132" s="1">
        <v>191</v>
      </c>
      <c r="O1132" s="1" t="s">
        <v>3457</v>
      </c>
    </row>
    <row r="1133" spans="1:17" x14ac:dyDescent="0.35">
      <c r="A1133" s="1" t="s">
        <v>15</v>
      </c>
      <c r="B1133" s="1">
        <v>1169673</v>
      </c>
      <c r="C1133" s="1">
        <v>1170143</v>
      </c>
      <c r="E1133" s="1" t="s">
        <v>16</v>
      </c>
      <c r="F1133" s="1" t="s">
        <v>54</v>
      </c>
      <c r="I1133" s="1" t="s">
        <v>19</v>
      </c>
      <c r="L1133" s="1" t="s">
        <v>3458</v>
      </c>
      <c r="M1133" s="1" t="s">
        <v>54</v>
      </c>
      <c r="N1133" s="1">
        <v>156</v>
      </c>
      <c r="O1133" s="1" t="s">
        <v>3459</v>
      </c>
    </row>
    <row r="1134" spans="1:17" x14ac:dyDescent="0.35">
      <c r="A1134" s="1" t="s">
        <v>15</v>
      </c>
      <c r="B1134" s="1">
        <v>1170178</v>
      </c>
      <c r="C1134" s="1">
        <v>1170510</v>
      </c>
      <c r="E1134" s="1" t="s">
        <v>16</v>
      </c>
      <c r="F1134" s="1" t="s">
        <v>54</v>
      </c>
      <c r="I1134" s="1" t="s">
        <v>19</v>
      </c>
      <c r="L1134" s="1" t="s">
        <v>3460</v>
      </c>
      <c r="M1134" s="1" t="s">
        <v>54</v>
      </c>
      <c r="N1134" s="1">
        <v>110</v>
      </c>
      <c r="O1134" s="1" t="s">
        <v>3461</v>
      </c>
    </row>
    <row r="1135" spans="1:17" x14ac:dyDescent="0.35">
      <c r="A1135" s="1" t="s">
        <v>15</v>
      </c>
      <c r="B1135" s="1">
        <v>1171249</v>
      </c>
      <c r="C1135" s="1">
        <v>1171845</v>
      </c>
      <c r="E1135" s="1" t="s">
        <v>16</v>
      </c>
      <c r="F1135" s="1" t="s">
        <v>54</v>
      </c>
      <c r="I1135" s="1" t="s">
        <v>19</v>
      </c>
      <c r="L1135" s="1" t="s">
        <v>3462</v>
      </c>
      <c r="M1135" s="1" t="s">
        <v>54</v>
      </c>
      <c r="N1135" s="1">
        <v>198</v>
      </c>
      <c r="O1135" s="1" t="s">
        <v>3463</v>
      </c>
    </row>
    <row r="1136" spans="1:17" x14ac:dyDescent="0.35">
      <c r="A1136" s="1" t="s">
        <v>15</v>
      </c>
      <c r="B1136" s="1">
        <v>1172035</v>
      </c>
      <c r="C1136" s="1">
        <v>1173225</v>
      </c>
      <c r="E1136" s="1" t="s">
        <v>16</v>
      </c>
      <c r="F1136" s="1" t="s">
        <v>54</v>
      </c>
      <c r="I1136" s="1" t="s">
        <v>19</v>
      </c>
      <c r="L1136" s="1" t="s">
        <v>3464</v>
      </c>
      <c r="M1136" s="1" t="s">
        <v>54</v>
      </c>
      <c r="N1136" s="1">
        <v>396</v>
      </c>
      <c r="O1136" s="1" t="s">
        <v>3465</v>
      </c>
    </row>
    <row r="1137" spans="1:17" x14ac:dyDescent="0.35">
      <c r="A1137" s="1" t="s">
        <v>15</v>
      </c>
      <c r="B1137" s="1">
        <v>1173306</v>
      </c>
      <c r="C1137" s="1">
        <v>1174004</v>
      </c>
      <c r="E1137" s="1" t="s">
        <v>16</v>
      </c>
      <c r="F1137" s="1" t="s">
        <v>3466</v>
      </c>
      <c r="G1137" s="1" t="s">
        <v>3467</v>
      </c>
      <c r="I1137" s="1" t="s">
        <v>19</v>
      </c>
      <c r="L1137" s="1" t="s">
        <v>3468</v>
      </c>
      <c r="M1137" s="1" t="s">
        <v>3466</v>
      </c>
      <c r="N1137" s="1">
        <v>232</v>
      </c>
      <c r="O1137" s="1" t="s">
        <v>3469</v>
      </c>
    </row>
    <row r="1138" spans="1:17" x14ac:dyDescent="0.35">
      <c r="A1138" s="1" t="s">
        <v>15</v>
      </c>
      <c r="B1138" s="1">
        <v>1174001</v>
      </c>
      <c r="C1138" s="1">
        <v>1175035</v>
      </c>
      <c r="E1138" s="1" t="s">
        <v>16</v>
      </c>
      <c r="F1138" s="1" t="s">
        <v>2966</v>
      </c>
      <c r="G1138" s="1" t="s">
        <v>3470</v>
      </c>
      <c r="I1138" s="1" t="s">
        <v>19</v>
      </c>
      <c r="L1138" s="1" t="s">
        <v>3471</v>
      </c>
      <c r="M1138" s="1" t="s">
        <v>2966</v>
      </c>
      <c r="N1138" s="1">
        <v>344</v>
      </c>
      <c r="O1138" s="1" t="s">
        <v>3472</v>
      </c>
      <c r="Q1138" s="14"/>
    </row>
    <row r="1139" spans="1:17" x14ac:dyDescent="0.35">
      <c r="A1139" s="1" t="s">
        <v>15</v>
      </c>
      <c r="B1139" s="1">
        <v>1175084</v>
      </c>
      <c r="C1139" s="1">
        <v>1175485</v>
      </c>
      <c r="E1139" s="1" t="s">
        <v>16</v>
      </c>
      <c r="F1139" s="1" t="s">
        <v>54</v>
      </c>
      <c r="I1139" s="1" t="s">
        <v>19</v>
      </c>
      <c r="L1139" s="1" t="s">
        <v>3473</v>
      </c>
      <c r="M1139" s="1" t="s">
        <v>54</v>
      </c>
      <c r="N1139" s="1">
        <v>133</v>
      </c>
      <c r="O1139" s="1" t="s">
        <v>3474</v>
      </c>
    </row>
    <row r="1140" spans="1:17" x14ac:dyDescent="0.35">
      <c r="A1140" s="1" t="s">
        <v>15</v>
      </c>
      <c r="B1140" s="1">
        <v>1175873</v>
      </c>
      <c r="C1140" s="1">
        <v>1176673</v>
      </c>
      <c r="E1140" s="1" t="s">
        <v>178</v>
      </c>
      <c r="F1140" s="1" t="s">
        <v>902</v>
      </c>
      <c r="I1140" s="1" t="s">
        <v>19</v>
      </c>
      <c r="L1140" s="1" t="s">
        <v>3475</v>
      </c>
      <c r="M1140" s="1" t="s">
        <v>902</v>
      </c>
      <c r="N1140" s="1">
        <v>266</v>
      </c>
      <c r="O1140" s="1" t="s">
        <v>3476</v>
      </c>
      <c r="Q1140" s="14"/>
    </row>
    <row r="1141" spans="1:17" x14ac:dyDescent="0.35">
      <c r="A1141" s="1" t="s">
        <v>15</v>
      </c>
      <c r="B1141" s="1">
        <v>1176660</v>
      </c>
      <c r="C1141" s="1">
        <v>1177496</v>
      </c>
      <c r="E1141" s="1" t="s">
        <v>178</v>
      </c>
      <c r="F1141" s="1" t="s">
        <v>3477</v>
      </c>
      <c r="G1141" s="1" t="s">
        <v>3478</v>
      </c>
      <c r="I1141" s="1" t="s">
        <v>19</v>
      </c>
      <c r="L1141" s="1" t="s">
        <v>3479</v>
      </c>
      <c r="M1141" s="1" t="s">
        <v>3477</v>
      </c>
      <c r="N1141" s="1">
        <v>278</v>
      </c>
      <c r="O1141" s="1" t="s">
        <v>3480</v>
      </c>
      <c r="Q1141" s="14"/>
    </row>
    <row r="1142" spans="1:17" x14ac:dyDescent="0.35">
      <c r="A1142" s="1" t="s">
        <v>15</v>
      </c>
      <c r="B1142" s="1">
        <v>1177472</v>
      </c>
      <c r="C1142" s="1">
        <v>1178266</v>
      </c>
      <c r="E1142" s="1" t="s">
        <v>178</v>
      </c>
      <c r="F1142" s="1" t="s">
        <v>3481</v>
      </c>
      <c r="G1142" s="1" t="s">
        <v>3482</v>
      </c>
      <c r="I1142" s="1" t="s">
        <v>19</v>
      </c>
      <c r="L1142" s="1" t="s">
        <v>3483</v>
      </c>
      <c r="M1142" s="1" t="s">
        <v>3481</v>
      </c>
      <c r="N1142" s="1">
        <v>264</v>
      </c>
      <c r="O1142" s="1" t="s">
        <v>3484</v>
      </c>
    </row>
    <row r="1143" spans="1:17" x14ac:dyDescent="0.35">
      <c r="A1143" s="1" t="s">
        <v>15</v>
      </c>
      <c r="B1143" s="1">
        <v>1178263</v>
      </c>
      <c r="C1143" s="1">
        <v>1178865</v>
      </c>
      <c r="E1143" s="1" t="s">
        <v>178</v>
      </c>
      <c r="F1143" s="1" t="s">
        <v>3485</v>
      </c>
      <c r="I1143" s="1" t="s">
        <v>19</v>
      </c>
      <c r="L1143" s="1" t="s">
        <v>3486</v>
      </c>
      <c r="M1143" s="1" t="s">
        <v>3485</v>
      </c>
      <c r="N1143" s="1">
        <v>200</v>
      </c>
      <c r="O1143" s="1" t="s">
        <v>3487</v>
      </c>
      <c r="Q1143" s="14"/>
    </row>
    <row r="1144" spans="1:17" x14ac:dyDescent="0.35">
      <c r="A1144" s="1" t="s">
        <v>15</v>
      </c>
      <c r="B1144" s="1">
        <v>1179184</v>
      </c>
      <c r="C1144" s="1">
        <v>1179978</v>
      </c>
      <c r="E1144" s="1" t="s">
        <v>178</v>
      </c>
      <c r="F1144" s="1" t="s">
        <v>3488</v>
      </c>
      <c r="G1144" s="1" t="s">
        <v>3489</v>
      </c>
      <c r="I1144" s="1" t="s">
        <v>19</v>
      </c>
      <c r="L1144" s="1" t="s">
        <v>3490</v>
      </c>
      <c r="M1144" s="1" t="s">
        <v>3488</v>
      </c>
      <c r="N1144" s="1">
        <v>264</v>
      </c>
      <c r="O1144" s="1" t="s">
        <v>3491</v>
      </c>
      <c r="Q1144" s="14"/>
    </row>
    <row r="1145" spans="1:17" x14ac:dyDescent="0.35">
      <c r="A1145" s="1" t="s">
        <v>15</v>
      </c>
      <c r="B1145" s="1">
        <v>1180084</v>
      </c>
      <c r="C1145" s="1">
        <v>1180629</v>
      </c>
      <c r="E1145" s="1" t="s">
        <v>178</v>
      </c>
      <c r="F1145" s="1" t="s">
        <v>2058</v>
      </c>
      <c r="I1145" s="1" t="s">
        <v>19</v>
      </c>
      <c r="L1145" s="1" t="s">
        <v>3492</v>
      </c>
      <c r="M1145" s="1" t="s">
        <v>2058</v>
      </c>
      <c r="N1145" s="1">
        <v>181</v>
      </c>
      <c r="O1145" s="1" t="s">
        <v>3493</v>
      </c>
    </row>
    <row r="1146" spans="1:17" x14ac:dyDescent="0.35">
      <c r="A1146" s="1" t="s">
        <v>15</v>
      </c>
      <c r="B1146" s="1">
        <v>1180859</v>
      </c>
      <c r="C1146" s="1">
        <v>1181560</v>
      </c>
      <c r="E1146" s="1" t="s">
        <v>16</v>
      </c>
      <c r="F1146" s="1" t="s">
        <v>712</v>
      </c>
      <c r="I1146" s="1" t="s">
        <v>19</v>
      </c>
      <c r="L1146" s="1" t="s">
        <v>3494</v>
      </c>
      <c r="M1146" s="1" t="s">
        <v>712</v>
      </c>
      <c r="N1146" s="1">
        <v>233</v>
      </c>
      <c r="O1146" s="1" t="s">
        <v>3495</v>
      </c>
      <c r="Q1146" s="14"/>
    </row>
    <row r="1147" spans="1:17" x14ac:dyDescent="0.35">
      <c r="A1147" s="1" t="s">
        <v>15</v>
      </c>
      <c r="B1147" s="1">
        <v>1181573</v>
      </c>
      <c r="C1147" s="1">
        <v>1184236</v>
      </c>
      <c r="E1147" s="1" t="s">
        <v>16</v>
      </c>
      <c r="F1147" s="1" t="s">
        <v>3481</v>
      </c>
      <c r="G1147" s="1" t="s">
        <v>3496</v>
      </c>
      <c r="I1147" s="1" t="s">
        <v>19</v>
      </c>
      <c r="L1147" s="1" t="s">
        <v>3497</v>
      </c>
      <c r="M1147" s="1" t="s">
        <v>3481</v>
      </c>
      <c r="N1147" s="1">
        <v>887</v>
      </c>
      <c r="O1147" s="1" t="s">
        <v>3498</v>
      </c>
    </row>
    <row r="1148" spans="1:17" x14ac:dyDescent="0.35">
      <c r="A1148" s="1" t="s">
        <v>15</v>
      </c>
      <c r="B1148" s="1">
        <v>1184455</v>
      </c>
      <c r="C1148" s="1">
        <v>1184697</v>
      </c>
      <c r="E1148" s="1" t="s">
        <v>16</v>
      </c>
      <c r="F1148" s="1" t="s">
        <v>3499</v>
      </c>
      <c r="I1148" s="1" t="s">
        <v>19</v>
      </c>
      <c r="L1148" s="1" t="s">
        <v>3500</v>
      </c>
      <c r="M1148" s="1" t="s">
        <v>3499</v>
      </c>
      <c r="N1148" s="1">
        <v>80</v>
      </c>
      <c r="O1148" s="1" t="s">
        <v>3501</v>
      </c>
    </row>
    <row r="1149" spans="1:17" x14ac:dyDescent="0.35">
      <c r="A1149" s="1" t="s">
        <v>15</v>
      </c>
      <c r="B1149" s="1">
        <v>1184774</v>
      </c>
      <c r="C1149" s="1">
        <v>1185397</v>
      </c>
      <c r="E1149" s="1" t="s">
        <v>178</v>
      </c>
      <c r="F1149" s="1" t="s">
        <v>3502</v>
      </c>
      <c r="I1149" s="1" t="s">
        <v>19</v>
      </c>
      <c r="L1149" s="1" t="s">
        <v>3503</v>
      </c>
      <c r="M1149" s="1" t="s">
        <v>3502</v>
      </c>
      <c r="N1149" s="1">
        <v>207</v>
      </c>
      <c r="O1149" s="1" t="s">
        <v>3504</v>
      </c>
      <c r="Q1149" s="14"/>
    </row>
    <row r="1150" spans="1:17" x14ac:dyDescent="0.35">
      <c r="A1150" s="1" t="s">
        <v>15</v>
      </c>
      <c r="B1150" s="1">
        <v>1185394</v>
      </c>
      <c r="C1150" s="1">
        <v>1186914</v>
      </c>
      <c r="E1150" s="1" t="s">
        <v>178</v>
      </c>
      <c r="F1150" s="1" t="s">
        <v>3505</v>
      </c>
      <c r="I1150" s="1" t="s">
        <v>19</v>
      </c>
      <c r="L1150" s="1" t="s">
        <v>3506</v>
      </c>
      <c r="M1150" s="1" t="s">
        <v>3505</v>
      </c>
      <c r="N1150" s="1">
        <v>506</v>
      </c>
      <c r="O1150" s="1" t="s">
        <v>3507</v>
      </c>
      <c r="Q1150" s="14"/>
    </row>
    <row r="1151" spans="1:17" x14ac:dyDescent="0.35">
      <c r="A1151" s="1" t="s">
        <v>15</v>
      </c>
      <c r="B1151" s="1">
        <v>1186907</v>
      </c>
      <c r="C1151" s="1">
        <v>1187635</v>
      </c>
      <c r="E1151" s="1" t="s">
        <v>178</v>
      </c>
      <c r="F1151" s="1" t="s">
        <v>3508</v>
      </c>
      <c r="G1151" s="1" t="s">
        <v>3509</v>
      </c>
      <c r="I1151" s="1" t="s">
        <v>19</v>
      </c>
      <c r="L1151" s="1" t="s">
        <v>3510</v>
      </c>
      <c r="M1151" s="1" t="s">
        <v>3508</v>
      </c>
      <c r="N1151" s="1">
        <v>242</v>
      </c>
      <c r="O1151" s="1" t="s">
        <v>3511</v>
      </c>
    </row>
    <row r="1152" spans="1:17" x14ac:dyDescent="0.35">
      <c r="A1152" s="1" t="s">
        <v>15</v>
      </c>
      <c r="B1152" s="1">
        <v>1187628</v>
      </c>
      <c r="C1152" s="1">
        <v>1188482</v>
      </c>
      <c r="E1152" s="1" t="s">
        <v>178</v>
      </c>
      <c r="F1152" s="1" t="s">
        <v>3512</v>
      </c>
      <c r="G1152" s="1" t="s">
        <v>3513</v>
      </c>
      <c r="I1152" s="1" t="s">
        <v>19</v>
      </c>
      <c r="L1152" s="1" t="s">
        <v>3514</v>
      </c>
      <c r="M1152" s="1" t="s">
        <v>3512</v>
      </c>
      <c r="N1152" s="1">
        <v>284</v>
      </c>
      <c r="O1152" s="1" t="s">
        <v>3515</v>
      </c>
      <c r="Q1152" s="14"/>
    </row>
    <row r="1153" spans="1:17" x14ac:dyDescent="0.35">
      <c r="A1153" s="1" t="s">
        <v>15</v>
      </c>
      <c r="B1153" s="1">
        <v>1188501</v>
      </c>
      <c r="C1153" s="1">
        <v>1188950</v>
      </c>
      <c r="E1153" s="1" t="s">
        <v>178</v>
      </c>
      <c r="F1153" s="1" t="s">
        <v>285</v>
      </c>
      <c r="I1153" s="1" t="s">
        <v>19</v>
      </c>
      <c r="L1153" s="1" t="s">
        <v>3516</v>
      </c>
      <c r="M1153" s="1" t="s">
        <v>285</v>
      </c>
      <c r="N1153" s="1">
        <v>149</v>
      </c>
      <c r="O1153" s="1" t="s">
        <v>3517</v>
      </c>
    </row>
    <row r="1154" spans="1:17" x14ac:dyDescent="0.35">
      <c r="A1154" s="1" t="s">
        <v>15</v>
      </c>
      <c r="B1154" s="1">
        <v>1189037</v>
      </c>
      <c r="C1154" s="1">
        <v>1189780</v>
      </c>
      <c r="E1154" s="1" t="s">
        <v>178</v>
      </c>
      <c r="F1154" s="1" t="s">
        <v>3518</v>
      </c>
      <c r="I1154" s="1" t="s">
        <v>19</v>
      </c>
      <c r="L1154" s="1" t="s">
        <v>3519</v>
      </c>
      <c r="M1154" s="1" t="s">
        <v>3518</v>
      </c>
      <c r="N1154" s="1">
        <v>247</v>
      </c>
      <c r="O1154" s="1" t="s">
        <v>3520</v>
      </c>
    </row>
    <row r="1155" spans="1:17" x14ac:dyDescent="0.35">
      <c r="A1155" s="1" t="s">
        <v>15</v>
      </c>
      <c r="B1155" s="1">
        <v>1189786</v>
      </c>
      <c r="C1155" s="1">
        <v>1190634</v>
      </c>
      <c r="E1155" s="1" t="s">
        <v>178</v>
      </c>
      <c r="F1155" s="1" t="s">
        <v>3521</v>
      </c>
      <c r="I1155" s="1" t="s">
        <v>19</v>
      </c>
      <c r="L1155" s="1" t="s">
        <v>3522</v>
      </c>
      <c r="M1155" s="1" t="s">
        <v>3521</v>
      </c>
      <c r="N1155" s="1">
        <v>282</v>
      </c>
      <c r="O1155" s="1" t="s">
        <v>3523</v>
      </c>
    </row>
    <row r="1156" spans="1:17" x14ac:dyDescent="0.35">
      <c r="A1156" s="1" t="s">
        <v>15</v>
      </c>
      <c r="B1156" s="1">
        <v>1190624</v>
      </c>
      <c r="C1156" s="1">
        <v>1190959</v>
      </c>
      <c r="E1156" s="1" t="s">
        <v>178</v>
      </c>
      <c r="F1156" s="1" t="s">
        <v>54</v>
      </c>
      <c r="I1156" s="1" t="s">
        <v>19</v>
      </c>
      <c r="L1156" s="1" t="s">
        <v>3524</v>
      </c>
      <c r="M1156" s="1" t="s">
        <v>54</v>
      </c>
      <c r="N1156" s="1">
        <v>111</v>
      </c>
      <c r="O1156" s="1" t="s">
        <v>3525</v>
      </c>
    </row>
    <row r="1157" spans="1:17" x14ac:dyDescent="0.35">
      <c r="A1157" s="1" t="s">
        <v>15</v>
      </c>
      <c r="B1157" s="1">
        <v>1191139</v>
      </c>
      <c r="C1157" s="1">
        <v>1191858</v>
      </c>
      <c r="E1157" s="1" t="s">
        <v>178</v>
      </c>
      <c r="F1157" s="1" t="s">
        <v>3526</v>
      </c>
      <c r="G1157" s="1" t="s">
        <v>3527</v>
      </c>
      <c r="I1157" s="1" t="s">
        <v>19</v>
      </c>
      <c r="L1157" s="1" t="s">
        <v>3528</v>
      </c>
      <c r="M1157" s="1" t="s">
        <v>3526</v>
      </c>
      <c r="N1157" s="1">
        <v>239</v>
      </c>
      <c r="O1157" s="1" t="s">
        <v>3529</v>
      </c>
      <c r="Q1157" s="14"/>
    </row>
    <row r="1158" spans="1:17" x14ac:dyDescent="0.35">
      <c r="A1158" s="1" t="s">
        <v>15</v>
      </c>
      <c r="B1158" s="1">
        <v>1191874</v>
      </c>
      <c r="C1158" s="1">
        <v>1193550</v>
      </c>
      <c r="E1158" s="1" t="s">
        <v>178</v>
      </c>
      <c r="F1158" s="1" t="s">
        <v>3530</v>
      </c>
      <c r="G1158" s="1" t="s">
        <v>3531</v>
      </c>
      <c r="I1158" s="1" t="s">
        <v>19</v>
      </c>
      <c r="L1158" s="1" t="s">
        <v>3532</v>
      </c>
      <c r="M1158" s="1" t="s">
        <v>3530</v>
      </c>
      <c r="N1158" s="1">
        <v>558</v>
      </c>
      <c r="O1158" s="1" t="s">
        <v>3533</v>
      </c>
      <c r="Q1158" s="14"/>
    </row>
    <row r="1159" spans="1:17" x14ac:dyDescent="0.35">
      <c r="A1159" s="1" t="s">
        <v>15</v>
      </c>
      <c r="B1159" s="1">
        <v>1193764</v>
      </c>
      <c r="C1159" s="1">
        <v>1194105</v>
      </c>
      <c r="E1159" s="1" t="s">
        <v>178</v>
      </c>
      <c r="F1159" s="1" t="s">
        <v>54</v>
      </c>
      <c r="I1159" s="1" t="s">
        <v>19</v>
      </c>
      <c r="L1159" s="1" t="s">
        <v>3534</v>
      </c>
      <c r="M1159" s="1" t="s">
        <v>54</v>
      </c>
      <c r="N1159" s="1">
        <v>113</v>
      </c>
      <c r="O1159" s="1" t="s">
        <v>3535</v>
      </c>
    </row>
    <row r="1160" spans="1:17" x14ac:dyDescent="0.35">
      <c r="A1160" s="1" t="s">
        <v>15</v>
      </c>
      <c r="B1160" s="1">
        <v>1194204</v>
      </c>
      <c r="C1160" s="1">
        <v>1195328</v>
      </c>
      <c r="E1160" s="1" t="s">
        <v>178</v>
      </c>
      <c r="F1160" s="1" t="s">
        <v>54</v>
      </c>
      <c r="I1160" s="1" t="s">
        <v>19</v>
      </c>
      <c r="L1160" s="1" t="s">
        <v>3536</v>
      </c>
      <c r="M1160" s="1" t="s">
        <v>54</v>
      </c>
      <c r="N1160" s="1">
        <v>374</v>
      </c>
      <c r="O1160" s="1" t="s">
        <v>3537</v>
      </c>
    </row>
    <row r="1161" spans="1:17" x14ac:dyDescent="0.35">
      <c r="A1161" s="1" t="s">
        <v>15</v>
      </c>
      <c r="B1161" s="1">
        <v>1195631</v>
      </c>
      <c r="C1161" s="1">
        <v>1197463</v>
      </c>
      <c r="E1161" s="1" t="s">
        <v>178</v>
      </c>
      <c r="F1161" s="1" t="s">
        <v>3538</v>
      </c>
      <c r="G1161" s="1" t="s">
        <v>3539</v>
      </c>
      <c r="I1161" s="1" t="s">
        <v>19</v>
      </c>
      <c r="L1161" s="1" t="s">
        <v>3540</v>
      </c>
      <c r="M1161" s="1" t="s">
        <v>3538</v>
      </c>
      <c r="N1161" s="1">
        <v>610</v>
      </c>
      <c r="O1161" s="1" t="s">
        <v>3541</v>
      </c>
    </row>
    <row r="1162" spans="1:17" x14ac:dyDescent="0.35">
      <c r="A1162" s="1" t="s">
        <v>15</v>
      </c>
      <c r="B1162" s="1">
        <v>1197585</v>
      </c>
      <c r="C1162" s="1">
        <v>1197749</v>
      </c>
      <c r="E1162" s="1" t="s">
        <v>178</v>
      </c>
      <c r="F1162" s="1" t="s">
        <v>54</v>
      </c>
      <c r="I1162" s="1" t="s">
        <v>19</v>
      </c>
      <c r="L1162" s="1" t="s">
        <v>3542</v>
      </c>
      <c r="M1162" s="1" t="s">
        <v>54</v>
      </c>
      <c r="N1162" s="1">
        <v>54</v>
      </c>
      <c r="O1162" s="1" t="s">
        <v>3543</v>
      </c>
    </row>
    <row r="1163" spans="1:17" x14ac:dyDescent="0.35">
      <c r="A1163" s="1" t="s">
        <v>15</v>
      </c>
      <c r="B1163" s="1">
        <v>1197852</v>
      </c>
      <c r="C1163" s="1">
        <v>1198616</v>
      </c>
      <c r="E1163" s="1" t="s">
        <v>178</v>
      </c>
      <c r="F1163" s="1" t="s">
        <v>3544</v>
      </c>
      <c r="G1163" s="1" t="s">
        <v>3545</v>
      </c>
      <c r="I1163" s="1" t="s">
        <v>19</v>
      </c>
      <c r="L1163" s="1" t="s">
        <v>3546</v>
      </c>
      <c r="M1163" s="1" t="s">
        <v>3544</v>
      </c>
      <c r="N1163" s="1">
        <v>254</v>
      </c>
      <c r="O1163" s="1" t="s">
        <v>3547</v>
      </c>
      <c r="Q1163" s="14"/>
    </row>
    <row r="1164" spans="1:17" x14ac:dyDescent="0.35">
      <c r="A1164" s="1" t="s">
        <v>15</v>
      </c>
      <c r="B1164" s="1">
        <v>1198828</v>
      </c>
      <c r="C1164" s="1">
        <v>1199121</v>
      </c>
      <c r="E1164" s="1" t="s">
        <v>178</v>
      </c>
      <c r="F1164" s="1" t="s">
        <v>3548</v>
      </c>
      <c r="I1164" s="1" t="s">
        <v>19</v>
      </c>
      <c r="L1164" s="1" t="s">
        <v>3549</v>
      </c>
      <c r="M1164" s="1" t="s">
        <v>3548</v>
      </c>
      <c r="N1164" s="1">
        <v>97</v>
      </c>
      <c r="O1164" s="1" t="s">
        <v>3550</v>
      </c>
    </row>
    <row r="1165" spans="1:17" x14ac:dyDescent="0.35">
      <c r="A1165" s="1" t="s">
        <v>15</v>
      </c>
      <c r="B1165" s="1">
        <v>1199123</v>
      </c>
      <c r="C1165" s="1">
        <v>1199551</v>
      </c>
      <c r="E1165" s="1" t="s">
        <v>178</v>
      </c>
      <c r="F1165" s="1" t="s">
        <v>3551</v>
      </c>
      <c r="G1165" s="1" t="s">
        <v>3552</v>
      </c>
      <c r="I1165" s="1" t="s">
        <v>19</v>
      </c>
      <c r="L1165" s="1" t="s">
        <v>3553</v>
      </c>
      <c r="M1165" s="1" t="s">
        <v>3551</v>
      </c>
      <c r="N1165" s="1">
        <v>142</v>
      </c>
      <c r="O1165" s="1" t="s">
        <v>3554</v>
      </c>
      <c r="Q1165" s="14"/>
    </row>
    <row r="1166" spans="1:17" x14ac:dyDescent="0.35">
      <c r="A1166" s="1" t="s">
        <v>15</v>
      </c>
      <c r="B1166" s="1">
        <v>1199704</v>
      </c>
      <c r="C1166" s="1">
        <v>1200849</v>
      </c>
      <c r="E1166" s="1" t="s">
        <v>16</v>
      </c>
      <c r="F1166" s="1" t="s">
        <v>3555</v>
      </c>
      <c r="I1166" s="1" t="s">
        <v>19</v>
      </c>
      <c r="L1166" s="1" t="s">
        <v>3556</v>
      </c>
      <c r="M1166" s="1" t="s">
        <v>3555</v>
      </c>
      <c r="N1166" s="1">
        <v>381</v>
      </c>
      <c r="O1166" s="1" t="s">
        <v>3557</v>
      </c>
      <c r="Q1166" s="14"/>
    </row>
    <row r="1167" spans="1:17" x14ac:dyDescent="0.35">
      <c r="A1167" s="1" t="s">
        <v>15</v>
      </c>
      <c r="B1167" s="1">
        <v>1200910</v>
      </c>
      <c r="C1167" s="1">
        <v>1202253</v>
      </c>
      <c r="E1167" s="1" t="s">
        <v>178</v>
      </c>
      <c r="F1167" s="1" t="s">
        <v>3558</v>
      </c>
      <c r="G1167" s="1" t="s">
        <v>3559</v>
      </c>
      <c r="I1167" s="1" t="s">
        <v>19</v>
      </c>
      <c r="L1167" s="1" t="s">
        <v>3560</v>
      </c>
      <c r="M1167" s="1" t="s">
        <v>3558</v>
      </c>
      <c r="N1167" s="1">
        <v>447</v>
      </c>
      <c r="O1167" s="1" t="s">
        <v>3561</v>
      </c>
    </row>
    <row r="1168" spans="1:17" x14ac:dyDescent="0.35">
      <c r="A1168" s="1" t="s">
        <v>15</v>
      </c>
      <c r="B1168" s="1">
        <v>1202371</v>
      </c>
      <c r="C1168" s="1">
        <v>1203747</v>
      </c>
      <c r="E1168" s="1" t="s">
        <v>178</v>
      </c>
      <c r="F1168" s="1" t="s">
        <v>2966</v>
      </c>
      <c r="G1168" s="1" t="s">
        <v>3562</v>
      </c>
      <c r="I1168" s="1" t="s">
        <v>19</v>
      </c>
      <c r="L1168" s="1" t="s">
        <v>3563</v>
      </c>
      <c r="M1168" s="1" t="s">
        <v>2966</v>
      </c>
      <c r="N1168" s="1">
        <v>458</v>
      </c>
      <c r="O1168" s="1" t="s">
        <v>3564</v>
      </c>
      <c r="Q1168" s="14"/>
    </row>
    <row r="1169" spans="1:17" x14ac:dyDescent="0.35">
      <c r="A1169" s="1" t="s">
        <v>15</v>
      </c>
      <c r="B1169" s="1">
        <v>1203738</v>
      </c>
      <c r="C1169" s="1">
        <v>1204397</v>
      </c>
      <c r="E1169" s="1" t="s">
        <v>178</v>
      </c>
      <c r="F1169" s="1" t="s">
        <v>3565</v>
      </c>
      <c r="G1169" s="1" t="s">
        <v>3566</v>
      </c>
      <c r="I1169" s="1" t="s">
        <v>19</v>
      </c>
      <c r="L1169" s="1" t="s">
        <v>3567</v>
      </c>
      <c r="M1169" s="1" t="s">
        <v>3565</v>
      </c>
      <c r="N1169" s="1">
        <v>219</v>
      </c>
      <c r="O1169" s="1" t="s">
        <v>3568</v>
      </c>
    </row>
    <row r="1170" spans="1:17" x14ac:dyDescent="0.35">
      <c r="A1170" s="1" t="s">
        <v>15</v>
      </c>
      <c r="B1170" s="1">
        <v>1205374</v>
      </c>
      <c r="C1170" s="1">
        <v>1207518</v>
      </c>
      <c r="E1170" s="1" t="s">
        <v>178</v>
      </c>
      <c r="F1170" s="1" t="s">
        <v>3569</v>
      </c>
      <c r="G1170" s="1" t="s">
        <v>3570</v>
      </c>
      <c r="I1170" s="1" t="s">
        <v>19</v>
      </c>
      <c r="L1170" s="1" t="s">
        <v>3571</v>
      </c>
      <c r="M1170" s="1" t="s">
        <v>3569</v>
      </c>
      <c r="N1170" s="1">
        <v>714</v>
      </c>
      <c r="O1170" s="1" t="s">
        <v>3572</v>
      </c>
      <c r="Q1170" s="14"/>
    </row>
    <row r="1171" spans="1:17" x14ac:dyDescent="0.35">
      <c r="A1171" s="1" t="s">
        <v>15</v>
      </c>
      <c r="B1171" s="1">
        <v>1207686</v>
      </c>
      <c r="C1171" s="1">
        <v>1208525</v>
      </c>
      <c r="E1171" s="1" t="s">
        <v>178</v>
      </c>
      <c r="F1171" s="1" t="s">
        <v>3573</v>
      </c>
      <c r="G1171" s="1" t="s">
        <v>3574</v>
      </c>
      <c r="I1171" s="1" t="s">
        <v>19</v>
      </c>
      <c r="L1171" s="1" t="s">
        <v>3575</v>
      </c>
      <c r="M1171" s="1" t="s">
        <v>3573</v>
      </c>
      <c r="N1171" s="1">
        <v>279</v>
      </c>
      <c r="O1171" s="1" t="s">
        <v>3576</v>
      </c>
    </row>
    <row r="1172" spans="1:17" x14ac:dyDescent="0.35">
      <c r="A1172" s="1" t="s">
        <v>15</v>
      </c>
      <c r="B1172" s="1">
        <v>1208592</v>
      </c>
      <c r="C1172" s="1">
        <v>1209512</v>
      </c>
      <c r="E1172" s="1" t="s">
        <v>178</v>
      </c>
      <c r="F1172" s="1" t="s">
        <v>3577</v>
      </c>
      <c r="I1172" s="1" t="s">
        <v>19</v>
      </c>
      <c r="L1172" s="1" t="s">
        <v>3578</v>
      </c>
      <c r="M1172" s="1" t="s">
        <v>3577</v>
      </c>
      <c r="N1172" s="1">
        <v>306</v>
      </c>
      <c r="O1172" s="1" t="s">
        <v>3579</v>
      </c>
      <c r="Q1172" s="14"/>
    </row>
    <row r="1173" spans="1:17" x14ac:dyDescent="0.35">
      <c r="A1173" s="1" t="s">
        <v>15</v>
      </c>
      <c r="B1173" s="1">
        <v>1209523</v>
      </c>
      <c r="C1173" s="1">
        <v>1210290</v>
      </c>
      <c r="E1173" s="1" t="s">
        <v>178</v>
      </c>
      <c r="F1173" s="1" t="s">
        <v>3580</v>
      </c>
      <c r="I1173" s="1" t="s">
        <v>19</v>
      </c>
      <c r="L1173" s="1" t="s">
        <v>3581</v>
      </c>
      <c r="M1173" s="1" t="s">
        <v>3580</v>
      </c>
      <c r="N1173" s="1">
        <v>255</v>
      </c>
      <c r="O1173" s="1" t="s">
        <v>3582</v>
      </c>
      <c r="Q1173" s="14"/>
    </row>
    <row r="1174" spans="1:17" x14ac:dyDescent="0.35">
      <c r="A1174" s="1" t="s">
        <v>15</v>
      </c>
      <c r="B1174" s="1">
        <v>1210277</v>
      </c>
      <c r="C1174" s="1">
        <v>1211131</v>
      </c>
      <c r="E1174" s="1" t="s">
        <v>178</v>
      </c>
      <c r="F1174" s="1" t="s">
        <v>1908</v>
      </c>
      <c r="I1174" s="1" t="s">
        <v>19</v>
      </c>
      <c r="L1174" s="1" t="s">
        <v>3583</v>
      </c>
      <c r="M1174" s="1" t="s">
        <v>1908</v>
      </c>
      <c r="N1174" s="1">
        <v>284</v>
      </c>
      <c r="O1174" s="1" t="s">
        <v>3584</v>
      </c>
    </row>
    <row r="1175" spans="1:17" x14ac:dyDescent="0.35">
      <c r="A1175" s="1" t="s">
        <v>15</v>
      </c>
      <c r="B1175" s="1">
        <v>1211260</v>
      </c>
      <c r="C1175" s="1">
        <v>1211949</v>
      </c>
      <c r="E1175" s="1" t="s">
        <v>178</v>
      </c>
      <c r="F1175" s="1" t="s">
        <v>849</v>
      </c>
      <c r="G1175" s="1" t="s">
        <v>3585</v>
      </c>
      <c r="I1175" s="1" t="s">
        <v>19</v>
      </c>
      <c r="L1175" s="1" t="s">
        <v>3586</v>
      </c>
      <c r="M1175" s="1" t="s">
        <v>849</v>
      </c>
      <c r="N1175" s="1">
        <v>229</v>
      </c>
      <c r="O1175" s="1" t="s">
        <v>3587</v>
      </c>
    </row>
    <row r="1176" spans="1:17" x14ac:dyDescent="0.35">
      <c r="A1176" s="1" t="s">
        <v>15</v>
      </c>
      <c r="B1176" s="1">
        <v>1212044</v>
      </c>
      <c r="C1176" s="1">
        <v>1212559</v>
      </c>
      <c r="E1176" s="1" t="s">
        <v>178</v>
      </c>
      <c r="F1176" s="1" t="s">
        <v>3588</v>
      </c>
      <c r="I1176" s="1" t="s">
        <v>19</v>
      </c>
      <c r="L1176" s="1" t="s">
        <v>3589</v>
      </c>
      <c r="M1176" s="1" t="s">
        <v>3588</v>
      </c>
      <c r="N1176" s="1">
        <v>171</v>
      </c>
      <c r="O1176" s="1" t="s">
        <v>3590</v>
      </c>
    </row>
    <row r="1177" spans="1:17" x14ac:dyDescent="0.35">
      <c r="A1177" s="1" t="s">
        <v>15</v>
      </c>
      <c r="B1177" s="1">
        <v>1212582</v>
      </c>
      <c r="C1177" s="1">
        <v>1213109</v>
      </c>
      <c r="E1177" s="1" t="s">
        <v>178</v>
      </c>
      <c r="F1177" s="1" t="s">
        <v>54</v>
      </c>
      <c r="I1177" s="1" t="s">
        <v>19</v>
      </c>
      <c r="L1177" s="1" t="s">
        <v>3591</v>
      </c>
      <c r="M1177" s="1" t="s">
        <v>54</v>
      </c>
      <c r="N1177" s="1">
        <v>175</v>
      </c>
      <c r="O1177" s="1" t="s">
        <v>3592</v>
      </c>
    </row>
    <row r="1178" spans="1:17" x14ac:dyDescent="0.35">
      <c r="A1178" s="1" t="s">
        <v>15</v>
      </c>
      <c r="B1178" s="1">
        <v>1213225</v>
      </c>
      <c r="C1178" s="1">
        <v>1214787</v>
      </c>
      <c r="E1178" s="1" t="s">
        <v>178</v>
      </c>
      <c r="F1178" s="1" t="s">
        <v>3593</v>
      </c>
      <c r="I1178" s="1" t="s">
        <v>19</v>
      </c>
      <c r="L1178" s="1" t="s">
        <v>3594</v>
      </c>
      <c r="M1178" s="1" t="s">
        <v>3593</v>
      </c>
      <c r="N1178" s="1">
        <v>520</v>
      </c>
      <c r="O1178" s="1" t="s">
        <v>3595</v>
      </c>
    </row>
    <row r="1179" spans="1:17" x14ac:dyDescent="0.35">
      <c r="A1179" s="1" t="s">
        <v>15</v>
      </c>
      <c r="B1179" s="1">
        <v>1214820</v>
      </c>
      <c r="C1179" s="1">
        <v>1215161</v>
      </c>
      <c r="E1179" s="1" t="s">
        <v>178</v>
      </c>
      <c r="F1179" s="1" t="s">
        <v>3596</v>
      </c>
      <c r="I1179" s="1" t="s">
        <v>19</v>
      </c>
      <c r="L1179" s="1" t="s">
        <v>3597</v>
      </c>
      <c r="M1179" s="1" t="s">
        <v>3596</v>
      </c>
      <c r="N1179" s="1">
        <v>113</v>
      </c>
      <c r="O1179" s="1" t="s">
        <v>3598</v>
      </c>
    </row>
    <row r="1180" spans="1:17" x14ac:dyDescent="0.35">
      <c r="A1180" s="1" t="s">
        <v>15</v>
      </c>
      <c r="B1180" s="1">
        <v>1215218</v>
      </c>
      <c r="C1180" s="1">
        <v>1215916</v>
      </c>
      <c r="E1180" s="1" t="s">
        <v>178</v>
      </c>
      <c r="F1180" s="1" t="s">
        <v>3599</v>
      </c>
      <c r="I1180" s="1" t="s">
        <v>19</v>
      </c>
      <c r="L1180" s="1" t="s">
        <v>3600</v>
      </c>
      <c r="M1180" s="1" t="s">
        <v>3599</v>
      </c>
      <c r="N1180" s="1">
        <v>232</v>
      </c>
      <c r="O1180" s="1" t="s">
        <v>3601</v>
      </c>
    </row>
    <row r="1181" spans="1:17" x14ac:dyDescent="0.35">
      <c r="A1181" s="1" t="s">
        <v>15</v>
      </c>
      <c r="B1181" s="1">
        <v>1216081</v>
      </c>
      <c r="C1181" s="1">
        <v>1217643</v>
      </c>
      <c r="E1181" s="1" t="s">
        <v>16</v>
      </c>
      <c r="F1181" s="1" t="s">
        <v>3602</v>
      </c>
      <c r="I1181" s="1" t="s">
        <v>19</v>
      </c>
      <c r="L1181" s="1" t="s">
        <v>3603</v>
      </c>
      <c r="M1181" s="1" t="s">
        <v>3602</v>
      </c>
      <c r="N1181" s="1">
        <v>520</v>
      </c>
      <c r="O1181" s="1" t="s">
        <v>3604</v>
      </c>
      <c r="Q1181" s="14"/>
    </row>
    <row r="1182" spans="1:17" x14ac:dyDescent="0.35">
      <c r="A1182" s="1" t="s">
        <v>15</v>
      </c>
      <c r="B1182" s="1">
        <v>1217933</v>
      </c>
      <c r="C1182" s="1">
        <v>1218517</v>
      </c>
      <c r="E1182" s="1" t="s">
        <v>178</v>
      </c>
      <c r="F1182" s="1" t="s">
        <v>3605</v>
      </c>
      <c r="G1182" s="1" t="s">
        <v>3606</v>
      </c>
      <c r="I1182" s="1" t="s">
        <v>19</v>
      </c>
      <c r="L1182" s="1" t="s">
        <v>3607</v>
      </c>
      <c r="M1182" s="1" t="s">
        <v>3605</v>
      </c>
      <c r="N1182" s="1">
        <v>194</v>
      </c>
      <c r="O1182" s="1" t="s">
        <v>3608</v>
      </c>
      <c r="Q1182" s="14"/>
    </row>
    <row r="1183" spans="1:17" x14ac:dyDescent="0.35">
      <c r="A1183" s="1" t="s">
        <v>15</v>
      </c>
      <c r="B1183" s="1">
        <v>1218801</v>
      </c>
      <c r="C1183" s="1">
        <v>1219820</v>
      </c>
      <c r="E1183" s="1" t="s">
        <v>178</v>
      </c>
      <c r="F1183" s="1" t="s">
        <v>3609</v>
      </c>
      <c r="G1183" s="1" t="s">
        <v>3610</v>
      </c>
      <c r="I1183" s="1" t="s">
        <v>19</v>
      </c>
      <c r="L1183" s="1" t="s">
        <v>3611</v>
      </c>
      <c r="M1183" s="1" t="s">
        <v>3609</v>
      </c>
      <c r="N1183" s="1">
        <v>339</v>
      </c>
      <c r="O1183" s="1" t="s">
        <v>3612</v>
      </c>
      <c r="Q1183" s="14"/>
    </row>
    <row r="1184" spans="1:17" x14ac:dyDescent="0.35">
      <c r="A1184" s="1" t="s">
        <v>15</v>
      </c>
      <c r="B1184" s="1">
        <v>1219982</v>
      </c>
      <c r="C1184" s="1">
        <v>1220263</v>
      </c>
      <c r="E1184" s="1" t="s">
        <v>178</v>
      </c>
      <c r="F1184" s="1" t="s">
        <v>54</v>
      </c>
      <c r="I1184" s="1" t="s">
        <v>19</v>
      </c>
      <c r="L1184" s="1" t="s">
        <v>3613</v>
      </c>
      <c r="M1184" s="1" t="s">
        <v>54</v>
      </c>
      <c r="N1184" s="1">
        <v>93</v>
      </c>
      <c r="O1184" s="1" t="s">
        <v>3614</v>
      </c>
    </row>
    <row r="1185" spans="1:17" x14ac:dyDescent="0.35">
      <c r="A1185" s="1" t="s">
        <v>15</v>
      </c>
      <c r="B1185" s="1">
        <v>1220241</v>
      </c>
      <c r="C1185" s="1">
        <v>1220618</v>
      </c>
      <c r="E1185" s="1" t="s">
        <v>178</v>
      </c>
      <c r="F1185" s="1" t="s">
        <v>54</v>
      </c>
      <c r="I1185" s="1" t="s">
        <v>19</v>
      </c>
      <c r="L1185" s="1" t="s">
        <v>3615</v>
      </c>
      <c r="M1185" s="1" t="s">
        <v>54</v>
      </c>
      <c r="N1185" s="1">
        <v>125</v>
      </c>
      <c r="O1185" s="1" t="s">
        <v>3616</v>
      </c>
    </row>
    <row r="1186" spans="1:17" x14ac:dyDescent="0.35">
      <c r="A1186" s="1" t="s">
        <v>15</v>
      </c>
      <c r="B1186" s="1">
        <v>1220615</v>
      </c>
      <c r="C1186" s="1">
        <v>1222030</v>
      </c>
      <c r="E1186" s="1" t="s">
        <v>178</v>
      </c>
      <c r="F1186" s="1" t="s">
        <v>3617</v>
      </c>
      <c r="G1186" s="1" t="s">
        <v>3618</v>
      </c>
      <c r="I1186" s="1" t="s">
        <v>19</v>
      </c>
      <c r="L1186" s="1" t="s">
        <v>3619</v>
      </c>
      <c r="M1186" s="1" t="s">
        <v>3617</v>
      </c>
      <c r="N1186" s="1">
        <v>471</v>
      </c>
      <c r="O1186" s="1" t="s">
        <v>3620</v>
      </c>
      <c r="Q1186" s="14"/>
    </row>
    <row r="1187" spans="1:17" x14ac:dyDescent="0.35">
      <c r="A1187" s="1" t="s">
        <v>15</v>
      </c>
      <c r="B1187" s="1">
        <v>1222144</v>
      </c>
      <c r="C1187" s="1">
        <v>1222995</v>
      </c>
      <c r="E1187" s="1" t="s">
        <v>178</v>
      </c>
      <c r="F1187" s="1" t="s">
        <v>2949</v>
      </c>
      <c r="I1187" s="1" t="s">
        <v>19</v>
      </c>
      <c r="L1187" s="1" t="s">
        <v>3621</v>
      </c>
      <c r="M1187" s="1" t="s">
        <v>2949</v>
      </c>
      <c r="N1187" s="1">
        <v>283</v>
      </c>
      <c r="O1187" s="1" t="s">
        <v>3622</v>
      </c>
    </row>
    <row r="1188" spans="1:17" x14ac:dyDescent="0.35">
      <c r="A1188" s="1" t="s">
        <v>15</v>
      </c>
      <c r="B1188" s="1">
        <v>1223008</v>
      </c>
      <c r="C1188" s="1">
        <v>1223637</v>
      </c>
      <c r="E1188" s="1" t="s">
        <v>178</v>
      </c>
      <c r="F1188" s="1" t="s">
        <v>3623</v>
      </c>
      <c r="I1188" s="1" t="s">
        <v>19</v>
      </c>
      <c r="L1188" s="1" t="s">
        <v>3624</v>
      </c>
      <c r="M1188" s="1" t="s">
        <v>3623</v>
      </c>
      <c r="N1188" s="1">
        <v>209</v>
      </c>
      <c r="O1188" s="1" t="s">
        <v>3625</v>
      </c>
    </row>
    <row r="1189" spans="1:17" x14ac:dyDescent="0.35">
      <c r="A1189" s="1" t="s">
        <v>15</v>
      </c>
      <c r="B1189" s="1">
        <v>1223646</v>
      </c>
      <c r="C1189" s="1">
        <v>1224287</v>
      </c>
      <c r="E1189" s="1" t="s">
        <v>178</v>
      </c>
      <c r="F1189" s="1" t="s">
        <v>1862</v>
      </c>
      <c r="I1189" s="1" t="s">
        <v>19</v>
      </c>
      <c r="L1189" s="1" t="s">
        <v>3626</v>
      </c>
      <c r="M1189" s="1" t="s">
        <v>1862</v>
      </c>
      <c r="N1189" s="1">
        <v>213</v>
      </c>
      <c r="O1189" s="1" t="s">
        <v>3627</v>
      </c>
    </row>
    <row r="1190" spans="1:17" x14ac:dyDescent="0.35">
      <c r="A1190" s="1" t="s">
        <v>15</v>
      </c>
      <c r="B1190" s="1">
        <v>1224487</v>
      </c>
      <c r="C1190" s="1">
        <v>1224819</v>
      </c>
      <c r="E1190" s="1" t="s">
        <v>178</v>
      </c>
      <c r="F1190" s="1" t="s">
        <v>3628</v>
      </c>
      <c r="I1190" s="1" t="s">
        <v>19</v>
      </c>
      <c r="L1190" s="1" t="s">
        <v>3629</v>
      </c>
      <c r="M1190" s="1" t="s">
        <v>3628</v>
      </c>
      <c r="N1190" s="1">
        <v>110</v>
      </c>
      <c r="O1190" s="1" t="s">
        <v>3630</v>
      </c>
    </row>
    <row r="1191" spans="1:17" x14ac:dyDescent="0.35">
      <c r="A1191" s="1" t="s">
        <v>15</v>
      </c>
      <c r="B1191" s="1">
        <v>1224934</v>
      </c>
      <c r="C1191" s="1">
        <v>1226742</v>
      </c>
      <c r="E1191" s="1" t="s">
        <v>178</v>
      </c>
      <c r="F1191" s="1" t="s">
        <v>3631</v>
      </c>
      <c r="G1191" s="1" t="s">
        <v>3632</v>
      </c>
      <c r="I1191" s="1" t="s">
        <v>19</v>
      </c>
      <c r="L1191" s="1" t="s">
        <v>3633</v>
      </c>
      <c r="M1191" s="1" t="s">
        <v>3631</v>
      </c>
      <c r="N1191" s="1">
        <v>602</v>
      </c>
      <c r="O1191" s="1" t="s">
        <v>3634</v>
      </c>
      <c r="Q1191" s="14"/>
    </row>
    <row r="1192" spans="1:17" x14ac:dyDescent="0.35">
      <c r="A1192" s="1" t="s">
        <v>15</v>
      </c>
      <c r="B1192" s="1">
        <v>1226950</v>
      </c>
      <c r="C1192" s="1">
        <v>1227858</v>
      </c>
      <c r="E1192" s="1" t="s">
        <v>16</v>
      </c>
      <c r="F1192" s="1" t="s">
        <v>3635</v>
      </c>
      <c r="G1192" s="1" t="s">
        <v>3636</v>
      </c>
      <c r="I1192" s="1" t="s">
        <v>19</v>
      </c>
      <c r="L1192" s="1" t="s">
        <v>3637</v>
      </c>
      <c r="M1192" s="1" t="s">
        <v>3635</v>
      </c>
      <c r="N1192" s="1">
        <v>302</v>
      </c>
      <c r="O1192" s="1" t="s">
        <v>3638</v>
      </c>
    </row>
    <row r="1193" spans="1:17" x14ac:dyDescent="0.35">
      <c r="A1193" s="1" t="s">
        <v>15</v>
      </c>
      <c r="B1193" s="1">
        <v>1227952</v>
      </c>
      <c r="C1193" s="1">
        <v>1228665</v>
      </c>
      <c r="E1193" s="1" t="s">
        <v>178</v>
      </c>
      <c r="F1193" s="1" t="s">
        <v>3639</v>
      </c>
      <c r="G1193" s="1" t="s">
        <v>3640</v>
      </c>
      <c r="I1193" s="1" t="s">
        <v>19</v>
      </c>
      <c r="L1193" s="1" t="s">
        <v>3641</v>
      </c>
      <c r="M1193" s="1" t="s">
        <v>3639</v>
      </c>
      <c r="N1193" s="1">
        <v>237</v>
      </c>
      <c r="O1193" s="1" t="s">
        <v>3642</v>
      </c>
    </row>
    <row r="1194" spans="1:17" x14ac:dyDescent="0.35">
      <c r="A1194" s="1" t="s">
        <v>15</v>
      </c>
      <c r="B1194" s="1">
        <v>1228838</v>
      </c>
      <c r="C1194" s="1">
        <v>1229845</v>
      </c>
      <c r="E1194" s="1" t="s">
        <v>16</v>
      </c>
      <c r="F1194" s="1" t="s">
        <v>54</v>
      </c>
      <c r="I1194" s="1" t="s">
        <v>19</v>
      </c>
      <c r="L1194" s="1" t="s">
        <v>3643</v>
      </c>
      <c r="M1194" s="1" t="s">
        <v>54</v>
      </c>
      <c r="N1194" s="1">
        <v>335</v>
      </c>
      <c r="O1194" s="1" t="s">
        <v>3644</v>
      </c>
    </row>
    <row r="1195" spans="1:17" x14ac:dyDescent="0.35">
      <c r="A1195" s="1" t="s">
        <v>15</v>
      </c>
      <c r="B1195" s="1">
        <v>1229900</v>
      </c>
      <c r="C1195" s="1">
        <v>1230211</v>
      </c>
      <c r="E1195" s="1" t="s">
        <v>178</v>
      </c>
      <c r="F1195" s="1" t="s">
        <v>54</v>
      </c>
      <c r="I1195" s="1" t="s">
        <v>19</v>
      </c>
      <c r="L1195" s="1" t="s">
        <v>3645</v>
      </c>
      <c r="M1195" s="1" t="s">
        <v>54</v>
      </c>
      <c r="N1195" s="1">
        <v>103</v>
      </c>
      <c r="O1195" s="1" t="s">
        <v>3646</v>
      </c>
    </row>
    <row r="1196" spans="1:17" x14ac:dyDescent="0.35">
      <c r="A1196" s="1" t="s">
        <v>15</v>
      </c>
      <c r="B1196" s="1">
        <v>1230357</v>
      </c>
      <c r="C1196" s="1">
        <v>1230755</v>
      </c>
      <c r="E1196" s="1" t="s">
        <v>178</v>
      </c>
      <c r="F1196" s="1" t="s">
        <v>50</v>
      </c>
      <c r="I1196" s="1" t="s">
        <v>19</v>
      </c>
      <c r="L1196" s="1" t="s">
        <v>3647</v>
      </c>
      <c r="M1196" s="1" t="s">
        <v>50</v>
      </c>
      <c r="N1196" s="1">
        <v>132</v>
      </c>
      <c r="O1196" s="1" t="s">
        <v>3648</v>
      </c>
    </row>
    <row r="1197" spans="1:17" x14ac:dyDescent="0.35">
      <c r="A1197" s="1" t="s">
        <v>15</v>
      </c>
      <c r="B1197" s="1">
        <v>1230974</v>
      </c>
      <c r="C1197" s="1">
        <v>1232518</v>
      </c>
      <c r="E1197" s="1" t="s">
        <v>178</v>
      </c>
      <c r="F1197" s="1" t="s">
        <v>3649</v>
      </c>
      <c r="G1197" s="1" t="s">
        <v>3650</v>
      </c>
      <c r="I1197" s="1" t="s">
        <v>19</v>
      </c>
      <c r="L1197" s="1" t="s">
        <v>3651</v>
      </c>
      <c r="M1197" s="1" t="s">
        <v>3649</v>
      </c>
      <c r="N1197" s="1">
        <v>514</v>
      </c>
      <c r="O1197" s="1" t="s">
        <v>3652</v>
      </c>
    </row>
    <row r="1198" spans="1:17" x14ac:dyDescent="0.35">
      <c r="A1198" s="1" t="s">
        <v>15</v>
      </c>
      <c r="B1198" s="1">
        <v>1232676</v>
      </c>
      <c r="C1198" s="1">
        <v>1233497</v>
      </c>
      <c r="E1198" s="1" t="s">
        <v>16</v>
      </c>
      <c r="F1198" s="1" t="s">
        <v>3653</v>
      </c>
      <c r="I1198" s="1" t="s">
        <v>19</v>
      </c>
      <c r="L1198" s="1" t="s">
        <v>3654</v>
      </c>
      <c r="M1198" s="1" t="s">
        <v>3653</v>
      </c>
      <c r="N1198" s="1">
        <v>273</v>
      </c>
      <c r="O1198" s="1" t="s">
        <v>3655</v>
      </c>
    </row>
    <row r="1199" spans="1:17" x14ac:dyDescent="0.35">
      <c r="A1199" s="1" t="s">
        <v>15</v>
      </c>
      <c r="B1199" s="1">
        <v>1233552</v>
      </c>
      <c r="C1199" s="1">
        <v>1234949</v>
      </c>
      <c r="E1199" s="1" t="s">
        <v>178</v>
      </c>
      <c r="F1199" s="1" t="s">
        <v>3656</v>
      </c>
      <c r="G1199" s="1" t="s">
        <v>3657</v>
      </c>
      <c r="I1199" s="1" t="s">
        <v>19</v>
      </c>
      <c r="L1199" s="1" t="s">
        <v>3658</v>
      </c>
      <c r="M1199" s="1" t="s">
        <v>3656</v>
      </c>
      <c r="N1199" s="1">
        <v>465</v>
      </c>
      <c r="O1199" s="1" t="s">
        <v>3659</v>
      </c>
      <c r="Q1199" s="14"/>
    </row>
    <row r="1200" spans="1:17" x14ac:dyDescent="0.35">
      <c r="A1200" s="1" t="s">
        <v>15</v>
      </c>
      <c r="B1200" s="1">
        <v>1234967</v>
      </c>
      <c r="C1200" s="1">
        <v>1235878</v>
      </c>
      <c r="E1200" s="1" t="s">
        <v>178</v>
      </c>
      <c r="F1200" s="1" t="s">
        <v>26</v>
      </c>
      <c r="I1200" s="1" t="s">
        <v>19</v>
      </c>
      <c r="L1200" s="1" t="s">
        <v>3660</v>
      </c>
      <c r="M1200" s="1" t="s">
        <v>26</v>
      </c>
      <c r="N1200" s="1">
        <v>303</v>
      </c>
      <c r="O1200" s="1" t="s">
        <v>3661</v>
      </c>
    </row>
    <row r="1201" spans="1:17" x14ac:dyDescent="0.35">
      <c r="A1201" s="1" t="s">
        <v>15</v>
      </c>
      <c r="B1201" s="1">
        <v>1235875</v>
      </c>
      <c r="C1201" s="1">
        <v>1236849</v>
      </c>
      <c r="E1201" s="1" t="s">
        <v>178</v>
      </c>
      <c r="F1201" s="1" t="s">
        <v>50</v>
      </c>
      <c r="I1201" s="1" t="s">
        <v>19</v>
      </c>
      <c r="L1201" s="1" t="s">
        <v>3662</v>
      </c>
      <c r="M1201" s="1" t="s">
        <v>50</v>
      </c>
      <c r="N1201" s="1">
        <v>324</v>
      </c>
      <c r="O1201" s="1" t="s">
        <v>3663</v>
      </c>
    </row>
    <row r="1202" spans="1:17" x14ac:dyDescent="0.35">
      <c r="A1202" s="1" t="s">
        <v>15</v>
      </c>
      <c r="B1202" s="1">
        <v>1236846</v>
      </c>
      <c r="C1202" s="1">
        <v>1237736</v>
      </c>
      <c r="E1202" s="1" t="s">
        <v>178</v>
      </c>
      <c r="F1202" s="1" t="s">
        <v>3664</v>
      </c>
      <c r="I1202" s="1" t="s">
        <v>19</v>
      </c>
      <c r="L1202" s="1" t="s">
        <v>3665</v>
      </c>
      <c r="M1202" s="1" t="s">
        <v>3664</v>
      </c>
      <c r="N1202" s="1">
        <v>296</v>
      </c>
      <c r="O1202" s="1" t="s">
        <v>3666</v>
      </c>
    </row>
    <row r="1203" spans="1:17" x14ac:dyDescent="0.35">
      <c r="A1203" s="1" t="s">
        <v>15</v>
      </c>
      <c r="B1203" s="1">
        <v>1237717</v>
      </c>
      <c r="C1203" s="1">
        <v>1238487</v>
      </c>
      <c r="E1203" s="1" t="s">
        <v>178</v>
      </c>
      <c r="F1203" s="1" t="s">
        <v>213</v>
      </c>
      <c r="I1203" s="1" t="s">
        <v>19</v>
      </c>
      <c r="L1203" s="1" t="s">
        <v>3667</v>
      </c>
      <c r="M1203" s="1" t="s">
        <v>213</v>
      </c>
      <c r="N1203" s="1">
        <v>256</v>
      </c>
      <c r="O1203" s="1" t="s">
        <v>3668</v>
      </c>
    </row>
    <row r="1204" spans="1:17" x14ac:dyDescent="0.35">
      <c r="A1204" s="1" t="s">
        <v>15</v>
      </c>
      <c r="B1204" s="1">
        <v>1238614</v>
      </c>
      <c r="C1204" s="1">
        <v>1240659</v>
      </c>
      <c r="E1204" s="1" t="s">
        <v>178</v>
      </c>
      <c r="F1204" s="1" t="s">
        <v>54</v>
      </c>
      <c r="I1204" s="1" t="s">
        <v>19</v>
      </c>
      <c r="L1204" s="1" t="s">
        <v>3669</v>
      </c>
      <c r="M1204" s="1" t="s">
        <v>54</v>
      </c>
      <c r="N1204" s="1">
        <v>681</v>
      </c>
      <c r="O1204" s="1" t="s">
        <v>3670</v>
      </c>
    </row>
    <row r="1205" spans="1:17" x14ac:dyDescent="0.35">
      <c r="A1205" s="1" t="s">
        <v>15</v>
      </c>
      <c r="B1205" s="1">
        <v>1240925</v>
      </c>
      <c r="C1205" s="1">
        <v>1241416</v>
      </c>
      <c r="E1205" s="1" t="s">
        <v>178</v>
      </c>
      <c r="F1205" s="1" t="s">
        <v>3671</v>
      </c>
      <c r="G1205" s="1" t="s">
        <v>3672</v>
      </c>
      <c r="I1205" s="1" t="s">
        <v>19</v>
      </c>
      <c r="L1205" s="1" t="s">
        <v>3673</v>
      </c>
      <c r="M1205" s="1" t="s">
        <v>3671</v>
      </c>
      <c r="N1205" s="1">
        <v>163</v>
      </c>
      <c r="O1205" s="1" t="s">
        <v>3674</v>
      </c>
      <c r="Q1205" s="14"/>
    </row>
    <row r="1206" spans="1:17" x14ac:dyDescent="0.35">
      <c r="A1206" s="1" t="s">
        <v>15</v>
      </c>
      <c r="B1206" s="1">
        <v>1241539</v>
      </c>
      <c r="C1206" s="1">
        <v>1242255</v>
      </c>
      <c r="E1206" s="1" t="s">
        <v>178</v>
      </c>
      <c r="F1206" s="1" t="s">
        <v>3675</v>
      </c>
      <c r="I1206" s="1" t="s">
        <v>19</v>
      </c>
      <c r="L1206" s="1" t="s">
        <v>3676</v>
      </c>
      <c r="M1206" s="1" t="s">
        <v>3675</v>
      </c>
      <c r="N1206" s="1">
        <v>238</v>
      </c>
      <c r="O1206" s="1" t="s">
        <v>3677</v>
      </c>
    </row>
    <row r="1207" spans="1:17" x14ac:dyDescent="0.35">
      <c r="A1207" s="1" t="s">
        <v>15</v>
      </c>
      <c r="B1207" s="1">
        <v>1242248</v>
      </c>
      <c r="C1207" s="1">
        <v>1242691</v>
      </c>
      <c r="E1207" s="1" t="s">
        <v>178</v>
      </c>
      <c r="F1207" s="1" t="s">
        <v>3678</v>
      </c>
      <c r="G1207" s="1" t="s">
        <v>3679</v>
      </c>
      <c r="I1207" s="1" t="s">
        <v>19</v>
      </c>
      <c r="L1207" s="1" t="s">
        <v>3680</v>
      </c>
      <c r="M1207" s="1" t="s">
        <v>3678</v>
      </c>
      <c r="N1207" s="1">
        <v>147</v>
      </c>
      <c r="O1207" s="1" t="s">
        <v>3681</v>
      </c>
      <c r="Q1207" s="14"/>
    </row>
    <row r="1208" spans="1:17" x14ac:dyDescent="0.35">
      <c r="A1208" s="1" t="s">
        <v>15</v>
      </c>
      <c r="B1208" s="1">
        <v>1242691</v>
      </c>
      <c r="C1208" s="1">
        <v>1243344</v>
      </c>
      <c r="E1208" s="1" t="s">
        <v>178</v>
      </c>
      <c r="F1208" s="1" t="s">
        <v>3682</v>
      </c>
      <c r="G1208" s="1" t="s">
        <v>3683</v>
      </c>
      <c r="I1208" s="1" t="s">
        <v>19</v>
      </c>
      <c r="L1208" s="1" t="s">
        <v>3684</v>
      </c>
      <c r="M1208" s="1" t="s">
        <v>3682</v>
      </c>
      <c r="N1208" s="1">
        <v>217</v>
      </c>
      <c r="O1208" s="1" t="s">
        <v>3685</v>
      </c>
      <c r="Q1208" s="14"/>
    </row>
    <row r="1209" spans="1:17" x14ac:dyDescent="0.35">
      <c r="A1209" s="1" t="s">
        <v>15</v>
      </c>
      <c r="B1209" s="1">
        <v>1243519</v>
      </c>
      <c r="C1209" s="1">
        <v>1243899</v>
      </c>
      <c r="E1209" s="1" t="s">
        <v>178</v>
      </c>
      <c r="F1209" s="1" t="s">
        <v>3686</v>
      </c>
      <c r="G1209" s="1" t="s">
        <v>3687</v>
      </c>
      <c r="I1209" s="1" t="s">
        <v>19</v>
      </c>
      <c r="L1209" s="1" t="s">
        <v>3688</v>
      </c>
      <c r="M1209" s="1" t="s">
        <v>3686</v>
      </c>
      <c r="N1209" s="1">
        <v>126</v>
      </c>
      <c r="O1209" s="1" t="s">
        <v>3689</v>
      </c>
      <c r="Q1209" s="14"/>
    </row>
    <row r="1210" spans="1:17" x14ac:dyDescent="0.35">
      <c r="A1210" s="1" t="s">
        <v>15</v>
      </c>
      <c r="B1210" s="1">
        <v>1244008</v>
      </c>
      <c r="C1210" s="1">
        <v>1244415</v>
      </c>
      <c r="E1210" s="1" t="s">
        <v>178</v>
      </c>
      <c r="F1210" s="1" t="s">
        <v>54</v>
      </c>
      <c r="I1210" s="1" t="s">
        <v>19</v>
      </c>
      <c r="L1210" s="1" t="s">
        <v>3690</v>
      </c>
      <c r="M1210" s="1" t="s">
        <v>54</v>
      </c>
      <c r="N1210" s="1">
        <v>135</v>
      </c>
      <c r="O1210" s="1" t="s">
        <v>3691</v>
      </c>
    </row>
    <row r="1211" spans="1:17" x14ac:dyDescent="0.35">
      <c r="A1211" s="1" t="s">
        <v>15</v>
      </c>
      <c r="B1211" s="1">
        <v>1244442</v>
      </c>
      <c r="C1211" s="1">
        <v>1245788</v>
      </c>
      <c r="E1211" s="1" t="s">
        <v>178</v>
      </c>
      <c r="F1211" s="1" t="s">
        <v>3692</v>
      </c>
      <c r="G1211" s="1" t="s">
        <v>3693</v>
      </c>
      <c r="I1211" s="1" t="s">
        <v>19</v>
      </c>
      <c r="L1211" s="1" t="s">
        <v>3694</v>
      </c>
      <c r="M1211" s="1" t="s">
        <v>3692</v>
      </c>
      <c r="N1211" s="1">
        <v>448</v>
      </c>
      <c r="O1211" s="1" t="s">
        <v>3695</v>
      </c>
      <c r="Q1211" s="14"/>
    </row>
    <row r="1212" spans="1:17" x14ac:dyDescent="0.35">
      <c r="A1212" s="1" t="s">
        <v>15</v>
      </c>
      <c r="B1212" s="1">
        <v>1245825</v>
      </c>
      <c r="C1212" s="1">
        <v>1246976</v>
      </c>
      <c r="E1212" s="1" t="s">
        <v>178</v>
      </c>
      <c r="F1212" s="1" t="s">
        <v>3696</v>
      </c>
      <c r="G1212" s="1" t="s">
        <v>3697</v>
      </c>
      <c r="I1212" s="1" t="s">
        <v>19</v>
      </c>
      <c r="L1212" s="1" t="s">
        <v>3698</v>
      </c>
      <c r="M1212" s="1" t="s">
        <v>3696</v>
      </c>
      <c r="N1212" s="1">
        <v>383</v>
      </c>
      <c r="O1212" s="1" t="s">
        <v>3699</v>
      </c>
      <c r="Q1212" s="14"/>
    </row>
    <row r="1213" spans="1:17" x14ac:dyDescent="0.35">
      <c r="A1213" s="1" t="s">
        <v>15</v>
      </c>
      <c r="B1213" s="1">
        <v>1247011</v>
      </c>
      <c r="C1213" s="1">
        <v>1247493</v>
      </c>
      <c r="E1213" s="1" t="s">
        <v>178</v>
      </c>
      <c r="F1213" s="1" t="s">
        <v>26</v>
      </c>
      <c r="I1213" s="1" t="s">
        <v>19</v>
      </c>
      <c r="L1213" s="1" t="s">
        <v>3700</v>
      </c>
      <c r="M1213" s="1" t="s">
        <v>26</v>
      </c>
      <c r="N1213" s="1">
        <v>160</v>
      </c>
      <c r="O1213" s="1" t="s">
        <v>3701</v>
      </c>
    </row>
    <row r="1214" spans="1:17" x14ac:dyDescent="0.35">
      <c r="A1214" s="1" t="s">
        <v>15</v>
      </c>
      <c r="B1214" s="1">
        <v>1247651</v>
      </c>
      <c r="C1214" s="1">
        <v>1250137</v>
      </c>
      <c r="E1214" s="1" t="s">
        <v>178</v>
      </c>
      <c r="F1214" s="1" t="s">
        <v>3702</v>
      </c>
      <c r="I1214" s="1" t="s">
        <v>19</v>
      </c>
      <c r="L1214" s="1" t="s">
        <v>3703</v>
      </c>
      <c r="M1214" s="1" t="s">
        <v>3702</v>
      </c>
      <c r="N1214" s="1">
        <v>828</v>
      </c>
      <c r="O1214" s="1" t="s">
        <v>3704</v>
      </c>
      <c r="Q1214" s="14"/>
    </row>
    <row r="1215" spans="1:17" x14ac:dyDescent="0.35">
      <c r="A1215" s="1" t="s">
        <v>15</v>
      </c>
      <c r="B1215" s="1">
        <v>1250233</v>
      </c>
      <c r="C1215" s="1">
        <v>1250865</v>
      </c>
      <c r="E1215" s="1" t="s">
        <v>16</v>
      </c>
      <c r="F1215" s="1" t="s">
        <v>3705</v>
      </c>
      <c r="G1215" s="1" t="s">
        <v>3706</v>
      </c>
      <c r="I1215" s="1" t="s">
        <v>19</v>
      </c>
      <c r="L1215" s="1" t="s">
        <v>3707</v>
      </c>
      <c r="M1215" s="1" t="s">
        <v>3705</v>
      </c>
      <c r="N1215" s="1">
        <v>210</v>
      </c>
      <c r="O1215" s="1" t="s">
        <v>3708</v>
      </c>
      <c r="Q1215" s="14"/>
    </row>
    <row r="1216" spans="1:17" x14ac:dyDescent="0.35">
      <c r="A1216" s="1" t="s">
        <v>15</v>
      </c>
      <c r="B1216" s="1">
        <v>1250970</v>
      </c>
      <c r="C1216" s="1">
        <v>1251926</v>
      </c>
      <c r="E1216" s="1" t="s">
        <v>178</v>
      </c>
      <c r="F1216" s="1" t="s">
        <v>3709</v>
      </c>
      <c r="I1216" s="1" t="s">
        <v>19</v>
      </c>
      <c r="L1216" s="1" t="s">
        <v>3710</v>
      </c>
      <c r="M1216" s="1" t="s">
        <v>3709</v>
      </c>
      <c r="N1216" s="1">
        <v>318</v>
      </c>
      <c r="O1216" s="1" t="s">
        <v>3711</v>
      </c>
    </row>
    <row r="1217" spans="1:17" x14ac:dyDescent="0.35">
      <c r="A1217" s="1" t="s">
        <v>15</v>
      </c>
      <c r="B1217" s="1">
        <v>1251928</v>
      </c>
      <c r="C1217" s="1">
        <v>1252995</v>
      </c>
      <c r="E1217" s="1" t="s">
        <v>178</v>
      </c>
      <c r="F1217" s="1" t="s">
        <v>3709</v>
      </c>
      <c r="I1217" s="1" t="s">
        <v>19</v>
      </c>
      <c r="L1217" s="1" t="s">
        <v>3712</v>
      </c>
      <c r="M1217" s="1" t="s">
        <v>3709</v>
      </c>
      <c r="N1217" s="1">
        <v>355</v>
      </c>
      <c r="O1217" s="1" t="s">
        <v>3713</v>
      </c>
    </row>
    <row r="1218" spans="1:17" x14ac:dyDescent="0.35">
      <c r="A1218" s="1" t="s">
        <v>15</v>
      </c>
      <c r="B1218" s="1">
        <v>1252988</v>
      </c>
      <c r="C1218" s="1">
        <v>1254526</v>
      </c>
      <c r="E1218" s="1" t="s">
        <v>178</v>
      </c>
      <c r="F1218" s="1" t="s">
        <v>3714</v>
      </c>
      <c r="G1218" s="1" t="s">
        <v>3715</v>
      </c>
      <c r="I1218" s="1" t="s">
        <v>19</v>
      </c>
      <c r="L1218" s="1" t="s">
        <v>3716</v>
      </c>
      <c r="M1218" s="1" t="s">
        <v>3714</v>
      </c>
      <c r="N1218" s="1">
        <v>512</v>
      </c>
      <c r="O1218" s="1" t="s">
        <v>3717</v>
      </c>
    </row>
    <row r="1219" spans="1:17" x14ac:dyDescent="0.35">
      <c r="A1219" s="1" t="s">
        <v>15</v>
      </c>
      <c r="B1219" s="1">
        <v>1254641</v>
      </c>
      <c r="C1219" s="1">
        <v>1255711</v>
      </c>
      <c r="E1219" s="1" t="s">
        <v>178</v>
      </c>
      <c r="F1219" s="1" t="s">
        <v>54</v>
      </c>
      <c r="I1219" s="1" t="s">
        <v>19</v>
      </c>
      <c r="L1219" s="1" t="s">
        <v>3718</v>
      </c>
      <c r="M1219" s="1" t="s">
        <v>54</v>
      </c>
      <c r="N1219" s="1">
        <v>356</v>
      </c>
      <c r="O1219" s="1" t="s">
        <v>3719</v>
      </c>
    </row>
    <row r="1220" spans="1:17" x14ac:dyDescent="0.35">
      <c r="A1220" s="1" t="s">
        <v>15</v>
      </c>
      <c r="B1220" s="1">
        <v>1255773</v>
      </c>
      <c r="C1220" s="1">
        <v>1256171</v>
      </c>
      <c r="E1220" s="1" t="s">
        <v>178</v>
      </c>
      <c r="F1220" s="1" t="s">
        <v>3720</v>
      </c>
      <c r="G1220" s="1" t="s">
        <v>3721</v>
      </c>
      <c r="I1220" s="1" t="s">
        <v>19</v>
      </c>
      <c r="L1220" s="1" t="s">
        <v>3722</v>
      </c>
      <c r="M1220" s="1" t="s">
        <v>3720</v>
      </c>
      <c r="N1220" s="1">
        <v>132</v>
      </c>
      <c r="O1220" s="1" t="s">
        <v>3723</v>
      </c>
      <c r="Q1220" s="14"/>
    </row>
    <row r="1221" spans="1:17" x14ac:dyDescent="0.35">
      <c r="A1221" s="1" t="s">
        <v>15</v>
      </c>
      <c r="B1221" s="1">
        <v>1256176</v>
      </c>
      <c r="C1221" s="1">
        <v>1256820</v>
      </c>
      <c r="E1221" s="1" t="s">
        <v>178</v>
      </c>
      <c r="F1221" s="1" t="s">
        <v>3724</v>
      </c>
      <c r="G1221" s="1" t="s">
        <v>3725</v>
      </c>
      <c r="I1221" s="1" t="s">
        <v>19</v>
      </c>
      <c r="L1221" s="1" t="s">
        <v>3726</v>
      </c>
      <c r="M1221" s="1" t="s">
        <v>3724</v>
      </c>
      <c r="N1221" s="1">
        <v>214</v>
      </c>
      <c r="O1221" s="1" t="s">
        <v>3727</v>
      </c>
      <c r="Q1221" s="14"/>
    </row>
    <row r="1222" spans="1:17" x14ac:dyDescent="0.35">
      <c r="A1222" s="1" t="s">
        <v>15</v>
      </c>
      <c r="B1222" s="1">
        <v>1256854</v>
      </c>
      <c r="C1222" s="1">
        <v>1258131</v>
      </c>
      <c r="E1222" s="1" t="s">
        <v>178</v>
      </c>
      <c r="F1222" s="1" t="s">
        <v>3728</v>
      </c>
      <c r="G1222" s="1" t="s">
        <v>3729</v>
      </c>
      <c r="I1222" s="1" t="s">
        <v>19</v>
      </c>
      <c r="L1222" s="1" t="s">
        <v>3730</v>
      </c>
      <c r="M1222" s="1" t="s">
        <v>3728</v>
      </c>
      <c r="N1222" s="1">
        <v>425</v>
      </c>
      <c r="O1222" s="1" t="s">
        <v>3731</v>
      </c>
      <c r="Q1222" s="14"/>
    </row>
    <row r="1223" spans="1:17" x14ac:dyDescent="0.35">
      <c r="A1223" s="1" t="s">
        <v>15</v>
      </c>
      <c r="B1223" s="1">
        <v>1258128</v>
      </c>
      <c r="C1223" s="1">
        <v>1258718</v>
      </c>
      <c r="E1223" s="1" t="s">
        <v>178</v>
      </c>
      <c r="F1223" s="1" t="s">
        <v>3732</v>
      </c>
      <c r="I1223" s="1" t="s">
        <v>19</v>
      </c>
      <c r="L1223" s="1" t="s">
        <v>3733</v>
      </c>
      <c r="M1223" s="1" t="s">
        <v>3732</v>
      </c>
      <c r="N1223" s="1">
        <v>196</v>
      </c>
      <c r="O1223" s="1" t="s">
        <v>3734</v>
      </c>
      <c r="Q1223" s="14"/>
    </row>
    <row r="1224" spans="1:17" x14ac:dyDescent="0.35">
      <c r="A1224" s="1" t="s">
        <v>15</v>
      </c>
      <c r="B1224" s="1">
        <v>1258831</v>
      </c>
      <c r="C1224" s="1">
        <v>1259751</v>
      </c>
      <c r="E1224" s="1" t="s">
        <v>16</v>
      </c>
      <c r="F1224" s="1" t="s">
        <v>3735</v>
      </c>
      <c r="G1224" s="1" t="s">
        <v>3736</v>
      </c>
      <c r="I1224" s="1" t="s">
        <v>19</v>
      </c>
      <c r="L1224" s="1" t="s">
        <v>3737</v>
      </c>
      <c r="M1224" s="1" t="s">
        <v>3735</v>
      </c>
      <c r="N1224" s="1">
        <v>306</v>
      </c>
      <c r="O1224" s="1" t="s">
        <v>3738</v>
      </c>
      <c r="Q1224" s="14"/>
    </row>
    <row r="1225" spans="1:17" x14ac:dyDescent="0.35">
      <c r="A1225" s="1" t="s">
        <v>15</v>
      </c>
      <c r="B1225" s="1">
        <v>1259821</v>
      </c>
      <c r="C1225" s="1">
        <v>1260057</v>
      </c>
      <c r="E1225" s="1" t="s">
        <v>16</v>
      </c>
      <c r="F1225" s="1" t="s">
        <v>3739</v>
      </c>
      <c r="G1225" s="1" t="s">
        <v>3740</v>
      </c>
      <c r="I1225" s="1" t="s">
        <v>19</v>
      </c>
      <c r="L1225" s="1" t="s">
        <v>3741</v>
      </c>
      <c r="M1225" s="1" t="s">
        <v>3739</v>
      </c>
      <c r="N1225" s="1">
        <v>78</v>
      </c>
      <c r="O1225" s="1" t="s">
        <v>3742</v>
      </c>
    </row>
    <row r="1226" spans="1:17" x14ac:dyDescent="0.35">
      <c r="A1226" s="1" t="s">
        <v>15</v>
      </c>
      <c r="B1226" s="1">
        <v>1260135</v>
      </c>
      <c r="C1226" s="1">
        <v>1261550</v>
      </c>
      <c r="E1226" s="1" t="s">
        <v>178</v>
      </c>
      <c r="F1226" s="1" t="s">
        <v>3743</v>
      </c>
      <c r="G1226" s="1" t="s">
        <v>3744</v>
      </c>
      <c r="I1226" s="1" t="s">
        <v>19</v>
      </c>
      <c r="L1226" s="1" t="s">
        <v>3745</v>
      </c>
      <c r="M1226" s="1" t="s">
        <v>3743</v>
      </c>
      <c r="N1226" s="1">
        <v>471</v>
      </c>
      <c r="O1226" s="1" t="s">
        <v>3746</v>
      </c>
      <c r="Q1226" s="14"/>
    </row>
    <row r="1227" spans="1:17" x14ac:dyDescent="0.35">
      <c r="A1227" s="1" t="s">
        <v>15</v>
      </c>
      <c r="B1227" s="1">
        <v>1261540</v>
      </c>
      <c r="C1227" s="1">
        <v>1262214</v>
      </c>
      <c r="E1227" s="1" t="s">
        <v>178</v>
      </c>
      <c r="F1227" s="1" t="s">
        <v>3747</v>
      </c>
      <c r="G1227" s="1" t="s">
        <v>3748</v>
      </c>
      <c r="I1227" s="1" t="s">
        <v>19</v>
      </c>
      <c r="L1227" s="1" t="s">
        <v>3749</v>
      </c>
      <c r="M1227" s="1" t="s">
        <v>3747</v>
      </c>
      <c r="N1227" s="1">
        <v>224</v>
      </c>
      <c r="O1227" s="1" t="s">
        <v>3750</v>
      </c>
    </row>
    <row r="1228" spans="1:17" x14ac:dyDescent="0.35">
      <c r="A1228" s="1" t="s">
        <v>15</v>
      </c>
      <c r="B1228" s="1">
        <v>1262414</v>
      </c>
      <c r="C1228" s="1">
        <v>1264084</v>
      </c>
      <c r="E1228" s="1" t="s">
        <v>178</v>
      </c>
      <c r="F1228" s="1" t="s">
        <v>3751</v>
      </c>
      <c r="G1228" s="1" t="s">
        <v>3752</v>
      </c>
      <c r="I1228" s="1" t="s">
        <v>19</v>
      </c>
      <c r="L1228" s="1" t="s">
        <v>3753</v>
      </c>
      <c r="M1228" s="1" t="s">
        <v>3751</v>
      </c>
      <c r="N1228" s="1">
        <v>556</v>
      </c>
      <c r="O1228" s="1" t="s">
        <v>3754</v>
      </c>
      <c r="Q1228" s="14"/>
    </row>
    <row r="1229" spans="1:17" x14ac:dyDescent="0.35">
      <c r="A1229" s="1" t="s">
        <v>15</v>
      </c>
      <c r="B1229" s="1">
        <v>1264279</v>
      </c>
      <c r="C1229" s="1">
        <v>1264962</v>
      </c>
      <c r="E1229" s="1" t="s">
        <v>16</v>
      </c>
      <c r="F1229" s="1" t="s">
        <v>3755</v>
      </c>
      <c r="G1229" s="1" t="s">
        <v>3756</v>
      </c>
      <c r="I1229" s="1" t="s">
        <v>19</v>
      </c>
      <c r="L1229" s="1" t="s">
        <v>3757</v>
      </c>
      <c r="M1229" s="1" t="s">
        <v>3755</v>
      </c>
      <c r="N1229" s="1">
        <v>227</v>
      </c>
      <c r="O1229" s="1" t="s">
        <v>3758</v>
      </c>
      <c r="Q1229" s="14"/>
    </row>
    <row r="1230" spans="1:17" x14ac:dyDescent="0.35">
      <c r="A1230" s="1" t="s">
        <v>15</v>
      </c>
      <c r="B1230" s="1">
        <v>1264955</v>
      </c>
      <c r="C1230" s="1">
        <v>1265500</v>
      </c>
      <c r="E1230" s="1" t="s">
        <v>16</v>
      </c>
      <c r="F1230" s="1" t="s">
        <v>3759</v>
      </c>
      <c r="G1230" s="1" t="s">
        <v>3760</v>
      </c>
      <c r="I1230" s="1" t="s">
        <v>19</v>
      </c>
      <c r="L1230" s="1" t="s">
        <v>3761</v>
      </c>
      <c r="M1230" s="1" t="s">
        <v>3759</v>
      </c>
      <c r="N1230" s="1">
        <v>181</v>
      </c>
      <c r="O1230" s="1" t="s">
        <v>3762</v>
      </c>
      <c r="Q1230" s="14"/>
    </row>
    <row r="1231" spans="1:17" x14ac:dyDescent="0.35">
      <c r="A1231" s="1" t="s">
        <v>15</v>
      </c>
      <c r="B1231" s="1">
        <v>1265529</v>
      </c>
      <c r="C1231" s="1">
        <v>1266101</v>
      </c>
      <c r="E1231" s="1" t="s">
        <v>16</v>
      </c>
      <c r="F1231" s="1" t="s">
        <v>213</v>
      </c>
      <c r="I1231" s="1" t="s">
        <v>19</v>
      </c>
      <c r="L1231" s="1" t="s">
        <v>3763</v>
      </c>
      <c r="M1231" s="1" t="s">
        <v>213</v>
      </c>
      <c r="N1231" s="1">
        <v>190</v>
      </c>
      <c r="O1231" s="1" t="s">
        <v>3764</v>
      </c>
    </row>
    <row r="1232" spans="1:17" x14ac:dyDescent="0.35">
      <c r="A1232" s="1" t="s">
        <v>15</v>
      </c>
      <c r="B1232" s="1">
        <v>1266168</v>
      </c>
      <c r="C1232" s="1">
        <v>1266728</v>
      </c>
      <c r="E1232" s="1" t="s">
        <v>16</v>
      </c>
      <c r="F1232" s="1" t="s">
        <v>213</v>
      </c>
      <c r="I1232" s="1" t="s">
        <v>19</v>
      </c>
      <c r="L1232" s="1" t="s">
        <v>3765</v>
      </c>
      <c r="M1232" s="1" t="s">
        <v>213</v>
      </c>
      <c r="N1232" s="1">
        <v>186</v>
      </c>
      <c r="O1232" s="1" t="s">
        <v>3766</v>
      </c>
    </row>
    <row r="1233" spans="1:17" x14ac:dyDescent="0.35">
      <c r="A1233" s="1" t="s">
        <v>15</v>
      </c>
      <c r="B1233" s="1">
        <v>1266881</v>
      </c>
      <c r="C1233" s="1">
        <v>1268599</v>
      </c>
      <c r="E1233" s="1" t="s">
        <v>16</v>
      </c>
      <c r="F1233" s="1" t="s">
        <v>3767</v>
      </c>
      <c r="G1233" s="1" t="s">
        <v>3768</v>
      </c>
      <c r="I1233" s="1" t="s">
        <v>19</v>
      </c>
      <c r="L1233" s="1" t="s">
        <v>3769</v>
      </c>
      <c r="M1233" s="1" t="s">
        <v>3767</v>
      </c>
      <c r="N1233" s="1">
        <v>572</v>
      </c>
      <c r="O1233" s="1" t="s">
        <v>3770</v>
      </c>
      <c r="Q1233" s="14"/>
    </row>
    <row r="1234" spans="1:17" x14ac:dyDescent="0.35">
      <c r="A1234" s="1" t="s">
        <v>15</v>
      </c>
      <c r="B1234" s="1">
        <v>1268738</v>
      </c>
      <c r="C1234" s="1">
        <v>1269613</v>
      </c>
      <c r="E1234" s="1" t="s">
        <v>178</v>
      </c>
      <c r="F1234" s="1" t="s">
        <v>3771</v>
      </c>
      <c r="G1234" s="1" t="s">
        <v>3772</v>
      </c>
      <c r="I1234" s="1" t="s">
        <v>19</v>
      </c>
      <c r="L1234" s="1" t="s">
        <v>3773</v>
      </c>
      <c r="M1234" s="1" t="s">
        <v>3771</v>
      </c>
      <c r="N1234" s="1">
        <v>291</v>
      </c>
      <c r="O1234" s="1" t="s">
        <v>3774</v>
      </c>
      <c r="Q1234" s="14"/>
    </row>
    <row r="1235" spans="1:17" x14ac:dyDescent="0.35">
      <c r="A1235" s="1" t="s">
        <v>15</v>
      </c>
      <c r="B1235" s="1">
        <v>1269800</v>
      </c>
      <c r="C1235" s="1">
        <v>1272049</v>
      </c>
      <c r="E1235" s="1" t="s">
        <v>178</v>
      </c>
      <c r="F1235" s="1" t="s">
        <v>3775</v>
      </c>
      <c r="G1235" s="1" t="s">
        <v>3776</v>
      </c>
      <c r="I1235" s="1" t="s">
        <v>19</v>
      </c>
      <c r="L1235" s="1" t="s">
        <v>3777</v>
      </c>
      <c r="M1235" s="1" t="s">
        <v>3775</v>
      </c>
      <c r="N1235" s="1">
        <v>749</v>
      </c>
      <c r="O1235" s="1" t="s">
        <v>3778</v>
      </c>
      <c r="Q1235" s="14"/>
    </row>
    <row r="1236" spans="1:17" x14ac:dyDescent="0.35">
      <c r="A1236" s="1" t="s">
        <v>15</v>
      </c>
      <c r="B1236" s="1">
        <v>1272302</v>
      </c>
      <c r="C1236" s="1">
        <v>1272559</v>
      </c>
      <c r="E1236" s="1" t="s">
        <v>178</v>
      </c>
      <c r="F1236" s="1" t="s">
        <v>54</v>
      </c>
      <c r="I1236" s="1" t="s">
        <v>19</v>
      </c>
      <c r="L1236" s="1" t="s">
        <v>3779</v>
      </c>
      <c r="M1236" s="1" t="s">
        <v>54</v>
      </c>
      <c r="N1236" s="1">
        <v>85</v>
      </c>
      <c r="O1236" s="1" t="s">
        <v>3780</v>
      </c>
    </row>
    <row r="1237" spans="1:17" x14ac:dyDescent="0.35">
      <c r="A1237" s="1" t="s">
        <v>15</v>
      </c>
      <c r="B1237" s="1">
        <v>1272799</v>
      </c>
      <c r="C1237" s="1">
        <v>1274529</v>
      </c>
      <c r="E1237" s="1" t="s">
        <v>16</v>
      </c>
      <c r="F1237" s="1" t="s">
        <v>3781</v>
      </c>
      <c r="G1237" s="1" t="s">
        <v>3782</v>
      </c>
      <c r="I1237" s="1" t="s">
        <v>19</v>
      </c>
      <c r="L1237" s="1" t="s">
        <v>3783</v>
      </c>
      <c r="M1237" s="1" t="s">
        <v>3781</v>
      </c>
      <c r="N1237" s="1">
        <v>576</v>
      </c>
      <c r="O1237" s="1" t="s">
        <v>3784</v>
      </c>
      <c r="Q1237" s="14"/>
    </row>
    <row r="1238" spans="1:17" x14ac:dyDescent="0.35">
      <c r="A1238" s="1" t="s">
        <v>15</v>
      </c>
      <c r="B1238" s="1">
        <v>1274745</v>
      </c>
      <c r="C1238" s="1">
        <v>1277381</v>
      </c>
      <c r="E1238" s="1" t="s">
        <v>16</v>
      </c>
      <c r="F1238" s="1" t="s">
        <v>3785</v>
      </c>
      <c r="G1238" s="1" t="s">
        <v>3786</v>
      </c>
      <c r="I1238" s="1" t="s">
        <v>19</v>
      </c>
      <c r="L1238" s="1" t="s">
        <v>3787</v>
      </c>
      <c r="M1238" s="1" t="s">
        <v>3785</v>
      </c>
      <c r="N1238" s="1">
        <v>878</v>
      </c>
      <c r="O1238" s="1" t="s">
        <v>3788</v>
      </c>
      <c r="Q1238" s="14"/>
    </row>
    <row r="1239" spans="1:17" x14ac:dyDescent="0.35">
      <c r="A1239" s="1" t="s">
        <v>15</v>
      </c>
      <c r="B1239" s="1">
        <v>1277530</v>
      </c>
      <c r="C1239" s="1">
        <v>1278798</v>
      </c>
      <c r="E1239" s="1" t="s">
        <v>178</v>
      </c>
      <c r="F1239" s="1" t="s">
        <v>3789</v>
      </c>
      <c r="G1239" s="1" t="s">
        <v>3790</v>
      </c>
      <c r="I1239" s="1" t="s">
        <v>19</v>
      </c>
      <c r="L1239" s="1" t="s">
        <v>3791</v>
      </c>
      <c r="M1239" s="1" t="s">
        <v>3789</v>
      </c>
      <c r="N1239" s="1">
        <v>422</v>
      </c>
      <c r="O1239" s="1" t="s">
        <v>3792</v>
      </c>
    </row>
    <row r="1240" spans="1:17" x14ac:dyDescent="0.35">
      <c r="A1240" s="1" t="s">
        <v>15</v>
      </c>
      <c r="B1240" s="1">
        <v>1278791</v>
      </c>
      <c r="C1240" s="1">
        <v>1279030</v>
      </c>
      <c r="E1240" s="1" t="s">
        <v>178</v>
      </c>
      <c r="F1240" s="1" t="s">
        <v>3793</v>
      </c>
      <c r="G1240" s="1" t="s">
        <v>3794</v>
      </c>
      <c r="I1240" s="1" t="s">
        <v>19</v>
      </c>
      <c r="L1240" s="1" t="s">
        <v>3795</v>
      </c>
      <c r="M1240" s="1" t="s">
        <v>3793</v>
      </c>
      <c r="N1240" s="1">
        <v>79</v>
      </c>
      <c r="O1240" s="1" t="s">
        <v>3796</v>
      </c>
    </row>
    <row r="1241" spans="1:17" x14ac:dyDescent="0.35">
      <c r="A1241" s="1" t="s">
        <v>15</v>
      </c>
      <c r="B1241" s="1">
        <v>1279048</v>
      </c>
      <c r="C1241" s="1">
        <v>1280295</v>
      </c>
      <c r="E1241" s="1" t="s">
        <v>178</v>
      </c>
      <c r="F1241" s="1" t="s">
        <v>3797</v>
      </c>
      <c r="G1241" s="1" t="s">
        <v>3798</v>
      </c>
      <c r="I1241" s="1" t="s">
        <v>19</v>
      </c>
      <c r="L1241" s="1" t="s">
        <v>3799</v>
      </c>
      <c r="M1241" s="1" t="s">
        <v>3797</v>
      </c>
      <c r="N1241" s="1">
        <v>415</v>
      </c>
      <c r="O1241" s="1" t="s">
        <v>3800</v>
      </c>
    </row>
    <row r="1242" spans="1:17" x14ac:dyDescent="0.35">
      <c r="A1242" s="1" t="s">
        <v>15</v>
      </c>
      <c r="B1242" s="1">
        <v>1280292</v>
      </c>
      <c r="C1242" s="1">
        <v>1281842</v>
      </c>
      <c r="E1242" s="1" t="s">
        <v>178</v>
      </c>
      <c r="F1242" s="1" t="s">
        <v>3801</v>
      </c>
      <c r="G1242" s="1" t="s">
        <v>3802</v>
      </c>
      <c r="I1242" s="1" t="s">
        <v>19</v>
      </c>
      <c r="L1242" s="1" t="s">
        <v>3803</v>
      </c>
      <c r="M1242" s="1" t="s">
        <v>3801</v>
      </c>
      <c r="N1242" s="1">
        <v>516</v>
      </c>
      <c r="O1242" s="1" t="s">
        <v>3804</v>
      </c>
      <c r="Q1242" s="14"/>
    </row>
    <row r="1243" spans="1:17" x14ac:dyDescent="0.35">
      <c r="A1243" s="1" t="s">
        <v>15</v>
      </c>
      <c r="B1243" s="1">
        <v>1282157</v>
      </c>
      <c r="C1243" s="1">
        <v>1283905</v>
      </c>
      <c r="E1243" s="1" t="s">
        <v>178</v>
      </c>
      <c r="F1243" s="1" t="s">
        <v>1642</v>
      </c>
      <c r="I1243" s="1" t="s">
        <v>19</v>
      </c>
      <c r="L1243" s="1" t="s">
        <v>3805</v>
      </c>
      <c r="M1243" s="1" t="s">
        <v>1642</v>
      </c>
      <c r="N1243" s="1">
        <v>582</v>
      </c>
      <c r="O1243" s="1" t="s">
        <v>3806</v>
      </c>
    </row>
    <row r="1244" spans="1:17" x14ac:dyDescent="0.35">
      <c r="A1244" s="1" t="s">
        <v>15</v>
      </c>
      <c r="B1244" s="1">
        <v>1283895</v>
      </c>
      <c r="C1244" s="1">
        <v>1285634</v>
      </c>
      <c r="E1244" s="1" t="s">
        <v>178</v>
      </c>
      <c r="F1244" s="1" t="s">
        <v>1642</v>
      </c>
      <c r="I1244" s="1" t="s">
        <v>19</v>
      </c>
      <c r="L1244" s="1" t="s">
        <v>3807</v>
      </c>
      <c r="M1244" s="1" t="s">
        <v>1642</v>
      </c>
      <c r="N1244" s="1">
        <v>579</v>
      </c>
      <c r="O1244" s="1" t="s">
        <v>3808</v>
      </c>
    </row>
    <row r="1245" spans="1:17" x14ac:dyDescent="0.35">
      <c r="A1245" s="1" t="s">
        <v>15</v>
      </c>
      <c r="B1245" s="1">
        <v>1285665</v>
      </c>
      <c r="C1245" s="1">
        <v>1286276</v>
      </c>
      <c r="E1245" s="1" t="s">
        <v>178</v>
      </c>
      <c r="F1245" s="1" t="s">
        <v>54</v>
      </c>
      <c r="I1245" s="1" t="s">
        <v>19</v>
      </c>
      <c r="L1245" s="1" t="s">
        <v>3809</v>
      </c>
      <c r="M1245" s="1" t="s">
        <v>54</v>
      </c>
      <c r="N1245" s="1">
        <v>203</v>
      </c>
      <c r="O1245" s="1" t="s">
        <v>3810</v>
      </c>
    </row>
    <row r="1246" spans="1:17" x14ac:dyDescent="0.35">
      <c r="A1246" s="1" t="s">
        <v>15</v>
      </c>
      <c r="B1246" s="1">
        <v>1286278</v>
      </c>
      <c r="C1246" s="1">
        <v>1287255</v>
      </c>
      <c r="E1246" s="1" t="s">
        <v>178</v>
      </c>
      <c r="F1246" s="1" t="s">
        <v>54</v>
      </c>
      <c r="I1246" s="1" t="s">
        <v>19</v>
      </c>
      <c r="L1246" s="1" t="s">
        <v>3811</v>
      </c>
      <c r="M1246" s="1" t="s">
        <v>54</v>
      </c>
      <c r="N1246" s="1">
        <v>325</v>
      </c>
      <c r="O1246" s="1" t="s">
        <v>3812</v>
      </c>
    </row>
    <row r="1247" spans="1:17" x14ac:dyDescent="0.35">
      <c r="A1247" s="1" t="s">
        <v>15</v>
      </c>
      <c r="B1247" s="1">
        <v>1287261</v>
      </c>
      <c r="C1247" s="1">
        <v>1288511</v>
      </c>
      <c r="E1247" s="1" t="s">
        <v>178</v>
      </c>
      <c r="F1247" s="1" t="s">
        <v>3813</v>
      </c>
      <c r="G1247" s="1" t="s">
        <v>3814</v>
      </c>
      <c r="I1247" s="1" t="s">
        <v>19</v>
      </c>
      <c r="L1247" s="1" t="s">
        <v>3815</v>
      </c>
      <c r="M1247" s="1" t="s">
        <v>3813</v>
      </c>
      <c r="N1247" s="1">
        <v>416</v>
      </c>
      <c r="O1247" s="1" t="s">
        <v>3816</v>
      </c>
      <c r="Q1247" s="14"/>
    </row>
    <row r="1248" spans="1:17" x14ac:dyDescent="0.35">
      <c r="A1248" s="1" t="s">
        <v>15</v>
      </c>
      <c r="B1248" s="1">
        <v>1288604</v>
      </c>
      <c r="C1248" s="1">
        <v>1289206</v>
      </c>
      <c r="E1248" s="1" t="s">
        <v>178</v>
      </c>
      <c r="F1248" s="1" t="s">
        <v>54</v>
      </c>
      <c r="I1248" s="1" t="s">
        <v>19</v>
      </c>
      <c r="L1248" s="1" t="s">
        <v>3817</v>
      </c>
      <c r="M1248" s="1" t="s">
        <v>54</v>
      </c>
      <c r="N1248" s="1">
        <v>200</v>
      </c>
      <c r="O1248" s="1" t="s">
        <v>3818</v>
      </c>
    </row>
    <row r="1249" spans="1:17" x14ac:dyDescent="0.35">
      <c r="A1249" s="1" t="s">
        <v>15</v>
      </c>
      <c r="B1249" s="1">
        <v>1289196</v>
      </c>
      <c r="C1249" s="1">
        <v>1290029</v>
      </c>
      <c r="E1249" s="1" t="s">
        <v>178</v>
      </c>
      <c r="F1249" s="1" t="s">
        <v>3819</v>
      </c>
      <c r="G1249" s="1" t="s">
        <v>3820</v>
      </c>
      <c r="I1249" s="1" t="s">
        <v>19</v>
      </c>
      <c r="L1249" s="1" t="s">
        <v>3821</v>
      </c>
      <c r="M1249" s="1" t="s">
        <v>3819</v>
      </c>
      <c r="N1249" s="1">
        <v>277</v>
      </c>
      <c r="O1249" s="1" t="s">
        <v>3822</v>
      </c>
      <c r="Q1249" s="14"/>
    </row>
    <row r="1250" spans="1:17" x14ac:dyDescent="0.35">
      <c r="A1250" s="1" t="s">
        <v>15</v>
      </c>
      <c r="B1250" s="1">
        <v>1290026</v>
      </c>
      <c r="C1250" s="1">
        <v>1291105</v>
      </c>
      <c r="E1250" s="1" t="s">
        <v>178</v>
      </c>
      <c r="F1250" s="1" t="s">
        <v>3823</v>
      </c>
      <c r="G1250" s="1" t="s">
        <v>3824</v>
      </c>
      <c r="I1250" s="1" t="s">
        <v>19</v>
      </c>
      <c r="L1250" s="1" t="s">
        <v>3825</v>
      </c>
      <c r="M1250" s="1" t="s">
        <v>3823</v>
      </c>
      <c r="N1250" s="1">
        <v>359</v>
      </c>
      <c r="O1250" s="1" t="s">
        <v>3826</v>
      </c>
    </row>
    <row r="1251" spans="1:17" x14ac:dyDescent="0.35">
      <c r="A1251" s="1" t="s">
        <v>15</v>
      </c>
      <c r="B1251" s="1">
        <v>1291143</v>
      </c>
      <c r="C1251" s="1">
        <v>1291739</v>
      </c>
      <c r="E1251" s="1" t="s">
        <v>178</v>
      </c>
      <c r="F1251" s="1" t="s">
        <v>3827</v>
      </c>
      <c r="G1251" s="1" t="s">
        <v>3828</v>
      </c>
      <c r="I1251" s="1" t="s">
        <v>19</v>
      </c>
      <c r="L1251" s="1" t="s">
        <v>3829</v>
      </c>
      <c r="M1251" s="1" t="s">
        <v>3827</v>
      </c>
      <c r="N1251" s="1">
        <v>198</v>
      </c>
      <c r="O1251" s="1" t="s">
        <v>3830</v>
      </c>
      <c r="Q1251" s="14"/>
    </row>
    <row r="1252" spans="1:17" x14ac:dyDescent="0.35">
      <c r="A1252" s="1" t="s">
        <v>15</v>
      </c>
      <c r="B1252" s="1">
        <v>1291924</v>
      </c>
      <c r="C1252" s="1">
        <v>1292934</v>
      </c>
      <c r="E1252" s="1" t="s">
        <v>178</v>
      </c>
      <c r="F1252" s="1" t="s">
        <v>3831</v>
      </c>
      <c r="G1252" s="1" t="s">
        <v>3832</v>
      </c>
      <c r="I1252" s="1" t="s">
        <v>19</v>
      </c>
      <c r="L1252" s="1" t="s">
        <v>3833</v>
      </c>
      <c r="M1252" s="1" t="s">
        <v>3831</v>
      </c>
      <c r="N1252" s="1">
        <v>336</v>
      </c>
      <c r="O1252" s="1" t="s">
        <v>3834</v>
      </c>
      <c r="Q1252" s="14"/>
    </row>
    <row r="1253" spans="1:17" x14ac:dyDescent="0.35">
      <c r="A1253" s="1" t="s">
        <v>15</v>
      </c>
      <c r="B1253" s="1">
        <v>1293110</v>
      </c>
      <c r="C1253" s="1">
        <v>1293898</v>
      </c>
      <c r="E1253" s="1" t="s">
        <v>16</v>
      </c>
      <c r="F1253" s="1" t="s">
        <v>3835</v>
      </c>
      <c r="I1253" s="1" t="s">
        <v>19</v>
      </c>
      <c r="L1253" s="1" t="s">
        <v>3836</v>
      </c>
      <c r="M1253" s="1" t="s">
        <v>3835</v>
      </c>
      <c r="N1253" s="1">
        <v>262</v>
      </c>
      <c r="O1253" s="1" t="s">
        <v>3837</v>
      </c>
    </row>
    <row r="1254" spans="1:17" x14ac:dyDescent="0.35">
      <c r="A1254" s="1" t="s">
        <v>15</v>
      </c>
      <c r="B1254" s="1">
        <v>1293979</v>
      </c>
      <c r="C1254" s="1">
        <v>1294923</v>
      </c>
      <c r="E1254" s="1" t="s">
        <v>16</v>
      </c>
      <c r="F1254" s="1" t="s">
        <v>3838</v>
      </c>
      <c r="I1254" s="1" t="s">
        <v>19</v>
      </c>
      <c r="L1254" s="1" t="s">
        <v>3839</v>
      </c>
      <c r="M1254" s="1" t="s">
        <v>3838</v>
      </c>
      <c r="N1254" s="1">
        <v>314</v>
      </c>
      <c r="O1254" s="1" t="s">
        <v>3840</v>
      </c>
    </row>
    <row r="1255" spans="1:17" x14ac:dyDescent="0.35">
      <c r="A1255" s="1" t="s">
        <v>15</v>
      </c>
      <c r="B1255" s="1">
        <v>1294910</v>
      </c>
      <c r="C1255" s="1">
        <v>1295842</v>
      </c>
      <c r="E1255" s="1" t="s">
        <v>16</v>
      </c>
      <c r="F1255" s="1" t="s">
        <v>3841</v>
      </c>
      <c r="G1255" s="1" t="s">
        <v>3842</v>
      </c>
      <c r="I1255" s="1" t="s">
        <v>19</v>
      </c>
      <c r="L1255" s="1" t="s">
        <v>3843</v>
      </c>
      <c r="M1255" s="1" t="s">
        <v>3841</v>
      </c>
      <c r="N1255" s="1">
        <v>310</v>
      </c>
      <c r="O1255" s="1" t="s">
        <v>3844</v>
      </c>
    </row>
    <row r="1256" spans="1:17" x14ac:dyDescent="0.35">
      <c r="A1256" s="1" t="s">
        <v>15</v>
      </c>
      <c r="B1256" s="1">
        <v>1295949</v>
      </c>
      <c r="C1256" s="1">
        <v>1296191</v>
      </c>
      <c r="E1256" s="1" t="s">
        <v>16</v>
      </c>
      <c r="F1256" s="1" t="s">
        <v>3845</v>
      </c>
      <c r="G1256" s="1" t="s">
        <v>3846</v>
      </c>
      <c r="I1256" s="1" t="s">
        <v>19</v>
      </c>
      <c r="L1256" s="1" t="s">
        <v>3847</v>
      </c>
      <c r="M1256" s="1" t="s">
        <v>3845</v>
      </c>
      <c r="N1256" s="1">
        <v>80</v>
      </c>
      <c r="O1256" s="1" t="s">
        <v>3848</v>
      </c>
    </row>
    <row r="1257" spans="1:17" x14ac:dyDescent="0.35">
      <c r="A1257" s="1" t="s">
        <v>15</v>
      </c>
      <c r="B1257" s="1">
        <v>1296318</v>
      </c>
      <c r="C1257" s="1">
        <v>1297580</v>
      </c>
      <c r="E1257" s="1" t="s">
        <v>178</v>
      </c>
      <c r="F1257" s="1" t="s">
        <v>3849</v>
      </c>
      <c r="I1257" s="1" t="s">
        <v>19</v>
      </c>
      <c r="L1257" s="1" t="s">
        <v>3850</v>
      </c>
      <c r="M1257" s="1" t="s">
        <v>3849</v>
      </c>
      <c r="N1257" s="1">
        <v>420</v>
      </c>
      <c r="O1257" s="1" t="s">
        <v>3851</v>
      </c>
    </row>
    <row r="1258" spans="1:17" x14ac:dyDescent="0.35">
      <c r="A1258" s="1" t="s">
        <v>15</v>
      </c>
      <c r="B1258" s="1">
        <v>1297721</v>
      </c>
      <c r="C1258" s="1">
        <v>1298689</v>
      </c>
      <c r="E1258" s="1" t="s">
        <v>178</v>
      </c>
      <c r="F1258" s="1" t="s">
        <v>54</v>
      </c>
      <c r="I1258" s="1" t="s">
        <v>19</v>
      </c>
      <c r="L1258" s="1" t="s">
        <v>3852</v>
      </c>
      <c r="M1258" s="1" t="s">
        <v>54</v>
      </c>
      <c r="N1258" s="1">
        <v>322</v>
      </c>
      <c r="O1258" s="1" t="s">
        <v>3853</v>
      </c>
    </row>
    <row r="1259" spans="1:17" x14ac:dyDescent="0.35">
      <c r="A1259" s="1" t="s">
        <v>15</v>
      </c>
      <c r="B1259" s="1">
        <v>1298803</v>
      </c>
      <c r="C1259" s="1">
        <v>1299204</v>
      </c>
      <c r="E1259" s="1" t="s">
        <v>178</v>
      </c>
      <c r="F1259" s="1" t="s">
        <v>3854</v>
      </c>
      <c r="I1259" s="1" t="s">
        <v>19</v>
      </c>
      <c r="L1259" s="1" t="s">
        <v>3855</v>
      </c>
      <c r="M1259" s="1" t="s">
        <v>3854</v>
      </c>
      <c r="N1259" s="1">
        <v>133</v>
      </c>
      <c r="O1259" s="1" t="s">
        <v>3856</v>
      </c>
    </row>
    <row r="1260" spans="1:17" x14ac:dyDescent="0.35">
      <c r="A1260" s="1" t="s">
        <v>15</v>
      </c>
      <c r="B1260" s="1">
        <v>1299242</v>
      </c>
      <c r="C1260" s="1">
        <v>1300003</v>
      </c>
      <c r="E1260" s="1" t="s">
        <v>178</v>
      </c>
      <c r="F1260" s="1" t="s">
        <v>3857</v>
      </c>
      <c r="I1260" s="1" t="s">
        <v>19</v>
      </c>
      <c r="L1260" s="1" t="s">
        <v>3858</v>
      </c>
      <c r="M1260" s="1" t="s">
        <v>3857</v>
      </c>
      <c r="N1260" s="1">
        <v>253</v>
      </c>
      <c r="O1260" s="1" t="s">
        <v>3859</v>
      </c>
    </row>
    <row r="1261" spans="1:17" x14ac:dyDescent="0.35">
      <c r="A1261" s="1" t="s">
        <v>15</v>
      </c>
      <c r="B1261" s="1">
        <v>1300003</v>
      </c>
      <c r="C1261" s="1">
        <v>1302471</v>
      </c>
      <c r="E1261" s="1" t="s">
        <v>178</v>
      </c>
      <c r="F1261" s="1" t="s">
        <v>3860</v>
      </c>
      <c r="G1261" s="1" t="s">
        <v>3861</v>
      </c>
      <c r="I1261" s="1" t="s">
        <v>19</v>
      </c>
      <c r="L1261" s="1" t="s">
        <v>3862</v>
      </c>
      <c r="M1261" s="1" t="s">
        <v>3860</v>
      </c>
      <c r="N1261" s="1">
        <v>822</v>
      </c>
      <c r="O1261" s="1" t="s">
        <v>3863</v>
      </c>
      <c r="Q1261" s="14"/>
    </row>
    <row r="1262" spans="1:17" x14ac:dyDescent="0.35">
      <c r="A1262" s="1" t="s">
        <v>15</v>
      </c>
      <c r="B1262" s="1">
        <v>1302692</v>
      </c>
      <c r="C1262" s="1">
        <v>1303678</v>
      </c>
      <c r="E1262" s="1" t="s">
        <v>16</v>
      </c>
      <c r="F1262" s="1" t="s">
        <v>3864</v>
      </c>
      <c r="G1262" s="1" t="s">
        <v>3865</v>
      </c>
      <c r="I1262" s="1" t="s">
        <v>19</v>
      </c>
      <c r="L1262" s="1" t="s">
        <v>3866</v>
      </c>
      <c r="M1262" s="1" t="s">
        <v>3864</v>
      </c>
      <c r="N1262" s="1">
        <v>328</v>
      </c>
      <c r="O1262" s="1" t="s">
        <v>3867</v>
      </c>
      <c r="Q1262" s="14"/>
    </row>
    <row r="1263" spans="1:17" x14ac:dyDescent="0.35">
      <c r="A1263" s="1" t="s">
        <v>15</v>
      </c>
      <c r="B1263" s="1">
        <v>1303774</v>
      </c>
      <c r="C1263" s="1">
        <v>1305147</v>
      </c>
      <c r="E1263" s="1" t="s">
        <v>178</v>
      </c>
      <c r="F1263" s="1" t="s">
        <v>3868</v>
      </c>
      <c r="G1263" s="1" t="s">
        <v>3869</v>
      </c>
      <c r="I1263" s="1" t="s">
        <v>19</v>
      </c>
      <c r="L1263" s="1" t="s">
        <v>3870</v>
      </c>
      <c r="M1263" s="1" t="s">
        <v>3868</v>
      </c>
      <c r="N1263" s="1">
        <v>457</v>
      </c>
      <c r="O1263" s="1" t="s">
        <v>3871</v>
      </c>
      <c r="Q1263" s="14"/>
    </row>
    <row r="1264" spans="1:17" x14ac:dyDescent="0.35">
      <c r="A1264" s="1" t="s">
        <v>15</v>
      </c>
      <c r="B1264" s="1">
        <v>1305436</v>
      </c>
      <c r="C1264" s="1">
        <v>1306974</v>
      </c>
      <c r="E1264" s="1" t="s">
        <v>178</v>
      </c>
      <c r="F1264" s="1" t="s">
        <v>3872</v>
      </c>
      <c r="I1264" s="1" t="s">
        <v>19</v>
      </c>
      <c r="L1264" s="1" t="s">
        <v>3873</v>
      </c>
      <c r="M1264" s="1" t="s">
        <v>3872</v>
      </c>
      <c r="N1264" s="1">
        <v>512</v>
      </c>
      <c r="O1264" s="1" t="s">
        <v>3874</v>
      </c>
    </row>
    <row r="1265" spans="1:17" x14ac:dyDescent="0.35">
      <c r="A1265" s="1" t="s">
        <v>15</v>
      </c>
      <c r="B1265" s="1">
        <v>1307113</v>
      </c>
      <c r="C1265" s="1">
        <v>1307643</v>
      </c>
      <c r="E1265" s="1" t="s">
        <v>178</v>
      </c>
      <c r="F1265" s="1" t="s">
        <v>213</v>
      </c>
      <c r="I1265" s="1" t="s">
        <v>19</v>
      </c>
      <c r="L1265" s="1" t="s">
        <v>3875</v>
      </c>
      <c r="M1265" s="1" t="s">
        <v>213</v>
      </c>
      <c r="N1265" s="1">
        <v>176</v>
      </c>
      <c r="O1265" s="1" t="s">
        <v>3876</v>
      </c>
    </row>
    <row r="1266" spans="1:17" x14ac:dyDescent="0.35">
      <c r="A1266" s="1" t="s">
        <v>15</v>
      </c>
      <c r="B1266" s="1">
        <v>1307633</v>
      </c>
      <c r="C1266" s="1">
        <v>1308490</v>
      </c>
      <c r="E1266" s="1" t="s">
        <v>178</v>
      </c>
      <c r="F1266" s="1" t="s">
        <v>3877</v>
      </c>
      <c r="G1266" s="1" t="s">
        <v>3878</v>
      </c>
      <c r="I1266" s="1" t="s">
        <v>19</v>
      </c>
      <c r="L1266" s="1" t="s">
        <v>3879</v>
      </c>
      <c r="M1266" s="1" t="s">
        <v>3877</v>
      </c>
      <c r="N1266" s="1">
        <v>285</v>
      </c>
      <c r="O1266" s="1" t="s">
        <v>3880</v>
      </c>
      <c r="Q1266" s="14"/>
    </row>
    <row r="1267" spans="1:17" x14ac:dyDescent="0.35">
      <c r="A1267" s="1" t="s">
        <v>15</v>
      </c>
      <c r="B1267" s="1">
        <v>1308491</v>
      </c>
      <c r="C1267" s="1">
        <v>1309000</v>
      </c>
      <c r="E1267" s="1" t="s">
        <v>178</v>
      </c>
      <c r="F1267" s="1" t="s">
        <v>54</v>
      </c>
      <c r="I1267" s="1" t="s">
        <v>19</v>
      </c>
      <c r="L1267" s="1" t="s">
        <v>3881</v>
      </c>
      <c r="M1267" s="1" t="s">
        <v>54</v>
      </c>
      <c r="N1267" s="1">
        <v>169</v>
      </c>
      <c r="O1267" s="1" t="s">
        <v>3882</v>
      </c>
    </row>
    <row r="1268" spans="1:17" x14ac:dyDescent="0.35">
      <c r="A1268" s="1" t="s">
        <v>15</v>
      </c>
      <c r="B1268" s="1">
        <v>1309138</v>
      </c>
      <c r="C1268" s="1">
        <v>1309668</v>
      </c>
      <c r="E1268" s="1" t="s">
        <v>178</v>
      </c>
      <c r="F1268" s="1" t="s">
        <v>231</v>
      </c>
      <c r="I1268" s="1" t="s">
        <v>19</v>
      </c>
      <c r="L1268" s="1" t="s">
        <v>3883</v>
      </c>
      <c r="M1268" s="1" t="s">
        <v>231</v>
      </c>
      <c r="N1268" s="1">
        <v>176</v>
      </c>
      <c r="O1268" s="1" t="s">
        <v>3884</v>
      </c>
    </row>
    <row r="1269" spans="1:17" x14ac:dyDescent="0.35">
      <c r="A1269" s="1" t="s">
        <v>15</v>
      </c>
      <c r="B1269" s="1">
        <v>1309828</v>
      </c>
      <c r="C1269" s="1">
        <v>1311093</v>
      </c>
      <c r="E1269" s="1" t="s">
        <v>16</v>
      </c>
      <c r="F1269" s="1" t="s">
        <v>3599</v>
      </c>
      <c r="I1269" s="1" t="s">
        <v>19</v>
      </c>
      <c r="L1269" s="1" t="s">
        <v>3885</v>
      </c>
      <c r="M1269" s="1" t="s">
        <v>3599</v>
      </c>
      <c r="N1269" s="1">
        <v>421</v>
      </c>
      <c r="O1269" s="1" t="s">
        <v>3886</v>
      </c>
    </row>
    <row r="1270" spans="1:17" x14ac:dyDescent="0.35">
      <c r="A1270" s="1" t="s">
        <v>15</v>
      </c>
      <c r="B1270" s="1">
        <v>1311133</v>
      </c>
      <c r="C1270" s="1">
        <v>1311471</v>
      </c>
      <c r="E1270" s="1" t="s">
        <v>178</v>
      </c>
      <c r="F1270" s="1" t="s">
        <v>3887</v>
      </c>
      <c r="I1270" s="1" t="s">
        <v>19</v>
      </c>
      <c r="L1270" s="1" t="s">
        <v>3888</v>
      </c>
      <c r="M1270" s="1" t="s">
        <v>3887</v>
      </c>
      <c r="N1270" s="1">
        <v>112</v>
      </c>
      <c r="O1270" s="1" t="s">
        <v>3889</v>
      </c>
      <c r="Q1270" s="14"/>
    </row>
    <row r="1271" spans="1:17" x14ac:dyDescent="0.35">
      <c r="A1271" s="1" t="s">
        <v>15</v>
      </c>
      <c r="B1271" s="1">
        <v>1311563</v>
      </c>
      <c r="C1271" s="1">
        <v>1312144</v>
      </c>
      <c r="E1271" s="1" t="s">
        <v>178</v>
      </c>
      <c r="F1271" s="1" t="s">
        <v>54</v>
      </c>
      <c r="I1271" s="1" t="s">
        <v>19</v>
      </c>
      <c r="L1271" s="1" t="s">
        <v>3890</v>
      </c>
      <c r="M1271" s="1" t="s">
        <v>54</v>
      </c>
      <c r="N1271" s="1">
        <v>193</v>
      </c>
      <c r="O1271" s="1" t="s">
        <v>3891</v>
      </c>
    </row>
    <row r="1272" spans="1:17" x14ac:dyDescent="0.35">
      <c r="A1272" s="1" t="s">
        <v>15</v>
      </c>
      <c r="B1272" s="1">
        <v>1312213</v>
      </c>
      <c r="C1272" s="1">
        <v>1314591</v>
      </c>
      <c r="E1272" s="1" t="s">
        <v>178</v>
      </c>
      <c r="F1272" s="1" t="s">
        <v>3892</v>
      </c>
      <c r="G1272" s="1" t="s">
        <v>3893</v>
      </c>
      <c r="I1272" s="1" t="s">
        <v>19</v>
      </c>
      <c r="L1272" s="1" t="s">
        <v>3894</v>
      </c>
      <c r="M1272" s="1" t="s">
        <v>3892</v>
      </c>
      <c r="N1272" s="1">
        <v>792</v>
      </c>
      <c r="O1272" s="1" t="s">
        <v>3895</v>
      </c>
      <c r="Q1272" s="14"/>
    </row>
    <row r="1273" spans="1:17" x14ac:dyDescent="0.35">
      <c r="A1273" s="1" t="s">
        <v>15</v>
      </c>
      <c r="B1273" s="1">
        <v>1314986</v>
      </c>
      <c r="C1273" s="1">
        <v>1315504</v>
      </c>
      <c r="E1273" s="1" t="s">
        <v>178</v>
      </c>
      <c r="F1273" s="1" t="s">
        <v>764</v>
      </c>
      <c r="I1273" s="1" t="s">
        <v>19</v>
      </c>
      <c r="L1273" s="1" t="s">
        <v>3896</v>
      </c>
      <c r="M1273" s="1" t="s">
        <v>764</v>
      </c>
      <c r="N1273" s="1">
        <v>172</v>
      </c>
      <c r="O1273" s="1" t="s">
        <v>3897</v>
      </c>
    </row>
    <row r="1274" spans="1:17" x14ac:dyDescent="0.35">
      <c r="A1274" s="1" t="s">
        <v>15</v>
      </c>
      <c r="B1274" s="1">
        <v>1315521</v>
      </c>
      <c r="C1274" s="1">
        <v>1316564</v>
      </c>
      <c r="E1274" s="1" t="s">
        <v>178</v>
      </c>
      <c r="F1274" s="1" t="s">
        <v>3898</v>
      </c>
      <c r="G1274" s="1" t="s">
        <v>3899</v>
      </c>
      <c r="I1274" s="1" t="s">
        <v>19</v>
      </c>
      <c r="L1274" s="1" t="s">
        <v>3900</v>
      </c>
      <c r="M1274" s="1" t="s">
        <v>3898</v>
      </c>
      <c r="N1274" s="1">
        <v>347</v>
      </c>
      <c r="O1274" s="1" t="s">
        <v>3901</v>
      </c>
    </row>
    <row r="1275" spans="1:17" x14ac:dyDescent="0.35">
      <c r="A1275" s="1" t="s">
        <v>15</v>
      </c>
      <c r="B1275" s="1">
        <v>1317004</v>
      </c>
      <c r="C1275" s="1">
        <v>1317201</v>
      </c>
      <c r="E1275" s="1" t="s">
        <v>16</v>
      </c>
      <c r="F1275" s="1" t="s">
        <v>1669</v>
      </c>
      <c r="I1275" s="1" t="s">
        <v>19</v>
      </c>
      <c r="L1275" s="1" t="s">
        <v>3902</v>
      </c>
      <c r="M1275" s="1" t="s">
        <v>1669</v>
      </c>
      <c r="N1275" s="1">
        <v>65</v>
      </c>
      <c r="O1275" s="1" t="s">
        <v>3903</v>
      </c>
    </row>
    <row r="1276" spans="1:17" x14ac:dyDescent="0.35">
      <c r="A1276" s="1" t="s">
        <v>15</v>
      </c>
      <c r="B1276" s="1">
        <v>1317228</v>
      </c>
      <c r="C1276" s="1">
        <v>1317773</v>
      </c>
      <c r="E1276" s="1" t="s">
        <v>16</v>
      </c>
      <c r="F1276" s="1" t="s">
        <v>54</v>
      </c>
      <c r="I1276" s="1" t="s">
        <v>19</v>
      </c>
      <c r="L1276" s="1" t="s">
        <v>3904</v>
      </c>
      <c r="M1276" s="1" t="s">
        <v>54</v>
      </c>
      <c r="N1276" s="1">
        <v>181</v>
      </c>
      <c r="O1276" s="1" t="s">
        <v>3905</v>
      </c>
    </row>
    <row r="1277" spans="1:17" x14ac:dyDescent="0.35">
      <c r="A1277" s="1" t="s">
        <v>15</v>
      </c>
      <c r="B1277" s="1">
        <v>1318163</v>
      </c>
      <c r="C1277" s="1">
        <v>1321696</v>
      </c>
      <c r="E1277" s="1" t="s">
        <v>178</v>
      </c>
      <c r="F1277" s="1" t="s">
        <v>3906</v>
      </c>
      <c r="G1277" s="1" t="s">
        <v>3907</v>
      </c>
      <c r="I1277" s="1" t="s">
        <v>19</v>
      </c>
      <c r="L1277" s="1" t="s">
        <v>3908</v>
      </c>
      <c r="M1277" s="1" t="s">
        <v>3906</v>
      </c>
      <c r="N1277" s="1">
        <v>1177</v>
      </c>
      <c r="O1277" s="1" t="s">
        <v>3909</v>
      </c>
    </row>
    <row r="1278" spans="1:17" x14ac:dyDescent="0.35">
      <c r="A1278" s="1" t="s">
        <v>15</v>
      </c>
      <c r="B1278" s="1">
        <v>1321699</v>
      </c>
      <c r="C1278" s="1">
        <v>1322388</v>
      </c>
      <c r="E1278" s="1" t="s">
        <v>178</v>
      </c>
      <c r="F1278" s="1" t="s">
        <v>3910</v>
      </c>
      <c r="G1278" s="1" t="s">
        <v>3911</v>
      </c>
      <c r="I1278" s="1" t="s">
        <v>19</v>
      </c>
      <c r="L1278" s="1" t="s">
        <v>3912</v>
      </c>
      <c r="M1278" s="1" t="s">
        <v>3910</v>
      </c>
      <c r="N1278" s="1">
        <v>229</v>
      </c>
      <c r="O1278" s="1" t="s">
        <v>3913</v>
      </c>
      <c r="Q1278" s="14"/>
    </row>
    <row r="1279" spans="1:17" x14ac:dyDescent="0.35">
      <c r="A1279" s="1" t="s">
        <v>15</v>
      </c>
      <c r="B1279" s="1">
        <v>1322545</v>
      </c>
      <c r="C1279" s="1">
        <v>1323480</v>
      </c>
      <c r="E1279" s="1" t="s">
        <v>178</v>
      </c>
      <c r="F1279" s="1" t="s">
        <v>3914</v>
      </c>
      <c r="G1279" s="1" t="s">
        <v>3915</v>
      </c>
      <c r="I1279" s="1" t="s">
        <v>19</v>
      </c>
      <c r="L1279" s="1" t="s">
        <v>3916</v>
      </c>
      <c r="M1279" s="1" t="s">
        <v>3914</v>
      </c>
      <c r="N1279" s="1">
        <v>311</v>
      </c>
      <c r="O1279" s="1" t="s">
        <v>3917</v>
      </c>
      <c r="Q1279" s="14"/>
    </row>
    <row r="1280" spans="1:17" x14ac:dyDescent="0.35">
      <c r="A1280" s="1" t="s">
        <v>15</v>
      </c>
      <c r="B1280" s="1">
        <v>1323823</v>
      </c>
      <c r="C1280" s="1">
        <v>1324899</v>
      </c>
      <c r="E1280" s="1" t="s">
        <v>178</v>
      </c>
      <c r="F1280" s="1" t="s">
        <v>3918</v>
      </c>
      <c r="G1280" s="1" t="s">
        <v>3919</v>
      </c>
      <c r="I1280" s="1" t="s">
        <v>19</v>
      </c>
      <c r="L1280" s="1" t="s">
        <v>3920</v>
      </c>
      <c r="M1280" s="1" t="s">
        <v>3918</v>
      </c>
      <c r="N1280" s="1">
        <v>358</v>
      </c>
      <c r="O1280" s="1" t="s">
        <v>3921</v>
      </c>
      <c r="Q1280" s="14"/>
    </row>
    <row r="1281" spans="1:17" x14ac:dyDescent="0.35">
      <c r="A1281" s="1" t="s">
        <v>15</v>
      </c>
      <c r="B1281" s="1">
        <v>1325221</v>
      </c>
      <c r="C1281" s="1">
        <v>1326108</v>
      </c>
      <c r="E1281" s="1" t="s">
        <v>178</v>
      </c>
      <c r="F1281" s="1" t="s">
        <v>54</v>
      </c>
      <c r="I1281" s="1" t="s">
        <v>19</v>
      </c>
      <c r="L1281" s="1" t="s">
        <v>3922</v>
      </c>
      <c r="M1281" s="1" t="s">
        <v>54</v>
      </c>
      <c r="N1281" s="1">
        <v>295</v>
      </c>
      <c r="O1281" s="1" t="s">
        <v>3923</v>
      </c>
    </row>
    <row r="1282" spans="1:17" x14ac:dyDescent="0.35">
      <c r="A1282" s="1" t="s">
        <v>15</v>
      </c>
      <c r="B1282" s="1">
        <v>1326182</v>
      </c>
      <c r="C1282" s="1">
        <v>1327756</v>
      </c>
      <c r="E1282" s="1" t="s">
        <v>178</v>
      </c>
      <c r="F1282" s="1" t="s">
        <v>3924</v>
      </c>
      <c r="G1282" s="1" t="s">
        <v>3925</v>
      </c>
      <c r="I1282" s="1" t="s">
        <v>19</v>
      </c>
      <c r="L1282" s="1" t="s">
        <v>3926</v>
      </c>
      <c r="M1282" s="1" t="s">
        <v>3924</v>
      </c>
      <c r="N1282" s="1">
        <v>524</v>
      </c>
      <c r="O1282" s="1" t="s">
        <v>3927</v>
      </c>
      <c r="Q1282" s="14"/>
    </row>
    <row r="1283" spans="1:17" x14ac:dyDescent="0.35">
      <c r="A1283" s="1" t="s">
        <v>15</v>
      </c>
      <c r="B1283" s="1">
        <v>1327885</v>
      </c>
      <c r="C1283" s="1">
        <v>1328397</v>
      </c>
      <c r="E1283" s="1" t="s">
        <v>178</v>
      </c>
      <c r="F1283" s="1" t="s">
        <v>3928</v>
      </c>
      <c r="G1283" s="1" t="s">
        <v>3929</v>
      </c>
      <c r="I1283" s="1" t="s">
        <v>19</v>
      </c>
      <c r="L1283" s="1" t="s">
        <v>3930</v>
      </c>
      <c r="M1283" s="1" t="s">
        <v>3928</v>
      </c>
      <c r="N1283" s="1">
        <v>170</v>
      </c>
      <c r="O1283" s="1" t="s">
        <v>3931</v>
      </c>
      <c r="Q1283" s="14"/>
    </row>
    <row r="1284" spans="1:17" x14ac:dyDescent="0.35">
      <c r="A1284" s="1" t="s">
        <v>15</v>
      </c>
      <c r="B1284" s="1">
        <v>1328478</v>
      </c>
      <c r="C1284" s="1">
        <v>1329956</v>
      </c>
      <c r="E1284" s="1" t="s">
        <v>178</v>
      </c>
      <c r="F1284" s="1" t="s">
        <v>3924</v>
      </c>
      <c r="I1284" s="1" t="s">
        <v>19</v>
      </c>
      <c r="L1284" s="1" t="s">
        <v>3932</v>
      </c>
      <c r="M1284" s="1" t="s">
        <v>3924</v>
      </c>
      <c r="N1284" s="1">
        <v>492</v>
      </c>
      <c r="O1284" s="1" t="s">
        <v>3933</v>
      </c>
      <c r="Q1284" s="14"/>
    </row>
    <row r="1285" spans="1:17" x14ac:dyDescent="0.35">
      <c r="A1285" s="1" t="s">
        <v>15</v>
      </c>
      <c r="B1285" s="1">
        <v>1330199</v>
      </c>
      <c r="C1285" s="1">
        <v>1330378</v>
      </c>
      <c r="E1285" s="1" t="s">
        <v>16</v>
      </c>
      <c r="F1285" s="1" t="s">
        <v>54</v>
      </c>
      <c r="I1285" s="1" t="s">
        <v>19</v>
      </c>
      <c r="L1285" s="1" t="s">
        <v>3934</v>
      </c>
      <c r="M1285" s="1" t="s">
        <v>54</v>
      </c>
      <c r="N1285" s="1">
        <v>59</v>
      </c>
      <c r="O1285" s="1" t="s">
        <v>3935</v>
      </c>
    </row>
    <row r="1286" spans="1:17" x14ac:dyDescent="0.35">
      <c r="A1286" s="1" t="s">
        <v>15</v>
      </c>
      <c r="B1286" s="1">
        <v>1330622</v>
      </c>
      <c r="C1286" s="1">
        <v>1332172</v>
      </c>
      <c r="E1286" s="1" t="s">
        <v>16</v>
      </c>
      <c r="F1286" s="1" t="s">
        <v>3936</v>
      </c>
      <c r="G1286" s="1" t="s">
        <v>3937</v>
      </c>
      <c r="I1286" s="1" t="s">
        <v>19</v>
      </c>
      <c r="L1286" s="1" t="s">
        <v>3938</v>
      </c>
      <c r="M1286" s="1" t="s">
        <v>3936</v>
      </c>
      <c r="N1286" s="1">
        <v>516</v>
      </c>
      <c r="O1286" s="1" t="s">
        <v>3939</v>
      </c>
    </row>
    <row r="1287" spans="1:17" x14ac:dyDescent="0.35">
      <c r="A1287" s="1" t="s">
        <v>15</v>
      </c>
      <c r="B1287" s="1">
        <v>1332346</v>
      </c>
      <c r="C1287" s="1">
        <v>1332681</v>
      </c>
      <c r="E1287" s="1" t="s">
        <v>16</v>
      </c>
      <c r="F1287" s="1" t="s">
        <v>54</v>
      </c>
      <c r="I1287" s="1" t="s">
        <v>19</v>
      </c>
      <c r="L1287" s="1" t="s">
        <v>3940</v>
      </c>
      <c r="M1287" s="1" t="s">
        <v>54</v>
      </c>
      <c r="N1287" s="1">
        <v>111</v>
      </c>
      <c r="O1287" s="1" t="s">
        <v>3941</v>
      </c>
    </row>
    <row r="1288" spans="1:17" x14ac:dyDescent="0.35">
      <c r="A1288" s="1" t="s">
        <v>15</v>
      </c>
      <c r="B1288" s="1">
        <v>1332888</v>
      </c>
      <c r="C1288" s="1">
        <v>1334672</v>
      </c>
      <c r="E1288" s="1" t="s">
        <v>178</v>
      </c>
      <c r="F1288" s="1" t="s">
        <v>3942</v>
      </c>
      <c r="G1288" s="1" t="s">
        <v>3943</v>
      </c>
      <c r="I1288" s="1" t="s">
        <v>19</v>
      </c>
      <c r="L1288" s="1" t="s">
        <v>3944</v>
      </c>
      <c r="M1288" s="1" t="s">
        <v>3942</v>
      </c>
      <c r="N1288" s="1">
        <v>594</v>
      </c>
      <c r="O1288" s="1" t="s">
        <v>3945</v>
      </c>
    </row>
    <row r="1289" spans="1:17" x14ac:dyDescent="0.35">
      <c r="A1289" s="1" t="s">
        <v>15</v>
      </c>
      <c r="B1289" s="1">
        <v>1334746</v>
      </c>
      <c r="C1289" s="1">
        <v>1335441</v>
      </c>
      <c r="E1289" s="1" t="s">
        <v>178</v>
      </c>
      <c r="F1289" s="1" t="s">
        <v>3946</v>
      </c>
      <c r="I1289" s="1" t="s">
        <v>19</v>
      </c>
      <c r="L1289" s="1" t="s">
        <v>3947</v>
      </c>
      <c r="M1289" s="1" t="s">
        <v>3946</v>
      </c>
      <c r="N1289" s="1">
        <v>231</v>
      </c>
      <c r="O1289" s="1" t="s">
        <v>3948</v>
      </c>
    </row>
    <row r="1290" spans="1:17" x14ac:dyDescent="0.35">
      <c r="A1290" s="1" t="s">
        <v>15</v>
      </c>
      <c r="B1290" s="1">
        <v>1335715</v>
      </c>
      <c r="C1290" s="1">
        <v>1336386</v>
      </c>
      <c r="E1290" s="1" t="s">
        <v>16</v>
      </c>
      <c r="F1290" s="1" t="s">
        <v>3949</v>
      </c>
      <c r="G1290" s="1" t="s">
        <v>3950</v>
      </c>
      <c r="I1290" s="1" t="s">
        <v>19</v>
      </c>
      <c r="L1290" s="1" t="s">
        <v>3951</v>
      </c>
      <c r="M1290" s="1" t="s">
        <v>3949</v>
      </c>
      <c r="N1290" s="1">
        <v>223</v>
      </c>
      <c r="O1290" s="1" t="s">
        <v>3952</v>
      </c>
      <c r="Q1290" s="14"/>
    </row>
    <row r="1291" spans="1:17" x14ac:dyDescent="0.35">
      <c r="A1291" s="1" t="s">
        <v>15</v>
      </c>
      <c r="B1291" s="1">
        <v>1336399</v>
      </c>
      <c r="C1291" s="1">
        <v>1337268</v>
      </c>
      <c r="E1291" s="1" t="s">
        <v>16</v>
      </c>
      <c r="F1291" s="1" t="s">
        <v>3953</v>
      </c>
      <c r="G1291" s="1" t="s">
        <v>3954</v>
      </c>
      <c r="I1291" s="1" t="s">
        <v>19</v>
      </c>
      <c r="L1291" s="1" t="s">
        <v>3955</v>
      </c>
      <c r="M1291" s="1" t="s">
        <v>3953</v>
      </c>
      <c r="N1291" s="1">
        <v>289</v>
      </c>
      <c r="O1291" s="1" t="s">
        <v>3956</v>
      </c>
      <c r="Q1291" s="14"/>
    </row>
    <row r="1292" spans="1:17" x14ac:dyDescent="0.35">
      <c r="A1292" s="1" t="s">
        <v>15</v>
      </c>
      <c r="B1292" s="1">
        <v>1337352</v>
      </c>
      <c r="C1292" s="1">
        <v>1341263</v>
      </c>
      <c r="E1292" s="1" t="s">
        <v>178</v>
      </c>
      <c r="F1292" s="1" t="s">
        <v>3957</v>
      </c>
      <c r="I1292" s="1" t="s">
        <v>19</v>
      </c>
      <c r="L1292" s="1" t="s">
        <v>3958</v>
      </c>
      <c r="M1292" s="1" t="s">
        <v>3957</v>
      </c>
      <c r="N1292" s="1">
        <v>1303</v>
      </c>
      <c r="O1292" s="1" t="s">
        <v>3959</v>
      </c>
      <c r="Q1292" s="14"/>
    </row>
    <row r="1293" spans="1:17" x14ac:dyDescent="0.35">
      <c r="A1293" s="1" t="s">
        <v>15</v>
      </c>
      <c r="B1293" s="1">
        <v>1341594</v>
      </c>
      <c r="C1293" s="1">
        <v>1341704</v>
      </c>
      <c r="E1293" s="1" t="s">
        <v>178</v>
      </c>
      <c r="F1293" s="1" t="s">
        <v>54</v>
      </c>
      <c r="I1293" s="1" t="s">
        <v>19</v>
      </c>
      <c r="L1293" s="1" t="s">
        <v>3960</v>
      </c>
      <c r="M1293" s="1" t="s">
        <v>54</v>
      </c>
      <c r="N1293" s="1">
        <v>36</v>
      </c>
      <c r="O1293" s="1" t="s">
        <v>3961</v>
      </c>
    </row>
    <row r="1294" spans="1:17" x14ac:dyDescent="0.35">
      <c r="A1294" s="1" t="s">
        <v>15</v>
      </c>
      <c r="B1294" s="1">
        <v>1341882</v>
      </c>
      <c r="C1294" s="1">
        <v>1342640</v>
      </c>
      <c r="E1294" s="1" t="s">
        <v>178</v>
      </c>
      <c r="F1294" s="1" t="s">
        <v>3962</v>
      </c>
      <c r="G1294" s="1" t="s">
        <v>3963</v>
      </c>
      <c r="I1294" s="1" t="s">
        <v>19</v>
      </c>
      <c r="L1294" s="1" t="s">
        <v>3964</v>
      </c>
      <c r="M1294" s="1" t="s">
        <v>3962</v>
      </c>
      <c r="N1294" s="1">
        <v>252</v>
      </c>
      <c r="O1294" s="1" t="s">
        <v>3965</v>
      </c>
    </row>
    <row r="1295" spans="1:17" x14ac:dyDescent="0.35">
      <c r="A1295" s="1" t="s">
        <v>15</v>
      </c>
      <c r="B1295" s="1">
        <v>1342819</v>
      </c>
      <c r="C1295" s="1">
        <v>1344651</v>
      </c>
      <c r="E1295" s="1" t="s">
        <v>178</v>
      </c>
      <c r="F1295" s="1" t="s">
        <v>54</v>
      </c>
      <c r="I1295" s="1" t="s">
        <v>19</v>
      </c>
      <c r="L1295" s="1" t="s">
        <v>3966</v>
      </c>
      <c r="M1295" s="1" t="s">
        <v>54</v>
      </c>
      <c r="N1295" s="1">
        <v>610</v>
      </c>
      <c r="O1295" s="1" t="s">
        <v>3967</v>
      </c>
    </row>
    <row r="1296" spans="1:17" x14ac:dyDescent="0.35">
      <c r="A1296" s="1" t="s">
        <v>15</v>
      </c>
      <c r="B1296" s="1">
        <v>1344656</v>
      </c>
      <c r="C1296" s="1">
        <v>1346005</v>
      </c>
      <c r="E1296" s="1" t="s">
        <v>178</v>
      </c>
      <c r="F1296" s="1" t="s">
        <v>54</v>
      </c>
      <c r="I1296" s="1" t="s">
        <v>19</v>
      </c>
      <c r="L1296" s="1" t="s">
        <v>3968</v>
      </c>
      <c r="M1296" s="1" t="s">
        <v>54</v>
      </c>
      <c r="N1296" s="1">
        <v>449</v>
      </c>
      <c r="O1296" s="1" t="s">
        <v>3969</v>
      </c>
    </row>
    <row r="1297" spans="1:17" x14ac:dyDescent="0.35">
      <c r="A1297" s="1" t="s">
        <v>15</v>
      </c>
      <c r="B1297" s="1">
        <v>1346192</v>
      </c>
      <c r="C1297" s="1">
        <v>1346635</v>
      </c>
      <c r="E1297" s="1" t="s">
        <v>178</v>
      </c>
      <c r="F1297" s="1" t="s">
        <v>3970</v>
      </c>
      <c r="I1297" s="1" t="s">
        <v>19</v>
      </c>
      <c r="L1297" s="1" t="s">
        <v>3971</v>
      </c>
      <c r="M1297" s="1" t="s">
        <v>3970</v>
      </c>
      <c r="N1297" s="1">
        <v>147</v>
      </c>
      <c r="O1297" s="1" t="s">
        <v>3972</v>
      </c>
      <c r="Q1297" s="14"/>
    </row>
    <row r="1298" spans="1:17" x14ac:dyDescent="0.35">
      <c r="A1298" s="1" t="s">
        <v>15</v>
      </c>
      <c r="B1298" s="1">
        <v>1346696</v>
      </c>
      <c r="C1298" s="1">
        <v>1347217</v>
      </c>
      <c r="E1298" s="1" t="s">
        <v>178</v>
      </c>
      <c r="F1298" s="1" t="s">
        <v>54</v>
      </c>
      <c r="I1298" s="1" t="s">
        <v>19</v>
      </c>
      <c r="L1298" s="1" t="s">
        <v>3973</v>
      </c>
      <c r="M1298" s="1" t="s">
        <v>54</v>
      </c>
      <c r="N1298" s="1">
        <v>173</v>
      </c>
      <c r="O1298" s="1" t="s">
        <v>3974</v>
      </c>
    </row>
    <row r="1299" spans="1:17" x14ac:dyDescent="0.35">
      <c r="A1299" s="1" t="s">
        <v>15</v>
      </c>
      <c r="B1299" s="1">
        <v>1347435</v>
      </c>
      <c r="C1299" s="1">
        <v>1348358</v>
      </c>
      <c r="E1299" s="1" t="s">
        <v>16</v>
      </c>
      <c r="F1299" s="1" t="s">
        <v>849</v>
      </c>
      <c r="I1299" s="1" t="s">
        <v>19</v>
      </c>
      <c r="L1299" s="1" t="s">
        <v>3975</v>
      </c>
      <c r="M1299" s="1" t="s">
        <v>849</v>
      </c>
      <c r="N1299" s="1">
        <v>307</v>
      </c>
      <c r="O1299" s="1" t="s">
        <v>3976</v>
      </c>
    </row>
    <row r="1300" spans="1:17" x14ac:dyDescent="0.35">
      <c r="A1300" s="1" t="s">
        <v>15</v>
      </c>
      <c r="B1300" s="1">
        <v>1348431</v>
      </c>
      <c r="C1300" s="1">
        <v>1349267</v>
      </c>
      <c r="E1300" s="1" t="s">
        <v>16</v>
      </c>
      <c r="F1300" s="1" t="s">
        <v>1718</v>
      </c>
      <c r="I1300" s="1" t="s">
        <v>19</v>
      </c>
      <c r="L1300" s="1" t="s">
        <v>3977</v>
      </c>
      <c r="M1300" s="1" t="s">
        <v>1718</v>
      </c>
      <c r="N1300" s="1">
        <v>278</v>
      </c>
      <c r="O1300" s="1" t="s">
        <v>3978</v>
      </c>
      <c r="Q1300" s="14"/>
    </row>
    <row r="1301" spans="1:17" x14ac:dyDescent="0.35">
      <c r="A1301" s="1" t="s">
        <v>15</v>
      </c>
      <c r="B1301" s="1">
        <v>1349260</v>
      </c>
      <c r="C1301" s="1">
        <v>1349979</v>
      </c>
      <c r="E1301" s="1" t="s">
        <v>16</v>
      </c>
      <c r="F1301" s="1" t="s">
        <v>54</v>
      </c>
      <c r="I1301" s="1" t="s">
        <v>19</v>
      </c>
      <c r="L1301" s="1" t="s">
        <v>3979</v>
      </c>
      <c r="M1301" s="1" t="s">
        <v>54</v>
      </c>
      <c r="N1301" s="1">
        <v>239</v>
      </c>
      <c r="O1301" s="1" t="s">
        <v>3980</v>
      </c>
    </row>
    <row r="1302" spans="1:17" x14ac:dyDescent="0.35">
      <c r="A1302" s="1" t="s">
        <v>15</v>
      </c>
      <c r="B1302" s="1">
        <v>1350135</v>
      </c>
      <c r="C1302" s="1">
        <v>1351043</v>
      </c>
      <c r="E1302" s="1" t="s">
        <v>16</v>
      </c>
      <c r="F1302" s="1" t="s">
        <v>849</v>
      </c>
      <c r="I1302" s="1" t="s">
        <v>19</v>
      </c>
      <c r="L1302" s="1" t="s">
        <v>3981</v>
      </c>
      <c r="M1302" s="1" t="s">
        <v>849</v>
      </c>
      <c r="N1302" s="1">
        <v>302</v>
      </c>
      <c r="O1302" s="1" t="s">
        <v>3982</v>
      </c>
    </row>
    <row r="1303" spans="1:17" x14ac:dyDescent="0.35">
      <c r="A1303" s="1" t="s">
        <v>15</v>
      </c>
      <c r="B1303" s="1">
        <v>1351154</v>
      </c>
      <c r="C1303" s="1">
        <v>1351435</v>
      </c>
      <c r="E1303" s="1" t="s">
        <v>178</v>
      </c>
      <c r="F1303" s="1" t="s">
        <v>54</v>
      </c>
      <c r="I1303" s="1" t="s">
        <v>19</v>
      </c>
      <c r="L1303" s="1" t="s">
        <v>3983</v>
      </c>
      <c r="M1303" s="1" t="s">
        <v>54</v>
      </c>
      <c r="N1303" s="1">
        <v>93</v>
      </c>
      <c r="O1303" s="1" t="s">
        <v>3984</v>
      </c>
    </row>
    <row r="1304" spans="1:17" x14ac:dyDescent="0.35">
      <c r="A1304" s="1" t="s">
        <v>15</v>
      </c>
      <c r="B1304" s="1">
        <v>1351362</v>
      </c>
      <c r="C1304" s="1">
        <v>1352045</v>
      </c>
      <c r="E1304" s="1" t="s">
        <v>178</v>
      </c>
      <c r="F1304" s="1" t="s">
        <v>54</v>
      </c>
      <c r="I1304" s="1" t="s">
        <v>19</v>
      </c>
      <c r="L1304" s="1" t="s">
        <v>3985</v>
      </c>
      <c r="M1304" s="1" t="s">
        <v>54</v>
      </c>
      <c r="N1304" s="1">
        <v>227</v>
      </c>
      <c r="O1304" s="1" t="s">
        <v>3986</v>
      </c>
    </row>
    <row r="1305" spans="1:17" x14ac:dyDescent="0.35">
      <c r="A1305" s="1" t="s">
        <v>15</v>
      </c>
      <c r="B1305" s="1">
        <v>1352023</v>
      </c>
      <c r="C1305" s="1">
        <v>1352928</v>
      </c>
      <c r="E1305" s="1" t="s">
        <v>178</v>
      </c>
      <c r="F1305" s="1" t="s">
        <v>54</v>
      </c>
      <c r="I1305" s="1" t="s">
        <v>19</v>
      </c>
      <c r="L1305" s="1" t="s">
        <v>3987</v>
      </c>
      <c r="M1305" s="1" t="s">
        <v>54</v>
      </c>
      <c r="N1305" s="1">
        <v>301</v>
      </c>
      <c r="O1305" s="1" t="s">
        <v>3988</v>
      </c>
    </row>
    <row r="1306" spans="1:17" x14ac:dyDescent="0.35">
      <c r="A1306" s="1" t="s">
        <v>15</v>
      </c>
      <c r="B1306" s="1">
        <v>1352996</v>
      </c>
      <c r="C1306" s="1">
        <v>1354240</v>
      </c>
      <c r="E1306" s="1" t="s">
        <v>178</v>
      </c>
      <c r="F1306" s="1" t="s">
        <v>54</v>
      </c>
      <c r="I1306" s="1" t="s">
        <v>19</v>
      </c>
      <c r="L1306" s="1" t="s">
        <v>3989</v>
      </c>
      <c r="M1306" s="1" t="s">
        <v>54</v>
      </c>
      <c r="N1306" s="1">
        <v>414</v>
      </c>
      <c r="O1306" s="1" t="s">
        <v>3990</v>
      </c>
    </row>
    <row r="1307" spans="1:17" x14ac:dyDescent="0.35">
      <c r="A1307" s="1" t="s">
        <v>15</v>
      </c>
      <c r="B1307" s="1">
        <v>1354883</v>
      </c>
      <c r="C1307" s="1">
        <v>1355668</v>
      </c>
      <c r="E1307" s="1" t="s">
        <v>178</v>
      </c>
      <c r="F1307" s="1" t="s">
        <v>3991</v>
      </c>
      <c r="I1307" s="1" t="s">
        <v>19</v>
      </c>
      <c r="L1307" s="1" t="s">
        <v>3992</v>
      </c>
      <c r="M1307" s="1" t="s">
        <v>3991</v>
      </c>
      <c r="N1307" s="1">
        <v>261</v>
      </c>
      <c r="O1307" s="1" t="s">
        <v>3993</v>
      </c>
    </row>
    <row r="1308" spans="1:17" x14ac:dyDescent="0.35">
      <c r="A1308" s="1" t="s">
        <v>15</v>
      </c>
      <c r="B1308" s="1">
        <v>1355670</v>
      </c>
      <c r="C1308" s="1">
        <v>1356488</v>
      </c>
      <c r="E1308" s="1" t="s">
        <v>178</v>
      </c>
      <c r="F1308" s="1" t="s">
        <v>3991</v>
      </c>
      <c r="I1308" s="1" t="s">
        <v>19</v>
      </c>
      <c r="L1308" s="1" t="s">
        <v>3994</v>
      </c>
      <c r="M1308" s="1" t="s">
        <v>3991</v>
      </c>
      <c r="N1308" s="1">
        <v>272</v>
      </c>
      <c r="O1308" s="1" t="s">
        <v>3995</v>
      </c>
    </row>
    <row r="1309" spans="1:17" x14ac:dyDescent="0.35">
      <c r="A1309" s="1" t="s">
        <v>15</v>
      </c>
      <c r="B1309" s="1">
        <v>1356490</v>
      </c>
      <c r="C1309" s="1">
        <v>1357467</v>
      </c>
      <c r="E1309" s="1" t="s">
        <v>178</v>
      </c>
      <c r="F1309" s="1" t="s">
        <v>3996</v>
      </c>
      <c r="I1309" s="1" t="s">
        <v>19</v>
      </c>
      <c r="L1309" s="1" t="s">
        <v>3997</v>
      </c>
      <c r="M1309" s="1" t="s">
        <v>3996</v>
      </c>
      <c r="N1309" s="1">
        <v>325</v>
      </c>
      <c r="O1309" s="1" t="s">
        <v>3998</v>
      </c>
    </row>
    <row r="1310" spans="1:17" x14ac:dyDescent="0.35">
      <c r="A1310" s="1" t="s">
        <v>15</v>
      </c>
      <c r="B1310" s="1">
        <v>1357869</v>
      </c>
      <c r="C1310" s="1">
        <v>1358333</v>
      </c>
      <c r="E1310" s="1" t="s">
        <v>178</v>
      </c>
      <c r="F1310" s="1" t="s">
        <v>54</v>
      </c>
      <c r="I1310" s="1" t="s">
        <v>19</v>
      </c>
      <c r="L1310" s="1" t="s">
        <v>3999</v>
      </c>
      <c r="M1310" s="1" t="s">
        <v>54</v>
      </c>
      <c r="N1310" s="1">
        <v>154</v>
      </c>
      <c r="O1310" s="1" t="s">
        <v>4000</v>
      </c>
    </row>
    <row r="1311" spans="1:17" x14ac:dyDescent="0.35">
      <c r="A1311" s="1" t="s">
        <v>15</v>
      </c>
      <c r="B1311" s="1">
        <v>1358621</v>
      </c>
      <c r="C1311" s="1">
        <v>1359223</v>
      </c>
      <c r="E1311" s="1" t="s">
        <v>178</v>
      </c>
      <c r="F1311" s="1" t="s">
        <v>4001</v>
      </c>
      <c r="I1311" s="1" t="s">
        <v>19</v>
      </c>
      <c r="L1311" s="1" t="s">
        <v>4002</v>
      </c>
      <c r="M1311" s="1" t="s">
        <v>4001</v>
      </c>
      <c r="N1311" s="1">
        <v>200</v>
      </c>
      <c r="O1311" s="1" t="s">
        <v>4003</v>
      </c>
    </row>
    <row r="1312" spans="1:17" x14ac:dyDescent="0.35">
      <c r="A1312" s="1" t="s">
        <v>15</v>
      </c>
      <c r="B1312" s="1">
        <v>1359220</v>
      </c>
      <c r="C1312" s="1">
        <v>1360314</v>
      </c>
      <c r="E1312" s="1" t="s">
        <v>178</v>
      </c>
      <c r="F1312" s="1" t="s">
        <v>4004</v>
      </c>
      <c r="G1312" s="1" t="s">
        <v>4005</v>
      </c>
      <c r="I1312" s="1" t="s">
        <v>19</v>
      </c>
      <c r="L1312" s="1" t="s">
        <v>4006</v>
      </c>
      <c r="M1312" s="1" t="s">
        <v>4004</v>
      </c>
      <c r="N1312" s="1">
        <v>364</v>
      </c>
      <c r="O1312" s="1" t="s">
        <v>4007</v>
      </c>
      <c r="Q1312" s="14"/>
    </row>
    <row r="1313" spans="1:17" x14ac:dyDescent="0.35">
      <c r="A1313" s="1" t="s">
        <v>15</v>
      </c>
      <c r="B1313" s="1">
        <v>1360307</v>
      </c>
      <c r="C1313" s="1">
        <v>1361044</v>
      </c>
      <c r="E1313" s="1" t="s">
        <v>178</v>
      </c>
      <c r="F1313" s="1" t="s">
        <v>4008</v>
      </c>
      <c r="I1313" s="1" t="s">
        <v>19</v>
      </c>
      <c r="L1313" s="1" t="s">
        <v>4009</v>
      </c>
      <c r="M1313" s="1" t="s">
        <v>4008</v>
      </c>
      <c r="N1313" s="1">
        <v>245</v>
      </c>
      <c r="O1313" s="1" t="s">
        <v>4010</v>
      </c>
    </row>
    <row r="1314" spans="1:17" x14ac:dyDescent="0.35">
      <c r="A1314" s="1" t="s">
        <v>15</v>
      </c>
      <c r="B1314" s="1">
        <v>1361041</v>
      </c>
      <c r="C1314" s="1">
        <v>1361922</v>
      </c>
      <c r="E1314" s="1" t="s">
        <v>178</v>
      </c>
      <c r="F1314" s="1" t="s">
        <v>1660</v>
      </c>
      <c r="I1314" s="1" t="s">
        <v>19</v>
      </c>
      <c r="L1314" s="1" t="s">
        <v>4011</v>
      </c>
      <c r="M1314" s="1" t="s">
        <v>1660</v>
      </c>
      <c r="N1314" s="1">
        <v>293</v>
      </c>
      <c r="O1314" s="1" t="s">
        <v>4012</v>
      </c>
    </row>
    <row r="1315" spans="1:17" x14ac:dyDescent="0.35">
      <c r="A1315" s="1" t="s">
        <v>15</v>
      </c>
      <c r="B1315" s="1">
        <v>1361915</v>
      </c>
      <c r="C1315" s="1">
        <v>1362094</v>
      </c>
      <c r="E1315" s="1" t="s">
        <v>178</v>
      </c>
      <c r="F1315" s="1" t="s">
        <v>54</v>
      </c>
      <c r="I1315" s="1" t="s">
        <v>19</v>
      </c>
      <c r="L1315" s="1" t="s">
        <v>4013</v>
      </c>
      <c r="M1315" s="1" t="s">
        <v>54</v>
      </c>
      <c r="N1315" s="1">
        <v>59</v>
      </c>
      <c r="O1315" s="1" t="s">
        <v>4014</v>
      </c>
    </row>
    <row r="1316" spans="1:17" x14ac:dyDescent="0.35">
      <c r="A1316" s="1" t="s">
        <v>15</v>
      </c>
      <c r="B1316" s="1">
        <v>1362105</v>
      </c>
      <c r="C1316" s="1">
        <v>1362314</v>
      </c>
      <c r="E1316" s="1" t="s">
        <v>178</v>
      </c>
      <c r="F1316" s="1" t="s">
        <v>50</v>
      </c>
      <c r="I1316" s="1" t="s">
        <v>19</v>
      </c>
      <c r="L1316" s="1" t="s">
        <v>4015</v>
      </c>
      <c r="M1316" s="1" t="s">
        <v>50</v>
      </c>
      <c r="N1316" s="1">
        <v>69</v>
      </c>
      <c r="O1316" s="1" t="s">
        <v>4016</v>
      </c>
    </row>
    <row r="1317" spans="1:17" x14ac:dyDescent="0.35">
      <c r="A1317" s="1" t="s">
        <v>15</v>
      </c>
      <c r="B1317" s="1">
        <v>1362521</v>
      </c>
      <c r="C1317" s="1">
        <v>1363471</v>
      </c>
      <c r="E1317" s="1" t="s">
        <v>178</v>
      </c>
      <c r="F1317" s="1" t="s">
        <v>1111</v>
      </c>
      <c r="I1317" s="1" t="s">
        <v>19</v>
      </c>
      <c r="L1317" s="1" t="s">
        <v>4017</v>
      </c>
      <c r="M1317" s="1" t="s">
        <v>1111</v>
      </c>
      <c r="N1317" s="1">
        <v>316</v>
      </c>
      <c r="O1317" s="1" t="s">
        <v>4018</v>
      </c>
      <c r="Q1317" s="14"/>
    </row>
    <row r="1318" spans="1:17" x14ac:dyDescent="0.35">
      <c r="A1318" s="1" t="s">
        <v>15</v>
      </c>
      <c r="B1318" s="1">
        <v>1363480</v>
      </c>
      <c r="C1318" s="1">
        <v>1364742</v>
      </c>
      <c r="E1318" s="1" t="s">
        <v>178</v>
      </c>
      <c r="F1318" s="1" t="s">
        <v>54</v>
      </c>
      <c r="I1318" s="1" t="s">
        <v>19</v>
      </c>
      <c r="L1318" s="1" t="s">
        <v>4019</v>
      </c>
      <c r="M1318" s="1" t="s">
        <v>54</v>
      </c>
      <c r="N1318" s="1">
        <v>420</v>
      </c>
      <c r="O1318" s="1" t="s">
        <v>4020</v>
      </c>
    </row>
    <row r="1319" spans="1:17" x14ac:dyDescent="0.35">
      <c r="A1319" s="1" t="s">
        <v>15</v>
      </c>
      <c r="B1319" s="1">
        <v>1364720</v>
      </c>
      <c r="C1319" s="1">
        <v>1365535</v>
      </c>
      <c r="E1319" s="1" t="s">
        <v>178</v>
      </c>
      <c r="F1319" s="1" t="s">
        <v>4021</v>
      </c>
      <c r="I1319" s="1" t="s">
        <v>19</v>
      </c>
      <c r="L1319" s="1" t="s">
        <v>4022</v>
      </c>
      <c r="M1319" s="1" t="s">
        <v>4021</v>
      </c>
      <c r="N1319" s="1">
        <v>271</v>
      </c>
      <c r="O1319" s="1" t="s">
        <v>4023</v>
      </c>
      <c r="Q1319" s="14"/>
    </row>
    <row r="1320" spans="1:17" x14ac:dyDescent="0.35">
      <c r="A1320" s="1" t="s">
        <v>15</v>
      </c>
      <c r="B1320" s="1">
        <v>1365510</v>
      </c>
      <c r="C1320" s="1">
        <v>1366490</v>
      </c>
      <c r="E1320" s="1" t="s">
        <v>178</v>
      </c>
      <c r="F1320" s="1" t="s">
        <v>4024</v>
      </c>
      <c r="G1320" s="1" t="s">
        <v>4025</v>
      </c>
      <c r="I1320" s="1" t="s">
        <v>19</v>
      </c>
      <c r="L1320" s="1" t="s">
        <v>4026</v>
      </c>
      <c r="M1320" s="1" t="s">
        <v>4024</v>
      </c>
      <c r="N1320" s="1">
        <v>326</v>
      </c>
      <c r="O1320" s="1" t="s">
        <v>4027</v>
      </c>
      <c r="Q1320" s="14"/>
    </row>
    <row r="1321" spans="1:17" x14ac:dyDescent="0.35">
      <c r="A1321" s="1" t="s">
        <v>15</v>
      </c>
      <c r="B1321" s="1">
        <v>1366487</v>
      </c>
      <c r="C1321" s="1">
        <v>1367761</v>
      </c>
      <c r="E1321" s="1" t="s">
        <v>178</v>
      </c>
      <c r="F1321" s="1" t="s">
        <v>4028</v>
      </c>
      <c r="I1321" s="1" t="s">
        <v>19</v>
      </c>
      <c r="L1321" s="1" t="s">
        <v>4029</v>
      </c>
      <c r="M1321" s="1" t="s">
        <v>4028</v>
      </c>
      <c r="N1321" s="1">
        <v>424</v>
      </c>
      <c r="O1321" s="1" t="s">
        <v>4030</v>
      </c>
      <c r="Q1321" s="14"/>
    </row>
    <row r="1322" spans="1:17" x14ac:dyDescent="0.35">
      <c r="A1322" s="1" t="s">
        <v>15</v>
      </c>
      <c r="B1322" s="1">
        <v>1368023</v>
      </c>
      <c r="C1322" s="1">
        <v>1368799</v>
      </c>
      <c r="E1322" s="1" t="s">
        <v>16</v>
      </c>
      <c r="F1322" s="1" t="s">
        <v>4031</v>
      </c>
      <c r="G1322" s="1" t="s">
        <v>4032</v>
      </c>
      <c r="I1322" s="1" t="s">
        <v>19</v>
      </c>
      <c r="L1322" s="1" t="s">
        <v>4033</v>
      </c>
      <c r="M1322" s="1" t="s">
        <v>4031</v>
      </c>
      <c r="N1322" s="1">
        <v>258</v>
      </c>
      <c r="O1322" s="1" t="s">
        <v>4034</v>
      </c>
      <c r="Q1322" s="14"/>
    </row>
    <row r="1323" spans="1:17" x14ac:dyDescent="0.35">
      <c r="A1323" s="1" t="s">
        <v>15</v>
      </c>
      <c r="B1323" s="1">
        <v>1368796</v>
      </c>
      <c r="C1323" s="1">
        <v>1369938</v>
      </c>
      <c r="E1323" s="1" t="s">
        <v>16</v>
      </c>
      <c r="F1323" s="1" t="s">
        <v>4035</v>
      </c>
      <c r="G1323" s="1" t="s">
        <v>4036</v>
      </c>
      <c r="I1323" s="1" t="s">
        <v>19</v>
      </c>
      <c r="L1323" s="1" t="s">
        <v>4037</v>
      </c>
      <c r="M1323" s="1" t="s">
        <v>4035</v>
      </c>
      <c r="N1323" s="1">
        <v>380</v>
      </c>
      <c r="O1323" s="1" t="s">
        <v>4038</v>
      </c>
      <c r="Q1323" s="14"/>
    </row>
    <row r="1324" spans="1:17" x14ac:dyDescent="0.35">
      <c r="A1324" s="1" t="s">
        <v>15</v>
      </c>
      <c r="B1324" s="1">
        <v>1369940</v>
      </c>
      <c r="C1324" s="1">
        <v>1370587</v>
      </c>
      <c r="E1324" s="1" t="s">
        <v>16</v>
      </c>
      <c r="F1324" s="1" t="s">
        <v>54</v>
      </c>
      <c r="I1324" s="1" t="s">
        <v>19</v>
      </c>
      <c r="L1324" s="1" t="s">
        <v>4039</v>
      </c>
      <c r="M1324" s="1" t="s">
        <v>54</v>
      </c>
      <c r="N1324" s="1">
        <v>215</v>
      </c>
      <c r="O1324" s="1" t="s">
        <v>4040</v>
      </c>
    </row>
    <row r="1325" spans="1:17" x14ac:dyDescent="0.35">
      <c r="A1325" s="1" t="s">
        <v>15</v>
      </c>
      <c r="B1325" s="1">
        <v>1370580</v>
      </c>
      <c r="C1325" s="1">
        <v>1371830</v>
      </c>
      <c r="E1325" s="1" t="s">
        <v>16</v>
      </c>
      <c r="F1325" s="1" t="s">
        <v>4041</v>
      </c>
      <c r="G1325" s="1" t="s">
        <v>4042</v>
      </c>
      <c r="I1325" s="1" t="s">
        <v>19</v>
      </c>
      <c r="L1325" s="1" t="s">
        <v>4043</v>
      </c>
      <c r="M1325" s="1" t="s">
        <v>4041</v>
      </c>
      <c r="N1325" s="1">
        <v>416</v>
      </c>
      <c r="O1325" s="1" t="s">
        <v>4044</v>
      </c>
      <c r="Q1325" s="14"/>
    </row>
    <row r="1326" spans="1:17" x14ac:dyDescent="0.35">
      <c r="A1326" s="1" t="s">
        <v>15</v>
      </c>
      <c r="B1326" s="1">
        <v>1371922</v>
      </c>
      <c r="C1326" s="1">
        <v>1372407</v>
      </c>
      <c r="E1326" s="1" t="s">
        <v>178</v>
      </c>
      <c r="F1326" s="1" t="s">
        <v>54</v>
      </c>
      <c r="I1326" s="1" t="s">
        <v>19</v>
      </c>
      <c r="L1326" s="1" t="s">
        <v>4045</v>
      </c>
      <c r="M1326" s="1" t="s">
        <v>54</v>
      </c>
      <c r="N1326" s="1">
        <v>161</v>
      </c>
      <c r="O1326" s="1" t="s">
        <v>4046</v>
      </c>
    </row>
    <row r="1327" spans="1:17" x14ac:dyDescent="0.35">
      <c r="A1327" s="1" t="s">
        <v>15</v>
      </c>
      <c r="B1327" s="1">
        <v>1372411</v>
      </c>
      <c r="C1327" s="1">
        <v>1373766</v>
      </c>
      <c r="E1327" s="1" t="s">
        <v>178</v>
      </c>
      <c r="F1327" s="1" t="s">
        <v>54</v>
      </c>
      <c r="I1327" s="1" t="s">
        <v>19</v>
      </c>
      <c r="L1327" s="1" t="s">
        <v>4047</v>
      </c>
      <c r="M1327" s="1" t="s">
        <v>54</v>
      </c>
      <c r="N1327" s="1">
        <v>451</v>
      </c>
      <c r="O1327" s="1" t="s">
        <v>4048</v>
      </c>
    </row>
    <row r="1328" spans="1:17" x14ac:dyDescent="0.35">
      <c r="A1328" s="1" t="s">
        <v>15</v>
      </c>
      <c r="B1328" s="1">
        <v>1373777</v>
      </c>
      <c r="C1328" s="1">
        <v>1375546</v>
      </c>
      <c r="E1328" s="1" t="s">
        <v>178</v>
      </c>
      <c r="F1328" s="1" t="s">
        <v>4049</v>
      </c>
      <c r="G1328" s="1" t="s">
        <v>4050</v>
      </c>
      <c r="I1328" s="1" t="s">
        <v>19</v>
      </c>
      <c r="L1328" s="1" t="s">
        <v>4051</v>
      </c>
      <c r="M1328" s="1" t="s">
        <v>4049</v>
      </c>
      <c r="N1328" s="1">
        <v>589</v>
      </c>
      <c r="O1328" s="1" t="s">
        <v>4052</v>
      </c>
    </row>
    <row r="1329" spans="1:17" x14ac:dyDescent="0.35">
      <c r="A1329" s="1" t="s">
        <v>15</v>
      </c>
      <c r="B1329" s="1">
        <v>1375892</v>
      </c>
      <c r="C1329" s="1">
        <v>1376830</v>
      </c>
      <c r="E1329" s="1" t="s">
        <v>178</v>
      </c>
      <c r="F1329" s="1" t="s">
        <v>4053</v>
      </c>
      <c r="I1329" s="1" t="s">
        <v>19</v>
      </c>
      <c r="L1329" s="1" t="s">
        <v>4054</v>
      </c>
      <c r="M1329" s="1" t="s">
        <v>4053</v>
      </c>
      <c r="N1329" s="1">
        <v>312</v>
      </c>
      <c r="O1329" s="1" t="s">
        <v>4055</v>
      </c>
    </row>
    <row r="1330" spans="1:17" x14ac:dyDescent="0.35">
      <c r="A1330" s="1" t="s">
        <v>15</v>
      </c>
      <c r="B1330" s="1">
        <v>1376973</v>
      </c>
      <c r="C1330" s="1">
        <v>1377422</v>
      </c>
      <c r="E1330" s="1" t="s">
        <v>178</v>
      </c>
      <c r="F1330" s="1" t="s">
        <v>4056</v>
      </c>
      <c r="I1330" s="1" t="s">
        <v>19</v>
      </c>
      <c r="L1330" s="1" t="s">
        <v>4057</v>
      </c>
      <c r="M1330" s="1" t="s">
        <v>4056</v>
      </c>
      <c r="N1330" s="1">
        <v>149</v>
      </c>
      <c r="O1330" s="1" t="s">
        <v>4058</v>
      </c>
    </row>
    <row r="1331" spans="1:17" x14ac:dyDescent="0.35">
      <c r="A1331" s="1" t="s">
        <v>15</v>
      </c>
      <c r="B1331" s="1">
        <v>1377433</v>
      </c>
      <c r="C1331" s="1">
        <v>1378170</v>
      </c>
      <c r="E1331" s="1" t="s">
        <v>178</v>
      </c>
      <c r="F1331" s="1" t="s">
        <v>3481</v>
      </c>
      <c r="I1331" s="1" t="s">
        <v>19</v>
      </c>
      <c r="L1331" s="1" t="s">
        <v>4059</v>
      </c>
      <c r="M1331" s="1" t="s">
        <v>3481</v>
      </c>
      <c r="N1331" s="1">
        <v>245</v>
      </c>
      <c r="O1331" s="1" t="s">
        <v>4060</v>
      </c>
    </row>
    <row r="1332" spans="1:17" x14ac:dyDescent="0.35">
      <c r="A1332" s="1" t="s">
        <v>15</v>
      </c>
      <c r="B1332" s="1">
        <v>1378167</v>
      </c>
      <c r="C1332" s="1">
        <v>1379048</v>
      </c>
      <c r="E1332" s="1" t="s">
        <v>178</v>
      </c>
      <c r="F1332" s="1" t="s">
        <v>1718</v>
      </c>
      <c r="I1332" s="1" t="s">
        <v>19</v>
      </c>
      <c r="L1332" s="1" t="s">
        <v>4061</v>
      </c>
      <c r="M1332" s="1" t="s">
        <v>1718</v>
      </c>
      <c r="N1332" s="1">
        <v>293</v>
      </c>
      <c r="O1332" s="1" t="s">
        <v>4062</v>
      </c>
      <c r="Q1332" s="14"/>
    </row>
    <row r="1333" spans="1:17" x14ac:dyDescent="0.35">
      <c r="A1333" s="1" t="s">
        <v>15</v>
      </c>
      <c r="B1333" s="1">
        <v>1379119</v>
      </c>
      <c r="C1333" s="1">
        <v>1379796</v>
      </c>
      <c r="E1333" s="1" t="s">
        <v>178</v>
      </c>
      <c r="F1333" s="1" t="s">
        <v>50</v>
      </c>
      <c r="I1333" s="1" t="s">
        <v>19</v>
      </c>
      <c r="L1333" s="1" t="s">
        <v>4063</v>
      </c>
      <c r="M1333" s="1" t="s">
        <v>50</v>
      </c>
      <c r="N1333" s="1">
        <v>225</v>
      </c>
      <c r="O1333" s="1" t="s">
        <v>4064</v>
      </c>
    </row>
    <row r="1334" spans="1:17" x14ac:dyDescent="0.35">
      <c r="A1334" s="1" t="s">
        <v>15</v>
      </c>
      <c r="B1334" s="1">
        <v>1379934</v>
      </c>
      <c r="C1334" s="1">
        <v>1380599</v>
      </c>
      <c r="E1334" s="1" t="s">
        <v>178</v>
      </c>
      <c r="F1334" s="1" t="s">
        <v>50</v>
      </c>
      <c r="I1334" s="1" t="s">
        <v>19</v>
      </c>
      <c r="L1334" s="1" t="s">
        <v>4065</v>
      </c>
      <c r="M1334" s="1" t="s">
        <v>50</v>
      </c>
      <c r="N1334" s="1">
        <v>221</v>
      </c>
      <c r="O1334" s="1" t="s">
        <v>4066</v>
      </c>
    </row>
    <row r="1335" spans="1:17" x14ac:dyDescent="0.35">
      <c r="A1335" s="1" t="s">
        <v>15</v>
      </c>
      <c r="B1335" s="1">
        <v>1380612</v>
      </c>
      <c r="C1335" s="1">
        <v>1381106</v>
      </c>
      <c r="E1335" s="1" t="s">
        <v>178</v>
      </c>
      <c r="F1335" s="1" t="s">
        <v>4067</v>
      </c>
      <c r="I1335" s="1" t="s">
        <v>19</v>
      </c>
      <c r="L1335" s="1" t="s">
        <v>4068</v>
      </c>
      <c r="M1335" s="1" t="s">
        <v>4067</v>
      </c>
      <c r="N1335" s="1">
        <v>164</v>
      </c>
      <c r="O1335" s="1" t="s">
        <v>4069</v>
      </c>
    </row>
    <row r="1336" spans="1:17" x14ac:dyDescent="0.35">
      <c r="A1336" s="1" t="s">
        <v>15</v>
      </c>
      <c r="B1336" s="1">
        <v>1381191</v>
      </c>
      <c r="C1336" s="1">
        <v>1383191</v>
      </c>
      <c r="E1336" s="1" t="s">
        <v>178</v>
      </c>
      <c r="F1336" s="1" t="s">
        <v>4070</v>
      </c>
      <c r="I1336" s="1" t="s">
        <v>19</v>
      </c>
      <c r="L1336" s="1" t="s">
        <v>4071</v>
      </c>
      <c r="M1336" s="1" t="s">
        <v>4070</v>
      </c>
      <c r="N1336" s="1">
        <v>666</v>
      </c>
      <c r="O1336" s="1" t="s">
        <v>4072</v>
      </c>
    </row>
    <row r="1337" spans="1:17" x14ac:dyDescent="0.35">
      <c r="A1337" s="1" t="s">
        <v>15</v>
      </c>
      <c r="B1337" s="1">
        <v>1383193</v>
      </c>
      <c r="C1337" s="1">
        <v>1383951</v>
      </c>
      <c r="E1337" s="1" t="s">
        <v>178</v>
      </c>
      <c r="F1337" s="1" t="s">
        <v>712</v>
      </c>
      <c r="I1337" s="1" t="s">
        <v>19</v>
      </c>
      <c r="L1337" s="1" t="s">
        <v>4073</v>
      </c>
      <c r="M1337" s="1" t="s">
        <v>712</v>
      </c>
      <c r="N1337" s="1">
        <v>252</v>
      </c>
      <c r="O1337" s="1" t="s">
        <v>4074</v>
      </c>
      <c r="Q1337" s="14"/>
    </row>
    <row r="1338" spans="1:17" x14ac:dyDescent="0.35">
      <c r="A1338" s="1" t="s">
        <v>15</v>
      </c>
      <c r="B1338" s="1">
        <v>1384096</v>
      </c>
      <c r="C1338" s="1">
        <v>1385070</v>
      </c>
      <c r="E1338" s="1" t="s">
        <v>178</v>
      </c>
      <c r="F1338" s="1" t="s">
        <v>2966</v>
      </c>
      <c r="G1338" s="1" t="s">
        <v>4075</v>
      </c>
      <c r="I1338" s="1" t="s">
        <v>19</v>
      </c>
      <c r="L1338" s="1" t="s">
        <v>4076</v>
      </c>
      <c r="M1338" s="1" t="s">
        <v>2966</v>
      </c>
      <c r="N1338" s="1">
        <v>324</v>
      </c>
      <c r="O1338" s="1" t="s">
        <v>4077</v>
      </c>
      <c r="Q1338" s="14"/>
    </row>
    <row r="1339" spans="1:17" x14ac:dyDescent="0.35">
      <c r="A1339" s="1" t="s">
        <v>15</v>
      </c>
      <c r="B1339" s="1">
        <v>1385060</v>
      </c>
      <c r="C1339" s="1">
        <v>1385740</v>
      </c>
      <c r="E1339" s="1" t="s">
        <v>178</v>
      </c>
      <c r="F1339" s="1" t="s">
        <v>4078</v>
      </c>
      <c r="G1339" s="1" t="s">
        <v>4079</v>
      </c>
      <c r="I1339" s="1" t="s">
        <v>19</v>
      </c>
      <c r="L1339" s="1" t="s">
        <v>4080</v>
      </c>
      <c r="M1339" s="1" t="s">
        <v>4078</v>
      </c>
      <c r="N1339" s="1">
        <v>226</v>
      </c>
      <c r="O1339" s="1" t="s">
        <v>4081</v>
      </c>
    </row>
    <row r="1340" spans="1:17" x14ac:dyDescent="0.35">
      <c r="A1340" s="1" t="s">
        <v>15</v>
      </c>
      <c r="B1340" s="1">
        <v>1386190</v>
      </c>
      <c r="C1340" s="1">
        <v>1386771</v>
      </c>
      <c r="E1340" s="1" t="s">
        <v>16</v>
      </c>
      <c r="F1340" s="1" t="s">
        <v>4082</v>
      </c>
      <c r="G1340" s="1" t="s">
        <v>4083</v>
      </c>
      <c r="I1340" s="1" t="s">
        <v>19</v>
      </c>
      <c r="L1340" s="1" t="s">
        <v>4084</v>
      </c>
      <c r="M1340" s="1" t="s">
        <v>4082</v>
      </c>
      <c r="N1340" s="1">
        <v>193</v>
      </c>
      <c r="O1340" s="1" t="s">
        <v>4085</v>
      </c>
      <c r="Q1340" s="14"/>
    </row>
    <row r="1341" spans="1:17" x14ac:dyDescent="0.35">
      <c r="A1341" s="1" t="s">
        <v>15</v>
      </c>
      <c r="B1341" s="1">
        <v>1386771</v>
      </c>
      <c r="C1341" s="1">
        <v>1388039</v>
      </c>
      <c r="E1341" s="1" t="s">
        <v>16</v>
      </c>
      <c r="F1341" s="1" t="s">
        <v>4086</v>
      </c>
      <c r="G1341" s="1" t="s">
        <v>4087</v>
      </c>
      <c r="I1341" s="1" t="s">
        <v>19</v>
      </c>
      <c r="L1341" s="1" t="s">
        <v>4088</v>
      </c>
      <c r="M1341" s="1" t="s">
        <v>4086</v>
      </c>
      <c r="N1341" s="1">
        <v>422</v>
      </c>
      <c r="O1341" s="1" t="s">
        <v>4089</v>
      </c>
    </row>
    <row r="1342" spans="1:17" x14ac:dyDescent="0.35">
      <c r="A1342" s="1" t="s">
        <v>15</v>
      </c>
      <c r="B1342" s="1">
        <v>1388102</v>
      </c>
      <c r="C1342" s="1">
        <v>1388941</v>
      </c>
      <c r="E1342" s="1" t="s">
        <v>178</v>
      </c>
      <c r="F1342" s="1" t="s">
        <v>3499</v>
      </c>
      <c r="I1342" s="1" t="s">
        <v>19</v>
      </c>
      <c r="L1342" s="1" t="s">
        <v>4090</v>
      </c>
      <c r="M1342" s="1" t="s">
        <v>3499</v>
      </c>
      <c r="N1342" s="1">
        <v>279</v>
      </c>
      <c r="O1342" s="1" t="s">
        <v>4091</v>
      </c>
    </row>
    <row r="1343" spans="1:17" x14ac:dyDescent="0.35">
      <c r="A1343" s="1" t="s">
        <v>15</v>
      </c>
      <c r="B1343" s="1">
        <v>1388917</v>
      </c>
      <c r="C1343" s="1">
        <v>1389105</v>
      </c>
      <c r="E1343" s="1" t="s">
        <v>178</v>
      </c>
      <c r="F1343" s="1" t="s">
        <v>54</v>
      </c>
      <c r="I1343" s="1" t="s">
        <v>19</v>
      </c>
      <c r="L1343" s="1" t="s">
        <v>4092</v>
      </c>
      <c r="M1343" s="1" t="s">
        <v>54</v>
      </c>
      <c r="N1343" s="1">
        <v>62</v>
      </c>
      <c r="O1343" s="1" t="s">
        <v>4093</v>
      </c>
    </row>
    <row r="1344" spans="1:17" x14ac:dyDescent="0.35">
      <c r="A1344" s="1" t="s">
        <v>15</v>
      </c>
      <c r="B1344" s="1">
        <v>1389531</v>
      </c>
      <c r="C1344" s="1">
        <v>1389917</v>
      </c>
      <c r="E1344" s="1" t="s">
        <v>178</v>
      </c>
      <c r="F1344" s="1" t="s">
        <v>54</v>
      </c>
      <c r="I1344" s="1" t="s">
        <v>19</v>
      </c>
      <c r="L1344" s="1" t="s">
        <v>4094</v>
      </c>
      <c r="M1344" s="1" t="s">
        <v>54</v>
      </c>
      <c r="N1344" s="1">
        <v>128</v>
      </c>
      <c r="O1344" s="1" t="s">
        <v>4095</v>
      </c>
    </row>
    <row r="1345" spans="1:17" x14ac:dyDescent="0.35">
      <c r="A1345" s="1" t="s">
        <v>15</v>
      </c>
      <c r="B1345" s="1">
        <v>1390119</v>
      </c>
      <c r="C1345" s="1">
        <v>1391468</v>
      </c>
      <c r="E1345" s="1" t="s">
        <v>16</v>
      </c>
      <c r="F1345" s="1" t="s">
        <v>4096</v>
      </c>
      <c r="I1345" s="1" t="s">
        <v>19</v>
      </c>
      <c r="L1345" s="1" t="s">
        <v>4097</v>
      </c>
      <c r="M1345" s="1" t="s">
        <v>4096</v>
      </c>
      <c r="N1345" s="1">
        <v>449</v>
      </c>
      <c r="O1345" s="1" t="s">
        <v>4098</v>
      </c>
    </row>
    <row r="1346" spans="1:17" x14ac:dyDescent="0.35">
      <c r="A1346" s="1" t="s">
        <v>15</v>
      </c>
      <c r="B1346" s="1">
        <v>1391644</v>
      </c>
      <c r="C1346" s="1">
        <v>1391853</v>
      </c>
      <c r="E1346" s="1" t="s">
        <v>178</v>
      </c>
      <c r="F1346" s="1" t="s">
        <v>54</v>
      </c>
      <c r="I1346" s="1" t="s">
        <v>19</v>
      </c>
      <c r="L1346" s="1" t="s">
        <v>4099</v>
      </c>
      <c r="M1346" s="1" t="s">
        <v>54</v>
      </c>
      <c r="N1346" s="1">
        <v>69</v>
      </c>
      <c r="O1346" s="1" t="s">
        <v>4100</v>
      </c>
    </row>
    <row r="1347" spans="1:17" x14ac:dyDescent="0.35">
      <c r="A1347" s="1" t="s">
        <v>15</v>
      </c>
      <c r="B1347" s="1">
        <v>1392350</v>
      </c>
      <c r="C1347" s="1">
        <v>1393300</v>
      </c>
      <c r="E1347" s="1" t="s">
        <v>178</v>
      </c>
      <c r="F1347" s="1" t="s">
        <v>4101</v>
      </c>
      <c r="G1347" s="1" t="s">
        <v>4102</v>
      </c>
      <c r="I1347" s="1" t="s">
        <v>19</v>
      </c>
      <c r="L1347" s="1" t="s">
        <v>4103</v>
      </c>
      <c r="M1347" s="1" t="s">
        <v>4101</v>
      </c>
      <c r="N1347" s="1">
        <v>316</v>
      </c>
      <c r="O1347" s="1" t="s">
        <v>4104</v>
      </c>
      <c r="Q1347" s="14"/>
    </row>
    <row r="1348" spans="1:17" x14ac:dyDescent="0.35">
      <c r="A1348" s="1" t="s">
        <v>15</v>
      </c>
      <c r="B1348" s="1">
        <v>1393427</v>
      </c>
      <c r="C1348" s="1">
        <v>1394755</v>
      </c>
      <c r="E1348" s="1" t="s">
        <v>178</v>
      </c>
      <c r="F1348" s="1" t="s">
        <v>4105</v>
      </c>
      <c r="G1348" s="1" t="s">
        <v>4106</v>
      </c>
      <c r="I1348" s="1" t="s">
        <v>19</v>
      </c>
      <c r="L1348" s="1" t="s">
        <v>4107</v>
      </c>
      <c r="M1348" s="1" t="s">
        <v>4105</v>
      </c>
      <c r="N1348" s="1">
        <v>442</v>
      </c>
      <c r="O1348" s="1" t="s">
        <v>4108</v>
      </c>
    </row>
    <row r="1349" spans="1:17" x14ac:dyDescent="0.35">
      <c r="A1349" s="1" t="s">
        <v>15</v>
      </c>
      <c r="B1349" s="1">
        <v>1394968</v>
      </c>
      <c r="C1349" s="1">
        <v>1395909</v>
      </c>
      <c r="E1349" s="1" t="s">
        <v>178</v>
      </c>
      <c r="F1349" s="1" t="s">
        <v>4109</v>
      </c>
      <c r="G1349" s="1" t="s">
        <v>4110</v>
      </c>
      <c r="I1349" s="1" t="s">
        <v>19</v>
      </c>
      <c r="L1349" s="1" t="s">
        <v>4111</v>
      </c>
      <c r="M1349" s="1" t="s">
        <v>4109</v>
      </c>
      <c r="N1349" s="1">
        <v>313</v>
      </c>
      <c r="O1349" s="1" t="s">
        <v>4112</v>
      </c>
      <c r="Q1349" s="14"/>
    </row>
    <row r="1350" spans="1:17" x14ac:dyDescent="0.35">
      <c r="A1350" s="1" t="s">
        <v>15</v>
      </c>
      <c r="B1350" s="1">
        <v>1396284</v>
      </c>
      <c r="C1350" s="1">
        <v>1396736</v>
      </c>
      <c r="E1350" s="1" t="s">
        <v>16</v>
      </c>
      <c r="F1350" s="1" t="s">
        <v>54</v>
      </c>
      <c r="I1350" s="1" t="s">
        <v>19</v>
      </c>
      <c r="L1350" s="1" t="s">
        <v>4113</v>
      </c>
      <c r="M1350" s="1" t="s">
        <v>54</v>
      </c>
      <c r="N1350" s="1">
        <v>150</v>
      </c>
      <c r="O1350" s="1" t="s">
        <v>4114</v>
      </c>
    </row>
    <row r="1351" spans="1:17" x14ac:dyDescent="0.35">
      <c r="A1351" s="1" t="s">
        <v>15</v>
      </c>
      <c r="B1351" s="1">
        <v>1396733</v>
      </c>
      <c r="C1351" s="1">
        <v>1397365</v>
      </c>
      <c r="E1351" s="1" t="s">
        <v>16</v>
      </c>
      <c r="F1351" s="1" t="s">
        <v>54</v>
      </c>
      <c r="I1351" s="1" t="s">
        <v>19</v>
      </c>
      <c r="L1351" s="1" t="s">
        <v>4115</v>
      </c>
      <c r="M1351" s="1" t="s">
        <v>54</v>
      </c>
      <c r="N1351" s="1">
        <v>210</v>
      </c>
      <c r="O1351" s="1" t="s">
        <v>4116</v>
      </c>
    </row>
    <row r="1352" spans="1:17" x14ac:dyDescent="0.35">
      <c r="A1352" s="1" t="s">
        <v>15</v>
      </c>
      <c r="B1352" s="1">
        <v>1397432</v>
      </c>
      <c r="C1352" s="1">
        <v>1397629</v>
      </c>
      <c r="E1352" s="1" t="s">
        <v>16</v>
      </c>
      <c r="F1352" s="1" t="s">
        <v>26</v>
      </c>
      <c r="I1352" s="1" t="s">
        <v>19</v>
      </c>
      <c r="L1352" s="1" t="s">
        <v>4117</v>
      </c>
      <c r="M1352" s="1" t="s">
        <v>26</v>
      </c>
      <c r="N1352" s="1">
        <v>65</v>
      </c>
      <c r="O1352" s="1" t="s">
        <v>4118</v>
      </c>
    </row>
    <row r="1353" spans="1:17" x14ac:dyDescent="0.35">
      <c r="A1353" s="1" t="s">
        <v>15</v>
      </c>
      <c r="B1353" s="1">
        <v>1397701</v>
      </c>
      <c r="C1353" s="1">
        <v>1400247</v>
      </c>
      <c r="E1353" s="1" t="s">
        <v>178</v>
      </c>
      <c r="F1353" s="1" t="s">
        <v>54</v>
      </c>
      <c r="I1353" s="1" t="s">
        <v>19</v>
      </c>
      <c r="L1353" s="1" t="s">
        <v>4119</v>
      </c>
      <c r="M1353" s="1" t="s">
        <v>54</v>
      </c>
      <c r="N1353" s="1">
        <v>848</v>
      </c>
      <c r="O1353" s="1" t="s">
        <v>4120</v>
      </c>
    </row>
    <row r="1354" spans="1:17" x14ac:dyDescent="0.35">
      <c r="A1354" s="1" t="s">
        <v>15</v>
      </c>
      <c r="B1354" s="1">
        <v>1400369</v>
      </c>
      <c r="C1354" s="1">
        <v>1400731</v>
      </c>
      <c r="E1354" s="1" t="s">
        <v>178</v>
      </c>
      <c r="F1354" s="1" t="s">
        <v>54</v>
      </c>
      <c r="I1354" s="1" t="s">
        <v>19</v>
      </c>
      <c r="L1354" s="1" t="s">
        <v>4121</v>
      </c>
      <c r="M1354" s="1" t="s">
        <v>54</v>
      </c>
      <c r="N1354" s="1">
        <v>120</v>
      </c>
      <c r="O1354" s="1" t="s">
        <v>4122</v>
      </c>
    </row>
    <row r="1355" spans="1:17" x14ac:dyDescent="0.35">
      <c r="A1355" s="1" t="s">
        <v>15</v>
      </c>
      <c r="B1355" s="1">
        <v>1400886</v>
      </c>
      <c r="C1355" s="1">
        <v>1402271</v>
      </c>
      <c r="E1355" s="1" t="s">
        <v>178</v>
      </c>
      <c r="F1355" s="1" t="s">
        <v>4123</v>
      </c>
      <c r="I1355" s="1" t="s">
        <v>19</v>
      </c>
      <c r="L1355" s="1" t="s">
        <v>4124</v>
      </c>
      <c r="M1355" s="1" t="s">
        <v>4123</v>
      </c>
      <c r="N1355" s="1">
        <v>461</v>
      </c>
      <c r="O1355" s="1" t="s">
        <v>4125</v>
      </c>
    </row>
    <row r="1356" spans="1:17" x14ac:dyDescent="0.35">
      <c r="A1356" s="1" t="s">
        <v>15</v>
      </c>
      <c r="B1356" s="1">
        <v>1402597</v>
      </c>
      <c r="C1356" s="1">
        <v>1405740</v>
      </c>
      <c r="E1356" s="1" t="s">
        <v>16</v>
      </c>
      <c r="F1356" s="1" t="s">
        <v>54</v>
      </c>
      <c r="I1356" s="1" t="s">
        <v>19</v>
      </c>
      <c r="L1356" s="1" t="s">
        <v>4126</v>
      </c>
      <c r="M1356" s="1" t="s">
        <v>54</v>
      </c>
      <c r="N1356" s="1">
        <v>1047</v>
      </c>
      <c r="O1356" s="1" t="s">
        <v>4127</v>
      </c>
    </row>
    <row r="1357" spans="1:17" x14ac:dyDescent="0.35">
      <c r="A1357" s="1" t="s">
        <v>15</v>
      </c>
      <c r="B1357" s="1">
        <v>1405879</v>
      </c>
      <c r="C1357" s="1">
        <v>1406361</v>
      </c>
      <c r="E1357" s="1" t="s">
        <v>16</v>
      </c>
      <c r="F1357" s="1" t="s">
        <v>4128</v>
      </c>
      <c r="G1357" s="1" t="s">
        <v>4129</v>
      </c>
      <c r="I1357" s="1" t="s">
        <v>19</v>
      </c>
      <c r="L1357" s="1" t="s">
        <v>4130</v>
      </c>
      <c r="M1357" s="1" t="s">
        <v>4128</v>
      </c>
      <c r="N1357" s="1">
        <v>160</v>
      </c>
      <c r="O1357" s="1" t="s">
        <v>4131</v>
      </c>
      <c r="Q1357" s="14"/>
    </row>
    <row r="1358" spans="1:17" x14ac:dyDescent="0.35">
      <c r="A1358" s="1" t="s">
        <v>15</v>
      </c>
      <c r="B1358" s="1">
        <v>1406469</v>
      </c>
      <c r="C1358" s="1">
        <v>1406729</v>
      </c>
      <c r="E1358" s="1" t="s">
        <v>178</v>
      </c>
      <c r="F1358" s="1" t="s">
        <v>54</v>
      </c>
      <c r="I1358" s="1" t="s">
        <v>19</v>
      </c>
      <c r="L1358" s="1" t="s">
        <v>4132</v>
      </c>
      <c r="M1358" s="1" t="s">
        <v>54</v>
      </c>
      <c r="N1358" s="1">
        <v>86</v>
      </c>
      <c r="O1358" s="1" t="s">
        <v>4133</v>
      </c>
    </row>
    <row r="1359" spans="1:17" x14ac:dyDescent="0.35">
      <c r="A1359" s="1" t="s">
        <v>15</v>
      </c>
      <c r="B1359" s="1">
        <v>1407024</v>
      </c>
      <c r="C1359" s="1">
        <v>1408169</v>
      </c>
      <c r="E1359" s="1" t="s">
        <v>178</v>
      </c>
      <c r="F1359" s="1" t="s">
        <v>3481</v>
      </c>
      <c r="I1359" s="1" t="s">
        <v>19</v>
      </c>
      <c r="L1359" s="1" t="s">
        <v>4134</v>
      </c>
      <c r="M1359" s="1" t="s">
        <v>3481</v>
      </c>
      <c r="N1359" s="1">
        <v>381</v>
      </c>
      <c r="O1359" s="1" t="s">
        <v>4135</v>
      </c>
    </row>
    <row r="1360" spans="1:17" x14ac:dyDescent="0.35">
      <c r="A1360" s="1" t="s">
        <v>15</v>
      </c>
      <c r="B1360" s="1">
        <v>1408173</v>
      </c>
      <c r="C1360" s="1">
        <v>1408853</v>
      </c>
      <c r="E1360" s="1" t="s">
        <v>178</v>
      </c>
      <c r="F1360" s="1" t="s">
        <v>712</v>
      </c>
      <c r="I1360" s="1" t="s">
        <v>19</v>
      </c>
      <c r="L1360" s="1" t="s">
        <v>4136</v>
      </c>
      <c r="M1360" s="1" t="s">
        <v>712</v>
      </c>
      <c r="N1360" s="1">
        <v>226</v>
      </c>
      <c r="O1360" s="1" t="s">
        <v>4137</v>
      </c>
    </row>
    <row r="1361" spans="1:17" x14ac:dyDescent="0.35">
      <c r="A1361" s="1" t="s">
        <v>15</v>
      </c>
      <c r="B1361" s="1">
        <v>1408850</v>
      </c>
      <c r="C1361" s="1">
        <v>1409425</v>
      </c>
      <c r="E1361" s="1" t="s">
        <v>178</v>
      </c>
      <c r="F1361" s="1" t="s">
        <v>54</v>
      </c>
      <c r="I1361" s="1" t="s">
        <v>19</v>
      </c>
      <c r="L1361" s="1" t="s">
        <v>4138</v>
      </c>
      <c r="M1361" s="1" t="s">
        <v>54</v>
      </c>
      <c r="N1361" s="1">
        <v>191</v>
      </c>
      <c r="O1361" s="1" t="s">
        <v>4139</v>
      </c>
    </row>
    <row r="1362" spans="1:17" x14ac:dyDescent="0.35">
      <c r="A1362" s="1" t="s">
        <v>15</v>
      </c>
      <c r="B1362" s="1">
        <v>1409574</v>
      </c>
      <c r="C1362" s="1">
        <v>1410497</v>
      </c>
      <c r="E1362" s="1" t="s">
        <v>178</v>
      </c>
      <c r="F1362" s="1" t="s">
        <v>4140</v>
      </c>
      <c r="G1362" s="1" t="s">
        <v>4141</v>
      </c>
      <c r="I1362" s="1" t="s">
        <v>19</v>
      </c>
      <c r="L1362" s="1" t="s">
        <v>4142</v>
      </c>
      <c r="M1362" s="1" t="s">
        <v>4140</v>
      </c>
      <c r="N1362" s="1">
        <v>307</v>
      </c>
      <c r="O1362" s="1" t="s">
        <v>4143</v>
      </c>
      <c r="Q1362" s="14"/>
    </row>
    <row r="1363" spans="1:17" x14ac:dyDescent="0.35">
      <c r="A1363" s="1" t="s">
        <v>15</v>
      </c>
      <c r="B1363" s="1">
        <v>1410762</v>
      </c>
      <c r="C1363" s="1">
        <v>1411565</v>
      </c>
      <c r="E1363" s="1" t="s">
        <v>178</v>
      </c>
      <c r="F1363" s="1" t="s">
        <v>54</v>
      </c>
      <c r="I1363" s="1" t="s">
        <v>19</v>
      </c>
      <c r="L1363" s="1" t="s">
        <v>4144</v>
      </c>
      <c r="M1363" s="1" t="s">
        <v>54</v>
      </c>
      <c r="N1363" s="1">
        <v>267</v>
      </c>
      <c r="O1363" s="1" t="s">
        <v>4145</v>
      </c>
    </row>
    <row r="1364" spans="1:17" x14ac:dyDescent="0.35">
      <c r="A1364" s="1" t="s">
        <v>15</v>
      </c>
      <c r="B1364" s="1">
        <v>1411562</v>
      </c>
      <c r="C1364" s="1">
        <v>1411798</v>
      </c>
      <c r="E1364" s="1" t="s">
        <v>178</v>
      </c>
      <c r="F1364" s="1" t="s">
        <v>1669</v>
      </c>
      <c r="I1364" s="1" t="s">
        <v>19</v>
      </c>
      <c r="L1364" s="1" t="s">
        <v>4146</v>
      </c>
      <c r="M1364" s="1" t="s">
        <v>1669</v>
      </c>
      <c r="N1364" s="1">
        <v>78</v>
      </c>
      <c r="O1364" s="1" t="s">
        <v>4147</v>
      </c>
    </row>
    <row r="1365" spans="1:17" x14ac:dyDescent="0.35">
      <c r="A1365" s="1" t="s">
        <v>15</v>
      </c>
      <c r="B1365" s="1">
        <v>1411785</v>
      </c>
      <c r="C1365" s="1">
        <v>1411961</v>
      </c>
      <c r="E1365" s="1" t="s">
        <v>178</v>
      </c>
      <c r="F1365" s="1" t="s">
        <v>54</v>
      </c>
      <c r="I1365" s="1" t="s">
        <v>19</v>
      </c>
      <c r="L1365" s="1" t="s">
        <v>4148</v>
      </c>
      <c r="M1365" s="1" t="s">
        <v>54</v>
      </c>
      <c r="N1365" s="1">
        <v>58</v>
      </c>
      <c r="O1365" s="1" t="s">
        <v>4149</v>
      </c>
    </row>
    <row r="1366" spans="1:17" x14ac:dyDescent="0.35">
      <c r="A1366" s="1" t="s">
        <v>15</v>
      </c>
      <c r="B1366" s="1">
        <v>1412579</v>
      </c>
      <c r="C1366" s="1">
        <v>1413181</v>
      </c>
      <c r="E1366" s="1" t="s">
        <v>178</v>
      </c>
      <c r="F1366" s="1" t="s">
        <v>54</v>
      </c>
      <c r="I1366" s="1" t="s">
        <v>19</v>
      </c>
      <c r="L1366" s="1" t="s">
        <v>4150</v>
      </c>
      <c r="M1366" s="1" t="s">
        <v>54</v>
      </c>
      <c r="N1366" s="1">
        <v>200</v>
      </c>
      <c r="O1366" s="1" t="s">
        <v>4151</v>
      </c>
    </row>
    <row r="1367" spans="1:17" x14ac:dyDescent="0.35">
      <c r="A1367" s="1" t="s">
        <v>15</v>
      </c>
      <c r="B1367" s="1">
        <v>1413301</v>
      </c>
      <c r="C1367" s="1">
        <v>1414161</v>
      </c>
      <c r="E1367" s="1" t="s">
        <v>178</v>
      </c>
      <c r="F1367" s="1" t="s">
        <v>4152</v>
      </c>
      <c r="I1367" s="1" t="s">
        <v>19</v>
      </c>
      <c r="L1367" s="1" t="s">
        <v>4153</v>
      </c>
      <c r="M1367" s="1" t="s">
        <v>4152</v>
      </c>
      <c r="N1367" s="1">
        <v>286</v>
      </c>
      <c r="O1367" s="1" t="s">
        <v>4154</v>
      </c>
    </row>
    <row r="1368" spans="1:17" x14ac:dyDescent="0.35">
      <c r="A1368" s="1" t="s">
        <v>15</v>
      </c>
      <c r="B1368" s="1">
        <v>1414295</v>
      </c>
      <c r="C1368" s="1">
        <v>1414744</v>
      </c>
      <c r="E1368" s="1" t="s">
        <v>178</v>
      </c>
      <c r="F1368" s="1" t="s">
        <v>4155</v>
      </c>
      <c r="I1368" s="1" t="s">
        <v>19</v>
      </c>
      <c r="L1368" s="1" t="s">
        <v>4156</v>
      </c>
      <c r="M1368" s="1" t="s">
        <v>4155</v>
      </c>
      <c r="N1368" s="1">
        <v>149</v>
      </c>
      <c r="O1368" s="1" t="s">
        <v>4157</v>
      </c>
    </row>
    <row r="1369" spans="1:17" x14ac:dyDescent="0.35">
      <c r="A1369" s="1" t="s">
        <v>15</v>
      </c>
      <c r="B1369" s="1">
        <v>1414929</v>
      </c>
      <c r="C1369" s="1">
        <v>1415792</v>
      </c>
      <c r="E1369" s="1" t="s">
        <v>178</v>
      </c>
      <c r="F1369" s="1" t="s">
        <v>4158</v>
      </c>
      <c r="I1369" s="1" t="s">
        <v>19</v>
      </c>
      <c r="L1369" s="1" t="s">
        <v>4159</v>
      </c>
      <c r="M1369" s="1" t="s">
        <v>4158</v>
      </c>
      <c r="N1369" s="1">
        <v>287</v>
      </c>
      <c r="O1369" s="1" t="s">
        <v>4160</v>
      </c>
    </row>
    <row r="1370" spans="1:17" x14ac:dyDescent="0.35">
      <c r="A1370" s="1" t="s">
        <v>15</v>
      </c>
      <c r="B1370" s="1">
        <v>1415779</v>
      </c>
      <c r="C1370" s="1">
        <v>1417071</v>
      </c>
      <c r="E1370" s="1" t="s">
        <v>178</v>
      </c>
      <c r="F1370" s="1" t="s">
        <v>4161</v>
      </c>
      <c r="G1370" s="1" t="s">
        <v>4162</v>
      </c>
      <c r="I1370" s="1" t="s">
        <v>19</v>
      </c>
      <c r="L1370" s="1" t="s">
        <v>4163</v>
      </c>
      <c r="M1370" s="1" t="s">
        <v>4161</v>
      </c>
      <c r="N1370" s="1">
        <v>430</v>
      </c>
      <c r="O1370" s="1" t="s">
        <v>4164</v>
      </c>
      <c r="Q1370" s="14"/>
    </row>
    <row r="1371" spans="1:17" x14ac:dyDescent="0.35">
      <c r="A1371" s="1" t="s">
        <v>15</v>
      </c>
      <c r="B1371" s="1">
        <v>1417321</v>
      </c>
      <c r="C1371" s="1">
        <v>1418241</v>
      </c>
      <c r="E1371" s="1" t="s">
        <v>16</v>
      </c>
      <c r="F1371" s="1" t="s">
        <v>4165</v>
      </c>
      <c r="G1371" s="1" t="s">
        <v>4166</v>
      </c>
      <c r="I1371" s="1" t="s">
        <v>19</v>
      </c>
      <c r="L1371" s="1" t="s">
        <v>4167</v>
      </c>
      <c r="M1371" s="1" t="s">
        <v>4165</v>
      </c>
      <c r="N1371" s="1">
        <v>306</v>
      </c>
      <c r="O1371" s="1" t="s">
        <v>4168</v>
      </c>
    </row>
    <row r="1372" spans="1:17" x14ac:dyDescent="0.35">
      <c r="A1372" s="1" t="s">
        <v>15</v>
      </c>
      <c r="B1372" s="1">
        <v>1418246</v>
      </c>
      <c r="C1372" s="1">
        <v>1419001</v>
      </c>
      <c r="E1372" s="1" t="s">
        <v>16</v>
      </c>
      <c r="F1372" s="1" t="s">
        <v>54</v>
      </c>
      <c r="I1372" s="1" t="s">
        <v>19</v>
      </c>
      <c r="L1372" s="1" t="s">
        <v>4169</v>
      </c>
      <c r="M1372" s="1" t="s">
        <v>54</v>
      </c>
      <c r="N1372" s="1">
        <v>251</v>
      </c>
      <c r="O1372" s="1" t="s">
        <v>4170</v>
      </c>
    </row>
    <row r="1373" spans="1:17" x14ac:dyDescent="0.35">
      <c r="A1373" s="1" t="s">
        <v>15</v>
      </c>
      <c r="B1373" s="1">
        <v>1419404</v>
      </c>
      <c r="C1373" s="1">
        <v>1420090</v>
      </c>
      <c r="E1373" s="1" t="s">
        <v>16</v>
      </c>
      <c r="F1373" s="1" t="s">
        <v>54</v>
      </c>
      <c r="I1373" s="1" t="s">
        <v>19</v>
      </c>
      <c r="L1373" s="1" t="s">
        <v>4171</v>
      </c>
      <c r="M1373" s="1" t="s">
        <v>54</v>
      </c>
      <c r="N1373" s="1">
        <v>228</v>
      </c>
      <c r="O1373" s="1" t="s">
        <v>4172</v>
      </c>
    </row>
    <row r="1374" spans="1:17" x14ac:dyDescent="0.35">
      <c r="A1374" s="1" t="s">
        <v>15</v>
      </c>
      <c r="B1374" s="1">
        <v>1420351</v>
      </c>
      <c r="C1374" s="1">
        <v>1423596</v>
      </c>
      <c r="E1374" s="1" t="s">
        <v>178</v>
      </c>
      <c r="F1374" s="1" t="s">
        <v>4173</v>
      </c>
      <c r="I1374" s="1" t="s">
        <v>19</v>
      </c>
      <c r="L1374" s="1" t="s">
        <v>4174</v>
      </c>
      <c r="M1374" s="1" t="s">
        <v>4173</v>
      </c>
      <c r="N1374" s="1">
        <v>1081</v>
      </c>
      <c r="O1374" s="1" t="s">
        <v>4175</v>
      </c>
    </row>
    <row r="1375" spans="1:17" x14ac:dyDescent="0.35">
      <c r="A1375" s="1" t="s">
        <v>15</v>
      </c>
      <c r="B1375" s="1">
        <v>1423875</v>
      </c>
      <c r="C1375" s="1">
        <v>1424792</v>
      </c>
      <c r="E1375" s="1" t="s">
        <v>178</v>
      </c>
      <c r="F1375" s="1" t="s">
        <v>54</v>
      </c>
      <c r="I1375" s="1" t="s">
        <v>19</v>
      </c>
      <c r="L1375" s="1" t="s">
        <v>4176</v>
      </c>
      <c r="M1375" s="1" t="s">
        <v>54</v>
      </c>
      <c r="N1375" s="1">
        <v>305</v>
      </c>
      <c r="O1375" s="1" t="s">
        <v>4177</v>
      </c>
    </row>
    <row r="1376" spans="1:17" x14ac:dyDescent="0.35">
      <c r="A1376" s="1" t="s">
        <v>15</v>
      </c>
      <c r="B1376" s="1">
        <v>1425205</v>
      </c>
      <c r="C1376" s="1">
        <v>1425975</v>
      </c>
      <c r="E1376" s="1" t="s">
        <v>178</v>
      </c>
      <c r="F1376" s="1" t="s">
        <v>54</v>
      </c>
      <c r="I1376" s="1" t="s">
        <v>19</v>
      </c>
      <c r="L1376" s="1" t="s">
        <v>4178</v>
      </c>
      <c r="M1376" s="1" t="s">
        <v>54</v>
      </c>
      <c r="N1376" s="1">
        <v>256</v>
      </c>
      <c r="O1376" s="1" t="s">
        <v>4179</v>
      </c>
    </row>
    <row r="1377" spans="1:17" x14ac:dyDescent="0.35">
      <c r="A1377" s="1" t="s">
        <v>15</v>
      </c>
      <c r="B1377" s="1">
        <v>1426072</v>
      </c>
      <c r="C1377" s="1">
        <v>1426947</v>
      </c>
      <c r="E1377" s="1" t="s">
        <v>178</v>
      </c>
      <c r="F1377" s="1" t="s">
        <v>2966</v>
      </c>
      <c r="I1377" s="1" t="s">
        <v>19</v>
      </c>
      <c r="L1377" s="1" t="s">
        <v>4180</v>
      </c>
      <c r="M1377" s="1" t="s">
        <v>2966</v>
      </c>
      <c r="N1377" s="1">
        <v>291</v>
      </c>
      <c r="O1377" s="1" t="s">
        <v>4181</v>
      </c>
      <c r="Q1377" s="14"/>
    </row>
    <row r="1378" spans="1:17" x14ac:dyDescent="0.35">
      <c r="A1378" s="1" t="s">
        <v>15</v>
      </c>
      <c r="B1378" s="1">
        <v>1426947</v>
      </c>
      <c r="C1378" s="1">
        <v>1427630</v>
      </c>
      <c r="E1378" s="1" t="s">
        <v>178</v>
      </c>
      <c r="F1378" s="1" t="s">
        <v>3466</v>
      </c>
      <c r="G1378" s="1" t="s">
        <v>4182</v>
      </c>
      <c r="I1378" s="1" t="s">
        <v>19</v>
      </c>
      <c r="L1378" s="1" t="s">
        <v>4183</v>
      </c>
      <c r="M1378" s="1" t="s">
        <v>3466</v>
      </c>
      <c r="N1378" s="1">
        <v>227</v>
      </c>
      <c r="O1378" s="1" t="s">
        <v>4184</v>
      </c>
    </row>
    <row r="1379" spans="1:17" x14ac:dyDescent="0.35">
      <c r="A1379" s="1" t="s">
        <v>15</v>
      </c>
      <c r="B1379" s="1">
        <v>1427798</v>
      </c>
      <c r="C1379" s="1">
        <v>1428430</v>
      </c>
      <c r="E1379" s="1" t="s">
        <v>178</v>
      </c>
      <c r="F1379" s="1" t="s">
        <v>4185</v>
      </c>
      <c r="G1379" s="1" t="s">
        <v>4186</v>
      </c>
      <c r="I1379" s="1" t="s">
        <v>19</v>
      </c>
      <c r="L1379" s="1" t="s">
        <v>4187</v>
      </c>
      <c r="M1379" s="1" t="s">
        <v>4185</v>
      </c>
      <c r="N1379" s="1">
        <v>210</v>
      </c>
      <c r="O1379" s="1" t="s">
        <v>4188</v>
      </c>
      <c r="Q1379" s="14"/>
    </row>
    <row r="1380" spans="1:17" x14ac:dyDescent="0.35">
      <c r="A1380" s="1" t="s">
        <v>15</v>
      </c>
      <c r="B1380" s="1">
        <v>1428521</v>
      </c>
      <c r="C1380" s="1">
        <v>1429207</v>
      </c>
      <c r="E1380" s="1" t="s">
        <v>178</v>
      </c>
      <c r="F1380" s="1" t="s">
        <v>213</v>
      </c>
      <c r="I1380" s="1" t="s">
        <v>19</v>
      </c>
      <c r="L1380" s="1" t="s">
        <v>4189</v>
      </c>
      <c r="M1380" s="1" t="s">
        <v>213</v>
      </c>
      <c r="N1380" s="1">
        <v>228</v>
      </c>
      <c r="O1380" s="1" t="s">
        <v>4190</v>
      </c>
    </row>
    <row r="1381" spans="1:17" x14ac:dyDescent="0.35">
      <c r="A1381" s="1" t="s">
        <v>15</v>
      </c>
      <c r="B1381" s="1">
        <v>1429352</v>
      </c>
      <c r="C1381" s="1">
        <v>1429606</v>
      </c>
      <c r="E1381" s="1" t="s">
        <v>178</v>
      </c>
      <c r="F1381" s="1" t="s">
        <v>4191</v>
      </c>
      <c r="I1381" s="1" t="s">
        <v>19</v>
      </c>
      <c r="L1381" s="1" t="s">
        <v>4192</v>
      </c>
      <c r="M1381" s="1" t="s">
        <v>4191</v>
      </c>
      <c r="N1381" s="1">
        <v>84</v>
      </c>
      <c r="O1381" s="1" t="s">
        <v>4193</v>
      </c>
    </row>
    <row r="1382" spans="1:17" x14ac:dyDescent="0.35">
      <c r="A1382" s="1" t="s">
        <v>15</v>
      </c>
      <c r="B1382" s="1">
        <v>1429596</v>
      </c>
      <c r="C1382" s="1">
        <v>1429811</v>
      </c>
      <c r="E1382" s="1" t="s">
        <v>178</v>
      </c>
      <c r="F1382" s="1" t="s">
        <v>4194</v>
      </c>
      <c r="I1382" s="1" t="s">
        <v>19</v>
      </c>
      <c r="L1382" s="1" t="s">
        <v>4195</v>
      </c>
      <c r="M1382" s="1" t="s">
        <v>4194</v>
      </c>
      <c r="N1382" s="1">
        <v>71</v>
      </c>
      <c r="O1382" s="1" t="s">
        <v>4196</v>
      </c>
    </row>
    <row r="1383" spans="1:17" x14ac:dyDescent="0.35">
      <c r="A1383" s="1" t="s">
        <v>15</v>
      </c>
      <c r="B1383" s="1">
        <v>1429944</v>
      </c>
      <c r="C1383" s="1">
        <v>1430786</v>
      </c>
      <c r="E1383" s="1" t="s">
        <v>178</v>
      </c>
      <c r="F1383" s="1" t="s">
        <v>1298</v>
      </c>
      <c r="I1383" s="1" t="s">
        <v>19</v>
      </c>
      <c r="L1383" s="1" t="s">
        <v>4197</v>
      </c>
      <c r="M1383" s="1" t="s">
        <v>1298</v>
      </c>
      <c r="N1383" s="1">
        <v>280</v>
      </c>
      <c r="O1383" s="1" t="s">
        <v>4198</v>
      </c>
      <c r="Q1383" s="14"/>
    </row>
    <row r="1384" spans="1:17" x14ac:dyDescent="0.35">
      <c r="A1384" s="1" t="s">
        <v>15</v>
      </c>
      <c r="B1384" s="1">
        <v>1431040</v>
      </c>
      <c r="C1384" s="1">
        <v>1431552</v>
      </c>
      <c r="E1384" s="1" t="s">
        <v>178</v>
      </c>
      <c r="F1384" s="1" t="s">
        <v>54</v>
      </c>
      <c r="I1384" s="1" t="s">
        <v>19</v>
      </c>
      <c r="L1384" s="1" t="s">
        <v>4199</v>
      </c>
      <c r="M1384" s="1" t="s">
        <v>54</v>
      </c>
      <c r="N1384" s="1">
        <v>170</v>
      </c>
      <c r="O1384" s="1" t="s">
        <v>4200</v>
      </c>
    </row>
    <row r="1385" spans="1:17" x14ac:dyDescent="0.35">
      <c r="A1385" s="1" t="s">
        <v>15</v>
      </c>
      <c r="B1385" s="1">
        <v>1431800</v>
      </c>
      <c r="C1385" s="1">
        <v>1434817</v>
      </c>
      <c r="E1385" s="1" t="s">
        <v>178</v>
      </c>
      <c r="F1385" s="1" t="s">
        <v>4201</v>
      </c>
      <c r="G1385" s="1" t="s">
        <v>4202</v>
      </c>
      <c r="I1385" s="1" t="s">
        <v>19</v>
      </c>
      <c r="L1385" s="1" t="s">
        <v>4203</v>
      </c>
      <c r="M1385" s="1" t="s">
        <v>4201</v>
      </c>
      <c r="N1385" s="1">
        <v>1005</v>
      </c>
      <c r="O1385" s="1" t="s">
        <v>4204</v>
      </c>
      <c r="Q1385" s="14"/>
    </row>
    <row r="1386" spans="1:17" x14ac:dyDescent="0.35">
      <c r="A1386" s="1" t="s">
        <v>15</v>
      </c>
      <c r="B1386" s="1">
        <v>1434821</v>
      </c>
      <c r="C1386" s="1">
        <v>1436725</v>
      </c>
      <c r="E1386" s="1" t="s">
        <v>178</v>
      </c>
      <c r="F1386" s="1" t="s">
        <v>4205</v>
      </c>
      <c r="G1386" s="1" t="s">
        <v>4206</v>
      </c>
      <c r="I1386" s="1" t="s">
        <v>19</v>
      </c>
      <c r="L1386" s="1" t="s">
        <v>4207</v>
      </c>
      <c r="M1386" s="1" t="s">
        <v>4205</v>
      </c>
      <c r="N1386" s="1">
        <v>634</v>
      </c>
      <c r="O1386" s="1" t="s">
        <v>4208</v>
      </c>
      <c r="Q1386" s="14"/>
    </row>
    <row r="1387" spans="1:17" x14ac:dyDescent="0.35">
      <c r="A1387" s="1" t="s">
        <v>15</v>
      </c>
      <c r="B1387" s="1">
        <v>1436837</v>
      </c>
      <c r="C1387" s="1">
        <v>1437883</v>
      </c>
      <c r="E1387" s="1" t="s">
        <v>178</v>
      </c>
      <c r="F1387" s="1" t="s">
        <v>4209</v>
      </c>
      <c r="G1387" s="1" t="s">
        <v>4210</v>
      </c>
      <c r="I1387" s="1" t="s">
        <v>19</v>
      </c>
      <c r="L1387" s="1" t="s">
        <v>4211</v>
      </c>
      <c r="M1387" s="1" t="s">
        <v>4209</v>
      </c>
      <c r="N1387" s="1">
        <v>348</v>
      </c>
      <c r="O1387" s="1" t="s">
        <v>4212</v>
      </c>
      <c r="Q1387" s="14"/>
    </row>
    <row r="1388" spans="1:17" x14ac:dyDescent="0.35">
      <c r="A1388" s="1" t="s">
        <v>15</v>
      </c>
      <c r="B1388" s="1">
        <v>1437959</v>
      </c>
      <c r="C1388" s="1">
        <v>1438960</v>
      </c>
      <c r="E1388" s="1" t="s">
        <v>178</v>
      </c>
      <c r="F1388" s="1" t="s">
        <v>2928</v>
      </c>
      <c r="I1388" s="1" t="s">
        <v>19</v>
      </c>
      <c r="L1388" s="1" t="s">
        <v>4213</v>
      </c>
      <c r="M1388" s="1" t="s">
        <v>2928</v>
      </c>
      <c r="N1388" s="1">
        <v>333</v>
      </c>
      <c r="O1388" s="1" t="s">
        <v>4214</v>
      </c>
      <c r="Q1388" s="14"/>
    </row>
    <row r="1389" spans="1:17" x14ac:dyDescent="0.35">
      <c r="A1389" s="1" t="s">
        <v>15</v>
      </c>
      <c r="B1389" s="1">
        <v>1438990</v>
      </c>
      <c r="C1389" s="1">
        <v>1440498</v>
      </c>
      <c r="E1389" s="1" t="s">
        <v>178</v>
      </c>
      <c r="F1389" s="1" t="s">
        <v>4215</v>
      </c>
      <c r="G1389" s="1" t="s">
        <v>4216</v>
      </c>
      <c r="I1389" s="1" t="s">
        <v>19</v>
      </c>
      <c r="L1389" s="1" t="s">
        <v>4217</v>
      </c>
      <c r="M1389" s="1" t="s">
        <v>4215</v>
      </c>
      <c r="N1389" s="1">
        <v>502</v>
      </c>
      <c r="O1389" s="1" t="s">
        <v>4218</v>
      </c>
      <c r="Q1389" s="14"/>
    </row>
    <row r="1390" spans="1:17" x14ac:dyDescent="0.35">
      <c r="A1390" s="1" t="s">
        <v>15</v>
      </c>
      <c r="B1390" s="1">
        <v>1440491</v>
      </c>
      <c r="C1390" s="1">
        <v>1441657</v>
      </c>
      <c r="E1390" s="1" t="s">
        <v>178</v>
      </c>
      <c r="F1390" s="1" t="s">
        <v>4219</v>
      </c>
      <c r="G1390" s="1" t="s">
        <v>4220</v>
      </c>
      <c r="I1390" s="1" t="s">
        <v>19</v>
      </c>
      <c r="L1390" s="1" t="s">
        <v>4221</v>
      </c>
      <c r="M1390" s="1" t="s">
        <v>4219</v>
      </c>
      <c r="N1390" s="1">
        <v>388</v>
      </c>
      <c r="O1390" s="1" t="s">
        <v>4222</v>
      </c>
      <c r="Q1390" s="14"/>
    </row>
    <row r="1391" spans="1:17" x14ac:dyDescent="0.35">
      <c r="A1391" s="1" t="s">
        <v>15</v>
      </c>
      <c r="B1391" s="1">
        <v>1441798</v>
      </c>
      <c r="C1391" s="1">
        <v>1442793</v>
      </c>
      <c r="E1391" s="1" t="s">
        <v>16</v>
      </c>
      <c r="F1391" s="1" t="s">
        <v>4223</v>
      </c>
      <c r="G1391" s="1" t="s">
        <v>4224</v>
      </c>
      <c r="I1391" s="1" t="s">
        <v>19</v>
      </c>
      <c r="L1391" s="1" t="s">
        <v>4225</v>
      </c>
      <c r="M1391" s="1" t="s">
        <v>4223</v>
      </c>
      <c r="N1391" s="1">
        <v>331</v>
      </c>
      <c r="O1391" s="1" t="s">
        <v>4226</v>
      </c>
    </row>
    <row r="1392" spans="1:17" x14ac:dyDescent="0.35">
      <c r="A1392" s="1" t="s">
        <v>15</v>
      </c>
      <c r="B1392" s="1">
        <v>1442852</v>
      </c>
      <c r="C1392" s="1">
        <v>1444462</v>
      </c>
      <c r="E1392" s="1" t="s">
        <v>178</v>
      </c>
      <c r="F1392" s="1" t="s">
        <v>4227</v>
      </c>
      <c r="G1392" s="1" t="s">
        <v>4228</v>
      </c>
      <c r="I1392" s="1" t="s">
        <v>19</v>
      </c>
      <c r="L1392" s="1" t="s">
        <v>4229</v>
      </c>
      <c r="M1392" s="1" t="s">
        <v>4227</v>
      </c>
      <c r="N1392" s="1">
        <v>536</v>
      </c>
      <c r="O1392" s="1" t="s">
        <v>4230</v>
      </c>
      <c r="Q1392" s="14"/>
    </row>
    <row r="1393" spans="1:17" x14ac:dyDescent="0.35">
      <c r="A1393" s="1" t="s">
        <v>15</v>
      </c>
      <c r="B1393" s="1">
        <v>1444694</v>
      </c>
      <c r="C1393" s="1">
        <v>1445998</v>
      </c>
      <c r="E1393" s="1" t="s">
        <v>178</v>
      </c>
      <c r="F1393" s="1" t="s">
        <v>4231</v>
      </c>
      <c r="G1393" s="1" t="s">
        <v>4232</v>
      </c>
      <c r="I1393" s="1" t="s">
        <v>19</v>
      </c>
      <c r="L1393" s="1" t="s">
        <v>4233</v>
      </c>
      <c r="M1393" s="1" t="s">
        <v>4231</v>
      </c>
      <c r="N1393" s="1">
        <v>434</v>
      </c>
      <c r="O1393" s="1" t="s">
        <v>4234</v>
      </c>
      <c r="Q1393" s="14"/>
    </row>
    <row r="1394" spans="1:17" x14ac:dyDescent="0.35">
      <c r="A1394" s="1" t="s">
        <v>15</v>
      </c>
      <c r="B1394" s="1">
        <v>1445995</v>
      </c>
      <c r="C1394" s="1">
        <v>1446648</v>
      </c>
      <c r="E1394" s="1" t="s">
        <v>178</v>
      </c>
      <c r="F1394" s="1" t="s">
        <v>4235</v>
      </c>
      <c r="G1394" s="1" t="s">
        <v>4236</v>
      </c>
      <c r="I1394" s="1" t="s">
        <v>19</v>
      </c>
      <c r="L1394" s="1" t="s">
        <v>4237</v>
      </c>
      <c r="M1394" s="1" t="s">
        <v>4235</v>
      </c>
      <c r="N1394" s="1">
        <v>217</v>
      </c>
      <c r="O1394" s="1" t="s">
        <v>4238</v>
      </c>
    </row>
    <row r="1395" spans="1:17" x14ac:dyDescent="0.35">
      <c r="A1395" s="1" t="s">
        <v>15</v>
      </c>
      <c r="B1395" s="1">
        <v>1446720</v>
      </c>
      <c r="C1395" s="1">
        <v>1448096</v>
      </c>
      <c r="E1395" s="1" t="s">
        <v>178</v>
      </c>
      <c r="F1395" s="1" t="s">
        <v>4239</v>
      </c>
      <c r="G1395" s="1" t="s">
        <v>4240</v>
      </c>
      <c r="I1395" s="1" t="s">
        <v>19</v>
      </c>
      <c r="L1395" s="1" t="s">
        <v>4241</v>
      </c>
      <c r="M1395" s="1" t="s">
        <v>4239</v>
      </c>
      <c r="N1395" s="1">
        <v>458</v>
      </c>
      <c r="O1395" s="1" t="s">
        <v>4242</v>
      </c>
    </row>
    <row r="1396" spans="1:17" x14ac:dyDescent="0.35">
      <c r="A1396" s="1" t="s">
        <v>15</v>
      </c>
      <c r="B1396" s="1">
        <v>1448110</v>
      </c>
      <c r="C1396" s="1">
        <v>1448742</v>
      </c>
      <c r="E1396" s="1" t="s">
        <v>178</v>
      </c>
      <c r="F1396" s="1" t="s">
        <v>712</v>
      </c>
      <c r="I1396" s="1" t="s">
        <v>19</v>
      </c>
      <c r="L1396" s="1" t="s">
        <v>4243</v>
      </c>
      <c r="M1396" s="1" t="s">
        <v>712</v>
      </c>
      <c r="N1396" s="1">
        <v>210</v>
      </c>
      <c r="O1396" s="1" t="s">
        <v>4244</v>
      </c>
      <c r="Q1396" s="14"/>
    </row>
    <row r="1397" spans="1:17" x14ac:dyDescent="0.35">
      <c r="A1397" s="1" t="s">
        <v>15</v>
      </c>
      <c r="B1397" s="1">
        <v>1448758</v>
      </c>
      <c r="C1397" s="1">
        <v>1450017</v>
      </c>
      <c r="E1397" s="1" t="s">
        <v>178</v>
      </c>
      <c r="F1397" s="1" t="s">
        <v>4245</v>
      </c>
      <c r="I1397" s="1" t="s">
        <v>19</v>
      </c>
      <c r="L1397" s="1" t="s">
        <v>4246</v>
      </c>
      <c r="M1397" s="1" t="s">
        <v>4245</v>
      </c>
      <c r="N1397" s="1">
        <v>419</v>
      </c>
      <c r="O1397" s="1" t="s">
        <v>4247</v>
      </c>
    </row>
    <row r="1398" spans="1:17" x14ac:dyDescent="0.35">
      <c r="A1398" s="1" t="s">
        <v>15</v>
      </c>
      <c r="B1398" s="1">
        <v>1450325</v>
      </c>
      <c r="C1398" s="1">
        <v>1451809</v>
      </c>
      <c r="E1398" s="1" t="s">
        <v>16</v>
      </c>
      <c r="F1398" s="1" t="s">
        <v>4248</v>
      </c>
      <c r="I1398" s="1" t="s">
        <v>19</v>
      </c>
      <c r="L1398" s="1" t="s">
        <v>4249</v>
      </c>
      <c r="M1398" s="1" t="s">
        <v>4248</v>
      </c>
      <c r="N1398" s="1">
        <v>494</v>
      </c>
      <c r="O1398" s="1" t="s">
        <v>4250</v>
      </c>
    </row>
    <row r="1399" spans="1:17" x14ac:dyDescent="0.35">
      <c r="A1399" s="1" t="s">
        <v>15</v>
      </c>
      <c r="B1399" s="1">
        <v>1452031</v>
      </c>
      <c r="C1399" s="1">
        <v>1452375</v>
      </c>
      <c r="E1399" s="1" t="s">
        <v>178</v>
      </c>
      <c r="F1399" s="1" t="s">
        <v>231</v>
      </c>
      <c r="I1399" s="1" t="s">
        <v>19</v>
      </c>
      <c r="L1399" s="1" t="s">
        <v>4251</v>
      </c>
      <c r="M1399" s="1" t="s">
        <v>231</v>
      </c>
      <c r="N1399" s="1">
        <v>114</v>
      </c>
      <c r="O1399" s="1" t="s">
        <v>4252</v>
      </c>
    </row>
    <row r="1400" spans="1:17" x14ac:dyDescent="0.35">
      <c r="A1400" s="1" t="s">
        <v>15</v>
      </c>
      <c r="B1400" s="1">
        <v>1452678</v>
      </c>
      <c r="C1400" s="1">
        <v>1453769</v>
      </c>
      <c r="E1400" s="1" t="s">
        <v>178</v>
      </c>
      <c r="F1400" s="1" t="s">
        <v>4253</v>
      </c>
      <c r="G1400" s="1" t="s">
        <v>4254</v>
      </c>
      <c r="I1400" s="1" t="s">
        <v>19</v>
      </c>
      <c r="L1400" s="1" t="s">
        <v>4255</v>
      </c>
      <c r="M1400" s="1" t="s">
        <v>4253</v>
      </c>
      <c r="N1400" s="1">
        <v>363</v>
      </c>
      <c r="O1400" s="1" t="s">
        <v>4256</v>
      </c>
      <c r="Q1400" s="14"/>
    </row>
    <row r="1401" spans="1:17" x14ac:dyDescent="0.35">
      <c r="A1401" s="1" t="s">
        <v>15</v>
      </c>
      <c r="B1401" s="1">
        <v>1453922</v>
      </c>
      <c r="C1401" s="1">
        <v>1454905</v>
      </c>
      <c r="E1401" s="1" t="s">
        <v>178</v>
      </c>
      <c r="F1401" s="1" t="s">
        <v>4257</v>
      </c>
      <c r="G1401" s="1" t="s">
        <v>4258</v>
      </c>
      <c r="I1401" s="1" t="s">
        <v>19</v>
      </c>
      <c r="L1401" s="1" t="s">
        <v>4259</v>
      </c>
      <c r="M1401" s="1" t="s">
        <v>4257</v>
      </c>
      <c r="N1401" s="1">
        <v>327</v>
      </c>
      <c r="O1401" s="1" t="s">
        <v>4260</v>
      </c>
    </row>
    <row r="1402" spans="1:17" x14ac:dyDescent="0.35">
      <c r="A1402" s="1" t="s">
        <v>15</v>
      </c>
      <c r="B1402" s="1">
        <v>1454920</v>
      </c>
      <c r="C1402" s="1">
        <v>1455294</v>
      </c>
      <c r="E1402" s="1" t="s">
        <v>178</v>
      </c>
      <c r="F1402" s="1" t="s">
        <v>4261</v>
      </c>
      <c r="G1402" s="1" t="s">
        <v>4262</v>
      </c>
      <c r="I1402" s="1" t="s">
        <v>19</v>
      </c>
      <c r="L1402" s="1" t="s">
        <v>4263</v>
      </c>
      <c r="M1402" s="1" t="s">
        <v>4261</v>
      </c>
      <c r="N1402" s="1">
        <v>124</v>
      </c>
      <c r="O1402" s="1" t="s">
        <v>4264</v>
      </c>
      <c r="Q1402" s="14"/>
    </row>
    <row r="1403" spans="1:17" x14ac:dyDescent="0.35">
      <c r="A1403" s="1" t="s">
        <v>15</v>
      </c>
      <c r="B1403" s="1">
        <v>1455298</v>
      </c>
      <c r="C1403" s="1">
        <v>1455873</v>
      </c>
      <c r="E1403" s="1" t="s">
        <v>178</v>
      </c>
      <c r="F1403" s="1" t="s">
        <v>4265</v>
      </c>
      <c r="G1403" s="1" t="s">
        <v>4266</v>
      </c>
      <c r="I1403" s="1" t="s">
        <v>19</v>
      </c>
      <c r="L1403" s="1" t="s">
        <v>4267</v>
      </c>
      <c r="M1403" s="1" t="s">
        <v>4265</v>
      </c>
      <c r="N1403" s="1">
        <v>191</v>
      </c>
      <c r="O1403" s="1" t="s">
        <v>4268</v>
      </c>
      <c r="Q1403" s="14"/>
    </row>
    <row r="1404" spans="1:17" x14ac:dyDescent="0.35">
      <c r="A1404" s="1" t="s">
        <v>15</v>
      </c>
      <c r="B1404" s="1">
        <v>1455905</v>
      </c>
      <c r="C1404" s="1">
        <v>1456894</v>
      </c>
      <c r="E1404" s="1" t="s">
        <v>178</v>
      </c>
      <c r="F1404" s="1" t="s">
        <v>4269</v>
      </c>
      <c r="G1404" s="1" t="s">
        <v>4270</v>
      </c>
      <c r="I1404" s="1" t="s">
        <v>19</v>
      </c>
      <c r="L1404" s="1" t="s">
        <v>4271</v>
      </c>
      <c r="M1404" s="1" t="s">
        <v>4269</v>
      </c>
      <c r="N1404" s="1">
        <v>329</v>
      </c>
      <c r="O1404" s="1" t="s">
        <v>4272</v>
      </c>
      <c r="Q1404" s="14"/>
    </row>
    <row r="1405" spans="1:17" x14ac:dyDescent="0.35">
      <c r="A1405" s="1" t="s">
        <v>15</v>
      </c>
      <c r="B1405" s="1">
        <v>1457221</v>
      </c>
      <c r="C1405" s="1">
        <v>1458486</v>
      </c>
      <c r="E1405" s="1" t="s">
        <v>16</v>
      </c>
      <c r="F1405" s="1" t="s">
        <v>388</v>
      </c>
      <c r="I1405" s="1" t="s">
        <v>19</v>
      </c>
      <c r="L1405" s="1" t="s">
        <v>4273</v>
      </c>
      <c r="M1405" s="1" t="s">
        <v>388</v>
      </c>
      <c r="N1405" s="1">
        <v>421</v>
      </c>
      <c r="O1405" s="1" t="s">
        <v>4274</v>
      </c>
    </row>
    <row r="1406" spans="1:17" x14ac:dyDescent="0.35">
      <c r="A1406" s="1" t="s">
        <v>15</v>
      </c>
      <c r="B1406" s="1">
        <v>1458592</v>
      </c>
      <c r="C1406" s="1">
        <v>1459422</v>
      </c>
      <c r="E1406" s="1" t="s">
        <v>178</v>
      </c>
      <c r="F1406" s="1" t="s">
        <v>4275</v>
      </c>
      <c r="I1406" s="1" t="s">
        <v>19</v>
      </c>
      <c r="L1406" s="1" t="s">
        <v>4276</v>
      </c>
      <c r="M1406" s="1" t="s">
        <v>4275</v>
      </c>
      <c r="N1406" s="1">
        <v>276</v>
      </c>
      <c r="O1406" s="1" t="s">
        <v>4277</v>
      </c>
      <c r="Q1406" s="14"/>
    </row>
    <row r="1407" spans="1:17" x14ac:dyDescent="0.35">
      <c r="A1407" s="1" t="s">
        <v>15</v>
      </c>
      <c r="B1407" s="1">
        <v>1459473</v>
      </c>
      <c r="C1407" s="1">
        <v>1459796</v>
      </c>
      <c r="E1407" s="1" t="s">
        <v>178</v>
      </c>
      <c r="F1407" s="1" t="s">
        <v>54</v>
      </c>
      <c r="I1407" s="1" t="s">
        <v>19</v>
      </c>
      <c r="L1407" s="1" t="s">
        <v>4278</v>
      </c>
      <c r="M1407" s="1" t="s">
        <v>54</v>
      </c>
      <c r="N1407" s="1">
        <v>107</v>
      </c>
      <c r="O1407" s="1" t="s">
        <v>4279</v>
      </c>
    </row>
    <row r="1408" spans="1:17" x14ac:dyDescent="0.35">
      <c r="A1408" s="1" t="s">
        <v>15</v>
      </c>
      <c r="B1408" s="1">
        <v>1459930</v>
      </c>
      <c r="C1408" s="1">
        <v>1461945</v>
      </c>
      <c r="E1408" s="1" t="s">
        <v>178</v>
      </c>
      <c r="F1408" s="1" t="s">
        <v>4280</v>
      </c>
      <c r="G1408" s="1" t="s">
        <v>4281</v>
      </c>
      <c r="I1408" s="1" t="s">
        <v>19</v>
      </c>
      <c r="L1408" s="1" t="s">
        <v>4282</v>
      </c>
      <c r="M1408" s="1" t="s">
        <v>4280</v>
      </c>
      <c r="N1408" s="1">
        <v>671</v>
      </c>
      <c r="O1408" s="1" t="s">
        <v>4283</v>
      </c>
      <c r="Q1408" s="14"/>
    </row>
    <row r="1409" spans="1:17" x14ac:dyDescent="0.35">
      <c r="A1409" s="1" t="s">
        <v>15</v>
      </c>
      <c r="B1409" s="1">
        <v>1462188</v>
      </c>
      <c r="C1409" s="1">
        <v>1462517</v>
      </c>
      <c r="E1409" s="1" t="s">
        <v>178</v>
      </c>
      <c r="F1409" s="1" t="s">
        <v>54</v>
      </c>
      <c r="I1409" s="1" t="s">
        <v>19</v>
      </c>
      <c r="L1409" s="1" t="s">
        <v>4284</v>
      </c>
      <c r="M1409" s="1" t="s">
        <v>54</v>
      </c>
      <c r="N1409" s="1">
        <v>109</v>
      </c>
      <c r="O1409" s="1" t="s">
        <v>4285</v>
      </c>
    </row>
    <row r="1410" spans="1:17" x14ac:dyDescent="0.35">
      <c r="A1410" s="1" t="s">
        <v>15</v>
      </c>
      <c r="B1410" s="1">
        <v>1463045</v>
      </c>
      <c r="C1410" s="1">
        <v>1464082</v>
      </c>
      <c r="E1410" s="1" t="s">
        <v>16</v>
      </c>
      <c r="F1410" s="1" t="s">
        <v>4286</v>
      </c>
      <c r="I1410" s="1" t="s">
        <v>19</v>
      </c>
      <c r="L1410" s="1" t="s">
        <v>4287</v>
      </c>
      <c r="M1410" s="1" t="s">
        <v>4286</v>
      </c>
      <c r="N1410" s="1">
        <v>345</v>
      </c>
      <c r="O1410" s="1" t="s">
        <v>4288</v>
      </c>
    </row>
    <row r="1411" spans="1:17" x14ac:dyDescent="0.35">
      <c r="A1411" s="1" t="s">
        <v>15</v>
      </c>
      <c r="B1411" s="1">
        <v>1464130</v>
      </c>
      <c r="C1411" s="1">
        <v>1464717</v>
      </c>
      <c r="E1411" s="1" t="s">
        <v>178</v>
      </c>
      <c r="F1411" s="1" t="s">
        <v>4289</v>
      </c>
      <c r="I1411" s="1" t="s">
        <v>19</v>
      </c>
      <c r="L1411" s="1" t="s">
        <v>4290</v>
      </c>
      <c r="M1411" s="1" t="s">
        <v>4289</v>
      </c>
      <c r="N1411" s="1">
        <v>195</v>
      </c>
      <c r="O1411" s="1" t="s">
        <v>4291</v>
      </c>
    </row>
    <row r="1412" spans="1:17" x14ac:dyDescent="0.35">
      <c r="A1412" s="1" t="s">
        <v>15</v>
      </c>
      <c r="B1412" s="1">
        <v>1464707</v>
      </c>
      <c r="C1412" s="1">
        <v>1464982</v>
      </c>
      <c r="E1412" s="1" t="s">
        <v>178</v>
      </c>
      <c r="F1412" s="1" t="s">
        <v>520</v>
      </c>
      <c r="I1412" s="1" t="s">
        <v>19</v>
      </c>
      <c r="L1412" s="1" t="s">
        <v>4292</v>
      </c>
      <c r="M1412" s="1" t="s">
        <v>520</v>
      </c>
      <c r="N1412" s="1">
        <v>91</v>
      </c>
      <c r="O1412" s="1" t="s">
        <v>4293</v>
      </c>
    </row>
    <row r="1413" spans="1:17" x14ac:dyDescent="0.35">
      <c r="A1413" s="1" t="s">
        <v>15</v>
      </c>
      <c r="B1413" s="1">
        <v>1464969</v>
      </c>
      <c r="C1413" s="1">
        <v>1465706</v>
      </c>
      <c r="E1413" s="1" t="s">
        <v>178</v>
      </c>
      <c r="F1413" s="1" t="s">
        <v>54</v>
      </c>
      <c r="I1413" s="1" t="s">
        <v>19</v>
      </c>
      <c r="L1413" s="1" t="s">
        <v>4294</v>
      </c>
      <c r="M1413" s="1" t="s">
        <v>54</v>
      </c>
      <c r="N1413" s="1">
        <v>245</v>
      </c>
      <c r="O1413" s="1" t="s">
        <v>4295</v>
      </c>
    </row>
    <row r="1414" spans="1:17" x14ac:dyDescent="0.35">
      <c r="A1414" s="1" t="s">
        <v>15</v>
      </c>
      <c r="B1414" s="1">
        <v>1465937</v>
      </c>
      <c r="C1414" s="1">
        <v>1470676</v>
      </c>
      <c r="E1414" s="1" t="s">
        <v>178</v>
      </c>
      <c r="F1414" s="1" t="s">
        <v>2571</v>
      </c>
      <c r="I1414" s="1" t="s">
        <v>19</v>
      </c>
      <c r="L1414" s="1" t="s">
        <v>4296</v>
      </c>
      <c r="M1414" s="1" t="s">
        <v>2571</v>
      </c>
      <c r="N1414" s="1">
        <v>1579</v>
      </c>
      <c r="O1414" s="1" t="s">
        <v>4297</v>
      </c>
      <c r="Q1414" s="14"/>
    </row>
    <row r="1415" spans="1:17" x14ac:dyDescent="0.35">
      <c r="A1415" s="1" t="s">
        <v>15</v>
      </c>
      <c r="B1415" s="1">
        <v>1471061</v>
      </c>
      <c r="C1415" s="1">
        <v>1471207</v>
      </c>
      <c r="E1415" s="1" t="s">
        <v>178</v>
      </c>
      <c r="F1415" s="1" t="s">
        <v>54</v>
      </c>
      <c r="I1415" s="1" t="s">
        <v>19</v>
      </c>
      <c r="L1415" s="1" t="s">
        <v>4298</v>
      </c>
      <c r="M1415" s="1" t="s">
        <v>54</v>
      </c>
      <c r="N1415" s="1">
        <v>48</v>
      </c>
      <c r="O1415" s="1" t="s">
        <v>4299</v>
      </c>
    </row>
    <row r="1416" spans="1:17" x14ac:dyDescent="0.35">
      <c r="A1416" s="1" t="s">
        <v>15</v>
      </c>
      <c r="B1416" s="1">
        <v>1471539</v>
      </c>
      <c r="C1416" s="1">
        <v>1473524</v>
      </c>
      <c r="E1416" s="1" t="s">
        <v>178</v>
      </c>
      <c r="F1416" s="1" t="s">
        <v>54</v>
      </c>
      <c r="I1416" s="1" t="s">
        <v>19</v>
      </c>
      <c r="L1416" s="1" t="s">
        <v>4300</v>
      </c>
      <c r="M1416" s="1" t="s">
        <v>54</v>
      </c>
      <c r="N1416" s="1">
        <v>661</v>
      </c>
      <c r="O1416" s="1" t="s">
        <v>4301</v>
      </c>
    </row>
    <row r="1417" spans="1:17" x14ac:dyDescent="0.35">
      <c r="A1417" s="1" t="s">
        <v>15</v>
      </c>
      <c r="B1417" s="1">
        <v>1473991</v>
      </c>
      <c r="C1417" s="1">
        <v>1478688</v>
      </c>
      <c r="E1417" s="1" t="s">
        <v>178</v>
      </c>
      <c r="F1417" s="1" t="s">
        <v>2577</v>
      </c>
      <c r="I1417" s="1" t="s">
        <v>19</v>
      </c>
      <c r="L1417" s="1" t="s">
        <v>4302</v>
      </c>
      <c r="M1417" s="1" t="s">
        <v>2577</v>
      </c>
      <c r="N1417" s="1">
        <v>1565</v>
      </c>
      <c r="O1417" s="1" t="s">
        <v>4303</v>
      </c>
      <c r="Q1417" s="14"/>
    </row>
    <row r="1418" spans="1:17" x14ac:dyDescent="0.35">
      <c r="A1418" s="1" t="s">
        <v>15</v>
      </c>
      <c r="B1418" s="1">
        <v>1479703</v>
      </c>
      <c r="C1418" s="1">
        <v>1482543</v>
      </c>
      <c r="E1418" s="1" t="s">
        <v>16</v>
      </c>
      <c r="F1418" s="1" t="s">
        <v>54</v>
      </c>
      <c r="I1418" s="1" t="s">
        <v>19</v>
      </c>
      <c r="L1418" s="1" t="s">
        <v>4304</v>
      </c>
      <c r="M1418" s="1" t="s">
        <v>54</v>
      </c>
      <c r="N1418" s="1">
        <v>946</v>
      </c>
      <c r="O1418" s="1" t="s">
        <v>4305</v>
      </c>
    </row>
    <row r="1419" spans="1:17" x14ac:dyDescent="0.35">
      <c r="A1419" s="1" t="s">
        <v>15</v>
      </c>
      <c r="B1419" s="1">
        <v>1482601</v>
      </c>
      <c r="C1419" s="1">
        <v>1486206</v>
      </c>
      <c r="E1419" s="1" t="s">
        <v>16</v>
      </c>
      <c r="F1419" s="1" t="s">
        <v>54</v>
      </c>
      <c r="I1419" s="1" t="s">
        <v>19</v>
      </c>
      <c r="L1419" s="1" t="s">
        <v>4306</v>
      </c>
      <c r="M1419" s="1" t="s">
        <v>54</v>
      </c>
      <c r="N1419" s="1">
        <v>1201</v>
      </c>
      <c r="O1419" s="1" t="s">
        <v>4307</v>
      </c>
    </row>
    <row r="1420" spans="1:17" x14ac:dyDescent="0.35">
      <c r="A1420" s="1" t="s">
        <v>15</v>
      </c>
      <c r="B1420" s="1">
        <v>1486261</v>
      </c>
      <c r="C1420" s="1">
        <v>1488789</v>
      </c>
      <c r="E1420" s="1" t="s">
        <v>16</v>
      </c>
      <c r="F1420" s="1" t="s">
        <v>54</v>
      </c>
      <c r="I1420" s="1" t="s">
        <v>19</v>
      </c>
      <c r="L1420" s="1" t="s">
        <v>4308</v>
      </c>
      <c r="M1420" s="1" t="s">
        <v>54</v>
      </c>
      <c r="N1420" s="1">
        <v>842</v>
      </c>
      <c r="O1420" s="1" t="s">
        <v>4309</v>
      </c>
    </row>
    <row r="1421" spans="1:17" x14ac:dyDescent="0.35">
      <c r="A1421" s="1" t="s">
        <v>15</v>
      </c>
      <c r="B1421" s="1">
        <v>1489505</v>
      </c>
      <c r="C1421" s="1">
        <v>1491028</v>
      </c>
      <c r="E1421" s="1" t="s">
        <v>16</v>
      </c>
      <c r="F1421" s="1" t="s">
        <v>4310</v>
      </c>
      <c r="G1421" s="1" t="s">
        <v>4311</v>
      </c>
      <c r="I1421" s="1" t="s">
        <v>19</v>
      </c>
      <c r="L1421" s="1" t="s">
        <v>4312</v>
      </c>
      <c r="M1421" s="1" t="s">
        <v>4310</v>
      </c>
      <c r="N1421" s="1">
        <v>507</v>
      </c>
      <c r="O1421" s="1" t="s">
        <v>4313</v>
      </c>
    </row>
    <row r="1422" spans="1:17" x14ac:dyDescent="0.35">
      <c r="A1422" s="1" t="s">
        <v>15</v>
      </c>
      <c r="B1422" s="1">
        <v>1491113</v>
      </c>
      <c r="C1422" s="1">
        <v>1493542</v>
      </c>
      <c r="E1422" s="1" t="s">
        <v>16</v>
      </c>
      <c r="F1422" s="1" t="s">
        <v>54</v>
      </c>
      <c r="I1422" s="1" t="s">
        <v>19</v>
      </c>
      <c r="L1422" s="1" t="s">
        <v>4314</v>
      </c>
      <c r="M1422" s="1" t="s">
        <v>54</v>
      </c>
      <c r="N1422" s="1">
        <v>809</v>
      </c>
      <c r="O1422" s="1" t="s">
        <v>4315</v>
      </c>
    </row>
    <row r="1423" spans="1:17" x14ac:dyDescent="0.35">
      <c r="A1423" s="1" t="s">
        <v>15</v>
      </c>
      <c r="B1423" s="1">
        <v>1493800</v>
      </c>
      <c r="C1423" s="1">
        <v>1494393</v>
      </c>
      <c r="E1423" s="1" t="s">
        <v>178</v>
      </c>
      <c r="F1423" s="1" t="s">
        <v>4316</v>
      </c>
      <c r="G1423" s="1" t="s">
        <v>4317</v>
      </c>
      <c r="I1423" s="1" t="s">
        <v>19</v>
      </c>
      <c r="L1423" s="1" t="s">
        <v>4318</v>
      </c>
      <c r="M1423" s="1" t="s">
        <v>4316</v>
      </c>
      <c r="N1423" s="1">
        <v>197</v>
      </c>
      <c r="O1423" s="1" t="s">
        <v>4319</v>
      </c>
      <c r="Q1423" s="14"/>
    </row>
    <row r="1424" spans="1:17" x14ac:dyDescent="0.35">
      <c r="A1424" s="1" t="s">
        <v>15</v>
      </c>
      <c r="B1424" s="1">
        <v>1494394</v>
      </c>
      <c r="C1424" s="1">
        <v>1495266</v>
      </c>
      <c r="E1424" s="1" t="s">
        <v>178</v>
      </c>
      <c r="F1424" s="1" t="s">
        <v>4320</v>
      </c>
      <c r="G1424" s="1" t="s">
        <v>4321</v>
      </c>
      <c r="I1424" s="1" t="s">
        <v>19</v>
      </c>
      <c r="L1424" s="1" t="s">
        <v>4322</v>
      </c>
      <c r="M1424" s="1" t="s">
        <v>4320</v>
      </c>
      <c r="N1424" s="1">
        <v>290</v>
      </c>
      <c r="O1424" s="1" t="s">
        <v>4323</v>
      </c>
      <c r="Q1424" s="14"/>
    </row>
    <row r="1425" spans="1:17" x14ac:dyDescent="0.35">
      <c r="A1425" s="1" t="s">
        <v>15</v>
      </c>
      <c r="B1425" s="1">
        <v>1495597</v>
      </c>
      <c r="C1425" s="1">
        <v>1497555</v>
      </c>
      <c r="E1425" s="1" t="s">
        <v>16</v>
      </c>
      <c r="F1425" s="1" t="s">
        <v>54</v>
      </c>
      <c r="I1425" s="1" t="s">
        <v>19</v>
      </c>
      <c r="L1425" s="1" t="s">
        <v>4324</v>
      </c>
      <c r="M1425" s="1" t="s">
        <v>54</v>
      </c>
      <c r="N1425" s="1">
        <v>652</v>
      </c>
      <c r="O1425" s="1" t="s">
        <v>4325</v>
      </c>
    </row>
    <row r="1426" spans="1:17" x14ac:dyDescent="0.35">
      <c r="A1426" s="1" t="s">
        <v>15</v>
      </c>
      <c r="B1426" s="1">
        <v>1497838</v>
      </c>
      <c r="C1426" s="1">
        <v>1500075</v>
      </c>
      <c r="E1426" s="1" t="s">
        <v>16</v>
      </c>
      <c r="F1426" s="1" t="s">
        <v>54</v>
      </c>
      <c r="I1426" s="1" t="s">
        <v>19</v>
      </c>
      <c r="L1426" s="1" t="s">
        <v>4326</v>
      </c>
      <c r="M1426" s="1" t="s">
        <v>54</v>
      </c>
      <c r="N1426" s="1">
        <v>745</v>
      </c>
      <c r="O1426" s="1" t="s">
        <v>4327</v>
      </c>
    </row>
    <row r="1427" spans="1:17" x14ac:dyDescent="0.35">
      <c r="A1427" s="1" t="s">
        <v>15</v>
      </c>
      <c r="B1427" s="1">
        <v>1500344</v>
      </c>
      <c r="C1427" s="1">
        <v>1503436</v>
      </c>
      <c r="E1427" s="1" t="s">
        <v>16</v>
      </c>
      <c r="F1427" s="1" t="s">
        <v>54</v>
      </c>
      <c r="I1427" s="1" t="s">
        <v>19</v>
      </c>
      <c r="L1427" s="1" t="s">
        <v>4328</v>
      </c>
      <c r="M1427" s="1" t="s">
        <v>54</v>
      </c>
      <c r="N1427" s="1">
        <v>1030</v>
      </c>
      <c r="O1427" s="1" t="s">
        <v>4329</v>
      </c>
    </row>
    <row r="1428" spans="1:17" x14ac:dyDescent="0.35">
      <c r="A1428" s="1" t="s">
        <v>15</v>
      </c>
      <c r="B1428" s="1">
        <v>1503740</v>
      </c>
      <c r="C1428" s="1">
        <v>1507060</v>
      </c>
      <c r="E1428" s="1" t="s">
        <v>16</v>
      </c>
      <c r="F1428" s="1" t="s">
        <v>54</v>
      </c>
      <c r="I1428" s="1" t="s">
        <v>19</v>
      </c>
      <c r="L1428" s="1" t="s">
        <v>4330</v>
      </c>
      <c r="M1428" s="1" t="s">
        <v>54</v>
      </c>
      <c r="N1428" s="1">
        <v>1106</v>
      </c>
      <c r="O1428" s="1" t="s">
        <v>4331</v>
      </c>
    </row>
    <row r="1429" spans="1:17" x14ac:dyDescent="0.35">
      <c r="A1429" s="1" t="s">
        <v>15</v>
      </c>
      <c r="B1429" s="1">
        <v>1507446</v>
      </c>
      <c r="C1429" s="1">
        <v>1509971</v>
      </c>
      <c r="E1429" s="1" t="s">
        <v>16</v>
      </c>
      <c r="F1429" s="1" t="s">
        <v>54</v>
      </c>
      <c r="I1429" s="1" t="s">
        <v>19</v>
      </c>
      <c r="L1429" s="1" t="s">
        <v>4332</v>
      </c>
      <c r="M1429" s="1" t="s">
        <v>54</v>
      </c>
      <c r="N1429" s="1">
        <v>841</v>
      </c>
      <c r="O1429" s="1" t="s">
        <v>4333</v>
      </c>
    </row>
    <row r="1430" spans="1:17" x14ac:dyDescent="0.35">
      <c r="A1430" s="1" t="s">
        <v>15</v>
      </c>
      <c r="B1430" s="1">
        <v>1510234</v>
      </c>
      <c r="C1430" s="1">
        <v>1521012</v>
      </c>
      <c r="E1430" s="1" t="s">
        <v>178</v>
      </c>
      <c r="F1430" s="1" t="s">
        <v>54</v>
      </c>
      <c r="I1430" s="1" t="s">
        <v>19</v>
      </c>
      <c r="L1430" s="1" t="s">
        <v>4334</v>
      </c>
      <c r="M1430" s="1" t="s">
        <v>54</v>
      </c>
      <c r="N1430" s="1">
        <v>3592</v>
      </c>
      <c r="O1430" s="1" t="s">
        <v>4335</v>
      </c>
    </row>
    <row r="1431" spans="1:17" x14ac:dyDescent="0.35">
      <c r="A1431" s="1" t="s">
        <v>15</v>
      </c>
      <c r="B1431" s="1">
        <v>1521393</v>
      </c>
      <c r="C1431" s="1">
        <v>1521503</v>
      </c>
      <c r="E1431" s="1" t="s">
        <v>16</v>
      </c>
      <c r="F1431" s="1" t="s">
        <v>54</v>
      </c>
      <c r="I1431" s="1" t="s">
        <v>19</v>
      </c>
      <c r="L1431" s="1" t="s">
        <v>4336</v>
      </c>
      <c r="M1431" s="1" t="s">
        <v>54</v>
      </c>
      <c r="N1431" s="1">
        <v>36</v>
      </c>
      <c r="O1431" s="1" t="s">
        <v>4337</v>
      </c>
    </row>
    <row r="1432" spans="1:17" x14ac:dyDescent="0.35">
      <c r="A1432" s="1" t="s">
        <v>15</v>
      </c>
      <c r="B1432" s="1">
        <v>1521613</v>
      </c>
      <c r="C1432" s="1">
        <v>1522626</v>
      </c>
      <c r="E1432" s="1" t="s">
        <v>178</v>
      </c>
      <c r="F1432" s="1" t="s">
        <v>54</v>
      </c>
      <c r="I1432" s="1" t="s">
        <v>19</v>
      </c>
      <c r="L1432" s="1" t="s">
        <v>4338</v>
      </c>
      <c r="M1432" s="1" t="s">
        <v>54</v>
      </c>
      <c r="N1432" s="1">
        <v>337</v>
      </c>
      <c r="O1432" s="1" t="s">
        <v>4339</v>
      </c>
    </row>
    <row r="1433" spans="1:17" x14ac:dyDescent="0.35">
      <c r="A1433" s="1" t="s">
        <v>15</v>
      </c>
      <c r="B1433" s="1">
        <v>1522808</v>
      </c>
      <c r="C1433" s="1">
        <v>1523566</v>
      </c>
      <c r="E1433" s="1" t="s">
        <v>178</v>
      </c>
      <c r="F1433" s="1" t="s">
        <v>4340</v>
      </c>
      <c r="I1433" s="1" t="s">
        <v>19</v>
      </c>
      <c r="L1433" s="1" t="s">
        <v>4341</v>
      </c>
      <c r="M1433" s="1" t="s">
        <v>4340</v>
      </c>
      <c r="N1433" s="1">
        <v>252</v>
      </c>
      <c r="O1433" s="1" t="s">
        <v>4342</v>
      </c>
    </row>
    <row r="1434" spans="1:17" x14ac:dyDescent="0.35">
      <c r="A1434" s="1" t="s">
        <v>15</v>
      </c>
      <c r="B1434" s="1">
        <v>1523733</v>
      </c>
      <c r="C1434" s="1">
        <v>1525118</v>
      </c>
      <c r="E1434" s="1" t="s">
        <v>178</v>
      </c>
      <c r="F1434" s="1" t="s">
        <v>4343</v>
      </c>
      <c r="G1434" s="1" t="s">
        <v>4344</v>
      </c>
      <c r="I1434" s="1" t="s">
        <v>19</v>
      </c>
      <c r="L1434" s="1" t="s">
        <v>4345</v>
      </c>
      <c r="M1434" s="1" t="s">
        <v>4343</v>
      </c>
      <c r="N1434" s="1">
        <v>461</v>
      </c>
      <c r="O1434" s="1" t="s">
        <v>4346</v>
      </c>
    </row>
    <row r="1435" spans="1:17" x14ac:dyDescent="0.35">
      <c r="A1435" s="1" t="s">
        <v>15</v>
      </c>
      <c r="B1435" s="1">
        <v>1525144</v>
      </c>
      <c r="C1435" s="1">
        <v>1525554</v>
      </c>
      <c r="E1435" s="1" t="s">
        <v>178</v>
      </c>
      <c r="F1435" s="1" t="s">
        <v>285</v>
      </c>
      <c r="I1435" s="1" t="s">
        <v>19</v>
      </c>
      <c r="L1435" s="1" t="s">
        <v>4347</v>
      </c>
      <c r="M1435" s="1" t="s">
        <v>285</v>
      </c>
      <c r="N1435" s="1">
        <v>136</v>
      </c>
      <c r="O1435" s="1" t="s">
        <v>4348</v>
      </c>
    </row>
    <row r="1436" spans="1:17" x14ac:dyDescent="0.35">
      <c r="A1436" s="1" t="s">
        <v>15</v>
      </c>
      <c r="B1436" s="1">
        <v>1525677</v>
      </c>
      <c r="C1436" s="1">
        <v>1526240</v>
      </c>
      <c r="E1436" s="1" t="s">
        <v>178</v>
      </c>
      <c r="F1436" s="1" t="s">
        <v>4349</v>
      </c>
      <c r="G1436" s="1" t="s">
        <v>4350</v>
      </c>
      <c r="I1436" s="1" t="s">
        <v>19</v>
      </c>
      <c r="L1436" s="1" t="s">
        <v>4351</v>
      </c>
      <c r="M1436" s="1" t="s">
        <v>4349</v>
      </c>
      <c r="N1436" s="1">
        <v>187</v>
      </c>
      <c r="O1436" s="1" t="s">
        <v>4352</v>
      </c>
      <c r="Q1436" s="14"/>
    </row>
    <row r="1437" spans="1:17" x14ac:dyDescent="0.35">
      <c r="A1437" s="1" t="s">
        <v>15</v>
      </c>
      <c r="B1437" s="1">
        <v>1526344</v>
      </c>
      <c r="C1437" s="1">
        <v>1527093</v>
      </c>
      <c r="E1437" s="1" t="s">
        <v>178</v>
      </c>
      <c r="F1437" s="1" t="s">
        <v>4353</v>
      </c>
      <c r="G1437" s="1" t="s">
        <v>4354</v>
      </c>
      <c r="I1437" s="1" t="s">
        <v>19</v>
      </c>
      <c r="L1437" s="1" t="s">
        <v>4355</v>
      </c>
      <c r="M1437" s="1" t="s">
        <v>4353</v>
      </c>
      <c r="N1437" s="1">
        <v>249</v>
      </c>
      <c r="O1437" s="1" t="s">
        <v>4356</v>
      </c>
    </row>
    <row r="1438" spans="1:17" x14ac:dyDescent="0.35">
      <c r="A1438" s="1" t="s">
        <v>15</v>
      </c>
      <c r="B1438" s="1">
        <v>1527365</v>
      </c>
      <c r="C1438" s="1">
        <v>1531348</v>
      </c>
      <c r="E1438" s="1" t="s">
        <v>178</v>
      </c>
      <c r="F1438" s="1" t="s">
        <v>54</v>
      </c>
      <c r="I1438" s="1" t="s">
        <v>19</v>
      </c>
      <c r="L1438" s="1" t="s">
        <v>4357</v>
      </c>
      <c r="M1438" s="1" t="s">
        <v>54</v>
      </c>
      <c r="N1438" s="1">
        <v>1327</v>
      </c>
      <c r="O1438" s="1" t="s">
        <v>4358</v>
      </c>
    </row>
    <row r="1439" spans="1:17" x14ac:dyDescent="0.35">
      <c r="A1439" s="1" t="s">
        <v>15</v>
      </c>
      <c r="B1439" s="1">
        <v>1532127</v>
      </c>
      <c r="C1439" s="1">
        <v>1536479</v>
      </c>
      <c r="E1439" s="1" t="s">
        <v>178</v>
      </c>
      <c r="F1439" s="1" t="s">
        <v>2571</v>
      </c>
      <c r="I1439" s="1" t="s">
        <v>19</v>
      </c>
      <c r="L1439" s="1" t="s">
        <v>4359</v>
      </c>
      <c r="M1439" s="1" t="s">
        <v>2571</v>
      </c>
      <c r="N1439" s="1">
        <v>1450</v>
      </c>
      <c r="O1439" s="1" t="s">
        <v>4360</v>
      </c>
      <c r="Q1439" s="14"/>
    </row>
    <row r="1440" spans="1:17" x14ac:dyDescent="0.35">
      <c r="A1440" s="1" t="s">
        <v>15</v>
      </c>
      <c r="B1440" s="1">
        <v>1537106</v>
      </c>
      <c r="C1440" s="1">
        <v>1537549</v>
      </c>
      <c r="E1440" s="1" t="s">
        <v>16</v>
      </c>
      <c r="F1440" s="1" t="s">
        <v>54</v>
      </c>
      <c r="I1440" s="1" t="s">
        <v>19</v>
      </c>
      <c r="L1440" s="1" t="s">
        <v>4361</v>
      </c>
      <c r="M1440" s="1" t="s">
        <v>54</v>
      </c>
      <c r="N1440" s="1">
        <v>147</v>
      </c>
      <c r="O1440" s="1" t="s">
        <v>4362</v>
      </c>
    </row>
    <row r="1441" spans="1:17" x14ac:dyDescent="0.35">
      <c r="A1441" s="1" t="s">
        <v>15</v>
      </c>
      <c r="B1441" s="1">
        <v>1537754</v>
      </c>
      <c r="C1441" s="1">
        <v>1546261</v>
      </c>
      <c r="E1441" s="1" t="s">
        <v>178</v>
      </c>
      <c r="F1441" s="1" t="s">
        <v>54</v>
      </c>
      <c r="I1441" s="1" t="s">
        <v>19</v>
      </c>
      <c r="L1441" s="1" t="s">
        <v>4363</v>
      </c>
      <c r="M1441" s="1" t="s">
        <v>54</v>
      </c>
      <c r="N1441" s="1">
        <v>2835</v>
      </c>
      <c r="O1441" s="1" t="s">
        <v>4364</v>
      </c>
    </row>
    <row r="1442" spans="1:17" x14ac:dyDescent="0.35">
      <c r="A1442" s="1" t="s">
        <v>15</v>
      </c>
      <c r="B1442" s="1">
        <v>1546534</v>
      </c>
      <c r="C1442" s="1">
        <v>1553436</v>
      </c>
      <c r="E1442" s="1" t="s">
        <v>178</v>
      </c>
      <c r="F1442" s="1" t="s">
        <v>54</v>
      </c>
      <c r="I1442" s="1" t="s">
        <v>19</v>
      </c>
      <c r="L1442" s="1" t="s">
        <v>4365</v>
      </c>
      <c r="M1442" s="1" t="s">
        <v>54</v>
      </c>
      <c r="N1442" s="1">
        <v>2300</v>
      </c>
      <c r="O1442" s="1" t="s">
        <v>4366</v>
      </c>
    </row>
    <row r="1443" spans="1:17" x14ac:dyDescent="0.35">
      <c r="A1443" s="1" t="s">
        <v>15</v>
      </c>
      <c r="B1443" s="1">
        <v>1553892</v>
      </c>
      <c r="C1443" s="1">
        <v>1560830</v>
      </c>
      <c r="E1443" s="1" t="s">
        <v>178</v>
      </c>
      <c r="F1443" s="1" t="s">
        <v>54</v>
      </c>
      <c r="I1443" s="1" t="s">
        <v>19</v>
      </c>
      <c r="L1443" s="1" t="s">
        <v>4367</v>
      </c>
      <c r="M1443" s="1" t="s">
        <v>54</v>
      </c>
      <c r="N1443" s="1">
        <v>2312</v>
      </c>
      <c r="O1443" s="1" t="s">
        <v>4368</v>
      </c>
    </row>
    <row r="1444" spans="1:17" x14ac:dyDescent="0.35">
      <c r="A1444" s="1" t="s">
        <v>15</v>
      </c>
      <c r="B1444" s="1">
        <v>1561323</v>
      </c>
      <c r="C1444" s="1">
        <v>1562324</v>
      </c>
      <c r="E1444" s="1" t="s">
        <v>178</v>
      </c>
      <c r="F1444" s="1" t="s">
        <v>4369</v>
      </c>
      <c r="G1444" s="1" t="s">
        <v>4370</v>
      </c>
      <c r="I1444" s="1" t="s">
        <v>19</v>
      </c>
      <c r="L1444" s="1" t="s">
        <v>4371</v>
      </c>
      <c r="M1444" s="1" t="s">
        <v>4369</v>
      </c>
      <c r="N1444" s="1">
        <v>333</v>
      </c>
      <c r="O1444" s="1" t="s">
        <v>4372</v>
      </c>
    </row>
    <row r="1445" spans="1:17" x14ac:dyDescent="0.35">
      <c r="A1445" s="1" t="s">
        <v>15</v>
      </c>
      <c r="B1445" s="1">
        <v>1562360</v>
      </c>
      <c r="C1445" s="1">
        <v>1562584</v>
      </c>
      <c r="E1445" s="1" t="s">
        <v>178</v>
      </c>
      <c r="F1445" s="1" t="s">
        <v>54</v>
      </c>
      <c r="I1445" s="1" t="s">
        <v>19</v>
      </c>
      <c r="L1445" s="1" t="s">
        <v>4373</v>
      </c>
      <c r="M1445" s="1" t="s">
        <v>54</v>
      </c>
      <c r="N1445" s="1">
        <v>74</v>
      </c>
      <c r="O1445" s="1" t="s">
        <v>4374</v>
      </c>
    </row>
    <row r="1446" spans="1:17" x14ac:dyDescent="0.35">
      <c r="A1446" s="1" t="s">
        <v>15</v>
      </c>
      <c r="B1446" s="1">
        <v>1562589</v>
      </c>
      <c r="C1446" s="1">
        <v>1562768</v>
      </c>
      <c r="E1446" s="1" t="s">
        <v>178</v>
      </c>
      <c r="F1446" s="1" t="s">
        <v>54</v>
      </c>
      <c r="I1446" s="1" t="s">
        <v>19</v>
      </c>
      <c r="L1446" s="1" t="s">
        <v>4375</v>
      </c>
      <c r="M1446" s="1" t="s">
        <v>54</v>
      </c>
      <c r="N1446" s="1">
        <v>59</v>
      </c>
      <c r="O1446" s="1" t="s">
        <v>4376</v>
      </c>
    </row>
    <row r="1447" spans="1:17" x14ac:dyDescent="0.35">
      <c r="A1447" s="1" t="s">
        <v>15</v>
      </c>
      <c r="B1447" s="1">
        <v>1562761</v>
      </c>
      <c r="C1447" s="1">
        <v>1564113</v>
      </c>
      <c r="E1447" s="1" t="s">
        <v>178</v>
      </c>
      <c r="F1447" s="1" t="s">
        <v>50</v>
      </c>
      <c r="I1447" s="1" t="s">
        <v>19</v>
      </c>
      <c r="L1447" s="1" t="s">
        <v>4377</v>
      </c>
      <c r="M1447" s="1" t="s">
        <v>50</v>
      </c>
      <c r="N1447" s="1">
        <v>450</v>
      </c>
      <c r="O1447" s="1" t="s">
        <v>4378</v>
      </c>
    </row>
    <row r="1448" spans="1:17" x14ac:dyDescent="0.35">
      <c r="A1448" s="1" t="s">
        <v>15</v>
      </c>
      <c r="B1448" s="1">
        <v>1564110</v>
      </c>
      <c r="C1448" s="1">
        <v>1565618</v>
      </c>
      <c r="E1448" s="1" t="s">
        <v>178</v>
      </c>
      <c r="F1448" s="1" t="s">
        <v>1190</v>
      </c>
      <c r="I1448" s="1" t="s">
        <v>19</v>
      </c>
      <c r="L1448" s="1" t="s">
        <v>4379</v>
      </c>
      <c r="M1448" s="1" t="s">
        <v>1190</v>
      </c>
      <c r="N1448" s="1">
        <v>502</v>
      </c>
      <c r="O1448" s="1" t="s">
        <v>4380</v>
      </c>
    </row>
    <row r="1449" spans="1:17" x14ac:dyDescent="0.35">
      <c r="A1449" s="1" t="s">
        <v>15</v>
      </c>
      <c r="B1449" s="1">
        <v>1565631</v>
      </c>
      <c r="C1449" s="1">
        <v>1568006</v>
      </c>
      <c r="E1449" s="1" t="s">
        <v>178</v>
      </c>
      <c r="F1449" s="1" t="s">
        <v>4381</v>
      </c>
      <c r="G1449" s="1" t="s">
        <v>4382</v>
      </c>
      <c r="I1449" s="1" t="s">
        <v>19</v>
      </c>
      <c r="L1449" s="1" t="s">
        <v>4383</v>
      </c>
      <c r="M1449" s="1" t="s">
        <v>4381</v>
      </c>
      <c r="N1449" s="1">
        <v>791</v>
      </c>
      <c r="O1449" s="1" t="s">
        <v>4384</v>
      </c>
    </row>
    <row r="1450" spans="1:17" x14ac:dyDescent="0.35">
      <c r="A1450" s="1" t="s">
        <v>15</v>
      </c>
      <c r="B1450" s="1">
        <v>1567999</v>
      </c>
      <c r="C1450" s="1">
        <v>1568445</v>
      </c>
      <c r="E1450" s="1" t="s">
        <v>178</v>
      </c>
      <c r="F1450" s="1" t="s">
        <v>1760</v>
      </c>
      <c r="I1450" s="1" t="s">
        <v>19</v>
      </c>
      <c r="L1450" s="1" t="s">
        <v>4385</v>
      </c>
      <c r="M1450" s="1" t="s">
        <v>1760</v>
      </c>
      <c r="N1450" s="1">
        <v>148</v>
      </c>
      <c r="O1450" s="1" t="s">
        <v>4386</v>
      </c>
    </row>
    <row r="1451" spans="1:17" x14ac:dyDescent="0.35">
      <c r="A1451" s="1" t="s">
        <v>15</v>
      </c>
      <c r="B1451" s="1">
        <v>1568448</v>
      </c>
      <c r="C1451" s="1">
        <v>1569986</v>
      </c>
      <c r="E1451" s="1" t="s">
        <v>178</v>
      </c>
      <c r="F1451" s="1" t="s">
        <v>54</v>
      </c>
      <c r="I1451" s="1" t="s">
        <v>19</v>
      </c>
      <c r="L1451" s="1" t="s">
        <v>4387</v>
      </c>
      <c r="M1451" s="1" t="s">
        <v>54</v>
      </c>
      <c r="N1451" s="1">
        <v>512</v>
      </c>
      <c r="O1451" s="1" t="s">
        <v>4388</v>
      </c>
    </row>
    <row r="1452" spans="1:17" x14ac:dyDescent="0.35">
      <c r="A1452" s="1" t="s">
        <v>15</v>
      </c>
      <c r="B1452" s="1">
        <v>1569973</v>
      </c>
      <c r="C1452" s="1">
        <v>1571544</v>
      </c>
      <c r="E1452" s="1" t="s">
        <v>178</v>
      </c>
      <c r="F1452" s="1" t="s">
        <v>4389</v>
      </c>
      <c r="G1452" s="1" t="s">
        <v>4390</v>
      </c>
      <c r="I1452" s="1" t="s">
        <v>19</v>
      </c>
      <c r="L1452" s="1" t="s">
        <v>4391</v>
      </c>
      <c r="M1452" s="1" t="s">
        <v>4389</v>
      </c>
      <c r="N1452" s="1">
        <v>523</v>
      </c>
      <c r="O1452" s="1" t="s">
        <v>4392</v>
      </c>
    </row>
    <row r="1453" spans="1:17" x14ac:dyDescent="0.35">
      <c r="A1453" s="1" t="s">
        <v>15</v>
      </c>
      <c r="B1453" s="1">
        <v>1571645</v>
      </c>
      <c r="C1453" s="1">
        <v>1572871</v>
      </c>
      <c r="E1453" s="1" t="s">
        <v>178</v>
      </c>
      <c r="F1453" s="1" t="s">
        <v>4393</v>
      </c>
      <c r="G1453" s="1" t="s">
        <v>4394</v>
      </c>
      <c r="I1453" s="1" t="s">
        <v>19</v>
      </c>
      <c r="L1453" s="1" t="s">
        <v>4395</v>
      </c>
      <c r="M1453" s="1" t="s">
        <v>4393</v>
      </c>
      <c r="N1453" s="1">
        <v>408</v>
      </c>
      <c r="O1453" s="1" t="s">
        <v>4396</v>
      </c>
    </row>
    <row r="1454" spans="1:17" x14ac:dyDescent="0.35">
      <c r="A1454" s="1" t="s">
        <v>15</v>
      </c>
      <c r="B1454" s="1">
        <v>1572966</v>
      </c>
      <c r="C1454" s="1">
        <v>1575059</v>
      </c>
      <c r="E1454" s="1" t="s">
        <v>178</v>
      </c>
      <c r="F1454" s="1" t="s">
        <v>3131</v>
      </c>
      <c r="I1454" s="1" t="s">
        <v>19</v>
      </c>
      <c r="L1454" s="1" t="s">
        <v>4397</v>
      </c>
      <c r="M1454" s="1" t="s">
        <v>3131</v>
      </c>
      <c r="N1454" s="1">
        <v>697</v>
      </c>
      <c r="O1454" s="1" t="s">
        <v>4398</v>
      </c>
    </row>
    <row r="1455" spans="1:17" x14ac:dyDescent="0.35">
      <c r="A1455" s="1" t="s">
        <v>15</v>
      </c>
      <c r="B1455" s="1">
        <v>1575432</v>
      </c>
      <c r="C1455" s="1">
        <v>1578611</v>
      </c>
      <c r="E1455" s="1" t="s">
        <v>178</v>
      </c>
      <c r="F1455" s="1" t="s">
        <v>4399</v>
      </c>
      <c r="G1455" s="1" t="s">
        <v>4400</v>
      </c>
      <c r="I1455" s="1" t="s">
        <v>19</v>
      </c>
      <c r="L1455" s="1" t="s">
        <v>4401</v>
      </c>
      <c r="M1455" s="1" t="s">
        <v>4399</v>
      </c>
      <c r="N1455" s="1">
        <v>1059</v>
      </c>
      <c r="O1455" s="1" t="s">
        <v>4402</v>
      </c>
      <c r="Q1455" s="14"/>
    </row>
    <row r="1456" spans="1:17" x14ac:dyDescent="0.35">
      <c r="A1456" s="1" t="s">
        <v>15</v>
      </c>
      <c r="B1456" s="1">
        <v>1578608</v>
      </c>
      <c r="C1456" s="1">
        <v>1579816</v>
      </c>
      <c r="E1456" s="1" t="s">
        <v>178</v>
      </c>
      <c r="F1456" s="1" t="s">
        <v>4399</v>
      </c>
      <c r="G1456" s="1" t="s">
        <v>4403</v>
      </c>
      <c r="I1456" s="1" t="s">
        <v>19</v>
      </c>
      <c r="L1456" s="1" t="s">
        <v>4404</v>
      </c>
      <c r="M1456" s="1" t="s">
        <v>4399</v>
      </c>
      <c r="N1456" s="1">
        <v>402</v>
      </c>
      <c r="O1456" s="1" t="s">
        <v>4405</v>
      </c>
      <c r="Q1456" s="14"/>
    </row>
    <row r="1457" spans="1:17" x14ac:dyDescent="0.35">
      <c r="A1457" s="1" t="s">
        <v>15</v>
      </c>
      <c r="B1457" s="1">
        <v>1580000</v>
      </c>
      <c r="C1457" s="1">
        <v>1583644</v>
      </c>
      <c r="E1457" s="1" t="s">
        <v>178</v>
      </c>
      <c r="F1457" s="1" t="s">
        <v>54</v>
      </c>
      <c r="I1457" s="1" t="s">
        <v>19</v>
      </c>
      <c r="L1457" s="1" t="s">
        <v>4406</v>
      </c>
      <c r="M1457" s="1" t="s">
        <v>54</v>
      </c>
      <c r="N1457" s="1">
        <v>1214</v>
      </c>
      <c r="O1457" s="1" t="s">
        <v>4407</v>
      </c>
    </row>
    <row r="1458" spans="1:17" x14ac:dyDescent="0.35">
      <c r="A1458" s="1" t="s">
        <v>15</v>
      </c>
      <c r="B1458" s="1">
        <v>1584104</v>
      </c>
      <c r="C1458" s="1">
        <v>1590340</v>
      </c>
      <c r="E1458" s="1" t="s">
        <v>178</v>
      </c>
      <c r="F1458" s="1" t="s">
        <v>4408</v>
      </c>
      <c r="G1458" s="1" t="s">
        <v>4409</v>
      </c>
      <c r="I1458" s="1" t="s">
        <v>19</v>
      </c>
      <c r="L1458" s="1" t="s">
        <v>4410</v>
      </c>
      <c r="M1458" s="1" t="s">
        <v>4408</v>
      </c>
      <c r="N1458" s="1">
        <v>2078</v>
      </c>
      <c r="O1458" s="1" t="s">
        <v>4411</v>
      </c>
      <c r="Q1458" s="14"/>
    </row>
    <row r="1459" spans="1:17" x14ac:dyDescent="0.35">
      <c r="A1459" s="1" t="s">
        <v>15</v>
      </c>
      <c r="B1459" s="1">
        <v>1590798</v>
      </c>
      <c r="C1459" s="1">
        <v>1598363</v>
      </c>
      <c r="E1459" s="1" t="s">
        <v>178</v>
      </c>
      <c r="F1459" s="1" t="s">
        <v>54</v>
      </c>
      <c r="I1459" s="1" t="s">
        <v>19</v>
      </c>
      <c r="L1459" s="1" t="s">
        <v>4412</v>
      </c>
      <c r="M1459" s="1" t="s">
        <v>54</v>
      </c>
      <c r="N1459" s="1">
        <v>2521</v>
      </c>
      <c r="O1459" s="1" t="s">
        <v>4413</v>
      </c>
    </row>
    <row r="1460" spans="1:17" x14ac:dyDescent="0.35">
      <c r="A1460" s="1" t="s">
        <v>15</v>
      </c>
      <c r="B1460" s="1">
        <v>1598780</v>
      </c>
      <c r="C1460" s="1">
        <v>1615006</v>
      </c>
      <c r="E1460" s="1" t="s">
        <v>178</v>
      </c>
      <c r="F1460" s="1" t="s">
        <v>54</v>
      </c>
      <c r="I1460" s="1" t="s">
        <v>19</v>
      </c>
      <c r="L1460" s="1" t="s">
        <v>4414</v>
      </c>
      <c r="M1460" s="1" t="s">
        <v>54</v>
      </c>
      <c r="N1460" s="1">
        <v>5408</v>
      </c>
      <c r="O1460" s="1" t="s">
        <v>4415</v>
      </c>
    </row>
    <row r="1461" spans="1:17" x14ac:dyDescent="0.35">
      <c r="A1461" s="1" t="s">
        <v>15</v>
      </c>
      <c r="B1461" s="1">
        <v>1615535</v>
      </c>
      <c r="C1461" s="1">
        <v>1616623</v>
      </c>
      <c r="E1461" s="1" t="s">
        <v>178</v>
      </c>
      <c r="F1461" s="1" t="s">
        <v>54</v>
      </c>
      <c r="I1461" s="1" t="s">
        <v>19</v>
      </c>
      <c r="L1461" s="1" t="s">
        <v>4416</v>
      </c>
      <c r="M1461" s="1" t="s">
        <v>54</v>
      </c>
      <c r="N1461" s="1">
        <v>362</v>
      </c>
      <c r="O1461" s="1" t="s">
        <v>4417</v>
      </c>
    </row>
    <row r="1462" spans="1:17" x14ac:dyDescent="0.35">
      <c r="A1462" s="1" t="s">
        <v>15</v>
      </c>
      <c r="B1462" s="1">
        <v>1617057</v>
      </c>
      <c r="C1462" s="1">
        <v>1618580</v>
      </c>
      <c r="E1462" s="1" t="s">
        <v>16</v>
      </c>
      <c r="F1462" s="1" t="s">
        <v>3996</v>
      </c>
      <c r="G1462" s="1" t="s">
        <v>4418</v>
      </c>
      <c r="I1462" s="1" t="s">
        <v>19</v>
      </c>
      <c r="L1462" s="1" t="s">
        <v>4419</v>
      </c>
      <c r="M1462" s="1" t="s">
        <v>3996</v>
      </c>
      <c r="N1462" s="1">
        <v>507</v>
      </c>
      <c r="O1462" s="1" t="s">
        <v>4420</v>
      </c>
    </row>
    <row r="1463" spans="1:17" x14ac:dyDescent="0.35">
      <c r="A1463" s="1" t="s">
        <v>15</v>
      </c>
      <c r="B1463" s="1">
        <v>1618675</v>
      </c>
      <c r="C1463" s="1">
        <v>1620543</v>
      </c>
      <c r="E1463" s="1" t="s">
        <v>178</v>
      </c>
      <c r="F1463" s="1" t="s">
        <v>4421</v>
      </c>
      <c r="I1463" s="1" t="s">
        <v>19</v>
      </c>
      <c r="L1463" s="1" t="s">
        <v>4422</v>
      </c>
      <c r="M1463" s="1" t="s">
        <v>4421</v>
      </c>
      <c r="N1463" s="1">
        <v>622</v>
      </c>
      <c r="O1463" s="1" t="s">
        <v>4423</v>
      </c>
    </row>
    <row r="1464" spans="1:17" x14ac:dyDescent="0.35">
      <c r="A1464" s="1" t="s">
        <v>15</v>
      </c>
      <c r="B1464" s="1">
        <v>1620533</v>
      </c>
      <c r="C1464" s="1">
        <v>1622278</v>
      </c>
      <c r="E1464" s="1" t="s">
        <v>178</v>
      </c>
      <c r="F1464" s="1" t="s">
        <v>4424</v>
      </c>
      <c r="G1464" s="1" t="s">
        <v>4425</v>
      </c>
      <c r="I1464" s="1" t="s">
        <v>19</v>
      </c>
      <c r="L1464" s="1" t="s">
        <v>4426</v>
      </c>
      <c r="M1464" s="1" t="s">
        <v>4424</v>
      </c>
      <c r="N1464" s="1">
        <v>581</v>
      </c>
      <c r="O1464" s="1" t="s">
        <v>4427</v>
      </c>
    </row>
    <row r="1465" spans="1:17" x14ac:dyDescent="0.35">
      <c r="A1465" s="1" t="s">
        <v>15</v>
      </c>
      <c r="B1465" s="1">
        <v>1622973</v>
      </c>
      <c r="C1465" s="1">
        <v>1625237</v>
      </c>
      <c r="E1465" s="1" t="s">
        <v>16</v>
      </c>
      <c r="F1465" s="1" t="s">
        <v>4428</v>
      </c>
      <c r="G1465" s="1" t="s">
        <v>4429</v>
      </c>
      <c r="I1465" s="1" t="s">
        <v>19</v>
      </c>
      <c r="L1465" s="1" t="s">
        <v>4430</v>
      </c>
      <c r="M1465" s="1" t="s">
        <v>4428</v>
      </c>
      <c r="N1465" s="1">
        <v>754</v>
      </c>
      <c r="O1465" s="1" t="s">
        <v>4431</v>
      </c>
      <c r="Q1465" s="14"/>
    </row>
    <row r="1466" spans="1:17" x14ac:dyDescent="0.35">
      <c r="A1466" s="1" t="s">
        <v>15</v>
      </c>
      <c r="B1466" s="1">
        <v>1625300</v>
      </c>
      <c r="C1466" s="1">
        <v>1625896</v>
      </c>
      <c r="E1466" s="1" t="s">
        <v>178</v>
      </c>
      <c r="F1466" s="1" t="s">
        <v>54</v>
      </c>
      <c r="I1466" s="1" t="s">
        <v>19</v>
      </c>
      <c r="L1466" s="1" t="s">
        <v>4432</v>
      </c>
      <c r="M1466" s="1" t="s">
        <v>54</v>
      </c>
      <c r="N1466" s="1">
        <v>198</v>
      </c>
      <c r="O1466" s="1" t="s">
        <v>4433</v>
      </c>
    </row>
    <row r="1467" spans="1:17" x14ac:dyDescent="0.35">
      <c r="A1467" s="1" t="s">
        <v>15</v>
      </c>
      <c r="B1467" s="1">
        <v>1625877</v>
      </c>
      <c r="C1467" s="1">
        <v>1627406</v>
      </c>
      <c r="E1467" s="1" t="s">
        <v>178</v>
      </c>
      <c r="F1467" s="1" t="s">
        <v>54</v>
      </c>
      <c r="I1467" s="1" t="s">
        <v>19</v>
      </c>
      <c r="L1467" s="1" t="s">
        <v>4434</v>
      </c>
      <c r="M1467" s="1" t="s">
        <v>54</v>
      </c>
      <c r="N1467" s="1">
        <v>509</v>
      </c>
      <c r="O1467" s="1" t="s">
        <v>4435</v>
      </c>
    </row>
    <row r="1468" spans="1:17" x14ac:dyDescent="0.35">
      <c r="A1468" s="1" t="s">
        <v>15</v>
      </c>
      <c r="B1468" s="1">
        <v>1627513</v>
      </c>
      <c r="C1468" s="1">
        <v>1628073</v>
      </c>
      <c r="E1468" s="1" t="s">
        <v>178</v>
      </c>
      <c r="F1468" s="1" t="s">
        <v>4436</v>
      </c>
      <c r="G1468" s="1" t="s">
        <v>4437</v>
      </c>
      <c r="I1468" s="1" t="s">
        <v>19</v>
      </c>
      <c r="L1468" s="1" t="s">
        <v>4438</v>
      </c>
      <c r="M1468" s="1" t="s">
        <v>4436</v>
      </c>
      <c r="N1468" s="1">
        <v>186</v>
      </c>
      <c r="O1468" s="1" t="s">
        <v>4439</v>
      </c>
    </row>
    <row r="1469" spans="1:17" x14ac:dyDescent="0.35">
      <c r="A1469" s="1" t="s">
        <v>15</v>
      </c>
      <c r="B1469" s="1">
        <v>1628285</v>
      </c>
      <c r="C1469" s="1">
        <v>1630690</v>
      </c>
      <c r="E1469" s="1" t="s">
        <v>178</v>
      </c>
      <c r="F1469" s="1" t="s">
        <v>4440</v>
      </c>
      <c r="I1469" s="1" t="s">
        <v>19</v>
      </c>
      <c r="L1469" s="1" t="s">
        <v>4441</v>
      </c>
      <c r="M1469" s="1" t="s">
        <v>4440</v>
      </c>
      <c r="N1469" s="1">
        <v>801</v>
      </c>
      <c r="O1469" s="1" t="s">
        <v>4442</v>
      </c>
      <c r="Q1469" s="14"/>
    </row>
    <row r="1470" spans="1:17" x14ac:dyDescent="0.35">
      <c r="A1470" s="1" t="s">
        <v>15</v>
      </c>
      <c r="B1470" s="1">
        <v>1631016</v>
      </c>
      <c r="C1470" s="1">
        <v>1632446</v>
      </c>
      <c r="E1470" s="1" t="s">
        <v>178</v>
      </c>
      <c r="F1470" s="1" t="s">
        <v>4443</v>
      </c>
      <c r="I1470" s="1" t="s">
        <v>19</v>
      </c>
      <c r="L1470" s="1" t="s">
        <v>4444</v>
      </c>
      <c r="M1470" s="1" t="s">
        <v>4443</v>
      </c>
      <c r="N1470" s="1">
        <v>476</v>
      </c>
      <c r="O1470" s="1" t="s">
        <v>4445</v>
      </c>
      <c r="Q1470" s="14"/>
    </row>
    <row r="1471" spans="1:17" x14ac:dyDescent="0.35">
      <c r="A1471" s="1" t="s">
        <v>15</v>
      </c>
      <c r="B1471" s="1">
        <v>1632443</v>
      </c>
      <c r="C1471" s="1">
        <v>1633579</v>
      </c>
      <c r="E1471" s="1" t="s">
        <v>178</v>
      </c>
      <c r="F1471" s="1" t="s">
        <v>4446</v>
      </c>
      <c r="G1471" s="1" t="s">
        <v>4447</v>
      </c>
      <c r="I1471" s="1" t="s">
        <v>19</v>
      </c>
      <c r="L1471" s="1" t="s">
        <v>4448</v>
      </c>
      <c r="M1471" s="1" t="s">
        <v>4446</v>
      </c>
      <c r="N1471" s="1">
        <v>378</v>
      </c>
      <c r="O1471" s="1" t="s">
        <v>4449</v>
      </c>
      <c r="Q1471" s="14"/>
    </row>
    <row r="1472" spans="1:17" x14ac:dyDescent="0.35">
      <c r="A1472" s="1" t="s">
        <v>15</v>
      </c>
      <c r="B1472" s="1">
        <v>1633569</v>
      </c>
      <c r="C1472" s="1">
        <v>1634711</v>
      </c>
      <c r="E1472" s="1" t="s">
        <v>178</v>
      </c>
      <c r="F1472" s="1" t="s">
        <v>4446</v>
      </c>
      <c r="I1472" s="1" t="s">
        <v>19</v>
      </c>
      <c r="L1472" s="1" t="s">
        <v>4450</v>
      </c>
      <c r="M1472" s="1" t="s">
        <v>4446</v>
      </c>
      <c r="N1472" s="1">
        <v>380</v>
      </c>
      <c r="O1472" s="1" t="s">
        <v>4451</v>
      </c>
    </row>
    <row r="1473" spans="1:17" x14ac:dyDescent="0.35">
      <c r="A1473" s="1" t="s">
        <v>15</v>
      </c>
      <c r="B1473" s="1">
        <v>1634902</v>
      </c>
      <c r="C1473" s="1">
        <v>1636782</v>
      </c>
      <c r="E1473" s="1" t="s">
        <v>178</v>
      </c>
      <c r="F1473" s="1" t="s">
        <v>4452</v>
      </c>
      <c r="G1473" s="1" t="s">
        <v>4453</v>
      </c>
      <c r="I1473" s="1" t="s">
        <v>19</v>
      </c>
      <c r="L1473" s="1" t="s">
        <v>4454</v>
      </c>
      <c r="M1473" s="1" t="s">
        <v>4452</v>
      </c>
      <c r="N1473" s="1">
        <v>626</v>
      </c>
      <c r="O1473" s="1" t="s">
        <v>4455</v>
      </c>
      <c r="Q1473" s="14"/>
    </row>
    <row r="1474" spans="1:17" x14ac:dyDescent="0.35">
      <c r="A1474" s="1" t="s">
        <v>15</v>
      </c>
      <c r="B1474" s="1">
        <v>1636952</v>
      </c>
      <c r="C1474" s="1">
        <v>1639147</v>
      </c>
      <c r="E1474" s="1" t="s">
        <v>178</v>
      </c>
      <c r="F1474" s="1" t="s">
        <v>4456</v>
      </c>
      <c r="G1474" s="1" t="s">
        <v>4457</v>
      </c>
      <c r="I1474" s="1" t="s">
        <v>19</v>
      </c>
      <c r="L1474" s="1" t="s">
        <v>4458</v>
      </c>
      <c r="M1474" s="1" t="s">
        <v>4456</v>
      </c>
      <c r="N1474" s="1">
        <v>731</v>
      </c>
      <c r="O1474" s="1" t="s">
        <v>4459</v>
      </c>
      <c r="Q1474" s="14"/>
    </row>
    <row r="1475" spans="1:17" x14ac:dyDescent="0.35">
      <c r="A1475" s="1" t="s">
        <v>15</v>
      </c>
      <c r="B1475" s="1">
        <v>1639362</v>
      </c>
      <c r="C1475" s="1">
        <v>1641677</v>
      </c>
      <c r="E1475" s="1" t="s">
        <v>178</v>
      </c>
      <c r="F1475" s="1" t="s">
        <v>66</v>
      </c>
      <c r="G1475" s="1" t="s">
        <v>4460</v>
      </c>
      <c r="I1475" s="1" t="s">
        <v>19</v>
      </c>
      <c r="L1475" s="1" t="s">
        <v>4461</v>
      </c>
      <c r="M1475" s="1" t="s">
        <v>66</v>
      </c>
      <c r="N1475" s="1">
        <v>771</v>
      </c>
      <c r="O1475" s="1" t="s">
        <v>4462</v>
      </c>
    </row>
    <row r="1476" spans="1:17" x14ac:dyDescent="0.35">
      <c r="A1476" s="1" t="s">
        <v>15</v>
      </c>
      <c r="B1476" s="1">
        <v>1641877</v>
      </c>
      <c r="C1476" s="1">
        <v>1642875</v>
      </c>
      <c r="E1476" s="1" t="s">
        <v>178</v>
      </c>
      <c r="F1476" s="1" t="s">
        <v>4463</v>
      </c>
      <c r="G1476" s="1" t="s">
        <v>4464</v>
      </c>
      <c r="I1476" s="1" t="s">
        <v>19</v>
      </c>
      <c r="L1476" s="1" t="s">
        <v>4465</v>
      </c>
      <c r="M1476" s="1" t="s">
        <v>4463</v>
      </c>
      <c r="N1476" s="1">
        <v>332</v>
      </c>
      <c r="O1476" s="1" t="s">
        <v>4466</v>
      </c>
      <c r="Q1476" s="14"/>
    </row>
    <row r="1477" spans="1:17" x14ac:dyDescent="0.35">
      <c r="A1477" s="1" t="s">
        <v>15</v>
      </c>
      <c r="B1477" s="1">
        <v>1642877</v>
      </c>
      <c r="C1477" s="1">
        <v>1643596</v>
      </c>
      <c r="E1477" s="1" t="s">
        <v>178</v>
      </c>
      <c r="F1477" s="1" t="s">
        <v>4467</v>
      </c>
      <c r="G1477" s="1" t="s">
        <v>4468</v>
      </c>
      <c r="I1477" s="1" t="s">
        <v>19</v>
      </c>
      <c r="L1477" s="1" t="s">
        <v>4469</v>
      </c>
      <c r="M1477" s="1" t="s">
        <v>4467</v>
      </c>
      <c r="N1477" s="1">
        <v>239</v>
      </c>
      <c r="O1477" s="1" t="s">
        <v>4470</v>
      </c>
      <c r="Q1477" s="14"/>
    </row>
    <row r="1478" spans="1:17" x14ac:dyDescent="0.35">
      <c r="A1478" s="1" t="s">
        <v>15</v>
      </c>
      <c r="B1478" s="1">
        <v>1643586</v>
      </c>
      <c r="C1478" s="1">
        <v>1644104</v>
      </c>
      <c r="E1478" s="1" t="s">
        <v>178</v>
      </c>
      <c r="F1478" s="1" t="s">
        <v>4471</v>
      </c>
      <c r="G1478" s="1" t="s">
        <v>4472</v>
      </c>
      <c r="I1478" s="1" t="s">
        <v>19</v>
      </c>
      <c r="L1478" s="1" t="s">
        <v>4473</v>
      </c>
      <c r="M1478" s="1" t="s">
        <v>4471</v>
      </c>
      <c r="N1478" s="1">
        <v>172</v>
      </c>
      <c r="O1478" s="1" t="s">
        <v>4474</v>
      </c>
    </row>
    <row r="1479" spans="1:17" x14ac:dyDescent="0.35">
      <c r="A1479" s="1" t="s">
        <v>15</v>
      </c>
      <c r="B1479" s="1">
        <v>1644326</v>
      </c>
      <c r="C1479" s="1">
        <v>1644397</v>
      </c>
      <c r="E1479" s="1" t="s">
        <v>178</v>
      </c>
      <c r="F1479" s="1" t="s">
        <v>261</v>
      </c>
      <c r="I1479" s="1" t="s">
        <v>75</v>
      </c>
      <c r="O1479" s="1" t="s">
        <v>4475</v>
      </c>
    </row>
    <row r="1480" spans="1:17" x14ac:dyDescent="0.35">
      <c r="A1480" s="1" t="s">
        <v>15</v>
      </c>
      <c r="B1480" s="1">
        <v>1644427</v>
      </c>
      <c r="C1480" s="1">
        <v>1644498</v>
      </c>
      <c r="E1480" s="1" t="s">
        <v>178</v>
      </c>
      <c r="F1480" s="1" t="s">
        <v>272</v>
      </c>
      <c r="I1480" s="1" t="s">
        <v>75</v>
      </c>
      <c r="O1480" s="1" t="s">
        <v>4476</v>
      </c>
    </row>
    <row r="1481" spans="1:17" x14ac:dyDescent="0.35">
      <c r="A1481" s="1" t="s">
        <v>15</v>
      </c>
      <c r="B1481" s="1">
        <v>1644801</v>
      </c>
      <c r="C1481" s="1">
        <v>1645445</v>
      </c>
      <c r="E1481" s="1" t="s">
        <v>178</v>
      </c>
      <c r="F1481" s="1" t="s">
        <v>4001</v>
      </c>
      <c r="I1481" s="1" t="s">
        <v>19</v>
      </c>
      <c r="L1481" s="1" t="s">
        <v>4477</v>
      </c>
      <c r="M1481" s="1" t="s">
        <v>4001</v>
      </c>
      <c r="N1481" s="1">
        <v>214</v>
      </c>
      <c r="O1481" s="1" t="s">
        <v>4478</v>
      </c>
    </row>
    <row r="1482" spans="1:17" x14ac:dyDescent="0.35">
      <c r="A1482" s="1" t="s">
        <v>15</v>
      </c>
      <c r="B1482" s="1">
        <v>1645435</v>
      </c>
      <c r="C1482" s="1">
        <v>1646445</v>
      </c>
      <c r="E1482" s="1" t="s">
        <v>178</v>
      </c>
      <c r="F1482" s="1" t="s">
        <v>4479</v>
      </c>
      <c r="G1482" s="1" t="s">
        <v>4480</v>
      </c>
      <c r="I1482" s="1" t="s">
        <v>19</v>
      </c>
      <c r="L1482" s="1" t="s">
        <v>4481</v>
      </c>
      <c r="M1482" s="1" t="s">
        <v>4479</v>
      </c>
      <c r="N1482" s="1">
        <v>336</v>
      </c>
      <c r="O1482" s="1" t="s">
        <v>4482</v>
      </c>
      <c r="Q1482" s="14"/>
    </row>
    <row r="1483" spans="1:17" x14ac:dyDescent="0.35">
      <c r="A1483" s="1" t="s">
        <v>15</v>
      </c>
      <c r="B1483" s="1">
        <v>1646442</v>
      </c>
      <c r="C1483" s="1">
        <v>1647140</v>
      </c>
      <c r="E1483" s="1" t="s">
        <v>178</v>
      </c>
      <c r="F1483" s="1" t="s">
        <v>213</v>
      </c>
      <c r="I1483" s="1" t="s">
        <v>19</v>
      </c>
      <c r="L1483" s="1" t="s">
        <v>4483</v>
      </c>
      <c r="M1483" s="1" t="s">
        <v>213</v>
      </c>
      <c r="N1483" s="1">
        <v>232</v>
      </c>
      <c r="O1483" s="1" t="s">
        <v>4484</v>
      </c>
    </row>
    <row r="1484" spans="1:17" x14ac:dyDescent="0.35">
      <c r="A1484" s="1" t="s">
        <v>15</v>
      </c>
      <c r="B1484" s="1">
        <v>1647303</v>
      </c>
      <c r="C1484" s="1">
        <v>1648061</v>
      </c>
      <c r="E1484" s="1" t="s">
        <v>178</v>
      </c>
      <c r="F1484" s="1" t="s">
        <v>4485</v>
      </c>
      <c r="I1484" s="1" t="s">
        <v>19</v>
      </c>
      <c r="L1484" s="1" t="s">
        <v>4486</v>
      </c>
      <c r="M1484" s="1" t="s">
        <v>4485</v>
      </c>
      <c r="N1484" s="1">
        <v>252</v>
      </c>
      <c r="O1484" s="1" t="s">
        <v>4487</v>
      </c>
    </row>
    <row r="1485" spans="1:17" x14ac:dyDescent="0.35">
      <c r="A1485" s="1" t="s">
        <v>15</v>
      </c>
      <c r="B1485" s="1">
        <v>1648209</v>
      </c>
      <c r="C1485" s="1">
        <v>1650083</v>
      </c>
      <c r="E1485" s="1" t="s">
        <v>178</v>
      </c>
      <c r="F1485" s="1" t="s">
        <v>4488</v>
      </c>
      <c r="G1485" s="1" t="s">
        <v>4489</v>
      </c>
      <c r="I1485" s="1" t="s">
        <v>19</v>
      </c>
      <c r="L1485" s="1" t="s">
        <v>4490</v>
      </c>
      <c r="M1485" s="1" t="s">
        <v>4488</v>
      </c>
      <c r="N1485" s="1">
        <v>624</v>
      </c>
      <c r="O1485" s="1" t="s">
        <v>4491</v>
      </c>
      <c r="Q1485" s="14"/>
    </row>
    <row r="1486" spans="1:17" x14ac:dyDescent="0.35">
      <c r="A1486" s="1" t="s">
        <v>15</v>
      </c>
      <c r="B1486" s="1">
        <v>1650083</v>
      </c>
      <c r="C1486" s="1">
        <v>1650847</v>
      </c>
      <c r="E1486" s="1" t="s">
        <v>178</v>
      </c>
      <c r="F1486" s="1" t="s">
        <v>4492</v>
      </c>
      <c r="G1486" s="1" t="s">
        <v>4493</v>
      </c>
      <c r="I1486" s="1" t="s">
        <v>19</v>
      </c>
      <c r="L1486" s="1" t="s">
        <v>4494</v>
      </c>
      <c r="M1486" s="1" t="s">
        <v>4492</v>
      </c>
      <c r="N1486" s="1">
        <v>254</v>
      </c>
      <c r="O1486" s="1" t="s">
        <v>4495</v>
      </c>
      <c r="Q1486" s="14"/>
    </row>
    <row r="1487" spans="1:17" x14ac:dyDescent="0.35">
      <c r="A1487" s="1" t="s">
        <v>15</v>
      </c>
      <c r="B1487" s="1">
        <v>1650864</v>
      </c>
      <c r="C1487" s="1">
        <v>1652192</v>
      </c>
      <c r="E1487" s="1" t="s">
        <v>178</v>
      </c>
      <c r="F1487" s="1" t="s">
        <v>4496</v>
      </c>
      <c r="G1487" s="1" t="s">
        <v>4497</v>
      </c>
      <c r="I1487" s="1" t="s">
        <v>19</v>
      </c>
      <c r="L1487" s="1" t="s">
        <v>4498</v>
      </c>
      <c r="M1487" s="1" t="s">
        <v>4496</v>
      </c>
      <c r="N1487" s="1">
        <v>442</v>
      </c>
      <c r="O1487" s="1" t="s">
        <v>4499</v>
      </c>
      <c r="Q1487" s="14"/>
    </row>
    <row r="1488" spans="1:17" x14ac:dyDescent="0.35">
      <c r="A1488" s="1" t="s">
        <v>15</v>
      </c>
      <c r="B1488" s="1">
        <v>1652176</v>
      </c>
      <c r="C1488" s="1">
        <v>1653111</v>
      </c>
      <c r="E1488" s="1" t="s">
        <v>178</v>
      </c>
      <c r="F1488" s="1" t="s">
        <v>4500</v>
      </c>
      <c r="G1488" s="1" t="s">
        <v>4501</v>
      </c>
      <c r="I1488" s="1" t="s">
        <v>19</v>
      </c>
      <c r="L1488" s="1" t="s">
        <v>4502</v>
      </c>
      <c r="M1488" s="1" t="s">
        <v>4500</v>
      </c>
      <c r="N1488" s="1">
        <v>311</v>
      </c>
      <c r="O1488" s="1" t="s">
        <v>4503</v>
      </c>
      <c r="Q1488" s="14"/>
    </row>
    <row r="1489" spans="1:17" x14ac:dyDescent="0.35">
      <c r="A1489" s="1" t="s">
        <v>15</v>
      </c>
      <c r="B1489" s="1">
        <v>1653129</v>
      </c>
      <c r="C1489" s="1">
        <v>1655525</v>
      </c>
      <c r="E1489" s="1" t="s">
        <v>178</v>
      </c>
      <c r="F1489" s="1" t="s">
        <v>4504</v>
      </c>
      <c r="G1489" s="1" t="s">
        <v>4505</v>
      </c>
      <c r="I1489" s="1" t="s">
        <v>19</v>
      </c>
      <c r="L1489" s="1" t="s">
        <v>4506</v>
      </c>
      <c r="M1489" s="1" t="s">
        <v>4504</v>
      </c>
      <c r="N1489" s="1">
        <v>798</v>
      </c>
      <c r="O1489" s="1" t="s">
        <v>4507</v>
      </c>
      <c r="Q1489" s="14"/>
    </row>
    <row r="1490" spans="1:17" x14ac:dyDescent="0.35">
      <c r="A1490" s="1" t="s">
        <v>15</v>
      </c>
      <c r="B1490" s="1">
        <v>1655668</v>
      </c>
      <c r="C1490" s="1">
        <v>1655982</v>
      </c>
      <c r="E1490" s="1" t="s">
        <v>178</v>
      </c>
      <c r="F1490" s="1" t="s">
        <v>4508</v>
      </c>
      <c r="G1490" s="1" t="s">
        <v>4509</v>
      </c>
      <c r="I1490" s="1" t="s">
        <v>19</v>
      </c>
      <c r="L1490" s="1" t="s">
        <v>4510</v>
      </c>
      <c r="M1490" s="1" t="s">
        <v>4508</v>
      </c>
      <c r="N1490" s="1">
        <v>104</v>
      </c>
      <c r="O1490" s="1" t="s">
        <v>4511</v>
      </c>
      <c r="Q1490" s="14"/>
    </row>
    <row r="1491" spans="1:17" x14ac:dyDescent="0.35">
      <c r="A1491" s="1" t="s">
        <v>15</v>
      </c>
      <c r="B1491" s="1">
        <v>1656004</v>
      </c>
      <c r="C1491" s="1">
        <v>1656633</v>
      </c>
      <c r="E1491" s="1" t="s">
        <v>178</v>
      </c>
      <c r="F1491" s="1" t="s">
        <v>4512</v>
      </c>
      <c r="G1491" s="1" t="s">
        <v>4513</v>
      </c>
      <c r="I1491" s="1" t="s">
        <v>19</v>
      </c>
      <c r="L1491" s="1" t="s">
        <v>4514</v>
      </c>
      <c r="M1491" s="1" t="s">
        <v>4512</v>
      </c>
      <c r="N1491" s="1">
        <v>209</v>
      </c>
      <c r="O1491" s="1" t="s">
        <v>4515</v>
      </c>
      <c r="Q1491" s="14"/>
    </row>
    <row r="1492" spans="1:17" x14ac:dyDescent="0.35">
      <c r="A1492" s="1" t="s">
        <v>15</v>
      </c>
      <c r="B1492" s="1">
        <v>1656868</v>
      </c>
      <c r="C1492" s="1">
        <v>1658265</v>
      </c>
      <c r="E1492" s="1" t="s">
        <v>178</v>
      </c>
      <c r="F1492" s="1" t="s">
        <v>4516</v>
      </c>
      <c r="G1492" s="1" t="s">
        <v>4517</v>
      </c>
      <c r="I1492" s="1" t="s">
        <v>19</v>
      </c>
      <c r="L1492" s="1" t="s">
        <v>4518</v>
      </c>
      <c r="M1492" s="1" t="s">
        <v>4516</v>
      </c>
      <c r="N1492" s="1">
        <v>465</v>
      </c>
      <c r="O1492" s="1" t="s">
        <v>4519</v>
      </c>
    </row>
    <row r="1493" spans="1:17" x14ac:dyDescent="0.35">
      <c r="A1493" s="1" t="s">
        <v>15</v>
      </c>
      <c r="B1493" s="1">
        <v>1658276</v>
      </c>
      <c r="C1493" s="1">
        <v>1659094</v>
      </c>
      <c r="E1493" s="1" t="s">
        <v>178</v>
      </c>
      <c r="F1493" s="1" t="s">
        <v>2980</v>
      </c>
      <c r="I1493" s="1" t="s">
        <v>19</v>
      </c>
      <c r="L1493" s="1" t="s">
        <v>4520</v>
      </c>
      <c r="M1493" s="1" t="s">
        <v>2980</v>
      </c>
      <c r="N1493" s="1">
        <v>272</v>
      </c>
      <c r="O1493" s="1" t="s">
        <v>4521</v>
      </c>
      <c r="Q1493" s="14"/>
    </row>
    <row r="1494" spans="1:17" x14ac:dyDescent="0.35">
      <c r="A1494" s="1" t="s">
        <v>15</v>
      </c>
      <c r="B1494" s="1">
        <v>1659087</v>
      </c>
      <c r="C1494" s="1">
        <v>1659881</v>
      </c>
      <c r="E1494" s="1" t="s">
        <v>178</v>
      </c>
      <c r="F1494" s="1" t="s">
        <v>3157</v>
      </c>
      <c r="I1494" s="1" t="s">
        <v>19</v>
      </c>
      <c r="L1494" s="1" t="s">
        <v>4522</v>
      </c>
      <c r="M1494" s="1" t="s">
        <v>3157</v>
      </c>
      <c r="N1494" s="1">
        <v>264</v>
      </c>
      <c r="O1494" s="1" t="s">
        <v>4523</v>
      </c>
      <c r="Q1494" s="14"/>
    </row>
    <row r="1495" spans="1:17" x14ac:dyDescent="0.35">
      <c r="A1495" s="1" t="s">
        <v>15</v>
      </c>
      <c r="B1495" s="1">
        <v>1660063</v>
      </c>
      <c r="C1495" s="1">
        <v>1660440</v>
      </c>
      <c r="E1495" s="1" t="s">
        <v>16</v>
      </c>
      <c r="F1495" s="1" t="s">
        <v>3599</v>
      </c>
      <c r="I1495" s="1" t="s">
        <v>19</v>
      </c>
      <c r="L1495" s="1" t="s">
        <v>4524</v>
      </c>
      <c r="M1495" s="1" t="s">
        <v>3599</v>
      </c>
      <c r="N1495" s="1">
        <v>125</v>
      </c>
      <c r="O1495" s="1" t="s">
        <v>4525</v>
      </c>
    </row>
    <row r="1496" spans="1:17" x14ac:dyDescent="0.35">
      <c r="A1496" s="1" t="s">
        <v>15</v>
      </c>
      <c r="B1496" s="1">
        <v>1660445</v>
      </c>
      <c r="C1496" s="1">
        <v>1661143</v>
      </c>
      <c r="E1496" s="1" t="s">
        <v>16</v>
      </c>
      <c r="F1496" s="1" t="s">
        <v>1660</v>
      </c>
      <c r="I1496" s="1" t="s">
        <v>19</v>
      </c>
      <c r="L1496" s="1" t="s">
        <v>4526</v>
      </c>
      <c r="M1496" s="1" t="s">
        <v>1660</v>
      </c>
      <c r="N1496" s="1">
        <v>232</v>
      </c>
      <c r="O1496" s="1" t="s">
        <v>4527</v>
      </c>
    </row>
    <row r="1497" spans="1:17" x14ac:dyDescent="0.35">
      <c r="A1497" s="1" t="s">
        <v>15</v>
      </c>
      <c r="B1497" s="1">
        <v>1661149</v>
      </c>
      <c r="C1497" s="1">
        <v>1661940</v>
      </c>
      <c r="E1497" s="1" t="s">
        <v>16</v>
      </c>
      <c r="F1497" s="1" t="s">
        <v>1663</v>
      </c>
      <c r="I1497" s="1" t="s">
        <v>19</v>
      </c>
      <c r="L1497" s="1" t="s">
        <v>4528</v>
      </c>
      <c r="M1497" s="1" t="s">
        <v>1663</v>
      </c>
      <c r="N1497" s="1">
        <v>263</v>
      </c>
      <c r="O1497" s="1" t="s">
        <v>4529</v>
      </c>
    </row>
    <row r="1498" spans="1:17" x14ac:dyDescent="0.35">
      <c r="A1498" s="1" t="s">
        <v>15</v>
      </c>
      <c r="B1498" s="1">
        <v>1661990</v>
      </c>
      <c r="C1498" s="1">
        <v>1662919</v>
      </c>
      <c r="E1498" s="1" t="s">
        <v>178</v>
      </c>
      <c r="F1498" s="1" t="s">
        <v>4530</v>
      </c>
      <c r="G1498" s="1" t="s">
        <v>4531</v>
      </c>
      <c r="I1498" s="1" t="s">
        <v>19</v>
      </c>
      <c r="L1498" s="1" t="s">
        <v>4532</v>
      </c>
      <c r="M1498" s="1" t="s">
        <v>4530</v>
      </c>
      <c r="N1498" s="1">
        <v>309</v>
      </c>
      <c r="O1498" s="1" t="s">
        <v>4533</v>
      </c>
    </row>
    <row r="1499" spans="1:17" x14ac:dyDescent="0.35">
      <c r="A1499" s="1" t="s">
        <v>15</v>
      </c>
      <c r="B1499" s="1">
        <v>1662912</v>
      </c>
      <c r="C1499" s="1">
        <v>1663997</v>
      </c>
      <c r="E1499" s="1" t="s">
        <v>178</v>
      </c>
      <c r="F1499" s="1" t="s">
        <v>4530</v>
      </c>
      <c r="G1499" s="1" t="s">
        <v>4534</v>
      </c>
      <c r="I1499" s="1" t="s">
        <v>19</v>
      </c>
      <c r="L1499" s="1" t="s">
        <v>4535</v>
      </c>
      <c r="M1499" s="1" t="s">
        <v>4530</v>
      </c>
      <c r="N1499" s="1">
        <v>361</v>
      </c>
      <c r="O1499" s="1" t="s">
        <v>4536</v>
      </c>
    </row>
    <row r="1500" spans="1:17" x14ac:dyDescent="0.35">
      <c r="A1500" s="1" t="s">
        <v>15</v>
      </c>
      <c r="B1500" s="1">
        <v>1664007</v>
      </c>
      <c r="C1500" s="1">
        <v>1664933</v>
      </c>
      <c r="E1500" s="1" t="s">
        <v>178</v>
      </c>
      <c r="F1500" s="1" t="s">
        <v>4537</v>
      </c>
      <c r="G1500" s="1" t="s">
        <v>4538</v>
      </c>
      <c r="I1500" s="1" t="s">
        <v>19</v>
      </c>
      <c r="L1500" s="1" t="s">
        <v>4539</v>
      </c>
      <c r="M1500" s="1" t="s">
        <v>4537</v>
      </c>
      <c r="N1500" s="1">
        <v>308</v>
      </c>
      <c r="O1500" s="1" t="s">
        <v>4540</v>
      </c>
    </row>
    <row r="1501" spans="1:17" x14ac:dyDescent="0.35">
      <c r="A1501" s="1" t="s">
        <v>15</v>
      </c>
      <c r="B1501" s="1">
        <v>1664933</v>
      </c>
      <c r="C1501" s="1">
        <v>1666426</v>
      </c>
      <c r="E1501" s="1" t="s">
        <v>178</v>
      </c>
      <c r="F1501" s="1" t="s">
        <v>4541</v>
      </c>
      <c r="G1501" s="1" t="s">
        <v>4542</v>
      </c>
      <c r="I1501" s="1" t="s">
        <v>19</v>
      </c>
      <c r="L1501" s="1" t="s">
        <v>4543</v>
      </c>
      <c r="M1501" s="1" t="s">
        <v>4541</v>
      </c>
      <c r="N1501" s="1">
        <v>497</v>
      </c>
      <c r="O1501" s="1" t="s">
        <v>4544</v>
      </c>
    </row>
    <row r="1502" spans="1:17" x14ac:dyDescent="0.35">
      <c r="A1502" s="1" t="s">
        <v>15</v>
      </c>
      <c r="B1502" s="1">
        <v>1666487</v>
      </c>
      <c r="C1502" s="1">
        <v>1668457</v>
      </c>
      <c r="E1502" s="1" t="s">
        <v>178</v>
      </c>
      <c r="F1502" s="1" t="s">
        <v>4545</v>
      </c>
      <c r="G1502" s="1" t="s">
        <v>4546</v>
      </c>
      <c r="I1502" s="1" t="s">
        <v>19</v>
      </c>
      <c r="L1502" s="1" t="s">
        <v>4547</v>
      </c>
      <c r="M1502" s="1" t="s">
        <v>4545</v>
      </c>
      <c r="N1502" s="1">
        <v>656</v>
      </c>
      <c r="O1502" s="1" t="s">
        <v>4548</v>
      </c>
    </row>
    <row r="1503" spans="1:17" x14ac:dyDescent="0.35">
      <c r="A1503" s="1" t="s">
        <v>15</v>
      </c>
      <c r="B1503" s="1">
        <v>1668639</v>
      </c>
      <c r="C1503" s="1">
        <v>1670609</v>
      </c>
      <c r="E1503" s="1" t="s">
        <v>178</v>
      </c>
      <c r="F1503" s="1" t="s">
        <v>4545</v>
      </c>
      <c r="G1503" s="1" t="s">
        <v>4549</v>
      </c>
      <c r="I1503" s="1" t="s">
        <v>19</v>
      </c>
      <c r="L1503" s="1" t="s">
        <v>4550</v>
      </c>
      <c r="M1503" s="1" t="s">
        <v>4545</v>
      </c>
      <c r="N1503" s="1">
        <v>656</v>
      </c>
      <c r="O1503" s="1" t="s">
        <v>4551</v>
      </c>
    </row>
    <row r="1504" spans="1:17" x14ac:dyDescent="0.35">
      <c r="A1504" s="1" t="s">
        <v>15</v>
      </c>
      <c r="B1504" s="1">
        <v>1670845</v>
      </c>
      <c r="C1504" s="1">
        <v>1671828</v>
      </c>
      <c r="E1504" s="1" t="s">
        <v>178</v>
      </c>
      <c r="F1504" s="1" t="s">
        <v>4552</v>
      </c>
      <c r="G1504" s="1" t="s">
        <v>4553</v>
      </c>
      <c r="I1504" s="1" t="s">
        <v>19</v>
      </c>
      <c r="L1504" s="1" t="s">
        <v>4554</v>
      </c>
      <c r="M1504" s="1" t="s">
        <v>4552</v>
      </c>
      <c r="N1504" s="1">
        <v>327</v>
      </c>
      <c r="O1504" s="1" t="s">
        <v>4555</v>
      </c>
      <c r="Q1504" s="14"/>
    </row>
    <row r="1505" spans="1:17" x14ac:dyDescent="0.35">
      <c r="A1505" s="1" t="s">
        <v>15</v>
      </c>
      <c r="B1505" s="1">
        <v>1671842</v>
      </c>
      <c r="C1505" s="1">
        <v>1672738</v>
      </c>
      <c r="E1505" s="1" t="s">
        <v>178</v>
      </c>
      <c r="F1505" s="1" t="s">
        <v>4556</v>
      </c>
      <c r="G1505" s="1" t="s">
        <v>4557</v>
      </c>
      <c r="I1505" s="1" t="s">
        <v>19</v>
      </c>
      <c r="L1505" s="1" t="s">
        <v>4558</v>
      </c>
      <c r="M1505" s="1" t="s">
        <v>4556</v>
      </c>
      <c r="N1505" s="1">
        <v>298</v>
      </c>
      <c r="O1505" s="1" t="s">
        <v>4559</v>
      </c>
      <c r="Q1505" s="14"/>
    </row>
    <row r="1506" spans="1:17" x14ac:dyDescent="0.35">
      <c r="A1506" s="1" t="s">
        <v>15</v>
      </c>
      <c r="B1506" s="1">
        <v>1672735</v>
      </c>
      <c r="C1506" s="1">
        <v>1673562</v>
      </c>
      <c r="E1506" s="1" t="s">
        <v>178</v>
      </c>
      <c r="F1506" s="1" t="s">
        <v>4560</v>
      </c>
      <c r="G1506" s="1" t="s">
        <v>4561</v>
      </c>
      <c r="I1506" s="1" t="s">
        <v>19</v>
      </c>
      <c r="L1506" s="1" t="s">
        <v>4562</v>
      </c>
      <c r="M1506" s="1" t="s">
        <v>4560</v>
      </c>
      <c r="N1506" s="1">
        <v>275</v>
      </c>
      <c r="O1506" s="1" t="s">
        <v>4563</v>
      </c>
      <c r="Q1506" s="14"/>
    </row>
    <row r="1507" spans="1:17" x14ac:dyDescent="0.35">
      <c r="A1507" s="1" t="s">
        <v>15</v>
      </c>
      <c r="B1507" s="1">
        <v>1673543</v>
      </c>
      <c r="C1507" s="1">
        <v>1674217</v>
      </c>
      <c r="E1507" s="1" t="s">
        <v>178</v>
      </c>
      <c r="F1507" s="1" t="s">
        <v>4564</v>
      </c>
      <c r="I1507" s="1" t="s">
        <v>19</v>
      </c>
      <c r="L1507" s="1" t="s">
        <v>4565</v>
      </c>
      <c r="M1507" s="1" t="s">
        <v>4564</v>
      </c>
      <c r="N1507" s="1">
        <v>224</v>
      </c>
      <c r="O1507" s="1" t="s">
        <v>4566</v>
      </c>
      <c r="Q1507" s="14"/>
    </row>
    <row r="1508" spans="1:17" x14ac:dyDescent="0.35">
      <c r="A1508" s="1" t="s">
        <v>15</v>
      </c>
      <c r="B1508" s="1">
        <v>1674313</v>
      </c>
      <c r="C1508" s="1">
        <v>1674888</v>
      </c>
      <c r="E1508" s="1" t="s">
        <v>16</v>
      </c>
      <c r="F1508" s="1" t="s">
        <v>54</v>
      </c>
      <c r="I1508" s="1" t="s">
        <v>19</v>
      </c>
      <c r="L1508" s="1" t="s">
        <v>4567</v>
      </c>
      <c r="M1508" s="1" t="s">
        <v>54</v>
      </c>
      <c r="N1508" s="1">
        <v>191</v>
      </c>
      <c r="O1508" s="1" t="s">
        <v>4568</v>
      </c>
    </row>
    <row r="1509" spans="1:17" x14ac:dyDescent="0.35">
      <c r="A1509" s="1" t="s">
        <v>15</v>
      </c>
      <c r="B1509" s="1">
        <v>1675162</v>
      </c>
      <c r="C1509" s="1">
        <v>1676133</v>
      </c>
      <c r="E1509" s="1" t="s">
        <v>16</v>
      </c>
      <c r="F1509" s="1" t="s">
        <v>124</v>
      </c>
      <c r="G1509" s="1" t="s">
        <v>4569</v>
      </c>
      <c r="I1509" s="1" t="s">
        <v>19</v>
      </c>
      <c r="L1509" s="1" t="s">
        <v>4570</v>
      </c>
      <c r="M1509" s="1" t="s">
        <v>124</v>
      </c>
      <c r="N1509" s="1">
        <v>323</v>
      </c>
      <c r="O1509" s="1" t="s">
        <v>4571</v>
      </c>
      <c r="Q1509" s="14"/>
    </row>
    <row r="1510" spans="1:17" x14ac:dyDescent="0.35">
      <c r="A1510" s="1" t="s">
        <v>15</v>
      </c>
      <c r="B1510" s="1">
        <v>1676137</v>
      </c>
      <c r="C1510" s="1">
        <v>1677249</v>
      </c>
      <c r="E1510" s="1" t="s">
        <v>16</v>
      </c>
      <c r="F1510" s="1" t="s">
        <v>4572</v>
      </c>
      <c r="I1510" s="1" t="s">
        <v>19</v>
      </c>
      <c r="L1510" s="1" t="s">
        <v>4573</v>
      </c>
      <c r="M1510" s="1" t="s">
        <v>4572</v>
      </c>
      <c r="N1510" s="1">
        <v>370</v>
      </c>
      <c r="O1510" s="1" t="s">
        <v>4574</v>
      </c>
      <c r="Q1510" s="14"/>
    </row>
    <row r="1511" spans="1:17" x14ac:dyDescent="0.35">
      <c r="A1511" s="1" t="s">
        <v>15</v>
      </c>
      <c r="B1511" s="1">
        <v>1677251</v>
      </c>
      <c r="C1511" s="1">
        <v>1677598</v>
      </c>
      <c r="E1511" s="1" t="s">
        <v>16</v>
      </c>
      <c r="F1511" s="1" t="s">
        <v>54</v>
      </c>
      <c r="I1511" s="1" t="s">
        <v>19</v>
      </c>
      <c r="L1511" s="1" t="s">
        <v>4575</v>
      </c>
      <c r="M1511" s="1" t="s">
        <v>54</v>
      </c>
      <c r="N1511" s="1">
        <v>115</v>
      </c>
      <c r="O1511" s="1" t="s">
        <v>4576</v>
      </c>
    </row>
    <row r="1512" spans="1:17" x14ac:dyDescent="0.35">
      <c r="A1512" s="1" t="s">
        <v>15</v>
      </c>
      <c r="B1512" s="1">
        <v>1677740</v>
      </c>
      <c r="C1512" s="1">
        <v>1678399</v>
      </c>
      <c r="E1512" s="1" t="s">
        <v>16</v>
      </c>
      <c r="F1512" s="1" t="s">
        <v>4577</v>
      </c>
      <c r="G1512" s="1" t="s">
        <v>4578</v>
      </c>
      <c r="I1512" s="1" t="s">
        <v>19</v>
      </c>
      <c r="L1512" s="1" t="s">
        <v>4579</v>
      </c>
      <c r="M1512" s="1" t="s">
        <v>4577</v>
      </c>
      <c r="N1512" s="1">
        <v>219</v>
      </c>
      <c r="O1512" s="1" t="s">
        <v>4580</v>
      </c>
    </row>
    <row r="1513" spans="1:17" x14ac:dyDescent="0.35">
      <c r="A1513" s="1" t="s">
        <v>15</v>
      </c>
      <c r="B1513" s="1">
        <v>1678392</v>
      </c>
      <c r="C1513" s="1">
        <v>1679087</v>
      </c>
      <c r="E1513" s="1" t="s">
        <v>16</v>
      </c>
      <c r="F1513" s="1" t="s">
        <v>4581</v>
      </c>
      <c r="I1513" s="1" t="s">
        <v>19</v>
      </c>
      <c r="L1513" s="1" t="s">
        <v>4582</v>
      </c>
      <c r="M1513" s="1" t="s">
        <v>4581</v>
      </c>
      <c r="N1513" s="1">
        <v>231</v>
      </c>
      <c r="O1513" s="1" t="s">
        <v>4583</v>
      </c>
    </row>
    <row r="1514" spans="1:17" x14ac:dyDescent="0.35">
      <c r="A1514" s="1" t="s">
        <v>15</v>
      </c>
      <c r="B1514" s="1">
        <v>1679144</v>
      </c>
      <c r="C1514" s="1">
        <v>1679830</v>
      </c>
      <c r="E1514" s="1" t="s">
        <v>178</v>
      </c>
      <c r="F1514" s="1" t="s">
        <v>4584</v>
      </c>
      <c r="G1514" s="1" t="s">
        <v>4585</v>
      </c>
      <c r="I1514" s="1" t="s">
        <v>19</v>
      </c>
      <c r="L1514" s="1" t="s">
        <v>4586</v>
      </c>
      <c r="M1514" s="1" t="s">
        <v>4584</v>
      </c>
      <c r="N1514" s="1">
        <v>228</v>
      </c>
      <c r="O1514" s="1" t="s">
        <v>4587</v>
      </c>
    </row>
    <row r="1515" spans="1:17" x14ac:dyDescent="0.35">
      <c r="A1515" s="1" t="s">
        <v>15</v>
      </c>
      <c r="B1515" s="1">
        <v>1679875</v>
      </c>
      <c r="C1515" s="1">
        <v>1681884</v>
      </c>
      <c r="E1515" s="1" t="s">
        <v>178</v>
      </c>
      <c r="F1515" s="1" t="s">
        <v>54</v>
      </c>
      <c r="I1515" s="1" t="s">
        <v>19</v>
      </c>
      <c r="L1515" s="1" t="s">
        <v>4588</v>
      </c>
      <c r="M1515" s="1" t="s">
        <v>54</v>
      </c>
      <c r="N1515" s="1">
        <v>669</v>
      </c>
      <c r="O1515" s="1" t="s">
        <v>4589</v>
      </c>
    </row>
    <row r="1516" spans="1:17" x14ac:dyDescent="0.35">
      <c r="A1516" s="1" t="s">
        <v>15</v>
      </c>
      <c r="B1516" s="1">
        <v>1681887</v>
      </c>
      <c r="C1516" s="1">
        <v>1683329</v>
      </c>
      <c r="E1516" s="1" t="s">
        <v>178</v>
      </c>
      <c r="F1516" s="1" t="s">
        <v>4590</v>
      </c>
      <c r="I1516" s="1" t="s">
        <v>19</v>
      </c>
      <c r="L1516" s="1" t="s">
        <v>4591</v>
      </c>
      <c r="M1516" s="1" t="s">
        <v>4590</v>
      </c>
      <c r="N1516" s="1">
        <v>480</v>
      </c>
      <c r="O1516" s="1" t="s">
        <v>4592</v>
      </c>
    </row>
    <row r="1517" spans="1:17" x14ac:dyDescent="0.35">
      <c r="A1517" s="1" t="s">
        <v>15</v>
      </c>
      <c r="B1517" s="1">
        <v>1683326</v>
      </c>
      <c r="C1517" s="1">
        <v>1684252</v>
      </c>
      <c r="E1517" s="1" t="s">
        <v>178</v>
      </c>
      <c r="F1517" s="1" t="s">
        <v>1190</v>
      </c>
      <c r="I1517" s="1" t="s">
        <v>19</v>
      </c>
      <c r="L1517" s="1" t="s">
        <v>4593</v>
      </c>
      <c r="M1517" s="1" t="s">
        <v>1190</v>
      </c>
      <c r="N1517" s="1">
        <v>308</v>
      </c>
      <c r="O1517" s="1" t="s">
        <v>4594</v>
      </c>
    </row>
    <row r="1518" spans="1:17" x14ac:dyDescent="0.35">
      <c r="A1518" s="1" t="s">
        <v>15</v>
      </c>
      <c r="B1518" s="1">
        <v>1684249</v>
      </c>
      <c r="C1518" s="1">
        <v>1686030</v>
      </c>
      <c r="E1518" s="1" t="s">
        <v>178</v>
      </c>
      <c r="F1518" s="1" t="s">
        <v>4595</v>
      </c>
      <c r="G1518" s="1" t="s">
        <v>4596</v>
      </c>
      <c r="I1518" s="1" t="s">
        <v>19</v>
      </c>
      <c r="L1518" s="1" t="s">
        <v>4597</v>
      </c>
      <c r="M1518" s="1" t="s">
        <v>4595</v>
      </c>
      <c r="N1518" s="1">
        <v>593</v>
      </c>
      <c r="O1518" s="1" t="s">
        <v>4598</v>
      </c>
      <c r="Q1518" s="14"/>
    </row>
    <row r="1519" spans="1:17" x14ac:dyDescent="0.35">
      <c r="A1519" s="1" t="s">
        <v>15</v>
      </c>
      <c r="B1519" s="1">
        <v>1686027</v>
      </c>
      <c r="C1519" s="1">
        <v>1687073</v>
      </c>
      <c r="E1519" s="1" t="s">
        <v>178</v>
      </c>
      <c r="F1519" s="1" t="s">
        <v>4599</v>
      </c>
      <c r="G1519" s="1" t="s">
        <v>4600</v>
      </c>
      <c r="I1519" s="1" t="s">
        <v>19</v>
      </c>
      <c r="L1519" s="1" t="s">
        <v>4601</v>
      </c>
      <c r="M1519" s="1" t="s">
        <v>4599</v>
      </c>
      <c r="N1519" s="1">
        <v>348</v>
      </c>
      <c r="O1519" s="1" t="s">
        <v>4602</v>
      </c>
      <c r="Q1519" s="14"/>
    </row>
    <row r="1520" spans="1:17" x14ac:dyDescent="0.35">
      <c r="A1520" s="1" t="s">
        <v>15</v>
      </c>
      <c r="B1520" s="1">
        <v>1687094</v>
      </c>
      <c r="C1520" s="1">
        <v>1688299</v>
      </c>
      <c r="E1520" s="1" t="s">
        <v>178</v>
      </c>
      <c r="F1520" s="1" t="s">
        <v>4603</v>
      </c>
      <c r="G1520" s="1" t="s">
        <v>4604</v>
      </c>
      <c r="I1520" s="1" t="s">
        <v>19</v>
      </c>
      <c r="L1520" s="1" t="s">
        <v>4605</v>
      </c>
      <c r="M1520" s="1" t="s">
        <v>4603</v>
      </c>
      <c r="N1520" s="1">
        <v>401</v>
      </c>
      <c r="O1520" s="1" t="s">
        <v>4606</v>
      </c>
      <c r="Q1520" s="14"/>
    </row>
    <row r="1521" spans="1:17" x14ac:dyDescent="0.35">
      <c r="A1521" s="1" t="s">
        <v>15</v>
      </c>
      <c r="B1521" s="1">
        <v>1688299</v>
      </c>
      <c r="C1521" s="1">
        <v>1689108</v>
      </c>
      <c r="E1521" s="1" t="s">
        <v>178</v>
      </c>
      <c r="F1521" s="1" t="s">
        <v>4607</v>
      </c>
      <c r="G1521" s="1" t="s">
        <v>4608</v>
      </c>
      <c r="I1521" s="1" t="s">
        <v>19</v>
      </c>
      <c r="L1521" s="1" t="s">
        <v>4609</v>
      </c>
      <c r="M1521" s="1" t="s">
        <v>4607</v>
      </c>
      <c r="N1521" s="1">
        <v>269</v>
      </c>
      <c r="O1521" s="1" t="s">
        <v>4610</v>
      </c>
    </row>
    <row r="1522" spans="1:17" x14ac:dyDescent="0.35">
      <c r="A1522" s="1" t="s">
        <v>15</v>
      </c>
      <c r="B1522" s="1">
        <v>1689092</v>
      </c>
      <c r="C1522" s="1">
        <v>1690048</v>
      </c>
      <c r="E1522" s="1" t="s">
        <v>178</v>
      </c>
      <c r="F1522" s="1" t="s">
        <v>4611</v>
      </c>
      <c r="G1522" s="1" t="s">
        <v>4612</v>
      </c>
      <c r="I1522" s="1" t="s">
        <v>19</v>
      </c>
      <c r="L1522" s="1" t="s">
        <v>4613</v>
      </c>
      <c r="M1522" s="1" t="s">
        <v>4611</v>
      </c>
      <c r="N1522" s="1">
        <v>318</v>
      </c>
      <c r="O1522" s="1" t="s">
        <v>4614</v>
      </c>
      <c r="Q1522" s="14"/>
    </row>
    <row r="1523" spans="1:17" x14ac:dyDescent="0.35">
      <c r="A1523" s="1" t="s">
        <v>15</v>
      </c>
      <c r="B1523" s="1">
        <v>1690045</v>
      </c>
      <c r="C1523" s="1">
        <v>1691193</v>
      </c>
      <c r="E1523" s="1" t="s">
        <v>178</v>
      </c>
      <c r="F1523" s="1" t="s">
        <v>4615</v>
      </c>
      <c r="G1523" s="1" t="s">
        <v>4616</v>
      </c>
      <c r="I1523" s="1" t="s">
        <v>19</v>
      </c>
      <c r="L1523" s="1" t="s">
        <v>4617</v>
      </c>
      <c r="M1523" s="1" t="s">
        <v>4615</v>
      </c>
      <c r="N1523" s="1">
        <v>382</v>
      </c>
      <c r="O1523" s="1" t="s">
        <v>4618</v>
      </c>
      <c r="Q1523" s="14"/>
    </row>
    <row r="1524" spans="1:17" x14ac:dyDescent="0.35">
      <c r="A1524" s="1" t="s">
        <v>15</v>
      </c>
      <c r="B1524" s="1">
        <v>1691296</v>
      </c>
      <c r="C1524" s="1">
        <v>1692147</v>
      </c>
      <c r="E1524" s="1" t="s">
        <v>178</v>
      </c>
      <c r="F1524" s="1" t="s">
        <v>4619</v>
      </c>
      <c r="G1524" s="1" t="s">
        <v>4620</v>
      </c>
      <c r="I1524" s="1" t="s">
        <v>19</v>
      </c>
      <c r="L1524" s="1" t="s">
        <v>4621</v>
      </c>
      <c r="M1524" s="1" t="s">
        <v>4619</v>
      </c>
      <c r="N1524" s="1">
        <v>283</v>
      </c>
      <c r="O1524" s="1" t="s">
        <v>4622</v>
      </c>
      <c r="Q1524" s="14"/>
    </row>
    <row r="1525" spans="1:17" x14ac:dyDescent="0.35">
      <c r="A1525" s="1" t="s">
        <v>15</v>
      </c>
      <c r="B1525" s="1">
        <v>1692267</v>
      </c>
      <c r="C1525" s="1">
        <v>1693193</v>
      </c>
      <c r="E1525" s="1" t="s">
        <v>178</v>
      </c>
      <c r="F1525" s="1" t="s">
        <v>4623</v>
      </c>
      <c r="G1525" s="1" t="s">
        <v>4624</v>
      </c>
      <c r="I1525" s="1" t="s">
        <v>19</v>
      </c>
      <c r="L1525" s="1" t="s">
        <v>4625</v>
      </c>
      <c r="M1525" s="1" t="s">
        <v>4623</v>
      </c>
      <c r="N1525" s="1">
        <v>308</v>
      </c>
      <c r="O1525" s="1" t="s">
        <v>4626</v>
      </c>
      <c r="Q1525" s="14"/>
    </row>
    <row r="1526" spans="1:17" x14ac:dyDescent="0.35">
      <c r="A1526" s="1" t="s">
        <v>15</v>
      </c>
      <c r="B1526" s="1">
        <v>1693204</v>
      </c>
      <c r="C1526" s="1">
        <v>1693539</v>
      </c>
      <c r="E1526" s="1" t="s">
        <v>178</v>
      </c>
      <c r="F1526" s="1" t="s">
        <v>4627</v>
      </c>
      <c r="I1526" s="1" t="s">
        <v>19</v>
      </c>
      <c r="L1526" s="1" t="s">
        <v>4628</v>
      </c>
      <c r="M1526" s="1" t="s">
        <v>4627</v>
      </c>
      <c r="N1526" s="1">
        <v>111</v>
      </c>
      <c r="O1526" s="1" t="s">
        <v>4629</v>
      </c>
    </row>
    <row r="1527" spans="1:17" x14ac:dyDescent="0.35">
      <c r="A1527" s="1" t="s">
        <v>15</v>
      </c>
      <c r="B1527" s="1">
        <v>1693593</v>
      </c>
      <c r="C1527" s="1">
        <v>1694702</v>
      </c>
      <c r="E1527" s="1" t="s">
        <v>178</v>
      </c>
      <c r="F1527" s="1" t="s">
        <v>4630</v>
      </c>
      <c r="G1527" s="1" t="s">
        <v>4631</v>
      </c>
      <c r="I1527" s="1" t="s">
        <v>19</v>
      </c>
      <c r="L1527" s="1" t="s">
        <v>4632</v>
      </c>
      <c r="M1527" s="1" t="s">
        <v>4630</v>
      </c>
      <c r="N1527" s="1">
        <v>369</v>
      </c>
      <c r="O1527" s="1" t="s">
        <v>4633</v>
      </c>
    </row>
    <row r="1528" spans="1:17" x14ac:dyDescent="0.35">
      <c r="A1528" s="1" t="s">
        <v>15</v>
      </c>
      <c r="B1528" s="1">
        <v>1694706</v>
      </c>
      <c r="C1528" s="1">
        <v>1696517</v>
      </c>
      <c r="E1528" s="1" t="s">
        <v>178</v>
      </c>
      <c r="F1528" s="1" t="s">
        <v>4634</v>
      </c>
      <c r="G1528" s="1" t="s">
        <v>4635</v>
      </c>
      <c r="I1528" s="1" t="s">
        <v>19</v>
      </c>
      <c r="L1528" s="1" t="s">
        <v>4636</v>
      </c>
      <c r="M1528" s="1" t="s">
        <v>4634</v>
      </c>
      <c r="N1528" s="1">
        <v>603</v>
      </c>
      <c r="O1528" s="1" t="s">
        <v>4637</v>
      </c>
      <c r="Q1528" s="14"/>
    </row>
    <row r="1529" spans="1:17" x14ac:dyDescent="0.35">
      <c r="A1529" s="1" t="s">
        <v>15</v>
      </c>
      <c r="B1529" s="1">
        <v>1696680</v>
      </c>
      <c r="C1529" s="1">
        <v>1697060</v>
      </c>
      <c r="E1529" s="1" t="s">
        <v>16</v>
      </c>
      <c r="F1529" s="1" t="s">
        <v>4638</v>
      </c>
      <c r="G1529" s="1" t="s">
        <v>4639</v>
      </c>
      <c r="I1529" s="1" t="s">
        <v>19</v>
      </c>
      <c r="L1529" s="1" t="s">
        <v>4640</v>
      </c>
      <c r="M1529" s="1" t="s">
        <v>4638</v>
      </c>
      <c r="N1529" s="1">
        <v>126</v>
      </c>
      <c r="O1529" s="1" t="s">
        <v>4641</v>
      </c>
    </row>
    <row r="1530" spans="1:17" x14ac:dyDescent="0.35">
      <c r="A1530" s="1" t="s">
        <v>15</v>
      </c>
      <c r="B1530" s="1">
        <v>1697220</v>
      </c>
      <c r="C1530" s="1">
        <v>1697396</v>
      </c>
      <c r="E1530" s="1" t="s">
        <v>178</v>
      </c>
      <c r="F1530" s="1" t="s">
        <v>4642</v>
      </c>
      <c r="G1530" s="1" t="s">
        <v>4643</v>
      </c>
      <c r="I1530" s="1" t="s">
        <v>19</v>
      </c>
      <c r="L1530" s="1" t="s">
        <v>4644</v>
      </c>
      <c r="M1530" s="1" t="s">
        <v>4642</v>
      </c>
      <c r="N1530" s="1">
        <v>58</v>
      </c>
      <c r="O1530" s="1" t="s">
        <v>4645</v>
      </c>
    </row>
    <row r="1531" spans="1:17" x14ac:dyDescent="0.35">
      <c r="A1531" s="1" t="s">
        <v>15</v>
      </c>
      <c r="B1531" s="1">
        <v>1697590</v>
      </c>
      <c r="C1531" s="1">
        <v>1698390</v>
      </c>
      <c r="E1531" s="1" t="s">
        <v>178</v>
      </c>
      <c r="F1531" s="1" t="s">
        <v>2949</v>
      </c>
      <c r="I1531" s="1" t="s">
        <v>19</v>
      </c>
      <c r="L1531" s="1" t="s">
        <v>4646</v>
      </c>
      <c r="M1531" s="1" t="s">
        <v>2949</v>
      </c>
      <c r="N1531" s="1">
        <v>266</v>
      </c>
      <c r="O1531" s="1" t="s">
        <v>4647</v>
      </c>
    </row>
    <row r="1532" spans="1:17" x14ac:dyDescent="0.35">
      <c r="A1532" s="1" t="s">
        <v>15</v>
      </c>
      <c r="B1532" s="1">
        <v>1698452</v>
      </c>
      <c r="C1532" s="1">
        <v>1699561</v>
      </c>
      <c r="E1532" s="1" t="s">
        <v>178</v>
      </c>
      <c r="F1532" s="1" t="s">
        <v>4648</v>
      </c>
      <c r="G1532" s="1" t="s">
        <v>4649</v>
      </c>
      <c r="I1532" s="1" t="s">
        <v>19</v>
      </c>
      <c r="L1532" s="1" t="s">
        <v>4650</v>
      </c>
      <c r="M1532" s="1" t="s">
        <v>4648</v>
      </c>
      <c r="N1532" s="1">
        <v>369</v>
      </c>
      <c r="O1532" s="1" t="s">
        <v>4651</v>
      </c>
      <c r="Q1532" s="14"/>
    </row>
    <row r="1533" spans="1:17" x14ac:dyDescent="0.35">
      <c r="A1533" s="1" t="s">
        <v>15</v>
      </c>
      <c r="B1533" s="1">
        <v>1699814</v>
      </c>
      <c r="C1533" s="1">
        <v>1700611</v>
      </c>
      <c r="E1533" s="1" t="s">
        <v>178</v>
      </c>
      <c r="F1533" s="1" t="s">
        <v>2949</v>
      </c>
      <c r="I1533" s="1" t="s">
        <v>19</v>
      </c>
      <c r="L1533" s="1" t="s">
        <v>4652</v>
      </c>
      <c r="M1533" s="1" t="s">
        <v>2949</v>
      </c>
      <c r="N1533" s="1">
        <v>265</v>
      </c>
      <c r="O1533" s="1" t="s">
        <v>4653</v>
      </c>
    </row>
    <row r="1534" spans="1:17" x14ac:dyDescent="0.35">
      <c r="A1534" s="1" t="s">
        <v>15</v>
      </c>
      <c r="B1534" s="1">
        <v>1700623</v>
      </c>
      <c r="C1534" s="1">
        <v>1701435</v>
      </c>
      <c r="E1534" s="1" t="s">
        <v>178</v>
      </c>
      <c r="F1534" s="1" t="s">
        <v>2949</v>
      </c>
      <c r="I1534" s="1" t="s">
        <v>19</v>
      </c>
      <c r="L1534" s="1" t="s">
        <v>4654</v>
      </c>
      <c r="M1534" s="1" t="s">
        <v>2949</v>
      </c>
      <c r="N1534" s="1">
        <v>270</v>
      </c>
      <c r="O1534" s="1" t="s">
        <v>4655</v>
      </c>
    </row>
    <row r="1535" spans="1:17" x14ac:dyDescent="0.35">
      <c r="A1535" s="1" t="s">
        <v>15</v>
      </c>
      <c r="B1535" s="1">
        <v>1701651</v>
      </c>
      <c r="C1535" s="1">
        <v>1702115</v>
      </c>
      <c r="E1535" s="1" t="s">
        <v>178</v>
      </c>
      <c r="F1535" s="1" t="s">
        <v>484</v>
      </c>
      <c r="I1535" s="1" t="s">
        <v>19</v>
      </c>
      <c r="L1535" s="1" t="s">
        <v>4656</v>
      </c>
      <c r="M1535" s="1" t="s">
        <v>484</v>
      </c>
      <c r="N1535" s="1">
        <v>154</v>
      </c>
      <c r="O1535" s="1" t="s">
        <v>4657</v>
      </c>
      <c r="Q1535" s="14"/>
    </row>
    <row r="1536" spans="1:17" x14ac:dyDescent="0.35">
      <c r="A1536" s="1" t="s">
        <v>15</v>
      </c>
      <c r="B1536" s="1">
        <v>1702160</v>
      </c>
      <c r="C1536" s="1">
        <v>1704166</v>
      </c>
      <c r="E1536" s="1" t="s">
        <v>178</v>
      </c>
      <c r="F1536" s="1" t="s">
        <v>4658</v>
      </c>
      <c r="G1536" s="1" t="s">
        <v>4659</v>
      </c>
      <c r="I1536" s="1" t="s">
        <v>19</v>
      </c>
      <c r="L1536" s="1" t="s">
        <v>4660</v>
      </c>
      <c r="M1536" s="1" t="s">
        <v>4658</v>
      </c>
      <c r="N1536" s="1">
        <v>668</v>
      </c>
      <c r="O1536" s="1" t="s">
        <v>4661</v>
      </c>
    </row>
    <row r="1537" spans="1:17" x14ac:dyDescent="0.35">
      <c r="A1537" s="1" t="s">
        <v>15</v>
      </c>
      <c r="B1537" s="1">
        <v>1704141</v>
      </c>
      <c r="C1537" s="1">
        <v>1704767</v>
      </c>
      <c r="E1537" s="1" t="s">
        <v>178</v>
      </c>
      <c r="F1537" s="1" t="s">
        <v>54</v>
      </c>
      <c r="I1537" s="1" t="s">
        <v>19</v>
      </c>
      <c r="L1537" s="1" t="s">
        <v>4662</v>
      </c>
      <c r="M1537" s="1" t="s">
        <v>54</v>
      </c>
      <c r="N1537" s="1">
        <v>208</v>
      </c>
      <c r="O1537" s="1" t="s">
        <v>4663</v>
      </c>
    </row>
    <row r="1538" spans="1:17" x14ac:dyDescent="0.35">
      <c r="A1538" s="1" t="s">
        <v>15</v>
      </c>
      <c r="B1538" s="1">
        <v>1704836</v>
      </c>
      <c r="C1538" s="1">
        <v>1705771</v>
      </c>
      <c r="E1538" s="1" t="s">
        <v>178</v>
      </c>
      <c r="F1538" s="1" t="s">
        <v>4664</v>
      </c>
      <c r="I1538" s="1" t="s">
        <v>19</v>
      </c>
      <c r="L1538" s="1" t="s">
        <v>4665</v>
      </c>
      <c r="M1538" s="1" t="s">
        <v>4664</v>
      </c>
      <c r="N1538" s="1">
        <v>311</v>
      </c>
      <c r="O1538" s="1" t="s">
        <v>4666</v>
      </c>
    </row>
    <row r="1539" spans="1:17" x14ac:dyDescent="0.35">
      <c r="A1539" s="1" t="s">
        <v>15</v>
      </c>
      <c r="B1539" s="1">
        <v>1705970</v>
      </c>
      <c r="C1539" s="1">
        <v>1708168</v>
      </c>
      <c r="E1539" s="1" t="s">
        <v>16</v>
      </c>
      <c r="F1539" s="1" t="s">
        <v>4667</v>
      </c>
      <c r="G1539" s="1" t="s">
        <v>4668</v>
      </c>
      <c r="I1539" s="1" t="s">
        <v>19</v>
      </c>
      <c r="L1539" s="1" t="s">
        <v>4669</v>
      </c>
      <c r="M1539" s="1" t="s">
        <v>4667</v>
      </c>
      <c r="N1539" s="1">
        <v>732</v>
      </c>
      <c r="O1539" s="1" t="s">
        <v>4670</v>
      </c>
      <c r="Q1539" s="14"/>
    </row>
    <row r="1540" spans="1:17" x14ac:dyDescent="0.35">
      <c r="A1540" s="1" t="s">
        <v>15</v>
      </c>
      <c r="B1540" s="1">
        <v>1708168</v>
      </c>
      <c r="C1540" s="1">
        <v>1708908</v>
      </c>
      <c r="E1540" s="1" t="s">
        <v>16</v>
      </c>
      <c r="F1540" s="1" t="s">
        <v>4671</v>
      </c>
      <c r="G1540" s="1" t="s">
        <v>4672</v>
      </c>
      <c r="I1540" s="1" t="s">
        <v>19</v>
      </c>
      <c r="L1540" s="1" t="s">
        <v>4673</v>
      </c>
      <c r="M1540" s="1" t="s">
        <v>4671</v>
      </c>
      <c r="N1540" s="1">
        <v>246</v>
      </c>
      <c r="O1540" s="1" t="s">
        <v>4674</v>
      </c>
    </row>
    <row r="1541" spans="1:17" x14ac:dyDescent="0.35">
      <c r="A1541" s="1" t="s">
        <v>15</v>
      </c>
      <c r="B1541" s="1">
        <v>1708982</v>
      </c>
      <c r="C1541" s="1">
        <v>1709179</v>
      </c>
      <c r="E1541" s="1" t="s">
        <v>178</v>
      </c>
      <c r="F1541" s="1" t="s">
        <v>50</v>
      </c>
      <c r="I1541" s="1" t="s">
        <v>19</v>
      </c>
      <c r="L1541" s="1" t="s">
        <v>4675</v>
      </c>
      <c r="M1541" s="1" t="s">
        <v>50</v>
      </c>
      <c r="N1541" s="1">
        <v>65</v>
      </c>
      <c r="O1541" s="1" t="s">
        <v>4676</v>
      </c>
    </row>
    <row r="1542" spans="1:17" x14ac:dyDescent="0.35">
      <c r="A1542" s="1" t="s">
        <v>15</v>
      </c>
      <c r="B1542" s="1">
        <v>1709431</v>
      </c>
      <c r="C1542" s="1">
        <v>1710744</v>
      </c>
      <c r="E1542" s="1" t="s">
        <v>178</v>
      </c>
      <c r="F1542" s="1" t="s">
        <v>4677</v>
      </c>
      <c r="G1542" s="1" t="s">
        <v>4678</v>
      </c>
      <c r="I1542" s="1" t="s">
        <v>19</v>
      </c>
      <c r="L1542" s="1" t="s">
        <v>4679</v>
      </c>
      <c r="M1542" s="1" t="s">
        <v>4677</v>
      </c>
      <c r="N1542" s="1">
        <v>437</v>
      </c>
      <c r="O1542" s="1" t="s">
        <v>4680</v>
      </c>
    </row>
    <row r="1543" spans="1:17" x14ac:dyDescent="0.35">
      <c r="A1543" s="1" t="s">
        <v>15</v>
      </c>
      <c r="B1543" s="1">
        <v>1710839</v>
      </c>
      <c r="C1543" s="1">
        <v>1710967</v>
      </c>
      <c r="E1543" s="1" t="s">
        <v>178</v>
      </c>
      <c r="F1543" s="1" t="s">
        <v>54</v>
      </c>
      <c r="I1543" s="1" t="s">
        <v>19</v>
      </c>
      <c r="L1543" s="1" t="s">
        <v>4681</v>
      </c>
      <c r="M1543" s="1" t="s">
        <v>54</v>
      </c>
      <c r="N1543" s="1">
        <v>42</v>
      </c>
      <c r="O1543" s="1" t="s">
        <v>4682</v>
      </c>
    </row>
    <row r="1544" spans="1:17" x14ac:dyDescent="0.35">
      <c r="A1544" s="1" t="s">
        <v>15</v>
      </c>
      <c r="B1544" s="1">
        <v>1711049</v>
      </c>
      <c r="C1544" s="1">
        <v>1711780</v>
      </c>
      <c r="E1544" s="1" t="s">
        <v>178</v>
      </c>
      <c r="F1544" s="1" t="s">
        <v>826</v>
      </c>
      <c r="G1544" s="1" t="s">
        <v>4683</v>
      </c>
      <c r="I1544" s="1" t="s">
        <v>19</v>
      </c>
      <c r="L1544" s="1" t="s">
        <v>4684</v>
      </c>
      <c r="M1544" s="1" t="s">
        <v>826</v>
      </c>
      <c r="N1544" s="1">
        <v>243</v>
      </c>
      <c r="O1544" s="1" t="s">
        <v>4685</v>
      </c>
      <c r="Q1544" s="14"/>
    </row>
    <row r="1545" spans="1:17" x14ac:dyDescent="0.35">
      <c r="A1545" s="1" t="s">
        <v>15</v>
      </c>
      <c r="B1545" s="1">
        <v>1711781</v>
      </c>
      <c r="C1545" s="1">
        <v>1712755</v>
      </c>
      <c r="E1545" s="1" t="s">
        <v>178</v>
      </c>
      <c r="F1545" s="1" t="s">
        <v>54</v>
      </c>
      <c r="I1545" s="1" t="s">
        <v>19</v>
      </c>
      <c r="L1545" s="1" t="s">
        <v>4686</v>
      </c>
      <c r="M1545" s="1" t="s">
        <v>54</v>
      </c>
      <c r="N1545" s="1">
        <v>324</v>
      </c>
      <c r="O1545" s="1" t="s">
        <v>4687</v>
      </c>
    </row>
    <row r="1546" spans="1:17" x14ac:dyDescent="0.35">
      <c r="A1546" s="1" t="s">
        <v>15</v>
      </c>
      <c r="B1546" s="1">
        <v>1712769</v>
      </c>
      <c r="C1546" s="1">
        <v>1713152</v>
      </c>
      <c r="E1546" s="1" t="s">
        <v>178</v>
      </c>
      <c r="F1546" s="1" t="s">
        <v>54</v>
      </c>
      <c r="I1546" s="1" t="s">
        <v>19</v>
      </c>
      <c r="L1546" s="1" t="s">
        <v>4688</v>
      </c>
      <c r="M1546" s="1" t="s">
        <v>54</v>
      </c>
      <c r="N1546" s="1">
        <v>127</v>
      </c>
      <c r="O1546" s="1" t="s">
        <v>4689</v>
      </c>
    </row>
    <row r="1547" spans="1:17" x14ac:dyDescent="0.35">
      <c r="A1547" s="1" t="s">
        <v>15</v>
      </c>
      <c r="B1547" s="1">
        <v>1713246</v>
      </c>
      <c r="C1547" s="1">
        <v>1713611</v>
      </c>
      <c r="E1547" s="1" t="s">
        <v>178</v>
      </c>
      <c r="F1547" s="1" t="s">
        <v>4690</v>
      </c>
      <c r="I1547" s="1" t="s">
        <v>19</v>
      </c>
      <c r="L1547" s="1" t="s">
        <v>4691</v>
      </c>
      <c r="M1547" s="1" t="s">
        <v>4690</v>
      </c>
      <c r="N1547" s="1">
        <v>121</v>
      </c>
      <c r="O1547" s="1" t="s">
        <v>4692</v>
      </c>
    </row>
    <row r="1548" spans="1:17" x14ac:dyDescent="0.35">
      <c r="A1548" s="1" t="s">
        <v>15</v>
      </c>
      <c r="B1548" s="1">
        <v>1713859</v>
      </c>
      <c r="C1548" s="1">
        <v>1714224</v>
      </c>
      <c r="E1548" s="1" t="s">
        <v>16</v>
      </c>
      <c r="F1548" s="1" t="s">
        <v>54</v>
      </c>
      <c r="I1548" s="1" t="s">
        <v>19</v>
      </c>
      <c r="L1548" s="1" t="s">
        <v>4693</v>
      </c>
      <c r="M1548" s="1" t="s">
        <v>54</v>
      </c>
      <c r="N1548" s="1">
        <v>121</v>
      </c>
      <c r="O1548" s="1" t="s">
        <v>4694</v>
      </c>
    </row>
    <row r="1549" spans="1:17" x14ac:dyDescent="0.35">
      <c r="A1549" s="1" t="s">
        <v>15</v>
      </c>
      <c r="B1549" s="1">
        <v>1714340</v>
      </c>
      <c r="C1549" s="1">
        <v>1715230</v>
      </c>
      <c r="E1549" s="1" t="s">
        <v>16</v>
      </c>
      <c r="F1549" s="1" t="s">
        <v>4695</v>
      </c>
      <c r="I1549" s="1" t="s">
        <v>19</v>
      </c>
      <c r="L1549" s="1" t="s">
        <v>4696</v>
      </c>
      <c r="M1549" s="1" t="s">
        <v>4695</v>
      </c>
      <c r="N1549" s="1">
        <v>296</v>
      </c>
      <c r="O1549" s="1" t="s">
        <v>4697</v>
      </c>
    </row>
    <row r="1550" spans="1:17" x14ac:dyDescent="0.35">
      <c r="A1550" s="1" t="s">
        <v>15</v>
      </c>
      <c r="B1550" s="1">
        <v>1715267</v>
      </c>
      <c r="C1550" s="1">
        <v>1715506</v>
      </c>
      <c r="E1550" s="1" t="s">
        <v>178</v>
      </c>
      <c r="F1550" s="1" t="s">
        <v>54</v>
      </c>
      <c r="I1550" s="1" t="s">
        <v>19</v>
      </c>
      <c r="L1550" s="1" t="s">
        <v>4698</v>
      </c>
      <c r="M1550" s="1" t="s">
        <v>54</v>
      </c>
      <c r="N1550" s="1">
        <v>79</v>
      </c>
      <c r="O1550" s="1" t="s">
        <v>4699</v>
      </c>
    </row>
    <row r="1551" spans="1:17" x14ac:dyDescent="0.35">
      <c r="A1551" s="1" t="s">
        <v>15</v>
      </c>
      <c r="B1551" s="1">
        <v>1715732</v>
      </c>
      <c r="C1551" s="1">
        <v>1716379</v>
      </c>
      <c r="E1551" s="1" t="s">
        <v>178</v>
      </c>
      <c r="F1551" s="1" t="s">
        <v>4700</v>
      </c>
      <c r="G1551" s="1" t="s">
        <v>4701</v>
      </c>
      <c r="I1551" s="1" t="s">
        <v>19</v>
      </c>
      <c r="L1551" s="1" t="s">
        <v>4702</v>
      </c>
      <c r="M1551" s="1" t="s">
        <v>4700</v>
      </c>
      <c r="N1551" s="1">
        <v>215</v>
      </c>
      <c r="O1551" s="1" t="s">
        <v>4703</v>
      </c>
      <c r="Q1551" s="14"/>
    </row>
    <row r="1552" spans="1:17" x14ac:dyDescent="0.35">
      <c r="A1552" s="1" t="s">
        <v>15</v>
      </c>
      <c r="B1552" s="1">
        <v>1716491</v>
      </c>
      <c r="C1552" s="1">
        <v>1718215</v>
      </c>
      <c r="E1552" s="1" t="s">
        <v>178</v>
      </c>
      <c r="F1552" s="1" t="s">
        <v>4704</v>
      </c>
      <c r="G1552" s="1" t="s">
        <v>4705</v>
      </c>
      <c r="I1552" s="1" t="s">
        <v>19</v>
      </c>
      <c r="L1552" s="1" t="s">
        <v>4706</v>
      </c>
      <c r="M1552" s="1" t="s">
        <v>4704</v>
      </c>
      <c r="N1552" s="1">
        <v>574</v>
      </c>
      <c r="O1552" s="1" t="s">
        <v>4707</v>
      </c>
    </row>
    <row r="1553" spans="1:17" x14ac:dyDescent="0.35">
      <c r="A1553" s="1" t="s">
        <v>15</v>
      </c>
      <c r="B1553" s="1">
        <v>1718312</v>
      </c>
      <c r="C1553" s="1">
        <v>1720264</v>
      </c>
      <c r="E1553" s="1" t="s">
        <v>178</v>
      </c>
      <c r="F1553" s="1" t="s">
        <v>4708</v>
      </c>
      <c r="G1553" s="1" t="s">
        <v>4709</v>
      </c>
      <c r="I1553" s="1" t="s">
        <v>19</v>
      </c>
      <c r="L1553" s="1" t="s">
        <v>4710</v>
      </c>
      <c r="M1553" s="1" t="s">
        <v>4708</v>
      </c>
      <c r="N1553" s="1">
        <v>650</v>
      </c>
      <c r="O1553" s="1" t="s">
        <v>4711</v>
      </c>
      <c r="Q1553" s="14"/>
    </row>
    <row r="1554" spans="1:17" x14ac:dyDescent="0.35">
      <c r="A1554" s="1" t="s">
        <v>15</v>
      </c>
      <c r="B1554" s="1">
        <v>1720265</v>
      </c>
      <c r="C1554" s="1">
        <v>1720825</v>
      </c>
      <c r="E1554" s="1" t="s">
        <v>178</v>
      </c>
      <c r="F1554" s="1" t="s">
        <v>4712</v>
      </c>
      <c r="I1554" s="1" t="s">
        <v>19</v>
      </c>
      <c r="L1554" s="1" t="s">
        <v>4713</v>
      </c>
      <c r="M1554" s="1" t="s">
        <v>4712</v>
      </c>
      <c r="N1554" s="1">
        <v>186</v>
      </c>
      <c r="O1554" s="1" t="s">
        <v>4714</v>
      </c>
    </row>
    <row r="1555" spans="1:17" x14ac:dyDescent="0.35">
      <c r="A1555" s="1" t="s">
        <v>15</v>
      </c>
      <c r="B1555" s="1">
        <v>1720910</v>
      </c>
      <c r="C1555" s="1">
        <v>1721605</v>
      </c>
      <c r="E1555" s="1" t="s">
        <v>178</v>
      </c>
      <c r="F1555" s="1" t="s">
        <v>4715</v>
      </c>
      <c r="I1555" s="1" t="s">
        <v>19</v>
      </c>
      <c r="L1555" s="1" t="s">
        <v>4716</v>
      </c>
      <c r="M1555" s="1" t="s">
        <v>4715</v>
      </c>
      <c r="N1555" s="1">
        <v>231</v>
      </c>
      <c r="O1555" s="1" t="s">
        <v>4717</v>
      </c>
    </row>
    <row r="1556" spans="1:17" x14ac:dyDescent="0.35">
      <c r="A1556" s="1" t="s">
        <v>15</v>
      </c>
      <c r="B1556" s="1">
        <v>1721598</v>
      </c>
      <c r="C1556" s="1">
        <v>1721972</v>
      </c>
      <c r="E1556" s="1" t="s">
        <v>178</v>
      </c>
      <c r="F1556" s="1" t="s">
        <v>4718</v>
      </c>
      <c r="I1556" s="1" t="s">
        <v>19</v>
      </c>
      <c r="L1556" s="1" t="s">
        <v>4719</v>
      </c>
      <c r="M1556" s="1" t="s">
        <v>4718</v>
      </c>
      <c r="N1556" s="1">
        <v>124</v>
      </c>
      <c r="O1556" s="1" t="s">
        <v>4720</v>
      </c>
    </row>
    <row r="1557" spans="1:17" x14ac:dyDescent="0.35">
      <c r="A1557" s="1" t="s">
        <v>15</v>
      </c>
      <c r="B1557" s="1">
        <v>1722125</v>
      </c>
      <c r="C1557" s="1">
        <v>1722195</v>
      </c>
      <c r="E1557" s="1" t="s">
        <v>178</v>
      </c>
      <c r="F1557" s="1" t="s">
        <v>91</v>
      </c>
      <c r="I1557" s="1" t="s">
        <v>75</v>
      </c>
      <c r="O1557" s="1" t="s">
        <v>4721</v>
      </c>
    </row>
    <row r="1558" spans="1:17" x14ac:dyDescent="0.35">
      <c r="A1558" s="1" t="s">
        <v>15</v>
      </c>
      <c r="B1558" s="1">
        <v>1722253</v>
      </c>
      <c r="C1558" s="1">
        <v>1722606</v>
      </c>
      <c r="E1558" s="1" t="s">
        <v>178</v>
      </c>
      <c r="F1558" s="1" t="s">
        <v>4722</v>
      </c>
      <c r="I1558" s="1" t="s">
        <v>19</v>
      </c>
      <c r="L1558" s="1" t="s">
        <v>4723</v>
      </c>
      <c r="M1558" s="1" t="s">
        <v>4722</v>
      </c>
      <c r="N1558" s="1">
        <v>117</v>
      </c>
      <c r="O1558" s="1" t="s">
        <v>4724</v>
      </c>
    </row>
    <row r="1559" spans="1:17" x14ac:dyDescent="0.35">
      <c r="A1559" s="1" t="s">
        <v>15</v>
      </c>
      <c r="B1559" s="1">
        <v>1722641</v>
      </c>
      <c r="C1559" s="1">
        <v>1723135</v>
      </c>
      <c r="E1559" s="1" t="s">
        <v>178</v>
      </c>
      <c r="F1559" s="1" t="s">
        <v>4725</v>
      </c>
      <c r="G1559" s="1" t="s">
        <v>4726</v>
      </c>
      <c r="I1559" s="1" t="s">
        <v>19</v>
      </c>
      <c r="L1559" s="1" t="s">
        <v>4727</v>
      </c>
      <c r="M1559" s="1" t="s">
        <v>4725</v>
      </c>
      <c r="N1559" s="1">
        <v>164</v>
      </c>
      <c r="O1559" s="1" t="s">
        <v>4728</v>
      </c>
      <c r="Q1559" s="14"/>
    </row>
    <row r="1560" spans="1:17" x14ac:dyDescent="0.35">
      <c r="A1560" s="1" t="s">
        <v>15</v>
      </c>
      <c r="B1560" s="1">
        <v>1723191</v>
      </c>
      <c r="C1560" s="1">
        <v>1724369</v>
      </c>
      <c r="E1560" s="1" t="s">
        <v>178</v>
      </c>
      <c r="F1560" s="1" t="s">
        <v>4729</v>
      </c>
      <c r="G1560" s="1" t="s">
        <v>4730</v>
      </c>
      <c r="I1560" s="1" t="s">
        <v>19</v>
      </c>
      <c r="L1560" s="1" t="s">
        <v>4731</v>
      </c>
      <c r="M1560" s="1" t="s">
        <v>4729</v>
      </c>
      <c r="N1560" s="1">
        <v>392</v>
      </c>
      <c r="O1560" s="1" t="s">
        <v>4732</v>
      </c>
      <c r="Q1560" s="14"/>
    </row>
    <row r="1561" spans="1:17" x14ac:dyDescent="0.35">
      <c r="A1561" s="1" t="s">
        <v>15</v>
      </c>
      <c r="B1561" s="1">
        <v>1724388</v>
      </c>
      <c r="C1561" s="1">
        <v>1724945</v>
      </c>
      <c r="E1561" s="1" t="s">
        <v>178</v>
      </c>
      <c r="F1561" s="1" t="s">
        <v>764</v>
      </c>
      <c r="I1561" s="1" t="s">
        <v>19</v>
      </c>
      <c r="L1561" s="1" t="s">
        <v>4733</v>
      </c>
      <c r="M1561" s="1" t="s">
        <v>764</v>
      </c>
      <c r="N1561" s="1">
        <v>185</v>
      </c>
      <c r="O1561" s="1" t="s">
        <v>4734</v>
      </c>
    </row>
    <row r="1562" spans="1:17" x14ac:dyDescent="0.35">
      <c r="A1562" s="1" t="s">
        <v>15</v>
      </c>
      <c r="B1562" s="1">
        <v>1724958</v>
      </c>
      <c r="C1562" s="1">
        <v>1726052</v>
      </c>
      <c r="E1562" s="1" t="s">
        <v>178</v>
      </c>
      <c r="F1562" s="1" t="s">
        <v>4735</v>
      </c>
      <c r="G1562" s="1" t="s">
        <v>4736</v>
      </c>
      <c r="I1562" s="1" t="s">
        <v>19</v>
      </c>
      <c r="L1562" s="1" t="s">
        <v>4737</v>
      </c>
      <c r="M1562" s="1" t="s">
        <v>4735</v>
      </c>
      <c r="N1562" s="1">
        <v>364</v>
      </c>
      <c r="O1562" s="1" t="s">
        <v>4738</v>
      </c>
      <c r="Q1562" s="14"/>
    </row>
    <row r="1563" spans="1:17" x14ac:dyDescent="0.35">
      <c r="A1563" s="1" t="s">
        <v>15</v>
      </c>
      <c r="B1563" s="1">
        <v>1726207</v>
      </c>
      <c r="C1563" s="1">
        <v>1727100</v>
      </c>
      <c r="E1563" s="1" t="s">
        <v>178</v>
      </c>
      <c r="F1563" s="1" t="s">
        <v>4739</v>
      </c>
      <c r="I1563" s="1" t="s">
        <v>19</v>
      </c>
      <c r="L1563" s="1" t="s">
        <v>4740</v>
      </c>
      <c r="M1563" s="1" t="s">
        <v>4739</v>
      </c>
      <c r="N1563" s="1">
        <v>297</v>
      </c>
      <c r="O1563" s="1" t="s">
        <v>4741</v>
      </c>
    </row>
    <row r="1564" spans="1:17" x14ac:dyDescent="0.35">
      <c r="A1564" s="1" t="s">
        <v>15</v>
      </c>
      <c r="B1564" s="1">
        <v>1727216</v>
      </c>
      <c r="C1564" s="1">
        <v>1727611</v>
      </c>
      <c r="E1564" s="1" t="s">
        <v>16</v>
      </c>
      <c r="F1564" s="1" t="s">
        <v>4742</v>
      </c>
      <c r="G1564" s="1" t="s">
        <v>4743</v>
      </c>
      <c r="I1564" s="1" t="s">
        <v>19</v>
      </c>
      <c r="L1564" s="1" t="s">
        <v>4744</v>
      </c>
      <c r="M1564" s="1" t="s">
        <v>4742</v>
      </c>
      <c r="N1564" s="1">
        <v>131</v>
      </c>
      <c r="O1564" s="1" t="s">
        <v>4745</v>
      </c>
      <c r="Q1564" s="14"/>
    </row>
    <row r="1565" spans="1:17" x14ac:dyDescent="0.35">
      <c r="A1565" s="1" t="s">
        <v>15</v>
      </c>
      <c r="B1565" s="1">
        <v>1727655</v>
      </c>
      <c r="C1565" s="1">
        <v>1728554</v>
      </c>
      <c r="E1565" s="1" t="s">
        <v>178</v>
      </c>
      <c r="F1565" s="1" t="s">
        <v>4746</v>
      </c>
      <c r="I1565" s="1" t="s">
        <v>19</v>
      </c>
      <c r="L1565" s="1" t="s">
        <v>4747</v>
      </c>
      <c r="M1565" s="1" t="s">
        <v>4746</v>
      </c>
      <c r="N1565" s="1">
        <v>299</v>
      </c>
      <c r="O1565" s="1" t="s">
        <v>4748</v>
      </c>
    </row>
    <row r="1566" spans="1:17" x14ac:dyDescent="0.35">
      <c r="A1566" s="1" t="s">
        <v>15</v>
      </c>
      <c r="B1566" s="1">
        <v>1728864</v>
      </c>
      <c r="C1566" s="1">
        <v>1729931</v>
      </c>
      <c r="E1566" s="1" t="s">
        <v>178</v>
      </c>
      <c r="F1566" s="1" t="s">
        <v>4749</v>
      </c>
      <c r="G1566" s="1" t="s">
        <v>4750</v>
      </c>
      <c r="I1566" s="1" t="s">
        <v>19</v>
      </c>
      <c r="L1566" s="1" t="s">
        <v>4751</v>
      </c>
      <c r="M1566" s="1" t="s">
        <v>4749</v>
      </c>
      <c r="N1566" s="1">
        <v>355</v>
      </c>
      <c r="O1566" s="1" t="s">
        <v>4752</v>
      </c>
    </row>
    <row r="1567" spans="1:17" x14ac:dyDescent="0.35">
      <c r="A1567" s="1" t="s">
        <v>15</v>
      </c>
      <c r="B1567" s="1">
        <v>1729924</v>
      </c>
      <c r="C1567" s="1">
        <v>1730700</v>
      </c>
      <c r="E1567" s="1" t="s">
        <v>178</v>
      </c>
      <c r="F1567" s="1" t="s">
        <v>4753</v>
      </c>
      <c r="G1567" s="1" t="s">
        <v>4754</v>
      </c>
      <c r="I1567" s="1" t="s">
        <v>19</v>
      </c>
      <c r="L1567" s="1" t="s">
        <v>4755</v>
      </c>
      <c r="M1567" s="1" t="s">
        <v>4753</v>
      </c>
      <c r="N1567" s="1">
        <v>258</v>
      </c>
      <c r="O1567" s="1" t="s">
        <v>4756</v>
      </c>
    </row>
    <row r="1568" spans="1:17" x14ac:dyDescent="0.35">
      <c r="A1568" s="1" t="s">
        <v>15</v>
      </c>
      <c r="B1568" s="1">
        <v>1730697</v>
      </c>
      <c r="C1568" s="1">
        <v>1731491</v>
      </c>
      <c r="E1568" s="1" t="s">
        <v>178</v>
      </c>
      <c r="F1568" s="1" t="s">
        <v>4753</v>
      </c>
      <c r="G1568" s="1" t="s">
        <v>4757</v>
      </c>
      <c r="I1568" s="1" t="s">
        <v>19</v>
      </c>
      <c r="L1568" s="1" t="s">
        <v>4758</v>
      </c>
      <c r="M1568" s="1" t="s">
        <v>4753</v>
      </c>
      <c r="N1568" s="1">
        <v>264</v>
      </c>
      <c r="O1568" s="1" t="s">
        <v>4759</v>
      </c>
    </row>
    <row r="1569" spans="1:17" x14ac:dyDescent="0.35">
      <c r="A1569" s="1" t="s">
        <v>15</v>
      </c>
      <c r="B1569" s="1">
        <v>1731475</v>
      </c>
      <c r="C1569" s="1">
        <v>1732629</v>
      </c>
      <c r="E1569" s="1" t="s">
        <v>178</v>
      </c>
      <c r="F1569" s="1" t="s">
        <v>4760</v>
      </c>
      <c r="G1569" s="1" t="s">
        <v>4761</v>
      </c>
      <c r="I1569" s="1" t="s">
        <v>19</v>
      </c>
      <c r="L1569" s="1" t="s">
        <v>4762</v>
      </c>
      <c r="M1569" s="1" t="s">
        <v>4760</v>
      </c>
      <c r="N1569" s="1">
        <v>384</v>
      </c>
      <c r="O1569" s="1" t="s">
        <v>4763</v>
      </c>
      <c r="Q1569" s="14"/>
    </row>
    <row r="1570" spans="1:17" x14ac:dyDescent="0.35">
      <c r="A1570" s="1" t="s">
        <v>15</v>
      </c>
      <c r="B1570" s="1">
        <v>1732676</v>
      </c>
      <c r="C1570" s="1">
        <v>1733578</v>
      </c>
      <c r="E1570" s="1" t="s">
        <v>178</v>
      </c>
      <c r="F1570" s="1" t="s">
        <v>4764</v>
      </c>
      <c r="G1570" s="1" t="s">
        <v>4765</v>
      </c>
      <c r="I1570" s="1" t="s">
        <v>19</v>
      </c>
      <c r="L1570" s="1" t="s">
        <v>4766</v>
      </c>
      <c r="M1570" s="1" t="s">
        <v>4764</v>
      </c>
      <c r="N1570" s="1">
        <v>300</v>
      </c>
      <c r="O1570" s="1" t="s">
        <v>4767</v>
      </c>
      <c r="Q1570" s="14"/>
    </row>
    <row r="1571" spans="1:17" x14ac:dyDescent="0.35">
      <c r="A1571" s="1" t="s">
        <v>15</v>
      </c>
      <c r="B1571" s="1">
        <v>1733768</v>
      </c>
      <c r="C1571" s="1">
        <v>1734259</v>
      </c>
      <c r="E1571" s="1" t="s">
        <v>178</v>
      </c>
      <c r="F1571" s="1" t="s">
        <v>4768</v>
      </c>
      <c r="G1571" s="1" t="s">
        <v>4769</v>
      </c>
      <c r="I1571" s="1" t="s">
        <v>19</v>
      </c>
      <c r="L1571" s="1" t="s">
        <v>4770</v>
      </c>
      <c r="M1571" s="1" t="s">
        <v>4768</v>
      </c>
      <c r="N1571" s="1">
        <v>163</v>
      </c>
      <c r="O1571" s="1" t="s">
        <v>4771</v>
      </c>
      <c r="Q1571" s="14"/>
    </row>
    <row r="1572" spans="1:17" x14ac:dyDescent="0.35">
      <c r="A1572" s="1" t="s">
        <v>15</v>
      </c>
      <c r="B1572" s="1">
        <v>1734256</v>
      </c>
      <c r="C1572" s="1">
        <v>1734615</v>
      </c>
      <c r="E1572" s="1" t="s">
        <v>178</v>
      </c>
      <c r="F1572" s="1" t="s">
        <v>4772</v>
      </c>
      <c r="G1572" s="1" t="s">
        <v>4773</v>
      </c>
      <c r="I1572" s="1" t="s">
        <v>19</v>
      </c>
      <c r="L1572" s="1" t="s">
        <v>4774</v>
      </c>
      <c r="M1572" s="1" t="s">
        <v>4772</v>
      </c>
      <c r="N1572" s="1">
        <v>119</v>
      </c>
      <c r="O1572" s="1" t="s">
        <v>4775</v>
      </c>
      <c r="Q1572" s="14"/>
    </row>
    <row r="1573" spans="1:17" x14ac:dyDescent="0.35">
      <c r="A1573" s="1" t="s">
        <v>15</v>
      </c>
      <c r="B1573" s="1">
        <v>1734836</v>
      </c>
      <c r="C1573" s="1">
        <v>1736287</v>
      </c>
      <c r="E1573" s="1" t="s">
        <v>16</v>
      </c>
      <c r="F1573" s="1" t="s">
        <v>4776</v>
      </c>
      <c r="G1573" s="1" t="s">
        <v>4777</v>
      </c>
      <c r="I1573" s="1" t="s">
        <v>19</v>
      </c>
      <c r="L1573" s="1" t="s">
        <v>4778</v>
      </c>
      <c r="M1573" s="1" t="s">
        <v>4776</v>
      </c>
      <c r="N1573" s="1">
        <v>483</v>
      </c>
      <c r="O1573" s="1" t="s">
        <v>4779</v>
      </c>
      <c r="Q1573" s="14"/>
    </row>
    <row r="1574" spans="1:17" x14ac:dyDescent="0.35">
      <c r="A1574" s="1" t="s">
        <v>15</v>
      </c>
      <c r="B1574" s="1">
        <v>1736319</v>
      </c>
      <c r="C1574" s="1">
        <v>1737119</v>
      </c>
      <c r="E1574" s="1" t="s">
        <v>178</v>
      </c>
      <c r="F1574" s="1" t="s">
        <v>4780</v>
      </c>
      <c r="G1574" s="1" t="s">
        <v>4781</v>
      </c>
      <c r="I1574" s="1" t="s">
        <v>19</v>
      </c>
      <c r="L1574" s="1" t="s">
        <v>4782</v>
      </c>
      <c r="M1574" s="1" t="s">
        <v>4780</v>
      </c>
      <c r="N1574" s="1">
        <v>266</v>
      </c>
      <c r="O1574" s="1" t="s">
        <v>4783</v>
      </c>
      <c r="Q1574" s="14"/>
    </row>
    <row r="1575" spans="1:17" x14ac:dyDescent="0.35">
      <c r="A1575" s="1" t="s">
        <v>15</v>
      </c>
      <c r="B1575" s="1">
        <v>1737128</v>
      </c>
      <c r="C1575" s="1">
        <v>1737691</v>
      </c>
      <c r="E1575" s="1" t="s">
        <v>178</v>
      </c>
      <c r="F1575" s="1" t="s">
        <v>4784</v>
      </c>
      <c r="G1575" s="1" t="s">
        <v>4785</v>
      </c>
      <c r="I1575" s="1" t="s">
        <v>19</v>
      </c>
      <c r="L1575" s="1" t="s">
        <v>4786</v>
      </c>
      <c r="M1575" s="1" t="s">
        <v>4784</v>
      </c>
      <c r="N1575" s="1">
        <v>187</v>
      </c>
      <c r="O1575" s="1" t="s">
        <v>4787</v>
      </c>
      <c r="Q1575" s="14"/>
    </row>
    <row r="1576" spans="1:17" x14ac:dyDescent="0.35">
      <c r="A1576" s="1" t="s">
        <v>15</v>
      </c>
      <c r="B1576" s="1">
        <v>1737837</v>
      </c>
      <c r="C1576" s="1">
        <v>1739681</v>
      </c>
      <c r="E1576" s="1" t="s">
        <v>178</v>
      </c>
      <c r="F1576" s="1" t="s">
        <v>4788</v>
      </c>
      <c r="I1576" s="1" t="s">
        <v>19</v>
      </c>
      <c r="L1576" s="1" t="s">
        <v>4789</v>
      </c>
      <c r="M1576" s="1" t="s">
        <v>4788</v>
      </c>
      <c r="N1576" s="1">
        <v>614</v>
      </c>
      <c r="O1576" s="1" t="s">
        <v>4790</v>
      </c>
    </row>
    <row r="1577" spans="1:17" x14ac:dyDescent="0.35">
      <c r="A1577" s="1" t="s">
        <v>15</v>
      </c>
      <c r="B1577" s="1">
        <v>1739748</v>
      </c>
      <c r="C1577" s="1">
        <v>1741010</v>
      </c>
      <c r="E1577" s="1" t="s">
        <v>178</v>
      </c>
      <c r="F1577" s="1" t="s">
        <v>4791</v>
      </c>
      <c r="G1577" s="1" t="s">
        <v>4792</v>
      </c>
      <c r="I1577" s="1" t="s">
        <v>19</v>
      </c>
      <c r="L1577" s="1" t="s">
        <v>4793</v>
      </c>
      <c r="M1577" s="1" t="s">
        <v>4791</v>
      </c>
      <c r="N1577" s="1">
        <v>420</v>
      </c>
      <c r="O1577" s="1" t="s">
        <v>4794</v>
      </c>
      <c r="Q1577" s="14"/>
    </row>
    <row r="1578" spans="1:17" x14ac:dyDescent="0.35">
      <c r="A1578" s="1" t="s">
        <v>15</v>
      </c>
      <c r="B1578" s="1">
        <v>1741173</v>
      </c>
      <c r="C1578" s="1">
        <v>1741421</v>
      </c>
      <c r="E1578" s="1" t="s">
        <v>178</v>
      </c>
      <c r="F1578" s="1" t="s">
        <v>4795</v>
      </c>
      <c r="I1578" s="1" t="s">
        <v>19</v>
      </c>
      <c r="L1578" s="1" t="s">
        <v>4796</v>
      </c>
      <c r="M1578" s="1" t="s">
        <v>4795</v>
      </c>
      <c r="N1578" s="1">
        <v>82</v>
      </c>
      <c r="O1578" s="1" t="s">
        <v>4797</v>
      </c>
    </row>
    <row r="1579" spans="1:17" x14ac:dyDescent="0.35">
      <c r="A1579" s="1" t="s">
        <v>15</v>
      </c>
      <c r="B1579" s="1">
        <v>1741433</v>
      </c>
      <c r="C1579" s="1">
        <v>1741705</v>
      </c>
      <c r="E1579" s="1" t="s">
        <v>178</v>
      </c>
      <c r="F1579" s="1" t="s">
        <v>4798</v>
      </c>
      <c r="G1579" s="1" t="s">
        <v>4799</v>
      </c>
      <c r="I1579" s="1" t="s">
        <v>19</v>
      </c>
      <c r="L1579" s="1" t="s">
        <v>4800</v>
      </c>
      <c r="M1579" s="1" t="s">
        <v>4798</v>
      </c>
      <c r="N1579" s="1">
        <v>90</v>
      </c>
      <c r="O1579" s="1" t="s">
        <v>4801</v>
      </c>
    </row>
    <row r="1580" spans="1:17" x14ac:dyDescent="0.35">
      <c r="A1580" s="1" t="s">
        <v>15</v>
      </c>
      <c r="B1580" s="1">
        <v>1741868</v>
      </c>
      <c r="C1580" s="1">
        <v>1743247</v>
      </c>
      <c r="E1580" s="1" t="s">
        <v>178</v>
      </c>
      <c r="F1580" s="1" t="s">
        <v>54</v>
      </c>
      <c r="I1580" s="1" t="s">
        <v>19</v>
      </c>
      <c r="L1580" s="1" t="s">
        <v>4802</v>
      </c>
      <c r="M1580" s="1" t="s">
        <v>54</v>
      </c>
      <c r="N1580" s="1">
        <v>459</v>
      </c>
      <c r="O1580" s="1" t="s">
        <v>4803</v>
      </c>
    </row>
    <row r="1581" spans="1:17" x14ac:dyDescent="0.35">
      <c r="A1581" s="1" t="s">
        <v>15</v>
      </c>
      <c r="B1581" s="1">
        <v>1743359</v>
      </c>
      <c r="C1581" s="1">
        <v>1744684</v>
      </c>
      <c r="E1581" s="1" t="s">
        <v>178</v>
      </c>
      <c r="F1581" s="1" t="s">
        <v>1582</v>
      </c>
      <c r="G1581" s="1" t="s">
        <v>4804</v>
      </c>
      <c r="I1581" s="1" t="s">
        <v>19</v>
      </c>
      <c r="L1581" s="1" t="s">
        <v>4805</v>
      </c>
      <c r="M1581" s="1" t="s">
        <v>1582</v>
      </c>
      <c r="N1581" s="1">
        <v>441</v>
      </c>
      <c r="O1581" s="1" t="s">
        <v>4806</v>
      </c>
      <c r="Q1581" s="14"/>
    </row>
    <row r="1582" spans="1:17" x14ac:dyDescent="0.35">
      <c r="A1582" s="1" t="s">
        <v>15</v>
      </c>
      <c r="B1582" s="1">
        <v>1744848</v>
      </c>
      <c r="C1582" s="1">
        <v>1745585</v>
      </c>
      <c r="E1582" s="1" t="s">
        <v>178</v>
      </c>
      <c r="F1582" s="1" t="s">
        <v>4807</v>
      </c>
      <c r="G1582" s="1" t="s">
        <v>4808</v>
      </c>
      <c r="I1582" s="1" t="s">
        <v>19</v>
      </c>
      <c r="L1582" s="1" t="s">
        <v>4809</v>
      </c>
      <c r="M1582" s="1" t="s">
        <v>4807</v>
      </c>
      <c r="N1582" s="1">
        <v>245</v>
      </c>
      <c r="O1582" s="1" t="s">
        <v>4810</v>
      </c>
    </row>
    <row r="1583" spans="1:17" x14ac:dyDescent="0.35">
      <c r="A1583" s="1" t="s">
        <v>15</v>
      </c>
      <c r="B1583" s="1">
        <v>1745799</v>
      </c>
      <c r="C1583" s="1">
        <v>1747121</v>
      </c>
      <c r="E1583" s="1" t="s">
        <v>16</v>
      </c>
      <c r="F1583" s="1" t="s">
        <v>54</v>
      </c>
      <c r="I1583" s="1" t="s">
        <v>19</v>
      </c>
      <c r="L1583" s="1" t="s">
        <v>4811</v>
      </c>
      <c r="M1583" s="1" t="s">
        <v>54</v>
      </c>
      <c r="N1583" s="1">
        <v>440</v>
      </c>
      <c r="O1583" s="1" t="s">
        <v>4812</v>
      </c>
    </row>
    <row r="1584" spans="1:17" x14ac:dyDescent="0.35">
      <c r="A1584" s="1" t="s">
        <v>15</v>
      </c>
      <c r="B1584" s="1">
        <v>1747900</v>
      </c>
      <c r="C1584" s="1">
        <v>1748778</v>
      </c>
      <c r="E1584" s="1" t="s">
        <v>16</v>
      </c>
      <c r="F1584" s="1" t="s">
        <v>4813</v>
      </c>
      <c r="G1584" s="1" t="s">
        <v>4814</v>
      </c>
      <c r="I1584" s="1" t="s">
        <v>19</v>
      </c>
      <c r="L1584" s="1" t="s">
        <v>4815</v>
      </c>
      <c r="M1584" s="1" t="s">
        <v>4813</v>
      </c>
      <c r="N1584" s="1">
        <v>292</v>
      </c>
      <c r="O1584" s="1" t="s">
        <v>4816</v>
      </c>
    </row>
    <row r="1585" spans="1:17" x14ac:dyDescent="0.35">
      <c r="A1585" s="1" t="s">
        <v>15</v>
      </c>
      <c r="B1585" s="1">
        <v>1748861</v>
      </c>
      <c r="C1585" s="1">
        <v>1749613</v>
      </c>
      <c r="E1585" s="1" t="s">
        <v>178</v>
      </c>
      <c r="F1585" s="1" t="s">
        <v>231</v>
      </c>
      <c r="I1585" s="1" t="s">
        <v>19</v>
      </c>
      <c r="L1585" s="1" t="s">
        <v>4817</v>
      </c>
      <c r="M1585" s="1" t="s">
        <v>231</v>
      </c>
      <c r="N1585" s="1">
        <v>250</v>
      </c>
      <c r="O1585" s="1" t="s">
        <v>4818</v>
      </c>
    </row>
    <row r="1586" spans="1:17" x14ac:dyDescent="0.35">
      <c r="A1586" s="1" t="s">
        <v>15</v>
      </c>
      <c r="B1586" s="1">
        <v>1749710</v>
      </c>
      <c r="C1586" s="1">
        <v>1750174</v>
      </c>
      <c r="E1586" s="1" t="s">
        <v>178</v>
      </c>
      <c r="F1586" s="1" t="s">
        <v>54</v>
      </c>
      <c r="I1586" s="1" t="s">
        <v>19</v>
      </c>
      <c r="L1586" s="1" t="s">
        <v>4819</v>
      </c>
      <c r="M1586" s="1" t="s">
        <v>54</v>
      </c>
      <c r="N1586" s="1">
        <v>154</v>
      </c>
      <c r="O1586" s="1" t="s">
        <v>4820</v>
      </c>
    </row>
    <row r="1587" spans="1:17" x14ac:dyDescent="0.35">
      <c r="A1587" s="1" t="s">
        <v>15</v>
      </c>
      <c r="B1587" s="1">
        <v>1750262</v>
      </c>
      <c r="C1587" s="1">
        <v>1750594</v>
      </c>
      <c r="E1587" s="1" t="s">
        <v>178</v>
      </c>
      <c r="F1587" s="1" t="s">
        <v>54</v>
      </c>
      <c r="I1587" s="1" t="s">
        <v>19</v>
      </c>
      <c r="L1587" s="1" t="s">
        <v>4821</v>
      </c>
      <c r="M1587" s="1" t="s">
        <v>54</v>
      </c>
      <c r="N1587" s="1">
        <v>110</v>
      </c>
      <c r="O1587" s="1" t="s">
        <v>4822</v>
      </c>
    </row>
    <row r="1588" spans="1:17" x14ac:dyDescent="0.35">
      <c r="A1588" s="1" t="s">
        <v>15</v>
      </c>
      <c r="B1588" s="1">
        <v>1750722</v>
      </c>
      <c r="C1588" s="1">
        <v>1751549</v>
      </c>
      <c r="E1588" s="1" t="s">
        <v>16</v>
      </c>
      <c r="F1588" s="1" t="s">
        <v>4823</v>
      </c>
      <c r="G1588" s="1" t="s">
        <v>4824</v>
      </c>
      <c r="I1588" s="1" t="s">
        <v>19</v>
      </c>
      <c r="L1588" s="1" t="s">
        <v>4825</v>
      </c>
      <c r="M1588" s="1" t="s">
        <v>4823</v>
      </c>
      <c r="N1588" s="1">
        <v>275</v>
      </c>
      <c r="O1588" s="1" t="s">
        <v>4826</v>
      </c>
      <c r="Q1588" s="14"/>
    </row>
    <row r="1589" spans="1:17" x14ac:dyDescent="0.35">
      <c r="A1589" s="1" t="s">
        <v>15</v>
      </c>
      <c r="B1589" s="1">
        <v>1751622</v>
      </c>
      <c r="C1589" s="1">
        <v>1752101</v>
      </c>
      <c r="E1589" s="1" t="s">
        <v>16</v>
      </c>
      <c r="F1589" s="1" t="s">
        <v>530</v>
      </c>
      <c r="I1589" s="1" t="s">
        <v>19</v>
      </c>
      <c r="L1589" s="1" t="s">
        <v>4827</v>
      </c>
      <c r="M1589" s="1" t="s">
        <v>530</v>
      </c>
      <c r="N1589" s="1">
        <v>159</v>
      </c>
      <c r="O1589" s="1" t="s">
        <v>4828</v>
      </c>
    </row>
    <row r="1590" spans="1:17" x14ac:dyDescent="0.35">
      <c r="A1590" s="1" t="s">
        <v>15</v>
      </c>
      <c r="B1590" s="1">
        <v>1752142</v>
      </c>
      <c r="C1590" s="1">
        <v>1753770</v>
      </c>
      <c r="E1590" s="1" t="s">
        <v>178</v>
      </c>
      <c r="F1590" s="1" t="s">
        <v>54</v>
      </c>
      <c r="I1590" s="1" t="s">
        <v>19</v>
      </c>
      <c r="L1590" s="1" t="s">
        <v>4829</v>
      </c>
      <c r="M1590" s="1" t="s">
        <v>54</v>
      </c>
      <c r="N1590" s="1">
        <v>542</v>
      </c>
      <c r="O1590" s="1" t="s">
        <v>4830</v>
      </c>
    </row>
    <row r="1591" spans="1:17" x14ac:dyDescent="0.35">
      <c r="A1591" s="1" t="s">
        <v>15</v>
      </c>
      <c r="B1591" s="1">
        <v>1753877</v>
      </c>
      <c r="C1591" s="1">
        <v>1754866</v>
      </c>
      <c r="E1591" s="1" t="s">
        <v>178</v>
      </c>
      <c r="F1591" s="1" t="s">
        <v>54</v>
      </c>
      <c r="I1591" s="1" t="s">
        <v>19</v>
      </c>
      <c r="L1591" s="1" t="s">
        <v>4831</v>
      </c>
      <c r="M1591" s="1" t="s">
        <v>54</v>
      </c>
      <c r="N1591" s="1">
        <v>329</v>
      </c>
      <c r="O1591" s="1" t="s">
        <v>4832</v>
      </c>
    </row>
    <row r="1592" spans="1:17" x14ac:dyDescent="0.35">
      <c r="A1592" s="1" t="s">
        <v>15</v>
      </c>
      <c r="B1592" s="1">
        <v>1754944</v>
      </c>
      <c r="C1592" s="1">
        <v>1755969</v>
      </c>
      <c r="E1592" s="1" t="s">
        <v>178</v>
      </c>
      <c r="F1592" s="1" t="s">
        <v>231</v>
      </c>
      <c r="I1592" s="1" t="s">
        <v>19</v>
      </c>
      <c r="L1592" s="1" t="s">
        <v>4833</v>
      </c>
      <c r="M1592" s="1" t="s">
        <v>231</v>
      </c>
      <c r="N1592" s="1">
        <v>341</v>
      </c>
      <c r="O1592" s="1" t="s">
        <v>4834</v>
      </c>
    </row>
    <row r="1593" spans="1:17" x14ac:dyDescent="0.35">
      <c r="A1593" s="1" t="s">
        <v>15</v>
      </c>
      <c r="B1593" s="1">
        <v>1756092</v>
      </c>
      <c r="C1593" s="1">
        <v>1757105</v>
      </c>
      <c r="E1593" s="1" t="s">
        <v>178</v>
      </c>
      <c r="F1593" s="1" t="s">
        <v>4835</v>
      </c>
      <c r="I1593" s="1" t="s">
        <v>19</v>
      </c>
      <c r="L1593" s="1" t="s">
        <v>4836</v>
      </c>
      <c r="M1593" s="1" t="s">
        <v>4835</v>
      </c>
      <c r="N1593" s="1">
        <v>337</v>
      </c>
      <c r="O1593" s="1" t="s">
        <v>4837</v>
      </c>
      <c r="Q1593" s="14"/>
    </row>
    <row r="1594" spans="1:17" x14ac:dyDescent="0.35">
      <c r="A1594" s="1" t="s">
        <v>15</v>
      </c>
      <c r="B1594" s="1">
        <v>1757115</v>
      </c>
      <c r="C1594" s="1">
        <v>1759061</v>
      </c>
      <c r="E1594" s="1" t="s">
        <v>178</v>
      </c>
      <c r="F1594" s="1" t="s">
        <v>4838</v>
      </c>
      <c r="I1594" s="1" t="s">
        <v>19</v>
      </c>
      <c r="L1594" s="1" t="s">
        <v>4839</v>
      </c>
      <c r="M1594" s="1" t="s">
        <v>4838</v>
      </c>
      <c r="N1594" s="1">
        <v>648</v>
      </c>
      <c r="O1594" s="1" t="s">
        <v>4840</v>
      </c>
      <c r="Q1594" s="14"/>
    </row>
    <row r="1595" spans="1:17" x14ac:dyDescent="0.35">
      <c r="A1595" s="1" t="s">
        <v>15</v>
      </c>
      <c r="B1595" s="1">
        <v>1759124</v>
      </c>
      <c r="C1595" s="1">
        <v>1759633</v>
      </c>
      <c r="E1595" s="1" t="s">
        <v>178</v>
      </c>
      <c r="F1595" s="1" t="s">
        <v>530</v>
      </c>
      <c r="I1595" s="1" t="s">
        <v>19</v>
      </c>
      <c r="L1595" s="1" t="s">
        <v>4841</v>
      </c>
      <c r="M1595" s="1" t="s">
        <v>530</v>
      </c>
      <c r="N1595" s="1">
        <v>169</v>
      </c>
      <c r="O1595" s="1" t="s">
        <v>4842</v>
      </c>
    </row>
    <row r="1596" spans="1:17" x14ac:dyDescent="0.35">
      <c r="A1596" s="1" t="s">
        <v>15</v>
      </c>
      <c r="B1596" s="1">
        <v>1759724</v>
      </c>
      <c r="C1596" s="1">
        <v>1760683</v>
      </c>
      <c r="E1596" s="1" t="s">
        <v>178</v>
      </c>
      <c r="F1596" s="1" t="s">
        <v>4843</v>
      </c>
      <c r="G1596" s="1" t="s">
        <v>4844</v>
      </c>
      <c r="I1596" s="1" t="s">
        <v>19</v>
      </c>
      <c r="L1596" s="1" t="s">
        <v>4845</v>
      </c>
      <c r="M1596" s="1" t="s">
        <v>4843</v>
      </c>
      <c r="N1596" s="1">
        <v>319</v>
      </c>
      <c r="O1596" s="1" t="s">
        <v>4846</v>
      </c>
    </row>
    <row r="1597" spans="1:17" x14ac:dyDescent="0.35">
      <c r="A1597" s="1" t="s">
        <v>15</v>
      </c>
      <c r="B1597" s="1">
        <v>1760685</v>
      </c>
      <c r="C1597" s="1">
        <v>1761545</v>
      </c>
      <c r="E1597" s="1" t="s">
        <v>178</v>
      </c>
      <c r="F1597" s="1" t="s">
        <v>4847</v>
      </c>
      <c r="G1597" s="1" t="s">
        <v>4848</v>
      </c>
      <c r="I1597" s="1" t="s">
        <v>19</v>
      </c>
      <c r="L1597" s="1" t="s">
        <v>4849</v>
      </c>
      <c r="M1597" s="1" t="s">
        <v>4847</v>
      </c>
      <c r="N1597" s="1">
        <v>286</v>
      </c>
      <c r="O1597" s="1" t="s">
        <v>4850</v>
      </c>
      <c r="Q1597" s="14"/>
    </row>
    <row r="1598" spans="1:17" x14ac:dyDescent="0.35">
      <c r="A1598" s="1" t="s">
        <v>15</v>
      </c>
      <c r="B1598" s="1">
        <v>1761589</v>
      </c>
      <c r="C1598" s="1">
        <v>1762869</v>
      </c>
      <c r="E1598" s="1" t="s">
        <v>178</v>
      </c>
      <c r="F1598" s="1" t="s">
        <v>54</v>
      </c>
      <c r="G1598" s="1" t="s">
        <v>4851</v>
      </c>
      <c r="I1598" s="1" t="s">
        <v>19</v>
      </c>
      <c r="L1598" s="1" t="s">
        <v>4852</v>
      </c>
      <c r="M1598" s="1" t="s">
        <v>54</v>
      </c>
      <c r="N1598" s="1">
        <v>426</v>
      </c>
      <c r="O1598" s="1" t="s">
        <v>4853</v>
      </c>
    </row>
    <row r="1599" spans="1:17" x14ac:dyDescent="0.35">
      <c r="A1599" s="1" t="s">
        <v>15</v>
      </c>
      <c r="B1599" s="1">
        <v>1762862</v>
      </c>
      <c r="C1599" s="1">
        <v>1763407</v>
      </c>
      <c r="E1599" s="1" t="s">
        <v>178</v>
      </c>
      <c r="F1599" s="1" t="s">
        <v>4854</v>
      </c>
      <c r="I1599" s="1" t="s">
        <v>19</v>
      </c>
      <c r="L1599" s="1" t="s">
        <v>4855</v>
      </c>
      <c r="M1599" s="1" t="s">
        <v>4854</v>
      </c>
      <c r="N1599" s="1">
        <v>181</v>
      </c>
      <c r="O1599" s="1" t="s">
        <v>4856</v>
      </c>
      <c r="Q1599" s="14"/>
    </row>
    <row r="1600" spans="1:17" x14ac:dyDescent="0.35">
      <c r="A1600" s="1" t="s">
        <v>15</v>
      </c>
      <c r="B1600" s="1">
        <v>1763473</v>
      </c>
      <c r="C1600" s="1">
        <v>1764735</v>
      </c>
      <c r="E1600" s="1" t="s">
        <v>178</v>
      </c>
      <c r="F1600" s="1" t="s">
        <v>4857</v>
      </c>
      <c r="G1600" s="1" t="s">
        <v>4858</v>
      </c>
      <c r="I1600" s="1" t="s">
        <v>19</v>
      </c>
      <c r="L1600" s="1" t="s">
        <v>4859</v>
      </c>
      <c r="M1600" s="1" t="s">
        <v>4857</v>
      </c>
      <c r="N1600" s="1">
        <v>420</v>
      </c>
      <c r="O1600" s="1" t="s">
        <v>4860</v>
      </c>
      <c r="Q1600" s="14"/>
    </row>
    <row r="1601" spans="1:17" x14ac:dyDescent="0.35">
      <c r="A1601" s="1" t="s">
        <v>15</v>
      </c>
      <c r="B1601" s="1">
        <v>1764821</v>
      </c>
      <c r="C1601" s="1">
        <v>1767061</v>
      </c>
      <c r="E1601" s="1" t="s">
        <v>178</v>
      </c>
      <c r="F1601" s="1" t="s">
        <v>4861</v>
      </c>
      <c r="G1601" s="1" t="s">
        <v>4862</v>
      </c>
      <c r="I1601" s="1" t="s">
        <v>19</v>
      </c>
      <c r="L1601" s="1" t="s">
        <v>4863</v>
      </c>
      <c r="M1601" s="1" t="s">
        <v>4861</v>
      </c>
      <c r="N1601" s="1">
        <v>746</v>
      </c>
      <c r="O1601" s="1" t="s">
        <v>4864</v>
      </c>
    </row>
    <row r="1602" spans="1:17" x14ac:dyDescent="0.35">
      <c r="A1602" s="1" t="s">
        <v>15</v>
      </c>
      <c r="B1602" s="1">
        <v>1767051</v>
      </c>
      <c r="C1602" s="1">
        <v>1767746</v>
      </c>
      <c r="E1602" s="1" t="s">
        <v>178</v>
      </c>
      <c r="F1602" s="1" t="s">
        <v>4865</v>
      </c>
      <c r="G1602" s="1" t="s">
        <v>4866</v>
      </c>
      <c r="I1602" s="1" t="s">
        <v>19</v>
      </c>
      <c r="L1602" s="1" t="s">
        <v>4867</v>
      </c>
      <c r="M1602" s="1" t="s">
        <v>4865</v>
      </c>
      <c r="N1602" s="1">
        <v>231</v>
      </c>
      <c r="O1602" s="1" t="s">
        <v>4868</v>
      </c>
    </row>
    <row r="1603" spans="1:17" x14ac:dyDescent="0.35">
      <c r="A1603" s="1" t="s">
        <v>15</v>
      </c>
      <c r="B1603" s="1">
        <v>1767854</v>
      </c>
      <c r="C1603" s="1">
        <v>1768609</v>
      </c>
      <c r="E1603" s="1" t="s">
        <v>178</v>
      </c>
      <c r="F1603" s="1" t="s">
        <v>4869</v>
      </c>
      <c r="I1603" s="1" t="s">
        <v>19</v>
      </c>
      <c r="L1603" s="1" t="s">
        <v>4870</v>
      </c>
      <c r="M1603" s="1" t="s">
        <v>4869</v>
      </c>
      <c r="N1603" s="1">
        <v>251</v>
      </c>
      <c r="O1603" s="1" t="s">
        <v>4871</v>
      </c>
      <c r="Q1603" s="14"/>
    </row>
    <row r="1604" spans="1:17" x14ac:dyDescent="0.35">
      <c r="A1604" s="1" t="s">
        <v>15</v>
      </c>
      <c r="B1604" s="1">
        <v>1768739</v>
      </c>
      <c r="C1604" s="1">
        <v>1769686</v>
      </c>
      <c r="E1604" s="1" t="s">
        <v>16</v>
      </c>
      <c r="F1604" s="1" t="s">
        <v>54</v>
      </c>
      <c r="I1604" s="1" t="s">
        <v>19</v>
      </c>
      <c r="L1604" s="1" t="s">
        <v>4872</v>
      </c>
      <c r="M1604" s="1" t="s">
        <v>54</v>
      </c>
      <c r="N1604" s="1">
        <v>315</v>
      </c>
      <c r="O1604" s="1" t="s">
        <v>4873</v>
      </c>
    </row>
    <row r="1605" spans="1:17" x14ac:dyDescent="0.35">
      <c r="A1605" s="1" t="s">
        <v>15</v>
      </c>
      <c r="B1605" s="1">
        <v>1769736</v>
      </c>
      <c r="C1605" s="1">
        <v>1770500</v>
      </c>
      <c r="E1605" s="1" t="s">
        <v>16</v>
      </c>
      <c r="F1605" s="1" t="s">
        <v>4874</v>
      </c>
      <c r="I1605" s="1" t="s">
        <v>19</v>
      </c>
      <c r="L1605" s="1" t="s">
        <v>4875</v>
      </c>
      <c r="M1605" s="1" t="s">
        <v>4874</v>
      </c>
      <c r="N1605" s="1">
        <v>254</v>
      </c>
      <c r="O1605" s="1" t="s">
        <v>4876</v>
      </c>
      <c r="Q1605" s="14"/>
    </row>
    <row r="1606" spans="1:17" x14ac:dyDescent="0.35">
      <c r="A1606" s="1" t="s">
        <v>15</v>
      </c>
      <c r="B1606" s="1">
        <v>1770504</v>
      </c>
      <c r="C1606" s="1">
        <v>1770773</v>
      </c>
      <c r="E1606" s="1" t="s">
        <v>16</v>
      </c>
      <c r="F1606" s="1" t="s">
        <v>4877</v>
      </c>
      <c r="I1606" s="1" t="s">
        <v>19</v>
      </c>
      <c r="L1606" s="1" t="s">
        <v>4878</v>
      </c>
      <c r="M1606" s="1" t="s">
        <v>4877</v>
      </c>
      <c r="N1606" s="1">
        <v>89</v>
      </c>
      <c r="O1606" s="1" t="s">
        <v>4879</v>
      </c>
    </row>
    <row r="1607" spans="1:17" x14ac:dyDescent="0.35">
      <c r="A1607" s="1" t="s">
        <v>15</v>
      </c>
      <c r="B1607" s="1">
        <v>1770983</v>
      </c>
      <c r="C1607" s="1">
        <v>1771798</v>
      </c>
      <c r="E1607" s="1" t="s">
        <v>16</v>
      </c>
      <c r="F1607" s="1" t="s">
        <v>4880</v>
      </c>
      <c r="I1607" s="1" t="s">
        <v>19</v>
      </c>
      <c r="L1607" s="1" t="s">
        <v>4881</v>
      </c>
      <c r="M1607" s="1" t="s">
        <v>4880</v>
      </c>
      <c r="N1607" s="1">
        <v>271</v>
      </c>
      <c r="O1607" s="1" t="s">
        <v>4882</v>
      </c>
    </row>
    <row r="1608" spans="1:17" x14ac:dyDescent="0.35">
      <c r="A1608" s="1" t="s">
        <v>15</v>
      </c>
      <c r="B1608" s="1">
        <v>1772092</v>
      </c>
      <c r="C1608" s="1">
        <v>1773678</v>
      </c>
      <c r="E1608" s="1" t="s">
        <v>178</v>
      </c>
      <c r="F1608" s="1" t="s">
        <v>2432</v>
      </c>
      <c r="G1608" s="1" t="s">
        <v>4883</v>
      </c>
      <c r="I1608" s="1" t="s">
        <v>19</v>
      </c>
      <c r="L1608" s="1" t="s">
        <v>4884</v>
      </c>
      <c r="M1608" s="1" t="s">
        <v>2432</v>
      </c>
      <c r="N1608" s="1">
        <v>528</v>
      </c>
      <c r="O1608" s="1" t="s">
        <v>4885</v>
      </c>
      <c r="Q1608" s="14"/>
    </row>
    <row r="1609" spans="1:17" x14ac:dyDescent="0.35">
      <c r="A1609" s="1" t="s">
        <v>15</v>
      </c>
      <c r="B1609" s="1">
        <v>1773873</v>
      </c>
      <c r="C1609" s="1">
        <v>1774778</v>
      </c>
      <c r="E1609" s="1" t="s">
        <v>178</v>
      </c>
      <c r="F1609" s="1" t="s">
        <v>4886</v>
      </c>
      <c r="G1609" s="1" t="s">
        <v>4887</v>
      </c>
      <c r="I1609" s="1" t="s">
        <v>19</v>
      </c>
      <c r="L1609" s="1" t="s">
        <v>4888</v>
      </c>
      <c r="M1609" s="1" t="s">
        <v>4886</v>
      </c>
      <c r="N1609" s="1">
        <v>301</v>
      </c>
      <c r="O1609" s="1" t="s">
        <v>4889</v>
      </c>
    </row>
    <row r="1610" spans="1:17" x14ac:dyDescent="0.35">
      <c r="A1610" s="1" t="s">
        <v>15</v>
      </c>
      <c r="B1610" s="1">
        <v>1774791</v>
      </c>
      <c r="C1610" s="1">
        <v>1775171</v>
      </c>
      <c r="E1610" s="1" t="s">
        <v>178</v>
      </c>
      <c r="F1610" s="1" t="s">
        <v>50</v>
      </c>
      <c r="I1610" s="1" t="s">
        <v>19</v>
      </c>
      <c r="L1610" s="1" t="s">
        <v>4890</v>
      </c>
      <c r="M1610" s="1" t="s">
        <v>50</v>
      </c>
      <c r="N1610" s="1">
        <v>126</v>
      </c>
      <c r="O1610" s="1" t="s">
        <v>4891</v>
      </c>
    </row>
    <row r="1611" spans="1:17" x14ac:dyDescent="0.35">
      <c r="A1611" s="1" t="s">
        <v>15</v>
      </c>
      <c r="B1611" s="1">
        <v>1775475</v>
      </c>
      <c r="C1611" s="1">
        <v>1776050</v>
      </c>
      <c r="E1611" s="1" t="s">
        <v>16</v>
      </c>
      <c r="F1611" s="1" t="s">
        <v>4892</v>
      </c>
      <c r="I1611" s="1" t="s">
        <v>19</v>
      </c>
      <c r="L1611" s="1" t="s">
        <v>4893</v>
      </c>
      <c r="M1611" s="1" t="s">
        <v>4892</v>
      </c>
      <c r="N1611" s="1">
        <v>191</v>
      </c>
      <c r="O1611" s="1" t="s">
        <v>4894</v>
      </c>
    </row>
    <row r="1612" spans="1:17" x14ac:dyDescent="0.35">
      <c r="A1612" s="1" t="s">
        <v>15</v>
      </c>
      <c r="B1612" s="1">
        <v>1776425</v>
      </c>
      <c r="C1612" s="1">
        <v>1777969</v>
      </c>
      <c r="E1612" s="1" t="s">
        <v>178</v>
      </c>
      <c r="F1612" s="1" t="s">
        <v>4895</v>
      </c>
      <c r="G1612" s="1" t="s">
        <v>4896</v>
      </c>
      <c r="I1612" s="1" t="s">
        <v>19</v>
      </c>
      <c r="L1612" s="1" t="s">
        <v>4897</v>
      </c>
      <c r="M1612" s="1" t="s">
        <v>4895</v>
      </c>
      <c r="N1612" s="1">
        <v>514</v>
      </c>
      <c r="O1612" s="1" t="s">
        <v>4898</v>
      </c>
    </row>
    <row r="1613" spans="1:17" x14ac:dyDescent="0.35">
      <c r="A1613" s="1" t="s">
        <v>15</v>
      </c>
      <c r="B1613" s="1">
        <v>1778318</v>
      </c>
      <c r="C1613" s="1">
        <v>1778983</v>
      </c>
      <c r="E1613" s="1" t="s">
        <v>178</v>
      </c>
      <c r="F1613" s="1" t="s">
        <v>50</v>
      </c>
      <c r="I1613" s="1" t="s">
        <v>19</v>
      </c>
      <c r="L1613" s="1" t="s">
        <v>4899</v>
      </c>
      <c r="M1613" s="1" t="s">
        <v>50</v>
      </c>
      <c r="N1613" s="1">
        <v>221</v>
      </c>
      <c r="O1613" s="1" t="s">
        <v>4900</v>
      </c>
    </row>
    <row r="1614" spans="1:17" x14ac:dyDescent="0.35">
      <c r="A1614" s="1" t="s">
        <v>15</v>
      </c>
      <c r="B1614" s="1">
        <v>1779072</v>
      </c>
      <c r="C1614" s="1">
        <v>1780445</v>
      </c>
      <c r="E1614" s="1" t="s">
        <v>178</v>
      </c>
      <c r="F1614" s="1" t="s">
        <v>4901</v>
      </c>
      <c r="G1614" s="1" t="s">
        <v>4902</v>
      </c>
      <c r="I1614" s="1" t="s">
        <v>19</v>
      </c>
      <c r="L1614" s="1" t="s">
        <v>4903</v>
      </c>
      <c r="M1614" s="1" t="s">
        <v>4901</v>
      </c>
      <c r="N1614" s="1">
        <v>457</v>
      </c>
      <c r="O1614" s="1" t="s">
        <v>4904</v>
      </c>
      <c r="Q1614" s="14"/>
    </row>
    <row r="1615" spans="1:17" x14ac:dyDescent="0.35">
      <c r="A1615" s="1" t="s">
        <v>15</v>
      </c>
      <c r="B1615" s="1">
        <v>1780588</v>
      </c>
      <c r="C1615" s="1">
        <v>1781283</v>
      </c>
      <c r="E1615" s="1" t="s">
        <v>16</v>
      </c>
      <c r="F1615" s="1" t="s">
        <v>231</v>
      </c>
      <c r="I1615" s="1" t="s">
        <v>19</v>
      </c>
      <c r="L1615" s="1" t="s">
        <v>4905</v>
      </c>
      <c r="M1615" s="1" t="s">
        <v>231</v>
      </c>
      <c r="N1615" s="1">
        <v>231</v>
      </c>
      <c r="O1615" s="1" t="s">
        <v>4906</v>
      </c>
    </row>
    <row r="1616" spans="1:17" x14ac:dyDescent="0.35">
      <c r="A1616" s="1" t="s">
        <v>15</v>
      </c>
      <c r="B1616" s="1">
        <v>1781252</v>
      </c>
      <c r="C1616" s="1">
        <v>1781944</v>
      </c>
      <c r="E1616" s="1" t="s">
        <v>16</v>
      </c>
      <c r="F1616" s="1" t="s">
        <v>231</v>
      </c>
      <c r="I1616" s="1" t="s">
        <v>19</v>
      </c>
      <c r="L1616" s="1" t="s">
        <v>4907</v>
      </c>
      <c r="M1616" s="1" t="s">
        <v>231</v>
      </c>
      <c r="N1616" s="1">
        <v>230</v>
      </c>
      <c r="O1616" s="1" t="s">
        <v>4908</v>
      </c>
    </row>
    <row r="1617" spans="1:17" x14ac:dyDescent="0.35">
      <c r="A1617" s="1" t="s">
        <v>15</v>
      </c>
      <c r="B1617" s="1">
        <v>1781950</v>
      </c>
      <c r="C1617" s="1">
        <v>1782633</v>
      </c>
      <c r="E1617" s="1" t="s">
        <v>16</v>
      </c>
      <c r="F1617" s="1" t="s">
        <v>231</v>
      </c>
      <c r="I1617" s="1" t="s">
        <v>19</v>
      </c>
      <c r="L1617" s="1" t="s">
        <v>4909</v>
      </c>
      <c r="M1617" s="1" t="s">
        <v>231</v>
      </c>
      <c r="N1617" s="1">
        <v>227</v>
      </c>
      <c r="O1617" s="1" t="s">
        <v>4910</v>
      </c>
    </row>
    <row r="1618" spans="1:17" x14ac:dyDescent="0.35">
      <c r="A1618" s="1" t="s">
        <v>15</v>
      </c>
      <c r="B1618" s="1">
        <v>1782751</v>
      </c>
      <c r="C1618" s="1">
        <v>1783605</v>
      </c>
      <c r="E1618" s="1" t="s">
        <v>178</v>
      </c>
      <c r="F1618" s="1" t="s">
        <v>2949</v>
      </c>
      <c r="I1618" s="1" t="s">
        <v>19</v>
      </c>
      <c r="L1618" s="1" t="s">
        <v>4911</v>
      </c>
      <c r="M1618" s="1" t="s">
        <v>2949</v>
      </c>
      <c r="N1618" s="1">
        <v>284</v>
      </c>
      <c r="O1618" s="1" t="s">
        <v>4912</v>
      </c>
    </row>
    <row r="1619" spans="1:17" x14ac:dyDescent="0.35">
      <c r="A1619" s="1" t="s">
        <v>15</v>
      </c>
      <c r="B1619" s="1">
        <v>1783648</v>
      </c>
      <c r="C1619" s="1">
        <v>1784406</v>
      </c>
      <c r="E1619" s="1" t="s">
        <v>178</v>
      </c>
      <c r="F1619" s="1" t="s">
        <v>535</v>
      </c>
      <c r="I1619" s="1" t="s">
        <v>19</v>
      </c>
      <c r="L1619" s="1" t="s">
        <v>4913</v>
      </c>
      <c r="M1619" s="1" t="s">
        <v>535</v>
      </c>
      <c r="N1619" s="1">
        <v>252</v>
      </c>
      <c r="O1619" s="1" t="s">
        <v>4914</v>
      </c>
    </row>
    <row r="1620" spans="1:17" x14ac:dyDescent="0.35">
      <c r="A1620" s="1" t="s">
        <v>15</v>
      </c>
      <c r="B1620" s="1">
        <v>1784408</v>
      </c>
      <c r="C1620" s="1">
        <v>1785085</v>
      </c>
      <c r="E1620" s="1" t="s">
        <v>178</v>
      </c>
      <c r="F1620" s="1" t="s">
        <v>1862</v>
      </c>
      <c r="I1620" s="1" t="s">
        <v>19</v>
      </c>
      <c r="L1620" s="1" t="s">
        <v>4915</v>
      </c>
      <c r="M1620" s="1" t="s">
        <v>1862</v>
      </c>
      <c r="N1620" s="1">
        <v>225</v>
      </c>
      <c r="O1620" s="1" t="s">
        <v>4916</v>
      </c>
    </row>
    <row r="1621" spans="1:17" x14ac:dyDescent="0.35">
      <c r="A1621" s="1" t="s">
        <v>15</v>
      </c>
      <c r="B1621" s="1">
        <v>1785045</v>
      </c>
      <c r="C1621" s="1">
        <v>1785725</v>
      </c>
      <c r="E1621" s="1" t="s">
        <v>178</v>
      </c>
      <c r="F1621" s="1" t="s">
        <v>2944</v>
      </c>
      <c r="I1621" s="1" t="s">
        <v>19</v>
      </c>
      <c r="L1621" s="1" t="s">
        <v>4917</v>
      </c>
      <c r="M1621" s="1" t="s">
        <v>2944</v>
      </c>
      <c r="N1621" s="1">
        <v>226</v>
      </c>
      <c r="O1621" s="1" t="s">
        <v>4918</v>
      </c>
    </row>
    <row r="1622" spans="1:17" x14ac:dyDescent="0.35">
      <c r="A1622" s="1" t="s">
        <v>15</v>
      </c>
      <c r="B1622" s="1">
        <v>1786167</v>
      </c>
      <c r="C1622" s="1">
        <v>1787213</v>
      </c>
      <c r="E1622" s="1" t="s">
        <v>178</v>
      </c>
      <c r="F1622" s="1" t="s">
        <v>4919</v>
      </c>
      <c r="G1622" s="1" t="s">
        <v>4920</v>
      </c>
      <c r="I1622" s="1" t="s">
        <v>19</v>
      </c>
      <c r="L1622" s="1" t="s">
        <v>4921</v>
      </c>
      <c r="M1622" s="1" t="s">
        <v>4919</v>
      </c>
      <c r="N1622" s="1">
        <v>348</v>
      </c>
      <c r="O1622" s="1" t="s">
        <v>4922</v>
      </c>
      <c r="Q1622" s="14"/>
    </row>
    <row r="1623" spans="1:17" x14ac:dyDescent="0.35">
      <c r="A1623" s="1" t="s">
        <v>15</v>
      </c>
      <c r="B1623" s="1">
        <v>1787352</v>
      </c>
      <c r="C1623" s="1">
        <v>1787555</v>
      </c>
      <c r="E1623" s="1" t="s">
        <v>178</v>
      </c>
      <c r="F1623" s="1" t="s">
        <v>4923</v>
      </c>
      <c r="G1623" s="1" t="s">
        <v>4924</v>
      </c>
      <c r="I1623" s="1" t="s">
        <v>19</v>
      </c>
      <c r="L1623" s="1" t="s">
        <v>4925</v>
      </c>
      <c r="M1623" s="1" t="s">
        <v>4923</v>
      </c>
      <c r="N1623" s="1">
        <v>67</v>
      </c>
      <c r="O1623" s="1" t="s">
        <v>4926</v>
      </c>
    </row>
    <row r="1624" spans="1:17" x14ac:dyDescent="0.35">
      <c r="A1624" s="1" t="s">
        <v>15</v>
      </c>
      <c r="B1624" s="1">
        <v>1787628</v>
      </c>
      <c r="C1624" s="1">
        <v>1789892</v>
      </c>
      <c r="E1624" s="1" t="s">
        <v>178</v>
      </c>
      <c r="F1624" s="1" t="s">
        <v>4927</v>
      </c>
      <c r="G1624" s="1" t="s">
        <v>4928</v>
      </c>
      <c r="I1624" s="1" t="s">
        <v>19</v>
      </c>
      <c r="L1624" s="1" t="s">
        <v>4929</v>
      </c>
      <c r="M1624" s="1" t="s">
        <v>4927</v>
      </c>
      <c r="N1624" s="1">
        <v>754</v>
      </c>
      <c r="O1624" s="1" t="s">
        <v>4930</v>
      </c>
    </row>
    <row r="1625" spans="1:17" x14ac:dyDescent="0.35">
      <c r="A1625" s="1" t="s">
        <v>15</v>
      </c>
      <c r="B1625" s="1">
        <v>1789859</v>
      </c>
      <c r="C1625" s="1">
        <v>1790290</v>
      </c>
      <c r="E1625" s="1" t="s">
        <v>178</v>
      </c>
      <c r="F1625" s="1" t="s">
        <v>4931</v>
      </c>
      <c r="I1625" s="1" t="s">
        <v>19</v>
      </c>
      <c r="L1625" s="1" t="s">
        <v>4932</v>
      </c>
      <c r="M1625" s="1" t="s">
        <v>4931</v>
      </c>
      <c r="N1625" s="1">
        <v>143</v>
      </c>
      <c r="O1625" s="1" t="s">
        <v>4933</v>
      </c>
    </row>
    <row r="1626" spans="1:17" x14ac:dyDescent="0.35">
      <c r="A1626" s="1" t="s">
        <v>15</v>
      </c>
      <c r="B1626" s="1">
        <v>1790458</v>
      </c>
      <c r="C1626" s="1">
        <v>1791630</v>
      </c>
      <c r="E1626" s="1" t="s">
        <v>178</v>
      </c>
      <c r="F1626" s="1" t="s">
        <v>2068</v>
      </c>
      <c r="I1626" s="1" t="s">
        <v>19</v>
      </c>
      <c r="L1626" s="1" t="s">
        <v>4934</v>
      </c>
      <c r="M1626" s="1" t="s">
        <v>2068</v>
      </c>
      <c r="N1626" s="1">
        <v>390</v>
      </c>
      <c r="O1626" s="1" t="s">
        <v>4935</v>
      </c>
    </row>
    <row r="1627" spans="1:17" x14ac:dyDescent="0.35">
      <c r="A1627" s="1" t="s">
        <v>15</v>
      </c>
      <c r="B1627" s="1">
        <v>1792062</v>
      </c>
      <c r="C1627" s="1">
        <v>1792199</v>
      </c>
      <c r="E1627" s="1" t="s">
        <v>178</v>
      </c>
      <c r="F1627" s="1" t="s">
        <v>231</v>
      </c>
      <c r="I1627" s="1" t="s">
        <v>19</v>
      </c>
      <c r="L1627" s="1" t="s">
        <v>4936</v>
      </c>
      <c r="M1627" s="1" t="s">
        <v>231</v>
      </c>
      <c r="N1627" s="1">
        <v>45</v>
      </c>
      <c r="O1627" s="1" t="s">
        <v>4937</v>
      </c>
    </row>
    <row r="1628" spans="1:17" x14ac:dyDescent="0.35">
      <c r="A1628" s="1" t="s">
        <v>15</v>
      </c>
      <c r="B1628" s="1">
        <v>1792361</v>
      </c>
      <c r="C1628" s="1">
        <v>1793143</v>
      </c>
      <c r="E1628" s="1" t="s">
        <v>178</v>
      </c>
      <c r="F1628" s="1" t="s">
        <v>4938</v>
      </c>
      <c r="G1628" s="1" t="s">
        <v>4939</v>
      </c>
      <c r="I1628" s="1" t="s">
        <v>19</v>
      </c>
      <c r="L1628" s="1" t="s">
        <v>4940</v>
      </c>
      <c r="M1628" s="1" t="s">
        <v>4938</v>
      </c>
      <c r="N1628" s="1">
        <v>260</v>
      </c>
      <c r="O1628" s="1" t="s">
        <v>4941</v>
      </c>
      <c r="Q1628" s="14"/>
    </row>
    <row r="1629" spans="1:17" x14ac:dyDescent="0.35">
      <c r="A1629" s="1" t="s">
        <v>15</v>
      </c>
      <c r="B1629" s="1">
        <v>1793147</v>
      </c>
      <c r="C1629" s="1">
        <v>1794355</v>
      </c>
      <c r="E1629" s="1" t="s">
        <v>178</v>
      </c>
      <c r="F1629" s="1" t="s">
        <v>4942</v>
      </c>
      <c r="G1629" s="1" t="s">
        <v>4943</v>
      </c>
      <c r="I1629" s="1" t="s">
        <v>19</v>
      </c>
      <c r="L1629" s="1" t="s">
        <v>4944</v>
      </c>
      <c r="M1629" s="1" t="s">
        <v>4942</v>
      </c>
      <c r="N1629" s="1">
        <v>402</v>
      </c>
      <c r="O1629" s="1" t="s">
        <v>4945</v>
      </c>
      <c r="Q1629" s="14"/>
    </row>
    <row r="1630" spans="1:17" x14ac:dyDescent="0.35">
      <c r="A1630" s="1" t="s">
        <v>15</v>
      </c>
      <c r="B1630" s="1">
        <v>1794352</v>
      </c>
      <c r="C1630" s="1">
        <v>1794933</v>
      </c>
      <c r="E1630" s="1" t="s">
        <v>178</v>
      </c>
      <c r="F1630" s="1" t="s">
        <v>4946</v>
      </c>
      <c r="G1630" s="1" t="s">
        <v>4947</v>
      </c>
      <c r="I1630" s="1" t="s">
        <v>19</v>
      </c>
      <c r="L1630" s="1" t="s">
        <v>4948</v>
      </c>
      <c r="M1630" s="1" t="s">
        <v>4946</v>
      </c>
      <c r="N1630" s="1">
        <v>193</v>
      </c>
      <c r="O1630" s="1" t="s">
        <v>4949</v>
      </c>
      <c r="Q1630" s="14"/>
    </row>
    <row r="1631" spans="1:17" x14ac:dyDescent="0.35">
      <c r="A1631" s="1" t="s">
        <v>15</v>
      </c>
      <c r="B1631" s="1">
        <v>1794920</v>
      </c>
      <c r="C1631" s="1">
        <v>1795687</v>
      </c>
      <c r="E1631" s="1" t="s">
        <v>178</v>
      </c>
      <c r="F1631" s="1" t="s">
        <v>4950</v>
      </c>
      <c r="G1631" s="1" t="s">
        <v>4951</v>
      </c>
      <c r="I1631" s="1" t="s">
        <v>19</v>
      </c>
      <c r="L1631" s="1" t="s">
        <v>4952</v>
      </c>
      <c r="M1631" s="1" t="s">
        <v>4950</v>
      </c>
      <c r="N1631" s="1">
        <v>255</v>
      </c>
      <c r="O1631" s="1" t="s">
        <v>4953</v>
      </c>
      <c r="Q1631" s="14"/>
    </row>
    <row r="1632" spans="1:17" x14ac:dyDescent="0.35">
      <c r="A1632" s="1" t="s">
        <v>15</v>
      </c>
      <c r="B1632" s="1">
        <v>1795684</v>
      </c>
      <c r="C1632" s="1">
        <v>1796688</v>
      </c>
      <c r="E1632" s="1" t="s">
        <v>178</v>
      </c>
      <c r="F1632" s="1" t="s">
        <v>4954</v>
      </c>
      <c r="G1632" s="1" t="s">
        <v>4955</v>
      </c>
      <c r="I1632" s="1" t="s">
        <v>19</v>
      </c>
      <c r="L1632" s="1" t="s">
        <v>4956</v>
      </c>
      <c r="M1632" s="1" t="s">
        <v>4954</v>
      </c>
      <c r="N1632" s="1">
        <v>334</v>
      </c>
      <c r="O1632" s="1" t="s">
        <v>4957</v>
      </c>
      <c r="Q1632" s="14"/>
    </row>
    <row r="1633" spans="1:17" x14ac:dyDescent="0.35">
      <c r="A1633" s="1" t="s">
        <v>15</v>
      </c>
      <c r="B1633" s="1">
        <v>1796779</v>
      </c>
      <c r="C1633" s="1">
        <v>1797345</v>
      </c>
      <c r="E1633" s="1" t="s">
        <v>178</v>
      </c>
      <c r="F1633" s="1" t="s">
        <v>4958</v>
      </c>
      <c r="G1633" s="1" t="s">
        <v>4959</v>
      </c>
      <c r="I1633" s="1" t="s">
        <v>19</v>
      </c>
      <c r="L1633" s="1" t="s">
        <v>4960</v>
      </c>
      <c r="M1633" s="1" t="s">
        <v>4958</v>
      </c>
      <c r="N1633" s="1">
        <v>188</v>
      </c>
      <c r="O1633" s="1" t="s">
        <v>4961</v>
      </c>
      <c r="Q1633" s="14"/>
    </row>
    <row r="1634" spans="1:17" x14ac:dyDescent="0.35">
      <c r="A1634" s="1" t="s">
        <v>15</v>
      </c>
      <c r="B1634" s="1">
        <v>1797342</v>
      </c>
      <c r="C1634" s="1">
        <v>1798697</v>
      </c>
      <c r="E1634" s="1" t="s">
        <v>178</v>
      </c>
      <c r="F1634" s="1" t="s">
        <v>4962</v>
      </c>
      <c r="G1634" s="1" t="s">
        <v>4963</v>
      </c>
      <c r="I1634" s="1" t="s">
        <v>19</v>
      </c>
      <c r="L1634" s="1" t="s">
        <v>4964</v>
      </c>
      <c r="M1634" s="1" t="s">
        <v>4962</v>
      </c>
      <c r="N1634" s="1">
        <v>451</v>
      </c>
      <c r="O1634" s="1" t="s">
        <v>4965</v>
      </c>
      <c r="Q1634" s="14"/>
    </row>
    <row r="1635" spans="1:17" x14ac:dyDescent="0.35">
      <c r="A1635" s="1" t="s">
        <v>15</v>
      </c>
      <c r="B1635" s="1">
        <v>1798776</v>
      </c>
      <c r="C1635" s="1">
        <v>1799054</v>
      </c>
      <c r="E1635" s="1" t="s">
        <v>178</v>
      </c>
      <c r="F1635" s="1" t="s">
        <v>4966</v>
      </c>
      <c r="I1635" s="1" t="s">
        <v>19</v>
      </c>
      <c r="L1635" s="1" t="s">
        <v>4967</v>
      </c>
      <c r="M1635" s="1" t="s">
        <v>4966</v>
      </c>
      <c r="N1635" s="1">
        <v>92</v>
      </c>
      <c r="O1635" s="1" t="s">
        <v>4968</v>
      </c>
    </row>
    <row r="1636" spans="1:17" x14ac:dyDescent="0.35">
      <c r="A1636" s="1" t="s">
        <v>15</v>
      </c>
      <c r="B1636" s="1">
        <v>1799631</v>
      </c>
      <c r="C1636" s="1">
        <v>1799981</v>
      </c>
      <c r="E1636" s="1" t="s">
        <v>178</v>
      </c>
      <c r="F1636" s="1" t="s">
        <v>54</v>
      </c>
      <c r="I1636" s="1" t="s">
        <v>19</v>
      </c>
      <c r="L1636" s="1" t="s">
        <v>4969</v>
      </c>
      <c r="M1636" s="1" t="s">
        <v>54</v>
      </c>
      <c r="N1636" s="1">
        <v>116</v>
      </c>
      <c r="O1636" s="1" t="s">
        <v>4970</v>
      </c>
    </row>
    <row r="1637" spans="1:17" x14ac:dyDescent="0.35">
      <c r="A1637" s="1" t="s">
        <v>15</v>
      </c>
      <c r="B1637" s="1">
        <v>1800075</v>
      </c>
      <c r="C1637" s="1">
        <v>1802414</v>
      </c>
      <c r="E1637" s="1" t="s">
        <v>178</v>
      </c>
      <c r="F1637" s="1" t="s">
        <v>4971</v>
      </c>
      <c r="G1637" s="1" t="s">
        <v>4972</v>
      </c>
      <c r="I1637" s="1" t="s">
        <v>19</v>
      </c>
      <c r="L1637" s="1" t="s">
        <v>4973</v>
      </c>
      <c r="M1637" s="1" t="s">
        <v>4971</v>
      </c>
      <c r="N1637" s="1">
        <v>779</v>
      </c>
      <c r="O1637" s="1" t="s">
        <v>4974</v>
      </c>
      <c r="Q1637" s="14"/>
    </row>
    <row r="1638" spans="1:17" x14ac:dyDescent="0.35">
      <c r="A1638" s="1" t="s">
        <v>15</v>
      </c>
      <c r="B1638" s="1">
        <v>1802587</v>
      </c>
      <c r="C1638" s="1">
        <v>1803096</v>
      </c>
      <c r="E1638" s="1" t="s">
        <v>178</v>
      </c>
      <c r="F1638" s="1" t="s">
        <v>54</v>
      </c>
      <c r="I1638" s="1" t="s">
        <v>19</v>
      </c>
      <c r="L1638" s="1" t="s">
        <v>4975</v>
      </c>
      <c r="M1638" s="1" t="s">
        <v>54</v>
      </c>
      <c r="N1638" s="1">
        <v>169</v>
      </c>
      <c r="O1638" s="1" t="s">
        <v>4976</v>
      </c>
    </row>
    <row r="1639" spans="1:17" x14ac:dyDescent="0.35">
      <c r="A1639" s="1" t="s">
        <v>15</v>
      </c>
      <c r="B1639" s="1">
        <v>1803120</v>
      </c>
      <c r="C1639" s="1">
        <v>1803626</v>
      </c>
      <c r="E1639" s="1" t="s">
        <v>178</v>
      </c>
      <c r="F1639" s="1" t="s">
        <v>54</v>
      </c>
      <c r="I1639" s="1" t="s">
        <v>19</v>
      </c>
      <c r="L1639" s="1" t="s">
        <v>4977</v>
      </c>
      <c r="M1639" s="1" t="s">
        <v>54</v>
      </c>
      <c r="N1639" s="1">
        <v>168</v>
      </c>
      <c r="O1639" s="1" t="s">
        <v>4978</v>
      </c>
    </row>
    <row r="1640" spans="1:17" x14ac:dyDescent="0.35">
      <c r="A1640" s="1" t="s">
        <v>15</v>
      </c>
      <c r="B1640" s="1">
        <v>1803930</v>
      </c>
      <c r="C1640" s="1">
        <v>1804229</v>
      </c>
      <c r="E1640" s="1" t="s">
        <v>16</v>
      </c>
      <c r="F1640" s="1" t="s">
        <v>50</v>
      </c>
      <c r="I1640" s="1" t="s">
        <v>19</v>
      </c>
      <c r="L1640" s="1" t="s">
        <v>4979</v>
      </c>
      <c r="M1640" s="1" t="s">
        <v>50</v>
      </c>
      <c r="N1640" s="1">
        <v>99</v>
      </c>
      <c r="O1640" s="1" t="s">
        <v>4980</v>
      </c>
    </row>
    <row r="1641" spans="1:17" x14ac:dyDescent="0.35">
      <c r="A1641" s="1" t="s">
        <v>15</v>
      </c>
      <c r="B1641" s="1">
        <v>1804340</v>
      </c>
      <c r="C1641" s="1">
        <v>1804954</v>
      </c>
      <c r="E1641" s="1" t="s">
        <v>178</v>
      </c>
      <c r="F1641" s="1" t="s">
        <v>231</v>
      </c>
      <c r="I1641" s="1" t="s">
        <v>19</v>
      </c>
      <c r="L1641" s="1" t="s">
        <v>4981</v>
      </c>
      <c r="M1641" s="1" t="s">
        <v>231</v>
      </c>
      <c r="N1641" s="1">
        <v>204</v>
      </c>
      <c r="O1641" s="1" t="s">
        <v>4982</v>
      </c>
    </row>
    <row r="1642" spans="1:17" x14ac:dyDescent="0.35">
      <c r="A1642" s="1" t="s">
        <v>15</v>
      </c>
      <c r="B1642" s="1">
        <v>1806056</v>
      </c>
      <c r="C1642" s="1">
        <v>1806757</v>
      </c>
      <c r="E1642" s="1" t="s">
        <v>16</v>
      </c>
      <c r="F1642" s="1" t="s">
        <v>712</v>
      </c>
      <c r="I1642" s="1" t="s">
        <v>19</v>
      </c>
      <c r="L1642" s="1" t="s">
        <v>4983</v>
      </c>
      <c r="M1642" s="1" t="s">
        <v>712</v>
      </c>
      <c r="N1642" s="1">
        <v>233</v>
      </c>
      <c r="O1642" s="1" t="s">
        <v>4984</v>
      </c>
      <c r="Q1642" s="14"/>
    </row>
    <row r="1643" spans="1:17" x14ac:dyDescent="0.35">
      <c r="A1643" s="1" t="s">
        <v>15</v>
      </c>
      <c r="B1643" s="1">
        <v>1806772</v>
      </c>
      <c r="C1643" s="1">
        <v>1809414</v>
      </c>
      <c r="E1643" s="1" t="s">
        <v>16</v>
      </c>
      <c r="F1643" s="1" t="s">
        <v>3481</v>
      </c>
      <c r="I1643" s="1" t="s">
        <v>19</v>
      </c>
      <c r="L1643" s="1" t="s">
        <v>4985</v>
      </c>
      <c r="M1643" s="1" t="s">
        <v>3481</v>
      </c>
      <c r="N1643" s="1">
        <v>880</v>
      </c>
      <c r="O1643" s="1" t="s">
        <v>4986</v>
      </c>
    </row>
    <row r="1644" spans="1:17" x14ac:dyDescent="0.35">
      <c r="A1644" s="1" t="s">
        <v>15</v>
      </c>
      <c r="B1644" s="1">
        <v>1809466</v>
      </c>
      <c r="C1644" s="1">
        <v>1810194</v>
      </c>
      <c r="E1644" s="1" t="s">
        <v>178</v>
      </c>
      <c r="F1644" s="1" t="s">
        <v>4987</v>
      </c>
      <c r="I1644" s="1" t="s">
        <v>19</v>
      </c>
      <c r="L1644" s="1" t="s">
        <v>4988</v>
      </c>
      <c r="M1644" s="1" t="s">
        <v>4987</v>
      </c>
      <c r="N1644" s="1">
        <v>242</v>
      </c>
      <c r="O1644" s="1" t="s">
        <v>4989</v>
      </c>
    </row>
    <row r="1645" spans="1:17" x14ac:dyDescent="0.35">
      <c r="A1645" s="1" t="s">
        <v>15</v>
      </c>
      <c r="B1645" s="1">
        <v>1810369</v>
      </c>
      <c r="C1645" s="1">
        <v>1810959</v>
      </c>
      <c r="E1645" s="1" t="s">
        <v>178</v>
      </c>
      <c r="F1645" s="1" t="s">
        <v>4990</v>
      </c>
      <c r="G1645" s="1" t="s">
        <v>4991</v>
      </c>
      <c r="I1645" s="1" t="s">
        <v>19</v>
      </c>
      <c r="L1645" s="1" t="s">
        <v>4992</v>
      </c>
      <c r="M1645" s="1" t="s">
        <v>4990</v>
      </c>
      <c r="N1645" s="1">
        <v>196</v>
      </c>
      <c r="O1645" s="1" t="s">
        <v>4993</v>
      </c>
      <c r="Q1645" s="14"/>
    </row>
    <row r="1646" spans="1:17" x14ac:dyDescent="0.35">
      <c r="A1646" s="1" t="s">
        <v>15</v>
      </c>
      <c r="B1646" s="1">
        <v>1811008</v>
      </c>
      <c r="C1646" s="1">
        <v>1811544</v>
      </c>
      <c r="E1646" s="1" t="s">
        <v>178</v>
      </c>
      <c r="F1646" s="1" t="s">
        <v>4994</v>
      </c>
      <c r="I1646" s="1" t="s">
        <v>19</v>
      </c>
      <c r="L1646" s="1" t="s">
        <v>4995</v>
      </c>
      <c r="M1646" s="1" t="s">
        <v>4994</v>
      </c>
      <c r="N1646" s="1">
        <v>178</v>
      </c>
      <c r="O1646" s="1" t="s">
        <v>4996</v>
      </c>
    </row>
    <row r="1647" spans="1:17" x14ac:dyDescent="0.35">
      <c r="A1647" s="1" t="s">
        <v>15</v>
      </c>
      <c r="B1647" s="1">
        <v>1811752</v>
      </c>
      <c r="C1647" s="1">
        <v>1811847</v>
      </c>
      <c r="E1647" s="1" t="s">
        <v>178</v>
      </c>
      <c r="F1647" s="1" t="s">
        <v>231</v>
      </c>
      <c r="I1647" s="1" t="s">
        <v>19</v>
      </c>
      <c r="L1647" s="1" t="s">
        <v>4997</v>
      </c>
      <c r="M1647" s="1" t="s">
        <v>231</v>
      </c>
      <c r="N1647" s="1">
        <v>31</v>
      </c>
      <c r="O1647" s="1" t="s">
        <v>4998</v>
      </c>
    </row>
    <row r="1648" spans="1:17" x14ac:dyDescent="0.35">
      <c r="A1648" s="1" t="s">
        <v>15</v>
      </c>
      <c r="B1648" s="1">
        <v>1812061</v>
      </c>
      <c r="C1648" s="1">
        <v>1812420</v>
      </c>
      <c r="E1648" s="1" t="s">
        <v>16</v>
      </c>
      <c r="F1648" s="1" t="s">
        <v>50</v>
      </c>
      <c r="I1648" s="1" t="s">
        <v>19</v>
      </c>
      <c r="L1648" s="1" t="s">
        <v>4999</v>
      </c>
      <c r="M1648" s="1" t="s">
        <v>50</v>
      </c>
      <c r="N1648" s="1">
        <v>119</v>
      </c>
      <c r="O1648" s="1" t="s">
        <v>5000</v>
      </c>
    </row>
    <row r="1649" spans="1:17" x14ac:dyDescent="0.35">
      <c r="A1649" s="1" t="s">
        <v>15</v>
      </c>
      <c r="B1649" s="1">
        <v>1812458</v>
      </c>
      <c r="C1649" s="1">
        <v>1812961</v>
      </c>
      <c r="E1649" s="1" t="s">
        <v>178</v>
      </c>
      <c r="F1649" s="1" t="s">
        <v>50</v>
      </c>
      <c r="I1649" s="1" t="s">
        <v>19</v>
      </c>
      <c r="L1649" s="1" t="s">
        <v>5001</v>
      </c>
      <c r="M1649" s="1" t="s">
        <v>50</v>
      </c>
      <c r="N1649" s="1">
        <v>167</v>
      </c>
      <c r="O1649" s="1" t="s">
        <v>5002</v>
      </c>
    </row>
    <row r="1650" spans="1:17" x14ac:dyDescent="0.35">
      <c r="A1650" s="1" t="s">
        <v>15</v>
      </c>
      <c r="B1650" s="1">
        <v>1813141</v>
      </c>
      <c r="C1650" s="1">
        <v>1814397</v>
      </c>
      <c r="E1650" s="1" t="s">
        <v>16</v>
      </c>
      <c r="F1650" s="1" t="s">
        <v>5003</v>
      </c>
      <c r="I1650" s="1" t="s">
        <v>19</v>
      </c>
      <c r="L1650" s="1" t="s">
        <v>5004</v>
      </c>
      <c r="M1650" s="1" t="s">
        <v>5003</v>
      </c>
      <c r="N1650" s="1">
        <v>418</v>
      </c>
      <c r="O1650" s="1" t="s">
        <v>5005</v>
      </c>
    </row>
    <row r="1651" spans="1:17" x14ac:dyDescent="0.35">
      <c r="A1651" s="1" t="s">
        <v>15</v>
      </c>
      <c r="B1651" s="1">
        <v>1814452</v>
      </c>
      <c r="C1651" s="1">
        <v>1816155</v>
      </c>
      <c r="E1651" s="1" t="s">
        <v>178</v>
      </c>
      <c r="F1651" s="1" t="s">
        <v>5006</v>
      </c>
      <c r="G1651" s="1" t="s">
        <v>5007</v>
      </c>
      <c r="I1651" s="1" t="s">
        <v>19</v>
      </c>
      <c r="L1651" s="1" t="s">
        <v>5008</v>
      </c>
      <c r="M1651" s="1" t="s">
        <v>5006</v>
      </c>
      <c r="N1651" s="1">
        <v>567</v>
      </c>
      <c r="O1651" s="1" t="s">
        <v>5009</v>
      </c>
      <c r="Q1651" s="14"/>
    </row>
    <row r="1652" spans="1:17" x14ac:dyDescent="0.35">
      <c r="A1652" s="1" t="s">
        <v>15</v>
      </c>
      <c r="B1652" s="1">
        <v>1816283</v>
      </c>
      <c r="C1652" s="1">
        <v>1817464</v>
      </c>
      <c r="E1652" s="1" t="s">
        <v>16</v>
      </c>
      <c r="F1652" s="1" t="s">
        <v>5010</v>
      </c>
      <c r="I1652" s="1" t="s">
        <v>19</v>
      </c>
      <c r="L1652" s="1" t="s">
        <v>5011</v>
      </c>
      <c r="M1652" s="1" t="s">
        <v>5010</v>
      </c>
      <c r="N1652" s="1">
        <v>393</v>
      </c>
      <c r="O1652" s="1" t="s">
        <v>5012</v>
      </c>
    </row>
    <row r="1653" spans="1:17" x14ac:dyDescent="0.35">
      <c r="A1653" s="1" t="s">
        <v>15</v>
      </c>
      <c r="B1653" s="1">
        <v>1817536</v>
      </c>
      <c r="C1653" s="1">
        <v>1817622</v>
      </c>
      <c r="E1653" s="1" t="s">
        <v>178</v>
      </c>
      <c r="F1653" s="1" t="s">
        <v>103</v>
      </c>
      <c r="I1653" s="1" t="s">
        <v>75</v>
      </c>
      <c r="O1653" s="1" t="s">
        <v>5013</v>
      </c>
    </row>
    <row r="1654" spans="1:17" x14ac:dyDescent="0.35">
      <c r="A1654" s="1" t="s">
        <v>15</v>
      </c>
      <c r="B1654" s="1">
        <v>1817681</v>
      </c>
      <c r="C1654" s="1">
        <v>1818322</v>
      </c>
      <c r="E1654" s="1" t="s">
        <v>178</v>
      </c>
      <c r="F1654" s="1" t="s">
        <v>5014</v>
      </c>
      <c r="G1654" s="1" t="s">
        <v>5015</v>
      </c>
      <c r="I1654" s="1" t="s">
        <v>19</v>
      </c>
      <c r="L1654" s="1" t="s">
        <v>5016</v>
      </c>
      <c r="M1654" s="1" t="s">
        <v>5014</v>
      </c>
      <c r="N1654" s="1">
        <v>213</v>
      </c>
      <c r="O1654" s="1" t="s">
        <v>5017</v>
      </c>
      <c r="Q1654" s="14"/>
    </row>
    <row r="1655" spans="1:17" x14ac:dyDescent="0.35">
      <c r="A1655" s="1" t="s">
        <v>15</v>
      </c>
      <c r="B1655" s="1">
        <v>1818332</v>
      </c>
      <c r="C1655" s="1">
        <v>1819123</v>
      </c>
      <c r="E1655" s="1" t="s">
        <v>178</v>
      </c>
      <c r="F1655" s="1" t="s">
        <v>5018</v>
      </c>
      <c r="I1655" s="1" t="s">
        <v>19</v>
      </c>
      <c r="L1655" s="1" t="s">
        <v>5019</v>
      </c>
      <c r="M1655" s="1" t="s">
        <v>5018</v>
      </c>
      <c r="N1655" s="1">
        <v>263</v>
      </c>
      <c r="O1655" s="1" t="s">
        <v>5020</v>
      </c>
    </row>
    <row r="1656" spans="1:17" x14ac:dyDescent="0.35">
      <c r="A1656" s="1" t="s">
        <v>15</v>
      </c>
      <c r="B1656" s="1">
        <v>1819181</v>
      </c>
      <c r="C1656" s="1">
        <v>1820218</v>
      </c>
      <c r="E1656" s="1" t="s">
        <v>178</v>
      </c>
      <c r="F1656" s="1" t="s">
        <v>5021</v>
      </c>
      <c r="I1656" s="1" t="s">
        <v>19</v>
      </c>
      <c r="L1656" s="1" t="s">
        <v>5022</v>
      </c>
      <c r="M1656" s="1" t="s">
        <v>5021</v>
      </c>
      <c r="N1656" s="1">
        <v>345</v>
      </c>
      <c r="O1656" s="1" t="s">
        <v>5023</v>
      </c>
    </row>
    <row r="1657" spans="1:17" x14ac:dyDescent="0.35">
      <c r="A1657" s="1" t="s">
        <v>15</v>
      </c>
      <c r="B1657" s="1">
        <v>1820215</v>
      </c>
      <c r="C1657" s="1">
        <v>1820946</v>
      </c>
      <c r="E1657" s="1" t="s">
        <v>178</v>
      </c>
      <c r="F1657" s="1" t="s">
        <v>1660</v>
      </c>
      <c r="I1657" s="1" t="s">
        <v>19</v>
      </c>
      <c r="L1657" s="1" t="s">
        <v>5024</v>
      </c>
      <c r="M1657" s="1" t="s">
        <v>1660</v>
      </c>
      <c r="N1657" s="1">
        <v>243</v>
      </c>
      <c r="O1657" s="1" t="s">
        <v>5025</v>
      </c>
    </row>
    <row r="1658" spans="1:17" x14ac:dyDescent="0.35">
      <c r="A1658" s="1" t="s">
        <v>15</v>
      </c>
      <c r="B1658" s="1">
        <v>1821011</v>
      </c>
      <c r="C1658" s="1">
        <v>1821430</v>
      </c>
      <c r="E1658" s="1" t="s">
        <v>16</v>
      </c>
      <c r="F1658" s="1" t="s">
        <v>5026</v>
      </c>
      <c r="G1658" s="1" t="s">
        <v>5027</v>
      </c>
      <c r="I1658" s="1" t="s">
        <v>19</v>
      </c>
      <c r="L1658" s="1" t="s">
        <v>5028</v>
      </c>
      <c r="M1658" s="1" t="s">
        <v>5026</v>
      </c>
      <c r="N1658" s="1">
        <v>139</v>
      </c>
      <c r="O1658" s="1" t="s">
        <v>5029</v>
      </c>
      <c r="Q1658" s="14"/>
    </row>
    <row r="1659" spans="1:17" x14ac:dyDescent="0.35">
      <c r="A1659" s="1" t="s">
        <v>15</v>
      </c>
      <c r="B1659" s="1">
        <v>1821427</v>
      </c>
      <c r="C1659" s="1">
        <v>1821726</v>
      </c>
      <c r="E1659" s="1" t="s">
        <v>16</v>
      </c>
      <c r="F1659" s="1" t="s">
        <v>50</v>
      </c>
      <c r="I1659" s="1" t="s">
        <v>19</v>
      </c>
      <c r="L1659" s="1" t="s">
        <v>5030</v>
      </c>
      <c r="M1659" s="1" t="s">
        <v>50</v>
      </c>
      <c r="N1659" s="1">
        <v>99</v>
      </c>
      <c r="O1659" s="1" t="s">
        <v>5031</v>
      </c>
    </row>
    <row r="1660" spans="1:17" x14ac:dyDescent="0.35">
      <c r="A1660" s="1" t="s">
        <v>15</v>
      </c>
      <c r="B1660" s="1">
        <v>1821907</v>
      </c>
      <c r="C1660" s="1">
        <v>1822074</v>
      </c>
      <c r="E1660" s="1" t="s">
        <v>178</v>
      </c>
      <c r="F1660" s="1" t="s">
        <v>231</v>
      </c>
      <c r="I1660" s="1" t="s">
        <v>19</v>
      </c>
      <c r="L1660" s="1" t="s">
        <v>5032</v>
      </c>
      <c r="M1660" s="1" t="s">
        <v>231</v>
      </c>
      <c r="N1660" s="1">
        <v>55</v>
      </c>
      <c r="O1660" s="1" t="s">
        <v>5033</v>
      </c>
    </row>
    <row r="1661" spans="1:17" x14ac:dyDescent="0.35">
      <c r="A1661" s="1" t="s">
        <v>15</v>
      </c>
      <c r="B1661" s="1">
        <v>1822649</v>
      </c>
      <c r="C1661" s="1">
        <v>1823257</v>
      </c>
      <c r="E1661" s="1" t="s">
        <v>178</v>
      </c>
      <c r="F1661" s="1" t="s">
        <v>50</v>
      </c>
      <c r="I1661" s="1" t="s">
        <v>19</v>
      </c>
      <c r="L1661" s="1" t="s">
        <v>5034</v>
      </c>
      <c r="M1661" s="1" t="s">
        <v>50</v>
      </c>
      <c r="N1661" s="1">
        <v>202</v>
      </c>
      <c r="O1661" s="1" t="s">
        <v>5035</v>
      </c>
    </row>
    <row r="1662" spans="1:17" x14ac:dyDescent="0.35">
      <c r="A1662" s="1" t="s">
        <v>15</v>
      </c>
      <c r="B1662" s="1">
        <v>1823275</v>
      </c>
      <c r="C1662" s="1">
        <v>1823400</v>
      </c>
      <c r="E1662" s="1" t="s">
        <v>178</v>
      </c>
      <c r="F1662" s="1" t="s">
        <v>54</v>
      </c>
      <c r="I1662" s="1" t="s">
        <v>19</v>
      </c>
      <c r="L1662" s="1" t="s">
        <v>5036</v>
      </c>
      <c r="M1662" s="1" t="s">
        <v>54</v>
      </c>
      <c r="N1662" s="1">
        <v>41</v>
      </c>
      <c r="O1662" s="1" t="s">
        <v>5037</v>
      </c>
    </row>
    <row r="1663" spans="1:17" x14ac:dyDescent="0.35">
      <c r="A1663" s="1" t="s">
        <v>15</v>
      </c>
      <c r="B1663" s="1">
        <v>1823836</v>
      </c>
      <c r="C1663" s="1">
        <v>1825941</v>
      </c>
      <c r="E1663" s="1" t="s">
        <v>178</v>
      </c>
      <c r="F1663" s="1" t="s">
        <v>316</v>
      </c>
      <c r="G1663" s="1" t="s">
        <v>5038</v>
      </c>
      <c r="I1663" s="1" t="s">
        <v>19</v>
      </c>
      <c r="L1663" s="1" t="s">
        <v>5039</v>
      </c>
      <c r="M1663" s="1" t="s">
        <v>316</v>
      </c>
      <c r="N1663" s="1">
        <v>701</v>
      </c>
      <c r="O1663" s="1" t="s">
        <v>5040</v>
      </c>
      <c r="Q1663" s="14"/>
    </row>
    <row r="1664" spans="1:17" x14ac:dyDescent="0.35">
      <c r="A1664" s="1" t="s">
        <v>15</v>
      </c>
      <c r="B1664" s="1">
        <v>1826667</v>
      </c>
      <c r="C1664" s="1">
        <v>1826921</v>
      </c>
      <c r="E1664" s="1" t="s">
        <v>178</v>
      </c>
      <c r="F1664" s="1" t="s">
        <v>5041</v>
      </c>
      <c r="G1664" s="1" t="s">
        <v>5042</v>
      </c>
      <c r="I1664" s="1" t="s">
        <v>19</v>
      </c>
      <c r="L1664" s="1" t="s">
        <v>5043</v>
      </c>
      <c r="M1664" s="1" t="s">
        <v>5041</v>
      </c>
      <c r="N1664" s="1">
        <v>84</v>
      </c>
      <c r="O1664" s="1" t="s">
        <v>5044</v>
      </c>
      <c r="Q1664" s="14"/>
    </row>
    <row r="1665" spans="1:17" x14ac:dyDescent="0.35">
      <c r="A1665" s="1" t="s">
        <v>15</v>
      </c>
      <c r="B1665" s="1">
        <v>1826925</v>
      </c>
      <c r="C1665" s="1">
        <v>1827185</v>
      </c>
      <c r="E1665" s="1" t="s">
        <v>178</v>
      </c>
      <c r="F1665" s="1" t="s">
        <v>5045</v>
      </c>
      <c r="I1665" s="1" t="s">
        <v>19</v>
      </c>
      <c r="L1665" s="1" t="s">
        <v>5046</v>
      </c>
      <c r="M1665" s="1" t="s">
        <v>5045</v>
      </c>
      <c r="N1665" s="1">
        <v>86</v>
      </c>
      <c r="O1665" s="1" t="s">
        <v>5047</v>
      </c>
    </row>
    <row r="1666" spans="1:17" x14ac:dyDescent="0.35">
      <c r="A1666" s="1" t="s">
        <v>15</v>
      </c>
      <c r="B1666" s="1">
        <v>1827321</v>
      </c>
      <c r="C1666" s="1">
        <v>1828412</v>
      </c>
      <c r="E1666" s="1" t="s">
        <v>178</v>
      </c>
      <c r="F1666" s="1" t="s">
        <v>50</v>
      </c>
      <c r="I1666" s="1" t="s">
        <v>19</v>
      </c>
      <c r="L1666" s="1" t="s">
        <v>5048</v>
      </c>
      <c r="M1666" s="1" t="s">
        <v>50</v>
      </c>
      <c r="N1666" s="1">
        <v>363</v>
      </c>
      <c r="O1666" s="1" t="s">
        <v>5049</v>
      </c>
    </row>
    <row r="1667" spans="1:17" x14ac:dyDescent="0.35">
      <c r="A1667" s="1" t="s">
        <v>15</v>
      </c>
      <c r="B1667" s="1">
        <v>1828419</v>
      </c>
      <c r="C1667" s="1">
        <v>1829159</v>
      </c>
      <c r="E1667" s="1" t="s">
        <v>178</v>
      </c>
      <c r="F1667" s="1" t="s">
        <v>5050</v>
      </c>
      <c r="I1667" s="1" t="s">
        <v>19</v>
      </c>
      <c r="L1667" s="1" t="s">
        <v>5051</v>
      </c>
      <c r="M1667" s="1" t="s">
        <v>5050</v>
      </c>
      <c r="N1667" s="1">
        <v>246</v>
      </c>
      <c r="O1667" s="1" t="s">
        <v>5052</v>
      </c>
    </row>
    <row r="1668" spans="1:17" x14ac:dyDescent="0.35">
      <c r="A1668" s="1" t="s">
        <v>15</v>
      </c>
      <c r="B1668" s="1">
        <v>1829364</v>
      </c>
      <c r="C1668" s="1">
        <v>1829717</v>
      </c>
      <c r="E1668" s="1" t="s">
        <v>178</v>
      </c>
      <c r="F1668" s="1" t="s">
        <v>50</v>
      </c>
      <c r="I1668" s="1" t="s">
        <v>19</v>
      </c>
      <c r="L1668" s="1" t="s">
        <v>5053</v>
      </c>
      <c r="M1668" s="1" t="s">
        <v>50</v>
      </c>
      <c r="N1668" s="1">
        <v>117</v>
      </c>
      <c r="O1668" s="1" t="s">
        <v>5054</v>
      </c>
    </row>
    <row r="1669" spans="1:17" x14ac:dyDescent="0.35">
      <c r="A1669" s="1" t="s">
        <v>15</v>
      </c>
      <c r="B1669" s="1">
        <v>1829741</v>
      </c>
      <c r="C1669" s="1">
        <v>1830331</v>
      </c>
      <c r="E1669" s="1" t="s">
        <v>178</v>
      </c>
      <c r="F1669" s="1" t="s">
        <v>5055</v>
      </c>
      <c r="I1669" s="1" t="s">
        <v>19</v>
      </c>
      <c r="L1669" s="1" t="s">
        <v>5056</v>
      </c>
      <c r="M1669" s="1" t="s">
        <v>5055</v>
      </c>
      <c r="N1669" s="1">
        <v>196</v>
      </c>
      <c r="O1669" s="1" t="s">
        <v>5057</v>
      </c>
    </row>
    <row r="1670" spans="1:17" x14ac:dyDescent="0.35">
      <c r="A1670" s="1" t="s">
        <v>15</v>
      </c>
      <c r="B1670" s="1">
        <v>1830328</v>
      </c>
      <c r="C1670" s="1">
        <v>1830960</v>
      </c>
      <c r="E1670" s="1" t="s">
        <v>178</v>
      </c>
      <c r="F1670" s="1" t="s">
        <v>5058</v>
      </c>
      <c r="G1670" s="1" t="s">
        <v>5059</v>
      </c>
      <c r="I1670" s="1" t="s">
        <v>19</v>
      </c>
      <c r="L1670" s="1" t="s">
        <v>5060</v>
      </c>
      <c r="M1670" s="1" t="s">
        <v>5058</v>
      </c>
      <c r="N1670" s="1">
        <v>210</v>
      </c>
      <c r="O1670" s="1" t="s">
        <v>5061</v>
      </c>
      <c r="Q1670" s="14"/>
    </row>
    <row r="1671" spans="1:17" x14ac:dyDescent="0.35">
      <c r="A1671" s="1" t="s">
        <v>15</v>
      </c>
      <c r="B1671" s="1">
        <v>1831068</v>
      </c>
      <c r="C1671" s="1">
        <v>1831385</v>
      </c>
      <c r="E1671" s="1" t="s">
        <v>178</v>
      </c>
      <c r="F1671" s="1" t="s">
        <v>50</v>
      </c>
      <c r="I1671" s="1" t="s">
        <v>19</v>
      </c>
      <c r="L1671" s="1" t="s">
        <v>5062</v>
      </c>
      <c r="M1671" s="1" t="s">
        <v>50</v>
      </c>
      <c r="N1671" s="1">
        <v>105</v>
      </c>
      <c r="O1671" s="1" t="s">
        <v>5063</v>
      </c>
    </row>
    <row r="1672" spans="1:17" x14ac:dyDescent="0.35">
      <c r="A1672" s="1" t="s">
        <v>15</v>
      </c>
      <c r="B1672" s="1">
        <v>1831623</v>
      </c>
      <c r="C1672" s="1">
        <v>1832741</v>
      </c>
      <c r="E1672" s="1" t="s">
        <v>178</v>
      </c>
      <c r="F1672" s="1" t="s">
        <v>5064</v>
      </c>
      <c r="I1672" s="1" t="s">
        <v>19</v>
      </c>
      <c r="L1672" s="1" t="s">
        <v>5065</v>
      </c>
      <c r="M1672" s="1" t="s">
        <v>5064</v>
      </c>
      <c r="N1672" s="1">
        <v>372</v>
      </c>
      <c r="O1672" s="1" t="s">
        <v>5066</v>
      </c>
    </row>
    <row r="1673" spans="1:17" x14ac:dyDescent="0.35">
      <c r="A1673" s="1" t="s">
        <v>15</v>
      </c>
      <c r="B1673" s="1">
        <v>1832741</v>
      </c>
      <c r="C1673" s="1">
        <v>1833268</v>
      </c>
      <c r="E1673" s="1" t="s">
        <v>178</v>
      </c>
      <c r="F1673" s="1" t="s">
        <v>5067</v>
      </c>
      <c r="I1673" s="1" t="s">
        <v>19</v>
      </c>
      <c r="L1673" s="1" t="s">
        <v>5068</v>
      </c>
      <c r="M1673" s="1" t="s">
        <v>5067</v>
      </c>
      <c r="N1673" s="1">
        <v>175</v>
      </c>
      <c r="O1673" s="1" t="s">
        <v>5069</v>
      </c>
    </row>
    <row r="1674" spans="1:17" x14ac:dyDescent="0.35">
      <c r="A1674" s="1" t="s">
        <v>15</v>
      </c>
      <c r="B1674" s="1">
        <v>1833406</v>
      </c>
      <c r="C1674" s="1">
        <v>1834323</v>
      </c>
      <c r="E1674" s="1" t="s">
        <v>178</v>
      </c>
      <c r="F1674" s="1" t="s">
        <v>5070</v>
      </c>
      <c r="I1674" s="1" t="s">
        <v>19</v>
      </c>
      <c r="L1674" s="1" t="s">
        <v>5071</v>
      </c>
      <c r="M1674" s="1" t="s">
        <v>5070</v>
      </c>
      <c r="N1674" s="1">
        <v>305</v>
      </c>
      <c r="O1674" s="1" t="s">
        <v>5072</v>
      </c>
    </row>
    <row r="1675" spans="1:17" x14ac:dyDescent="0.35">
      <c r="A1675" s="1" t="s">
        <v>15</v>
      </c>
      <c r="B1675" s="1">
        <v>1834421</v>
      </c>
      <c r="C1675" s="1">
        <v>1835464</v>
      </c>
      <c r="E1675" s="1" t="s">
        <v>178</v>
      </c>
      <c r="F1675" s="1" t="s">
        <v>5073</v>
      </c>
      <c r="G1675" s="1" t="s">
        <v>5074</v>
      </c>
      <c r="I1675" s="1" t="s">
        <v>19</v>
      </c>
      <c r="L1675" s="1" t="s">
        <v>5075</v>
      </c>
      <c r="M1675" s="1" t="s">
        <v>5073</v>
      </c>
      <c r="N1675" s="1">
        <v>347</v>
      </c>
      <c r="O1675" s="1" t="s">
        <v>5076</v>
      </c>
      <c r="Q1675" s="14"/>
    </row>
    <row r="1676" spans="1:17" x14ac:dyDescent="0.35">
      <c r="A1676" s="1" t="s">
        <v>15</v>
      </c>
      <c r="B1676" s="1">
        <v>1835624</v>
      </c>
      <c r="C1676" s="1">
        <v>1836007</v>
      </c>
      <c r="E1676" s="1" t="s">
        <v>178</v>
      </c>
      <c r="F1676" s="1" t="s">
        <v>54</v>
      </c>
      <c r="I1676" s="1" t="s">
        <v>19</v>
      </c>
      <c r="L1676" s="1" t="s">
        <v>5077</v>
      </c>
      <c r="M1676" s="1" t="s">
        <v>54</v>
      </c>
      <c r="N1676" s="1">
        <v>127</v>
      </c>
      <c r="O1676" s="1" t="s">
        <v>5078</v>
      </c>
    </row>
    <row r="1677" spans="1:17" x14ac:dyDescent="0.35">
      <c r="A1677" s="1" t="s">
        <v>15</v>
      </c>
      <c r="B1677" s="1">
        <v>1836136</v>
      </c>
      <c r="C1677" s="1">
        <v>1837455</v>
      </c>
      <c r="E1677" s="1" t="s">
        <v>178</v>
      </c>
      <c r="F1677" s="1" t="s">
        <v>54</v>
      </c>
      <c r="I1677" s="1" t="s">
        <v>19</v>
      </c>
      <c r="L1677" s="1" t="s">
        <v>5079</v>
      </c>
      <c r="M1677" s="1" t="s">
        <v>54</v>
      </c>
      <c r="N1677" s="1">
        <v>439</v>
      </c>
      <c r="O1677" s="1" t="s">
        <v>5080</v>
      </c>
    </row>
    <row r="1678" spans="1:17" x14ac:dyDescent="0.35">
      <c r="A1678" s="1" t="s">
        <v>15</v>
      </c>
      <c r="B1678" s="1">
        <v>1837491</v>
      </c>
      <c r="C1678" s="1">
        <v>1838933</v>
      </c>
      <c r="E1678" s="1" t="s">
        <v>178</v>
      </c>
      <c r="F1678" s="1" t="s">
        <v>5081</v>
      </c>
      <c r="G1678" s="1" t="s">
        <v>5082</v>
      </c>
      <c r="I1678" s="1" t="s">
        <v>19</v>
      </c>
      <c r="L1678" s="1" t="s">
        <v>5083</v>
      </c>
      <c r="M1678" s="1" t="s">
        <v>5081</v>
      </c>
      <c r="N1678" s="1">
        <v>480</v>
      </c>
      <c r="O1678" s="1" t="s">
        <v>5084</v>
      </c>
      <c r="Q1678" s="14"/>
    </row>
    <row r="1679" spans="1:17" x14ac:dyDescent="0.35">
      <c r="A1679" s="1" t="s">
        <v>15</v>
      </c>
      <c r="B1679" s="1">
        <v>1838933</v>
      </c>
      <c r="C1679" s="1">
        <v>1840399</v>
      </c>
      <c r="E1679" s="1" t="s">
        <v>178</v>
      </c>
      <c r="F1679" s="1" t="s">
        <v>5085</v>
      </c>
      <c r="G1679" s="1" t="s">
        <v>5086</v>
      </c>
      <c r="I1679" s="1" t="s">
        <v>19</v>
      </c>
      <c r="L1679" s="1" t="s">
        <v>5087</v>
      </c>
      <c r="M1679" s="1" t="s">
        <v>5085</v>
      </c>
      <c r="N1679" s="1">
        <v>488</v>
      </c>
      <c r="O1679" s="1" t="s">
        <v>5088</v>
      </c>
      <c r="Q1679" s="14"/>
    </row>
    <row r="1680" spans="1:17" x14ac:dyDescent="0.35">
      <c r="A1680" s="1" t="s">
        <v>15</v>
      </c>
      <c r="B1680" s="1">
        <v>1840399</v>
      </c>
      <c r="C1680" s="1">
        <v>1840701</v>
      </c>
      <c r="E1680" s="1" t="s">
        <v>178</v>
      </c>
      <c r="F1680" s="1" t="s">
        <v>5089</v>
      </c>
      <c r="G1680" s="1" t="s">
        <v>5090</v>
      </c>
      <c r="I1680" s="1" t="s">
        <v>19</v>
      </c>
      <c r="L1680" s="1" t="s">
        <v>5091</v>
      </c>
      <c r="M1680" s="1" t="s">
        <v>5089</v>
      </c>
      <c r="N1680" s="1">
        <v>100</v>
      </c>
      <c r="O1680" s="1" t="s">
        <v>5092</v>
      </c>
      <c r="Q1680" s="14"/>
    </row>
    <row r="1681" spans="1:17" x14ac:dyDescent="0.35">
      <c r="A1681" s="1" t="s">
        <v>15</v>
      </c>
      <c r="B1681" s="1">
        <v>1840841</v>
      </c>
      <c r="C1681" s="1">
        <v>1842286</v>
      </c>
      <c r="E1681" s="1" t="s">
        <v>178</v>
      </c>
      <c r="F1681" s="1" t="s">
        <v>1190</v>
      </c>
      <c r="I1681" s="1" t="s">
        <v>19</v>
      </c>
      <c r="L1681" s="1" t="s">
        <v>5093</v>
      </c>
      <c r="M1681" s="1" t="s">
        <v>1190</v>
      </c>
      <c r="N1681" s="1">
        <v>481</v>
      </c>
      <c r="O1681" s="1" t="s">
        <v>5094</v>
      </c>
    </row>
    <row r="1682" spans="1:17" x14ac:dyDescent="0.35">
      <c r="A1682" s="1" t="s">
        <v>15</v>
      </c>
      <c r="B1682" s="1">
        <v>1842294</v>
      </c>
      <c r="C1682" s="1">
        <v>1843592</v>
      </c>
      <c r="E1682" s="1" t="s">
        <v>178</v>
      </c>
      <c r="F1682" s="1" t="s">
        <v>54</v>
      </c>
      <c r="I1682" s="1" t="s">
        <v>19</v>
      </c>
      <c r="L1682" s="1" t="s">
        <v>5095</v>
      </c>
      <c r="M1682" s="1" t="s">
        <v>54</v>
      </c>
      <c r="N1682" s="1">
        <v>432</v>
      </c>
      <c r="O1682" s="1" t="s">
        <v>5096</v>
      </c>
    </row>
    <row r="1683" spans="1:17" x14ac:dyDescent="0.35">
      <c r="A1683" s="1" t="s">
        <v>15</v>
      </c>
      <c r="B1683" s="1">
        <v>1843643</v>
      </c>
      <c r="C1683" s="1">
        <v>1844524</v>
      </c>
      <c r="E1683" s="1" t="s">
        <v>178</v>
      </c>
      <c r="F1683" s="1" t="s">
        <v>5097</v>
      </c>
      <c r="I1683" s="1" t="s">
        <v>19</v>
      </c>
      <c r="L1683" s="1" t="s">
        <v>5098</v>
      </c>
      <c r="M1683" s="1" t="s">
        <v>5097</v>
      </c>
      <c r="N1683" s="1">
        <v>293</v>
      </c>
      <c r="O1683" s="1" t="s">
        <v>5099</v>
      </c>
    </row>
    <row r="1684" spans="1:17" x14ac:dyDescent="0.35">
      <c r="A1684" s="1" t="s">
        <v>15</v>
      </c>
      <c r="B1684" s="1">
        <v>1844528</v>
      </c>
      <c r="C1684" s="1">
        <v>1845736</v>
      </c>
      <c r="E1684" s="1" t="s">
        <v>178</v>
      </c>
      <c r="F1684" s="1" t="s">
        <v>5100</v>
      </c>
      <c r="I1684" s="1" t="s">
        <v>19</v>
      </c>
      <c r="L1684" s="1" t="s">
        <v>5101</v>
      </c>
      <c r="M1684" s="1" t="s">
        <v>5100</v>
      </c>
      <c r="N1684" s="1">
        <v>402</v>
      </c>
      <c r="O1684" s="1" t="s">
        <v>5102</v>
      </c>
    </row>
    <row r="1685" spans="1:17" x14ac:dyDescent="0.35">
      <c r="A1685" s="1" t="s">
        <v>15</v>
      </c>
      <c r="B1685" s="1">
        <v>1845955</v>
      </c>
      <c r="C1685" s="1">
        <v>1847394</v>
      </c>
      <c r="E1685" s="1" t="s">
        <v>178</v>
      </c>
      <c r="F1685" s="1" t="s">
        <v>5103</v>
      </c>
      <c r="G1685" s="1" t="s">
        <v>5104</v>
      </c>
      <c r="I1685" s="1" t="s">
        <v>19</v>
      </c>
      <c r="L1685" s="1" t="s">
        <v>5105</v>
      </c>
      <c r="M1685" s="1" t="s">
        <v>5103</v>
      </c>
      <c r="N1685" s="1">
        <v>479</v>
      </c>
      <c r="O1685" s="1" t="s">
        <v>5106</v>
      </c>
      <c r="Q1685" s="14"/>
    </row>
    <row r="1686" spans="1:17" x14ac:dyDescent="0.35">
      <c r="A1686" s="1" t="s">
        <v>15</v>
      </c>
      <c r="B1686" s="1">
        <v>1847580</v>
      </c>
      <c r="C1686" s="1">
        <v>1848131</v>
      </c>
      <c r="E1686" s="1" t="s">
        <v>178</v>
      </c>
      <c r="F1686" s="1" t="s">
        <v>5107</v>
      </c>
      <c r="I1686" s="1" t="s">
        <v>19</v>
      </c>
      <c r="L1686" s="1" t="s">
        <v>5108</v>
      </c>
      <c r="M1686" s="1" t="s">
        <v>5107</v>
      </c>
      <c r="N1686" s="1">
        <v>183</v>
      </c>
      <c r="O1686" s="1" t="s">
        <v>5109</v>
      </c>
      <c r="Q1686" s="14"/>
    </row>
    <row r="1687" spans="1:17" x14ac:dyDescent="0.35">
      <c r="A1687" s="1" t="s">
        <v>15</v>
      </c>
      <c r="B1687" s="1">
        <v>1848196</v>
      </c>
      <c r="C1687" s="1">
        <v>1848981</v>
      </c>
      <c r="E1687" s="1" t="s">
        <v>178</v>
      </c>
      <c r="F1687" s="1" t="s">
        <v>5110</v>
      </c>
      <c r="G1687" s="1" t="s">
        <v>5111</v>
      </c>
      <c r="I1687" s="1" t="s">
        <v>19</v>
      </c>
      <c r="L1687" s="1" t="s">
        <v>5112</v>
      </c>
      <c r="M1687" s="1" t="s">
        <v>5110</v>
      </c>
      <c r="N1687" s="1">
        <v>261</v>
      </c>
      <c r="O1687" s="1" t="s">
        <v>5113</v>
      </c>
    </row>
    <row r="1688" spans="1:17" x14ac:dyDescent="0.35">
      <c r="A1688" s="1" t="s">
        <v>15</v>
      </c>
      <c r="B1688" s="1">
        <v>1849249</v>
      </c>
      <c r="C1688" s="1">
        <v>1850463</v>
      </c>
      <c r="E1688" s="1" t="s">
        <v>178</v>
      </c>
      <c r="F1688" s="1" t="s">
        <v>5114</v>
      </c>
      <c r="G1688" s="1" t="s">
        <v>5115</v>
      </c>
      <c r="I1688" s="1" t="s">
        <v>19</v>
      </c>
      <c r="L1688" s="1" t="s">
        <v>5116</v>
      </c>
      <c r="M1688" s="1" t="s">
        <v>5114</v>
      </c>
      <c r="N1688" s="1">
        <v>404</v>
      </c>
      <c r="O1688" s="1" t="s">
        <v>5117</v>
      </c>
      <c r="Q1688" s="14"/>
    </row>
    <row r="1689" spans="1:17" x14ac:dyDescent="0.35">
      <c r="A1689" s="1" t="s">
        <v>15</v>
      </c>
      <c r="B1689" s="1">
        <v>1850827</v>
      </c>
      <c r="C1689" s="1">
        <v>1851279</v>
      </c>
      <c r="E1689" s="1" t="s">
        <v>16</v>
      </c>
      <c r="F1689" s="1" t="s">
        <v>5118</v>
      </c>
      <c r="I1689" s="1" t="s">
        <v>19</v>
      </c>
      <c r="L1689" s="1" t="s">
        <v>5119</v>
      </c>
      <c r="M1689" s="1" t="s">
        <v>5118</v>
      </c>
      <c r="N1689" s="1">
        <v>150</v>
      </c>
      <c r="O1689" s="1" t="s">
        <v>5120</v>
      </c>
    </row>
    <row r="1690" spans="1:17" x14ac:dyDescent="0.35">
      <c r="A1690" s="1" t="s">
        <v>15</v>
      </c>
      <c r="B1690" s="1">
        <v>1851360</v>
      </c>
      <c r="C1690" s="1">
        <v>1852112</v>
      </c>
      <c r="E1690" s="1" t="s">
        <v>178</v>
      </c>
      <c r="F1690" s="1" t="s">
        <v>54</v>
      </c>
      <c r="I1690" s="1" t="s">
        <v>19</v>
      </c>
      <c r="L1690" s="1" t="s">
        <v>5121</v>
      </c>
      <c r="M1690" s="1" t="s">
        <v>54</v>
      </c>
      <c r="N1690" s="1">
        <v>250</v>
      </c>
      <c r="O1690" s="1" t="s">
        <v>5122</v>
      </c>
    </row>
    <row r="1691" spans="1:17" x14ac:dyDescent="0.35">
      <c r="A1691" s="1" t="s">
        <v>15</v>
      </c>
      <c r="B1691" s="1">
        <v>1852182</v>
      </c>
      <c r="C1691" s="1">
        <v>1852982</v>
      </c>
      <c r="E1691" s="1" t="s">
        <v>178</v>
      </c>
      <c r="F1691" s="1" t="s">
        <v>5123</v>
      </c>
      <c r="G1691" s="1" t="s">
        <v>5124</v>
      </c>
      <c r="I1691" s="1" t="s">
        <v>19</v>
      </c>
      <c r="L1691" s="1" t="s">
        <v>5125</v>
      </c>
      <c r="M1691" s="1" t="s">
        <v>5123</v>
      </c>
      <c r="N1691" s="1">
        <v>266</v>
      </c>
      <c r="O1691" s="1" t="s">
        <v>5126</v>
      </c>
      <c r="Q1691" s="14"/>
    </row>
    <row r="1692" spans="1:17" x14ac:dyDescent="0.35">
      <c r="A1692" s="1" t="s">
        <v>15</v>
      </c>
      <c r="B1692" s="1">
        <v>1853169</v>
      </c>
      <c r="C1692" s="1">
        <v>1853897</v>
      </c>
      <c r="E1692" s="1" t="s">
        <v>178</v>
      </c>
      <c r="F1692" s="1" t="s">
        <v>231</v>
      </c>
      <c r="I1692" s="1" t="s">
        <v>19</v>
      </c>
      <c r="L1692" s="1" t="s">
        <v>5127</v>
      </c>
      <c r="M1692" s="1" t="s">
        <v>231</v>
      </c>
      <c r="N1692" s="1">
        <v>242</v>
      </c>
      <c r="O1692" s="1" t="s">
        <v>5128</v>
      </c>
    </row>
    <row r="1693" spans="1:17" x14ac:dyDescent="0.35">
      <c r="A1693" s="1" t="s">
        <v>15</v>
      </c>
      <c r="B1693" s="1">
        <v>1854252</v>
      </c>
      <c r="C1693" s="1">
        <v>1855583</v>
      </c>
      <c r="E1693" s="1" t="s">
        <v>178</v>
      </c>
      <c r="F1693" s="1" t="s">
        <v>5129</v>
      </c>
      <c r="I1693" s="1" t="s">
        <v>19</v>
      </c>
      <c r="L1693" s="1" t="s">
        <v>5130</v>
      </c>
      <c r="M1693" s="1" t="s">
        <v>5129</v>
      </c>
      <c r="N1693" s="1">
        <v>443</v>
      </c>
      <c r="O1693" s="1" t="s">
        <v>5131</v>
      </c>
    </row>
    <row r="1694" spans="1:17" x14ac:dyDescent="0.35">
      <c r="A1694" s="1" t="s">
        <v>15</v>
      </c>
      <c r="B1694" s="1">
        <v>1855694</v>
      </c>
      <c r="C1694" s="1">
        <v>1856476</v>
      </c>
      <c r="E1694" s="1" t="s">
        <v>16</v>
      </c>
      <c r="F1694" s="1" t="s">
        <v>5132</v>
      </c>
      <c r="I1694" s="1" t="s">
        <v>19</v>
      </c>
      <c r="L1694" s="1" t="s">
        <v>5133</v>
      </c>
      <c r="M1694" s="1" t="s">
        <v>5132</v>
      </c>
      <c r="N1694" s="1">
        <v>260</v>
      </c>
      <c r="O1694" s="1" t="s">
        <v>5134</v>
      </c>
    </row>
    <row r="1695" spans="1:17" x14ac:dyDescent="0.35">
      <c r="A1695" s="1" t="s">
        <v>15</v>
      </c>
      <c r="B1695" s="1">
        <v>1856660</v>
      </c>
      <c r="C1695" s="1">
        <v>1858726</v>
      </c>
      <c r="E1695" s="1" t="s">
        <v>178</v>
      </c>
      <c r="F1695" s="1" t="s">
        <v>5135</v>
      </c>
      <c r="G1695" s="1" t="s">
        <v>5136</v>
      </c>
      <c r="I1695" s="1" t="s">
        <v>19</v>
      </c>
      <c r="L1695" s="1" t="s">
        <v>5137</v>
      </c>
      <c r="M1695" s="1" t="s">
        <v>5135</v>
      </c>
      <c r="N1695" s="1">
        <v>688</v>
      </c>
      <c r="O1695" s="1" t="s">
        <v>5138</v>
      </c>
    </row>
    <row r="1696" spans="1:17" x14ac:dyDescent="0.35">
      <c r="A1696" s="1" t="s">
        <v>15</v>
      </c>
      <c r="B1696" s="1">
        <v>1858735</v>
      </c>
      <c r="C1696" s="1">
        <v>1858977</v>
      </c>
      <c r="E1696" s="1" t="s">
        <v>178</v>
      </c>
      <c r="F1696" s="1" t="s">
        <v>50</v>
      </c>
      <c r="I1696" s="1" t="s">
        <v>19</v>
      </c>
      <c r="L1696" s="1" t="s">
        <v>5139</v>
      </c>
      <c r="M1696" s="1" t="s">
        <v>50</v>
      </c>
      <c r="N1696" s="1">
        <v>80</v>
      </c>
      <c r="O1696" s="1" t="s">
        <v>5140</v>
      </c>
    </row>
    <row r="1697" spans="1:17" x14ac:dyDescent="0.35">
      <c r="A1697" s="1" t="s">
        <v>15</v>
      </c>
      <c r="B1697" s="1">
        <v>1858974</v>
      </c>
      <c r="C1697" s="1">
        <v>1859522</v>
      </c>
      <c r="E1697" s="1" t="s">
        <v>178</v>
      </c>
      <c r="F1697" s="1" t="s">
        <v>5141</v>
      </c>
      <c r="I1697" s="1" t="s">
        <v>19</v>
      </c>
      <c r="L1697" s="1" t="s">
        <v>5142</v>
      </c>
      <c r="M1697" s="1" t="s">
        <v>5141</v>
      </c>
      <c r="N1697" s="1">
        <v>182</v>
      </c>
      <c r="O1697" s="1" t="s">
        <v>5143</v>
      </c>
      <c r="Q1697" s="14"/>
    </row>
    <row r="1698" spans="1:17" x14ac:dyDescent="0.35">
      <c r="A1698" s="1" t="s">
        <v>15</v>
      </c>
      <c r="B1698" s="1">
        <v>1859519</v>
      </c>
      <c r="C1698" s="1">
        <v>1860463</v>
      </c>
      <c r="E1698" s="1" t="s">
        <v>178</v>
      </c>
      <c r="F1698" s="1" t="s">
        <v>5144</v>
      </c>
      <c r="I1698" s="1" t="s">
        <v>19</v>
      </c>
      <c r="L1698" s="1" t="s">
        <v>5145</v>
      </c>
      <c r="M1698" s="1" t="s">
        <v>5144</v>
      </c>
      <c r="N1698" s="1">
        <v>314</v>
      </c>
      <c r="O1698" s="1" t="s">
        <v>5146</v>
      </c>
      <c r="Q1698" s="14"/>
    </row>
    <row r="1699" spans="1:17" x14ac:dyDescent="0.35">
      <c r="A1699" s="1" t="s">
        <v>15</v>
      </c>
      <c r="B1699" s="1">
        <v>1860549</v>
      </c>
      <c r="C1699" s="1">
        <v>1861625</v>
      </c>
      <c r="E1699" s="1" t="s">
        <v>178</v>
      </c>
      <c r="F1699" s="1" t="s">
        <v>5147</v>
      </c>
      <c r="G1699" s="1" t="s">
        <v>5148</v>
      </c>
      <c r="I1699" s="1" t="s">
        <v>19</v>
      </c>
      <c r="L1699" s="1" t="s">
        <v>5149</v>
      </c>
      <c r="M1699" s="1" t="s">
        <v>5147</v>
      </c>
      <c r="N1699" s="1">
        <v>358</v>
      </c>
      <c r="O1699" s="1" t="s">
        <v>5150</v>
      </c>
      <c r="Q1699" s="14"/>
    </row>
    <row r="1700" spans="1:17" x14ac:dyDescent="0.35">
      <c r="A1700" s="1" t="s">
        <v>15</v>
      </c>
      <c r="B1700" s="1">
        <v>1861603</v>
      </c>
      <c r="C1700" s="1">
        <v>1862100</v>
      </c>
      <c r="E1700" s="1" t="s">
        <v>178</v>
      </c>
      <c r="F1700" s="1" t="s">
        <v>5151</v>
      </c>
      <c r="G1700" s="1" t="s">
        <v>5152</v>
      </c>
      <c r="I1700" s="1" t="s">
        <v>19</v>
      </c>
      <c r="L1700" s="1" t="s">
        <v>5153</v>
      </c>
      <c r="M1700" s="1" t="s">
        <v>5151</v>
      </c>
      <c r="N1700" s="1">
        <v>165</v>
      </c>
      <c r="O1700" s="1" t="s">
        <v>5154</v>
      </c>
    </row>
    <row r="1701" spans="1:17" x14ac:dyDescent="0.35">
      <c r="A1701" s="1" t="s">
        <v>15</v>
      </c>
      <c r="B1701" s="1">
        <v>1862133</v>
      </c>
      <c r="C1701" s="1">
        <v>1862672</v>
      </c>
      <c r="E1701" s="1" t="s">
        <v>178</v>
      </c>
      <c r="F1701" s="1" t="s">
        <v>5155</v>
      </c>
      <c r="G1701" s="1" t="s">
        <v>5156</v>
      </c>
      <c r="I1701" s="1" t="s">
        <v>19</v>
      </c>
      <c r="L1701" s="1" t="s">
        <v>5157</v>
      </c>
      <c r="M1701" s="1" t="s">
        <v>5155</v>
      </c>
      <c r="N1701" s="1">
        <v>179</v>
      </c>
      <c r="O1701" s="1" t="s">
        <v>5158</v>
      </c>
      <c r="Q1701" s="14"/>
    </row>
    <row r="1702" spans="1:17" x14ac:dyDescent="0.35">
      <c r="A1702" s="1" t="s">
        <v>15</v>
      </c>
      <c r="B1702" s="1">
        <v>1862823</v>
      </c>
      <c r="C1702" s="1">
        <v>1863743</v>
      </c>
      <c r="E1702" s="1" t="s">
        <v>178</v>
      </c>
      <c r="F1702" s="1" t="s">
        <v>5159</v>
      </c>
      <c r="G1702" s="1" t="s">
        <v>5160</v>
      </c>
      <c r="I1702" s="1" t="s">
        <v>19</v>
      </c>
      <c r="L1702" s="1" t="s">
        <v>5161</v>
      </c>
      <c r="M1702" s="1" t="s">
        <v>5159</v>
      </c>
      <c r="N1702" s="1">
        <v>306</v>
      </c>
      <c r="O1702" s="1" t="s">
        <v>5162</v>
      </c>
      <c r="Q1702" s="14"/>
    </row>
    <row r="1703" spans="1:17" x14ac:dyDescent="0.35">
      <c r="A1703" s="1" t="s">
        <v>15</v>
      </c>
      <c r="B1703" s="1">
        <v>1863809</v>
      </c>
      <c r="C1703" s="1">
        <v>1864033</v>
      </c>
      <c r="E1703" s="1" t="s">
        <v>178</v>
      </c>
      <c r="F1703" s="1" t="s">
        <v>231</v>
      </c>
      <c r="I1703" s="1" t="s">
        <v>19</v>
      </c>
      <c r="L1703" s="1" t="s">
        <v>5163</v>
      </c>
      <c r="M1703" s="1" t="s">
        <v>231</v>
      </c>
      <c r="N1703" s="1">
        <v>74</v>
      </c>
      <c r="O1703" s="1" t="s">
        <v>5164</v>
      </c>
    </row>
    <row r="1704" spans="1:17" x14ac:dyDescent="0.35">
      <c r="A1704" s="1" t="s">
        <v>15</v>
      </c>
      <c r="B1704" s="1">
        <v>1864245</v>
      </c>
      <c r="C1704" s="1">
        <v>1864988</v>
      </c>
      <c r="E1704" s="1" t="s">
        <v>178</v>
      </c>
      <c r="F1704" s="1" t="s">
        <v>5165</v>
      </c>
      <c r="G1704" s="1" t="s">
        <v>5166</v>
      </c>
      <c r="I1704" s="1" t="s">
        <v>19</v>
      </c>
      <c r="L1704" s="1" t="s">
        <v>5167</v>
      </c>
      <c r="M1704" s="1" t="s">
        <v>5165</v>
      </c>
      <c r="N1704" s="1">
        <v>247</v>
      </c>
      <c r="O1704" s="1" t="s">
        <v>5168</v>
      </c>
      <c r="Q1704" s="14"/>
    </row>
    <row r="1705" spans="1:17" x14ac:dyDescent="0.35">
      <c r="A1705" s="1" t="s">
        <v>15</v>
      </c>
      <c r="B1705" s="1">
        <v>1864988</v>
      </c>
      <c r="C1705" s="1">
        <v>1865911</v>
      </c>
      <c r="E1705" s="1" t="s">
        <v>178</v>
      </c>
      <c r="F1705" s="1" t="s">
        <v>5169</v>
      </c>
      <c r="G1705" s="1" t="s">
        <v>5170</v>
      </c>
      <c r="I1705" s="1" t="s">
        <v>19</v>
      </c>
      <c r="L1705" s="1" t="s">
        <v>5171</v>
      </c>
      <c r="M1705" s="1" t="s">
        <v>5169</v>
      </c>
      <c r="N1705" s="1">
        <v>307</v>
      </c>
      <c r="O1705" s="1" t="s">
        <v>5172</v>
      </c>
    </row>
    <row r="1706" spans="1:17" x14ac:dyDescent="0.35">
      <c r="A1706" s="1" t="s">
        <v>15</v>
      </c>
      <c r="B1706" s="1">
        <v>1866332</v>
      </c>
      <c r="C1706" s="1">
        <v>1867162</v>
      </c>
      <c r="E1706" s="1" t="s">
        <v>178</v>
      </c>
      <c r="F1706" s="1" t="s">
        <v>5173</v>
      </c>
      <c r="G1706" s="1" t="s">
        <v>5174</v>
      </c>
      <c r="I1706" s="1" t="s">
        <v>19</v>
      </c>
      <c r="L1706" s="1" t="s">
        <v>5175</v>
      </c>
      <c r="M1706" s="1" t="s">
        <v>5173</v>
      </c>
      <c r="N1706" s="1">
        <v>276</v>
      </c>
      <c r="O1706" s="1" t="s">
        <v>5176</v>
      </c>
    </row>
    <row r="1707" spans="1:17" x14ac:dyDescent="0.35">
      <c r="A1707" s="1" t="s">
        <v>15</v>
      </c>
      <c r="B1707" s="1">
        <v>1867377</v>
      </c>
      <c r="C1707" s="1">
        <v>1868267</v>
      </c>
      <c r="E1707" s="1" t="s">
        <v>178</v>
      </c>
      <c r="F1707" s="1" t="s">
        <v>5177</v>
      </c>
      <c r="I1707" s="1" t="s">
        <v>19</v>
      </c>
      <c r="L1707" s="1" t="s">
        <v>5178</v>
      </c>
      <c r="M1707" s="1" t="s">
        <v>5177</v>
      </c>
      <c r="N1707" s="1">
        <v>296</v>
      </c>
      <c r="O1707" s="1" t="s">
        <v>5179</v>
      </c>
    </row>
    <row r="1708" spans="1:17" x14ac:dyDescent="0.35">
      <c r="A1708" s="1" t="s">
        <v>15</v>
      </c>
      <c r="B1708" s="1">
        <v>1868368</v>
      </c>
      <c r="C1708" s="1">
        <v>1869477</v>
      </c>
      <c r="E1708" s="1" t="s">
        <v>178</v>
      </c>
      <c r="F1708" s="1" t="s">
        <v>5180</v>
      </c>
      <c r="G1708" s="1" t="s">
        <v>5181</v>
      </c>
      <c r="I1708" s="1" t="s">
        <v>19</v>
      </c>
      <c r="L1708" s="1" t="s">
        <v>5182</v>
      </c>
      <c r="M1708" s="1" t="s">
        <v>5180</v>
      </c>
      <c r="N1708" s="1">
        <v>369</v>
      </c>
      <c r="O1708" s="1" t="s">
        <v>5183</v>
      </c>
      <c r="Q1708" s="14"/>
    </row>
    <row r="1709" spans="1:17" x14ac:dyDescent="0.35">
      <c r="A1709" s="1" t="s">
        <v>15</v>
      </c>
      <c r="B1709" s="1">
        <v>1869745</v>
      </c>
      <c r="C1709" s="1">
        <v>1872057</v>
      </c>
      <c r="E1709" s="1" t="s">
        <v>16</v>
      </c>
      <c r="F1709" s="1" t="s">
        <v>5184</v>
      </c>
      <c r="G1709" s="1" t="s">
        <v>5185</v>
      </c>
      <c r="I1709" s="1" t="s">
        <v>19</v>
      </c>
      <c r="L1709" s="1" t="s">
        <v>5186</v>
      </c>
      <c r="M1709" s="1" t="s">
        <v>5184</v>
      </c>
      <c r="N1709" s="1">
        <v>770</v>
      </c>
      <c r="O1709" s="1" t="s">
        <v>5187</v>
      </c>
      <c r="Q1709" s="14"/>
    </row>
    <row r="1710" spans="1:17" x14ac:dyDescent="0.35">
      <c r="A1710" s="1" t="s">
        <v>15</v>
      </c>
      <c r="B1710" s="1">
        <v>1872320</v>
      </c>
      <c r="C1710" s="1">
        <v>1873102</v>
      </c>
      <c r="E1710" s="1" t="s">
        <v>16</v>
      </c>
      <c r="F1710" s="1" t="s">
        <v>5188</v>
      </c>
      <c r="G1710" s="1" t="s">
        <v>5189</v>
      </c>
      <c r="I1710" s="1" t="s">
        <v>19</v>
      </c>
      <c r="L1710" s="1" t="s">
        <v>5190</v>
      </c>
      <c r="M1710" s="1" t="s">
        <v>5188</v>
      </c>
      <c r="N1710" s="1">
        <v>260</v>
      </c>
      <c r="O1710" s="1" t="s">
        <v>5191</v>
      </c>
      <c r="Q1710" s="14"/>
    </row>
    <row r="1711" spans="1:17" x14ac:dyDescent="0.35">
      <c r="A1711" s="1" t="s">
        <v>15</v>
      </c>
      <c r="B1711" s="1">
        <v>1873189</v>
      </c>
      <c r="C1711" s="1">
        <v>1873641</v>
      </c>
      <c r="E1711" s="1" t="s">
        <v>16</v>
      </c>
      <c r="F1711" s="1" t="s">
        <v>764</v>
      </c>
      <c r="I1711" s="1" t="s">
        <v>19</v>
      </c>
      <c r="L1711" s="1" t="s">
        <v>5192</v>
      </c>
      <c r="M1711" s="1" t="s">
        <v>764</v>
      </c>
      <c r="N1711" s="1">
        <v>150</v>
      </c>
      <c r="O1711" s="1" t="s">
        <v>5193</v>
      </c>
      <c r="Q1711" s="14"/>
    </row>
    <row r="1712" spans="1:17" x14ac:dyDescent="0.35">
      <c r="A1712" s="1" t="s">
        <v>15</v>
      </c>
      <c r="B1712" s="1">
        <v>1873658</v>
      </c>
      <c r="C1712" s="1">
        <v>1874320</v>
      </c>
      <c r="E1712" s="1" t="s">
        <v>178</v>
      </c>
      <c r="F1712" s="1" t="s">
        <v>231</v>
      </c>
      <c r="I1712" s="1" t="s">
        <v>19</v>
      </c>
      <c r="L1712" s="1" t="s">
        <v>5194</v>
      </c>
      <c r="M1712" s="1" t="s">
        <v>231</v>
      </c>
      <c r="N1712" s="1">
        <v>220</v>
      </c>
      <c r="O1712" s="1" t="s">
        <v>5195</v>
      </c>
    </row>
    <row r="1713" spans="1:17" x14ac:dyDescent="0.35">
      <c r="A1713" s="1" t="s">
        <v>15</v>
      </c>
      <c r="B1713" s="1">
        <v>1874408</v>
      </c>
      <c r="C1713" s="1">
        <v>1874953</v>
      </c>
      <c r="E1713" s="1" t="s">
        <v>178</v>
      </c>
      <c r="F1713" s="1" t="s">
        <v>231</v>
      </c>
      <c r="I1713" s="1" t="s">
        <v>19</v>
      </c>
      <c r="L1713" s="1" t="s">
        <v>5196</v>
      </c>
      <c r="M1713" s="1" t="s">
        <v>231</v>
      </c>
      <c r="N1713" s="1">
        <v>181</v>
      </c>
      <c r="O1713" s="1" t="s">
        <v>5197</v>
      </c>
    </row>
    <row r="1714" spans="1:17" x14ac:dyDescent="0.35">
      <c r="A1714" s="1" t="s">
        <v>15</v>
      </c>
      <c r="B1714" s="1">
        <v>1875015</v>
      </c>
      <c r="C1714" s="1">
        <v>1875959</v>
      </c>
      <c r="E1714" s="1" t="s">
        <v>178</v>
      </c>
      <c r="F1714" s="1" t="s">
        <v>5198</v>
      </c>
      <c r="I1714" s="1" t="s">
        <v>19</v>
      </c>
      <c r="L1714" s="1" t="s">
        <v>5199</v>
      </c>
      <c r="M1714" s="1" t="s">
        <v>5198</v>
      </c>
      <c r="N1714" s="1">
        <v>314</v>
      </c>
      <c r="O1714" s="1" t="s">
        <v>5200</v>
      </c>
    </row>
    <row r="1715" spans="1:17" x14ac:dyDescent="0.35">
      <c r="A1715" s="1" t="s">
        <v>15</v>
      </c>
      <c r="B1715" s="1">
        <v>1875959</v>
      </c>
      <c r="C1715" s="1">
        <v>1876714</v>
      </c>
      <c r="E1715" s="1" t="s">
        <v>178</v>
      </c>
      <c r="F1715" s="1" t="s">
        <v>5201</v>
      </c>
      <c r="G1715" s="1" t="s">
        <v>5202</v>
      </c>
      <c r="I1715" s="1" t="s">
        <v>19</v>
      </c>
      <c r="L1715" s="1" t="s">
        <v>5203</v>
      </c>
      <c r="M1715" s="1" t="s">
        <v>5201</v>
      </c>
      <c r="N1715" s="1">
        <v>251</v>
      </c>
      <c r="O1715" s="1" t="s">
        <v>5204</v>
      </c>
    </row>
    <row r="1716" spans="1:17" x14ac:dyDescent="0.35">
      <c r="A1716" s="1" t="s">
        <v>15</v>
      </c>
      <c r="B1716" s="1">
        <v>1876888</v>
      </c>
      <c r="C1716" s="1">
        <v>1877559</v>
      </c>
      <c r="E1716" s="1" t="s">
        <v>16</v>
      </c>
      <c r="F1716" s="1" t="s">
        <v>5205</v>
      </c>
      <c r="I1716" s="1" t="s">
        <v>19</v>
      </c>
      <c r="L1716" s="1" t="s">
        <v>5206</v>
      </c>
      <c r="M1716" s="1" t="s">
        <v>5205</v>
      </c>
      <c r="N1716" s="1">
        <v>223</v>
      </c>
      <c r="O1716" s="1" t="s">
        <v>5207</v>
      </c>
    </row>
    <row r="1717" spans="1:17" x14ac:dyDescent="0.35">
      <c r="A1717" s="1" t="s">
        <v>15</v>
      </c>
      <c r="B1717" s="1">
        <v>1877647</v>
      </c>
      <c r="C1717" s="1">
        <v>1878513</v>
      </c>
      <c r="E1717" s="1" t="s">
        <v>178</v>
      </c>
      <c r="F1717" s="1" t="s">
        <v>5208</v>
      </c>
      <c r="G1717" s="1" t="s">
        <v>5209</v>
      </c>
      <c r="I1717" s="1" t="s">
        <v>19</v>
      </c>
      <c r="L1717" s="1" t="s">
        <v>5210</v>
      </c>
      <c r="M1717" s="1" t="s">
        <v>5208</v>
      </c>
      <c r="N1717" s="1">
        <v>288</v>
      </c>
      <c r="O1717" s="1" t="s">
        <v>5211</v>
      </c>
    </row>
    <row r="1718" spans="1:17" x14ac:dyDescent="0.35">
      <c r="A1718" s="1" t="s">
        <v>15</v>
      </c>
      <c r="B1718" s="1">
        <v>1878637</v>
      </c>
      <c r="C1718" s="1">
        <v>1880904</v>
      </c>
      <c r="E1718" s="1" t="s">
        <v>16</v>
      </c>
      <c r="F1718" s="1" t="s">
        <v>5212</v>
      </c>
      <c r="G1718" s="1" t="s">
        <v>5213</v>
      </c>
      <c r="I1718" s="1" t="s">
        <v>19</v>
      </c>
      <c r="L1718" s="1" t="s">
        <v>5214</v>
      </c>
      <c r="M1718" s="1" t="s">
        <v>5212</v>
      </c>
      <c r="N1718" s="1">
        <v>755</v>
      </c>
      <c r="O1718" s="1" t="s">
        <v>5215</v>
      </c>
      <c r="Q1718" s="14"/>
    </row>
    <row r="1719" spans="1:17" x14ac:dyDescent="0.35">
      <c r="A1719" s="1" t="s">
        <v>15</v>
      </c>
      <c r="B1719" s="1">
        <v>1880986</v>
      </c>
      <c r="C1719" s="1">
        <v>1881366</v>
      </c>
      <c r="E1719" s="1" t="s">
        <v>178</v>
      </c>
      <c r="F1719" s="1" t="s">
        <v>5216</v>
      </c>
      <c r="G1719" s="1" t="s">
        <v>5217</v>
      </c>
      <c r="I1719" s="1" t="s">
        <v>19</v>
      </c>
      <c r="L1719" s="1" t="s">
        <v>5218</v>
      </c>
      <c r="M1719" s="1" t="s">
        <v>5216</v>
      </c>
      <c r="N1719" s="1">
        <v>126</v>
      </c>
      <c r="O1719" s="1" t="s">
        <v>5219</v>
      </c>
    </row>
    <row r="1720" spans="1:17" x14ac:dyDescent="0.35">
      <c r="A1720" s="1" t="s">
        <v>15</v>
      </c>
      <c r="B1720" s="1">
        <v>1881491</v>
      </c>
      <c r="C1720" s="1">
        <v>1881856</v>
      </c>
      <c r="E1720" s="1" t="s">
        <v>178</v>
      </c>
      <c r="F1720" s="1" t="s">
        <v>54</v>
      </c>
      <c r="I1720" s="1" t="s">
        <v>19</v>
      </c>
      <c r="L1720" s="1" t="s">
        <v>5220</v>
      </c>
      <c r="M1720" s="1" t="s">
        <v>54</v>
      </c>
      <c r="N1720" s="1">
        <v>121</v>
      </c>
      <c r="O1720" s="1" t="s">
        <v>5221</v>
      </c>
    </row>
    <row r="1721" spans="1:17" x14ac:dyDescent="0.35">
      <c r="A1721" s="1" t="s">
        <v>15</v>
      </c>
      <c r="B1721" s="1">
        <v>1882074</v>
      </c>
      <c r="C1721" s="1">
        <v>1882370</v>
      </c>
      <c r="E1721" s="1" t="s">
        <v>178</v>
      </c>
      <c r="F1721" s="1" t="s">
        <v>5222</v>
      </c>
      <c r="I1721" s="1" t="s">
        <v>19</v>
      </c>
      <c r="L1721" s="1" t="s">
        <v>5223</v>
      </c>
      <c r="M1721" s="1" t="s">
        <v>5222</v>
      </c>
      <c r="N1721" s="1">
        <v>98</v>
      </c>
      <c r="O1721" s="1" t="s">
        <v>5224</v>
      </c>
    </row>
    <row r="1722" spans="1:17" x14ac:dyDescent="0.35">
      <c r="A1722" s="1" t="s">
        <v>15</v>
      </c>
      <c r="B1722" s="1">
        <v>1882737</v>
      </c>
      <c r="C1722" s="1">
        <v>1883099</v>
      </c>
      <c r="E1722" s="1" t="s">
        <v>178</v>
      </c>
      <c r="F1722" s="1" t="s">
        <v>50</v>
      </c>
      <c r="I1722" s="1" t="s">
        <v>19</v>
      </c>
      <c r="L1722" s="1" t="s">
        <v>5225</v>
      </c>
      <c r="M1722" s="1" t="s">
        <v>50</v>
      </c>
      <c r="N1722" s="1">
        <v>120</v>
      </c>
      <c r="O1722" s="1" t="s">
        <v>5226</v>
      </c>
    </row>
    <row r="1723" spans="1:17" x14ac:dyDescent="0.35">
      <c r="A1723" s="1" t="s">
        <v>15</v>
      </c>
      <c r="B1723" s="1">
        <v>1883141</v>
      </c>
      <c r="C1723" s="1">
        <v>1883299</v>
      </c>
      <c r="E1723" s="1" t="s">
        <v>178</v>
      </c>
      <c r="F1723" s="1" t="s">
        <v>54</v>
      </c>
      <c r="I1723" s="1" t="s">
        <v>19</v>
      </c>
      <c r="L1723" s="1" t="s">
        <v>5227</v>
      </c>
      <c r="M1723" s="1" t="s">
        <v>54</v>
      </c>
      <c r="N1723" s="1">
        <v>52</v>
      </c>
      <c r="O1723" s="1" t="s">
        <v>5228</v>
      </c>
    </row>
    <row r="1724" spans="1:17" x14ac:dyDescent="0.35">
      <c r="A1724" s="1" t="s">
        <v>15</v>
      </c>
      <c r="B1724" s="1">
        <v>1883553</v>
      </c>
      <c r="C1724" s="1">
        <v>1884293</v>
      </c>
      <c r="E1724" s="1" t="s">
        <v>16</v>
      </c>
      <c r="F1724" s="1" t="s">
        <v>5229</v>
      </c>
      <c r="I1724" s="1" t="s">
        <v>19</v>
      </c>
      <c r="L1724" s="1" t="s">
        <v>5230</v>
      </c>
      <c r="M1724" s="1" t="s">
        <v>5229</v>
      </c>
      <c r="N1724" s="1">
        <v>246</v>
      </c>
      <c r="O1724" s="1" t="s">
        <v>5231</v>
      </c>
    </row>
    <row r="1725" spans="1:17" x14ac:dyDescent="0.35">
      <c r="A1725" s="1" t="s">
        <v>15</v>
      </c>
      <c r="B1725" s="1">
        <v>1884875</v>
      </c>
      <c r="C1725" s="1">
        <v>1885624</v>
      </c>
      <c r="E1725" s="1" t="s">
        <v>16</v>
      </c>
      <c r="F1725" s="1" t="s">
        <v>54</v>
      </c>
      <c r="I1725" s="1" t="s">
        <v>19</v>
      </c>
      <c r="L1725" s="1" t="s">
        <v>5232</v>
      </c>
      <c r="M1725" s="1" t="s">
        <v>54</v>
      </c>
      <c r="N1725" s="1">
        <v>249</v>
      </c>
      <c r="O1725" s="1" t="s">
        <v>5233</v>
      </c>
    </row>
    <row r="1726" spans="1:17" x14ac:dyDescent="0.35">
      <c r="A1726" s="1" t="s">
        <v>15</v>
      </c>
      <c r="B1726" s="1">
        <v>1885711</v>
      </c>
      <c r="C1726" s="1">
        <v>1886112</v>
      </c>
      <c r="E1726" s="1" t="s">
        <v>178</v>
      </c>
      <c r="F1726" s="1" t="s">
        <v>231</v>
      </c>
      <c r="I1726" s="1" t="s">
        <v>19</v>
      </c>
      <c r="L1726" s="1" t="s">
        <v>5234</v>
      </c>
      <c r="M1726" s="1" t="s">
        <v>231</v>
      </c>
      <c r="N1726" s="1">
        <v>133</v>
      </c>
      <c r="O1726" s="1" t="s">
        <v>5235</v>
      </c>
    </row>
    <row r="1727" spans="1:17" x14ac:dyDescent="0.35">
      <c r="A1727" s="1" t="s">
        <v>15</v>
      </c>
      <c r="B1727" s="1">
        <v>1886442</v>
      </c>
      <c r="C1727" s="1">
        <v>1886609</v>
      </c>
      <c r="E1727" s="1" t="s">
        <v>178</v>
      </c>
      <c r="F1727" s="1" t="s">
        <v>231</v>
      </c>
      <c r="I1727" s="1" t="s">
        <v>19</v>
      </c>
      <c r="L1727" s="1" t="s">
        <v>5236</v>
      </c>
      <c r="M1727" s="1" t="s">
        <v>231</v>
      </c>
      <c r="N1727" s="1">
        <v>55</v>
      </c>
      <c r="O1727" s="1" t="s">
        <v>5237</v>
      </c>
    </row>
    <row r="1728" spans="1:17" x14ac:dyDescent="0.35">
      <c r="A1728" s="1" t="s">
        <v>15</v>
      </c>
      <c r="B1728" s="1">
        <v>1886705</v>
      </c>
      <c r="C1728" s="1">
        <v>1886878</v>
      </c>
      <c r="E1728" s="1" t="s">
        <v>178</v>
      </c>
      <c r="F1728" s="1" t="s">
        <v>231</v>
      </c>
      <c r="I1728" s="1" t="s">
        <v>19</v>
      </c>
      <c r="L1728" s="1" t="s">
        <v>5238</v>
      </c>
      <c r="M1728" s="1" t="s">
        <v>231</v>
      </c>
      <c r="N1728" s="1">
        <v>57</v>
      </c>
      <c r="O1728" s="1" t="s">
        <v>5239</v>
      </c>
    </row>
    <row r="1729" spans="1:17" x14ac:dyDescent="0.35">
      <c r="A1729" s="1" t="s">
        <v>15</v>
      </c>
      <c r="B1729" s="1">
        <v>1886955</v>
      </c>
      <c r="C1729" s="1">
        <v>1887080</v>
      </c>
      <c r="E1729" s="1" t="s">
        <v>178</v>
      </c>
      <c r="F1729" s="1" t="s">
        <v>231</v>
      </c>
      <c r="I1729" s="1" t="s">
        <v>19</v>
      </c>
      <c r="L1729" s="1" t="s">
        <v>5240</v>
      </c>
      <c r="M1729" s="1" t="s">
        <v>231</v>
      </c>
      <c r="N1729" s="1">
        <v>41</v>
      </c>
      <c r="O1729" s="1" t="s">
        <v>5241</v>
      </c>
    </row>
    <row r="1730" spans="1:17" x14ac:dyDescent="0.35">
      <c r="A1730" s="1" t="s">
        <v>15</v>
      </c>
      <c r="B1730" s="1">
        <v>1887087</v>
      </c>
      <c r="C1730" s="1">
        <v>1887317</v>
      </c>
      <c r="E1730" s="1" t="s">
        <v>178</v>
      </c>
      <c r="F1730" s="1" t="s">
        <v>5242</v>
      </c>
      <c r="G1730" s="1" t="s">
        <v>5243</v>
      </c>
      <c r="I1730" s="1" t="s">
        <v>19</v>
      </c>
      <c r="L1730" s="1" t="s">
        <v>5244</v>
      </c>
      <c r="M1730" s="1" t="s">
        <v>5242</v>
      </c>
      <c r="N1730" s="1">
        <v>76</v>
      </c>
      <c r="O1730" s="1" t="s">
        <v>5245</v>
      </c>
    </row>
    <row r="1731" spans="1:17" x14ac:dyDescent="0.35">
      <c r="A1731" s="1" t="s">
        <v>15</v>
      </c>
      <c r="B1731" s="1">
        <v>1887478</v>
      </c>
      <c r="C1731" s="1">
        <v>1889199</v>
      </c>
      <c r="E1731" s="1" t="s">
        <v>178</v>
      </c>
      <c r="F1731" s="1" t="s">
        <v>5246</v>
      </c>
      <c r="G1731" s="1" t="s">
        <v>5247</v>
      </c>
      <c r="I1731" s="1" t="s">
        <v>19</v>
      </c>
      <c r="L1731" s="1" t="s">
        <v>5248</v>
      </c>
      <c r="M1731" s="1" t="s">
        <v>5246</v>
      </c>
      <c r="N1731" s="1">
        <v>573</v>
      </c>
      <c r="O1731" s="1" t="s">
        <v>5249</v>
      </c>
      <c r="Q1731" s="14"/>
    </row>
    <row r="1732" spans="1:17" x14ac:dyDescent="0.35">
      <c r="A1732" s="1" t="s">
        <v>15</v>
      </c>
      <c r="B1732" s="1">
        <v>1889216</v>
      </c>
      <c r="C1732" s="1">
        <v>1890973</v>
      </c>
      <c r="E1732" s="1" t="s">
        <v>178</v>
      </c>
      <c r="F1732" s="1" t="s">
        <v>5250</v>
      </c>
      <c r="G1732" s="1" t="s">
        <v>5251</v>
      </c>
      <c r="I1732" s="1" t="s">
        <v>19</v>
      </c>
      <c r="L1732" s="1" t="s">
        <v>5252</v>
      </c>
      <c r="M1732" s="1" t="s">
        <v>5250</v>
      </c>
      <c r="N1732" s="1">
        <v>585</v>
      </c>
      <c r="O1732" s="1" t="s">
        <v>5253</v>
      </c>
      <c r="Q1732" s="14"/>
    </row>
    <row r="1733" spans="1:17" x14ac:dyDescent="0.35">
      <c r="A1733" s="1" t="s">
        <v>15</v>
      </c>
      <c r="B1733" s="1">
        <v>1891037</v>
      </c>
      <c r="C1733" s="1">
        <v>1891432</v>
      </c>
      <c r="E1733" s="1" t="s">
        <v>178</v>
      </c>
      <c r="F1733" s="1" t="s">
        <v>54</v>
      </c>
      <c r="I1733" s="1" t="s">
        <v>19</v>
      </c>
      <c r="L1733" s="1" t="s">
        <v>5254</v>
      </c>
      <c r="M1733" s="1" t="s">
        <v>54</v>
      </c>
      <c r="N1733" s="1">
        <v>131</v>
      </c>
      <c r="O1733" s="1" t="s">
        <v>5255</v>
      </c>
    </row>
    <row r="1734" spans="1:17" x14ac:dyDescent="0.35">
      <c r="A1734" s="1" t="s">
        <v>15</v>
      </c>
      <c r="B1734" s="1">
        <v>1891586</v>
      </c>
      <c r="C1734" s="1">
        <v>1892113</v>
      </c>
      <c r="E1734" s="1" t="s">
        <v>178</v>
      </c>
      <c r="F1734" s="1" t="s">
        <v>5256</v>
      </c>
      <c r="I1734" s="1" t="s">
        <v>19</v>
      </c>
      <c r="L1734" s="1" t="s">
        <v>5257</v>
      </c>
      <c r="M1734" s="1" t="s">
        <v>5256</v>
      </c>
      <c r="N1734" s="1">
        <v>175</v>
      </c>
      <c r="O1734" s="1" t="s">
        <v>5258</v>
      </c>
    </row>
    <row r="1735" spans="1:17" x14ac:dyDescent="0.35">
      <c r="A1735" s="1" t="s">
        <v>15</v>
      </c>
      <c r="B1735" s="1">
        <v>1892115</v>
      </c>
      <c r="C1735" s="1">
        <v>1893284</v>
      </c>
      <c r="E1735" s="1" t="s">
        <v>178</v>
      </c>
      <c r="F1735" s="1" t="s">
        <v>5259</v>
      </c>
      <c r="I1735" s="1" t="s">
        <v>19</v>
      </c>
      <c r="L1735" s="1" t="s">
        <v>5260</v>
      </c>
      <c r="M1735" s="1" t="s">
        <v>5259</v>
      </c>
      <c r="N1735" s="1">
        <v>389</v>
      </c>
      <c r="O1735" s="1" t="s">
        <v>5261</v>
      </c>
    </row>
    <row r="1736" spans="1:17" x14ac:dyDescent="0.35">
      <c r="A1736" s="1" t="s">
        <v>15</v>
      </c>
      <c r="B1736" s="1">
        <v>1893288</v>
      </c>
      <c r="C1736" s="1">
        <v>1894016</v>
      </c>
      <c r="E1736" s="1" t="s">
        <v>178</v>
      </c>
      <c r="F1736" s="1" t="s">
        <v>26</v>
      </c>
      <c r="I1736" s="1" t="s">
        <v>19</v>
      </c>
      <c r="L1736" s="1" t="s">
        <v>5262</v>
      </c>
      <c r="M1736" s="1" t="s">
        <v>26</v>
      </c>
      <c r="N1736" s="1">
        <v>242</v>
      </c>
      <c r="O1736" s="1" t="s">
        <v>5263</v>
      </c>
    </row>
    <row r="1737" spans="1:17" x14ac:dyDescent="0.35">
      <c r="A1737" s="1" t="s">
        <v>15</v>
      </c>
      <c r="B1737" s="1">
        <v>1894071</v>
      </c>
      <c r="C1737" s="1">
        <v>1895426</v>
      </c>
      <c r="E1737" s="1" t="s">
        <v>178</v>
      </c>
      <c r="F1737" s="1" t="s">
        <v>5264</v>
      </c>
      <c r="I1737" s="1" t="s">
        <v>19</v>
      </c>
      <c r="L1737" s="1" t="s">
        <v>5265</v>
      </c>
      <c r="M1737" s="1" t="s">
        <v>5264</v>
      </c>
      <c r="N1737" s="1">
        <v>451</v>
      </c>
      <c r="O1737" s="1" t="s">
        <v>5266</v>
      </c>
      <c r="Q1737" s="14"/>
    </row>
    <row r="1738" spans="1:17" x14ac:dyDescent="0.35">
      <c r="A1738" s="1" t="s">
        <v>15</v>
      </c>
      <c r="B1738" s="1">
        <v>1895700</v>
      </c>
      <c r="C1738" s="1">
        <v>1895930</v>
      </c>
      <c r="E1738" s="1" t="s">
        <v>178</v>
      </c>
      <c r="F1738" s="1" t="s">
        <v>54</v>
      </c>
      <c r="I1738" s="1" t="s">
        <v>19</v>
      </c>
      <c r="L1738" s="1" t="s">
        <v>5267</v>
      </c>
      <c r="M1738" s="1" t="s">
        <v>54</v>
      </c>
      <c r="N1738" s="1">
        <v>76</v>
      </c>
      <c r="O1738" s="1" t="s">
        <v>5268</v>
      </c>
    </row>
    <row r="1739" spans="1:17" x14ac:dyDescent="0.35">
      <c r="A1739" s="1" t="s">
        <v>15</v>
      </c>
      <c r="B1739" s="1">
        <v>1896410</v>
      </c>
      <c r="C1739" s="1">
        <v>1897753</v>
      </c>
      <c r="E1739" s="1" t="s">
        <v>178</v>
      </c>
      <c r="F1739" s="1" t="s">
        <v>5269</v>
      </c>
      <c r="G1739" s="1" t="s">
        <v>5270</v>
      </c>
      <c r="I1739" s="1" t="s">
        <v>19</v>
      </c>
      <c r="L1739" s="1" t="s">
        <v>5271</v>
      </c>
      <c r="M1739" s="1" t="s">
        <v>5269</v>
      </c>
      <c r="N1739" s="1">
        <v>447</v>
      </c>
      <c r="O1739" s="1" t="s">
        <v>5272</v>
      </c>
      <c r="Q1739" s="14"/>
    </row>
    <row r="1740" spans="1:17" x14ac:dyDescent="0.35">
      <c r="A1740" s="1" t="s">
        <v>15</v>
      </c>
      <c r="B1740" s="1">
        <v>1897827</v>
      </c>
      <c r="C1740" s="1">
        <v>1898849</v>
      </c>
      <c r="E1740" s="1" t="s">
        <v>178</v>
      </c>
      <c r="F1740" s="1" t="s">
        <v>5273</v>
      </c>
      <c r="G1740" s="1" t="s">
        <v>5274</v>
      </c>
      <c r="I1740" s="1" t="s">
        <v>19</v>
      </c>
      <c r="L1740" s="1" t="s">
        <v>5275</v>
      </c>
      <c r="M1740" s="1" t="s">
        <v>5273</v>
      </c>
      <c r="N1740" s="1">
        <v>340</v>
      </c>
      <c r="O1740" s="1" t="s">
        <v>5276</v>
      </c>
      <c r="Q1740" s="14"/>
    </row>
    <row r="1741" spans="1:17" x14ac:dyDescent="0.35">
      <c r="A1741" s="1" t="s">
        <v>15</v>
      </c>
      <c r="B1741" s="1">
        <v>1898851</v>
      </c>
      <c r="C1741" s="1">
        <v>1901019</v>
      </c>
      <c r="E1741" s="1" t="s">
        <v>178</v>
      </c>
      <c r="F1741" s="1" t="s">
        <v>5277</v>
      </c>
      <c r="G1741" s="1" t="s">
        <v>5278</v>
      </c>
      <c r="I1741" s="1" t="s">
        <v>19</v>
      </c>
      <c r="L1741" s="1" t="s">
        <v>5279</v>
      </c>
      <c r="M1741" s="1" t="s">
        <v>5277</v>
      </c>
      <c r="N1741" s="1">
        <v>722</v>
      </c>
      <c r="O1741" s="1" t="s">
        <v>5280</v>
      </c>
      <c r="Q1741" s="14"/>
    </row>
    <row r="1742" spans="1:17" x14ac:dyDescent="0.35">
      <c r="A1742" s="1" t="s">
        <v>15</v>
      </c>
      <c r="B1742" s="1">
        <v>1901122</v>
      </c>
      <c r="C1742" s="1">
        <v>1901442</v>
      </c>
      <c r="E1742" s="1" t="s">
        <v>178</v>
      </c>
      <c r="F1742" s="1" t="s">
        <v>5281</v>
      </c>
      <c r="I1742" s="1" t="s">
        <v>19</v>
      </c>
      <c r="L1742" s="1" t="s">
        <v>5282</v>
      </c>
      <c r="M1742" s="1" t="s">
        <v>5281</v>
      </c>
      <c r="N1742" s="1">
        <v>106</v>
      </c>
      <c r="O1742" s="1" t="s">
        <v>5283</v>
      </c>
    </row>
    <row r="1743" spans="1:17" x14ac:dyDescent="0.35">
      <c r="A1743" s="1" t="s">
        <v>15</v>
      </c>
      <c r="B1743" s="1">
        <v>1901445</v>
      </c>
      <c r="C1743" s="1">
        <v>1902395</v>
      </c>
      <c r="E1743" s="1" t="s">
        <v>178</v>
      </c>
      <c r="F1743" s="1" t="s">
        <v>5284</v>
      </c>
      <c r="G1743" s="1" t="s">
        <v>5285</v>
      </c>
      <c r="I1743" s="1" t="s">
        <v>19</v>
      </c>
      <c r="L1743" s="1" t="s">
        <v>5286</v>
      </c>
      <c r="M1743" s="1" t="s">
        <v>5284</v>
      </c>
      <c r="N1743" s="1">
        <v>316</v>
      </c>
      <c r="O1743" s="1" t="s">
        <v>5287</v>
      </c>
      <c r="Q1743" s="14"/>
    </row>
    <row r="1744" spans="1:17" x14ac:dyDescent="0.35">
      <c r="A1744" s="1" t="s">
        <v>15</v>
      </c>
      <c r="B1744" s="1">
        <v>1902509</v>
      </c>
      <c r="C1744" s="1">
        <v>1902739</v>
      </c>
      <c r="E1744" s="1" t="s">
        <v>178</v>
      </c>
      <c r="F1744" s="1" t="s">
        <v>5288</v>
      </c>
      <c r="G1744" s="1" t="s">
        <v>5289</v>
      </c>
      <c r="I1744" s="1" t="s">
        <v>19</v>
      </c>
      <c r="L1744" s="1" t="s">
        <v>5290</v>
      </c>
      <c r="M1744" s="1" t="s">
        <v>5288</v>
      </c>
      <c r="N1744" s="1">
        <v>76</v>
      </c>
      <c r="O1744" s="1" t="s">
        <v>5291</v>
      </c>
    </row>
    <row r="1745" spans="1:20" x14ac:dyDescent="0.35">
      <c r="A1745" s="1" t="s">
        <v>15</v>
      </c>
      <c r="B1745" s="1">
        <v>1902885</v>
      </c>
      <c r="C1745" s="1">
        <v>1903550</v>
      </c>
      <c r="E1745" s="1" t="s">
        <v>178</v>
      </c>
      <c r="F1745" s="1" t="s">
        <v>5288</v>
      </c>
      <c r="I1745" s="1" t="s">
        <v>19</v>
      </c>
      <c r="L1745" s="1" t="s">
        <v>5292</v>
      </c>
      <c r="M1745" s="1" t="s">
        <v>5288</v>
      </c>
      <c r="N1745" s="1">
        <v>221</v>
      </c>
      <c r="O1745" s="1" t="s">
        <v>5293</v>
      </c>
    </row>
    <row r="1746" spans="1:20" x14ac:dyDescent="0.35">
      <c r="A1746" s="1" t="s">
        <v>15</v>
      </c>
      <c r="B1746" s="1">
        <v>1903581</v>
      </c>
      <c r="C1746" s="1">
        <v>1904042</v>
      </c>
      <c r="E1746" s="1" t="s">
        <v>178</v>
      </c>
      <c r="F1746" s="1" t="s">
        <v>54</v>
      </c>
      <c r="I1746" s="1" t="s">
        <v>19</v>
      </c>
      <c r="L1746" s="1" t="s">
        <v>5294</v>
      </c>
      <c r="M1746" s="1" t="s">
        <v>54</v>
      </c>
      <c r="N1746" s="1">
        <v>153</v>
      </c>
      <c r="O1746" s="1" t="s">
        <v>5295</v>
      </c>
    </row>
    <row r="1747" spans="1:20" x14ac:dyDescent="0.35">
      <c r="A1747" s="1" t="s">
        <v>15</v>
      </c>
      <c r="B1747" s="1">
        <v>1904183</v>
      </c>
      <c r="C1747" s="1">
        <v>1904575</v>
      </c>
      <c r="E1747" s="1" t="s">
        <v>178</v>
      </c>
      <c r="F1747" s="1" t="s">
        <v>54</v>
      </c>
      <c r="I1747" s="1" t="s">
        <v>19</v>
      </c>
      <c r="L1747" s="1" t="s">
        <v>5296</v>
      </c>
      <c r="M1747" s="1" t="s">
        <v>54</v>
      </c>
      <c r="N1747" s="1">
        <v>130</v>
      </c>
      <c r="O1747" s="1" t="s">
        <v>5297</v>
      </c>
    </row>
    <row r="1748" spans="1:20" x14ac:dyDescent="0.35">
      <c r="A1748" s="1" t="s">
        <v>15</v>
      </c>
      <c r="B1748" s="1">
        <v>1904676</v>
      </c>
      <c r="C1748" s="1">
        <v>1905074</v>
      </c>
      <c r="E1748" s="1" t="s">
        <v>178</v>
      </c>
      <c r="F1748" s="1" t="s">
        <v>54</v>
      </c>
      <c r="I1748" s="1" t="s">
        <v>19</v>
      </c>
      <c r="L1748" s="1" t="s">
        <v>5298</v>
      </c>
      <c r="M1748" s="1" t="s">
        <v>54</v>
      </c>
      <c r="N1748" s="1">
        <v>132</v>
      </c>
      <c r="O1748" s="1" t="s">
        <v>5299</v>
      </c>
    </row>
    <row r="1749" spans="1:20" x14ac:dyDescent="0.35">
      <c r="A1749" s="1" t="s">
        <v>15</v>
      </c>
      <c r="B1749" s="1">
        <v>1905174</v>
      </c>
      <c r="C1749" s="1">
        <v>1905566</v>
      </c>
      <c r="E1749" s="1" t="s">
        <v>178</v>
      </c>
      <c r="F1749" s="1" t="s">
        <v>54</v>
      </c>
      <c r="I1749" s="1" t="s">
        <v>19</v>
      </c>
      <c r="L1749" s="1" t="s">
        <v>5300</v>
      </c>
      <c r="M1749" s="1" t="s">
        <v>54</v>
      </c>
      <c r="N1749" s="1">
        <v>130</v>
      </c>
      <c r="O1749" s="1" t="s">
        <v>5301</v>
      </c>
    </row>
    <row r="1750" spans="1:20" x14ac:dyDescent="0.35">
      <c r="A1750" s="1" t="s">
        <v>15</v>
      </c>
      <c r="B1750" s="1">
        <v>1905661</v>
      </c>
      <c r="C1750" s="1">
        <v>1906911</v>
      </c>
      <c r="E1750" s="1" t="s">
        <v>178</v>
      </c>
      <c r="F1750" s="1" t="s">
        <v>5302</v>
      </c>
      <c r="G1750" s="1" t="s">
        <v>5303</v>
      </c>
      <c r="I1750" s="1" t="s">
        <v>19</v>
      </c>
      <c r="L1750" s="1" t="s">
        <v>5304</v>
      </c>
      <c r="M1750" s="1" t="s">
        <v>5302</v>
      </c>
      <c r="N1750" s="1">
        <v>416</v>
      </c>
      <c r="O1750" s="1" t="s">
        <v>5305</v>
      </c>
      <c r="Q1750" s="14"/>
    </row>
    <row r="1751" spans="1:20" x14ac:dyDescent="0.35">
      <c r="A1751" s="1" t="s">
        <v>15</v>
      </c>
      <c r="B1751" s="1">
        <v>1906913</v>
      </c>
      <c r="C1751" s="1">
        <v>1907716</v>
      </c>
      <c r="E1751" s="1" t="s">
        <v>178</v>
      </c>
      <c r="F1751" s="1" t="s">
        <v>5306</v>
      </c>
      <c r="G1751" s="1" t="s">
        <v>5307</v>
      </c>
      <c r="I1751" s="1" t="s">
        <v>19</v>
      </c>
      <c r="L1751" s="1" t="s">
        <v>5308</v>
      </c>
      <c r="M1751" s="1" t="s">
        <v>5306</v>
      </c>
      <c r="N1751" s="1">
        <v>267</v>
      </c>
      <c r="O1751" s="1" t="s">
        <v>5309</v>
      </c>
      <c r="Q1751" s="14"/>
    </row>
    <row r="1752" spans="1:20" x14ac:dyDescent="0.35">
      <c r="A1752" s="1" t="s">
        <v>15</v>
      </c>
      <c r="B1752" s="1">
        <v>1907836</v>
      </c>
      <c r="C1752" s="1">
        <v>1909425</v>
      </c>
      <c r="E1752" s="1" t="s">
        <v>178</v>
      </c>
      <c r="F1752" s="1" t="s">
        <v>5310</v>
      </c>
      <c r="I1752" s="1" t="s">
        <v>19</v>
      </c>
      <c r="L1752" s="1" t="s">
        <v>5311</v>
      </c>
      <c r="M1752" s="1" t="s">
        <v>5310</v>
      </c>
      <c r="N1752" s="1">
        <v>529</v>
      </c>
      <c r="O1752" s="1" t="s">
        <v>5312</v>
      </c>
    </row>
    <row r="1753" spans="1:20" x14ac:dyDescent="0.35">
      <c r="A1753" s="1" t="s">
        <v>15</v>
      </c>
      <c r="B1753" s="1">
        <v>1909428</v>
      </c>
      <c r="C1753" s="1">
        <v>1910159</v>
      </c>
      <c r="E1753" s="1" t="s">
        <v>178</v>
      </c>
      <c r="F1753" s="1" t="s">
        <v>1660</v>
      </c>
      <c r="I1753" s="1" t="s">
        <v>19</v>
      </c>
      <c r="L1753" s="1" t="s">
        <v>5313</v>
      </c>
      <c r="M1753" s="1" t="s">
        <v>1660</v>
      </c>
      <c r="N1753" s="1">
        <v>243</v>
      </c>
      <c r="O1753" s="1" t="s">
        <v>5314</v>
      </c>
    </row>
    <row r="1754" spans="1:20" x14ac:dyDescent="0.35">
      <c r="A1754" s="1" t="s">
        <v>15</v>
      </c>
      <c r="B1754" s="1">
        <v>1910370</v>
      </c>
      <c r="C1754" s="1">
        <v>1911164</v>
      </c>
      <c r="E1754" s="1" t="s">
        <v>16</v>
      </c>
      <c r="F1754" s="1" t="s">
        <v>4892</v>
      </c>
      <c r="I1754" s="1" t="s">
        <v>19</v>
      </c>
      <c r="L1754" s="1" t="s">
        <v>5315</v>
      </c>
      <c r="M1754" s="1" t="s">
        <v>4892</v>
      </c>
      <c r="N1754" s="1">
        <v>264</v>
      </c>
      <c r="O1754" s="1" t="s">
        <v>5316</v>
      </c>
    </row>
    <row r="1755" spans="1:20" x14ac:dyDescent="0.35">
      <c r="A1755" s="1" t="s">
        <v>15</v>
      </c>
      <c r="B1755" s="1">
        <v>1911517</v>
      </c>
      <c r="C1755" s="1">
        <v>1915170</v>
      </c>
      <c r="E1755" s="1" t="s">
        <v>178</v>
      </c>
      <c r="F1755" s="1" t="s">
        <v>5317</v>
      </c>
      <c r="G1755" s="1" t="s">
        <v>5318</v>
      </c>
      <c r="I1755" s="1" t="s">
        <v>19</v>
      </c>
      <c r="L1755" s="1" t="s">
        <v>5319</v>
      </c>
      <c r="M1755" s="1" t="s">
        <v>5317</v>
      </c>
      <c r="N1755" s="1">
        <v>1217</v>
      </c>
      <c r="O1755" s="1" t="s">
        <v>5320</v>
      </c>
      <c r="Q1755" s="14"/>
      <c r="T1755" s="17"/>
    </row>
    <row r="1756" spans="1:20" x14ac:dyDescent="0.35">
      <c r="A1756" s="1" t="s">
        <v>15</v>
      </c>
      <c r="B1756" s="1">
        <v>1915160</v>
      </c>
      <c r="C1756" s="1">
        <v>1918480</v>
      </c>
      <c r="E1756" s="1" t="s">
        <v>178</v>
      </c>
      <c r="F1756" s="1" t="s">
        <v>5321</v>
      </c>
      <c r="G1756" s="1" t="s">
        <v>5322</v>
      </c>
      <c r="I1756" s="1" t="s">
        <v>19</v>
      </c>
      <c r="L1756" s="1" t="s">
        <v>5323</v>
      </c>
      <c r="M1756" s="1" t="s">
        <v>5321</v>
      </c>
      <c r="N1756" s="1">
        <v>1106</v>
      </c>
      <c r="O1756" s="1" t="s">
        <v>5324</v>
      </c>
      <c r="Q1756" s="14"/>
    </row>
    <row r="1757" spans="1:20" x14ac:dyDescent="0.35">
      <c r="A1757" s="1" t="s">
        <v>15</v>
      </c>
      <c r="B1757" s="1">
        <v>1918728</v>
      </c>
      <c r="C1757" s="1">
        <v>1920101</v>
      </c>
      <c r="E1757" s="1" t="s">
        <v>178</v>
      </c>
      <c r="F1757" s="1" t="s">
        <v>5325</v>
      </c>
      <c r="G1757" s="1" t="s">
        <v>5326</v>
      </c>
      <c r="I1757" s="1" t="s">
        <v>19</v>
      </c>
      <c r="L1757" s="1" t="s">
        <v>5327</v>
      </c>
      <c r="M1757" s="1" t="s">
        <v>5325</v>
      </c>
      <c r="N1757" s="1">
        <v>457</v>
      </c>
      <c r="O1757" s="1" t="s">
        <v>5328</v>
      </c>
      <c r="Q1757" s="14"/>
    </row>
    <row r="1758" spans="1:20" x14ac:dyDescent="0.35">
      <c r="A1758" s="1" t="s">
        <v>15</v>
      </c>
      <c r="B1758" s="1">
        <v>1920136</v>
      </c>
      <c r="C1758" s="1">
        <v>1921446</v>
      </c>
      <c r="E1758" s="1" t="s">
        <v>178</v>
      </c>
      <c r="F1758" s="1" t="s">
        <v>5325</v>
      </c>
      <c r="I1758" s="1" t="s">
        <v>19</v>
      </c>
      <c r="L1758" s="1" t="s">
        <v>5329</v>
      </c>
      <c r="M1758" s="1" t="s">
        <v>5325</v>
      </c>
      <c r="N1758" s="1">
        <v>436</v>
      </c>
      <c r="O1758" s="1" t="s">
        <v>5330</v>
      </c>
      <c r="Q1758" s="14"/>
    </row>
    <row r="1759" spans="1:20" x14ac:dyDescent="0.35">
      <c r="A1759" s="1" t="s">
        <v>15</v>
      </c>
      <c r="B1759" s="1">
        <v>1921727</v>
      </c>
      <c r="C1759" s="1">
        <v>1923466</v>
      </c>
      <c r="E1759" s="1" t="s">
        <v>178</v>
      </c>
      <c r="F1759" s="1" t="s">
        <v>54</v>
      </c>
      <c r="I1759" s="1" t="s">
        <v>19</v>
      </c>
      <c r="L1759" s="1" t="s">
        <v>5331</v>
      </c>
      <c r="M1759" s="1" t="s">
        <v>54</v>
      </c>
      <c r="N1759" s="1">
        <v>579</v>
      </c>
      <c r="O1759" s="1" t="s">
        <v>5332</v>
      </c>
    </row>
    <row r="1760" spans="1:20" x14ac:dyDescent="0.35">
      <c r="A1760" s="1" t="s">
        <v>15</v>
      </c>
      <c r="B1760" s="1">
        <v>1923476</v>
      </c>
      <c r="C1760" s="1">
        <v>1923736</v>
      </c>
      <c r="E1760" s="1" t="s">
        <v>178</v>
      </c>
      <c r="F1760" s="1" t="s">
        <v>54</v>
      </c>
      <c r="I1760" s="1" t="s">
        <v>19</v>
      </c>
      <c r="L1760" s="1" t="s">
        <v>5333</v>
      </c>
      <c r="M1760" s="1" t="s">
        <v>54</v>
      </c>
      <c r="N1760" s="1">
        <v>86</v>
      </c>
      <c r="O1760" s="1" t="s">
        <v>5334</v>
      </c>
    </row>
    <row r="1761" spans="1:17" x14ac:dyDescent="0.35">
      <c r="A1761" s="1" t="s">
        <v>15</v>
      </c>
      <c r="B1761" s="1">
        <v>1923737</v>
      </c>
      <c r="C1761" s="1">
        <v>1924552</v>
      </c>
      <c r="E1761" s="1" t="s">
        <v>178</v>
      </c>
      <c r="F1761" s="1" t="s">
        <v>54</v>
      </c>
      <c r="I1761" s="1" t="s">
        <v>19</v>
      </c>
      <c r="L1761" s="1" t="s">
        <v>5335</v>
      </c>
      <c r="M1761" s="1" t="s">
        <v>54</v>
      </c>
      <c r="N1761" s="1">
        <v>271</v>
      </c>
      <c r="O1761" s="1" t="s">
        <v>5336</v>
      </c>
    </row>
    <row r="1762" spans="1:17" x14ac:dyDescent="0.35">
      <c r="A1762" s="1" t="s">
        <v>15</v>
      </c>
      <c r="B1762" s="1">
        <v>1924561</v>
      </c>
      <c r="C1762" s="1">
        <v>1925346</v>
      </c>
      <c r="E1762" s="1" t="s">
        <v>178</v>
      </c>
      <c r="F1762" s="1" t="s">
        <v>5337</v>
      </c>
      <c r="I1762" s="1" t="s">
        <v>19</v>
      </c>
      <c r="L1762" s="1" t="s">
        <v>5338</v>
      </c>
      <c r="M1762" s="1" t="s">
        <v>5337</v>
      </c>
      <c r="N1762" s="1">
        <v>261</v>
      </c>
      <c r="O1762" s="1" t="s">
        <v>5339</v>
      </c>
    </row>
    <row r="1763" spans="1:17" x14ac:dyDescent="0.35">
      <c r="A1763" s="1" t="s">
        <v>15</v>
      </c>
      <c r="B1763" s="1">
        <v>1925356</v>
      </c>
      <c r="C1763" s="1">
        <v>1925868</v>
      </c>
      <c r="E1763" s="1" t="s">
        <v>178</v>
      </c>
      <c r="F1763" s="1" t="s">
        <v>54</v>
      </c>
      <c r="I1763" s="1" t="s">
        <v>19</v>
      </c>
      <c r="L1763" s="1" t="s">
        <v>5340</v>
      </c>
      <c r="M1763" s="1" t="s">
        <v>54</v>
      </c>
      <c r="N1763" s="1">
        <v>170</v>
      </c>
      <c r="O1763" s="1" t="s">
        <v>5341</v>
      </c>
    </row>
    <row r="1764" spans="1:17" x14ac:dyDescent="0.35">
      <c r="A1764" s="1" t="s">
        <v>15</v>
      </c>
      <c r="B1764" s="1">
        <v>1925865</v>
      </c>
      <c r="C1764" s="1">
        <v>1927463</v>
      </c>
      <c r="E1764" s="1" t="s">
        <v>178</v>
      </c>
      <c r="F1764" s="1" t="s">
        <v>5342</v>
      </c>
      <c r="G1764" s="1" t="s">
        <v>5343</v>
      </c>
      <c r="I1764" s="1" t="s">
        <v>19</v>
      </c>
      <c r="L1764" s="1" t="s">
        <v>5344</v>
      </c>
      <c r="M1764" s="1" t="s">
        <v>5342</v>
      </c>
      <c r="N1764" s="1">
        <v>532</v>
      </c>
      <c r="O1764" s="1" t="s">
        <v>5345</v>
      </c>
    </row>
    <row r="1765" spans="1:17" x14ac:dyDescent="0.35">
      <c r="A1765" s="1" t="s">
        <v>15</v>
      </c>
      <c r="B1765" s="1">
        <v>1927788</v>
      </c>
      <c r="C1765" s="1">
        <v>1928483</v>
      </c>
      <c r="E1765" s="1" t="s">
        <v>178</v>
      </c>
      <c r="F1765" s="1" t="s">
        <v>50</v>
      </c>
      <c r="I1765" s="1" t="s">
        <v>19</v>
      </c>
      <c r="L1765" s="1" t="s">
        <v>5346</v>
      </c>
      <c r="M1765" s="1" t="s">
        <v>50</v>
      </c>
      <c r="N1765" s="1">
        <v>231</v>
      </c>
      <c r="O1765" s="1" t="s">
        <v>5347</v>
      </c>
    </row>
    <row r="1766" spans="1:17" x14ac:dyDescent="0.35">
      <c r="A1766" s="1" t="s">
        <v>15</v>
      </c>
      <c r="B1766" s="1">
        <v>1928488</v>
      </c>
      <c r="C1766" s="1">
        <v>1928934</v>
      </c>
      <c r="E1766" s="1" t="s">
        <v>178</v>
      </c>
      <c r="F1766" s="1" t="s">
        <v>222</v>
      </c>
      <c r="I1766" s="1" t="s">
        <v>19</v>
      </c>
      <c r="L1766" s="1" t="s">
        <v>5348</v>
      </c>
      <c r="M1766" s="1" t="s">
        <v>222</v>
      </c>
      <c r="N1766" s="1">
        <v>148</v>
      </c>
      <c r="O1766" s="1" t="s">
        <v>5349</v>
      </c>
    </row>
    <row r="1767" spans="1:17" x14ac:dyDescent="0.35">
      <c r="A1767" s="1" t="s">
        <v>15</v>
      </c>
      <c r="B1767" s="1">
        <v>1929146</v>
      </c>
      <c r="C1767" s="1">
        <v>1930873</v>
      </c>
      <c r="E1767" s="1" t="s">
        <v>178</v>
      </c>
      <c r="F1767" s="1" t="s">
        <v>54</v>
      </c>
      <c r="I1767" s="1" t="s">
        <v>19</v>
      </c>
      <c r="L1767" s="1" t="s">
        <v>5350</v>
      </c>
      <c r="M1767" s="1" t="s">
        <v>54</v>
      </c>
      <c r="N1767" s="1">
        <v>575</v>
      </c>
      <c r="O1767" s="1" t="s">
        <v>5351</v>
      </c>
    </row>
    <row r="1768" spans="1:17" x14ac:dyDescent="0.35">
      <c r="A1768" s="1" t="s">
        <v>15</v>
      </c>
      <c r="B1768" s="1">
        <v>1930925</v>
      </c>
      <c r="C1768" s="1">
        <v>1932106</v>
      </c>
      <c r="E1768" s="1" t="s">
        <v>178</v>
      </c>
      <c r="F1768" s="1" t="s">
        <v>54</v>
      </c>
      <c r="I1768" s="1" t="s">
        <v>19</v>
      </c>
      <c r="L1768" s="1" t="s">
        <v>5352</v>
      </c>
      <c r="M1768" s="1" t="s">
        <v>54</v>
      </c>
      <c r="N1768" s="1">
        <v>393</v>
      </c>
      <c r="O1768" s="1" t="s">
        <v>5353</v>
      </c>
    </row>
    <row r="1769" spans="1:17" x14ac:dyDescent="0.35">
      <c r="A1769" s="1" t="s">
        <v>15</v>
      </c>
      <c r="B1769" s="1">
        <v>1932224</v>
      </c>
      <c r="C1769" s="1">
        <v>1933609</v>
      </c>
      <c r="E1769" s="1" t="s">
        <v>178</v>
      </c>
      <c r="F1769" s="1" t="s">
        <v>5354</v>
      </c>
      <c r="I1769" s="1" t="s">
        <v>19</v>
      </c>
      <c r="L1769" s="1" t="s">
        <v>5355</v>
      </c>
      <c r="M1769" s="1" t="s">
        <v>5354</v>
      </c>
      <c r="N1769" s="1">
        <v>461</v>
      </c>
      <c r="O1769" s="1" t="s">
        <v>5356</v>
      </c>
      <c r="Q1769" s="14"/>
    </row>
    <row r="1770" spans="1:17" x14ac:dyDescent="0.35">
      <c r="A1770" s="1" t="s">
        <v>15</v>
      </c>
      <c r="B1770" s="1">
        <v>1933681</v>
      </c>
      <c r="C1770" s="1">
        <v>1934649</v>
      </c>
      <c r="E1770" s="1" t="s">
        <v>16</v>
      </c>
      <c r="F1770" s="1" t="s">
        <v>5357</v>
      </c>
      <c r="G1770" s="1" t="s">
        <v>5358</v>
      </c>
      <c r="I1770" s="1" t="s">
        <v>19</v>
      </c>
      <c r="L1770" s="1" t="s">
        <v>5359</v>
      </c>
      <c r="M1770" s="1" t="s">
        <v>5357</v>
      </c>
      <c r="N1770" s="1">
        <v>322</v>
      </c>
      <c r="O1770" s="1" t="s">
        <v>5360</v>
      </c>
      <c r="Q1770" s="14"/>
    </row>
    <row r="1771" spans="1:17" x14ac:dyDescent="0.35">
      <c r="A1771" s="1" t="s">
        <v>15</v>
      </c>
      <c r="B1771" s="1">
        <v>1934653</v>
      </c>
      <c r="C1771" s="1">
        <v>1934796</v>
      </c>
      <c r="E1771" s="1" t="s">
        <v>16</v>
      </c>
      <c r="F1771" s="1" t="s">
        <v>54</v>
      </c>
      <c r="I1771" s="1" t="s">
        <v>19</v>
      </c>
      <c r="L1771" s="1" t="s">
        <v>5361</v>
      </c>
      <c r="M1771" s="1" t="s">
        <v>54</v>
      </c>
      <c r="N1771" s="1">
        <v>47</v>
      </c>
      <c r="O1771" s="1" t="s">
        <v>5362</v>
      </c>
    </row>
    <row r="1772" spans="1:17" x14ac:dyDescent="0.35">
      <c r="A1772" s="1" t="s">
        <v>15</v>
      </c>
      <c r="B1772" s="1">
        <v>1934847</v>
      </c>
      <c r="C1772" s="1">
        <v>1935059</v>
      </c>
      <c r="E1772" s="1" t="s">
        <v>178</v>
      </c>
      <c r="F1772" s="1" t="s">
        <v>849</v>
      </c>
      <c r="I1772" s="1" t="s">
        <v>19</v>
      </c>
      <c r="L1772" s="1" t="s">
        <v>5363</v>
      </c>
      <c r="M1772" s="1" t="s">
        <v>849</v>
      </c>
      <c r="N1772" s="1">
        <v>70</v>
      </c>
      <c r="O1772" s="1" t="s">
        <v>5364</v>
      </c>
    </row>
    <row r="1773" spans="1:17" x14ac:dyDescent="0.35">
      <c r="A1773" s="1" t="s">
        <v>15</v>
      </c>
      <c r="B1773" s="1">
        <v>1935069</v>
      </c>
      <c r="C1773" s="1">
        <v>1935677</v>
      </c>
      <c r="E1773" s="1" t="s">
        <v>178</v>
      </c>
      <c r="F1773" s="1" t="s">
        <v>231</v>
      </c>
      <c r="I1773" s="1" t="s">
        <v>19</v>
      </c>
      <c r="L1773" s="1" t="s">
        <v>5365</v>
      </c>
      <c r="M1773" s="1" t="s">
        <v>231</v>
      </c>
      <c r="N1773" s="1">
        <v>202</v>
      </c>
      <c r="O1773" s="1" t="s">
        <v>5366</v>
      </c>
    </row>
    <row r="1774" spans="1:17" x14ac:dyDescent="0.35">
      <c r="A1774" s="1" t="s">
        <v>15</v>
      </c>
      <c r="B1774" s="1">
        <v>1935869</v>
      </c>
      <c r="C1774" s="1">
        <v>1936306</v>
      </c>
      <c r="E1774" s="1" t="s">
        <v>178</v>
      </c>
      <c r="F1774" s="1" t="s">
        <v>54</v>
      </c>
      <c r="I1774" s="1" t="s">
        <v>19</v>
      </c>
      <c r="L1774" s="1" t="s">
        <v>5367</v>
      </c>
      <c r="M1774" s="1" t="s">
        <v>54</v>
      </c>
      <c r="N1774" s="1">
        <v>145</v>
      </c>
      <c r="O1774" s="1" t="s">
        <v>5368</v>
      </c>
    </row>
    <row r="1775" spans="1:17" x14ac:dyDescent="0.35">
      <c r="A1775" s="1" t="s">
        <v>15</v>
      </c>
      <c r="B1775" s="1">
        <v>1936925</v>
      </c>
      <c r="C1775" s="1">
        <v>1937431</v>
      </c>
      <c r="E1775" s="1" t="s">
        <v>178</v>
      </c>
      <c r="F1775" s="1" t="s">
        <v>54</v>
      </c>
      <c r="I1775" s="1" t="s">
        <v>19</v>
      </c>
      <c r="L1775" s="1" t="s">
        <v>5369</v>
      </c>
      <c r="M1775" s="1" t="s">
        <v>54</v>
      </c>
      <c r="N1775" s="1">
        <v>168</v>
      </c>
      <c r="O1775" s="1" t="s">
        <v>5370</v>
      </c>
    </row>
    <row r="1776" spans="1:17" x14ac:dyDescent="0.35">
      <c r="A1776" s="1" t="s">
        <v>15</v>
      </c>
      <c r="B1776" s="1">
        <v>1937443</v>
      </c>
      <c r="C1776" s="1">
        <v>1939461</v>
      </c>
      <c r="E1776" s="1" t="s">
        <v>178</v>
      </c>
      <c r="F1776" s="1" t="s">
        <v>5371</v>
      </c>
      <c r="G1776" s="1" t="s">
        <v>5372</v>
      </c>
      <c r="I1776" s="1" t="s">
        <v>19</v>
      </c>
      <c r="L1776" s="1" t="s">
        <v>5373</v>
      </c>
      <c r="M1776" s="1" t="s">
        <v>5371</v>
      </c>
      <c r="N1776" s="1">
        <v>672</v>
      </c>
      <c r="O1776" s="1" t="s">
        <v>5374</v>
      </c>
      <c r="Q1776" s="14"/>
    </row>
    <row r="1777" spans="1:17" x14ac:dyDescent="0.35">
      <c r="A1777" s="1" t="s">
        <v>15</v>
      </c>
      <c r="B1777" s="1">
        <v>1939587</v>
      </c>
      <c r="C1777" s="1">
        <v>1940690</v>
      </c>
      <c r="E1777" s="1" t="s">
        <v>178</v>
      </c>
      <c r="F1777" s="1" t="s">
        <v>5375</v>
      </c>
      <c r="G1777" s="1" t="s">
        <v>5376</v>
      </c>
      <c r="I1777" s="1" t="s">
        <v>19</v>
      </c>
      <c r="L1777" s="1" t="s">
        <v>5377</v>
      </c>
      <c r="M1777" s="1" t="s">
        <v>5375</v>
      </c>
      <c r="N1777" s="1">
        <v>367</v>
      </c>
      <c r="O1777" s="1" t="s">
        <v>5378</v>
      </c>
      <c r="Q1777" s="14"/>
    </row>
    <row r="1778" spans="1:17" x14ac:dyDescent="0.35">
      <c r="A1778" s="1" t="s">
        <v>15</v>
      </c>
      <c r="B1778" s="1">
        <v>1940718</v>
      </c>
      <c r="C1778" s="1">
        <v>1941071</v>
      </c>
      <c r="E1778" s="1" t="s">
        <v>178</v>
      </c>
      <c r="F1778" s="1" t="s">
        <v>5379</v>
      </c>
      <c r="G1778" s="1" t="s">
        <v>5380</v>
      </c>
      <c r="I1778" s="1" t="s">
        <v>19</v>
      </c>
      <c r="L1778" s="1" t="s">
        <v>5381</v>
      </c>
      <c r="M1778" s="1" t="s">
        <v>5379</v>
      </c>
      <c r="N1778" s="1">
        <v>117</v>
      </c>
      <c r="O1778" s="1" t="s">
        <v>5382</v>
      </c>
      <c r="Q1778" s="14"/>
    </row>
    <row r="1779" spans="1:17" x14ac:dyDescent="0.35">
      <c r="A1779" s="1" t="s">
        <v>15</v>
      </c>
      <c r="B1779" s="1">
        <v>1941077</v>
      </c>
      <c r="C1779" s="1">
        <v>1942105</v>
      </c>
      <c r="E1779" s="1" t="s">
        <v>178</v>
      </c>
      <c r="F1779" s="1" t="s">
        <v>5383</v>
      </c>
      <c r="G1779" s="1" t="s">
        <v>5384</v>
      </c>
      <c r="I1779" s="1" t="s">
        <v>19</v>
      </c>
      <c r="L1779" s="1" t="s">
        <v>5385</v>
      </c>
      <c r="M1779" s="1" t="s">
        <v>5383</v>
      </c>
      <c r="N1779" s="1">
        <v>342</v>
      </c>
      <c r="O1779" s="1" t="s">
        <v>5386</v>
      </c>
      <c r="Q1779" s="14"/>
    </row>
    <row r="1780" spans="1:17" x14ac:dyDescent="0.35">
      <c r="A1780" s="1" t="s">
        <v>15</v>
      </c>
      <c r="B1780" s="1">
        <v>1942190</v>
      </c>
      <c r="C1780" s="1">
        <v>1943221</v>
      </c>
      <c r="E1780" s="1" t="s">
        <v>178</v>
      </c>
      <c r="F1780" s="1" t="s">
        <v>5383</v>
      </c>
      <c r="I1780" s="1" t="s">
        <v>19</v>
      </c>
      <c r="L1780" s="1" t="s">
        <v>5387</v>
      </c>
      <c r="M1780" s="1" t="s">
        <v>5383</v>
      </c>
      <c r="N1780" s="1">
        <v>343</v>
      </c>
      <c r="O1780" s="1" t="s">
        <v>5388</v>
      </c>
      <c r="Q1780" s="14"/>
    </row>
    <row r="1781" spans="1:17" x14ac:dyDescent="0.35">
      <c r="A1781" s="1" t="s">
        <v>15</v>
      </c>
      <c r="B1781" s="1">
        <v>1943245</v>
      </c>
      <c r="C1781" s="1">
        <v>1945794</v>
      </c>
      <c r="E1781" s="1" t="s">
        <v>178</v>
      </c>
      <c r="F1781" s="1" t="s">
        <v>4381</v>
      </c>
      <c r="I1781" s="1" t="s">
        <v>19</v>
      </c>
      <c r="L1781" s="1" t="s">
        <v>5389</v>
      </c>
      <c r="M1781" s="1" t="s">
        <v>4381</v>
      </c>
      <c r="N1781" s="1">
        <v>849</v>
      </c>
      <c r="O1781" s="1" t="s">
        <v>5390</v>
      </c>
    </row>
    <row r="1782" spans="1:17" x14ac:dyDescent="0.35">
      <c r="A1782" s="1" t="s">
        <v>15</v>
      </c>
      <c r="B1782" s="1">
        <v>1945977</v>
      </c>
      <c r="C1782" s="1">
        <v>1946321</v>
      </c>
      <c r="E1782" s="1" t="s">
        <v>178</v>
      </c>
      <c r="F1782" s="1" t="s">
        <v>231</v>
      </c>
      <c r="I1782" s="1" t="s">
        <v>19</v>
      </c>
      <c r="L1782" s="1" t="s">
        <v>5391</v>
      </c>
      <c r="M1782" s="1" t="s">
        <v>231</v>
      </c>
      <c r="N1782" s="1">
        <v>114</v>
      </c>
      <c r="O1782" s="1" t="s">
        <v>5392</v>
      </c>
    </row>
    <row r="1783" spans="1:17" x14ac:dyDescent="0.35">
      <c r="A1783" s="1" t="s">
        <v>15</v>
      </c>
      <c r="B1783" s="1">
        <v>1946324</v>
      </c>
      <c r="C1783" s="1">
        <v>1947271</v>
      </c>
      <c r="E1783" s="1" t="s">
        <v>178</v>
      </c>
      <c r="F1783" s="1" t="s">
        <v>4109</v>
      </c>
      <c r="I1783" s="1" t="s">
        <v>19</v>
      </c>
      <c r="L1783" s="1" t="s">
        <v>5393</v>
      </c>
      <c r="M1783" s="1" t="s">
        <v>4109</v>
      </c>
      <c r="N1783" s="1">
        <v>315</v>
      </c>
      <c r="O1783" s="1" t="s">
        <v>5394</v>
      </c>
      <c r="Q1783" s="14"/>
    </row>
    <row r="1784" spans="1:17" x14ac:dyDescent="0.35">
      <c r="A1784" s="1" t="s">
        <v>15</v>
      </c>
      <c r="B1784" s="1">
        <v>1947337</v>
      </c>
      <c r="C1784" s="1">
        <v>1948230</v>
      </c>
      <c r="E1784" s="1" t="s">
        <v>178</v>
      </c>
      <c r="F1784" s="1" t="s">
        <v>5395</v>
      </c>
      <c r="G1784" s="1" t="s">
        <v>5396</v>
      </c>
      <c r="I1784" s="1" t="s">
        <v>19</v>
      </c>
      <c r="L1784" s="1" t="s">
        <v>5397</v>
      </c>
      <c r="M1784" s="1" t="s">
        <v>5395</v>
      </c>
      <c r="N1784" s="1">
        <v>297</v>
      </c>
      <c r="O1784" s="1" t="s">
        <v>5398</v>
      </c>
      <c r="Q1784" s="14"/>
    </row>
    <row r="1785" spans="1:17" x14ac:dyDescent="0.35">
      <c r="A1785" s="1" t="s">
        <v>15</v>
      </c>
      <c r="B1785" s="1">
        <v>1948411</v>
      </c>
      <c r="C1785" s="1">
        <v>1950312</v>
      </c>
      <c r="E1785" s="1" t="s">
        <v>178</v>
      </c>
      <c r="F1785" s="1" t="s">
        <v>5399</v>
      </c>
      <c r="G1785" s="1" t="s">
        <v>5400</v>
      </c>
      <c r="I1785" s="1" t="s">
        <v>19</v>
      </c>
      <c r="L1785" s="1" t="s">
        <v>5401</v>
      </c>
      <c r="M1785" s="1" t="s">
        <v>5399</v>
      </c>
      <c r="N1785" s="1">
        <v>633</v>
      </c>
      <c r="O1785" s="1" t="s">
        <v>5402</v>
      </c>
      <c r="Q1785" s="14"/>
    </row>
    <row r="1786" spans="1:17" x14ac:dyDescent="0.35">
      <c r="A1786" s="1" t="s">
        <v>15</v>
      </c>
      <c r="B1786" s="1">
        <v>1950501</v>
      </c>
      <c r="C1786" s="1">
        <v>1951943</v>
      </c>
      <c r="E1786" s="1" t="s">
        <v>16</v>
      </c>
      <c r="F1786" s="1" t="s">
        <v>5403</v>
      </c>
      <c r="G1786" s="1" t="s">
        <v>5404</v>
      </c>
      <c r="I1786" s="1" t="s">
        <v>19</v>
      </c>
      <c r="L1786" s="1" t="s">
        <v>5405</v>
      </c>
      <c r="M1786" s="1" t="s">
        <v>5403</v>
      </c>
      <c r="N1786" s="1">
        <v>480</v>
      </c>
      <c r="O1786" s="1" t="s">
        <v>5406</v>
      </c>
    </row>
    <row r="1787" spans="1:17" x14ac:dyDescent="0.35">
      <c r="A1787" s="1" t="s">
        <v>15</v>
      </c>
      <c r="B1787" s="1">
        <v>1951952</v>
      </c>
      <c r="C1787" s="1">
        <v>1952917</v>
      </c>
      <c r="E1787" s="1" t="s">
        <v>16</v>
      </c>
      <c r="F1787" s="1" t="s">
        <v>4223</v>
      </c>
      <c r="G1787" s="1" t="s">
        <v>5407</v>
      </c>
      <c r="I1787" s="1" t="s">
        <v>19</v>
      </c>
      <c r="L1787" s="1" t="s">
        <v>5408</v>
      </c>
      <c r="M1787" s="1" t="s">
        <v>4223</v>
      </c>
      <c r="N1787" s="1">
        <v>321</v>
      </c>
      <c r="O1787" s="1" t="s">
        <v>5409</v>
      </c>
    </row>
    <row r="1788" spans="1:17" x14ac:dyDescent="0.35">
      <c r="A1788" s="1" t="s">
        <v>15</v>
      </c>
      <c r="B1788" s="1">
        <v>1953008</v>
      </c>
      <c r="C1788" s="1">
        <v>1953442</v>
      </c>
      <c r="E1788" s="1" t="s">
        <v>178</v>
      </c>
      <c r="F1788" s="1" t="s">
        <v>5410</v>
      </c>
      <c r="G1788" s="1" t="s">
        <v>5411</v>
      </c>
      <c r="I1788" s="1" t="s">
        <v>19</v>
      </c>
      <c r="L1788" s="1" t="s">
        <v>5412</v>
      </c>
      <c r="M1788" s="1" t="s">
        <v>5410</v>
      </c>
      <c r="N1788" s="1">
        <v>144</v>
      </c>
      <c r="O1788" s="1" t="s">
        <v>5413</v>
      </c>
    </row>
    <row r="1789" spans="1:17" x14ac:dyDescent="0.35">
      <c r="A1789" s="1" t="s">
        <v>15</v>
      </c>
      <c r="B1789" s="1">
        <v>1953435</v>
      </c>
      <c r="C1789" s="1">
        <v>1953824</v>
      </c>
      <c r="E1789" s="1" t="s">
        <v>178</v>
      </c>
      <c r="F1789" s="1" t="s">
        <v>50</v>
      </c>
      <c r="I1789" s="1" t="s">
        <v>19</v>
      </c>
      <c r="L1789" s="1" t="s">
        <v>5414</v>
      </c>
      <c r="M1789" s="1" t="s">
        <v>50</v>
      </c>
      <c r="N1789" s="1">
        <v>129</v>
      </c>
      <c r="O1789" s="1" t="s">
        <v>5415</v>
      </c>
    </row>
    <row r="1790" spans="1:17" x14ac:dyDescent="0.35">
      <c r="A1790" s="1" t="s">
        <v>15</v>
      </c>
      <c r="B1790" s="1">
        <v>1953895</v>
      </c>
      <c r="C1790" s="1">
        <v>1954455</v>
      </c>
      <c r="E1790" s="1" t="s">
        <v>178</v>
      </c>
      <c r="F1790" s="1" t="s">
        <v>5416</v>
      </c>
      <c r="G1790" s="1" t="s">
        <v>5417</v>
      </c>
      <c r="I1790" s="1" t="s">
        <v>19</v>
      </c>
      <c r="L1790" s="1" t="s">
        <v>5418</v>
      </c>
      <c r="M1790" s="1" t="s">
        <v>5416</v>
      </c>
      <c r="N1790" s="1">
        <v>186</v>
      </c>
      <c r="O1790" s="1" t="s">
        <v>5419</v>
      </c>
    </row>
    <row r="1791" spans="1:17" x14ac:dyDescent="0.35">
      <c r="A1791" s="1" t="s">
        <v>15</v>
      </c>
      <c r="B1791" s="1">
        <v>1954571</v>
      </c>
      <c r="C1791" s="1">
        <v>1955026</v>
      </c>
      <c r="E1791" s="1" t="s">
        <v>178</v>
      </c>
      <c r="F1791" s="1" t="s">
        <v>4865</v>
      </c>
      <c r="G1791" s="1" t="s">
        <v>5420</v>
      </c>
      <c r="I1791" s="1" t="s">
        <v>19</v>
      </c>
      <c r="L1791" s="1" t="s">
        <v>5421</v>
      </c>
      <c r="M1791" s="1" t="s">
        <v>4865</v>
      </c>
      <c r="N1791" s="1">
        <v>151</v>
      </c>
      <c r="O1791" s="1" t="s">
        <v>5422</v>
      </c>
    </row>
    <row r="1792" spans="1:17" x14ac:dyDescent="0.35">
      <c r="A1792" s="1" t="s">
        <v>15</v>
      </c>
      <c r="B1792" s="1">
        <v>1955045</v>
      </c>
      <c r="C1792" s="1">
        <v>1956106</v>
      </c>
      <c r="E1792" s="1" t="s">
        <v>178</v>
      </c>
      <c r="F1792" s="1" t="s">
        <v>5423</v>
      </c>
      <c r="G1792" s="1" t="s">
        <v>5424</v>
      </c>
      <c r="I1792" s="1" t="s">
        <v>19</v>
      </c>
      <c r="L1792" s="1" t="s">
        <v>5425</v>
      </c>
      <c r="M1792" s="1" t="s">
        <v>5423</v>
      </c>
      <c r="N1792" s="1">
        <v>353</v>
      </c>
      <c r="O1792" s="1" t="s">
        <v>5426</v>
      </c>
      <c r="Q1792" s="14"/>
    </row>
    <row r="1793" spans="1:17" x14ac:dyDescent="0.35">
      <c r="A1793" s="1" t="s">
        <v>15</v>
      </c>
      <c r="B1793" s="1">
        <v>1956321</v>
      </c>
      <c r="C1793" s="1">
        <v>1957181</v>
      </c>
      <c r="E1793" s="1" t="s">
        <v>178</v>
      </c>
      <c r="F1793" s="1" t="s">
        <v>5427</v>
      </c>
      <c r="I1793" s="1" t="s">
        <v>19</v>
      </c>
      <c r="L1793" s="1" t="s">
        <v>5428</v>
      </c>
      <c r="M1793" s="1" t="s">
        <v>5427</v>
      </c>
      <c r="N1793" s="1">
        <v>286</v>
      </c>
      <c r="O1793" s="1" t="s">
        <v>5429</v>
      </c>
    </row>
    <row r="1794" spans="1:17" x14ac:dyDescent="0.35">
      <c r="A1794" s="1" t="s">
        <v>15</v>
      </c>
      <c r="B1794" s="1">
        <v>1957448</v>
      </c>
      <c r="C1794" s="1">
        <v>1957648</v>
      </c>
      <c r="E1794" s="1" t="s">
        <v>178</v>
      </c>
      <c r="F1794" s="1" t="s">
        <v>231</v>
      </c>
      <c r="I1794" s="1" t="s">
        <v>19</v>
      </c>
      <c r="L1794" s="1" t="s">
        <v>5430</v>
      </c>
      <c r="M1794" s="1" t="s">
        <v>231</v>
      </c>
      <c r="N1794" s="1">
        <v>66</v>
      </c>
      <c r="O1794" s="1" t="s">
        <v>5431</v>
      </c>
    </row>
    <row r="1795" spans="1:17" x14ac:dyDescent="0.35">
      <c r="A1795" s="1" t="s">
        <v>15</v>
      </c>
      <c r="B1795" s="1">
        <v>1957685</v>
      </c>
      <c r="C1795" s="1">
        <v>1957834</v>
      </c>
      <c r="E1795" s="1" t="s">
        <v>178</v>
      </c>
      <c r="F1795" s="1" t="s">
        <v>231</v>
      </c>
      <c r="I1795" s="1" t="s">
        <v>19</v>
      </c>
      <c r="L1795" s="1" t="s">
        <v>5432</v>
      </c>
      <c r="M1795" s="1" t="s">
        <v>231</v>
      </c>
      <c r="N1795" s="1">
        <v>49</v>
      </c>
      <c r="O1795" s="1" t="s">
        <v>5433</v>
      </c>
    </row>
    <row r="1796" spans="1:17" x14ac:dyDescent="0.35">
      <c r="A1796" s="1" t="s">
        <v>15</v>
      </c>
      <c r="B1796" s="1">
        <v>1958009</v>
      </c>
      <c r="C1796" s="1">
        <v>1958251</v>
      </c>
      <c r="E1796" s="1" t="s">
        <v>178</v>
      </c>
      <c r="F1796" s="1" t="s">
        <v>231</v>
      </c>
      <c r="I1796" s="1" t="s">
        <v>19</v>
      </c>
      <c r="L1796" s="1" t="s">
        <v>5434</v>
      </c>
      <c r="M1796" s="1" t="s">
        <v>231</v>
      </c>
      <c r="N1796" s="1">
        <v>80</v>
      </c>
      <c r="O1796" s="1" t="s">
        <v>5435</v>
      </c>
    </row>
    <row r="1797" spans="1:17" x14ac:dyDescent="0.35">
      <c r="A1797" s="1" t="s">
        <v>15</v>
      </c>
      <c r="B1797" s="1">
        <v>1958345</v>
      </c>
      <c r="C1797" s="1">
        <v>1961170</v>
      </c>
      <c r="E1797" s="1" t="s">
        <v>178</v>
      </c>
      <c r="F1797" s="1" t="s">
        <v>5436</v>
      </c>
      <c r="G1797" s="1" t="s">
        <v>5437</v>
      </c>
      <c r="I1797" s="1" t="s">
        <v>19</v>
      </c>
      <c r="L1797" s="1" t="s">
        <v>5438</v>
      </c>
      <c r="M1797" s="1" t="s">
        <v>5436</v>
      </c>
      <c r="N1797" s="1">
        <v>941</v>
      </c>
      <c r="O1797" s="1" t="s">
        <v>5439</v>
      </c>
    </row>
    <row r="1798" spans="1:17" x14ac:dyDescent="0.35">
      <c r="A1798" s="1" t="s">
        <v>15</v>
      </c>
      <c r="B1798" s="1">
        <v>1961467</v>
      </c>
      <c r="C1798" s="1">
        <v>1962411</v>
      </c>
      <c r="E1798" s="1" t="s">
        <v>16</v>
      </c>
      <c r="F1798" s="1" t="s">
        <v>5440</v>
      </c>
      <c r="G1798" s="1" t="s">
        <v>5441</v>
      </c>
      <c r="I1798" s="1" t="s">
        <v>19</v>
      </c>
      <c r="L1798" s="1" t="s">
        <v>5442</v>
      </c>
      <c r="M1798" s="1" t="s">
        <v>5440</v>
      </c>
      <c r="N1798" s="1">
        <v>314</v>
      </c>
      <c r="O1798" s="1" t="s">
        <v>5443</v>
      </c>
    </row>
    <row r="1799" spans="1:17" x14ac:dyDescent="0.35">
      <c r="A1799" s="1" t="s">
        <v>15</v>
      </c>
      <c r="B1799" s="1">
        <v>1962481</v>
      </c>
      <c r="C1799" s="1">
        <v>1963152</v>
      </c>
      <c r="E1799" s="1" t="s">
        <v>16</v>
      </c>
      <c r="F1799" s="1" t="s">
        <v>4718</v>
      </c>
      <c r="I1799" s="1" t="s">
        <v>19</v>
      </c>
      <c r="L1799" s="1" t="s">
        <v>5444</v>
      </c>
      <c r="M1799" s="1" t="s">
        <v>4718</v>
      </c>
      <c r="N1799" s="1">
        <v>223</v>
      </c>
      <c r="O1799" s="1" t="s">
        <v>5445</v>
      </c>
    </row>
    <row r="1800" spans="1:17" x14ac:dyDescent="0.35">
      <c r="A1800" s="1" t="s">
        <v>15</v>
      </c>
      <c r="B1800" s="1">
        <v>1963269</v>
      </c>
      <c r="C1800" s="1">
        <v>1964150</v>
      </c>
      <c r="E1800" s="1" t="s">
        <v>16</v>
      </c>
      <c r="F1800" s="1" t="s">
        <v>5198</v>
      </c>
      <c r="I1800" s="1" t="s">
        <v>19</v>
      </c>
      <c r="L1800" s="1" t="s">
        <v>5446</v>
      </c>
      <c r="M1800" s="1" t="s">
        <v>5198</v>
      </c>
      <c r="N1800" s="1">
        <v>293</v>
      </c>
      <c r="O1800" s="1" t="s">
        <v>5447</v>
      </c>
    </row>
    <row r="1801" spans="1:17" x14ac:dyDescent="0.35">
      <c r="A1801" s="1" t="s">
        <v>15</v>
      </c>
      <c r="B1801" s="1">
        <v>1964276</v>
      </c>
      <c r="C1801" s="1">
        <v>1964515</v>
      </c>
      <c r="E1801" s="1" t="s">
        <v>178</v>
      </c>
      <c r="F1801" s="1" t="s">
        <v>5448</v>
      </c>
      <c r="G1801" s="1" t="s">
        <v>5449</v>
      </c>
      <c r="I1801" s="1" t="s">
        <v>19</v>
      </c>
      <c r="L1801" s="1" t="s">
        <v>5450</v>
      </c>
      <c r="M1801" s="1" t="s">
        <v>5448</v>
      </c>
      <c r="N1801" s="1">
        <v>79</v>
      </c>
      <c r="O1801" s="1" t="s">
        <v>5451</v>
      </c>
    </row>
    <row r="1802" spans="1:17" x14ac:dyDescent="0.35">
      <c r="A1802" s="1" t="s">
        <v>15</v>
      </c>
      <c r="B1802" s="1">
        <v>1964557</v>
      </c>
      <c r="C1802" s="1">
        <v>1965075</v>
      </c>
      <c r="E1802" s="1" t="s">
        <v>178</v>
      </c>
      <c r="F1802" s="1" t="s">
        <v>2786</v>
      </c>
      <c r="I1802" s="1" t="s">
        <v>19</v>
      </c>
      <c r="L1802" s="1" t="s">
        <v>5452</v>
      </c>
      <c r="M1802" s="1" t="s">
        <v>2786</v>
      </c>
      <c r="N1802" s="1">
        <v>172</v>
      </c>
      <c r="O1802" s="1" t="s">
        <v>5453</v>
      </c>
    </row>
    <row r="1803" spans="1:17" x14ac:dyDescent="0.35">
      <c r="A1803" s="1" t="s">
        <v>15</v>
      </c>
      <c r="B1803" s="1">
        <v>1965087</v>
      </c>
      <c r="C1803" s="1">
        <v>1965377</v>
      </c>
      <c r="E1803" s="1" t="s">
        <v>178</v>
      </c>
      <c r="F1803" s="1" t="s">
        <v>5454</v>
      </c>
      <c r="G1803" s="1" t="s">
        <v>5455</v>
      </c>
      <c r="I1803" s="1" t="s">
        <v>19</v>
      </c>
      <c r="L1803" s="1" t="s">
        <v>5456</v>
      </c>
      <c r="M1803" s="1" t="s">
        <v>5454</v>
      </c>
      <c r="N1803" s="1">
        <v>96</v>
      </c>
      <c r="O1803" s="1" t="s">
        <v>5457</v>
      </c>
    </row>
    <row r="1804" spans="1:17" x14ac:dyDescent="0.35">
      <c r="A1804" s="1" t="s">
        <v>15</v>
      </c>
      <c r="B1804" s="1">
        <v>1965598</v>
      </c>
      <c r="C1804" s="1">
        <v>1966551</v>
      </c>
      <c r="E1804" s="1" t="s">
        <v>16</v>
      </c>
      <c r="F1804" s="1" t="s">
        <v>50</v>
      </c>
      <c r="I1804" s="1" t="s">
        <v>19</v>
      </c>
      <c r="L1804" s="1" t="s">
        <v>5458</v>
      </c>
      <c r="M1804" s="1" t="s">
        <v>50</v>
      </c>
      <c r="N1804" s="1">
        <v>317</v>
      </c>
      <c r="O1804" s="1" t="s">
        <v>5459</v>
      </c>
    </row>
    <row r="1805" spans="1:17" x14ac:dyDescent="0.35">
      <c r="A1805" s="1" t="s">
        <v>15</v>
      </c>
      <c r="B1805" s="1">
        <v>1967719</v>
      </c>
      <c r="C1805" s="1">
        <v>1968870</v>
      </c>
      <c r="E1805" s="1" t="s">
        <v>16</v>
      </c>
      <c r="F1805" s="1" t="s">
        <v>5460</v>
      </c>
      <c r="G1805" s="1" t="s">
        <v>5461</v>
      </c>
      <c r="I1805" s="1" t="s">
        <v>19</v>
      </c>
      <c r="L1805" s="1" t="s">
        <v>5462</v>
      </c>
      <c r="M1805" s="1" t="s">
        <v>5460</v>
      </c>
      <c r="N1805" s="1">
        <v>383</v>
      </c>
      <c r="O1805" s="1" t="s">
        <v>5463</v>
      </c>
      <c r="Q1805" s="14"/>
    </row>
    <row r="1806" spans="1:17" x14ac:dyDescent="0.35">
      <c r="A1806" s="1" t="s">
        <v>15</v>
      </c>
      <c r="B1806" s="1">
        <v>1968892</v>
      </c>
      <c r="C1806" s="1">
        <v>1969017</v>
      </c>
      <c r="E1806" s="1" t="s">
        <v>178</v>
      </c>
      <c r="F1806" s="1" t="s">
        <v>54</v>
      </c>
      <c r="I1806" s="1" t="s">
        <v>19</v>
      </c>
      <c r="L1806" s="1" t="s">
        <v>5464</v>
      </c>
      <c r="M1806" s="1" t="s">
        <v>54</v>
      </c>
      <c r="N1806" s="1">
        <v>41</v>
      </c>
      <c r="O1806" s="1" t="s">
        <v>5465</v>
      </c>
    </row>
    <row r="1807" spans="1:17" x14ac:dyDescent="0.35">
      <c r="A1807" s="1" t="s">
        <v>15</v>
      </c>
      <c r="B1807" s="1">
        <v>1969168</v>
      </c>
      <c r="C1807" s="1">
        <v>1970265</v>
      </c>
      <c r="E1807" s="1" t="s">
        <v>178</v>
      </c>
      <c r="F1807" s="1" t="s">
        <v>1834</v>
      </c>
      <c r="I1807" s="1" t="s">
        <v>19</v>
      </c>
      <c r="L1807" s="1" t="s">
        <v>5466</v>
      </c>
      <c r="M1807" s="1" t="s">
        <v>1834</v>
      </c>
      <c r="N1807" s="1">
        <v>365</v>
      </c>
      <c r="O1807" s="1" t="s">
        <v>5467</v>
      </c>
    </row>
    <row r="1808" spans="1:17" x14ac:dyDescent="0.35">
      <c r="A1808" s="1" t="s">
        <v>15</v>
      </c>
      <c r="B1808" s="1">
        <v>1970562</v>
      </c>
      <c r="C1808" s="1">
        <v>1970678</v>
      </c>
      <c r="E1808" s="1" t="s">
        <v>178</v>
      </c>
      <c r="F1808" s="1" t="s">
        <v>231</v>
      </c>
      <c r="I1808" s="1" t="s">
        <v>19</v>
      </c>
      <c r="L1808" s="1" t="s">
        <v>5468</v>
      </c>
      <c r="M1808" s="1" t="s">
        <v>231</v>
      </c>
      <c r="N1808" s="1">
        <v>38</v>
      </c>
      <c r="O1808" s="1" t="s">
        <v>5469</v>
      </c>
    </row>
    <row r="1809" spans="1:17" x14ac:dyDescent="0.35">
      <c r="A1809" s="1" t="s">
        <v>15</v>
      </c>
      <c r="B1809" s="1">
        <v>1970682</v>
      </c>
      <c r="C1809" s="1">
        <v>1973321</v>
      </c>
      <c r="E1809" s="1" t="s">
        <v>178</v>
      </c>
      <c r="F1809" s="1" t="s">
        <v>5470</v>
      </c>
      <c r="G1809" s="1" t="s">
        <v>5471</v>
      </c>
      <c r="I1809" s="1" t="s">
        <v>19</v>
      </c>
      <c r="L1809" s="1" t="s">
        <v>5472</v>
      </c>
      <c r="M1809" s="1" t="s">
        <v>5470</v>
      </c>
      <c r="N1809" s="1">
        <v>879</v>
      </c>
      <c r="O1809" s="1" t="s">
        <v>5473</v>
      </c>
      <c r="Q1809" s="14"/>
    </row>
    <row r="1810" spans="1:17" x14ac:dyDescent="0.35">
      <c r="A1810" s="1" t="s">
        <v>15</v>
      </c>
      <c r="B1810" s="1">
        <v>1973496</v>
      </c>
      <c r="C1810" s="1">
        <v>1975844</v>
      </c>
      <c r="E1810" s="1" t="s">
        <v>16</v>
      </c>
      <c r="F1810" s="1" t="s">
        <v>5474</v>
      </c>
      <c r="G1810" s="1" t="s">
        <v>5475</v>
      </c>
      <c r="I1810" s="1" t="s">
        <v>19</v>
      </c>
      <c r="L1810" s="1" t="s">
        <v>5476</v>
      </c>
      <c r="M1810" s="1" t="s">
        <v>5474</v>
      </c>
      <c r="N1810" s="1">
        <v>782</v>
      </c>
      <c r="O1810" s="1" t="s">
        <v>5477</v>
      </c>
    </row>
    <row r="1811" spans="1:17" x14ac:dyDescent="0.35">
      <c r="A1811" s="1" t="s">
        <v>15</v>
      </c>
      <c r="B1811" s="1">
        <v>1975947</v>
      </c>
      <c r="C1811" s="1">
        <v>1976489</v>
      </c>
      <c r="E1811" s="1" t="s">
        <v>178</v>
      </c>
      <c r="F1811" s="1" t="s">
        <v>5478</v>
      </c>
      <c r="I1811" s="1" t="s">
        <v>19</v>
      </c>
      <c r="L1811" s="1" t="s">
        <v>5479</v>
      </c>
      <c r="M1811" s="1" t="s">
        <v>5478</v>
      </c>
      <c r="N1811" s="1">
        <v>180</v>
      </c>
      <c r="O1811" s="1" t="s">
        <v>5480</v>
      </c>
    </row>
    <row r="1812" spans="1:17" x14ac:dyDescent="0.35">
      <c r="A1812" s="1" t="s">
        <v>15</v>
      </c>
      <c r="B1812" s="1">
        <v>1976486</v>
      </c>
      <c r="C1812" s="1">
        <v>1976800</v>
      </c>
      <c r="E1812" s="1" t="s">
        <v>178</v>
      </c>
      <c r="F1812" s="1" t="s">
        <v>50</v>
      </c>
      <c r="I1812" s="1" t="s">
        <v>19</v>
      </c>
      <c r="L1812" s="1" t="s">
        <v>5481</v>
      </c>
      <c r="M1812" s="1" t="s">
        <v>50</v>
      </c>
      <c r="N1812" s="1">
        <v>104</v>
      </c>
      <c r="O1812" s="1" t="s">
        <v>5482</v>
      </c>
    </row>
    <row r="1813" spans="1:17" x14ac:dyDescent="0.35">
      <c r="A1813" s="1" t="s">
        <v>15</v>
      </c>
      <c r="B1813" s="1">
        <v>1977117</v>
      </c>
      <c r="C1813" s="1">
        <v>1978007</v>
      </c>
      <c r="E1813" s="1" t="s">
        <v>16</v>
      </c>
      <c r="F1813" s="1" t="s">
        <v>5483</v>
      </c>
      <c r="G1813" s="1" t="s">
        <v>5484</v>
      </c>
      <c r="I1813" s="1" t="s">
        <v>19</v>
      </c>
      <c r="L1813" s="1" t="s">
        <v>5485</v>
      </c>
      <c r="M1813" s="1" t="s">
        <v>5483</v>
      </c>
      <c r="N1813" s="1">
        <v>296</v>
      </c>
      <c r="O1813" s="1" t="s">
        <v>5486</v>
      </c>
      <c r="Q1813" s="14"/>
    </row>
    <row r="1814" spans="1:17" x14ac:dyDescent="0.35">
      <c r="A1814" s="1" t="s">
        <v>15</v>
      </c>
      <c r="B1814" s="1">
        <v>1978026</v>
      </c>
      <c r="C1814" s="1">
        <v>1978667</v>
      </c>
      <c r="E1814" s="1" t="s">
        <v>16</v>
      </c>
      <c r="F1814" s="1" t="s">
        <v>3017</v>
      </c>
      <c r="G1814" s="1" t="s">
        <v>5487</v>
      </c>
      <c r="I1814" s="1" t="s">
        <v>19</v>
      </c>
      <c r="L1814" s="1" t="s">
        <v>5488</v>
      </c>
      <c r="M1814" s="1" t="s">
        <v>3017</v>
      </c>
      <c r="N1814" s="1">
        <v>213</v>
      </c>
      <c r="O1814" s="1" t="s">
        <v>5489</v>
      </c>
      <c r="Q1814" s="14"/>
    </row>
    <row r="1815" spans="1:17" x14ac:dyDescent="0.35">
      <c r="A1815" s="1" t="s">
        <v>15</v>
      </c>
      <c r="B1815" s="1">
        <v>1978728</v>
      </c>
      <c r="C1815" s="1">
        <v>1981232</v>
      </c>
      <c r="E1815" s="1" t="s">
        <v>16</v>
      </c>
      <c r="F1815" s="1" t="s">
        <v>5490</v>
      </c>
      <c r="G1815" s="1" t="s">
        <v>5491</v>
      </c>
      <c r="I1815" s="1" t="s">
        <v>19</v>
      </c>
      <c r="L1815" s="1" t="s">
        <v>5492</v>
      </c>
      <c r="M1815" s="1" t="s">
        <v>5490</v>
      </c>
      <c r="N1815" s="1">
        <v>834</v>
      </c>
      <c r="O1815" s="1" t="s">
        <v>5493</v>
      </c>
      <c r="Q1815" s="14"/>
    </row>
    <row r="1816" spans="1:17" x14ac:dyDescent="0.35">
      <c r="A1816" s="1" t="s">
        <v>15</v>
      </c>
      <c r="B1816" s="1">
        <v>1981284</v>
      </c>
      <c r="C1816" s="1">
        <v>1981610</v>
      </c>
      <c r="E1816" s="1" t="s">
        <v>178</v>
      </c>
      <c r="F1816" s="1" t="s">
        <v>54</v>
      </c>
      <c r="I1816" s="1" t="s">
        <v>19</v>
      </c>
      <c r="L1816" s="1" t="s">
        <v>5494</v>
      </c>
      <c r="M1816" s="1" t="s">
        <v>54</v>
      </c>
      <c r="N1816" s="1">
        <v>108</v>
      </c>
      <c r="O1816" s="1" t="s">
        <v>5495</v>
      </c>
    </row>
    <row r="1817" spans="1:17" x14ac:dyDescent="0.35">
      <c r="A1817" s="1" t="s">
        <v>15</v>
      </c>
      <c r="B1817" s="1">
        <v>1981597</v>
      </c>
      <c r="C1817" s="1">
        <v>1982289</v>
      </c>
      <c r="E1817" s="1" t="s">
        <v>178</v>
      </c>
      <c r="F1817" s="1" t="s">
        <v>5496</v>
      </c>
      <c r="G1817" s="1" t="s">
        <v>5497</v>
      </c>
      <c r="I1817" s="1" t="s">
        <v>19</v>
      </c>
      <c r="L1817" s="1" t="s">
        <v>5498</v>
      </c>
      <c r="M1817" s="1" t="s">
        <v>5496</v>
      </c>
      <c r="N1817" s="1">
        <v>230</v>
      </c>
      <c r="O1817" s="1" t="s">
        <v>5499</v>
      </c>
    </row>
    <row r="1818" spans="1:17" x14ac:dyDescent="0.35">
      <c r="A1818" s="1" t="s">
        <v>15</v>
      </c>
      <c r="B1818" s="1">
        <v>1982341</v>
      </c>
      <c r="C1818" s="1">
        <v>1983354</v>
      </c>
      <c r="E1818" s="1" t="s">
        <v>178</v>
      </c>
      <c r="F1818" s="1" t="s">
        <v>5500</v>
      </c>
      <c r="G1818" s="1" t="s">
        <v>5501</v>
      </c>
      <c r="I1818" s="1" t="s">
        <v>19</v>
      </c>
      <c r="L1818" s="1" t="s">
        <v>5502</v>
      </c>
      <c r="M1818" s="1" t="s">
        <v>5500</v>
      </c>
      <c r="N1818" s="1">
        <v>337</v>
      </c>
      <c r="O1818" s="1" t="s">
        <v>5503</v>
      </c>
      <c r="Q1818" s="14"/>
    </row>
    <row r="1819" spans="1:17" x14ac:dyDescent="0.35">
      <c r="A1819" s="1" t="s">
        <v>15</v>
      </c>
      <c r="B1819" s="1">
        <v>1983354</v>
      </c>
      <c r="C1819" s="1">
        <v>1983767</v>
      </c>
      <c r="E1819" s="1" t="s">
        <v>178</v>
      </c>
      <c r="F1819" s="1" t="s">
        <v>5504</v>
      </c>
      <c r="G1819" s="1" t="s">
        <v>5505</v>
      </c>
      <c r="I1819" s="1" t="s">
        <v>19</v>
      </c>
      <c r="L1819" s="1" t="s">
        <v>5506</v>
      </c>
      <c r="M1819" s="1" t="s">
        <v>5504</v>
      </c>
      <c r="N1819" s="1">
        <v>137</v>
      </c>
      <c r="O1819" s="1" t="s">
        <v>5507</v>
      </c>
      <c r="Q1819" s="14"/>
    </row>
    <row r="1820" spans="1:17" x14ac:dyDescent="0.35">
      <c r="A1820" s="1" t="s">
        <v>15</v>
      </c>
      <c r="B1820" s="1">
        <v>1983769</v>
      </c>
      <c r="C1820" s="1">
        <v>1984455</v>
      </c>
      <c r="E1820" s="1" t="s">
        <v>178</v>
      </c>
      <c r="F1820" s="1" t="s">
        <v>5508</v>
      </c>
      <c r="I1820" s="1" t="s">
        <v>19</v>
      </c>
      <c r="L1820" s="1" t="s">
        <v>5509</v>
      </c>
      <c r="M1820" s="1" t="s">
        <v>5508</v>
      </c>
      <c r="N1820" s="1">
        <v>228</v>
      </c>
      <c r="O1820" s="1" t="s">
        <v>5510</v>
      </c>
      <c r="Q1820" s="14"/>
    </row>
    <row r="1821" spans="1:17" x14ac:dyDescent="0.35">
      <c r="A1821" s="1" t="s">
        <v>15</v>
      </c>
      <c r="B1821" s="1">
        <v>1984716</v>
      </c>
      <c r="C1821" s="1">
        <v>1984946</v>
      </c>
      <c r="E1821" s="1" t="s">
        <v>16</v>
      </c>
      <c r="F1821" s="1" t="s">
        <v>50</v>
      </c>
      <c r="I1821" s="1" t="s">
        <v>19</v>
      </c>
      <c r="L1821" s="1" t="s">
        <v>5511</v>
      </c>
      <c r="M1821" s="1" t="s">
        <v>50</v>
      </c>
      <c r="N1821" s="1">
        <v>76</v>
      </c>
      <c r="O1821" s="1" t="s">
        <v>5512</v>
      </c>
    </row>
    <row r="1822" spans="1:17" x14ac:dyDescent="0.35">
      <c r="A1822" s="1" t="s">
        <v>15</v>
      </c>
      <c r="B1822" s="1">
        <v>1984951</v>
      </c>
      <c r="C1822" s="1">
        <v>1986636</v>
      </c>
      <c r="E1822" s="1" t="s">
        <v>16</v>
      </c>
      <c r="F1822" s="1" t="s">
        <v>5513</v>
      </c>
      <c r="G1822" s="1" t="s">
        <v>5514</v>
      </c>
      <c r="I1822" s="1" t="s">
        <v>19</v>
      </c>
      <c r="L1822" s="1" t="s">
        <v>5515</v>
      </c>
      <c r="M1822" s="1" t="s">
        <v>5513</v>
      </c>
      <c r="N1822" s="1">
        <v>561</v>
      </c>
      <c r="O1822" s="1" t="s">
        <v>5516</v>
      </c>
    </row>
    <row r="1823" spans="1:17" x14ac:dyDescent="0.35">
      <c r="A1823" s="1" t="s">
        <v>15</v>
      </c>
      <c r="B1823" s="1">
        <v>1986772</v>
      </c>
      <c r="C1823" s="1">
        <v>1987062</v>
      </c>
      <c r="E1823" s="1" t="s">
        <v>178</v>
      </c>
      <c r="F1823" s="1" t="s">
        <v>3499</v>
      </c>
      <c r="I1823" s="1" t="s">
        <v>19</v>
      </c>
      <c r="L1823" s="1" t="s">
        <v>5517</v>
      </c>
      <c r="M1823" s="1" t="s">
        <v>3499</v>
      </c>
      <c r="N1823" s="1">
        <v>96</v>
      </c>
      <c r="O1823" s="1" t="s">
        <v>5518</v>
      </c>
    </row>
    <row r="1824" spans="1:17" x14ac:dyDescent="0.35">
      <c r="A1824" s="1" t="s">
        <v>15</v>
      </c>
      <c r="B1824" s="1">
        <v>1987499</v>
      </c>
      <c r="C1824" s="1">
        <v>1988131</v>
      </c>
      <c r="E1824" s="1" t="s">
        <v>178</v>
      </c>
      <c r="F1824" s="1" t="s">
        <v>54</v>
      </c>
      <c r="I1824" s="1" t="s">
        <v>19</v>
      </c>
      <c r="L1824" s="1" t="s">
        <v>5519</v>
      </c>
      <c r="M1824" s="1" t="s">
        <v>54</v>
      </c>
      <c r="N1824" s="1">
        <v>210</v>
      </c>
      <c r="O1824" s="1" t="s">
        <v>5520</v>
      </c>
    </row>
    <row r="1825" spans="1:17" x14ac:dyDescent="0.35">
      <c r="A1825" s="1" t="s">
        <v>15</v>
      </c>
      <c r="B1825" s="1">
        <v>1988318</v>
      </c>
      <c r="C1825" s="1">
        <v>1989661</v>
      </c>
      <c r="E1825" s="1" t="s">
        <v>178</v>
      </c>
      <c r="F1825" s="1" t="s">
        <v>5521</v>
      </c>
      <c r="G1825" s="1" t="s">
        <v>5522</v>
      </c>
      <c r="I1825" s="1" t="s">
        <v>19</v>
      </c>
      <c r="L1825" s="1" t="s">
        <v>5523</v>
      </c>
      <c r="M1825" s="1" t="s">
        <v>5521</v>
      </c>
      <c r="N1825" s="1">
        <v>447</v>
      </c>
      <c r="O1825" s="1" t="s">
        <v>5524</v>
      </c>
      <c r="Q1825" s="14"/>
    </row>
    <row r="1826" spans="1:17" x14ac:dyDescent="0.35">
      <c r="A1826" s="1" t="s">
        <v>15</v>
      </c>
      <c r="B1826" s="1">
        <v>1989710</v>
      </c>
      <c r="C1826" s="1">
        <v>1990084</v>
      </c>
      <c r="E1826" s="1" t="s">
        <v>178</v>
      </c>
      <c r="F1826" s="1" t="s">
        <v>4987</v>
      </c>
      <c r="G1826" s="1" t="s">
        <v>5525</v>
      </c>
      <c r="I1826" s="1" t="s">
        <v>19</v>
      </c>
      <c r="L1826" s="1" t="s">
        <v>5526</v>
      </c>
      <c r="M1826" s="1" t="s">
        <v>4987</v>
      </c>
      <c r="N1826" s="1">
        <v>124</v>
      </c>
      <c r="O1826" s="1" t="s">
        <v>5527</v>
      </c>
    </row>
    <row r="1827" spans="1:17" x14ac:dyDescent="0.35">
      <c r="A1827" s="1" t="s">
        <v>15</v>
      </c>
      <c r="B1827" s="1">
        <v>1990258</v>
      </c>
      <c r="C1827" s="1">
        <v>1990722</v>
      </c>
      <c r="E1827" s="1" t="s">
        <v>178</v>
      </c>
      <c r="F1827" s="1" t="s">
        <v>530</v>
      </c>
      <c r="I1827" s="1" t="s">
        <v>19</v>
      </c>
      <c r="L1827" s="1" t="s">
        <v>5528</v>
      </c>
      <c r="M1827" s="1" t="s">
        <v>530</v>
      </c>
      <c r="N1827" s="1">
        <v>154</v>
      </c>
      <c r="O1827" s="1" t="s">
        <v>5529</v>
      </c>
    </row>
    <row r="1828" spans="1:17" x14ac:dyDescent="0.35">
      <c r="A1828" s="1" t="s">
        <v>15</v>
      </c>
      <c r="B1828" s="1">
        <v>1990949</v>
      </c>
      <c r="C1828" s="1">
        <v>1992148</v>
      </c>
      <c r="E1828" s="1" t="s">
        <v>178</v>
      </c>
      <c r="F1828" s="1" t="s">
        <v>1474</v>
      </c>
      <c r="I1828" s="1" t="s">
        <v>19</v>
      </c>
      <c r="L1828" s="1" t="s">
        <v>5530</v>
      </c>
      <c r="M1828" s="1" t="s">
        <v>1474</v>
      </c>
      <c r="N1828" s="1">
        <v>399</v>
      </c>
      <c r="O1828" s="1" t="s">
        <v>5531</v>
      </c>
    </row>
    <row r="1829" spans="1:17" x14ac:dyDescent="0.35">
      <c r="A1829" s="1" t="s">
        <v>15</v>
      </c>
      <c r="B1829" s="1">
        <v>1992290</v>
      </c>
      <c r="C1829" s="1">
        <v>1992994</v>
      </c>
      <c r="E1829" s="1" t="s">
        <v>16</v>
      </c>
      <c r="F1829" s="1" t="s">
        <v>5532</v>
      </c>
      <c r="I1829" s="1" t="s">
        <v>19</v>
      </c>
      <c r="L1829" s="1" t="s">
        <v>5533</v>
      </c>
      <c r="M1829" s="1" t="s">
        <v>5532</v>
      </c>
      <c r="N1829" s="1">
        <v>234</v>
      </c>
      <c r="O1829" s="1" t="s">
        <v>5534</v>
      </c>
    </row>
    <row r="1830" spans="1:17" x14ac:dyDescent="0.35">
      <c r="A1830" s="1" t="s">
        <v>15</v>
      </c>
      <c r="B1830" s="1">
        <v>1993105</v>
      </c>
      <c r="C1830" s="1">
        <v>1994115</v>
      </c>
      <c r="E1830" s="1" t="s">
        <v>178</v>
      </c>
      <c r="F1830" s="1" t="s">
        <v>5535</v>
      </c>
      <c r="G1830" s="1" t="s">
        <v>5536</v>
      </c>
      <c r="I1830" s="1" t="s">
        <v>19</v>
      </c>
      <c r="L1830" s="1" t="s">
        <v>5537</v>
      </c>
      <c r="M1830" s="1" t="s">
        <v>5535</v>
      </c>
      <c r="N1830" s="1">
        <v>336</v>
      </c>
      <c r="O1830" s="1" t="s">
        <v>5538</v>
      </c>
      <c r="Q1830" s="14"/>
    </row>
    <row r="1831" spans="1:17" x14ac:dyDescent="0.35">
      <c r="A1831" s="1" t="s">
        <v>15</v>
      </c>
      <c r="B1831" s="1">
        <v>1994303</v>
      </c>
      <c r="C1831" s="1">
        <v>1996384</v>
      </c>
      <c r="E1831" s="1" t="s">
        <v>178</v>
      </c>
      <c r="F1831" s="1" t="s">
        <v>5539</v>
      </c>
      <c r="G1831" s="1" t="s">
        <v>5540</v>
      </c>
      <c r="I1831" s="1" t="s">
        <v>19</v>
      </c>
      <c r="L1831" s="1" t="s">
        <v>5541</v>
      </c>
      <c r="M1831" s="1" t="s">
        <v>5539</v>
      </c>
      <c r="N1831" s="1">
        <v>693</v>
      </c>
      <c r="O1831" s="1" t="s">
        <v>5542</v>
      </c>
    </row>
    <row r="1832" spans="1:17" x14ac:dyDescent="0.35">
      <c r="A1832" s="1" t="s">
        <v>15</v>
      </c>
      <c r="B1832" s="1">
        <v>1996596</v>
      </c>
      <c r="C1832" s="1">
        <v>1997066</v>
      </c>
      <c r="E1832" s="1" t="s">
        <v>178</v>
      </c>
      <c r="F1832" s="1" t="s">
        <v>5543</v>
      </c>
      <c r="G1832" s="1" t="s">
        <v>5544</v>
      </c>
      <c r="I1832" s="1" t="s">
        <v>19</v>
      </c>
      <c r="L1832" s="1" t="s">
        <v>5545</v>
      </c>
      <c r="M1832" s="1" t="s">
        <v>5543</v>
      </c>
      <c r="N1832" s="1">
        <v>156</v>
      </c>
      <c r="O1832" s="1" t="s">
        <v>5546</v>
      </c>
    </row>
    <row r="1833" spans="1:17" x14ac:dyDescent="0.35">
      <c r="A1833" s="1" t="s">
        <v>15</v>
      </c>
      <c r="B1833" s="1">
        <v>1997085</v>
      </c>
      <c r="C1833" s="1">
        <v>1997498</v>
      </c>
      <c r="E1833" s="1" t="s">
        <v>178</v>
      </c>
      <c r="F1833" s="1" t="s">
        <v>5547</v>
      </c>
      <c r="G1833" s="1" t="s">
        <v>5548</v>
      </c>
      <c r="I1833" s="1" t="s">
        <v>19</v>
      </c>
      <c r="L1833" s="1" t="s">
        <v>5549</v>
      </c>
      <c r="M1833" s="1" t="s">
        <v>5547</v>
      </c>
      <c r="N1833" s="1">
        <v>137</v>
      </c>
      <c r="O1833" s="1" t="s">
        <v>5550</v>
      </c>
    </row>
    <row r="1834" spans="1:17" x14ac:dyDescent="0.35">
      <c r="A1834" s="1" t="s">
        <v>15</v>
      </c>
      <c r="B1834" s="1">
        <v>1997727</v>
      </c>
      <c r="C1834" s="1">
        <v>1998518</v>
      </c>
      <c r="E1834" s="1" t="s">
        <v>178</v>
      </c>
      <c r="F1834" s="1" t="s">
        <v>5551</v>
      </c>
      <c r="G1834" s="1" t="s">
        <v>5552</v>
      </c>
      <c r="I1834" s="1" t="s">
        <v>19</v>
      </c>
      <c r="L1834" s="1" t="s">
        <v>5553</v>
      </c>
      <c r="M1834" s="1" t="s">
        <v>5551</v>
      </c>
      <c r="N1834" s="1">
        <v>263</v>
      </c>
      <c r="O1834" s="1" t="s">
        <v>5554</v>
      </c>
    </row>
    <row r="1835" spans="1:17" x14ac:dyDescent="0.35">
      <c r="A1835" s="1" t="s">
        <v>15</v>
      </c>
      <c r="B1835" s="1">
        <v>1998636</v>
      </c>
      <c r="C1835" s="1">
        <v>1999577</v>
      </c>
      <c r="E1835" s="1" t="s">
        <v>178</v>
      </c>
      <c r="F1835" s="1" t="s">
        <v>5555</v>
      </c>
      <c r="G1835" s="1" t="s">
        <v>5556</v>
      </c>
      <c r="I1835" s="1" t="s">
        <v>19</v>
      </c>
      <c r="L1835" s="1" t="s">
        <v>5557</v>
      </c>
      <c r="M1835" s="1" t="s">
        <v>5555</v>
      </c>
      <c r="N1835" s="1">
        <v>313</v>
      </c>
      <c r="O1835" s="1" t="s">
        <v>5558</v>
      </c>
      <c r="Q1835" s="14"/>
    </row>
    <row r="1836" spans="1:17" x14ac:dyDescent="0.35">
      <c r="A1836" s="1" t="s">
        <v>15</v>
      </c>
      <c r="B1836" s="1">
        <v>1999567</v>
      </c>
      <c r="C1836" s="1">
        <v>2000841</v>
      </c>
      <c r="E1836" s="1" t="s">
        <v>178</v>
      </c>
      <c r="F1836" s="1" t="s">
        <v>5559</v>
      </c>
      <c r="I1836" s="1" t="s">
        <v>19</v>
      </c>
      <c r="L1836" s="1" t="s">
        <v>5560</v>
      </c>
      <c r="M1836" s="1" t="s">
        <v>5559</v>
      </c>
      <c r="N1836" s="1">
        <v>424</v>
      </c>
      <c r="O1836" s="1" t="s">
        <v>5561</v>
      </c>
    </row>
    <row r="1837" spans="1:17" x14ac:dyDescent="0.35">
      <c r="A1837" s="1" t="s">
        <v>15</v>
      </c>
      <c r="B1837" s="1">
        <v>2000843</v>
      </c>
      <c r="C1837" s="1">
        <v>2001475</v>
      </c>
      <c r="E1837" s="1" t="s">
        <v>178</v>
      </c>
      <c r="F1837" s="1" t="s">
        <v>5562</v>
      </c>
      <c r="G1837" s="1" t="s">
        <v>5563</v>
      </c>
      <c r="I1837" s="1" t="s">
        <v>19</v>
      </c>
      <c r="L1837" s="1" t="s">
        <v>5564</v>
      </c>
      <c r="M1837" s="1" t="s">
        <v>5562</v>
      </c>
      <c r="N1837" s="1">
        <v>210</v>
      </c>
      <c r="O1837" s="1" t="s">
        <v>5565</v>
      </c>
      <c r="Q1837" s="14"/>
    </row>
    <row r="1838" spans="1:17" x14ac:dyDescent="0.35">
      <c r="A1838" s="1" t="s">
        <v>15</v>
      </c>
      <c r="B1838" s="1">
        <v>2001468</v>
      </c>
      <c r="C1838" s="1">
        <v>2002127</v>
      </c>
      <c r="E1838" s="1" t="s">
        <v>178</v>
      </c>
      <c r="F1838" s="1" t="s">
        <v>5566</v>
      </c>
      <c r="G1838" s="1" t="s">
        <v>5567</v>
      </c>
      <c r="I1838" s="1" t="s">
        <v>19</v>
      </c>
      <c r="L1838" s="1" t="s">
        <v>5568</v>
      </c>
      <c r="M1838" s="1" t="s">
        <v>5566</v>
      </c>
      <c r="N1838" s="1">
        <v>219</v>
      </c>
      <c r="O1838" s="1" t="s">
        <v>5569</v>
      </c>
      <c r="Q1838" s="14"/>
    </row>
    <row r="1839" spans="1:17" x14ac:dyDescent="0.35">
      <c r="A1839" s="1" t="s">
        <v>15</v>
      </c>
      <c r="B1839" s="1">
        <v>2002135</v>
      </c>
      <c r="C1839" s="1">
        <v>2003007</v>
      </c>
      <c r="E1839" s="1" t="s">
        <v>178</v>
      </c>
      <c r="F1839" s="1" t="s">
        <v>5570</v>
      </c>
      <c r="G1839" s="1" t="s">
        <v>5571</v>
      </c>
      <c r="I1839" s="1" t="s">
        <v>19</v>
      </c>
      <c r="L1839" s="1" t="s">
        <v>5572</v>
      </c>
      <c r="M1839" s="1" t="s">
        <v>5570</v>
      </c>
      <c r="N1839" s="1">
        <v>290</v>
      </c>
      <c r="O1839" s="1" t="s">
        <v>5573</v>
      </c>
    </row>
    <row r="1840" spans="1:17" x14ac:dyDescent="0.35">
      <c r="A1840" s="1" t="s">
        <v>15</v>
      </c>
      <c r="B1840" s="1">
        <v>2003144</v>
      </c>
      <c r="C1840" s="1">
        <v>2003226</v>
      </c>
      <c r="E1840" s="1" t="s">
        <v>16</v>
      </c>
      <c r="F1840" s="1" t="s">
        <v>89</v>
      </c>
      <c r="I1840" s="1" t="s">
        <v>75</v>
      </c>
      <c r="O1840" s="1" t="s">
        <v>5574</v>
      </c>
    </row>
    <row r="1841" spans="1:17" x14ac:dyDescent="0.35">
      <c r="A1841" s="1" t="s">
        <v>15</v>
      </c>
      <c r="B1841" s="1">
        <v>2003266</v>
      </c>
      <c r="C1841" s="1">
        <v>2004138</v>
      </c>
      <c r="E1841" s="1" t="s">
        <v>178</v>
      </c>
      <c r="F1841" s="1" t="s">
        <v>5575</v>
      </c>
      <c r="G1841" s="1" t="s">
        <v>5576</v>
      </c>
      <c r="I1841" s="1" t="s">
        <v>19</v>
      </c>
      <c r="L1841" s="1" t="s">
        <v>5577</v>
      </c>
      <c r="M1841" s="1" t="s">
        <v>5575</v>
      </c>
      <c r="N1841" s="1">
        <v>290</v>
      </c>
      <c r="O1841" s="1" t="s">
        <v>5578</v>
      </c>
      <c r="Q1841" s="14"/>
    </row>
    <row r="1842" spans="1:17" x14ac:dyDescent="0.35">
      <c r="A1842" s="1" t="s">
        <v>15</v>
      </c>
      <c r="B1842" s="1">
        <v>2004265</v>
      </c>
      <c r="C1842" s="1">
        <v>2004825</v>
      </c>
      <c r="E1842" s="1" t="s">
        <v>178</v>
      </c>
      <c r="F1842" s="1" t="s">
        <v>5579</v>
      </c>
      <c r="I1842" s="1" t="s">
        <v>19</v>
      </c>
      <c r="L1842" s="1" t="s">
        <v>5580</v>
      </c>
      <c r="M1842" s="1" t="s">
        <v>5579</v>
      </c>
      <c r="N1842" s="1">
        <v>186</v>
      </c>
      <c r="O1842" s="1" t="s">
        <v>5581</v>
      </c>
    </row>
    <row r="1843" spans="1:17" x14ac:dyDescent="0.35">
      <c r="A1843" s="1" t="s">
        <v>15</v>
      </c>
      <c r="B1843" s="1">
        <v>2004818</v>
      </c>
      <c r="C1843" s="1">
        <v>2005624</v>
      </c>
      <c r="E1843" s="1" t="s">
        <v>178</v>
      </c>
      <c r="F1843" s="1" t="s">
        <v>5582</v>
      </c>
      <c r="G1843" s="1" t="s">
        <v>5583</v>
      </c>
      <c r="I1843" s="1" t="s">
        <v>19</v>
      </c>
      <c r="L1843" s="1" t="s">
        <v>5584</v>
      </c>
      <c r="M1843" s="1" t="s">
        <v>5582</v>
      </c>
      <c r="N1843" s="1">
        <v>268</v>
      </c>
      <c r="O1843" s="1" t="s">
        <v>5585</v>
      </c>
    </row>
    <row r="1844" spans="1:17" x14ac:dyDescent="0.35">
      <c r="A1844" s="1" t="s">
        <v>15</v>
      </c>
      <c r="B1844" s="1">
        <v>2005648</v>
      </c>
      <c r="C1844" s="1">
        <v>2006079</v>
      </c>
      <c r="E1844" s="1" t="s">
        <v>178</v>
      </c>
      <c r="F1844" s="1" t="s">
        <v>5586</v>
      </c>
      <c r="I1844" s="1" t="s">
        <v>19</v>
      </c>
      <c r="L1844" s="1" t="s">
        <v>5587</v>
      </c>
      <c r="M1844" s="1" t="s">
        <v>5586</v>
      </c>
      <c r="N1844" s="1">
        <v>143</v>
      </c>
      <c r="O1844" s="1" t="s">
        <v>5588</v>
      </c>
    </row>
    <row r="1845" spans="1:17" x14ac:dyDescent="0.35">
      <c r="A1845" s="1" t="s">
        <v>15</v>
      </c>
      <c r="B1845" s="1">
        <v>2006145</v>
      </c>
      <c r="C1845" s="1">
        <v>2006459</v>
      </c>
      <c r="E1845" s="1" t="s">
        <v>178</v>
      </c>
      <c r="F1845" s="1" t="s">
        <v>5589</v>
      </c>
      <c r="I1845" s="1" t="s">
        <v>19</v>
      </c>
      <c r="L1845" s="1" t="s">
        <v>5590</v>
      </c>
      <c r="M1845" s="1" t="s">
        <v>5589</v>
      </c>
      <c r="N1845" s="1">
        <v>104</v>
      </c>
      <c r="O1845" s="1" t="s">
        <v>5591</v>
      </c>
    </row>
    <row r="1846" spans="1:17" x14ac:dyDescent="0.35">
      <c r="A1846" s="1" t="s">
        <v>15</v>
      </c>
      <c r="B1846" s="1">
        <v>2006654</v>
      </c>
      <c r="C1846" s="1">
        <v>2007436</v>
      </c>
      <c r="E1846" s="1" t="s">
        <v>16</v>
      </c>
      <c r="F1846" s="1" t="s">
        <v>5592</v>
      </c>
      <c r="I1846" s="1" t="s">
        <v>19</v>
      </c>
      <c r="L1846" s="1" t="s">
        <v>5593</v>
      </c>
      <c r="M1846" s="1" t="s">
        <v>5592</v>
      </c>
      <c r="N1846" s="1">
        <v>260</v>
      </c>
      <c r="O1846" s="1" t="s">
        <v>5594</v>
      </c>
    </row>
    <row r="1847" spans="1:17" x14ac:dyDescent="0.35">
      <c r="A1847" s="1" t="s">
        <v>15</v>
      </c>
      <c r="B1847" s="1">
        <v>2007470</v>
      </c>
      <c r="C1847" s="1">
        <v>2007883</v>
      </c>
      <c r="E1847" s="1" t="s">
        <v>178</v>
      </c>
      <c r="F1847" s="1" t="s">
        <v>5595</v>
      </c>
      <c r="I1847" s="1" t="s">
        <v>19</v>
      </c>
      <c r="L1847" s="1" t="s">
        <v>5596</v>
      </c>
      <c r="M1847" s="1" t="s">
        <v>5595</v>
      </c>
      <c r="N1847" s="1">
        <v>137</v>
      </c>
      <c r="O1847" s="1" t="s">
        <v>5597</v>
      </c>
    </row>
    <row r="1848" spans="1:17" x14ac:dyDescent="0.35">
      <c r="A1848" s="1" t="s">
        <v>15</v>
      </c>
      <c r="B1848" s="1">
        <v>2007901</v>
      </c>
      <c r="C1848" s="1">
        <v>2008236</v>
      </c>
      <c r="E1848" s="1" t="s">
        <v>178</v>
      </c>
      <c r="F1848" s="1" t="s">
        <v>5598</v>
      </c>
      <c r="I1848" s="1" t="s">
        <v>19</v>
      </c>
      <c r="L1848" s="1" t="s">
        <v>5599</v>
      </c>
      <c r="M1848" s="1" t="s">
        <v>5598</v>
      </c>
      <c r="N1848" s="1">
        <v>111</v>
      </c>
      <c r="O1848" s="1" t="s">
        <v>5600</v>
      </c>
    </row>
    <row r="1849" spans="1:17" x14ac:dyDescent="0.35">
      <c r="A1849" s="1" t="s">
        <v>15</v>
      </c>
      <c r="B1849" s="1">
        <v>2008350</v>
      </c>
      <c r="C1849" s="1">
        <v>2008423</v>
      </c>
      <c r="E1849" s="1" t="s">
        <v>178</v>
      </c>
      <c r="F1849" s="1" t="s">
        <v>462</v>
      </c>
      <c r="I1849" s="1" t="s">
        <v>75</v>
      </c>
      <c r="O1849" s="1" t="s">
        <v>5601</v>
      </c>
    </row>
    <row r="1850" spans="1:17" x14ac:dyDescent="0.35">
      <c r="A1850" s="1" t="s">
        <v>15</v>
      </c>
      <c r="B1850" s="1">
        <v>2008428</v>
      </c>
      <c r="C1850" s="1">
        <v>2008541</v>
      </c>
      <c r="E1850" s="1" t="s">
        <v>178</v>
      </c>
      <c r="F1850" s="1" t="s">
        <v>80</v>
      </c>
      <c r="G1850" s="1" t="s">
        <v>81</v>
      </c>
      <c r="I1850" s="1" t="s">
        <v>72</v>
      </c>
      <c r="O1850" s="1" t="s">
        <v>5602</v>
      </c>
    </row>
    <row r="1851" spans="1:17" x14ac:dyDescent="0.35">
      <c r="A1851" s="1" t="s">
        <v>15</v>
      </c>
      <c r="B1851" s="1">
        <v>2008628</v>
      </c>
      <c r="C1851" s="1">
        <v>2011525</v>
      </c>
      <c r="E1851" s="1" t="s">
        <v>178</v>
      </c>
      <c r="F1851" s="1" t="s">
        <v>77</v>
      </c>
      <c r="G1851" s="1" t="s">
        <v>78</v>
      </c>
      <c r="I1851" s="1" t="s">
        <v>72</v>
      </c>
      <c r="O1851" s="1" t="s">
        <v>5603</v>
      </c>
    </row>
    <row r="1852" spans="1:17" x14ac:dyDescent="0.35">
      <c r="A1852" s="1" t="s">
        <v>15</v>
      </c>
      <c r="B1852" s="1">
        <v>2011674</v>
      </c>
      <c r="C1852" s="1">
        <v>2011746</v>
      </c>
      <c r="E1852" s="1" t="s">
        <v>178</v>
      </c>
      <c r="F1852" s="1" t="s">
        <v>74</v>
      </c>
      <c r="I1852" s="1" t="s">
        <v>75</v>
      </c>
      <c r="O1852" s="1" t="s">
        <v>5604</v>
      </c>
    </row>
    <row r="1853" spans="1:17" x14ac:dyDescent="0.35">
      <c r="A1853" s="1" t="s">
        <v>15</v>
      </c>
      <c r="B1853" s="1">
        <v>2011806</v>
      </c>
      <c r="C1853" s="1">
        <v>2013341</v>
      </c>
      <c r="E1853" s="1" t="s">
        <v>178</v>
      </c>
      <c r="F1853" s="1" t="s">
        <v>70</v>
      </c>
      <c r="G1853" s="1" t="s">
        <v>71</v>
      </c>
      <c r="I1853" s="1" t="s">
        <v>72</v>
      </c>
      <c r="O1853" s="1" t="s">
        <v>5605</v>
      </c>
    </row>
    <row r="1854" spans="1:17" x14ac:dyDescent="0.35">
      <c r="A1854" s="1" t="s">
        <v>15</v>
      </c>
      <c r="B1854" s="1">
        <v>2013764</v>
      </c>
      <c r="C1854" s="1">
        <v>2014906</v>
      </c>
      <c r="E1854" s="1" t="s">
        <v>178</v>
      </c>
      <c r="F1854" s="1" t="s">
        <v>5606</v>
      </c>
      <c r="G1854" s="1" t="s">
        <v>5607</v>
      </c>
      <c r="I1854" s="1" t="s">
        <v>19</v>
      </c>
      <c r="L1854" s="1" t="s">
        <v>5608</v>
      </c>
      <c r="M1854" s="1" t="s">
        <v>5606</v>
      </c>
      <c r="N1854" s="1">
        <v>380</v>
      </c>
      <c r="O1854" s="1" t="s">
        <v>5609</v>
      </c>
      <c r="Q1854" s="14"/>
    </row>
    <row r="1855" spans="1:17" x14ac:dyDescent="0.35">
      <c r="A1855" s="1" t="s">
        <v>15</v>
      </c>
      <c r="B1855" s="1">
        <v>2015112</v>
      </c>
      <c r="C1855" s="1">
        <v>2015246</v>
      </c>
      <c r="E1855" s="1" t="s">
        <v>178</v>
      </c>
      <c r="F1855" s="1" t="s">
        <v>54</v>
      </c>
      <c r="I1855" s="1" t="s">
        <v>19</v>
      </c>
      <c r="L1855" s="1" t="s">
        <v>5610</v>
      </c>
      <c r="M1855" s="1" t="s">
        <v>54</v>
      </c>
      <c r="N1855" s="1">
        <v>44</v>
      </c>
      <c r="O1855" s="1" t="s">
        <v>5611</v>
      </c>
    </row>
    <row r="1856" spans="1:17" x14ac:dyDescent="0.35">
      <c r="A1856" s="1" t="s">
        <v>15</v>
      </c>
      <c r="B1856" s="1">
        <v>2015442</v>
      </c>
      <c r="C1856" s="1">
        <v>2016005</v>
      </c>
      <c r="E1856" s="1" t="s">
        <v>178</v>
      </c>
      <c r="F1856" s="1" t="s">
        <v>5612</v>
      </c>
      <c r="I1856" s="1" t="s">
        <v>19</v>
      </c>
      <c r="L1856" s="1" t="s">
        <v>5613</v>
      </c>
      <c r="M1856" s="1" t="s">
        <v>5612</v>
      </c>
      <c r="N1856" s="1">
        <v>187</v>
      </c>
      <c r="O1856" s="1" t="s">
        <v>5614</v>
      </c>
    </row>
    <row r="1857" spans="1:17" x14ac:dyDescent="0.35">
      <c r="A1857" s="1" t="s">
        <v>15</v>
      </c>
      <c r="B1857" s="1">
        <v>2016002</v>
      </c>
      <c r="C1857" s="1">
        <v>2016598</v>
      </c>
      <c r="E1857" s="1" t="s">
        <v>178</v>
      </c>
      <c r="F1857" s="1" t="s">
        <v>520</v>
      </c>
      <c r="I1857" s="1" t="s">
        <v>19</v>
      </c>
      <c r="L1857" s="1" t="s">
        <v>5615</v>
      </c>
      <c r="M1857" s="1" t="s">
        <v>520</v>
      </c>
      <c r="N1857" s="1">
        <v>198</v>
      </c>
      <c r="O1857" s="1" t="s">
        <v>5616</v>
      </c>
    </row>
    <row r="1858" spans="1:17" x14ac:dyDescent="0.35">
      <c r="A1858" s="1" t="s">
        <v>15</v>
      </c>
      <c r="B1858" s="1">
        <v>2016730</v>
      </c>
      <c r="C1858" s="1">
        <v>2017773</v>
      </c>
      <c r="E1858" s="1" t="s">
        <v>178</v>
      </c>
      <c r="F1858" s="1" t="s">
        <v>5617</v>
      </c>
      <c r="G1858" s="1" t="s">
        <v>5618</v>
      </c>
      <c r="I1858" s="1" t="s">
        <v>19</v>
      </c>
      <c r="L1858" s="1" t="s">
        <v>5619</v>
      </c>
      <c r="M1858" s="1" t="s">
        <v>5617</v>
      </c>
      <c r="N1858" s="1">
        <v>347</v>
      </c>
      <c r="O1858" s="1" t="s">
        <v>5620</v>
      </c>
    </row>
    <row r="1859" spans="1:17" x14ac:dyDescent="0.35">
      <c r="A1859" s="1" t="s">
        <v>15</v>
      </c>
      <c r="B1859" s="1">
        <v>2017785</v>
      </c>
      <c r="C1859" s="1">
        <v>2018591</v>
      </c>
      <c r="E1859" s="1" t="s">
        <v>178</v>
      </c>
      <c r="F1859" s="1" t="s">
        <v>5621</v>
      </c>
      <c r="I1859" s="1" t="s">
        <v>19</v>
      </c>
      <c r="L1859" s="1" t="s">
        <v>5622</v>
      </c>
      <c r="M1859" s="1" t="s">
        <v>5621</v>
      </c>
      <c r="N1859" s="1">
        <v>268</v>
      </c>
      <c r="O1859" s="1" t="s">
        <v>5623</v>
      </c>
    </row>
    <row r="1860" spans="1:17" x14ac:dyDescent="0.35">
      <c r="A1860" s="1" t="s">
        <v>15</v>
      </c>
      <c r="B1860" s="1">
        <v>2018707</v>
      </c>
      <c r="C1860" s="1">
        <v>2019042</v>
      </c>
      <c r="E1860" s="1" t="s">
        <v>178</v>
      </c>
      <c r="F1860" s="1" t="s">
        <v>5624</v>
      </c>
      <c r="G1860" s="1" t="s">
        <v>5625</v>
      </c>
      <c r="I1860" s="1" t="s">
        <v>19</v>
      </c>
      <c r="L1860" s="1" t="s">
        <v>5626</v>
      </c>
      <c r="M1860" s="1" t="s">
        <v>5624</v>
      </c>
      <c r="N1860" s="1">
        <v>111</v>
      </c>
      <c r="O1860" s="1" t="s">
        <v>5627</v>
      </c>
      <c r="Q1860" s="14"/>
    </row>
    <row r="1861" spans="1:17" x14ac:dyDescent="0.35">
      <c r="A1861" s="1" t="s">
        <v>15</v>
      </c>
      <c r="B1861" s="1">
        <v>2019127</v>
      </c>
      <c r="C1861" s="1">
        <v>2020539</v>
      </c>
      <c r="E1861" s="1" t="s">
        <v>178</v>
      </c>
      <c r="F1861" s="1" t="s">
        <v>5628</v>
      </c>
      <c r="G1861" s="1" t="s">
        <v>5629</v>
      </c>
      <c r="I1861" s="1" t="s">
        <v>19</v>
      </c>
      <c r="L1861" s="1" t="s">
        <v>5630</v>
      </c>
      <c r="M1861" s="1" t="s">
        <v>5628</v>
      </c>
      <c r="N1861" s="1">
        <v>470</v>
      </c>
      <c r="O1861" s="1" t="s">
        <v>5631</v>
      </c>
      <c r="Q1861" s="14"/>
    </row>
    <row r="1862" spans="1:17" x14ac:dyDescent="0.35">
      <c r="A1862" s="1" t="s">
        <v>15</v>
      </c>
      <c r="B1862" s="1">
        <v>2020839</v>
      </c>
      <c r="C1862" s="1">
        <v>2022038</v>
      </c>
      <c r="E1862" s="1" t="s">
        <v>178</v>
      </c>
      <c r="F1862" s="1" t="s">
        <v>5632</v>
      </c>
      <c r="G1862" s="1" t="s">
        <v>5633</v>
      </c>
      <c r="I1862" s="1" t="s">
        <v>19</v>
      </c>
      <c r="L1862" s="1" t="s">
        <v>5634</v>
      </c>
      <c r="M1862" s="1" t="s">
        <v>5632</v>
      </c>
      <c r="N1862" s="1">
        <v>399</v>
      </c>
      <c r="O1862" s="1" t="s">
        <v>5635</v>
      </c>
      <c r="Q1862" s="14"/>
    </row>
    <row r="1863" spans="1:17" x14ac:dyDescent="0.35">
      <c r="A1863" s="1" t="s">
        <v>15</v>
      </c>
      <c r="B1863" s="1">
        <v>2022973</v>
      </c>
      <c r="C1863" s="1">
        <v>2023686</v>
      </c>
      <c r="E1863" s="1" t="s">
        <v>178</v>
      </c>
      <c r="F1863" s="1" t="s">
        <v>222</v>
      </c>
      <c r="I1863" s="1" t="s">
        <v>19</v>
      </c>
      <c r="L1863" s="1" t="s">
        <v>5636</v>
      </c>
      <c r="M1863" s="1" t="s">
        <v>222</v>
      </c>
      <c r="N1863" s="1">
        <v>237</v>
      </c>
      <c r="O1863" s="1" t="s">
        <v>5637</v>
      </c>
    </row>
    <row r="1864" spans="1:17" x14ac:dyDescent="0.35">
      <c r="A1864" s="1" t="s">
        <v>15</v>
      </c>
      <c r="B1864" s="1">
        <v>2023718</v>
      </c>
      <c r="C1864" s="1">
        <v>2025034</v>
      </c>
      <c r="E1864" s="1" t="s">
        <v>178</v>
      </c>
      <c r="F1864" s="1" t="s">
        <v>5325</v>
      </c>
      <c r="I1864" s="1" t="s">
        <v>19</v>
      </c>
      <c r="L1864" s="1" t="s">
        <v>5638</v>
      </c>
      <c r="M1864" s="1" t="s">
        <v>5325</v>
      </c>
      <c r="N1864" s="1">
        <v>438</v>
      </c>
      <c r="O1864" s="1" t="s">
        <v>5639</v>
      </c>
      <c r="Q1864" s="14"/>
    </row>
    <row r="1865" spans="1:17" x14ac:dyDescent="0.35">
      <c r="A1865" s="1" t="s">
        <v>15</v>
      </c>
      <c r="B1865" s="1">
        <v>2025058</v>
      </c>
      <c r="C1865" s="1">
        <v>2026338</v>
      </c>
      <c r="E1865" s="1" t="s">
        <v>178</v>
      </c>
      <c r="F1865" s="1" t="s">
        <v>5325</v>
      </c>
      <c r="I1865" s="1" t="s">
        <v>19</v>
      </c>
      <c r="L1865" s="1" t="s">
        <v>5640</v>
      </c>
      <c r="M1865" s="1" t="s">
        <v>5325</v>
      </c>
      <c r="N1865" s="1">
        <v>426</v>
      </c>
      <c r="O1865" s="1" t="s">
        <v>5641</v>
      </c>
      <c r="Q1865" s="14"/>
    </row>
    <row r="1866" spans="1:17" x14ac:dyDescent="0.35">
      <c r="A1866" s="1" t="s">
        <v>15</v>
      </c>
      <c r="B1866" s="1">
        <v>2026360</v>
      </c>
      <c r="C1866" s="1">
        <v>2027250</v>
      </c>
      <c r="E1866" s="1" t="s">
        <v>178</v>
      </c>
      <c r="F1866" s="1" t="s">
        <v>54</v>
      </c>
      <c r="I1866" s="1" t="s">
        <v>19</v>
      </c>
      <c r="L1866" s="1" t="s">
        <v>5642</v>
      </c>
      <c r="M1866" s="1" t="s">
        <v>54</v>
      </c>
      <c r="N1866" s="1">
        <v>296</v>
      </c>
      <c r="O1866" s="1" t="s">
        <v>5643</v>
      </c>
    </row>
    <row r="1867" spans="1:17" x14ac:dyDescent="0.35">
      <c r="A1867" s="1" t="s">
        <v>15</v>
      </c>
      <c r="B1867" s="1">
        <v>2027310</v>
      </c>
      <c r="C1867" s="1">
        <v>2028617</v>
      </c>
      <c r="E1867" s="1" t="s">
        <v>178</v>
      </c>
      <c r="F1867" s="1" t="s">
        <v>5325</v>
      </c>
      <c r="I1867" s="1" t="s">
        <v>19</v>
      </c>
      <c r="L1867" s="1" t="s">
        <v>5644</v>
      </c>
      <c r="M1867" s="1" t="s">
        <v>5325</v>
      </c>
      <c r="N1867" s="1">
        <v>435</v>
      </c>
      <c r="O1867" s="1" t="s">
        <v>5645</v>
      </c>
      <c r="Q1867" s="14"/>
    </row>
    <row r="1868" spans="1:17" x14ac:dyDescent="0.35">
      <c r="A1868" s="1" t="s">
        <v>15</v>
      </c>
      <c r="B1868" s="1">
        <v>2029068</v>
      </c>
      <c r="C1868" s="1">
        <v>2030522</v>
      </c>
      <c r="E1868" s="1" t="s">
        <v>178</v>
      </c>
      <c r="F1868" s="1" t="s">
        <v>5646</v>
      </c>
      <c r="G1868" s="1" t="s">
        <v>5647</v>
      </c>
      <c r="I1868" s="1" t="s">
        <v>19</v>
      </c>
      <c r="L1868" s="1" t="s">
        <v>5648</v>
      </c>
      <c r="M1868" s="1" t="s">
        <v>5646</v>
      </c>
      <c r="N1868" s="1">
        <v>484</v>
      </c>
      <c r="O1868" s="1" t="s">
        <v>5649</v>
      </c>
      <c r="Q1868" s="14"/>
    </row>
    <row r="1869" spans="1:17" x14ac:dyDescent="0.35">
      <c r="A1869" s="1" t="s">
        <v>15</v>
      </c>
      <c r="B1869" s="1">
        <v>2030758</v>
      </c>
      <c r="C1869" s="1">
        <v>2032728</v>
      </c>
      <c r="E1869" s="1" t="s">
        <v>178</v>
      </c>
      <c r="F1869" s="1" t="s">
        <v>4545</v>
      </c>
      <c r="G1869" s="1" t="s">
        <v>5650</v>
      </c>
      <c r="I1869" s="1" t="s">
        <v>19</v>
      </c>
      <c r="L1869" s="1" t="s">
        <v>5651</v>
      </c>
      <c r="M1869" s="1" t="s">
        <v>4545</v>
      </c>
      <c r="N1869" s="1">
        <v>656</v>
      </c>
      <c r="O1869" s="1" t="s">
        <v>5652</v>
      </c>
    </row>
    <row r="1870" spans="1:17" x14ac:dyDescent="0.35">
      <c r="A1870" s="1" t="s">
        <v>15</v>
      </c>
      <c r="B1870" s="1">
        <v>2032908</v>
      </c>
      <c r="C1870" s="1">
        <v>2033597</v>
      </c>
      <c r="E1870" s="1" t="s">
        <v>178</v>
      </c>
      <c r="F1870" s="1" t="s">
        <v>5653</v>
      </c>
      <c r="G1870" s="1" t="s">
        <v>5654</v>
      </c>
      <c r="I1870" s="1" t="s">
        <v>19</v>
      </c>
      <c r="L1870" s="1" t="s">
        <v>5655</v>
      </c>
      <c r="M1870" s="1" t="s">
        <v>5653</v>
      </c>
      <c r="N1870" s="1">
        <v>229</v>
      </c>
      <c r="O1870" s="1" t="s">
        <v>5656</v>
      </c>
    </row>
    <row r="1871" spans="1:17" x14ac:dyDescent="0.35">
      <c r="A1871" s="1" t="s">
        <v>15</v>
      </c>
      <c r="B1871" s="1">
        <v>2033697</v>
      </c>
      <c r="C1871" s="1">
        <v>2034122</v>
      </c>
      <c r="E1871" s="1" t="s">
        <v>178</v>
      </c>
      <c r="F1871" s="1" t="s">
        <v>5657</v>
      </c>
      <c r="G1871" s="1" t="s">
        <v>5658</v>
      </c>
      <c r="I1871" s="1" t="s">
        <v>19</v>
      </c>
      <c r="L1871" s="1" t="s">
        <v>5659</v>
      </c>
      <c r="M1871" s="1" t="s">
        <v>5657</v>
      </c>
      <c r="N1871" s="1">
        <v>141</v>
      </c>
      <c r="O1871" s="1" t="s">
        <v>5660</v>
      </c>
    </row>
    <row r="1872" spans="1:17" x14ac:dyDescent="0.35">
      <c r="A1872" s="1" t="s">
        <v>15</v>
      </c>
      <c r="B1872" s="1">
        <v>2034294</v>
      </c>
      <c r="C1872" s="1">
        <v>2034647</v>
      </c>
      <c r="E1872" s="1" t="s">
        <v>16</v>
      </c>
      <c r="F1872" s="1" t="s">
        <v>4718</v>
      </c>
      <c r="I1872" s="1" t="s">
        <v>19</v>
      </c>
      <c r="L1872" s="1" t="s">
        <v>5661</v>
      </c>
      <c r="M1872" s="1" t="s">
        <v>4718</v>
      </c>
      <c r="N1872" s="1">
        <v>117</v>
      </c>
      <c r="O1872" s="1" t="s">
        <v>5662</v>
      </c>
    </row>
    <row r="1873" spans="1:17" x14ac:dyDescent="0.35">
      <c r="A1873" s="1" t="s">
        <v>15</v>
      </c>
      <c r="B1873" s="1">
        <v>2034743</v>
      </c>
      <c r="C1873" s="1">
        <v>2035240</v>
      </c>
      <c r="E1873" s="1" t="s">
        <v>178</v>
      </c>
      <c r="F1873" s="1" t="s">
        <v>5663</v>
      </c>
      <c r="I1873" s="1" t="s">
        <v>19</v>
      </c>
      <c r="L1873" s="1" t="s">
        <v>5664</v>
      </c>
      <c r="M1873" s="1" t="s">
        <v>5663</v>
      </c>
      <c r="N1873" s="1">
        <v>165</v>
      </c>
      <c r="O1873" s="1" t="s">
        <v>5665</v>
      </c>
      <c r="Q1873" s="14"/>
    </row>
    <row r="1874" spans="1:17" x14ac:dyDescent="0.35">
      <c r="A1874" s="1" t="s">
        <v>15</v>
      </c>
      <c r="B1874" s="1">
        <v>2035391</v>
      </c>
      <c r="C1874" s="1">
        <v>2036086</v>
      </c>
      <c r="E1874" s="1" t="s">
        <v>178</v>
      </c>
      <c r="F1874" s="1" t="s">
        <v>50</v>
      </c>
      <c r="I1874" s="1" t="s">
        <v>19</v>
      </c>
      <c r="L1874" s="1" t="s">
        <v>5666</v>
      </c>
      <c r="M1874" s="1" t="s">
        <v>50</v>
      </c>
      <c r="N1874" s="1">
        <v>231</v>
      </c>
      <c r="O1874" s="1" t="s">
        <v>5667</v>
      </c>
    </row>
    <row r="1875" spans="1:17" x14ac:dyDescent="0.35">
      <c r="A1875" s="1" t="s">
        <v>15</v>
      </c>
      <c r="B1875" s="1">
        <v>2036173</v>
      </c>
      <c r="C1875" s="1">
        <v>2037420</v>
      </c>
      <c r="E1875" s="1" t="s">
        <v>178</v>
      </c>
      <c r="F1875" s="1" t="s">
        <v>5668</v>
      </c>
      <c r="G1875" s="1" t="s">
        <v>5669</v>
      </c>
      <c r="I1875" s="1" t="s">
        <v>19</v>
      </c>
      <c r="L1875" s="1" t="s">
        <v>5670</v>
      </c>
      <c r="M1875" s="1" t="s">
        <v>5668</v>
      </c>
      <c r="N1875" s="1">
        <v>415</v>
      </c>
      <c r="O1875" s="1" t="s">
        <v>5671</v>
      </c>
    </row>
    <row r="1876" spans="1:17" x14ac:dyDescent="0.35">
      <c r="A1876" s="1" t="s">
        <v>15</v>
      </c>
      <c r="B1876" s="1">
        <v>2037531</v>
      </c>
      <c r="C1876" s="1">
        <v>2038028</v>
      </c>
      <c r="E1876" s="1" t="s">
        <v>178</v>
      </c>
      <c r="F1876" s="1" t="s">
        <v>5672</v>
      </c>
      <c r="I1876" s="1" t="s">
        <v>19</v>
      </c>
      <c r="L1876" s="1" t="s">
        <v>5673</v>
      </c>
      <c r="M1876" s="1" t="s">
        <v>5672</v>
      </c>
      <c r="N1876" s="1">
        <v>165</v>
      </c>
      <c r="O1876" s="1" t="s">
        <v>5674</v>
      </c>
    </row>
    <row r="1877" spans="1:17" x14ac:dyDescent="0.35">
      <c r="A1877" s="1" t="s">
        <v>15</v>
      </c>
      <c r="B1877" s="1">
        <v>2038009</v>
      </c>
      <c r="C1877" s="1">
        <v>2038455</v>
      </c>
      <c r="E1877" s="1" t="s">
        <v>178</v>
      </c>
      <c r="F1877" s="1" t="s">
        <v>5675</v>
      </c>
      <c r="G1877" s="1" t="s">
        <v>5676</v>
      </c>
      <c r="I1877" s="1" t="s">
        <v>19</v>
      </c>
      <c r="L1877" s="1" t="s">
        <v>5677</v>
      </c>
      <c r="M1877" s="1" t="s">
        <v>5675</v>
      </c>
      <c r="N1877" s="1">
        <v>148</v>
      </c>
      <c r="O1877" s="1" t="s">
        <v>5678</v>
      </c>
      <c r="Q1877" s="14"/>
    </row>
    <row r="1878" spans="1:17" x14ac:dyDescent="0.35">
      <c r="A1878" s="1" t="s">
        <v>15</v>
      </c>
      <c r="B1878" s="1">
        <v>2038664</v>
      </c>
      <c r="C1878" s="1">
        <v>2039266</v>
      </c>
      <c r="E1878" s="1" t="s">
        <v>16</v>
      </c>
      <c r="F1878" s="1" t="s">
        <v>5679</v>
      </c>
      <c r="I1878" s="1" t="s">
        <v>19</v>
      </c>
      <c r="L1878" s="1" t="s">
        <v>5680</v>
      </c>
      <c r="M1878" s="1" t="s">
        <v>5679</v>
      </c>
      <c r="N1878" s="1">
        <v>200</v>
      </c>
      <c r="O1878" s="1" t="s">
        <v>5681</v>
      </c>
    </row>
    <row r="1879" spans="1:17" x14ac:dyDescent="0.35">
      <c r="A1879" s="1" t="s">
        <v>15</v>
      </c>
      <c r="B1879" s="1">
        <v>2039285</v>
      </c>
      <c r="C1879" s="1">
        <v>2040532</v>
      </c>
      <c r="E1879" s="1" t="s">
        <v>16</v>
      </c>
      <c r="F1879" s="1" t="s">
        <v>5679</v>
      </c>
      <c r="I1879" s="1" t="s">
        <v>19</v>
      </c>
      <c r="L1879" s="1" t="s">
        <v>5682</v>
      </c>
      <c r="M1879" s="1" t="s">
        <v>5679</v>
      </c>
      <c r="N1879" s="1">
        <v>415</v>
      </c>
      <c r="O1879" s="1" t="s">
        <v>5683</v>
      </c>
      <c r="Q1879" s="14"/>
    </row>
    <row r="1880" spans="1:17" x14ac:dyDescent="0.35">
      <c r="A1880" s="1" t="s">
        <v>15</v>
      </c>
      <c r="B1880" s="1">
        <v>2040649</v>
      </c>
      <c r="C1880" s="1">
        <v>2041440</v>
      </c>
      <c r="E1880" s="1" t="s">
        <v>16</v>
      </c>
      <c r="F1880" s="1" t="s">
        <v>5684</v>
      </c>
      <c r="I1880" s="1" t="s">
        <v>19</v>
      </c>
      <c r="L1880" s="1" t="s">
        <v>5685</v>
      </c>
      <c r="M1880" s="1" t="s">
        <v>5684</v>
      </c>
      <c r="N1880" s="1">
        <v>263</v>
      </c>
      <c r="O1880" s="1" t="s">
        <v>5686</v>
      </c>
    </row>
    <row r="1881" spans="1:17" x14ac:dyDescent="0.35">
      <c r="A1881" s="1" t="s">
        <v>15</v>
      </c>
      <c r="B1881" s="1">
        <v>2041449</v>
      </c>
      <c r="C1881" s="1">
        <v>2042009</v>
      </c>
      <c r="E1881" s="1" t="s">
        <v>16</v>
      </c>
      <c r="F1881" s="1" t="s">
        <v>4892</v>
      </c>
      <c r="I1881" s="1" t="s">
        <v>19</v>
      </c>
      <c r="L1881" s="1" t="s">
        <v>5687</v>
      </c>
      <c r="M1881" s="1" t="s">
        <v>4892</v>
      </c>
      <c r="N1881" s="1">
        <v>186</v>
      </c>
      <c r="O1881" s="1" t="s">
        <v>5688</v>
      </c>
    </row>
    <row r="1882" spans="1:17" x14ac:dyDescent="0.35">
      <c r="A1882" s="1" t="s">
        <v>15</v>
      </c>
      <c r="B1882" s="1">
        <v>2042125</v>
      </c>
      <c r="C1882" s="1">
        <v>2043150</v>
      </c>
      <c r="E1882" s="1" t="s">
        <v>16</v>
      </c>
      <c r="F1882" s="1" t="s">
        <v>5689</v>
      </c>
      <c r="G1882" s="1" t="s">
        <v>5690</v>
      </c>
      <c r="I1882" s="1" t="s">
        <v>19</v>
      </c>
      <c r="L1882" s="1" t="s">
        <v>5691</v>
      </c>
      <c r="M1882" s="1" t="s">
        <v>5689</v>
      </c>
      <c r="N1882" s="1">
        <v>341</v>
      </c>
      <c r="O1882" s="1" t="s">
        <v>5692</v>
      </c>
      <c r="Q1882" s="14"/>
    </row>
    <row r="1883" spans="1:17" x14ac:dyDescent="0.35">
      <c r="A1883" s="1" t="s">
        <v>15</v>
      </c>
      <c r="B1883" s="1">
        <v>2043168</v>
      </c>
      <c r="C1883" s="1">
        <v>2044082</v>
      </c>
      <c r="E1883" s="1" t="s">
        <v>16</v>
      </c>
      <c r="F1883" s="1" t="s">
        <v>5693</v>
      </c>
      <c r="G1883" s="1" t="s">
        <v>5694</v>
      </c>
      <c r="I1883" s="1" t="s">
        <v>19</v>
      </c>
      <c r="L1883" s="1" t="s">
        <v>5695</v>
      </c>
      <c r="M1883" s="1" t="s">
        <v>5693</v>
      </c>
      <c r="N1883" s="1">
        <v>304</v>
      </c>
      <c r="O1883" s="1" t="s">
        <v>5696</v>
      </c>
      <c r="Q1883" s="14"/>
    </row>
    <row r="1884" spans="1:17" x14ac:dyDescent="0.35">
      <c r="A1884" s="1" t="s">
        <v>15</v>
      </c>
      <c r="B1884" s="1">
        <v>2044128</v>
      </c>
      <c r="C1884" s="1">
        <v>2044802</v>
      </c>
      <c r="E1884" s="1" t="s">
        <v>178</v>
      </c>
      <c r="F1884" s="1" t="s">
        <v>5697</v>
      </c>
      <c r="I1884" s="1" t="s">
        <v>19</v>
      </c>
      <c r="L1884" s="1" t="s">
        <v>5698</v>
      </c>
      <c r="M1884" s="1" t="s">
        <v>5697</v>
      </c>
      <c r="N1884" s="1">
        <v>224</v>
      </c>
      <c r="O1884" s="1" t="s">
        <v>5699</v>
      </c>
    </row>
    <row r="1885" spans="1:17" x14ac:dyDescent="0.35">
      <c r="A1885" s="1" t="s">
        <v>15</v>
      </c>
      <c r="B1885" s="1">
        <v>2044793</v>
      </c>
      <c r="C1885" s="1">
        <v>2045320</v>
      </c>
      <c r="E1885" s="1" t="s">
        <v>178</v>
      </c>
      <c r="F1885" s="1" t="s">
        <v>5700</v>
      </c>
      <c r="G1885" s="1" t="s">
        <v>5701</v>
      </c>
      <c r="I1885" s="1" t="s">
        <v>19</v>
      </c>
      <c r="L1885" s="1" t="s">
        <v>5702</v>
      </c>
      <c r="M1885" s="1" t="s">
        <v>5700</v>
      </c>
      <c r="N1885" s="1">
        <v>175</v>
      </c>
      <c r="O1885" s="1" t="s">
        <v>5703</v>
      </c>
      <c r="Q1885" s="14"/>
    </row>
    <row r="1886" spans="1:17" x14ac:dyDescent="0.35">
      <c r="A1886" s="1" t="s">
        <v>15</v>
      </c>
      <c r="B1886" s="1">
        <v>2045389</v>
      </c>
      <c r="C1886" s="1">
        <v>2046522</v>
      </c>
      <c r="E1886" s="1" t="s">
        <v>178</v>
      </c>
      <c r="F1886" s="1" t="s">
        <v>1682</v>
      </c>
      <c r="G1886" s="1" t="s">
        <v>5704</v>
      </c>
      <c r="I1886" s="1" t="s">
        <v>19</v>
      </c>
      <c r="L1886" s="1" t="s">
        <v>5705</v>
      </c>
      <c r="M1886" s="1" t="s">
        <v>1682</v>
      </c>
      <c r="N1886" s="1">
        <v>377</v>
      </c>
      <c r="O1886" s="1" t="s">
        <v>5706</v>
      </c>
      <c r="Q1886" s="14"/>
    </row>
    <row r="1887" spans="1:17" x14ac:dyDescent="0.35">
      <c r="A1887" s="1" t="s">
        <v>15</v>
      </c>
      <c r="B1887" s="1">
        <v>2046599</v>
      </c>
      <c r="C1887" s="1">
        <v>2047297</v>
      </c>
      <c r="E1887" s="1" t="s">
        <v>178</v>
      </c>
      <c r="F1887" s="1" t="s">
        <v>5707</v>
      </c>
      <c r="G1887" s="1" t="s">
        <v>5708</v>
      </c>
      <c r="I1887" s="1" t="s">
        <v>19</v>
      </c>
      <c r="L1887" s="1" t="s">
        <v>5709</v>
      </c>
      <c r="M1887" s="1" t="s">
        <v>5707</v>
      </c>
      <c r="N1887" s="1">
        <v>232</v>
      </c>
      <c r="O1887" s="1" t="s">
        <v>5710</v>
      </c>
      <c r="Q1887" s="14"/>
    </row>
    <row r="1888" spans="1:17" x14ac:dyDescent="0.35">
      <c r="A1888" s="1" t="s">
        <v>15</v>
      </c>
      <c r="B1888" s="1">
        <v>2047383</v>
      </c>
      <c r="C1888" s="1">
        <v>2048135</v>
      </c>
      <c r="E1888" s="1" t="s">
        <v>178</v>
      </c>
      <c r="F1888" s="1" t="s">
        <v>5711</v>
      </c>
      <c r="I1888" s="1" t="s">
        <v>19</v>
      </c>
      <c r="L1888" s="1" t="s">
        <v>5712</v>
      </c>
      <c r="M1888" s="1" t="s">
        <v>5711</v>
      </c>
      <c r="N1888" s="1">
        <v>250</v>
      </c>
      <c r="O1888" s="1" t="s">
        <v>5713</v>
      </c>
    </row>
    <row r="1889" spans="1:17" x14ac:dyDescent="0.35">
      <c r="A1889" s="1" t="s">
        <v>15</v>
      </c>
      <c r="B1889" s="1">
        <v>2048249</v>
      </c>
      <c r="C1889" s="1">
        <v>2049088</v>
      </c>
      <c r="E1889" s="1" t="s">
        <v>178</v>
      </c>
      <c r="F1889" s="1" t="s">
        <v>5714</v>
      </c>
      <c r="G1889" s="1" t="s">
        <v>5715</v>
      </c>
      <c r="I1889" s="1" t="s">
        <v>19</v>
      </c>
      <c r="L1889" s="1" t="s">
        <v>5716</v>
      </c>
      <c r="M1889" s="1" t="s">
        <v>5714</v>
      </c>
      <c r="N1889" s="1">
        <v>279</v>
      </c>
      <c r="O1889" s="1" t="s">
        <v>5717</v>
      </c>
    </row>
    <row r="1890" spans="1:17" x14ac:dyDescent="0.35">
      <c r="A1890" s="1" t="s">
        <v>15</v>
      </c>
      <c r="B1890" s="1">
        <v>2049510</v>
      </c>
      <c r="C1890" s="1">
        <v>2049668</v>
      </c>
      <c r="E1890" s="1" t="s">
        <v>16</v>
      </c>
      <c r="F1890" s="1" t="s">
        <v>231</v>
      </c>
      <c r="I1890" s="1" t="s">
        <v>19</v>
      </c>
      <c r="L1890" s="1" t="s">
        <v>5718</v>
      </c>
      <c r="M1890" s="1" t="s">
        <v>231</v>
      </c>
      <c r="N1890" s="1">
        <v>52</v>
      </c>
      <c r="O1890" s="1" t="s">
        <v>5719</v>
      </c>
    </row>
    <row r="1891" spans="1:17" x14ac:dyDescent="0.35">
      <c r="A1891" s="1" t="s">
        <v>15</v>
      </c>
      <c r="B1891" s="1">
        <v>2049688</v>
      </c>
      <c r="C1891" s="1">
        <v>2049855</v>
      </c>
      <c r="E1891" s="1" t="s">
        <v>16</v>
      </c>
      <c r="F1891" s="1" t="s">
        <v>231</v>
      </c>
      <c r="I1891" s="1" t="s">
        <v>19</v>
      </c>
      <c r="L1891" s="1" t="s">
        <v>5720</v>
      </c>
      <c r="M1891" s="1" t="s">
        <v>231</v>
      </c>
      <c r="N1891" s="1">
        <v>55</v>
      </c>
      <c r="O1891" s="1" t="s">
        <v>5721</v>
      </c>
    </row>
    <row r="1892" spans="1:17" x14ac:dyDescent="0.35">
      <c r="A1892" s="1" t="s">
        <v>15</v>
      </c>
      <c r="B1892" s="1">
        <v>2049903</v>
      </c>
      <c r="C1892" s="1">
        <v>2050154</v>
      </c>
      <c r="E1892" s="1" t="s">
        <v>16</v>
      </c>
      <c r="F1892" s="1" t="s">
        <v>231</v>
      </c>
      <c r="I1892" s="1" t="s">
        <v>19</v>
      </c>
      <c r="L1892" s="1" t="s">
        <v>5722</v>
      </c>
      <c r="M1892" s="1" t="s">
        <v>231</v>
      </c>
      <c r="N1892" s="1">
        <v>83</v>
      </c>
      <c r="O1892" s="1" t="s">
        <v>5723</v>
      </c>
    </row>
    <row r="1893" spans="1:17" x14ac:dyDescent="0.35">
      <c r="A1893" s="1" t="s">
        <v>15</v>
      </c>
      <c r="B1893" s="1">
        <v>2050241</v>
      </c>
      <c r="C1893" s="1">
        <v>2050759</v>
      </c>
      <c r="E1893" s="1" t="s">
        <v>178</v>
      </c>
      <c r="F1893" s="1" t="s">
        <v>5724</v>
      </c>
      <c r="G1893" s="1" t="s">
        <v>5725</v>
      </c>
      <c r="I1893" s="1" t="s">
        <v>19</v>
      </c>
      <c r="L1893" s="1" t="s">
        <v>5726</v>
      </c>
      <c r="M1893" s="1" t="s">
        <v>5724</v>
      </c>
      <c r="N1893" s="1">
        <v>172</v>
      </c>
      <c r="O1893" s="1" t="s">
        <v>5727</v>
      </c>
    </row>
    <row r="1894" spans="1:17" x14ac:dyDescent="0.35">
      <c r="A1894" s="1" t="s">
        <v>15</v>
      </c>
      <c r="B1894" s="1">
        <v>2051529</v>
      </c>
      <c r="C1894" s="1">
        <v>2051921</v>
      </c>
      <c r="E1894" s="1" t="s">
        <v>178</v>
      </c>
      <c r="F1894" s="1" t="s">
        <v>2786</v>
      </c>
      <c r="G1894" s="1" t="s">
        <v>5728</v>
      </c>
      <c r="I1894" s="1" t="s">
        <v>19</v>
      </c>
      <c r="L1894" s="1" t="s">
        <v>5729</v>
      </c>
      <c r="M1894" s="1" t="s">
        <v>2786</v>
      </c>
      <c r="N1894" s="1">
        <v>130</v>
      </c>
      <c r="O1894" s="1" t="s">
        <v>5730</v>
      </c>
    </row>
    <row r="1895" spans="1:17" x14ac:dyDescent="0.35">
      <c r="A1895" s="1" t="s">
        <v>15</v>
      </c>
      <c r="B1895" s="1">
        <v>2052011</v>
      </c>
      <c r="C1895" s="1">
        <v>2052634</v>
      </c>
      <c r="E1895" s="1" t="s">
        <v>178</v>
      </c>
      <c r="F1895" s="1" t="s">
        <v>5731</v>
      </c>
      <c r="I1895" s="1" t="s">
        <v>19</v>
      </c>
      <c r="L1895" s="1" t="s">
        <v>5732</v>
      </c>
      <c r="M1895" s="1" t="s">
        <v>5731</v>
      </c>
      <c r="N1895" s="1">
        <v>207</v>
      </c>
      <c r="O1895" s="1" t="s">
        <v>5733</v>
      </c>
      <c r="Q1895" s="14"/>
    </row>
    <row r="1896" spans="1:17" x14ac:dyDescent="0.35">
      <c r="A1896" s="1" t="s">
        <v>15</v>
      </c>
      <c r="B1896" s="1">
        <v>2052667</v>
      </c>
      <c r="C1896" s="1">
        <v>2053191</v>
      </c>
      <c r="E1896" s="1" t="s">
        <v>178</v>
      </c>
      <c r="F1896" s="1" t="s">
        <v>54</v>
      </c>
      <c r="I1896" s="1" t="s">
        <v>19</v>
      </c>
      <c r="L1896" s="1" t="s">
        <v>5734</v>
      </c>
      <c r="M1896" s="1" t="s">
        <v>54</v>
      </c>
      <c r="N1896" s="1">
        <v>174</v>
      </c>
      <c r="O1896" s="1" t="s">
        <v>5735</v>
      </c>
    </row>
    <row r="1897" spans="1:17" x14ac:dyDescent="0.35">
      <c r="A1897" s="1" t="s">
        <v>15</v>
      </c>
      <c r="B1897" s="1">
        <v>2053195</v>
      </c>
      <c r="C1897" s="1">
        <v>2053509</v>
      </c>
      <c r="E1897" s="1" t="s">
        <v>178</v>
      </c>
      <c r="F1897" s="1" t="s">
        <v>5736</v>
      </c>
      <c r="G1897" s="1" t="s">
        <v>5737</v>
      </c>
      <c r="I1897" s="1" t="s">
        <v>19</v>
      </c>
      <c r="L1897" s="1" t="s">
        <v>5738</v>
      </c>
      <c r="M1897" s="1" t="s">
        <v>5736</v>
      </c>
      <c r="N1897" s="1">
        <v>104</v>
      </c>
      <c r="O1897" s="1" t="s">
        <v>5739</v>
      </c>
    </row>
    <row r="1898" spans="1:17" x14ac:dyDescent="0.35">
      <c r="A1898" s="1" t="s">
        <v>15</v>
      </c>
      <c r="B1898" s="1">
        <v>2053506</v>
      </c>
      <c r="C1898" s="1">
        <v>2053790</v>
      </c>
      <c r="E1898" s="1" t="s">
        <v>178</v>
      </c>
      <c r="F1898" s="1" t="s">
        <v>54</v>
      </c>
      <c r="I1898" s="1" t="s">
        <v>19</v>
      </c>
      <c r="L1898" s="1" t="s">
        <v>5740</v>
      </c>
      <c r="M1898" s="1" t="s">
        <v>54</v>
      </c>
      <c r="N1898" s="1">
        <v>94</v>
      </c>
      <c r="O1898" s="1" t="s">
        <v>5741</v>
      </c>
    </row>
    <row r="1899" spans="1:17" x14ac:dyDescent="0.35">
      <c r="A1899" s="1" t="s">
        <v>15</v>
      </c>
      <c r="B1899" s="1">
        <v>2053890</v>
      </c>
      <c r="C1899" s="1">
        <v>2054957</v>
      </c>
      <c r="E1899" s="1" t="s">
        <v>16</v>
      </c>
      <c r="F1899" s="1" t="s">
        <v>5742</v>
      </c>
      <c r="G1899" s="1" t="s">
        <v>5743</v>
      </c>
      <c r="I1899" s="1" t="s">
        <v>19</v>
      </c>
      <c r="L1899" s="1" t="s">
        <v>5744</v>
      </c>
      <c r="M1899" s="1" t="s">
        <v>5742</v>
      </c>
      <c r="N1899" s="1">
        <v>355</v>
      </c>
      <c r="O1899" s="1" t="s">
        <v>5745</v>
      </c>
      <c r="Q1899" s="14"/>
    </row>
    <row r="1900" spans="1:17" x14ac:dyDescent="0.35">
      <c r="A1900" s="1" t="s">
        <v>15</v>
      </c>
      <c r="B1900" s="1">
        <v>2054973</v>
      </c>
      <c r="C1900" s="1">
        <v>2055743</v>
      </c>
      <c r="E1900" s="1" t="s">
        <v>16</v>
      </c>
      <c r="F1900" s="1" t="s">
        <v>5746</v>
      </c>
      <c r="G1900" s="1" t="s">
        <v>5747</v>
      </c>
      <c r="I1900" s="1" t="s">
        <v>19</v>
      </c>
      <c r="L1900" s="1" t="s">
        <v>5748</v>
      </c>
      <c r="M1900" s="1" t="s">
        <v>5746</v>
      </c>
      <c r="N1900" s="1">
        <v>256</v>
      </c>
      <c r="O1900" s="1" t="s">
        <v>5749</v>
      </c>
      <c r="Q1900" s="14"/>
    </row>
    <row r="1901" spans="1:17" x14ac:dyDescent="0.35">
      <c r="A1901" s="1" t="s">
        <v>15</v>
      </c>
      <c r="B1901" s="1">
        <v>2055770</v>
      </c>
      <c r="C1901" s="1">
        <v>2056432</v>
      </c>
      <c r="E1901" s="1" t="s">
        <v>178</v>
      </c>
      <c r="F1901" s="1" t="s">
        <v>54</v>
      </c>
      <c r="I1901" s="1" t="s">
        <v>19</v>
      </c>
      <c r="L1901" s="1" t="s">
        <v>5750</v>
      </c>
      <c r="M1901" s="1" t="s">
        <v>54</v>
      </c>
      <c r="N1901" s="1">
        <v>220</v>
      </c>
      <c r="O1901" s="1" t="s">
        <v>5751</v>
      </c>
    </row>
    <row r="1902" spans="1:17" x14ac:dyDescent="0.35">
      <c r="A1902" s="1" t="s">
        <v>15</v>
      </c>
      <c r="B1902" s="1">
        <v>2056546</v>
      </c>
      <c r="C1902" s="1">
        <v>2056992</v>
      </c>
      <c r="E1902" s="1" t="s">
        <v>178</v>
      </c>
      <c r="F1902" s="1" t="s">
        <v>50</v>
      </c>
      <c r="I1902" s="1" t="s">
        <v>19</v>
      </c>
      <c r="L1902" s="1" t="s">
        <v>5752</v>
      </c>
      <c r="M1902" s="1" t="s">
        <v>50</v>
      </c>
      <c r="N1902" s="1">
        <v>148</v>
      </c>
      <c r="O1902" s="1" t="s">
        <v>5753</v>
      </c>
    </row>
    <row r="1903" spans="1:17" x14ac:dyDescent="0.35">
      <c r="A1903" s="1" t="s">
        <v>15</v>
      </c>
      <c r="B1903" s="1">
        <v>2057070</v>
      </c>
      <c r="C1903" s="1">
        <v>2057726</v>
      </c>
      <c r="E1903" s="1" t="s">
        <v>178</v>
      </c>
      <c r="F1903" s="1" t="s">
        <v>5754</v>
      </c>
      <c r="I1903" s="1" t="s">
        <v>19</v>
      </c>
      <c r="L1903" s="1" t="s">
        <v>5755</v>
      </c>
      <c r="M1903" s="1" t="s">
        <v>5754</v>
      </c>
      <c r="N1903" s="1">
        <v>218</v>
      </c>
      <c r="O1903" s="1" t="s">
        <v>5756</v>
      </c>
    </row>
    <row r="1904" spans="1:17" x14ac:dyDescent="0.35">
      <c r="A1904" s="1" t="s">
        <v>15</v>
      </c>
      <c r="B1904" s="1">
        <v>2057738</v>
      </c>
      <c r="C1904" s="1">
        <v>2057935</v>
      </c>
      <c r="E1904" s="1" t="s">
        <v>178</v>
      </c>
      <c r="F1904" s="1" t="s">
        <v>849</v>
      </c>
      <c r="I1904" s="1" t="s">
        <v>19</v>
      </c>
      <c r="L1904" s="1" t="s">
        <v>5757</v>
      </c>
      <c r="M1904" s="1" t="s">
        <v>849</v>
      </c>
      <c r="N1904" s="1">
        <v>65</v>
      </c>
      <c r="O1904" s="1" t="s">
        <v>5758</v>
      </c>
    </row>
    <row r="1905" spans="1:17" x14ac:dyDescent="0.35">
      <c r="A1905" s="1" t="s">
        <v>15</v>
      </c>
      <c r="B1905" s="1">
        <v>2058186</v>
      </c>
      <c r="C1905" s="1">
        <v>2059379</v>
      </c>
      <c r="E1905" s="1" t="s">
        <v>178</v>
      </c>
      <c r="F1905" s="1" t="s">
        <v>5759</v>
      </c>
      <c r="G1905" s="1" t="s">
        <v>5760</v>
      </c>
      <c r="I1905" s="1" t="s">
        <v>19</v>
      </c>
      <c r="L1905" s="1" t="s">
        <v>5761</v>
      </c>
      <c r="M1905" s="1" t="s">
        <v>5759</v>
      </c>
      <c r="N1905" s="1">
        <v>397</v>
      </c>
      <c r="O1905" s="1" t="s">
        <v>5762</v>
      </c>
      <c r="Q1905" s="14"/>
    </row>
    <row r="1906" spans="1:17" x14ac:dyDescent="0.35">
      <c r="A1906" s="1" t="s">
        <v>15</v>
      </c>
      <c r="B1906" s="1">
        <v>2059436</v>
      </c>
      <c r="C1906" s="1">
        <v>2060392</v>
      </c>
      <c r="E1906" s="1" t="s">
        <v>178</v>
      </c>
      <c r="F1906" s="1" t="s">
        <v>5763</v>
      </c>
      <c r="I1906" s="1" t="s">
        <v>19</v>
      </c>
      <c r="L1906" s="1" t="s">
        <v>5764</v>
      </c>
      <c r="M1906" s="1" t="s">
        <v>5763</v>
      </c>
      <c r="N1906" s="1">
        <v>318</v>
      </c>
      <c r="O1906" s="1" t="s">
        <v>5765</v>
      </c>
      <c r="Q1906" s="14"/>
    </row>
    <row r="1907" spans="1:17" x14ac:dyDescent="0.35">
      <c r="A1907" s="1" t="s">
        <v>15</v>
      </c>
      <c r="B1907" s="1">
        <v>2060437</v>
      </c>
      <c r="C1907" s="1">
        <v>2060703</v>
      </c>
      <c r="E1907" s="1" t="s">
        <v>178</v>
      </c>
      <c r="F1907" s="1" t="s">
        <v>54</v>
      </c>
      <c r="I1907" s="1" t="s">
        <v>19</v>
      </c>
      <c r="L1907" s="1" t="s">
        <v>5766</v>
      </c>
      <c r="M1907" s="1" t="s">
        <v>54</v>
      </c>
      <c r="N1907" s="1">
        <v>88</v>
      </c>
      <c r="O1907" s="1" t="s">
        <v>5767</v>
      </c>
    </row>
    <row r="1908" spans="1:17" x14ac:dyDescent="0.35">
      <c r="A1908" s="1" t="s">
        <v>15</v>
      </c>
      <c r="B1908" s="1">
        <v>2060732</v>
      </c>
      <c r="C1908" s="1">
        <v>2061169</v>
      </c>
      <c r="E1908" s="1" t="s">
        <v>178</v>
      </c>
      <c r="F1908" s="1" t="s">
        <v>5768</v>
      </c>
      <c r="G1908" s="1" t="s">
        <v>5769</v>
      </c>
      <c r="I1908" s="1" t="s">
        <v>19</v>
      </c>
      <c r="L1908" s="1" t="s">
        <v>5770</v>
      </c>
      <c r="M1908" s="1" t="s">
        <v>5768</v>
      </c>
      <c r="N1908" s="1">
        <v>145</v>
      </c>
      <c r="O1908" s="1" t="s">
        <v>5771</v>
      </c>
    </row>
    <row r="1909" spans="1:17" x14ac:dyDescent="0.35">
      <c r="A1909" s="1" t="s">
        <v>15</v>
      </c>
      <c r="B1909" s="1">
        <v>2061156</v>
      </c>
      <c r="C1909" s="1">
        <v>2061386</v>
      </c>
      <c r="E1909" s="1" t="s">
        <v>178</v>
      </c>
      <c r="F1909" s="1" t="s">
        <v>54</v>
      </c>
      <c r="I1909" s="1" t="s">
        <v>19</v>
      </c>
      <c r="L1909" s="1" t="s">
        <v>5772</v>
      </c>
      <c r="M1909" s="1" t="s">
        <v>54</v>
      </c>
      <c r="N1909" s="1">
        <v>76</v>
      </c>
      <c r="O1909" s="1" t="s">
        <v>5773</v>
      </c>
    </row>
    <row r="1910" spans="1:17" x14ac:dyDescent="0.35">
      <c r="A1910" s="1" t="s">
        <v>15</v>
      </c>
      <c r="B1910" s="1">
        <v>2061418</v>
      </c>
      <c r="C1910" s="1">
        <v>2061795</v>
      </c>
      <c r="E1910" s="1" t="s">
        <v>178</v>
      </c>
      <c r="F1910" s="1" t="s">
        <v>5774</v>
      </c>
      <c r="G1910" s="1" t="s">
        <v>5775</v>
      </c>
      <c r="I1910" s="1" t="s">
        <v>19</v>
      </c>
      <c r="L1910" s="1" t="s">
        <v>5776</v>
      </c>
      <c r="M1910" s="1" t="s">
        <v>5774</v>
      </c>
      <c r="N1910" s="1">
        <v>125</v>
      </c>
      <c r="O1910" s="1" t="s">
        <v>5777</v>
      </c>
    </row>
    <row r="1911" spans="1:17" x14ac:dyDescent="0.35">
      <c r="A1911" s="1" t="s">
        <v>15</v>
      </c>
      <c r="B1911" s="1">
        <v>2061806</v>
      </c>
      <c r="C1911" s="1">
        <v>2062132</v>
      </c>
      <c r="E1911" s="1" t="s">
        <v>178</v>
      </c>
      <c r="F1911" s="1" t="s">
        <v>5778</v>
      </c>
      <c r="G1911" s="1" t="s">
        <v>5779</v>
      </c>
      <c r="I1911" s="1" t="s">
        <v>19</v>
      </c>
      <c r="L1911" s="1" t="s">
        <v>5780</v>
      </c>
      <c r="M1911" s="1" t="s">
        <v>5778</v>
      </c>
      <c r="N1911" s="1">
        <v>108</v>
      </c>
      <c r="O1911" s="1" t="s">
        <v>5781</v>
      </c>
    </row>
    <row r="1912" spans="1:17" x14ac:dyDescent="0.35">
      <c r="A1912" s="1" t="s">
        <v>15</v>
      </c>
      <c r="B1912" s="1">
        <v>2062129</v>
      </c>
      <c r="C1912" s="1">
        <v>2062977</v>
      </c>
      <c r="E1912" s="1" t="s">
        <v>178</v>
      </c>
      <c r="F1912" s="1" t="s">
        <v>5782</v>
      </c>
      <c r="G1912" s="1" t="s">
        <v>5783</v>
      </c>
      <c r="I1912" s="1" t="s">
        <v>19</v>
      </c>
      <c r="L1912" s="1" t="s">
        <v>5784</v>
      </c>
      <c r="M1912" s="1" t="s">
        <v>5782</v>
      </c>
      <c r="N1912" s="1">
        <v>282</v>
      </c>
      <c r="O1912" s="1" t="s">
        <v>5785</v>
      </c>
    </row>
    <row r="1913" spans="1:17" x14ac:dyDescent="0.35">
      <c r="A1913" s="1" t="s">
        <v>15</v>
      </c>
      <c r="B1913" s="1">
        <v>2063111</v>
      </c>
      <c r="C1913" s="1">
        <v>2064052</v>
      </c>
      <c r="E1913" s="1" t="s">
        <v>178</v>
      </c>
      <c r="F1913" s="1" t="s">
        <v>5782</v>
      </c>
      <c r="G1913" s="1" t="s">
        <v>5786</v>
      </c>
      <c r="I1913" s="1" t="s">
        <v>19</v>
      </c>
      <c r="L1913" s="1" t="s">
        <v>5787</v>
      </c>
      <c r="M1913" s="1" t="s">
        <v>5782</v>
      </c>
      <c r="N1913" s="1">
        <v>313</v>
      </c>
      <c r="O1913" s="1" t="s">
        <v>5788</v>
      </c>
    </row>
    <row r="1914" spans="1:17" x14ac:dyDescent="0.35">
      <c r="A1914" s="1" t="s">
        <v>15</v>
      </c>
      <c r="B1914" s="1">
        <v>2064132</v>
      </c>
      <c r="C1914" s="1">
        <v>2064494</v>
      </c>
      <c r="E1914" s="1" t="s">
        <v>178</v>
      </c>
      <c r="F1914" s="1" t="s">
        <v>5789</v>
      </c>
      <c r="I1914" s="1" t="s">
        <v>19</v>
      </c>
      <c r="L1914" s="1" t="s">
        <v>5790</v>
      </c>
      <c r="M1914" s="1" t="s">
        <v>5789</v>
      </c>
      <c r="N1914" s="1">
        <v>120</v>
      </c>
      <c r="O1914" s="1" t="s">
        <v>5791</v>
      </c>
    </row>
    <row r="1915" spans="1:17" x14ac:dyDescent="0.35">
      <c r="A1915" s="1" t="s">
        <v>15</v>
      </c>
      <c r="B1915" s="1">
        <v>2064657</v>
      </c>
      <c r="C1915" s="1">
        <v>2068295</v>
      </c>
      <c r="E1915" s="1" t="s">
        <v>178</v>
      </c>
      <c r="F1915" s="1" t="s">
        <v>5792</v>
      </c>
      <c r="G1915" s="1" t="s">
        <v>5793</v>
      </c>
      <c r="I1915" s="1" t="s">
        <v>19</v>
      </c>
      <c r="L1915" s="1" t="s">
        <v>5794</v>
      </c>
      <c r="M1915" s="1" t="s">
        <v>5792</v>
      </c>
      <c r="N1915" s="1">
        <v>1212</v>
      </c>
      <c r="O1915" s="1" t="s">
        <v>5795</v>
      </c>
      <c r="Q1915" s="14"/>
    </row>
    <row r="1916" spans="1:17" x14ac:dyDescent="0.35">
      <c r="A1916" s="1" t="s">
        <v>15</v>
      </c>
      <c r="B1916" s="1">
        <v>2068395</v>
      </c>
      <c r="C1916" s="1">
        <v>2071976</v>
      </c>
      <c r="E1916" s="1" t="s">
        <v>178</v>
      </c>
      <c r="F1916" s="1" t="s">
        <v>5792</v>
      </c>
      <c r="G1916" s="1" t="s">
        <v>5796</v>
      </c>
      <c r="I1916" s="1" t="s">
        <v>19</v>
      </c>
      <c r="L1916" s="1" t="s">
        <v>5797</v>
      </c>
      <c r="M1916" s="1" t="s">
        <v>5792</v>
      </c>
      <c r="N1916" s="1">
        <v>1193</v>
      </c>
      <c r="O1916" s="1" t="s">
        <v>5798</v>
      </c>
      <c r="Q1916" s="14"/>
    </row>
    <row r="1917" spans="1:17" x14ac:dyDescent="0.35">
      <c r="A1917" s="1" t="s">
        <v>15</v>
      </c>
      <c r="B1917" s="1">
        <v>2072336</v>
      </c>
      <c r="C1917" s="1">
        <v>2074576</v>
      </c>
      <c r="E1917" s="1" t="s">
        <v>178</v>
      </c>
      <c r="F1917" s="1" t="s">
        <v>5799</v>
      </c>
      <c r="G1917" s="1" t="s">
        <v>5800</v>
      </c>
      <c r="I1917" s="1" t="s">
        <v>19</v>
      </c>
      <c r="L1917" s="1" t="s">
        <v>5801</v>
      </c>
      <c r="M1917" s="1" t="s">
        <v>5799</v>
      </c>
      <c r="N1917" s="1">
        <v>746</v>
      </c>
      <c r="O1917" s="1" t="s">
        <v>5802</v>
      </c>
      <c r="Q1917" s="14"/>
    </row>
    <row r="1918" spans="1:17" x14ac:dyDescent="0.35">
      <c r="A1918" s="1" t="s">
        <v>15</v>
      </c>
      <c r="B1918" s="1">
        <v>2074861</v>
      </c>
      <c r="C1918" s="1">
        <v>2076117</v>
      </c>
      <c r="E1918" s="1" t="s">
        <v>16</v>
      </c>
      <c r="F1918" s="1" t="s">
        <v>5803</v>
      </c>
      <c r="G1918" s="1" t="s">
        <v>5804</v>
      </c>
      <c r="I1918" s="1" t="s">
        <v>19</v>
      </c>
      <c r="L1918" s="1" t="s">
        <v>5805</v>
      </c>
      <c r="M1918" s="1" t="s">
        <v>5803</v>
      </c>
      <c r="N1918" s="1">
        <v>418</v>
      </c>
      <c r="O1918" s="1" t="s">
        <v>5806</v>
      </c>
    </row>
    <row r="1919" spans="1:17" x14ac:dyDescent="0.35">
      <c r="A1919" s="1" t="s">
        <v>15</v>
      </c>
      <c r="B1919" s="1">
        <v>2076246</v>
      </c>
      <c r="C1919" s="1">
        <v>2077268</v>
      </c>
      <c r="E1919" s="1" t="s">
        <v>178</v>
      </c>
      <c r="F1919" s="1" t="s">
        <v>5807</v>
      </c>
      <c r="G1919" s="1" t="s">
        <v>5808</v>
      </c>
      <c r="I1919" s="1" t="s">
        <v>19</v>
      </c>
      <c r="L1919" s="1" t="s">
        <v>5809</v>
      </c>
      <c r="M1919" s="1" t="s">
        <v>5807</v>
      </c>
      <c r="N1919" s="1">
        <v>340</v>
      </c>
      <c r="O1919" s="1" t="s">
        <v>5810</v>
      </c>
      <c r="Q1919" s="14"/>
    </row>
    <row r="1920" spans="1:17" x14ac:dyDescent="0.35">
      <c r="A1920" s="1" t="s">
        <v>15</v>
      </c>
      <c r="B1920" s="1">
        <v>2077344</v>
      </c>
      <c r="C1920" s="1">
        <v>2077811</v>
      </c>
      <c r="E1920" s="1" t="s">
        <v>178</v>
      </c>
      <c r="F1920" s="1" t="s">
        <v>5811</v>
      </c>
      <c r="G1920" s="1" t="s">
        <v>5812</v>
      </c>
      <c r="I1920" s="1" t="s">
        <v>19</v>
      </c>
      <c r="L1920" s="1" t="s">
        <v>5813</v>
      </c>
      <c r="M1920" s="1" t="s">
        <v>5811</v>
      </c>
      <c r="N1920" s="1">
        <v>155</v>
      </c>
      <c r="O1920" s="1" t="s">
        <v>5814</v>
      </c>
      <c r="Q1920" s="14"/>
    </row>
    <row r="1921" spans="1:17" x14ac:dyDescent="0.35">
      <c r="A1921" s="1" t="s">
        <v>15</v>
      </c>
      <c r="B1921" s="1">
        <v>2077813</v>
      </c>
      <c r="C1921" s="1">
        <v>2079513</v>
      </c>
      <c r="E1921" s="1" t="s">
        <v>178</v>
      </c>
      <c r="F1921" s="1" t="s">
        <v>5815</v>
      </c>
      <c r="G1921" s="1" t="s">
        <v>5816</v>
      </c>
      <c r="I1921" s="1" t="s">
        <v>19</v>
      </c>
      <c r="L1921" s="1" t="s">
        <v>5817</v>
      </c>
      <c r="M1921" s="1" t="s">
        <v>5815</v>
      </c>
      <c r="N1921" s="1">
        <v>566</v>
      </c>
      <c r="O1921" s="1" t="s">
        <v>5818</v>
      </c>
      <c r="Q1921" s="14"/>
    </row>
    <row r="1922" spans="1:17" x14ac:dyDescent="0.35">
      <c r="A1922" s="1" t="s">
        <v>15</v>
      </c>
      <c r="B1922" s="1">
        <v>2079647</v>
      </c>
      <c r="C1922" s="1">
        <v>2081368</v>
      </c>
      <c r="E1922" s="1" t="s">
        <v>178</v>
      </c>
      <c r="F1922" s="1" t="s">
        <v>5006</v>
      </c>
      <c r="I1922" s="1" t="s">
        <v>19</v>
      </c>
      <c r="L1922" s="1" t="s">
        <v>5819</v>
      </c>
      <c r="M1922" s="1" t="s">
        <v>5006</v>
      </c>
      <c r="N1922" s="1">
        <v>573</v>
      </c>
      <c r="O1922" s="1" t="s">
        <v>5820</v>
      </c>
      <c r="Q1922" s="14"/>
    </row>
    <row r="1923" spans="1:17" x14ac:dyDescent="0.35">
      <c r="A1923" s="1" t="s">
        <v>15</v>
      </c>
      <c r="B1923" s="1">
        <v>2081538</v>
      </c>
      <c r="C1923" s="1">
        <v>2083205</v>
      </c>
      <c r="E1923" s="1" t="s">
        <v>178</v>
      </c>
      <c r="F1923" s="1" t="s">
        <v>54</v>
      </c>
      <c r="I1923" s="1" t="s">
        <v>19</v>
      </c>
      <c r="L1923" s="1" t="s">
        <v>5821</v>
      </c>
      <c r="M1923" s="1" t="s">
        <v>54</v>
      </c>
      <c r="N1923" s="1">
        <v>555</v>
      </c>
      <c r="O1923" s="1" t="s">
        <v>5822</v>
      </c>
    </row>
    <row r="1924" spans="1:17" x14ac:dyDescent="0.35">
      <c r="A1924" s="1" t="s">
        <v>15</v>
      </c>
      <c r="B1924" s="1">
        <v>2083205</v>
      </c>
      <c r="C1924" s="1">
        <v>2083570</v>
      </c>
      <c r="E1924" s="1" t="s">
        <v>178</v>
      </c>
      <c r="F1924" s="1" t="s">
        <v>5823</v>
      </c>
      <c r="G1924" s="1" t="s">
        <v>5824</v>
      </c>
      <c r="I1924" s="1" t="s">
        <v>19</v>
      </c>
      <c r="L1924" s="1" t="s">
        <v>5825</v>
      </c>
      <c r="M1924" s="1" t="s">
        <v>5823</v>
      </c>
      <c r="N1924" s="1">
        <v>121</v>
      </c>
      <c r="O1924" s="1" t="s">
        <v>5826</v>
      </c>
    </row>
    <row r="1925" spans="1:17" x14ac:dyDescent="0.35">
      <c r="A1925" s="1" t="s">
        <v>15</v>
      </c>
      <c r="B1925" s="1">
        <v>2083682</v>
      </c>
      <c r="C1925" s="1">
        <v>2084968</v>
      </c>
      <c r="E1925" s="1" t="s">
        <v>178</v>
      </c>
      <c r="F1925" s="1" t="s">
        <v>5827</v>
      </c>
      <c r="I1925" s="1" t="s">
        <v>19</v>
      </c>
      <c r="L1925" s="1" t="s">
        <v>5828</v>
      </c>
      <c r="M1925" s="1" t="s">
        <v>5827</v>
      </c>
      <c r="N1925" s="1">
        <v>428</v>
      </c>
      <c r="O1925" s="1" t="s">
        <v>5829</v>
      </c>
    </row>
    <row r="1926" spans="1:17" x14ac:dyDescent="0.35">
      <c r="A1926" s="1" t="s">
        <v>15</v>
      </c>
      <c r="B1926" s="1">
        <v>2085029</v>
      </c>
      <c r="C1926" s="1">
        <v>2086513</v>
      </c>
      <c r="E1926" s="1" t="s">
        <v>178</v>
      </c>
      <c r="F1926" s="1" t="s">
        <v>5830</v>
      </c>
      <c r="G1926" s="1" t="s">
        <v>5831</v>
      </c>
      <c r="I1926" s="1" t="s">
        <v>19</v>
      </c>
      <c r="L1926" s="1" t="s">
        <v>5832</v>
      </c>
      <c r="M1926" s="1" t="s">
        <v>5830</v>
      </c>
      <c r="N1926" s="1">
        <v>494</v>
      </c>
      <c r="O1926" s="1" t="s">
        <v>5833</v>
      </c>
    </row>
    <row r="1927" spans="1:17" x14ac:dyDescent="0.35">
      <c r="A1927" s="1" t="s">
        <v>15</v>
      </c>
      <c r="B1927" s="1">
        <v>2086673</v>
      </c>
      <c r="C1927" s="1">
        <v>2087650</v>
      </c>
      <c r="E1927" s="1" t="s">
        <v>178</v>
      </c>
      <c r="F1927" s="1" t="s">
        <v>54</v>
      </c>
      <c r="I1927" s="1" t="s">
        <v>19</v>
      </c>
      <c r="L1927" s="1" t="s">
        <v>5834</v>
      </c>
      <c r="M1927" s="1" t="s">
        <v>54</v>
      </c>
      <c r="N1927" s="1">
        <v>325</v>
      </c>
      <c r="O1927" s="1" t="s">
        <v>5835</v>
      </c>
    </row>
    <row r="1928" spans="1:17" x14ac:dyDescent="0.35">
      <c r="A1928" s="1" t="s">
        <v>15</v>
      </c>
      <c r="B1928" s="1">
        <v>2087676</v>
      </c>
      <c r="C1928" s="1">
        <v>2088521</v>
      </c>
      <c r="E1928" s="1" t="s">
        <v>178</v>
      </c>
      <c r="F1928" s="1" t="s">
        <v>54</v>
      </c>
      <c r="I1928" s="1" t="s">
        <v>19</v>
      </c>
      <c r="L1928" s="1" t="s">
        <v>5836</v>
      </c>
      <c r="M1928" s="1" t="s">
        <v>54</v>
      </c>
      <c r="N1928" s="1">
        <v>281</v>
      </c>
      <c r="O1928" s="1" t="s">
        <v>5837</v>
      </c>
    </row>
    <row r="1929" spans="1:17" x14ac:dyDescent="0.35">
      <c r="A1929" s="1" t="s">
        <v>15</v>
      </c>
      <c r="B1929" s="1">
        <v>2088682</v>
      </c>
      <c r="C1929" s="1">
        <v>2091270</v>
      </c>
      <c r="E1929" s="1" t="s">
        <v>178</v>
      </c>
      <c r="F1929" s="1" t="s">
        <v>5838</v>
      </c>
      <c r="G1929" s="1" t="s">
        <v>5839</v>
      </c>
      <c r="I1929" s="1" t="s">
        <v>19</v>
      </c>
      <c r="L1929" s="1" t="s">
        <v>5840</v>
      </c>
      <c r="M1929" s="1" t="s">
        <v>5838</v>
      </c>
      <c r="N1929" s="1">
        <v>862</v>
      </c>
      <c r="O1929" s="1" t="s">
        <v>5841</v>
      </c>
      <c r="Q1929" s="14"/>
    </row>
    <row r="1930" spans="1:17" x14ac:dyDescent="0.35">
      <c r="A1930" s="1" t="s">
        <v>15</v>
      </c>
      <c r="B1930" s="1">
        <v>2091410</v>
      </c>
      <c r="C1930" s="1">
        <v>2093305</v>
      </c>
      <c r="E1930" s="1" t="s">
        <v>178</v>
      </c>
      <c r="F1930" s="1" t="s">
        <v>4280</v>
      </c>
      <c r="G1930" s="1" t="s">
        <v>5842</v>
      </c>
      <c r="I1930" s="1" t="s">
        <v>19</v>
      </c>
      <c r="L1930" s="1" t="s">
        <v>5843</v>
      </c>
      <c r="M1930" s="1" t="s">
        <v>4280</v>
      </c>
      <c r="N1930" s="1">
        <v>631</v>
      </c>
      <c r="O1930" s="1" t="s">
        <v>5844</v>
      </c>
      <c r="Q1930" s="14"/>
    </row>
    <row r="1931" spans="1:17" x14ac:dyDescent="0.35">
      <c r="A1931" s="1" t="s">
        <v>15</v>
      </c>
      <c r="B1931" s="1">
        <v>2093387</v>
      </c>
      <c r="C1931" s="1">
        <v>2095012</v>
      </c>
      <c r="E1931" s="1" t="s">
        <v>178</v>
      </c>
      <c r="F1931" s="1" t="s">
        <v>5845</v>
      </c>
      <c r="G1931" s="1" t="s">
        <v>5846</v>
      </c>
      <c r="I1931" s="1" t="s">
        <v>19</v>
      </c>
      <c r="L1931" s="1" t="s">
        <v>5847</v>
      </c>
      <c r="M1931" s="1" t="s">
        <v>5845</v>
      </c>
      <c r="N1931" s="1">
        <v>541</v>
      </c>
      <c r="O1931" s="1" t="s">
        <v>5848</v>
      </c>
      <c r="Q1931" s="14"/>
    </row>
    <row r="1932" spans="1:17" x14ac:dyDescent="0.35">
      <c r="A1932" s="1" t="s">
        <v>15</v>
      </c>
      <c r="B1932" s="1">
        <v>2095080</v>
      </c>
      <c r="C1932" s="1">
        <v>2095817</v>
      </c>
      <c r="E1932" s="1" t="s">
        <v>178</v>
      </c>
      <c r="F1932" s="1" t="s">
        <v>54</v>
      </c>
      <c r="I1932" s="1" t="s">
        <v>19</v>
      </c>
      <c r="L1932" s="1" t="s">
        <v>5849</v>
      </c>
      <c r="M1932" s="1" t="s">
        <v>54</v>
      </c>
      <c r="N1932" s="1">
        <v>245</v>
      </c>
      <c r="O1932" s="1" t="s">
        <v>5850</v>
      </c>
    </row>
    <row r="1933" spans="1:17" x14ac:dyDescent="0.35">
      <c r="A1933" s="1" t="s">
        <v>15</v>
      </c>
      <c r="B1933" s="1">
        <v>2095870</v>
      </c>
      <c r="C1933" s="1">
        <v>2097030</v>
      </c>
      <c r="E1933" s="1" t="s">
        <v>178</v>
      </c>
      <c r="F1933" s="1" t="s">
        <v>5851</v>
      </c>
      <c r="G1933" s="1" t="s">
        <v>5852</v>
      </c>
      <c r="I1933" s="1" t="s">
        <v>19</v>
      </c>
      <c r="L1933" s="1" t="s">
        <v>5853</v>
      </c>
      <c r="M1933" s="1" t="s">
        <v>5851</v>
      </c>
      <c r="N1933" s="1">
        <v>386</v>
      </c>
      <c r="O1933" s="1" t="s">
        <v>5854</v>
      </c>
      <c r="Q1933" s="14"/>
    </row>
    <row r="1934" spans="1:17" x14ac:dyDescent="0.35">
      <c r="A1934" s="1" t="s">
        <v>15</v>
      </c>
      <c r="B1934" s="1">
        <v>2097187</v>
      </c>
      <c r="C1934" s="1">
        <v>2097897</v>
      </c>
      <c r="E1934" s="1" t="s">
        <v>16</v>
      </c>
      <c r="F1934" s="1" t="s">
        <v>5855</v>
      </c>
      <c r="G1934" s="1" t="s">
        <v>5856</v>
      </c>
      <c r="I1934" s="1" t="s">
        <v>19</v>
      </c>
      <c r="L1934" s="1" t="s">
        <v>5857</v>
      </c>
      <c r="M1934" s="1" t="s">
        <v>5855</v>
      </c>
      <c r="N1934" s="1">
        <v>236</v>
      </c>
      <c r="O1934" s="1" t="s">
        <v>5858</v>
      </c>
    </row>
    <row r="1935" spans="1:17" x14ac:dyDescent="0.35">
      <c r="A1935" s="1" t="s">
        <v>15</v>
      </c>
      <c r="B1935" s="1">
        <v>2097951</v>
      </c>
      <c r="C1935" s="1">
        <v>2098511</v>
      </c>
      <c r="E1935" s="1" t="s">
        <v>178</v>
      </c>
      <c r="F1935" s="1" t="s">
        <v>26</v>
      </c>
      <c r="I1935" s="1" t="s">
        <v>19</v>
      </c>
      <c r="L1935" s="1" t="s">
        <v>5859</v>
      </c>
      <c r="M1935" s="1" t="s">
        <v>26</v>
      </c>
      <c r="N1935" s="1">
        <v>186</v>
      </c>
      <c r="O1935" s="1" t="s">
        <v>5860</v>
      </c>
    </row>
    <row r="1936" spans="1:17" x14ac:dyDescent="0.35">
      <c r="A1936" s="1" t="s">
        <v>15</v>
      </c>
      <c r="B1936" s="1">
        <v>2098527</v>
      </c>
      <c r="C1936" s="1">
        <v>2098865</v>
      </c>
      <c r="E1936" s="1" t="s">
        <v>178</v>
      </c>
      <c r="F1936" s="1" t="s">
        <v>54</v>
      </c>
      <c r="I1936" s="1" t="s">
        <v>19</v>
      </c>
      <c r="L1936" s="1" t="s">
        <v>5861</v>
      </c>
      <c r="M1936" s="1" t="s">
        <v>54</v>
      </c>
      <c r="N1936" s="1">
        <v>112</v>
      </c>
      <c r="O1936" s="1" t="s">
        <v>5862</v>
      </c>
    </row>
    <row r="1937" spans="1:17" x14ac:dyDescent="0.35">
      <c r="A1937" s="1" t="s">
        <v>15</v>
      </c>
      <c r="B1937" s="1">
        <v>2098898</v>
      </c>
      <c r="C1937" s="1">
        <v>2099248</v>
      </c>
      <c r="E1937" s="1" t="s">
        <v>178</v>
      </c>
      <c r="F1937" s="1" t="s">
        <v>54</v>
      </c>
      <c r="I1937" s="1" t="s">
        <v>19</v>
      </c>
      <c r="L1937" s="1" t="s">
        <v>5863</v>
      </c>
      <c r="M1937" s="1" t="s">
        <v>54</v>
      </c>
      <c r="N1937" s="1">
        <v>116</v>
      </c>
      <c r="O1937" s="1" t="s">
        <v>5864</v>
      </c>
    </row>
    <row r="1938" spans="1:17" x14ac:dyDescent="0.35">
      <c r="A1938" s="1" t="s">
        <v>15</v>
      </c>
      <c r="B1938" s="1">
        <v>2099534</v>
      </c>
      <c r="C1938" s="1">
        <v>2100415</v>
      </c>
      <c r="E1938" s="1" t="s">
        <v>178</v>
      </c>
      <c r="F1938" s="1" t="s">
        <v>5865</v>
      </c>
      <c r="G1938" s="1" t="s">
        <v>5866</v>
      </c>
      <c r="I1938" s="1" t="s">
        <v>19</v>
      </c>
      <c r="L1938" s="1" t="s">
        <v>5867</v>
      </c>
      <c r="M1938" s="1" t="s">
        <v>5865</v>
      </c>
      <c r="N1938" s="1">
        <v>293</v>
      </c>
      <c r="O1938" s="1" t="s">
        <v>5868</v>
      </c>
      <c r="Q1938" s="14"/>
    </row>
    <row r="1939" spans="1:17" x14ac:dyDescent="0.35">
      <c r="A1939" s="1" t="s">
        <v>15</v>
      </c>
      <c r="B1939" s="1">
        <v>2100561</v>
      </c>
      <c r="C1939" s="1">
        <v>2100646</v>
      </c>
      <c r="E1939" s="1" t="s">
        <v>178</v>
      </c>
      <c r="F1939" s="1" t="s">
        <v>89</v>
      </c>
      <c r="I1939" s="1" t="s">
        <v>75</v>
      </c>
      <c r="O1939" s="1" t="s">
        <v>5869</v>
      </c>
    </row>
    <row r="1940" spans="1:17" x14ac:dyDescent="0.35">
      <c r="A1940" s="1" t="s">
        <v>15</v>
      </c>
      <c r="B1940" s="1">
        <v>2100838</v>
      </c>
      <c r="C1940" s="1">
        <v>2102133</v>
      </c>
      <c r="E1940" s="1" t="s">
        <v>178</v>
      </c>
      <c r="F1940" s="1" t="s">
        <v>5870</v>
      </c>
      <c r="I1940" s="1" t="s">
        <v>19</v>
      </c>
      <c r="L1940" s="1" t="s">
        <v>5871</v>
      </c>
      <c r="M1940" s="1" t="s">
        <v>5870</v>
      </c>
      <c r="N1940" s="1">
        <v>431</v>
      </c>
      <c r="O1940" s="1" t="s">
        <v>5872</v>
      </c>
    </row>
    <row r="1941" spans="1:17" x14ac:dyDescent="0.35">
      <c r="A1941" s="1" t="s">
        <v>15</v>
      </c>
      <c r="B1941" s="1">
        <v>2102383</v>
      </c>
      <c r="C1941" s="1">
        <v>2102769</v>
      </c>
      <c r="E1941" s="1" t="s">
        <v>178</v>
      </c>
      <c r="F1941" s="1" t="s">
        <v>5873</v>
      </c>
      <c r="G1941" s="1" t="s">
        <v>5874</v>
      </c>
      <c r="I1941" s="1" t="s">
        <v>19</v>
      </c>
      <c r="L1941" s="1" t="s">
        <v>5875</v>
      </c>
      <c r="M1941" s="1" t="s">
        <v>5873</v>
      </c>
      <c r="N1941" s="1">
        <v>128</v>
      </c>
      <c r="O1941" s="1" t="s">
        <v>5876</v>
      </c>
    </row>
    <row r="1942" spans="1:17" x14ac:dyDescent="0.35">
      <c r="A1942" s="1" t="s">
        <v>15</v>
      </c>
      <c r="B1942" s="1">
        <v>2102787</v>
      </c>
      <c r="C1942" s="1">
        <v>2103725</v>
      </c>
      <c r="E1942" s="1" t="s">
        <v>178</v>
      </c>
      <c r="F1942" s="1" t="s">
        <v>5877</v>
      </c>
      <c r="G1942" s="1" t="s">
        <v>5878</v>
      </c>
      <c r="I1942" s="1" t="s">
        <v>19</v>
      </c>
      <c r="L1942" s="1" t="s">
        <v>5879</v>
      </c>
      <c r="M1942" s="1" t="s">
        <v>5877</v>
      </c>
      <c r="N1942" s="1">
        <v>312</v>
      </c>
      <c r="O1942" s="1" t="s">
        <v>5880</v>
      </c>
      <c r="Q1942" s="14"/>
    </row>
    <row r="1943" spans="1:17" x14ac:dyDescent="0.35">
      <c r="A1943" s="1" t="s">
        <v>15</v>
      </c>
      <c r="B1943" s="1">
        <v>2103774</v>
      </c>
      <c r="C1943" s="1">
        <v>2104157</v>
      </c>
      <c r="E1943" s="1" t="s">
        <v>178</v>
      </c>
      <c r="F1943" s="1" t="s">
        <v>5881</v>
      </c>
      <c r="G1943" s="1" t="s">
        <v>5882</v>
      </c>
      <c r="I1943" s="1" t="s">
        <v>19</v>
      </c>
      <c r="L1943" s="1" t="s">
        <v>5883</v>
      </c>
      <c r="M1943" s="1" t="s">
        <v>5881</v>
      </c>
      <c r="N1943" s="1">
        <v>127</v>
      </c>
      <c r="O1943" s="1" t="s">
        <v>5884</v>
      </c>
    </row>
    <row r="1944" spans="1:17" x14ac:dyDescent="0.35">
      <c r="A1944" s="1" t="s">
        <v>15</v>
      </c>
      <c r="B1944" s="1">
        <v>2104184</v>
      </c>
      <c r="C1944" s="1">
        <v>2104549</v>
      </c>
      <c r="E1944" s="1" t="s">
        <v>178</v>
      </c>
      <c r="F1944" s="1" t="s">
        <v>5885</v>
      </c>
      <c r="G1944" s="1" t="s">
        <v>5886</v>
      </c>
      <c r="I1944" s="1" t="s">
        <v>19</v>
      </c>
      <c r="L1944" s="1" t="s">
        <v>5887</v>
      </c>
      <c r="M1944" s="1" t="s">
        <v>5885</v>
      </c>
      <c r="N1944" s="1">
        <v>121</v>
      </c>
      <c r="O1944" s="1" t="s">
        <v>5888</v>
      </c>
    </row>
    <row r="1945" spans="1:17" x14ac:dyDescent="0.35">
      <c r="A1945" s="1" t="s">
        <v>15</v>
      </c>
      <c r="B1945" s="1">
        <v>2104567</v>
      </c>
      <c r="C1945" s="1">
        <v>2104683</v>
      </c>
      <c r="E1945" s="1" t="s">
        <v>178</v>
      </c>
      <c r="F1945" s="1" t="s">
        <v>5889</v>
      </c>
      <c r="G1945" s="1" t="s">
        <v>5890</v>
      </c>
      <c r="I1945" s="1" t="s">
        <v>19</v>
      </c>
      <c r="L1945" s="1" t="s">
        <v>5891</v>
      </c>
      <c r="M1945" s="1" t="s">
        <v>5889</v>
      </c>
      <c r="N1945" s="1">
        <v>38</v>
      </c>
      <c r="O1945" s="1" t="s">
        <v>5892</v>
      </c>
    </row>
    <row r="1946" spans="1:17" x14ac:dyDescent="0.35">
      <c r="A1946" s="1" t="s">
        <v>15</v>
      </c>
      <c r="B1946" s="1">
        <v>2104709</v>
      </c>
      <c r="C1946" s="1">
        <v>2104927</v>
      </c>
      <c r="E1946" s="1" t="s">
        <v>178</v>
      </c>
      <c r="F1946" s="1" t="s">
        <v>5893</v>
      </c>
      <c r="G1946" s="1" t="s">
        <v>5894</v>
      </c>
      <c r="I1946" s="1" t="s">
        <v>19</v>
      </c>
      <c r="L1946" s="1" t="s">
        <v>5895</v>
      </c>
      <c r="M1946" s="1" t="s">
        <v>5893</v>
      </c>
      <c r="N1946" s="1">
        <v>72</v>
      </c>
      <c r="O1946" s="1" t="s">
        <v>5896</v>
      </c>
    </row>
    <row r="1947" spans="1:17" x14ac:dyDescent="0.35">
      <c r="A1947" s="1" t="s">
        <v>15</v>
      </c>
      <c r="B1947" s="1">
        <v>2105045</v>
      </c>
      <c r="C1947" s="1">
        <v>2105701</v>
      </c>
      <c r="E1947" s="1" t="s">
        <v>178</v>
      </c>
      <c r="F1947" s="1" t="s">
        <v>5897</v>
      </c>
      <c r="G1947" s="1" t="s">
        <v>5898</v>
      </c>
      <c r="I1947" s="1" t="s">
        <v>19</v>
      </c>
      <c r="L1947" s="1" t="s">
        <v>5899</v>
      </c>
      <c r="M1947" s="1" t="s">
        <v>5897</v>
      </c>
      <c r="N1947" s="1">
        <v>218</v>
      </c>
      <c r="O1947" s="1" t="s">
        <v>5900</v>
      </c>
      <c r="Q1947" s="14"/>
    </row>
    <row r="1948" spans="1:17" x14ac:dyDescent="0.35">
      <c r="A1948" s="1" t="s">
        <v>15</v>
      </c>
      <c r="B1948" s="1">
        <v>2105833</v>
      </c>
      <c r="C1948" s="1">
        <v>2107128</v>
      </c>
      <c r="E1948" s="1" t="s">
        <v>178</v>
      </c>
      <c r="F1948" s="1" t="s">
        <v>5901</v>
      </c>
      <c r="I1948" s="1" t="s">
        <v>19</v>
      </c>
      <c r="L1948" s="1" t="s">
        <v>5902</v>
      </c>
      <c r="M1948" s="1" t="s">
        <v>5901</v>
      </c>
      <c r="N1948" s="1">
        <v>431</v>
      </c>
      <c r="O1948" s="1" t="s">
        <v>5903</v>
      </c>
    </row>
    <row r="1949" spans="1:17" x14ac:dyDescent="0.35">
      <c r="A1949" s="1" t="s">
        <v>15</v>
      </c>
      <c r="B1949" s="1">
        <v>2107145</v>
      </c>
      <c r="C1949" s="1">
        <v>2107585</v>
      </c>
      <c r="E1949" s="1" t="s">
        <v>178</v>
      </c>
      <c r="F1949" s="1" t="s">
        <v>5904</v>
      </c>
      <c r="G1949" s="1" t="s">
        <v>5905</v>
      </c>
      <c r="I1949" s="1" t="s">
        <v>19</v>
      </c>
      <c r="L1949" s="1" t="s">
        <v>5906</v>
      </c>
      <c r="M1949" s="1" t="s">
        <v>5904</v>
      </c>
      <c r="N1949" s="1">
        <v>146</v>
      </c>
      <c r="O1949" s="1" t="s">
        <v>5907</v>
      </c>
    </row>
    <row r="1950" spans="1:17" x14ac:dyDescent="0.35">
      <c r="A1950" s="1" t="s">
        <v>15</v>
      </c>
      <c r="B1950" s="1">
        <v>2107713</v>
      </c>
      <c r="C1950" s="1">
        <v>2107895</v>
      </c>
      <c r="E1950" s="1" t="s">
        <v>178</v>
      </c>
      <c r="F1950" s="1" t="s">
        <v>5908</v>
      </c>
      <c r="G1950" s="1" t="s">
        <v>5909</v>
      </c>
      <c r="I1950" s="1" t="s">
        <v>19</v>
      </c>
      <c r="L1950" s="1" t="s">
        <v>5910</v>
      </c>
      <c r="M1950" s="1" t="s">
        <v>5908</v>
      </c>
      <c r="N1950" s="1">
        <v>60</v>
      </c>
      <c r="O1950" s="1" t="s">
        <v>5911</v>
      </c>
    </row>
    <row r="1951" spans="1:17" x14ac:dyDescent="0.35">
      <c r="A1951" s="1" t="s">
        <v>15</v>
      </c>
      <c r="B1951" s="1">
        <v>2107910</v>
      </c>
      <c r="C1951" s="1">
        <v>2108404</v>
      </c>
      <c r="E1951" s="1" t="s">
        <v>178</v>
      </c>
      <c r="F1951" s="1" t="s">
        <v>5912</v>
      </c>
      <c r="G1951" s="1" t="s">
        <v>5913</v>
      </c>
      <c r="I1951" s="1" t="s">
        <v>19</v>
      </c>
      <c r="L1951" s="1" t="s">
        <v>5914</v>
      </c>
      <c r="M1951" s="1" t="s">
        <v>5912</v>
      </c>
      <c r="N1951" s="1">
        <v>164</v>
      </c>
      <c r="O1951" s="1" t="s">
        <v>5915</v>
      </c>
    </row>
    <row r="1952" spans="1:17" x14ac:dyDescent="0.35">
      <c r="A1952" s="1" t="s">
        <v>15</v>
      </c>
      <c r="B1952" s="1">
        <v>2108423</v>
      </c>
      <c r="C1952" s="1">
        <v>2108779</v>
      </c>
      <c r="E1952" s="1" t="s">
        <v>178</v>
      </c>
      <c r="F1952" s="1" t="s">
        <v>5916</v>
      </c>
      <c r="G1952" s="1" t="s">
        <v>5917</v>
      </c>
      <c r="I1952" s="1" t="s">
        <v>19</v>
      </c>
      <c r="L1952" s="1" t="s">
        <v>5918</v>
      </c>
      <c r="M1952" s="1" t="s">
        <v>5916</v>
      </c>
      <c r="N1952" s="1">
        <v>118</v>
      </c>
      <c r="O1952" s="1" t="s">
        <v>5919</v>
      </c>
    </row>
    <row r="1953" spans="1:15" x14ac:dyDescent="0.35">
      <c r="A1953" s="1" t="s">
        <v>15</v>
      </c>
      <c r="B1953" s="1">
        <v>2108869</v>
      </c>
      <c r="C1953" s="1">
        <v>2109405</v>
      </c>
      <c r="E1953" s="1" t="s">
        <v>178</v>
      </c>
      <c r="F1953" s="1" t="s">
        <v>5920</v>
      </c>
      <c r="G1953" s="1" t="s">
        <v>5921</v>
      </c>
      <c r="I1953" s="1" t="s">
        <v>19</v>
      </c>
      <c r="L1953" s="1" t="s">
        <v>5922</v>
      </c>
      <c r="M1953" s="1" t="s">
        <v>5920</v>
      </c>
      <c r="N1953" s="1">
        <v>178</v>
      </c>
      <c r="O1953" s="1" t="s">
        <v>5923</v>
      </c>
    </row>
    <row r="1954" spans="1:15" x14ac:dyDescent="0.35">
      <c r="A1954" s="1" t="s">
        <v>15</v>
      </c>
      <c r="B1954" s="1">
        <v>2109532</v>
      </c>
      <c r="C1954" s="1">
        <v>2109930</v>
      </c>
      <c r="E1954" s="1" t="s">
        <v>178</v>
      </c>
      <c r="F1954" s="1" t="s">
        <v>5924</v>
      </c>
      <c r="G1954" s="1" t="s">
        <v>5925</v>
      </c>
      <c r="I1954" s="1" t="s">
        <v>19</v>
      </c>
      <c r="L1954" s="1" t="s">
        <v>5926</v>
      </c>
      <c r="M1954" s="1" t="s">
        <v>5924</v>
      </c>
      <c r="N1954" s="1">
        <v>132</v>
      </c>
      <c r="O1954" s="1" t="s">
        <v>5927</v>
      </c>
    </row>
    <row r="1955" spans="1:15" x14ac:dyDescent="0.35">
      <c r="A1955" s="1" t="s">
        <v>15</v>
      </c>
      <c r="B1955" s="1">
        <v>2110053</v>
      </c>
      <c r="C1955" s="1">
        <v>2110223</v>
      </c>
      <c r="E1955" s="1" t="s">
        <v>178</v>
      </c>
      <c r="F1955" s="1" t="s">
        <v>5928</v>
      </c>
      <c r="G1955" s="1" t="s">
        <v>5929</v>
      </c>
      <c r="I1955" s="1" t="s">
        <v>19</v>
      </c>
      <c r="L1955" s="1" t="s">
        <v>5930</v>
      </c>
      <c r="M1955" s="1" t="s">
        <v>5928</v>
      </c>
      <c r="N1955" s="1">
        <v>56</v>
      </c>
      <c r="O1955" s="1" t="s">
        <v>5931</v>
      </c>
    </row>
    <row r="1956" spans="1:15" x14ac:dyDescent="0.35">
      <c r="A1956" s="1" t="s">
        <v>15</v>
      </c>
      <c r="B1956" s="1">
        <v>2110256</v>
      </c>
      <c r="C1956" s="1">
        <v>2110798</v>
      </c>
      <c r="E1956" s="1" t="s">
        <v>178</v>
      </c>
      <c r="F1956" s="1" t="s">
        <v>5932</v>
      </c>
      <c r="G1956" s="1" t="s">
        <v>5933</v>
      </c>
      <c r="I1956" s="1" t="s">
        <v>19</v>
      </c>
      <c r="L1956" s="1" t="s">
        <v>5934</v>
      </c>
      <c r="M1956" s="1" t="s">
        <v>5932</v>
      </c>
      <c r="N1956" s="1">
        <v>180</v>
      </c>
      <c r="O1956" s="1" t="s">
        <v>5935</v>
      </c>
    </row>
    <row r="1957" spans="1:15" x14ac:dyDescent="0.35">
      <c r="A1957" s="1" t="s">
        <v>15</v>
      </c>
      <c r="B1957" s="1">
        <v>2110825</v>
      </c>
      <c r="C1957" s="1">
        <v>2111130</v>
      </c>
      <c r="E1957" s="1" t="s">
        <v>178</v>
      </c>
      <c r="F1957" s="1" t="s">
        <v>5936</v>
      </c>
      <c r="G1957" s="1" t="s">
        <v>5937</v>
      </c>
      <c r="I1957" s="1" t="s">
        <v>19</v>
      </c>
      <c r="L1957" s="1" t="s">
        <v>5938</v>
      </c>
      <c r="M1957" s="1" t="s">
        <v>5936</v>
      </c>
      <c r="N1957" s="1">
        <v>101</v>
      </c>
      <c r="O1957" s="1" t="s">
        <v>5939</v>
      </c>
    </row>
    <row r="1958" spans="1:15" x14ac:dyDescent="0.35">
      <c r="A1958" s="1" t="s">
        <v>15</v>
      </c>
      <c r="B1958" s="1">
        <v>2111211</v>
      </c>
      <c r="C1958" s="1">
        <v>2111579</v>
      </c>
      <c r="E1958" s="1" t="s">
        <v>178</v>
      </c>
      <c r="F1958" s="1" t="s">
        <v>5940</v>
      </c>
      <c r="G1958" s="1" t="s">
        <v>5941</v>
      </c>
      <c r="I1958" s="1" t="s">
        <v>19</v>
      </c>
      <c r="L1958" s="1" t="s">
        <v>5942</v>
      </c>
      <c r="M1958" s="1" t="s">
        <v>5940</v>
      </c>
      <c r="N1958" s="1">
        <v>122</v>
      </c>
      <c r="O1958" s="1" t="s">
        <v>5943</v>
      </c>
    </row>
    <row r="1959" spans="1:15" x14ac:dyDescent="0.35">
      <c r="A1959" s="1" t="s">
        <v>15</v>
      </c>
      <c r="B1959" s="1">
        <v>2111604</v>
      </c>
      <c r="C1959" s="1">
        <v>2111864</v>
      </c>
      <c r="E1959" s="1" t="s">
        <v>178</v>
      </c>
      <c r="F1959" s="1" t="s">
        <v>5944</v>
      </c>
      <c r="G1959" s="1" t="s">
        <v>5945</v>
      </c>
      <c r="I1959" s="1" t="s">
        <v>19</v>
      </c>
      <c r="L1959" s="1" t="s">
        <v>5946</v>
      </c>
      <c r="M1959" s="1" t="s">
        <v>5944</v>
      </c>
      <c r="N1959" s="1">
        <v>86</v>
      </c>
      <c r="O1959" s="1" t="s">
        <v>5947</v>
      </c>
    </row>
    <row r="1960" spans="1:15" x14ac:dyDescent="0.35">
      <c r="A1960" s="1" t="s">
        <v>15</v>
      </c>
      <c r="B1960" s="1">
        <v>2111892</v>
      </c>
      <c r="C1960" s="1">
        <v>2112098</v>
      </c>
      <c r="E1960" s="1" t="s">
        <v>178</v>
      </c>
      <c r="F1960" s="1" t="s">
        <v>5948</v>
      </c>
      <c r="G1960" s="1" t="s">
        <v>5949</v>
      </c>
      <c r="I1960" s="1" t="s">
        <v>19</v>
      </c>
      <c r="L1960" s="1" t="s">
        <v>5950</v>
      </c>
      <c r="M1960" s="1" t="s">
        <v>5948</v>
      </c>
      <c r="N1960" s="1">
        <v>68</v>
      </c>
      <c r="O1960" s="1" t="s">
        <v>5951</v>
      </c>
    </row>
    <row r="1961" spans="1:15" x14ac:dyDescent="0.35">
      <c r="A1961" s="1" t="s">
        <v>15</v>
      </c>
      <c r="B1961" s="1">
        <v>2112108</v>
      </c>
      <c r="C1961" s="1">
        <v>2112521</v>
      </c>
      <c r="E1961" s="1" t="s">
        <v>178</v>
      </c>
      <c r="F1961" s="1" t="s">
        <v>5952</v>
      </c>
      <c r="G1961" s="1" t="s">
        <v>5953</v>
      </c>
      <c r="I1961" s="1" t="s">
        <v>19</v>
      </c>
      <c r="L1961" s="1" t="s">
        <v>5954</v>
      </c>
      <c r="M1961" s="1" t="s">
        <v>5952</v>
      </c>
      <c r="N1961" s="1">
        <v>137</v>
      </c>
      <c r="O1961" s="1" t="s">
        <v>5955</v>
      </c>
    </row>
    <row r="1962" spans="1:15" x14ac:dyDescent="0.35">
      <c r="A1962" s="1" t="s">
        <v>15</v>
      </c>
      <c r="B1962" s="1">
        <v>2112525</v>
      </c>
      <c r="C1962" s="1">
        <v>2113178</v>
      </c>
      <c r="E1962" s="1" t="s">
        <v>178</v>
      </c>
      <c r="F1962" s="1" t="s">
        <v>5956</v>
      </c>
      <c r="G1962" s="1" t="s">
        <v>5957</v>
      </c>
      <c r="I1962" s="1" t="s">
        <v>19</v>
      </c>
      <c r="L1962" s="1" t="s">
        <v>5958</v>
      </c>
      <c r="M1962" s="1" t="s">
        <v>5956</v>
      </c>
      <c r="N1962" s="1">
        <v>217</v>
      </c>
      <c r="O1962" s="1" t="s">
        <v>5959</v>
      </c>
    </row>
    <row r="1963" spans="1:15" x14ac:dyDescent="0.35">
      <c r="A1963" s="1" t="s">
        <v>15</v>
      </c>
      <c r="B1963" s="1">
        <v>2113191</v>
      </c>
      <c r="C1963" s="1">
        <v>2113535</v>
      </c>
      <c r="E1963" s="1" t="s">
        <v>178</v>
      </c>
      <c r="F1963" s="1" t="s">
        <v>5960</v>
      </c>
      <c r="G1963" s="1" t="s">
        <v>5961</v>
      </c>
      <c r="I1963" s="1" t="s">
        <v>19</v>
      </c>
      <c r="L1963" s="1" t="s">
        <v>5962</v>
      </c>
      <c r="M1963" s="1" t="s">
        <v>5960</v>
      </c>
      <c r="N1963" s="1">
        <v>114</v>
      </c>
      <c r="O1963" s="1" t="s">
        <v>5963</v>
      </c>
    </row>
    <row r="1964" spans="1:15" x14ac:dyDescent="0.35">
      <c r="A1964" s="1" t="s">
        <v>15</v>
      </c>
      <c r="B1964" s="1">
        <v>2113551</v>
      </c>
      <c r="C1964" s="1">
        <v>2113829</v>
      </c>
      <c r="E1964" s="1" t="s">
        <v>178</v>
      </c>
      <c r="F1964" s="1" t="s">
        <v>5964</v>
      </c>
      <c r="G1964" s="1" t="s">
        <v>5965</v>
      </c>
      <c r="I1964" s="1" t="s">
        <v>19</v>
      </c>
      <c r="L1964" s="1" t="s">
        <v>5966</v>
      </c>
      <c r="M1964" s="1" t="s">
        <v>5964</v>
      </c>
      <c r="N1964" s="1">
        <v>92</v>
      </c>
      <c r="O1964" s="1" t="s">
        <v>5967</v>
      </c>
    </row>
    <row r="1965" spans="1:15" x14ac:dyDescent="0.35">
      <c r="A1965" s="1" t="s">
        <v>15</v>
      </c>
      <c r="B1965" s="1">
        <v>2113923</v>
      </c>
      <c r="C1965" s="1">
        <v>2114756</v>
      </c>
      <c r="E1965" s="1" t="s">
        <v>178</v>
      </c>
      <c r="F1965" s="1" t="s">
        <v>5968</v>
      </c>
      <c r="G1965" s="1" t="s">
        <v>5969</v>
      </c>
      <c r="I1965" s="1" t="s">
        <v>19</v>
      </c>
      <c r="L1965" s="1" t="s">
        <v>5970</v>
      </c>
      <c r="M1965" s="1" t="s">
        <v>5968</v>
      </c>
      <c r="N1965" s="1">
        <v>277</v>
      </c>
      <c r="O1965" s="1" t="s">
        <v>5971</v>
      </c>
    </row>
    <row r="1966" spans="1:15" x14ac:dyDescent="0.35">
      <c r="A1966" s="1" t="s">
        <v>15</v>
      </c>
      <c r="B1966" s="1">
        <v>2114774</v>
      </c>
      <c r="C1966" s="1">
        <v>2115070</v>
      </c>
      <c r="E1966" s="1" t="s">
        <v>178</v>
      </c>
      <c r="F1966" s="1" t="s">
        <v>5972</v>
      </c>
      <c r="G1966" s="1" t="s">
        <v>5973</v>
      </c>
      <c r="I1966" s="1" t="s">
        <v>19</v>
      </c>
      <c r="L1966" s="1" t="s">
        <v>5974</v>
      </c>
      <c r="M1966" s="1" t="s">
        <v>5972</v>
      </c>
      <c r="N1966" s="1">
        <v>98</v>
      </c>
      <c r="O1966" s="1" t="s">
        <v>5975</v>
      </c>
    </row>
    <row r="1967" spans="1:15" x14ac:dyDescent="0.35">
      <c r="A1967" s="1" t="s">
        <v>15</v>
      </c>
      <c r="B1967" s="1">
        <v>2115070</v>
      </c>
      <c r="C1967" s="1">
        <v>2115693</v>
      </c>
      <c r="E1967" s="1" t="s">
        <v>178</v>
      </c>
      <c r="F1967" s="1" t="s">
        <v>5976</v>
      </c>
      <c r="G1967" s="1" t="s">
        <v>5977</v>
      </c>
      <c r="I1967" s="1" t="s">
        <v>19</v>
      </c>
      <c r="L1967" s="1" t="s">
        <v>5978</v>
      </c>
      <c r="M1967" s="1" t="s">
        <v>5976</v>
      </c>
      <c r="N1967" s="1">
        <v>207</v>
      </c>
      <c r="O1967" s="1" t="s">
        <v>5979</v>
      </c>
    </row>
    <row r="1968" spans="1:15" x14ac:dyDescent="0.35">
      <c r="A1968" s="1" t="s">
        <v>15</v>
      </c>
      <c r="B1968" s="1">
        <v>2115718</v>
      </c>
      <c r="C1968" s="1">
        <v>2116344</v>
      </c>
      <c r="E1968" s="1" t="s">
        <v>178</v>
      </c>
      <c r="F1968" s="1" t="s">
        <v>5980</v>
      </c>
      <c r="G1968" s="1" t="s">
        <v>5981</v>
      </c>
      <c r="I1968" s="1" t="s">
        <v>19</v>
      </c>
      <c r="L1968" s="1" t="s">
        <v>5982</v>
      </c>
      <c r="M1968" s="1" t="s">
        <v>5980</v>
      </c>
      <c r="N1968" s="1">
        <v>208</v>
      </c>
      <c r="O1968" s="1" t="s">
        <v>5983</v>
      </c>
    </row>
    <row r="1969" spans="1:17" x14ac:dyDescent="0.35">
      <c r="A1969" s="1" t="s">
        <v>15</v>
      </c>
      <c r="B1969" s="1">
        <v>2116459</v>
      </c>
      <c r="C1969" s="1">
        <v>2116767</v>
      </c>
      <c r="E1969" s="1" t="s">
        <v>178</v>
      </c>
      <c r="F1969" s="1" t="s">
        <v>5984</v>
      </c>
      <c r="G1969" s="1" t="s">
        <v>5985</v>
      </c>
      <c r="I1969" s="1" t="s">
        <v>19</v>
      </c>
      <c r="L1969" s="1" t="s">
        <v>5986</v>
      </c>
      <c r="M1969" s="1" t="s">
        <v>5984</v>
      </c>
      <c r="N1969" s="1">
        <v>102</v>
      </c>
      <c r="O1969" s="1" t="s">
        <v>5987</v>
      </c>
    </row>
    <row r="1970" spans="1:17" x14ac:dyDescent="0.35">
      <c r="A1970" s="1" t="s">
        <v>15</v>
      </c>
      <c r="B1970" s="1">
        <v>2117011</v>
      </c>
      <c r="C1970" s="1">
        <v>2118012</v>
      </c>
      <c r="E1970" s="1" t="s">
        <v>178</v>
      </c>
      <c r="F1970" s="1" t="s">
        <v>5988</v>
      </c>
      <c r="G1970" s="1" t="s">
        <v>5989</v>
      </c>
      <c r="I1970" s="1" t="s">
        <v>19</v>
      </c>
      <c r="L1970" s="1" t="s">
        <v>5990</v>
      </c>
      <c r="M1970" s="1" t="s">
        <v>5988</v>
      </c>
      <c r="N1970" s="1">
        <v>333</v>
      </c>
      <c r="O1970" s="1" t="s">
        <v>5991</v>
      </c>
      <c r="Q1970" s="14"/>
    </row>
    <row r="1971" spans="1:17" x14ac:dyDescent="0.35">
      <c r="A1971" s="1" t="s">
        <v>15</v>
      </c>
      <c r="B1971" s="1">
        <v>2118093</v>
      </c>
      <c r="C1971" s="1">
        <v>2119916</v>
      </c>
      <c r="E1971" s="1" t="s">
        <v>178</v>
      </c>
      <c r="F1971" s="1" t="s">
        <v>5992</v>
      </c>
      <c r="G1971" s="1" t="s">
        <v>5993</v>
      </c>
      <c r="I1971" s="1" t="s">
        <v>19</v>
      </c>
      <c r="L1971" s="1" t="s">
        <v>5994</v>
      </c>
      <c r="M1971" s="1" t="s">
        <v>5992</v>
      </c>
      <c r="N1971" s="1">
        <v>607</v>
      </c>
      <c r="O1971" s="1" t="s">
        <v>5995</v>
      </c>
      <c r="Q1971" s="14"/>
    </row>
    <row r="1972" spans="1:17" x14ac:dyDescent="0.35">
      <c r="A1972" s="1" t="s">
        <v>15</v>
      </c>
      <c r="B1972" s="1">
        <v>2119913</v>
      </c>
      <c r="C1972" s="1">
        <v>2120323</v>
      </c>
      <c r="E1972" s="1" t="s">
        <v>178</v>
      </c>
      <c r="F1972" s="1" t="s">
        <v>5996</v>
      </c>
      <c r="I1972" s="1" t="s">
        <v>19</v>
      </c>
      <c r="L1972" s="1" t="s">
        <v>5997</v>
      </c>
      <c r="M1972" s="1" t="s">
        <v>5996</v>
      </c>
      <c r="N1972" s="1">
        <v>136</v>
      </c>
      <c r="O1972" s="1" t="s">
        <v>5998</v>
      </c>
    </row>
    <row r="1973" spans="1:17" x14ac:dyDescent="0.35">
      <c r="A1973" s="1" t="s">
        <v>15</v>
      </c>
      <c r="B1973" s="1">
        <v>2120320</v>
      </c>
      <c r="C1973" s="1">
        <v>2120754</v>
      </c>
      <c r="E1973" s="1" t="s">
        <v>178</v>
      </c>
      <c r="F1973" s="1" t="s">
        <v>5999</v>
      </c>
      <c r="I1973" s="1" t="s">
        <v>19</v>
      </c>
      <c r="L1973" s="1" t="s">
        <v>6000</v>
      </c>
      <c r="M1973" s="1" t="s">
        <v>5999</v>
      </c>
      <c r="N1973" s="1">
        <v>144</v>
      </c>
      <c r="O1973" s="1" t="s">
        <v>6001</v>
      </c>
    </row>
    <row r="1974" spans="1:17" x14ac:dyDescent="0.35">
      <c r="A1974" s="1" t="s">
        <v>15</v>
      </c>
      <c r="B1974" s="1">
        <v>2121030</v>
      </c>
      <c r="C1974" s="1">
        <v>2122322</v>
      </c>
      <c r="E1974" s="1" t="s">
        <v>178</v>
      </c>
      <c r="F1974" s="1" t="s">
        <v>6002</v>
      </c>
      <c r="G1974" s="1" t="s">
        <v>6003</v>
      </c>
      <c r="I1974" s="1" t="s">
        <v>19</v>
      </c>
      <c r="L1974" s="1" t="s">
        <v>6004</v>
      </c>
      <c r="M1974" s="1" t="s">
        <v>6002</v>
      </c>
      <c r="N1974" s="1">
        <v>430</v>
      </c>
      <c r="O1974" s="1" t="s">
        <v>6005</v>
      </c>
      <c r="Q1974" s="14"/>
    </row>
    <row r="1975" spans="1:17" x14ac:dyDescent="0.35">
      <c r="A1975" s="1" t="s">
        <v>15</v>
      </c>
      <c r="B1975" s="1">
        <v>2122587</v>
      </c>
      <c r="C1975" s="1">
        <v>2123096</v>
      </c>
      <c r="E1975" s="1" t="s">
        <v>178</v>
      </c>
      <c r="F1975" s="1" t="s">
        <v>6006</v>
      </c>
      <c r="G1975" s="1" t="s">
        <v>6007</v>
      </c>
      <c r="I1975" s="1" t="s">
        <v>19</v>
      </c>
      <c r="L1975" s="1" t="s">
        <v>6008</v>
      </c>
      <c r="M1975" s="1" t="s">
        <v>6006</v>
      </c>
      <c r="N1975" s="1">
        <v>169</v>
      </c>
      <c r="O1975" s="1" t="s">
        <v>6009</v>
      </c>
    </row>
    <row r="1976" spans="1:17" x14ac:dyDescent="0.35">
      <c r="A1976" s="1" t="s">
        <v>15</v>
      </c>
      <c r="B1976" s="1">
        <v>2123607</v>
      </c>
      <c r="C1976" s="1">
        <v>2124752</v>
      </c>
      <c r="E1976" s="1" t="s">
        <v>178</v>
      </c>
      <c r="F1976" s="1" t="s">
        <v>4892</v>
      </c>
      <c r="I1976" s="1" t="s">
        <v>19</v>
      </c>
      <c r="L1976" s="1" t="s">
        <v>6010</v>
      </c>
      <c r="M1976" s="1" t="s">
        <v>4892</v>
      </c>
      <c r="N1976" s="1">
        <v>381</v>
      </c>
      <c r="O1976" s="1" t="s">
        <v>6011</v>
      </c>
    </row>
    <row r="1977" spans="1:17" x14ac:dyDescent="0.35">
      <c r="A1977" s="1" t="s">
        <v>15</v>
      </c>
      <c r="B1977" s="1">
        <v>2125100</v>
      </c>
      <c r="C1977" s="1">
        <v>2126110</v>
      </c>
      <c r="E1977" s="1" t="s">
        <v>178</v>
      </c>
      <c r="F1977" s="1" t="s">
        <v>4892</v>
      </c>
      <c r="I1977" s="1" t="s">
        <v>19</v>
      </c>
      <c r="L1977" s="1" t="s">
        <v>6012</v>
      </c>
      <c r="M1977" s="1" t="s">
        <v>4892</v>
      </c>
      <c r="N1977" s="1">
        <v>336</v>
      </c>
      <c r="O1977" s="1" t="s">
        <v>6013</v>
      </c>
    </row>
    <row r="1978" spans="1:17" x14ac:dyDescent="0.35">
      <c r="A1978" s="1" t="s">
        <v>15</v>
      </c>
      <c r="B1978" s="1">
        <v>2126380</v>
      </c>
      <c r="C1978" s="1">
        <v>2126889</v>
      </c>
      <c r="E1978" s="1" t="s">
        <v>178</v>
      </c>
      <c r="F1978" s="1" t="s">
        <v>6014</v>
      </c>
      <c r="G1978" s="1" t="s">
        <v>6015</v>
      </c>
      <c r="I1978" s="1" t="s">
        <v>19</v>
      </c>
      <c r="L1978" s="1" t="s">
        <v>6016</v>
      </c>
      <c r="M1978" s="1" t="s">
        <v>6014</v>
      </c>
      <c r="N1978" s="1">
        <v>169</v>
      </c>
      <c r="O1978" s="1" t="s">
        <v>6017</v>
      </c>
    </row>
    <row r="1979" spans="1:17" x14ac:dyDescent="0.35">
      <c r="A1979" s="1" t="s">
        <v>15</v>
      </c>
      <c r="B1979" s="1">
        <v>2127325</v>
      </c>
      <c r="C1979" s="1">
        <v>2128302</v>
      </c>
      <c r="E1979" s="1" t="s">
        <v>16</v>
      </c>
      <c r="F1979" s="1" t="s">
        <v>6018</v>
      </c>
      <c r="G1979" s="1" t="s">
        <v>6019</v>
      </c>
      <c r="I1979" s="1" t="s">
        <v>19</v>
      </c>
      <c r="L1979" s="1" t="s">
        <v>6020</v>
      </c>
      <c r="M1979" s="1" t="s">
        <v>6018</v>
      </c>
      <c r="N1979" s="1">
        <v>325</v>
      </c>
      <c r="O1979" s="1" t="s">
        <v>6021</v>
      </c>
    </row>
    <row r="1980" spans="1:17" x14ac:dyDescent="0.35">
      <c r="A1980" s="1" t="s">
        <v>15</v>
      </c>
      <c r="B1980" s="1">
        <v>2128314</v>
      </c>
      <c r="C1980" s="1">
        <v>2128502</v>
      </c>
      <c r="E1980" s="1" t="s">
        <v>16</v>
      </c>
      <c r="F1980" s="1" t="s">
        <v>54</v>
      </c>
      <c r="I1980" s="1" t="s">
        <v>19</v>
      </c>
      <c r="L1980" s="1" t="s">
        <v>6022</v>
      </c>
      <c r="M1980" s="1" t="s">
        <v>54</v>
      </c>
      <c r="N1980" s="1">
        <v>62</v>
      </c>
      <c r="O1980" s="1" t="s">
        <v>6023</v>
      </c>
    </row>
    <row r="1981" spans="1:17" x14ac:dyDescent="0.35">
      <c r="A1981" s="1" t="s">
        <v>15</v>
      </c>
      <c r="B1981" s="1">
        <v>2128504</v>
      </c>
      <c r="C1981" s="1">
        <v>2129643</v>
      </c>
      <c r="E1981" s="1" t="s">
        <v>16</v>
      </c>
      <c r="F1981" s="1" t="s">
        <v>6024</v>
      </c>
      <c r="G1981" s="1" t="s">
        <v>6025</v>
      </c>
      <c r="I1981" s="1" t="s">
        <v>19</v>
      </c>
      <c r="L1981" s="1" t="s">
        <v>6026</v>
      </c>
      <c r="M1981" s="1" t="s">
        <v>6024</v>
      </c>
      <c r="N1981" s="1">
        <v>379</v>
      </c>
      <c r="O1981" s="1" t="s">
        <v>6027</v>
      </c>
    </row>
    <row r="1982" spans="1:17" x14ac:dyDescent="0.35">
      <c r="A1982" s="1" t="s">
        <v>15</v>
      </c>
      <c r="B1982" s="1">
        <v>2129730</v>
      </c>
      <c r="C1982" s="1">
        <v>2129802</v>
      </c>
      <c r="E1982" s="1" t="s">
        <v>178</v>
      </c>
      <c r="F1982" s="1" t="s">
        <v>87</v>
      </c>
      <c r="I1982" s="1" t="s">
        <v>75</v>
      </c>
      <c r="O1982" s="1" t="s">
        <v>6028</v>
      </c>
    </row>
    <row r="1983" spans="1:17" x14ac:dyDescent="0.35">
      <c r="A1983" s="1" t="s">
        <v>15</v>
      </c>
      <c r="B1983" s="1">
        <v>2130085</v>
      </c>
      <c r="C1983" s="1">
        <v>2131353</v>
      </c>
      <c r="E1983" s="1" t="s">
        <v>178</v>
      </c>
      <c r="F1983" s="1" t="s">
        <v>6029</v>
      </c>
      <c r="G1983" s="1" t="s">
        <v>6030</v>
      </c>
      <c r="I1983" s="1" t="s">
        <v>19</v>
      </c>
      <c r="L1983" s="1" t="s">
        <v>6031</v>
      </c>
      <c r="M1983" s="1" t="s">
        <v>6029</v>
      </c>
      <c r="N1983" s="1">
        <v>422</v>
      </c>
      <c r="O1983" s="1" t="s">
        <v>6032</v>
      </c>
    </row>
    <row r="1984" spans="1:17" x14ac:dyDescent="0.35">
      <c r="A1984" s="1" t="s">
        <v>15</v>
      </c>
      <c r="B1984" s="1">
        <v>2131524</v>
      </c>
      <c r="C1984" s="1">
        <v>2131712</v>
      </c>
      <c r="E1984" s="1" t="s">
        <v>16</v>
      </c>
      <c r="F1984" s="1" t="s">
        <v>6033</v>
      </c>
      <c r="G1984" s="1" t="s">
        <v>6034</v>
      </c>
      <c r="I1984" s="1" t="s">
        <v>19</v>
      </c>
      <c r="L1984" s="1" t="s">
        <v>6035</v>
      </c>
      <c r="M1984" s="1" t="s">
        <v>6033</v>
      </c>
      <c r="N1984" s="1">
        <v>62</v>
      </c>
      <c r="O1984" s="1" t="s">
        <v>6036</v>
      </c>
    </row>
    <row r="1985" spans="1:17" x14ac:dyDescent="0.35">
      <c r="A1985" s="1" t="s">
        <v>15</v>
      </c>
      <c r="B1985" s="1">
        <v>2131839</v>
      </c>
      <c r="C1985" s="1">
        <v>2132105</v>
      </c>
      <c r="E1985" s="1" t="s">
        <v>16</v>
      </c>
      <c r="F1985" s="1" t="s">
        <v>50</v>
      </c>
      <c r="I1985" s="1" t="s">
        <v>19</v>
      </c>
      <c r="L1985" s="1" t="s">
        <v>6037</v>
      </c>
      <c r="M1985" s="1" t="s">
        <v>50</v>
      </c>
      <c r="N1985" s="1">
        <v>88</v>
      </c>
      <c r="O1985" s="1" t="s">
        <v>6038</v>
      </c>
    </row>
    <row r="1986" spans="1:17" x14ac:dyDescent="0.35">
      <c r="A1986" s="1" t="s">
        <v>15</v>
      </c>
      <c r="B1986" s="1">
        <v>2132114</v>
      </c>
      <c r="C1986" s="1">
        <v>2132524</v>
      </c>
      <c r="E1986" s="1" t="s">
        <v>16</v>
      </c>
      <c r="F1986" s="1" t="s">
        <v>6039</v>
      </c>
      <c r="G1986" s="1" t="s">
        <v>6040</v>
      </c>
      <c r="I1986" s="1" t="s">
        <v>19</v>
      </c>
      <c r="L1986" s="1" t="s">
        <v>6041</v>
      </c>
      <c r="M1986" s="1" t="s">
        <v>6039</v>
      </c>
      <c r="N1986" s="1">
        <v>136</v>
      </c>
      <c r="O1986" s="1" t="s">
        <v>6042</v>
      </c>
      <c r="Q1986" s="14"/>
    </row>
    <row r="1987" spans="1:17" x14ac:dyDescent="0.35">
      <c r="A1987" s="1" t="s">
        <v>15</v>
      </c>
      <c r="B1987" s="1">
        <v>2132631</v>
      </c>
      <c r="C1987" s="1">
        <v>2132936</v>
      </c>
      <c r="E1987" s="1" t="s">
        <v>16</v>
      </c>
      <c r="F1987" s="1" t="s">
        <v>6043</v>
      </c>
      <c r="I1987" s="1" t="s">
        <v>19</v>
      </c>
      <c r="L1987" s="1" t="s">
        <v>6044</v>
      </c>
      <c r="M1987" s="1" t="s">
        <v>6043</v>
      </c>
      <c r="N1987" s="1">
        <v>101</v>
      </c>
      <c r="O1987" s="1" t="s">
        <v>6045</v>
      </c>
    </row>
    <row r="1988" spans="1:17" x14ac:dyDescent="0.35">
      <c r="A1988" s="1" t="s">
        <v>15</v>
      </c>
      <c r="B1988" s="1">
        <v>2133148</v>
      </c>
      <c r="C1988" s="1">
        <v>2134794</v>
      </c>
      <c r="E1988" s="1" t="s">
        <v>16</v>
      </c>
      <c r="F1988" s="1" t="s">
        <v>54</v>
      </c>
      <c r="I1988" s="1" t="s">
        <v>19</v>
      </c>
      <c r="L1988" s="1" t="s">
        <v>6046</v>
      </c>
      <c r="M1988" s="1" t="s">
        <v>54</v>
      </c>
      <c r="N1988" s="1">
        <v>548</v>
      </c>
      <c r="O1988" s="1" t="s">
        <v>6047</v>
      </c>
    </row>
    <row r="1989" spans="1:17" x14ac:dyDescent="0.35">
      <c r="A1989" s="1" t="s">
        <v>15</v>
      </c>
      <c r="B1989" s="1">
        <v>2134893</v>
      </c>
      <c r="C1989" s="1">
        <v>2137097</v>
      </c>
      <c r="E1989" s="1" t="s">
        <v>16</v>
      </c>
      <c r="F1989" s="1" t="s">
        <v>6048</v>
      </c>
      <c r="G1989" s="1" t="s">
        <v>6049</v>
      </c>
      <c r="I1989" s="1" t="s">
        <v>19</v>
      </c>
      <c r="L1989" s="1" t="s">
        <v>6050</v>
      </c>
      <c r="M1989" s="1" t="s">
        <v>6048</v>
      </c>
      <c r="N1989" s="1">
        <v>734</v>
      </c>
      <c r="O1989" s="1" t="s">
        <v>6051</v>
      </c>
      <c r="Q1989" s="14"/>
    </row>
    <row r="1990" spans="1:17" x14ac:dyDescent="0.35">
      <c r="A1990" s="1" t="s">
        <v>15</v>
      </c>
      <c r="B1990" s="1">
        <v>2137187</v>
      </c>
      <c r="C1990" s="1">
        <v>2137318</v>
      </c>
      <c r="E1990" s="1" t="s">
        <v>16</v>
      </c>
      <c r="F1990" s="1" t="s">
        <v>54</v>
      </c>
      <c r="I1990" s="1" t="s">
        <v>19</v>
      </c>
      <c r="L1990" s="1" t="s">
        <v>6052</v>
      </c>
      <c r="M1990" s="1" t="s">
        <v>54</v>
      </c>
      <c r="N1990" s="1">
        <v>43</v>
      </c>
      <c r="O1990" s="1" t="s">
        <v>6053</v>
      </c>
    </row>
    <row r="1991" spans="1:17" x14ac:dyDescent="0.35">
      <c r="A1991" s="1" t="s">
        <v>15</v>
      </c>
      <c r="B1991" s="1">
        <v>2137320</v>
      </c>
      <c r="C1991" s="1">
        <v>2137820</v>
      </c>
      <c r="E1991" s="1" t="s">
        <v>16</v>
      </c>
      <c r="F1991" s="1" t="s">
        <v>764</v>
      </c>
      <c r="I1991" s="1" t="s">
        <v>19</v>
      </c>
      <c r="L1991" s="1" t="s">
        <v>6054</v>
      </c>
      <c r="M1991" s="1" t="s">
        <v>764</v>
      </c>
      <c r="N1991" s="1">
        <v>166</v>
      </c>
      <c r="O1991" s="1" t="s">
        <v>6055</v>
      </c>
      <c r="Q1991" s="14"/>
    </row>
    <row r="1992" spans="1:17" x14ac:dyDescent="0.35">
      <c r="A1992" s="1" t="s">
        <v>15</v>
      </c>
      <c r="B1992" s="1">
        <v>2137825</v>
      </c>
      <c r="C1992" s="1">
        <v>2138430</v>
      </c>
      <c r="E1992" s="1" t="s">
        <v>16</v>
      </c>
      <c r="F1992" s="1" t="s">
        <v>6056</v>
      </c>
      <c r="G1992" s="1" t="s">
        <v>6057</v>
      </c>
      <c r="I1992" s="1" t="s">
        <v>19</v>
      </c>
      <c r="L1992" s="1" t="s">
        <v>6058</v>
      </c>
      <c r="M1992" s="1" t="s">
        <v>6056</v>
      </c>
      <c r="N1992" s="1">
        <v>201</v>
      </c>
      <c r="O1992" s="1" t="s">
        <v>6059</v>
      </c>
      <c r="Q1992" s="14"/>
    </row>
    <row r="1993" spans="1:17" x14ac:dyDescent="0.35">
      <c r="A1993" s="1" t="s">
        <v>15</v>
      </c>
      <c r="B1993" s="1">
        <v>2138461</v>
      </c>
      <c r="C1993" s="1">
        <v>2139159</v>
      </c>
      <c r="E1993" s="1" t="s">
        <v>178</v>
      </c>
      <c r="F1993" s="1" t="s">
        <v>50</v>
      </c>
      <c r="I1993" s="1" t="s">
        <v>19</v>
      </c>
      <c r="L1993" s="1" t="s">
        <v>6060</v>
      </c>
      <c r="M1993" s="1" t="s">
        <v>50</v>
      </c>
      <c r="N1993" s="1">
        <v>232</v>
      </c>
      <c r="O1993" s="1" t="s">
        <v>6061</v>
      </c>
    </row>
    <row r="1994" spans="1:17" x14ac:dyDescent="0.35">
      <c r="A1994" s="1" t="s">
        <v>15</v>
      </c>
      <c r="B1994" s="1">
        <v>2139278</v>
      </c>
      <c r="C1994" s="1">
        <v>2140219</v>
      </c>
      <c r="E1994" s="1" t="s">
        <v>178</v>
      </c>
      <c r="F1994" s="1" t="s">
        <v>530</v>
      </c>
      <c r="I1994" s="1" t="s">
        <v>19</v>
      </c>
      <c r="L1994" s="1" t="s">
        <v>6062</v>
      </c>
      <c r="M1994" s="1" t="s">
        <v>530</v>
      </c>
      <c r="N1994" s="1">
        <v>313</v>
      </c>
      <c r="O1994" s="1" t="s">
        <v>6063</v>
      </c>
    </row>
    <row r="1995" spans="1:17" x14ac:dyDescent="0.35">
      <c r="A1995" s="1" t="s">
        <v>15</v>
      </c>
      <c r="B1995" s="1">
        <v>2140212</v>
      </c>
      <c r="C1995" s="1">
        <v>2141963</v>
      </c>
      <c r="E1995" s="1" t="s">
        <v>178</v>
      </c>
      <c r="F1995" s="1" t="s">
        <v>6064</v>
      </c>
      <c r="G1995" s="1" t="s">
        <v>6065</v>
      </c>
      <c r="I1995" s="1" t="s">
        <v>19</v>
      </c>
      <c r="L1995" s="1" t="s">
        <v>6066</v>
      </c>
      <c r="M1995" s="1" t="s">
        <v>6064</v>
      </c>
      <c r="N1995" s="1">
        <v>583</v>
      </c>
      <c r="O1995" s="1" t="s">
        <v>6067</v>
      </c>
      <c r="Q1995" s="14"/>
    </row>
    <row r="1996" spans="1:17" x14ac:dyDescent="0.35">
      <c r="A1996" s="1" t="s">
        <v>15</v>
      </c>
      <c r="B1996" s="1">
        <v>2142073</v>
      </c>
      <c r="C1996" s="1">
        <v>2142495</v>
      </c>
      <c r="E1996" s="1" t="s">
        <v>178</v>
      </c>
      <c r="F1996" s="1" t="s">
        <v>231</v>
      </c>
      <c r="I1996" s="1" t="s">
        <v>19</v>
      </c>
      <c r="L1996" s="1" t="s">
        <v>6068</v>
      </c>
      <c r="M1996" s="1" t="s">
        <v>231</v>
      </c>
      <c r="N1996" s="1">
        <v>140</v>
      </c>
      <c r="O1996" s="1" t="s">
        <v>6069</v>
      </c>
    </row>
    <row r="1997" spans="1:17" x14ac:dyDescent="0.35">
      <c r="A1997" s="1" t="s">
        <v>15</v>
      </c>
      <c r="B1997" s="1">
        <v>2142503</v>
      </c>
      <c r="C1997" s="1">
        <v>2143783</v>
      </c>
      <c r="E1997" s="1" t="s">
        <v>178</v>
      </c>
      <c r="F1997" s="1" t="s">
        <v>6070</v>
      </c>
      <c r="G1997" s="1" t="s">
        <v>6071</v>
      </c>
      <c r="I1997" s="1" t="s">
        <v>19</v>
      </c>
      <c r="L1997" s="1" t="s">
        <v>6072</v>
      </c>
      <c r="M1997" s="1" t="s">
        <v>6070</v>
      </c>
      <c r="N1997" s="1">
        <v>426</v>
      </c>
      <c r="O1997" s="1" t="s">
        <v>6073</v>
      </c>
      <c r="Q1997" s="14"/>
    </row>
    <row r="1998" spans="1:17" x14ac:dyDescent="0.35">
      <c r="A1998" s="1" t="s">
        <v>15</v>
      </c>
      <c r="B1998" s="1">
        <v>2143936</v>
      </c>
      <c r="C1998" s="1">
        <v>2145297</v>
      </c>
      <c r="E1998" s="1" t="s">
        <v>178</v>
      </c>
      <c r="F1998" s="1" t="s">
        <v>6074</v>
      </c>
      <c r="G1998" s="1" t="s">
        <v>6075</v>
      </c>
      <c r="I1998" s="1" t="s">
        <v>19</v>
      </c>
      <c r="L1998" s="1" t="s">
        <v>6076</v>
      </c>
      <c r="M1998" s="1" t="s">
        <v>6074</v>
      </c>
      <c r="N1998" s="1">
        <v>453</v>
      </c>
      <c r="O1998" s="1" t="s">
        <v>6077</v>
      </c>
      <c r="Q1998" s="14"/>
    </row>
    <row r="1999" spans="1:17" x14ac:dyDescent="0.35">
      <c r="A1999" s="1" t="s">
        <v>15</v>
      </c>
      <c r="B1999" s="1">
        <v>2145363</v>
      </c>
      <c r="C1999" s="1">
        <v>2146475</v>
      </c>
      <c r="E1999" s="1" t="s">
        <v>178</v>
      </c>
      <c r="F1999" s="1" t="s">
        <v>6078</v>
      </c>
      <c r="I1999" s="1" t="s">
        <v>19</v>
      </c>
      <c r="L1999" s="1" t="s">
        <v>6079</v>
      </c>
      <c r="M1999" s="1" t="s">
        <v>6078</v>
      </c>
      <c r="N1999" s="1">
        <v>370</v>
      </c>
      <c r="O1999" s="1" t="s">
        <v>6080</v>
      </c>
      <c r="Q1999" s="14"/>
    </row>
    <row r="2000" spans="1:17" x14ac:dyDescent="0.35">
      <c r="A2000" s="1" t="s">
        <v>15</v>
      </c>
      <c r="B2000" s="1">
        <v>2146706</v>
      </c>
      <c r="C2000" s="1">
        <v>2146888</v>
      </c>
      <c r="E2000" s="1" t="s">
        <v>16</v>
      </c>
      <c r="F2000" s="1" t="s">
        <v>6081</v>
      </c>
      <c r="G2000" s="1" t="s">
        <v>6082</v>
      </c>
      <c r="I2000" s="1" t="s">
        <v>19</v>
      </c>
      <c r="L2000" s="1" t="s">
        <v>6083</v>
      </c>
      <c r="M2000" s="1" t="s">
        <v>6081</v>
      </c>
      <c r="N2000" s="1">
        <v>60</v>
      </c>
      <c r="O2000" s="1" t="s">
        <v>6084</v>
      </c>
    </row>
    <row r="2001" spans="1:17" x14ac:dyDescent="0.35">
      <c r="A2001" s="1" t="s">
        <v>15</v>
      </c>
      <c r="B2001" s="1">
        <v>2146904</v>
      </c>
      <c r="C2001" s="1">
        <v>2147053</v>
      </c>
      <c r="E2001" s="1" t="s">
        <v>16</v>
      </c>
      <c r="F2001" s="1" t="s">
        <v>6085</v>
      </c>
      <c r="G2001" s="1" t="s">
        <v>6086</v>
      </c>
      <c r="I2001" s="1" t="s">
        <v>19</v>
      </c>
      <c r="L2001" s="1" t="s">
        <v>6087</v>
      </c>
      <c r="M2001" s="1" t="s">
        <v>6085</v>
      </c>
      <c r="N2001" s="1">
        <v>49</v>
      </c>
      <c r="O2001" s="1" t="s">
        <v>6088</v>
      </c>
    </row>
    <row r="2002" spans="1:17" x14ac:dyDescent="0.35">
      <c r="A2002" s="1" t="s">
        <v>15</v>
      </c>
      <c r="B2002" s="1">
        <v>2147638</v>
      </c>
      <c r="C2002" s="1">
        <v>2147877</v>
      </c>
      <c r="E2002" s="1" t="s">
        <v>16</v>
      </c>
      <c r="F2002" s="1" t="s">
        <v>54</v>
      </c>
      <c r="I2002" s="1" t="s">
        <v>19</v>
      </c>
      <c r="L2002" s="1" t="s">
        <v>6089</v>
      </c>
      <c r="M2002" s="1" t="s">
        <v>54</v>
      </c>
      <c r="N2002" s="1">
        <v>79</v>
      </c>
      <c r="O2002" s="1" t="s">
        <v>6090</v>
      </c>
    </row>
    <row r="2003" spans="1:17" x14ac:dyDescent="0.35">
      <c r="A2003" s="1" t="s">
        <v>15</v>
      </c>
      <c r="B2003" s="1">
        <v>2148009</v>
      </c>
      <c r="C2003" s="1">
        <v>2148419</v>
      </c>
      <c r="E2003" s="1" t="s">
        <v>178</v>
      </c>
      <c r="F2003" s="1" t="s">
        <v>54</v>
      </c>
      <c r="I2003" s="1" t="s">
        <v>19</v>
      </c>
      <c r="L2003" s="1" t="s">
        <v>6091</v>
      </c>
      <c r="M2003" s="1" t="s">
        <v>54</v>
      </c>
      <c r="N2003" s="1">
        <v>136</v>
      </c>
      <c r="O2003" s="1" t="s">
        <v>6092</v>
      </c>
    </row>
    <row r="2004" spans="1:17" x14ac:dyDescent="0.35">
      <c r="A2004" s="1" t="s">
        <v>15</v>
      </c>
      <c r="B2004" s="1">
        <v>2148424</v>
      </c>
      <c r="C2004" s="1">
        <v>2149008</v>
      </c>
      <c r="E2004" s="1" t="s">
        <v>178</v>
      </c>
      <c r="F2004" s="1" t="s">
        <v>54</v>
      </c>
      <c r="I2004" s="1" t="s">
        <v>19</v>
      </c>
      <c r="L2004" s="1" t="s">
        <v>6093</v>
      </c>
      <c r="M2004" s="1" t="s">
        <v>54</v>
      </c>
      <c r="N2004" s="1">
        <v>194</v>
      </c>
      <c r="O2004" s="1" t="s">
        <v>6094</v>
      </c>
    </row>
    <row r="2005" spans="1:17" x14ac:dyDescent="0.35">
      <c r="A2005" s="1" t="s">
        <v>15</v>
      </c>
      <c r="B2005" s="1">
        <v>2149484</v>
      </c>
      <c r="C2005" s="1">
        <v>2151055</v>
      </c>
      <c r="E2005" s="1" t="s">
        <v>178</v>
      </c>
      <c r="F2005" s="1" t="s">
        <v>54</v>
      </c>
      <c r="I2005" s="1" t="s">
        <v>19</v>
      </c>
      <c r="L2005" s="1" t="s">
        <v>6095</v>
      </c>
      <c r="M2005" s="1" t="s">
        <v>54</v>
      </c>
      <c r="N2005" s="1">
        <v>523</v>
      </c>
      <c r="O2005" s="1" t="s">
        <v>6096</v>
      </c>
    </row>
    <row r="2006" spans="1:17" x14ac:dyDescent="0.35">
      <c r="A2006" s="1" t="s">
        <v>15</v>
      </c>
      <c r="B2006" s="1">
        <v>2151263</v>
      </c>
      <c r="C2006" s="1">
        <v>2151577</v>
      </c>
      <c r="E2006" s="1" t="s">
        <v>16</v>
      </c>
      <c r="F2006" s="1" t="s">
        <v>6097</v>
      </c>
      <c r="I2006" s="1" t="s">
        <v>19</v>
      </c>
      <c r="L2006" s="1" t="s">
        <v>6098</v>
      </c>
      <c r="M2006" s="1" t="s">
        <v>6097</v>
      </c>
      <c r="N2006" s="1">
        <v>104</v>
      </c>
      <c r="O2006" s="1" t="s">
        <v>6099</v>
      </c>
    </row>
    <row r="2007" spans="1:17" x14ac:dyDescent="0.35">
      <c r="A2007" s="1" t="s">
        <v>15</v>
      </c>
      <c r="B2007" s="1">
        <v>2151577</v>
      </c>
      <c r="C2007" s="1">
        <v>2152653</v>
      </c>
      <c r="E2007" s="1" t="s">
        <v>16</v>
      </c>
      <c r="F2007" s="1" t="s">
        <v>6100</v>
      </c>
      <c r="G2007" s="1" t="s">
        <v>6101</v>
      </c>
      <c r="I2007" s="1" t="s">
        <v>19</v>
      </c>
      <c r="L2007" s="1" t="s">
        <v>6102</v>
      </c>
      <c r="M2007" s="1" t="s">
        <v>6100</v>
      </c>
      <c r="N2007" s="1">
        <v>358</v>
      </c>
      <c r="O2007" s="1" t="s">
        <v>6103</v>
      </c>
    </row>
    <row r="2008" spans="1:17" x14ac:dyDescent="0.35">
      <c r="A2008" s="1" t="s">
        <v>15</v>
      </c>
      <c r="B2008" s="1">
        <v>2152656</v>
      </c>
      <c r="C2008" s="1">
        <v>2153270</v>
      </c>
      <c r="E2008" s="1" t="s">
        <v>16</v>
      </c>
      <c r="F2008" s="1" t="s">
        <v>54</v>
      </c>
      <c r="I2008" s="1" t="s">
        <v>19</v>
      </c>
      <c r="L2008" s="1" t="s">
        <v>6104</v>
      </c>
      <c r="M2008" s="1" t="s">
        <v>54</v>
      </c>
      <c r="N2008" s="1">
        <v>204</v>
      </c>
      <c r="O2008" s="1" t="s">
        <v>6105</v>
      </c>
    </row>
    <row r="2009" spans="1:17" x14ac:dyDescent="0.35">
      <c r="A2009" s="1" t="s">
        <v>15</v>
      </c>
      <c r="B2009" s="1">
        <v>2153446</v>
      </c>
      <c r="C2009" s="1">
        <v>2154036</v>
      </c>
      <c r="E2009" s="1" t="s">
        <v>16</v>
      </c>
      <c r="F2009" s="1" t="s">
        <v>6106</v>
      </c>
      <c r="G2009" s="1" t="s">
        <v>6107</v>
      </c>
      <c r="I2009" s="1" t="s">
        <v>19</v>
      </c>
      <c r="L2009" s="1" t="s">
        <v>6108</v>
      </c>
      <c r="M2009" s="1" t="s">
        <v>6106</v>
      </c>
      <c r="N2009" s="1">
        <v>196</v>
      </c>
      <c r="O2009" s="1" t="s">
        <v>6109</v>
      </c>
    </row>
    <row r="2010" spans="1:17" x14ac:dyDescent="0.35">
      <c r="A2010" s="1" t="s">
        <v>15</v>
      </c>
      <c r="B2010" s="1">
        <v>2154026</v>
      </c>
      <c r="C2010" s="1">
        <v>2154286</v>
      </c>
      <c r="E2010" s="1" t="s">
        <v>16</v>
      </c>
      <c r="F2010" s="1" t="s">
        <v>2783</v>
      </c>
      <c r="I2010" s="1" t="s">
        <v>19</v>
      </c>
      <c r="L2010" s="1" t="s">
        <v>6110</v>
      </c>
      <c r="M2010" s="1" t="s">
        <v>2783</v>
      </c>
      <c r="N2010" s="1">
        <v>86</v>
      </c>
      <c r="O2010" s="1" t="s">
        <v>6111</v>
      </c>
    </row>
    <row r="2011" spans="1:17" x14ac:dyDescent="0.35">
      <c r="A2011" s="1" t="s">
        <v>15</v>
      </c>
      <c r="B2011" s="1">
        <v>2154379</v>
      </c>
      <c r="C2011" s="1">
        <v>2155644</v>
      </c>
      <c r="E2011" s="1" t="s">
        <v>16</v>
      </c>
      <c r="F2011" s="1" t="s">
        <v>6112</v>
      </c>
      <c r="I2011" s="1" t="s">
        <v>19</v>
      </c>
      <c r="L2011" s="1" t="s">
        <v>6113</v>
      </c>
      <c r="M2011" s="1" t="s">
        <v>6112</v>
      </c>
      <c r="N2011" s="1">
        <v>421</v>
      </c>
      <c r="O2011" s="1" t="s">
        <v>6114</v>
      </c>
      <c r="Q2011" s="14"/>
    </row>
    <row r="2012" spans="1:17" x14ac:dyDescent="0.35">
      <c r="A2012" s="1" t="s">
        <v>15</v>
      </c>
      <c r="B2012" s="1">
        <v>2156151</v>
      </c>
      <c r="C2012" s="1">
        <v>2157656</v>
      </c>
      <c r="E2012" s="1" t="s">
        <v>16</v>
      </c>
      <c r="F2012" s="1" t="s">
        <v>6115</v>
      </c>
      <c r="G2012" s="1" t="s">
        <v>6116</v>
      </c>
      <c r="I2012" s="1" t="s">
        <v>19</v>
      </c>
      <c r="L2012" s="1" t="s">
        <v>6117</v>
      </c>
      <c r="M2012" s="1" t="s">
        <v>6115</v>
      </c>
      <c r="N2012" s="1">
        <v>501</v>
      </c>
      <c r="O2012" s="1" t="s">
        <v>6118</v>
      </c>
      <c r="Q2012" s="14"/>
    </row>
    <row r="2013" spans="1:17" x14ac:dyDescent="0.35">
      <c r="A2013" s="1" t="s">
        <v>15</v>
      </c>
      <c r="B2013" s="1">
        <v>2158009</v>
      </c>
      <c r="C2013" s="1">
        <v>2158680</v>
      </c>
      <c r="E2013" s="1" t="s">
        <v>16</v>
      </c>
      <c r="F2013" s="1" t="s">
        <v>6119</v>
      </c>
      <c r="I2013" s="1" t="s">
        <v>19</v>
      </c>
      <c r="L2013" s="1" t="s">
        <v>6120</v>
      </c>
      <c r="M2013" s="1" t="s">
        <v>6119</v>
      </c>
      <c r="N2013" s="1">
        <v>223</v>
      </c>
      <c r="O2013" s="1" t="s">
        <v>6121</v>
      </c>
    </row>
    <row r="2014" spans="1:17" x14ac:dyDescent="0.35">
      <c r="A2014" s="1" t="s">
        <v>15</v>
      </c>
      <c r="B2014" s="1">
        <v>2158704</v>
      </c>
      <c r="C2014" s="1">
        <v>2159429</v>
      </c>
      <c r="E2014" s="1" t="s">
        <v>16</v>
      </c>
      <c r="F2014" s="1" t="s">
        <v>6122</v>
      </c>
      <c r="I2014" s="1" t="s">
        <v>19</v>
      </c>
      <c r="L2014" s="1" t="s">
        <v>6123</v>
      </c>
      <c r="M2014" s="1" t="s">
        <v>6122</v>
      </c>
      <c r="N2014" s="1">
        <v>241</v>
      </c>
      <c r="O2014" s="1" t="s">
        <v>6124</v>
      </c>
    </row>
    <row r="2015" spans="1:17" x14ac:dyDescent="0.35">
      <c r="A2015" s="1" t="s">
        <v>15</v>
      </c>
      <c r="B2015" s="1">
        <v>2160347</v>
      </c>
      <c r="C2015" s="1">
        <v>2160502</v>
      </c>
      <c r="E2015" s="1" t="s">
        <v>16</v>
      </c>
      <c r="F2015" s="1" t="s">
        <v>5288</v>
      </c>
      <c r="G2015" s="1" t="s">
        <v>6125</v>
      </c>
      <c r="I2015" s="1" t="s">
        <v>19</v>
      </c>
      <c r="L2015" s="1" t="s">
        <v>6126</v>
      </c>
      <c r="M2015" s="1" t="s">
        <v>5288</v>
      </c>
      <c r="N2015" s="1">
        <v>51</v>
      </c>
      <c r="O2015" s="1" t="s">
        <v>6127</v>
      </c>
    </row>
    <row r="2016" spans="1:17" x14ac:dyDescent="0.35">
      <c r="A2016" s="1" t="s">
        <v>15</v>
      </c>
      <c r="B2016" s="1">
        <v>2160507</v>
      </c>
      <c r="C2016" s="1">
        <v>2161058</v>
      </c>
      <c r="E2016" s="1" t="s">
        <v>16</v>
      </c>
      <c r="F2016" s="1" t="s">
        <v>5288</v>
      </c>
      <c r="G2016" s="1" t="s">
        <v>6128</v>
      </c>
      <c r="I2016" s="1" t="s">
        <v>19</v>
      </c>
      <c r="L2016" s="1" t="s">
        <v>6129</v>
      </c>
      <c r="M2016" s="1" t="s">
        <v>5288</v>
      </c>
      <c r="N2016" s="1">
        <v>183</v>
      </c>
      <c r="O2016" s="1" t="s">
        <v>6130</v>
      </c>
    </row>
    <row r="2017" spans="1:17" x14ac:dyDescent="0.35">
      <c r="A2017" s="1" t="s">
        <v>15</v>
      </c>
      <c r="B2017" s="1">
        <v>2161088</v>
      </c>
      <c r="C2017" s="1">
        <v>2161327</v>
      </c>
      <c r="E2017" s="1" t="s">
        <v>16</v>
      </c>
      <c r="F2017" s="1" t="s">
        <v>5288</v>
      </c>
      <c r="G2017" s="1" t="s">
        <v>6131</v>
      </c>
      <c r="I2017" s="1" t="s">
        <v>19</v>
      </c>
      <c r="L2017" s="1" t="s">
        <v>6132</v>
      </c>
      <c r="M2017" s="1" t="s">
        <v>5288</v>
      </c>
      <c r="N2017" s="1">
        <v>79</v>
      </c>
      <c r="O2017" s="1" t="s">
        <v>6133</v>
      </c>
    </row>
    <row r="2018" spans="1:17" x14ac:dyDescent="0.35">
      <c r="A2018" s="1" t="s">
        <v>15</v>
      </c>
      <c r="B2018" s="1">
        <v>2161343</v>
      </c>
      <c r="C2018" s="1">
        <v>2162380</v>
      </c>
      <c r="E2018" s="1" t="s">
        <v>16</v>
      </c>
      <c r="F2018" s="1" t="s">
        <v>54</v>
      </c>
      <c r="I2018" s="1" t="s">
        <v>19</v>
      </c>
      <c r="L2018" s="1" t="s">
        <v>6134</v>
      </c>
      <c r="M2018" s="1" t="s">
        <v>54</v>
      </c>
      <c r="N2018" s="1">
        <v>345</v>
      </c>
      <c r="O2018" s="1" t="s">
        <v>6135</v>
      </c>
    </row>
    <row r="2019" spans="1:17" x14ac:dyDescent="0.35">
      <c r="A2019" s="1" t="s">
        <v>15</v>
      </c>
      <c r="B2019" s="1">
        <v>2162373</v>
      </c>
      <c r="C2019" s="1">
        <v>2162486</v>
      </c>
      <c r="E2019" s="1" t="s">
        <v>16</v>
      </c>
      <c r="F2019" s="1" t="s">
        <v>54</v>
      </c>
      <c r="I2019" s="1" t="s">
        <v>19</v>
      </c>
      <c r="L2019" s="1" t="s">
        <v>6136</v>
      </c>
      <c r="M2019" s="1" t="s">
        <v>54</v>
      </c>
      <c r="N2019" s="1">
        <v>37</v>
      </c>
      <c r="O2019" s="1" t="s">
        <v>6137</v>
      </c>
    </row>
    <row r="2020" spans="1:17" x14ac:dyDescent="0.35">
      <c r="A2020" s="1" t="s">
        <v>15</v>
      </c>
      <c r="B2020" s="1">
        <v>2162483</v>
      </c>
      <c r="C2020" s="1">
        <v>2163547</v>
      </c>
      <c r="E2020" s="1" t="s">
        <v>16</v>
      </c>
      <c r="F2020" s="1" t="s">
        <v>6138</v>
      </c>
      <c r="I2020" s="1" t="s">
        <v>19</v>
      </c>
      <c r="L2020" s="1" t="s">
        <v>6139</v>
      </c>
      <c r="M2020" s="1" t="s">
        <v>6138</v>
      </c>
      <c r="N2020" s="1">
        <v>354</v>
      </c>
      <c r="O2020" s="1" t="s">
        <v>6140</v>
      </c>
      <c r="Q2020" s="14"/>
    </row>
    <row r="2021" spans="1:17" x14ac:dyDescent="0.35">
      <c r="A2021" s="1" t="s">
        <v>15</v>
      </c>
      <c r="B2021" s="1">
        <v>2163537</v>
      </c>
      <c r="C2021" s="1">
        <v>2165762</v>
      </c>
      <c r="E2021" s="1" t="s">
        <v>16</v>
      </c>
      <c r="F2021" s="1" t="s">
        <v>6141</v>
      </c>
      <c r="G2021" s="1" t="s">
        <v>6142</v>
      </c>
      <c r="I2021" s="1" t="s">
        <v>19</v>
      </c>
      <c r="L2021" s="1" t="s">
        <v>6143</v>
      </c>
      <c r="M2021" s="1" t="s">
        <v>6141</v>
      </c>
      <c r="N2021" s="1">
        <v>741</v>
      </c>
      <c r="O2021" s="1" t="s">
        <v>6144</v>
      </c>
      <c r="Q2021" s="14"/>
    </row>
    <row r="2022" spans="1:17" x14ac:dyDescent="0.35">
      <c r="A2022" s="1" t="s">
        <v>15</v>
      </c>
      <c r="B2022" s="1">
        <v>2165744</v>
      </c>
      <c r="C2022" s="1">
        <v>2167699</v>
      </c>
      <c r="E2022" s="1" t="s">
        <v>16</v>
      </c>
      <c r="F2022" s="1" t="s">
        <v>54</v>
      </c>
      <c r="I2022" s="1" t="s">
        <v>19</v>
      </c>
      <c r="L2022" s="1" t="s">
        <v>6145</v>
      </c>
      <c r="M2022" s="1" t="s">
        <v>54</v>
      </c>
      <c r="N2022" s="1">
        <v>651</v>
      </c>
      <c r="O2022" s="1" t="s">
        <v>6146</v>
      </c>
    </row>
    <row r="2023" spans="1:17" x14ac:dyDescent="0.35">
      <c r="A2023" s="1" t="s">
        <v>15</v>
      </c>
      <c r="B2023" s="1">
        <v>2168331</v>
      </c>
      <c r="C2023" s="1">
        <v>2168951</v>
      </c>
      <c r="E2023" s="1" t="s">
        <v>16</v>
      </c>
      <c r="F2023" s="1" t="s">
        <v>5288</v>
      </c>
      <c r="G2023" s="1" t="s">
        <v>6147</v>
      </c>
      <c r="I2023" s="1" t="s">
        <v>19</v>
      </c>
      <c r="L2023" s="1" t="s">
        <v>6148</v>
      </c>
      <c r="M2023" s="1" t="s">
        <v>5288</v>
      </c>
      <c r="N2023" s="1">
        <v>206</v>
      </c>
      <c r="O2023" s="1" t="s">
        <v>6149</v>
      </c>
    </row>
    <row r="2024" spans="1:17" x14ac:dyDescent="0.35">
      <c r="A2024" s="1" t="s">
        <v>15</v>
      </c>
      <c r="B2024" s="1">
        <v>2168984</v>
      </c>
      <c r="C2024" s="1">
        <v>2169262</v>
      </c>
      <c r="E2024" s="1" t="s">
        <v>16</v>
      </c>
      <c r="F2024" s="1" t="s">
        <v>5288</v>
      </c>
      <c r="I2024" s="1" t="s">
        <v>19</v>
      </c>
      <c r="L2024" s="1" t="s">
        <v>6150</v>
      </c>
      <c r="M2024" s="1" t="s">
        <v>5288</v>
      </c>
      <c r="N2024" s="1">
        <v>92</v>
      </c>
      <c r="O2024" s="1" t="s">
        <v>6151</v>
      </c>
    </row>
    <row r="2025" spans="1:17" x14ac:dyDescent="0.35">
      <c r="A2025" s="1" t="s">
        <v>15</v>
      </c>
      <c r="B2025" s="1">
        <v>2169299</v>
      </c>
      <c r="C2025" s="1">
        <v>2169769</v>
      </c>
      <c r="E2025" s="1" t="s">
        <v>16</v>
      </c>
      <c r="F2025" s="1" t="s">
        <v>54</v>
      </c>
      <c r="I2025" s="1" t="s">
        <v>19</v>
      </c>
      <c r="L2025" s="1" t="s">
        <v>6152</v>
      </c>
      <c r="M2025" s="1" t="s">
        <v>54</v>
      </c>
      <c r="N2025" s="1">
        <v>156</v>
      </c>
      <c r="O2025" s="1" t="s">
        <v>6153</v>
      </c>
    </row>
    <row r="2026" spans="1:17" x14ac:dyDescent="0.35">
      <c r="A2026" s="1" t="s">
        <v>15</v>
      </c>
      <c r="B2026" s="1">
        <v>2170029</v>
      </c>
      <c r="C2026" s="1">
        <v>2170529</v>
      </c>
      <c r="E2026" s="1" t="s">
        <v>16</v>
      </c>
      <c r="F2026" s="1" t="s">
        <v>54</v>
      </c>
      <c r="I2026" s="1" t="s">
        <v>19</v>
      </c>
      <c r="L2026" s="1" t="s">
        <v>6154</v>
      </c>
      <c r="M2026" s="1" t="s">
        <v>54</v>
      </c>
      <c r="N2026" s="1">
        <v>166</v>
      </c>
      <c r="O2026" s="1" t="s">
        <v>6155</v>
      </c>
    </row>
    <row r="2027" spans="1:17" x14ac:dyDescent="0.35">
      <c r="A2027" s="1" t="s">
        <v>15</v>
      </c>
      <c r="B2027" s="1">
        <v>2170765</v>
      </c>
      <c r="C2027" s="1">
        <v>2171373</v>
      </c>
      <c r="E2027" s="1" t="s">
        <v>178</v>
      </c>
      <c r="F2027" s="1" t="s">
        <v>6156</v>
      </c>
      <c r="G2027" s="1" t="s">
        <v>6157</v>
      </c>
      <c r="I2027" s="1" t="s">
        <v>19</v>
      </c>
      <c r="L2027" s="1" t="s">
        <v>6158</v>
      </c>
      <c r="M2027" s="1" t="s">
        <v>6156</v>
      </c>
      <c r="N2027" s="1">
        <v>202</v>
      </c>
      <c r="O2027" s="1" t="s">
        <v>6159</v>
      </c>
      <c r="Q2027" s="14"/>
    </row>
    <row r="2028" spans="1:17" x14ac:dyDescent="0.35">
      <c r="A2028" s="1" t="s">
        <v>15</v>
      </c>
      <c r="B2028" s="1">
        <v>2171536</v>
      </c>
      <c r="C2028" s="1">
        <v>2171862</v>
      </c>
      <c r="E2028" s="1" t="s">
        <v>16</v>
      </c>
      <c r="F2028" s="1" t="s">
        <v>6160</v>
      </c>
      <c r="I2028" s="1" t="s">
        <v>19</v>
      </c>
      <c r="L2028" s="1" t="s">
        <v>6161</v>
      </c>
      <c r="M2028" s="1" t="s">
        <v>6160</v>
      </c>
      <c r="N2028" s="1">
        <v>108</v>
      </c>
      <c r="O2028" s="1" t="s">
        <v>6162</v>
      </c>
    </row>
    <row r="2029" spans="1:17" x14ac:dyDescent="0.35">
      <c r="A2029" s="1" t="s">
        <v>15</v>
      </c>
      <c r="B2029" s="1">
        <v>2171849</v>
      </c>
      <c r="C2029" s="1">
        <v>2172433</v>
      </c>
      <c r="E2029" s="1" t="s">
        <v>16</v>
      </c>
      <c r="F2029" s="1" t="s">
        <v>54</v>
      </c>
      <c r="I2029" s="1" t="s">
        <v>19</v>
      </c>
      <c r="L2029" s="1" t="s">
        <v>6163</v>
      </c>
      <c r="M2029" s="1" t="s">
        <v>54</v>
      </c>
      <c r="N2029" s="1">
        <v>194</v>
      </c>
      <c r="O2029" s="1" t="s">
        <v>6164</v>
      </c>
    </row>
    <row r="2030" spans="1:17" x14ac:dyDescent="0.35">
      <c r="A2030" s="1" t="s">
        <v>15</v>
      </c>
      <c r="B2030" s="1">
        <v>2172403</v>
      </c>
      <c r="C2030" s="1">
        <v>2173275</v>
      </c>
      <c r="E2030" s="1" t="s">
        <v>16</v>
      </c>
      <c r="F2030" s="1" t="s">
        <v>54</v>
      </c>
      <c r="I2030" s="1" t="s">
        <v>19</v>
      </c>
      <c r="L2030" s="1" t="s">
        <v>6165</v>
      </c>
      <c r="M2030" s="1" t="s">
        <v>54</v>
      </c>
      <c r="N2030" s="1">
        <v>290</v>
      </c>
      <c r="O2030" s="1" t="s">
        <v>6166</v>
      </c>
    </row>
    <row r="2031" spans="1:17" x14ac:dyDescent="0.35">
      <c r="A2031" s="1" t="s">
        <v>15</v>
      </c>
      <c r="B2031" s="1">
        <v>2173313</v>
      </c>
      <c r="C2031" s="1">
        <v>2175682</v>
      </c>
      <c r="E2031" s="1" t="s">
        <v>178</v>
      </c>
      <c r="F2031" s="1" t="s">
        <v>213</v>
      </c>
      <c r="I2031" s="1" t="s">
        <v>19</v>
      </c>
      <c r="L2031" s="1" t="s">
        <v>6167</v>
      </c>
      <c r="M2031" s="1" t="s">
        <v>213</v>
      </c>
      <c r="N2031" s="1">
        <v>789</v>
      </c>
      <c r="O2031" s="1" t="s">
        <v>6168</v>
      </c>
    </row>
    <row r="2032" spans="1:17" x14ac:dyDescent="0.35">
      <c r="A2032" s="1" t="s">
        <v>15</v>
      </c>
      <c r="B2032" s="1">
        <v>2175811</v>
      </c>
      <c r="C2032" s="1">
        <v>2176350</v>
      </c>
      <c r="E2032" s="1" t="s">
        <v>16</v>
      </c>
      <c r="F2032" s="1" t="s">
        <v>2058</v>
      </c>
      <c r="I2032" s="1" t="s">
        <v>19</v>
      </c>
      <c r="L2032" s="1" t="s">
        <v>6169</v>
      </c>
      <c r="M2032" s="1" t="s">
        <v>2058</v>
      </c>
      <c r="N2032" s="1">
        <v>179</v>
      </c>
      <c r="O2032" s="1" t="s">
        <v>6170</v>
      </c>
    </row>
    <row r="2033" spans="1:17" x14ac:dyDescent="0.35">
      <c r="A2033" s="1" t="s">
        <v>15</v>
      </c>
      <c r="B2033" s="1">
        <v>2176427</v>
      </c>
      <c r="C2033" s="1">
        <v>2176789</v>
      </c>
      <c r="E2033" s="1" t="s">
        <v>178</v>
      </c>
      <c r="F2033" s="1" t="s">
        <v>54</v>
      </c>
      <c r="I2033" s="1" t="s">
        <v>19</v>
      </c>
      <c r="L2033" s="1" t="s">
        <v>6171</v>
      </c>
      <c r="M2033" s="1" t="s">
        <v>54</v>
      </c>
      <c r="N2033" s="1">
        <v>120</v>
      </c>
      <c r="O2033" s="1" t="s">
        <v>6172</v>
      </c>
    </row>
    <row r="2034" spans="1:17" x14ac:dyDescent="0.35">
      <c r="A2034" s="1" t="s">
        <v>15</v>
      </c>
      <c r="B2034" s="1">
        <v>2176905</v>
      </c>
      <c r="C2034" s="1">
        <v>2177093</v>
      </c>
      <c r="E2034" s="1" t="s">
        <v>16</v>
      </c>
      <c r="F2034" s="1" t="s">
        <v>50</v>
      </c>
      <c r="I2034" s="1" t="s">
        <v>19</v>
      </c>
      <c r="L2034" s="1" t="s">
        <v>6173</v>
      </c>
      <c r="M2034" s="1" t="s">
        <v>50</v>
      </c>
      <c r="N2034" s="1">
        <v>62</v>
      </c>
      <c r="O2034" s="1" t="s">
        <v>6174</v>
      </c>
    </row>
    <row r="2035" spans="1:17" x14ac:dyDescent="0.35">
      <c r="A2035" s="1" t="s">
        <v>15</v>
      </c>
      <c r="B2035" s="1">
        <v>2177308</v>
      </c>
      <c r="C2035" s="1">
        <v>2177919</v>
      </c>
      <c r="E2035" s="1" t="s">
        <v>178</v>
      </c>
      <c r="F2035" s="1" t="s">
        <v>6175</v>
      </c>
      <c r="G2035" s="1" t="s">
        <v>6176</v>
      </c>
      <c r="I2035" s="1" t="s">
        <v>19</v>
      </c>
      <c r="L2035" s="1" t="s">
        <v>6177</v>
      </c>
      <c r="M2035" s="1" t="s">
        <v>6175</v>
      </c>
      <c r="N2035" s="1">
        <v>203</v>
      </c>
      <c r="O2035" s="1" t="s">
        <v>6178</v>
      </c>
    </row>
    <row r="2036" spans="1:17" x14ac:dyDescent="0.35">
      <c r="A2036" s="1" t="s">
        <v>15</v>
      </c>
      <c r="B2036" s="1">
        <v>2178118</v>
      </c>
      <c r="C2036" s="1">
        <v>2178420</v>
      </c>
      <c r="E2036" s="1" t="s">
        <v>178</v>
      </c>
      <c r="F2036" s="1" t="s">
        <v>50</v>
      </c>
      <c r="I2036" s="1" t="s">
        <v>19</v>
      </c>
      <c r="L2036" s="1" t="s">
        <v>6179</v>
      </c>
      <c r="M2036" s="1" t="s">
        <v>50</v>
      </c>
      <c r="N2036" s="1">
        <v>100</v>
      </c>
      <c r="O2036" s="1" t="s">
        <v>6180</v>
      </c>
    </row>
    <row r="2037" spans="1:17" x14ac:dyDescent="0.35">
      <c r="A2037" s="1" t="s">
        <v>15</v>
      </c>
      <c r="B2037" s="1">
        <v>2178450</v>
      </c>
      <c r="C2037" s="1">
        <v>2179811</v>
      </c>
      <c r="E2037" s="1" t="s">
        <v>178</v>
      </c>
      <c r="F2037" s="1" t="s">
        <v>6181</v>
      </c>
      <c r="G2037" s="1" t="s">
        <v>6182</v>
      </c>
      <c r="I2037" s="1" t="s">
        <v>19</v>
      </c>
      <c r="L2037" s="1" t="s">
        <v>6183</v>
      </c>
      <c r="M2037" s="1" t="s">
        <v>6181</v>
      </c>
      <c r="N2037" s="1">
        <v>453</v>
      </c>
      <c r="O2037" s="1" t="s">
        <v>6184</v>
      </c>
      <c r="Q2037" s="14"/>
    </row>
    <row r="2038" spans="1:17" x14ac:dyDescent="0.35">
      <c r="A2038" s="1" t="s">
        <v>15</v>
      </c>
      <c r="B2038" s="1">
        <v>2179855</v>
      </c>
      <c r="C2038" s="1">
        <v>2180313</v>
      </c>
      <c r="E2038" s="1" t="s">
        <v>178</v>
      </c>
      <c r="F2038" s="1" t="s">
        <v>6185</v>
      </c>
      <c r="G2038" s="1" t="s">
        <v>6186</v>
      </c>
      <c r="I2038" s="1" t="s">
        <v>19</v>
      </c>
      <c r="L2038" s="1" t="s">
        <v>6187</v>
      </c>
      <c r="M2038" s="1" t="s">
        <v>6185</v>
      </c>
      <c r="N2038" s="1">
        <v>152</v>
      </c>
      <c r="O2038" s="1" t="s">
        <v>6188</v>
      </c>
    </row>
    <row r="2039" spans="1:17" x14ac:dyDescent="0.35">
      <c r="A2039" s="1" t="s">
        <v>15</v>
      </c>
      <c r="B2039" s="1">
        <v>2180315</v>
      </c>
      <c r="C2039" s="1">
        <v>2182279</v>
      </c>
      <c r="E2039" s="1" t="s">
        <v>178</v>
      </c>
      <c r="F2039" s="1" t="s">
        <v>6189</v>
      </c>
      <c r="I2039" s="1" t="s">
        <v>19</v>
      </c>
      <c r="L2039" s="1" t="s">
        <v>6190</v>
      </c>
      <c r="M2039" s="1" t="s">
        <v>6189</v>
      </c>
      <c r="N2039" s="1">
        <v>654</v>
      </c>
      <c r="O2039" s="1" t="s">
        <v>6191</v>
      </c>
    </row>
    <row r="2040" spans="1:17" x14ac:dyDescent="0.35">
      <c r="A2040" s="1" t="s">
        <v>15</v>
      </c>
      <c r="B2040" s="1">
        <v>2182353</v>
      </c>
      <c r="C2040" s="1">
        <v>2184254</v>
      </c>
      <c r="E2040" s="1" t="s">
        <v>178</v>
      </c>
      <c r="F2040" s="1" t="s">
        <v>6192</v>
      </c>
      <c r="G2040" s="1" t="s">
        <v>6193</v>
      </c>
      <c r="I2040" s="1" t="s">
        <v>19</v>
      </c>
      <c r="L2040" s="1" t="s">
        <v>6194</v>
      </c>
      <c r="M2040" s="1" t="s">
        <v>6192</v>
      </c>
      <c r="N2040" s="1">
        <v>633</v>
      </c>
      <c r="O2040" s="1" t="s">
        <v>6195</v>
      </c>
    </row>
    <row r="2041" spans="1:17" x14ac:dyDescent="0.35">
      <c r="A2041" s="1" t="s">
        <v>15</v>
      </c>
      <c r="B2041" s="1">
        <v>2184432</v>
      </c>
      <c r="C2041" s="1">
        <v>2185046</v>
      </c>
      <c r="E2041" s="1" t="s">
        <v>178</v>
      </c>
      <c r="F2041" s="1" t="s">
        <v>6196</v>
      </c>
      <c r="I2041" s="1" t="s">
        <v>19</v>
      </c>
      <c r="L2041" s="1" t="s">
        <v>6197</v>
      </c>
      <c r="M2041" s="1" t="s">
        <v>6196</v>
      </c>
      <c r="N2041" s="1">
        <v>204</v>
      </c>
      <c r="O2041" s="1" t="s">
        <v>6198</v>
      </c>
    </row>
    <row r="2042" spans="1:17" x14ac:dyDescent="0.35">
      <c r="A2042" s="1" t="s">
        <v>15</v>
      </c>
      <c r="B2042" s="1">
        <v>2185066</v>
      </c>
      <c r="C2042" s="1">
        <v>2186187</v>
      </c>
      <c r="E2042" s="1" t="s">
        <v>178</v>
      </c>
      <c r="F2042" s="1" t="s">
        <v>6199</v>
      </c>
      <c r="G2042" s="1" t="s">
        <v>6200</v>
      </c>
      <c r="I2042" s="1" t="s">
        <v>19</v>
      </c>
      <c r="L2042" s="1" t="s">
        <v>6201</v>
      </c>
      <c r="M2042" s="1" t="s">
        <v>6199</v>
      </c>
      <c r="N2042" s="1">
        <v>373</v>
      </c>
      <c r="O2042" s="1" t="s">
        <v>6202</v>
      </c>
      <c r="Q2042" s="14"/>
    </row>
    <row r="2043" spans="1:17" x14ac:dyDescent="0.35">
      <c r="A2043" s="1" t="s">
        <v>15</v>
      </c>
      <c r="B2043" s="1">
        <v>2186332</v>
      </c>
      <c r="C2043" s="1">
        <v>2188041</v>
      </c>
      <c r="E2043" s="1" t="s">
        <v>178</v>
      </c>
      <c r="F2043" s="1" t="s">
        <v>3849</v>
      </c>
      <c r="I2043" s="1" t="s">
        <v>19</v>
      </c>
      <c r="L2043" s="1" t="s">
        <v>6203</v>
      </c>
      <c r="M2043" s="1" t="s">
        <v>3849</v>
      </c>
      <c r="N2043" s="1">
        <v>569</v>
      </c>
      <c r="O2043" s="1" t="s">
        <v>6204</v>
      </c>
    </row>
    <row r="2044" spans="1:17" x14ac:dyDescent="0.35">
      <c r="A2044" s="1" t="s">
        <v>15</v>
      </c>
      <c r="B2044" s="1">
        <v>2188170</v>
      </c>
      <c r="C2044" s="1">
        <v>2188868</v>
      </c>
      <c r="E2044" s="1" t="s">
        <v>178</v>
      </c>
      <c r="F2044" s="1" t="s">
        <v>6205</v>
      </c>
      <c r="I2044" s="1" t="s">
        <v>19</v>
      </c>
      <c r="L2044" s="1" t="s">
        <v>6206</v>
      </c>
      <c r="M2044" s="1" t="s">
        <v>6205</v>
      </c>
      <c r="N2044" s="1">
        <v>232</v>
      </c>
      <c r="O2044" s="1" t="s">
        <v>6207</v>
      </c>
    </row>
    <row r="2045" spans="1:17" x14ac:dyDescent="0.35">
      <c r="A2045" s="1" t="s">
        <v>15</v>
      </c>
      <c r="B2045" s="1">
        <v>2189052</v>
      </c>
      <c r="C2045" s="1">
        <v>2189633</v>
      </c>
      <c r="E2045" s="1" t="s">
        <v>178</v>
      </c>
      <c r="F2045" s="1" t="s">
        <v>6208</v>
      </c>
      <c r="I2045" s="1" t="s">
        <v>19</v>
      </c>
      <c r="L2045" s="1" t="s">
        <v>6209</v>
      </c>
      <c r="M2045" s="1" t="s">
        <v>6208</v>
      </c>
      <c r="N2045" s="1">
        <v>193</v>
      </c>
      <c r="O2045" s="1" t="s">
        <v>6210</v>
      </c>
    </row>
    <row r="2046" spans="1:17" x14ac:dyDescent="0.35">
      <c r="A2046" s="1" t="s">
        <v>15</v>
      </c>
      <c r="B2046" s="1">
        <v>2189934</v>
      </c>
      <c r="C2046" s="1">
        <v>2190728</v>
      </c>
      <c r="E2046" s="1" t="s">
        <v>178</v>
      </c>
      <c r="F2046" s="1" t="s">
        <v>898</v>
      </c>
      <c r="I2046" s="1" t="s">
        <v>19</v>
      </c>
      <c r="L2046" s="1" t="s">
        <v>6211</v>
      </c>
      <c r="M2046" s="1" t="s">
        <v>898</v>
      </c>
      <c r="N2046" s="1">
        <v>264</v>
      </c>
      <c r="O2046" s="1" t="s">
        <v>6212</v>
      </c>
    </row>
    <row r="2047" spans="1:17" x14ac:dyDescent="0.35">
      <c r="A2047" s="1" t="s">
        <v>15</v>
      </c>
      <c r="B2047" s="1">
        <v>2190721</v>
      </c>
      <c r="C2047" s="1">
        <v>2191563</v>
      </c>
      <c r="E2047" s="1" t="s">
        <v>178</v>
      </c>
      <c r="F2047" s="1" t="s">
        <v>3477</v>
      </c>
      <c r="I2047" s="1" t="s">
        <v>19</v>
      </c>
      <c r="L2047" s="1" t="s">
        <v>6213</v>
      </c>
      <c r="M2047" s="1" t="s">
        <v>3477</v>
      </c>
      <c r="N2047" s="1">
        <v>280</v>
      </c>
      <c r="O2047" s="1" t="s">
        <v>6214</v>
      </c>
      <c r="Q2047" s="14"/>
    </row>
    <row r="2048" spans="1:17" x14ac:dyDescent="0.35">
      <c r="A2048" s="1" t="s">
        <v>15</v>
      </c>
      <c r="B2048" s="1">
        <v>2191539</v>
      </c>
      <c r="C2048" s="1">
        <v>2192369</v>
      </c>
      <c r="E2048" s="1" t="s">
        <v>178</v>
      </c>
      <c r="F2048" s="1" t="s">
        <v>6215</v>
      </c>
      <c r="G2048" s="1" t="s">
        <v>6216</v>
      </c>
      <c r="I2048" s="1" t="s">
        <v>19</v>
      </c>
      <c r="L2048" s="1" t="s">
        <v>6217</v>
      </c>
      <c r="M2048" s="1" t="s">
        <v>6215</v>
      </c>
      <c r="N2048" s="1">
        <v>276</v>
      </c>
      <c r="O2048" s="1" t="s">
        <v>6218</v>
      </c>
      <c r="Q2048" s="14"/>
    </row>
    <row r="2049" spans="1:17" x14ac:dyDescent="0.35">
      <c r="A2049" s="1" t="s">
        <v>15</v>
      </c>
      <c r="B2049" s="1">
        <v>2192382</v>
      </c>
      <c r="C2049" s="1">
        <v>2192924</v>
      </c>
      <c r="E2049" s="1" t="s">
        <v>178</v>
      </c>
      <c r="F2049" s="1" t="s">
        <v>6219</v>
      </c>
      <c r="G2049" s="1" t="s">
        <v>6220</v>
      </c>
      <c r="I2049" s="1" t="s">
        <v>19</v>
      </c>
      <c r="L2049" s="1" t="s">
        <v>6221</v>
      </c>
      <c r="M2049" s="1" t="s">
        <v>6219</v>
      </c>
      <c r="N2049" s="1">
        <v>180</v>
      </c>
      <c r="O2049" s="1" t="s">
        <v>6222</v>
      </c>
      <c r="Q2049" s="14"/>
    </row>
    <row r="2050" spans="1:17" x14ac:dyDescent="0.35">
      <c r="A2050" s="1" t="s">
        <v>15</v>
      </c>
      <c r="B2050" s="1">
        <v>2192937</v>
      </c>
      <c r="C2050" s="1">
        <v>2193794</v>
      </c>
      <c r="E2050" s="1" t="s">
        <v>178</v>
      </c>
      <c r="F2050" s="1" t="s">
        <v>54</v>
      </c>
      <c r="I2050" s="1" t="s">
        <v>19</v>
      </c>
      <c r="L2050" s="1" t="s">
        <v>6223</v>
      </c>
      <c r="M2050" s="1" t="s">
        <v>54</v>
      </c>
      <c r="N2050" s="1">
        <v>285</v>
      </c>
      <c r="O2050" s="1" t="s">
        <v>6224</v>
      </c>
    </row>
    <row r="2051" spans="1:17" x14ac:dyDescent="0.35">
      <c r="A2051" s="1" t="s">
        <v>15</v>
      </c>
      <c r="B2051" s="1">
        <v>2193853</v>
      </c>
      <c r="C2051" s="1">
        <v>2195130</v>
      </c>
      <c r="E2051" s="1" t="s">
        <v>178</v>
      </c>
      <c r="F2051" s="1" t="s">
        <v>6225</v>
      </c>
      <c r="G2051" s="1" t="s">
        <v>6226</v>
      </c>
      <c r="I2051" s="1" t="s">
        <v>19</v>
      </c>
      <c r="L2051" s="1" t="s">
        <v>6227</v>
      </c>
      <c r="M2051" s="1" t="s">
        <v>6225</v>
      </c>
      <c r="N2051" s="1">
        <v>425</v>
      </c>
      <c r="O2051" s="1" t="s">
        <v>6228</v>
      </c>
      <c r="Q2051" s="14"/>
    </row>
    <row r="2052" spans="1:17" x14ac:dyDescent="0.35">
      <c r="A2052" s="1" t="s">
        <v>15</v>
      </c>
      <c r="B2052" s="1">
        <v>2195132</v>
      </c>
      <c r="C2052" s="1">
        <v>2196382</v>
      </c>
      <c r="E2052" s="1" t="s">
        <v>178</v>
      </c>
      <c r="F2052" s="1" t="s">
        <v>6229</v>
      </c>
      <c r="I2052" s="1" t="s">
        <v>19</v>
      </c>
      <c r="L2052" s="1" t="s">
        <v>6230</v>
      </c>
      <c r="M2052" s="1" t="s">
        <v>6229</v>
      </c>
      <c r="N2052" s="1">
        <v>416</v>
      </c>
      <c r="O2052" s="1" t="s">
        <v>6231</v>
      </c>
      <c r="Q2052" s="14"/>
    </row>
    <row r="2053" spans="1:17" x14ac:dyDescent="0.35">
      <c r="A2053" s="1" t="s">
        <v>15</v>
      </c>
      <c r="B2053" s="1">
        <v>2196460</v>
      </c>
      <c r="C2053" s="1">
        <v>2196837</v>
      </c>
      <c r="E2053" s="1" t="s">
        <v>16</v>
      </c>
      <c r="F2053" s="1" t="s">
        <v>6232</v>
      </c>
      <c r="I2053" s="1" t="s">
        <v>19</v>
      </c>
      <c r="L2053" s="1" t="s">
        <v>6233</v>
      </c>
      <c r="M2053" s="1" t="s">
        <v>6232</v>
      </c>
      <c r="N2053" s="1">
        <v>125</v>
      </c>
      <c r="O2053" s="1" t="s">
        <v>6234</v>
      </c>
    </row>
    <row r="2054" spans="1:17" x14ac:dyDescent="0.35">
      <c r="A2054" s="1" t="s">
        <v>15</v>
      </c>
      <c r="B2054" s="1">
        <v>2196840</v>
      </c>
      <c r="C2054" s="1">
        <v>2197940</v>
      </c>
      <c r="E2054" s="1" t="s">
        <v>16</v>
      </c>
      <c r="F2054" s="1" t="s">
        <v>6235</v>
      </c>
      <c r="G2054" s="1" t="s">
        <v>6236</v>
      </c>
      <c r="I2054" s="1" t="s">
        <v>19</v>
      </c>
      <c r="L2054" s="1" t="s">
        <v>6237</v>
      </c>
      <c r="M2054" s="1" t="s">
        <v>6235</v>
      </c>
      <c r="N2054" s="1">
        <v>366</v>
      </c>
      <c r="O2054" s="1" t="s">
        <v>6238</v>
      </c>
    </row>
    <row r="2055" spans="1:17" x14ac:dyDescent="0.35">
      <c r="A2055" s="1" t="s">
        <v>15</v>
      </c>
      <c r="B2055" s="1">
        <v>2198122</v>
      </c>
      <c r="C2055" s="1">
        <v>2199603</v>
      </c>
      <c r="E2055" s="1" t="s">
        <v>178</v>
      </c>
      <c r="F2055" s="1" t="s">
        <v>6239</v>
      </c>
      <c r="G2055" s="1" t="s">
        <v>6240</v>
      </c>
      <c r="I2055" s="1" t="s">
        <v>19</v>
      </c>
      <c r="L2055" s="1" t="s">
        <v>6241</v>
      </c>
      <c r="M2055" s="1" t="s">
        <v>6239</v>
      </c>
      <c r="N2055" s="1">
        <v>493</v>
      </c>
      <c r="O2055" s="1" t="s">
        <v>6242</v>
      </c>
      <c r="Q2055" s="14"/>
    </row>
    <row r="2056" spans="1:17" x14ac:dyDescent="0.35">
      <c r="A2056" s="1" t="s">
        <v>15</v>
      </c>
      <c r="B2056" s="1">
        <v>2199782</v>
      </c>
      <c r="C2056" s="1">
        <v>2200804</v>
      </c>
      <c r="E2056" s="1" t="s">
        <v>178</v>
      </c>
      <c r="F2056" s="1" t="s">
        <v>6243</v>
      </c>
      <c r="G2056" s="1" t="s">
        <v>6244</v>
      </c>
      <c r="I2056" s="1" t="s">
        <v>19</v>
      </c>
      <c r="L2056" s="1" t="s">
        <v>6245</v>
      </c>
      <c r="M2056" s="1" t="s">
        <v>6243</v>
      </c>
      <c r="N2056" s="1">
        <v>340</v>
      </c>
      <c r="O2056" s="1" t="s">
        <v>6246</v>
      </c>
      <c r="Q2056" s="14"/>
    </row>
    <row r="2057" spans="1:17" x14ac:dyDescent="0.35">
      <c r="A2057" s="1" t="s">
        <v>15</v>
      </c>
      <c r="B2057" s="1">
        <v>2201233</v>
      </c>
      <c r="C2057" s="1">
        <v>2202105</v>
      </c>
      <c r="E2057" s="1" t="s">
        <v>16</v>
      </c>
      <c r="F2057" s="1" t="s">
        <v>50</v>
      </c>
      <c r="I2057" s="1" t="s">
        <v>19</v>
      </c>
      <c r="L2057" s="1" t="s">
        <v>6247</v>
      </c>
      <c r="M2057" s="1" t="s">
        <v>50</v>
      </c>
      <c r="N2057" s="1">
        <v>290</v>
      </c>
      <c r="O2057" s="1" t="s">
        <v>6248</v>
      </c>
    </row>
    <row r="2058" spans="1:17" x14ac:dyDescent="0.35">
      <c r="A2058" s="1" t="s">
        <v>15</v>
      </c>
      <c r="B2058" s="1">
        <v>2202172</v>
      </c>
      <c r="C2058" s="1">
        <v>2203794</v>
      </c>
      <c r="E2058" s="1" t="s">
        <v>16</v>
      </c>
      <c r="F2058" s="1" t="s">
        <v>6249</v>
      </c>
      <c r="I2058" s="1" t="s">
        <v>19</v>
      </c>
      <c r="L2058" s="1" t="s">
        <v>6250</v>
      </c>
      <c r="M2058" s="1" t="s">
        <v>6249</v>
      </c>
      <c r="N2058" s="1">
        <v>540</v>
      </c>
      <c r="O2058" s="1" t="s">
        <v>6251</v>
      </c>
    </row>
    <row r="2059" spans="1:17" x14ac:dyDescent="0.35">
      <c r="A2059" s="1" t="s">
        <v>15</v>
      </c>
      <c r="B2059" s="1">
        <v>2203844</v>
      </c>
      <c r="C2059" s="1">
        <v>2206438</v>
      </c>
      <c r="E2059" s="1" t="s">
        <v>16</v>
      </c>
      <c r="F2059" s="1" t="s">
        <v>1663</v>
      </c>
      <c r="I2059" s="1" t="s">
        <v>19</v>
      </c>
      <c r="L2059" s="1" t="s">
        <v>6252</v>
      </c>
      <c r="M2059" s="1" t="s">
        <v>1663</v>
      </c>
      <c r="N2059" s="1">
        <v>864</v>
      </c>
      <c r="O2059" s="1" t="s">
        <v>6253</v>
      </c>
    </row>
    <row r="2060" spans="1:17" x14ac:dyDescent="0.35">
      <c r="A2060" s="1" t="s">
        <v>15</v>
      </c>
      <c r="B2060" s="1">
        <v>2206535</v>
      </c>
      <c r="C2060" s="1">
        <v>2206608</v>
      </c>
      <c r="E2060" s="1" t="s">
        <v>178</v>
      </c>
      <c r="F2060" s="1" t="s">
        <v>462</v>
      </c>
      <c r="I2060" s="1" t="s">
        <v>75</v>
      </c>
      <c r="O2060" s="1" t="s">
        <v>6254</v>
      </c>
    </row>
    <row r="2061" spans="1:17" x14ac:dyDescent="0.35">
      <c r="A2061" s="1" t="s">
        <v>15</v>
      </c>
      <c r="B2061" s="1">
        <v>2206631</v>
      </c>
      <c r="C2061" s="1">
        <v>2206702</v>
      </c>
      <c r="E2061" s="1" t="s">
        <v>178</v>
      </c>
      <c r="F2061" s="1" t="s">
        <v>261</v>
      </c>
      <c r="I2061" s="1" t="s">
        <v>75</v>
      </c>
      <c r="O2061" s="1" t="s">
        <v>6255</v>
      </c>
    </row>
    <row r="2062" spans="1:17" x14ac:dyDescent="0.35">
      <c r="A2062" s="1" t="s">
        <v>15</v>
      </c>
      <c r="B2062" s="1">
        <v>2206889</v>
      </c>
      <c r="C2062" s="1">
        <v>2206962</v>
      </c>
      <c r="E2062" s="1" t="s">
        <v>16</v>
      </c>
      <c r="F2062" s="1" t="s">
        <v>96</v>
      </c>
      <c r="I2062" s="1" t="s">
        <v>75</v>
      </c>
      <c r="O2062" s="1" t="s">
        <v>6256</v>
      </c>
    </row>
    <row r="2063" spans="1:17" x14ac:dyDescent="0.35">
      <c r="A2063" s="1" t="s">
        <v>15</v>
      </c>
      <c r="B2063" s="1">
        <v>2206987</v>
      </c>
      <c r="C2063" s="1">
        <v>2207670</v>
      </c>
      <c r="E2063" s="1" t="s">
        <v>178</v>
      </c>
      <c r="F2063" s="1" t="s">
        <v>6257</v>
      </c>
      <c r="I2063" s="1" t="s">
        <v>19</v>
      </c>
      <c r="L2063" s="1" t="s">
        <v>6258</v>
      </c>
      <c r="M2063" s="1" t="s">
        <v>6257</v>
      </c>
      <c r="N2063" s="1">
        <v>227</v>
      </c>
      <c r="O2063" s="1" t="s">
        <v>6259</v>
      </c>
    </row>
    <row r="2064" spans="1:17" x14ac:dyDescent="0.35">
      <c r="A2064" s="1" t="s">
        <v>15</v>
      </c>
      <c r="B2064" s="1">
        <v>2207686</v>
      </c>
      <c r="C2064" s="1">
        <v>2208165</v>
      </c>
      <c r="E2064" s="1" t="s">
        <v>178</v>
      </c>
      <c r="F2064" s="1" t="s">
        <v>50</v>
      </c>
      <c r="I2064" s="1" t="s">
        <v>19</v>
      </c>
      <c r="L2064" s="1" t="s">
        <v>6260</v>
      </c>
      <c r="M2064" s="1" t="s">
        <v>50</v>
      </c>
      <c r="N2064" s="1">
        <v>159</v>
      </c>
      <c r="O2064" s="1" t="s">
        <v>6261</v>
      </c>
    </row>
    <row r="2065" spans="1:15" x14ac:dyDescent="0.35">
      <c r="A2065" s="1" t="s">
        <v>15</v>
      </c>
      <c r="B2065" s="1">
        <v>2208371</v>
      </c>
      <c r="C2065" s="1">
        <v>2209606</v>
      </c>
      <c r="E2065" s="1" t="s">
        <v>16</v>
      </c>
      <c r="F2065" s="1" t="s">
        <v>6262</v>
      </c>
      <c r="G2065" s="1" t="s">
        <v>6263</v>
      </c>
      <c r="I2065" s="1" t="s">
        <v>19</v>
      </c>
      <c r="L2065" s="1" t="s">
        <v>6264</v>
      </c>
      <c r="M2065" s="1" t="s">
        <v>6262</v>
      </c>
      <c r="N2065" s="1">
        <v>411</v>
      </c>
      <c r="O2065" s="1" t="s">
        <v>6265</v>
      </c>
    </row>
    <row r="2066" spans="1:15" x14ac:dyDescent="0.35">
      <c r="A2066" s="1" t="s">
        <v>15</v>
      </c>
      <c r="B2066" s="1">
        <v>2209672</v>
      </c>
      <c r="C2066" s="1">
        <v>2210439</v>
      </c>
      <c r="E2066" s="1" t="s">
        <v>16</v>
      </c>
      <c r="F2066" s="1" t="s">
        <v>6266</v>
      </c>
      <c r="I2066" s="1" t="s">
        <v>19</v>
      </c>
      <c r="L2066" s="1" t="s">
        <v>6267</v>
      </c>
      <c r="M2066" s="1" t="s">
        <v>6266</v>
      </c>
      <c r="N2066" s="1">
        <v>255</v>
      </c>
      <c r="O2066" s="1" t="s">
        <v>6268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559C-7DC5-48E2-889D-6B981B7A943B}">
  <dimension ref="A1:G2393"/>
  <sheetViews>
    <sheetView zoomScale="113" workbookViewId="0"/>
  </sheetViews>
  <sheetFormatPr defaultRowHeight="14.5" x14ac:dyDescent="0.35"/>
  <cols>
    <col min="1" max="1" width="18.7265625" style="1" customWidth="1"/>
    <col min="2" max="2" width="15.7265625" style="1" customWidth="1"/>
    <col min="3" max="3" width="11.54296875" style="1" customWidth="1"/>
    <col min="4" max="4" width="38" style="1" customWidth="1"/>
    <col min="5" max="5" width="35.81640625" style="1" customWidth="1"/>
    <col min="6" max="6" width="44" style="1" customWidth="1"/>
    <col min="7" max="7" width="33.26953125" style="1" customWidth="1"/>
    <col min="8" max="20" width="8.7265625" style="1"/>
    <col min="21" max="22" width="8.7265625" style="1" customWidth="1"/>
    <col min="23" max="16384" width="8.7265625" style="1"/>
  </cols>
  <sheetData>
    <row r="1" spans="1:7" s="11" customFormat="1" x14ac:dyDescent="0.35">
      <c r="A1" s="11" t="s">
        <v>6742</v>
      </c>
      <c r="B1" s="11" t="s">
        <v>14</v>
      </c>
      <c r="C1" s="11" t="s">
        <v>6743</v>
      </c>
      <c r="D1" s="11" t="s">
        <v>6744</v>
      </c>
      <c r="E1" s="11" t="s">
        <v>6745</v>
      </c>
      <c r="F1" s="11" t="s">
        <v>6746</v>
      </c>
      <c r="G1" s="11" t="s">
        <v>6747</v>
      </c>
    </row>
    <row r="2" spans="1:7" x14ac:dyDescent="0.35">
      <c r="A2" s="1" t="s">
        <v>578</v>
      </c>
      <c r="B2" s="1" t="s">
        <v>579</v>
      </c>
      <c r="C2" s="1" t="s">
        <v>6310</v>
      </c>
    </row>
    <row r="3" spans="1:7" x14ac:dyDescent="0.35">
      <c r="A3" s="1" t="s">
        <v>1845</v>
      </c>
      <c r="B3" s="1" t="s">
        <v>1846</v>
      </c>
      <c r="C3" s="1" t="s">
        <v>6310</v>
      </c>
    </row>
    <row r="4" spans="1:7" x14ac:dyDescent="0.35">
      <c r="A4" s="1" t="s">
        <v>2445</v>
      </c>
      <c r="B4" s="1" t="s">
        <v>2446</v>
      </c>
      <c r="C4" s="1" t="s">
        <v>6310</v>
      </c>
    </row>
    <row r="5" spans="1:7" x14ac:dyDescent="0.35">
      <c r="A5" s="1" t="s">
        <v>2475</v>
      </c>
      <c r="B5" s="1" t="s">
        <v>2476</v>
      </c>
      <c r="C5" s="1" t="s">
        <v>6310</v>
      </c>
    </row>
    <row r="6" spans="1:7" x14ac:dyDescent="0.35">
      <c r="A6" s="1" t="s">
        <v>2597</v>
      </c>
      <c r="B6" s="1" t="s">
        <v>2598</v>
      </c>
      <c r="C6" s="1" t="s">
        <v>6310</v>
      </c>
    </row>
    <row r="7" spans="1:7" x14ac:dyDescent="0.35">
      <c r="A7" s="1" t="s">
        <v>3514</v>
      </c>
      <c r="B7" s="1" t="s">
        <v>3515</v>
      </c>
      <c r="C7" s="1" t="s">
        <v>6310</v>
      </c>
    </row>
    <row r="8" spans="1:7" x14ac:dyDescent="0.35">
      <c r="A8" s="1" t="s">
        <v>4142</v>
      </c>
      <c r="B8" s="1" t="s">
        <v>4143</v>
      </c>
      <c r="C8" s="1" t="s">
        <v>6310</v>
      </c>
    </row>
    <row r="9" spans="1:7" x14ac:dyDescent="0.35">
      <c r="A9" s="1" t="s">
        <v>4187</v>
      </c>
      <c r="B9" s="1" t="s">
        <v>4188</v>
      </c>
      <c r="C9" s="1" t="s">
        <v>6310</v>
      </c>
    </row>
    <row r="10" spans="1:7" x14ac:dyDescent="0.35">
      <c r="A10" s="1" t="s">
        <v>4259</v>
      </c>
      <c r="B10" s="1" t="s">
        <v>4260</v>
      </c>
      <c r="C10" s="1" t="s">
        <v>6310</v>
      </c>
    </row>
    <row r="11" spans="1:7" x14ac:dyDescent="0.35">
      <c r="A11" s="1" t="s">
        <v>5682</v>
      </c>
      <c r="B11" s="1" t="s">
        <v>5683</v>
      </c>
      <c r="C11" s="1" t="s">
        <v>6310</v>
      </c>
    </row>
    <row r="12" spans="1:7" x14ac:dyDescent="0.35">
      <c r="A12" s="1" t="s">
        <v>1300</v>
      </c>
      <c r="B12" s="1" t="s">
        <v>1301</v>
      </c>
      <c r="C12" s="1" t="s">
        <v>6424</v>
      </c>
    </row>
    <row r="13" spans="1:7" x14ac:dyDescent="0.35">
      <c r="A13" s="1" t="s">
        <v>4197</v>
      </c>
      <c r="B13" s="1" t="s">
        <v>4198</v>
      </c>
      <c r="C13" s="1" t="s">
        <v>6424</v>
      </c>
    </row>
    <row r="14" spans="1:7" x14ac:dyDescent="0.35">
      <c r="A14" s="1" t="s">
        <v>2104</v>
      </c>
      <c r="B14" s="1" t="s">
        <v>2105</v>
      </c>
      <c r="C14" s="1" t="s">
        <v>6488</v>
      </c>
    </row>
    <row r="15" spans="1:7" x14ac:dyDescent="0.35">
      <c r="A15" s="1" t="s">
        <v>2108</v>
      </c>
      <c r="B15" s="1" t="s">
        <v>2109</v>
      </c>
      <c r="C15" s="1" t="s">
        <v>6488</v>
      </c>
    </row>
    <row r="16" spans="1:7" x14ac:dyDescent="0.35">
      <c r="A16" s="1" t="s">
        <v>3207</v>
      </c>
      <c r="B16" s="1" t="s">
        <v>3208</v>
      </c>
      <c r="C16" s="1" t="s">
        <v>6488</v>
      </c>
    </row>
    <row r="17" spans="1:7" x14ac:dyDescent="0.35">
      <c r="A17" s="1" t="s">
        <v>3447</v>
      </c>
      <c r="B17" s="1" t="s">
        <v>3448</v>
      </c>
      <c r="C17" s="1" t="s">
        <v>6585</v>
      </c>
      <c r="D17" s="2" t="s">
        <v>6748</v>
      </c>
      <c r="E17" s="2" t="s">
        <v>6749</v>
      </c>
      <c r="F17" s="1" t="s">
        <v>6751</v>
      </c>
      <c r="G17" s="1" t="s">
        <v>6752</v>
      </c>
    </row>
    <row r="18" spans="1:7" x14ac:dyDescent="0.35">
      <c r="A18" s="1" t="s">
        <v>3447</v>
      </c>
      <c r="B18" s="1" t="s">
        <v>3448</v>
      </c>
      <c r="C18" s="1" t="s">
        <v>6585</v>
      </c>
      <c r="D18" s="2" t="s">
        <v>6748</v>
      </c>
      <c r="E18" s="2" t="s">
        <v>6750</v>
      </c>
      <c r="F18" s="1" t="s">
        <v>6753</v>
      </c>
      <c r="G18" s="1" t="s">
        <v>6754</v>
      </c>
    </row>
    <row r="19" spans="1:7" x14ac:dyDescent="0.35">
      <c r="A19" s="1" t="s">
        <v>3447</v>
      </c>
      <c r="B19" s="1" t="s">
        <v>3448</v>
      </c>
      <c r="C19" s="1" t="s">
        <v>6585</v>
      </c>
      <c r="D19" s="2" t="s">
        <v>6748</v>
      </c>
      <c r="E19" s="2" t="s">
        <v>6755</v>
      </c>
      <c r="F19" s="1" t="s">
        <v>6771</v>
      </c>
      <c r="G19" s="3" t="s">
        <v>6773</v>
      </c>
    </row>
    <row r="20" spans="1:7" x14ac:dyDescent="0.35">
      <c r="A20" s="1" t="s">
        <v>3447</v>
      </c>
      <c r="B20" s="1" t="s">
        <v>3448</v>
      </c>
      <c r="C20" s="1" t="s">
        <v>6585</v>
      </c>
      <c r="D20" s="2" t="s">
        <v>6770</v>
      </c>
      <c r="E20" s="2" t="s">
        <v>6757</v>
      </c>
      <c r="F20" s="1" t="s">
        <v>6774</v>
      </c>
      <c r="G20" s="1" t="s">
        <v>6775</v>
      </c>
    </row>
    <row r="21" spans="1:7" x14ac:dyDescent="0.35">
      <c r="A21" s="1" t="s">
        <v>3447</v>
      </c>
      <c r="B21" s="1" t="s">
        <v>3448</v>
      </c>
      <c r="C21" s="1" t="s">
        <v>6585</v>
      </c>
      <c r="D21" s="2" t="s">
        <v>6770</v>
      </c>
      <c r="E21" s="2" t="s">
        <v>6756</v>
      </c>
      <c r="F21" s="1" t="s">
        <v>6776</v>
      </c>
      <c r="G21" s="1" t="s">
        <v>6777</v>
      </c>
    </row>
    <row r="22" spans="1:7" x14ac:dyDescent="0.35">
      <c r="A22" s="1" t="s">
        <v>3447</v>
      </c>
      <c r="B22" s="1" t="s">
        <v>3448</v>
      </c>
      <c r="C22" s="1" t="s">
        <v>6585</v>
      </c>
      <c r="D22" s="2" t="s">
        <v>6770</v>
      </c>
      <c r="E22" s="2" t="s">
        <v>6758</v>
      </c>
      <c r="F22" s="1" t="s">
        <v>6779</v>
      </c>
      <c r="G22" s="1" t="s">
        <v>6778</v>
      </c>
    </row>
    <row r="23" spans="1:7" x14ac:dyDescent="0.35">
      <c r="A23" s="1" t="s">
        <v>3447</v>
      </c>
      <c r="B23" s="1" t="s">
        <v>3448</v>
      </c>
      <c r="C23" s="1" t="s">
        <v>6585</v>
      </c>
      <c r="D23" s="2" t="s">
        <v>6748</v>
      </c>
      <c r="E23" s="2" t="s">
        <v>6759</v>
      </c>
      <c r="F23" s="1" t="s">
        <v>6780</v>
      </c>
      <c r="G23" s="1" t="s">
        <v>6792</v>
      </c>
    </row>
    <row r="24" spans="1:7" x14ac:dyDescent="0.35">
      <c r="A24" s="1" t="s">
        <v>3447</v>
      </c>
      <c r="B24" s="1" t="s">
        <v>3448</v>
      </c>
      <c r="C24" s="1" t="s">
        <v>6585</v>
      </c>
      <c r="D24" s="2" t="s">
        <v>6770</v>
      </c>
      <c r="E24" s="2" t="s">
        <v>6760</v>
      </c>
      <c r="F24" s="1" t="s">
        <v>6781</v>
      </c>
      <c r="G24" s="1" t="s">
        <v>6796</v>
      </c>
    </row>
    <row r="25" spans="1:7" x14ac:dyDescent="0.35">
      <c r="A25" s="1" t="s">
        <v>3447</v>
      </c>
      <c r="B25" s="1" t="s">
        <v>3448</v>
      </c>
      <c r="C25" s="1" t="s">
        <v>6585</v>
      </c>
      <c r="D25" s="2" t="s">
        <v>6748</v>
      </c>
      <c r="E25" s="2" t="s">
        <v>6761</v>
      </c>
      <c r="F25" s="1" t="s">
        <v>6782</v>
      </c>
      <c r="G25" s="1" t="s">
        <v>6793</v>
      </c>
    </row>
    <row r="26" spans="1:7" x14ac:dyDescent="0.35">
      <c r="A26" s="1" t="s">
        <v>3447</v>
      </c>
      <c r="B26" s="1" t="s">
        <v>3448</v>
      </c>
      <c r="C26" s="1" t="s">
        <v>6585</v>
      </c>
      <c r="D26" s="2" t="s">
        <v>6748</v>
      </c>
      <c r="E26" s="2" t="s">
        <v>6762</v>
      </c>
      <c r="F26" s="1" t="s">
        <v>6783</v>
      </c>
      <c r="G26" s="1" t="s">
        <v>6794</v>
      </c>
    </row>
    <row r="27" spans="1:7" x14ac:dyDescent="0.35">
      <c r="A27" s="1" t="s">
        <v>3447</v>
      </c>
      <c r="B27" s="1" t="s">
        <v>3448</v>
      </c>
      <c r="C27" s="1" t="s">
        <v>6585</v>
      </c>
      <c r="D27" s="2" t="s">
        <v>6748</v>
      </c>
      <c r="E27" s="2" t="s">
        <v>6763</v>
      </c>
      <c r="F27" s="1" t="s">
        <v>6784</v>
      </c>
      <c r="G27" s="1" t="s">
        <v>6795</v>
      </c>
    </row>
    <row r="28" spans="1:7" x14ac:dyDescent="0.35">
      <c r="A28" s="1" t="s">
        <v>3447</v>
      </c>
      <c r="B28" s="1" t="s">
        <v>3448</v>
      </c>
      <c r="C28" s="1" t="s">
        <v>6585</v>
      </c>
      <c r="D28" s="2" t="s">
        <v>6748</v>
      </c>
      <c r="E28" s="2" t="s">
        <v>6764</v>
      </c>
      <c r="F28" s="1" t="s">
        <v>6785</v>
      </c>
      <c r="G28" s="1" t="s">
        <v>6797</v>
      </c>
    </row>
    <row r="29" spans="1:7" x14ac:dyDescent="0.35">
      <c r="A29" s="1" t="s">
        <v>3447</v>
      </c>
      <c r="B29" s="1" t="s">
        <v>3448</v>
      </c>
      <c r="C29" s="1" t="s">
        <v>6585</v>
      </c>
      <c r="D29" s="2" t="s">
        <v>6748</v>
      </c>
      <c r="E29" s="2" t="s">
        <v>6765</v>
      </c>
      <c r="F29" s="1" t="s">
        <v>6786</v>
      </c>
      <c r="G29" s="1" t="s">
        <v>6798</v>
      </c>
    </row>
    <row r="30" spans="1:7" x14ac:dyDescent="0.35">
      <c r="A30" s="1" t="s">
        <v>3447</v>
      </c>
      <c r="B30" s="1" t="s">
        <v>3448</v>
      </c>
      <c r="C30" s="1" t="s">
        <v>6585</v>
      </c>
      <c r="D30" s="2" t="s">
        <v>6748</v>
      </c>
      <c r="E30" s="2" t="s">
        <v>6766</v>
      </c>
      <c r="F30" s="1" t="s">
        <v>6787</v>
      </c>
      <c r="G30" s="1" t="s">
        <v>6799</v>
      </c>
    </row>
    <row r="31" spans="1:7" x14ac:dyDescent="0.35">
      <c r="A31" s="1" t="s">
        <v>3447</v>
      </c>
      <c r="B31" s="1" t="s">
        <v>3448</v>
      </c>
      <c r="C31" s="1" t="s">
        <v>6585</v>
      </c>
      <c r="D31" s="2" t="s">
        <v>6748</v>
      </c>
      <c r="E31" s="2" t="s">
        <v>6772</v>
      </c>
      <c r="F31" s="1" t="s">
        <v>6788</v>
      </c>
      <c r="G31" s="1" t="s">
        <v>6800</v>
      </c>
    </row>
    <row r="32" spans="1:7" x14ac:dyDescent="0.35">
      <c r="A32" s="1" t="s">
        <v>3447</v>
      </c>
      <c r="B32" s="1" t="s">
        <v>3448</v>
      </c>
      <c r="C32" s="1" t="s">
        <v>6585</v>
      </c>
      <c r="D32" s="2" t="s">
        <v>6748</v>
      </c>
      <c r="E32" s="2" t="s">
        <v>6767</v>
      </c>
      <c r="F32" s="1" t="s">
        <v>6789</v>
      </c>
      <c r="G32" s="1" t="s">
        <v>6803</v>
      </c>
    </row>
    <row r="33" spans="1:7" x14ac:dyDescent="0.35">
      <c r="A33" s="1" t="s">
        <v>3447</v>
      </c>
      <c r="B33" s="1" t="s">
        <v>3448</v>
      </c>
      <c r="C33" s="1" t="s">
        <v>6585</v>
      </c>
      <c r="D33" s="2" t="s">
        <v>6748</v>
      </c>
      <c r="E33" s="2" t="s">
        <v>6768</v>
      </c>
      <c r="F33" s="1" t="s">
        <v>6790</v>
      </c>
      <c r="G33" s="1" t="s">
        <v>6801</v>
      </c>
    </row>
    <row r="34" spans="1:7" x14ac:dyDescent="0.35">
      <c r="A34" s="1" t="s">
        <v>3447</v>
      </c>
      <c r="B34" s="1" t="s">
        <v>3448</v>
      </c>
      <c r="C34" s="1" t="s">
        <v>6585</v>
      </c>
      <c r="D34" s="2" t="s">
        <v>6748</v>
      </c>
      <c r="E34" s="2" t="s">
        <v>6769</v>
      </c>
      <c r="F34" s="1" t="s">
        <v>6791</v>
      </c>
      <c r="G34" s="1" t="s">
        <v>6802</v>
      </c>
    </row>
    <row r="35" spans="1:7" x14ac:dyDescent="0.35">
      <c r="A35" s="1" t="s">
        <v>1128</v>
      </c>
      <c r="B35" s="1" t="s">
        <v>1129</v>
      </c>
      <c r="C35" s="1" t="s">
        <v>6409</v>
      </c>
      <c r="D35" s="2" t="s">
        <v>6804</v>
      </c>
      <c r="E35" s="2" t="s">
        <v>6805</v>
      </c>
      <c r="F35" s="1" t="s">
        <v>6816</v>
      </c>
      <c r="G35" s="1" t="s">
        <v>6827</v>
      </c>
    </row>
    <row r="36" spans="1:7" x14ac:dyDescent="0.35">
      <c r="A36" s="1" t="s">
        <v>1128</v>
      </c>
      <c r="B36" s="1" t="s">
        <v>1129</v>
      </c>
      <c r="C36" s="1" t="s">
        <v>6409</v>
      </c>
      <c r="D36" s="2" t="s">
        <v>6804</v>
      </c>
      <c r="E36" s="4" t="s">
        <v>6806</v>
      </c>
      <c r="F36" s="1" t="s">
        <v>6817</v>
      </c>
      <c r="G36" s="1" t="s">
        <v>6828</v>
      </c>
    </row>
    <row r="37" spans="1:7" x14ac:dyDescent="0.35">
      <c r="A37" s="1" t="s">
        <v>1128</v>
      </c>
      <c r="B37" s="1" t="s">
        <v>1129</v>
      </c>
      <c r="C37" s="1" t="s">
        <v>6409</v>
      </c>
      <c r="D37" s="2" t="s">
        <v>6804</v>
      </c>
      <c r="E37" s="4" t="s">
        <v>6807</v>
      </c>
      <c r="F37" s="1" t="s">
        <v>6818</v>
      </c>
      <c r="G37" s="1" t="s">
        <v>6829</v>
      </c>
    </row>
    <row r="38" spans="1:7" x14ac:dyDescent="0.35">
      <c r="A38" s="1" t="s">
        <v>1128</v>
      </c>
      <c r="B38" s="1" t="s">
        <v>1129</v>
      </c>
      <c r="C38" s="1" t="s">
        <v>6409</v>
      </c>
      <c r="D38" s="2" t="s">
        <v>6804</v>
      </c>
      <c r="E38" s="2" t="s">
        <v>6808</v>
      </c>
      <c r="F38" s="1" t="s">
        <v>6819</v>
      </c>
      <c r="G38" s="1" t="s">
        <v>6830</v>
      </c>
    </row>
    <row r="39" spans="1:7" x14ac:dyDescent="0.35">
      <c r="A39" s="1" t="s">
        <v>1128</v>
      </c>
      <c r="B39" s="1" t="s">
        <v>1129</v>
      </c>
      <c r="C39" s="1" t="s">
        <v>6409</v>
      </c>
      <c r="D39" s="2" t="s">
        <v>6804</v>
      </c>
      <c r="E39" s="2" t="s">
        <v>6809</v>
      </c>
      <c r="F39" s="1" t="s">
        <v>6820</v>
      </c>
      <c r="G39" s="1" t="s">
        <v>6831</v>
      </c>
    </row>
    <row r="40" spans="1:7" x14ac:dyDescent="0.35">
      <c r="A40" s="1" t="s">
        <v>1128</v>
      </c>
      <c r="B40" s="1" t="s">
        <v>1129</v>
      </c>
      <c r="C40" s="1" t="s">
        <v>6409</v>
      </c>
      <c r="D40" s="2" t="s">
        <v>6804</v>
      </c>
      <c r="E40" s="2" t="s">
        <v>6810</v>
      </c>
      <c r="F40" s="1" t="s">
        <v>6821</v>
      </c>
      <c r="G40" s="1" t="s">
        <v>6832</v>
      </c>
    </row>
    <row r="41" spans="1:7" x14ac:dyDescent="0.35">
      <c r="A41" s="1" t="s">
        <v>1128</v>
      </c>
      <c r="B41" s="1" t="s">
        <v>1129</v>
      </c>
      <c r="C41" s="1" t="s">
        <v>6409</v>
      </c>
      <c r="D41" s="2" t="s">
        <v>6804</v>
      </c>
      <c r="E41" s="2" t="s">
        <v>6811</v>
      </c>
      <c r="F41" s="1" t="s">
        <v>6822</v>
      </c>
      <c r="G41" s="1" t="s">
        <v>6833</v>
      </c>
    </row>
    <row r="42" spans="1:7" x14ac:dyDescent="0.35">
      <c r="A42" s="1" t="s">
        <v>1128</v>
      </c>
      <c r="B42" s="1" t="s">
        <v>1129</v>
      </c>
      <c r="C42" s="1" t="s">
        <v>6409</v>
      </c>
      <c r="D42" s="2" t="s">
        <v>6804</v>
      </c>
      <c r="E42" s="2" t="s">
        <v>6812</v>
      </c>
      <c r="F42" s="1" t="s">
        <v>6823</v>
      </c>
      <c r="G42" s="1" t="s">
        <v>6834</v>
      </c>
    </row>
    <row r="43" spans="1:7" x14ac:dyDescent="0.35">
      <c r="A43" s="1" t="s">
        <v>1128</v>
      </c>
      <c r="B43" s="1" t="s">
        <v>1129</v>
      </c>
      <c r="C43" s="1" t="s">
        <v>6409</v>
      </c>
      <c r="D43" s="2" t="s">
        <v>6804</v>
      </c>
      <c r="E43" s="2" t="s">
        <v>6813</v>
      </c>
      <c r="F43" s="1" t="s">
        <v>6824</v>
      </c>
      <c r="G43" s="1" t="s">
        <v>6835</v>
      </c>
    </row>
    <row r="44" spans="1:7" x14ac:dyDescent="0.35">
      <c r="A44" s="1" t="s">
        <v>1128</v>
      </c>
      <c r="B44" s="1" t="s">
        <v>1129</v>
      </c>
      <c r="C44" s="1" t="s">
        <v>6409</v>
      </c>
      <c r="D44" s="2" t="s">
        <v>6804</v>
      </c>
      <c r="E44" s="2" t="s">
        <v>6814</v>
      </c>
      <c r="F44" s="1" t="s">
        <v>6825</v>
      </c>
      <c r="G44" s="1" t="s">
        <v>6836</v>
      </c>
    </row>
    <row r="45" spans="1:7" x14ac:dyDescent="0.35">
      <c r="A45" s="1" t="s">
        <v>1128</v>
      </c>
      <c r="B45" s="1" t="s">
        <v>1129</v>
      </c>
      <c r="C45" s="1" t="s">
        <v>6409</v>
      </c>
      <c r="D45" s="2" t="s">
        <v>6804</v>
      </c>
      <c r="E45" s="2" t="s">
        <v>6815</v>
      </c>
      <c r="F45" s="1" t="s">
        <v>6826</v>
      </c>
      <c r="G45" s="1" t="s">
        <v>9018</v>
      </c>
    </row>
    <row r="46" spans="1:7" x14ac:dyDescent="0.35">
      <c r="A46" s="1" t="s">
        <v>4621</v>
      </c>
      <c r="B46" s="1" t="s">
        <v>4622</v>
      </c>
      <c r="C46" s="1" t="s">
        <v>6656</v>
      </c>
      <c r="D46" s="2" t="s">
        <v>6838</v>
      </c>
      <c r="E46" s="2" t="s">
        <v>6837</v>
      </c>
      <c r="F46" s="1" t="s">
        <v>6847</v>
      </c>
      <c r="G46" s="1" t="s">
        <v>6849</v>
      </c>
    </row>
    <row r="47" spans="1:7" x14ac:dyDescent="0.35">
      <c r="A47" s="1" t="s">
        <v>5075</v>
      </c>
      <c r="B47" s="1" t="s">
        <v>5076</v>
      </c>
      <c r="C47" s="1" t="s">
        <v>6684</v>
      </c>
      <c r="D47" s="2" t="s">
        <v>6839</v>
      </c>
      <c r="E47" s="2" t="s">
        <v>6846</v>
      </c>
      <c r="F47" s="1" t="s">
        <v>6848</v>
      </c>
      <c r="G47" s="1" t="s">
        <v>6850</v>
      </c>
    </row>
    <row r="48" spans="1:7" x14ac:dyDescent="0.35">
      <c r="A48" s="1" t="s">
        <v>4026</v>
      </c>
      <c r="B48" s="1" t="s">
        <v>4027</v>
      </c>
      <c r="C48" s="1" t="s">
        <v>6626</v>
      </c>
      <c r="D48" s="2" t="s">
        <v>6840</v>
      </c>
      <c r="E48" s="2" t="s">
        <v>6851</v>
      </c>
      <c r="F48" s="1" t="s">
        <v>6858</v>
      </c>
      <c r="G48" s="1" t="s">
        <v>6864</v>
      </c>
    </row>
    <row r="49" spans="1:7" x14ac:dyDescent="0.35">
      <c r="A49" s="1" t="s">
        <v>4026</v>
      </c>
      <c r="B49" s="1" t="s">
        <v>4027</v>
      </c>
      <c r="C49" s="1" t="s">
        <v>6626</v>
      </c>
      <c r="D49" s="2" t="s">
        <v>6840</v>
      </c>
      <c r="E49" s="2" t="s">
        <v>6852</v>
      </c>
      <c r="F49" s="1" t="s">
        <v>6859</v>
      </c>
      <c r="G49" s="1" t="s">
        <v>6865</v>
      </c>
    </row>
    <row r="50" spans="1:7" x14ac:dyDescent="0.35">
      <c r="A50" s="1" t="s">
        <v>4026</v>
      </c>
      <c r="B50" s="1" t="s">
        <v>4027</v>
      </c>
      <c r="C50" s="1" t="s">
        <v>6626</v>
      </c>
      <c r="D50" s="2" t="s">
        <v>6840</v>
      </c>
      <c r="E50" s="2" t="s">
        <v>6853</v>
      </c>
      <c r="F50" s="1" t="s">
        <v>6860</v>
      </c>
      <c r="G50" s="1" t="s">
        <v>6866</v>
      </c>
    </row>
    <row r="51" spans="1:7" x14ac:dyDescent="0.35">
      <c r="A51" s="1" t="s">
        <v>4026</v>
      </c>
      <c r="B51" s="1" t="s">
        <v>4027</v>
      </c>
      <c r="C51" s="1" t="s">
        <v>6626</v>
      </c>
      <c r="D51" s="2" t="s">
        <v>6840</v>
      </c>
      <c r="E51" s="2" t="s">
        <v>6854</v>
      </c>
      <c r="F51" s="1" t="s">
        <v>6861</v>
      </c>
      <c r="G51" s="1" t="s">
        <v>6867</v>
      </c>
    </row>
    <row r="52" spans="1:7" x14ac:dyDescent="0.35">
      <c r="A52" s="1" t="s">
        <v>4026</v>
      </c>
      <c r="B52" s="1" t="s">
        <v>4027</v>
      </c>
      <c r="C52" s="1" t="s">
        <v>6626</v>
      </c>
      <c r="D52" s="2" t="s">
        <v>6840</v>
      </c>
      <c r="E52" s="2" t="s">
        <v>6855</v>
      </c>
      <c r="F52" s="1" t="s">
        <v>6862</v>
      </c>
      <c r="G52" s="1" t="s">
        <v>6868</v>
      </c>
    </row>
    <row r="53" spans="1:7" x14ac:dyDescent="0.35">
      <c r="A53" s="1" t="s">
        <v>4026</v>
      </c>
      <c r="B53" s="1" t="s">
        <v>4027</v>
      </c>
      <c r="C53" s="1" t="s">
        <v>6626</v>
      </c>
      <c r="D53" s="2" t="s">
        <v>6840</v>
      </c>
      <c r="E53" s="2" t="s">
        <v>6856</v>
      </c>
      <c r="F53" s="1" t="s">
        <v>6863</v>
      </c>
      <c r="G53" s="1" t="s">
        <v>6869</v>
      </c>
    </row>
    <row r="54" spans="1:7" x14ac:dyDescent="0.35">
      <c r="A54" s="1" t="s">
        <v>4026</v>
      </c>
      <c r="B54" s="1" t="s">
        <v>4027</v>
      </c>
      <c r="C54" s="1" t="s">
        <v>6626</v>
      </c>
      <c r="D54" s="2" t="s">
        <v>6840</v>
      </c>
      <c r="E54" s="2" t="s">
        <v>6857</v>
      </c>
      <c r="F54" s="1" t="s">
        <v>9021</v>
      </c>
      <c r="G54" s="1" t="s">
        <v>9051</v>
      </c>
    </row>
    <row r="55" spans="1:7" x14ac:dyDescent="0.35">
      <c r="A55" s="1" t="s">
        <v>6241</v>
      </c>
      <c r="B55" s="1" t="s">
        <v>6242</v>
      </c>
      <c r="C55" s="1" t="s">
        <v>6739</v>
      </c>
      <c r="D55" s="2" t="s">
        <v>6841</v>
      </c>
      <c r="E55" s="2" t="s">
        <v>6870</v>
      </c>
      <c r="F55" s="1" t="s">
        <v>6871</v>
      </c>
      <c r="G55" s="1" t="s">
        <v>6872</v>
      </c>
    </row>
    <row r="56" spans="1:7" x14ac:dyDescent="0.35">
      <c r="A56" s="1" t="s">
        <v>2533</v>
      </c>
      <c r="B56" s="1" t="s">
        <v>2534</v>
      </c>
      <c r="C56" s="1" t="s">
        <v>6523</v>
      </c>
      <c r="D56" s="2" t="s">
        <v>6842</v>
      </c>
      <c r="E56" s="2" t="s">
        <v>6873</v>
      </c>
      <c r="F56" s="1" t="s">
        <v>9022</v>
      </c>
      <c r="G56" s="1" t="s">
        <v>9052</v>
      </c>
    </row>
    <row r="57" spans="1:7" x14ac:dyDescent="0.35">
      <c r="A57" s="1" t="s">
        <v>1977</v>
      </c>
      <c r="B57" s="1" t="s">
        <v>1978</v>
      </c>
      <c r="C57" s="1" t="s">
        <v>6479</v>
      </c>
      <c r="D57" s="2" t="s">
        <v>6843</v>
      </c>
      <c r="E57" s="2" t="s">
        <v>6874</v>
      </c>
      <c r="F57" s="1" t="s">
        <v>6876</v>
      </c>
      <c r="G57" s="1" t="s">
        <v>6878</v>
      </c>
    </row>
    <row r="58" spans="1:7" x14ac:dyDescent="0.35">
      <c r="A58" s="1" t="s">
        <v>1977</v>
      </c>
      <c r="B58" s="1" t="s">
        <v>1978</v>
      </c>
      <c r="C58" s="1" t="s">
        <v>6479</v>
      </c>
      <c r="D58" s="2" t="s">
        <v>6843</v>
      </c>
      <c r="E58" s="2" t="s">
        <v>6875</v>
      </c>
      <c r="F58" s="1" t="s">
        <v>6877</v>
      </c>
      <c r="G58" s="1" t="s">
        <v>6879</v>
      </c>
    </row>
    <row r="59" spans="1:7" x14ac:dyDescent="0.35">
      <c r="A59" s="1" t="s">
        <v>1996</v>
      </c>
      <c r="B59" s="1" t="s">
        <v>1997</v>
      </c>
      <c r="C59" s="1" t="s">
        <v>6483</v>
      </c>
      <c r="D59" s="2" t="s">
        <v>6844</v>
      </c>
      <c r="E59" s="2" t="s">
        <v>6880</v>
      </c>
      <c r="F59" s="1" t="s">
        <v>6881</v>
      </c>
      <c r="G59" s="1" t="s">
        <v>6882</v>
      </c>
    </row>
    <row r="60" spans="1:7" x14ac:dyDescent="0.35">
      <c r="A60" s="1" t="s">
        <v>1369</v>
      </c>
      <c r="B60" s="1" t="s">
        <v>1370</v>
      </c>
      <c r="C60" s="1" t="s">
        <v>6432</v>
      </c>
      <c r="D60" s="2" t="s">
        <v>6845</v>
      </c>
      <c r="E60" s="2" t="s">
        <v>6883</v>
      </c>
      <c r="F60" s="1" t="s">
        <v>6885</v>
      </c>
      <c r="G60" s="1" t="s">
        <v>6887</v>
      </c>
    </row>
    <row r="61" spans="1:7" x14ac:dyDescent="0.35">
      <c r="A61" s="1" t="s">
        <v>1369</v>
      </c>
      <c r="B61" s="1" t="s">
        <v>1370</v>
      </c>
      <c r="C61" s="1" t="s">
        <v>6432</v>
      </c>
      <c r="D61" s="2" t="s">
        <v>6845</v>
      </c>
      <c r="E61" s="2" t="s">
        <v>6884</v>
      </c>
      <c r="F61" s="1" t="s">
        <v>6886</v>
      </c>
      <c r="G61" s="1" t="s">
        <v>6888</v>
      </c>
    </row>
    <row r="62" spans="1:7" x14ac:dyDescent="0.35">
      <c r="A62" s="1" t="s">
        <v>3546</v>
      </c>
      <c r="B62" s="1" t="s">
        <v>3547</v>
      </c>
      <c r="C62" s="1" t="s">
        <v>6591</v>
      </c>
      <c r="D62" s="2" t="s">
        <v>6889</v>
      </c>
      <c r="E62" s="2" t="s">
        <v>6890</v>
      </c>
      <c r="F62" s="1" t="s">
        <v>6891</v>
      </c>
      <c r="G62" s="1" t="s">
        <v>6892</v>
      </c>
    </row>
    <row r="63" spans="1:7" x14ac:dyDescent="0.35">
      <c r="A63" s="1" t="s">
        <v>2410</v>
      </c>
      <c r="B63" s="1" t="s">
        <v>2411</v>
      </c>
      <c r="C63" s="1" t="s">
        <v>6507</v>
      </c>
      <c r="D63" s="2" t="s">
        <v>6893</v>
      </c>
      <c r="E63" s="2" t="s">
        <v>6894</v>
      </c>
      <c r="F63" s="1" t="s">
        <v>6898</v>
      </c>
      <c r="G63" s="1" t="s">
        <v>6899</v>
      </c>
    </row>
    <row r="64" spans="1:7" x14ac:dyDescent="0.35">
      <c r="A64" s="1" t="s">
        <v>2410</v>
      </c>
      <c r="B64" s="1" t="s">
        <v>2411</v>
      </c>
      <c r="C64" s="1" t="s">
        <v>6507</v>
      </c>
      <c r="D64" s="2" t="s">
        <v>6893</v>
      </c>
      <c r="E64" s="2" t="s">
        <v>6895</v>
      </c>
      <c r="F64" s="1" t="s">
        <v>6896</v>
      </c>
      <c r="G64" s="1" t="s">
        <v>6900</v>
      </c>
    </row>
    <row r="65" spans="1:7" x14ac:dyDescent="0.35">
      <c r="A65" s="1" t="s">
        <v>2410</v>
      </c>
      <c r="B65" s="1" t="s">
        <v>2411</v>
      </c>
      <c r="C65" s="1" t="s">
        <v>6507</v>
      </c>
      <c r="D65" s="2" t="s">
        <v>6893</v>
      </c>
      <c r="E65" s="2" t="s">
        <v>6897</v>
      </c>
      <c r="F65" s="1" t="s">
        <v>6898</v>
      </c>
      <c r="G65" s="1" t="s">
        <v>6901</v>
      </c>
    </row>
    <row r="66" spans="1:7" x14ac:dyDescent="0.35">
      <c r="A66" s="1" t="s">
        <v>4255</v>
      </c>
      <c r="B66" s="1" t="s">
        <v>4256</v>
      </c>
      <c r="C66" s="1" t="s">
        <v>6638</v>
      </c>
      <c r="D66" s="2" t="s">
        <v>6902</v>
      </c>
      <c r="E66" s="2" t="s">
        <v>6903</v>
      </c>
      <c r="F66" s="1" t="s">
        <v>6904</v>
      </c>
      <c r="G66" s="1" t="s">
        <v>6905</v>
      </c>
    </row>
    <row r="67" spans="1:7" x14ac:dyDescent="0.35">
      <c r="A67" s="1" t="s">
        <v>2676</v>
      </c>
      <c r="B67" s="1" t="s">
        <v>2677</v>
      </c>
      <c r="C67" s="1" t="s">
        <v>6540</v>
      </c>
      <c r="D67" s="2" t="s">
        <v>6906</v>
      </c>
      <c r="E67" s="2" t="s">
        <v>6907</v>
      </c>
      <c r="F67" s="1" t="s">
        <v>6915</v>
      </c>
      <c r="G67" s="1" t="s">
        <v>6908</v>
      </c>
    </row>
    <row r="68" spans="1:7" x14ac:dyDescent="0.35">
      <c r="A68" s="1" t="s">
        <v>2676</v>
      </c>
      <c r="B68" s="1" t="s">
        <v>2677</v>
      </c>
      <c r="C68" s="1" t="s">
        <v>6540</v>
      </c>
      <c r="D68" s="2" t="s">
        <v>6906</v>
      </c>
      <c r="E68" s="2" t="s">
        <v>6909</v>
      </c>
      <c r="F68" s="1" t="s">
        <v>6916</v>
      </c>
      <c r="G68" s="1" t="s">
        <v>6912</v>
      </c>
    </row>
    <row r="69" spans="1:7" x14ac:dyDescent="0.35">
      <c r="A69" s="1" t="s">
        <v>2676</v>
      </c>
      <c r="B69" s="1" t="s">
        <v>2677</v>
      </c>
      <c r="C69" s="1" t="s">
        <v>6540</v>
      </c>
      <c r="D69" s="2" t="s">
        <v>6906</v>
      </c>
      <c r="E69" s="2" t="s">
        <v>6910</v>
      </c>
      <c r="F69" s="1" t="s">
        <v>6916</v>
      </c>
      <c r="G69" s="1" t="s">
        <v>6913</v>
      </c>
    </row>
    <row r="70" spans="1:7" x14ac:dyDescent="0.35">
      <c r="A70" s="1" t="s">
        <v>2676</v>
      </c>
      <c r="B70" s="1" t="s">
        <v>2677</v>
      </c>
      <c r="C70" s="1" t="s">
        <v>6540</v>
      </c>
      <c r="D70" s="2" t="s">
        <v>6906</v>
      </c>
      <c r="E70" s="2" t="s">
        <v>6911</v>
      </c>
      <c r="F70" s="1" t="s">
        <v>6917</v>
      </c>
      <c r="G70" s="1" t="s">
        <v>6914</v>
      </c>
    </row>
    <row r="71" spans="1:7" x14ac:dyDescent="0.35">
      <c r="A71" s="1" t="s">
        <v>5809</v>
      </c>
      <c r="B71" s="1" t="s">
        <v>5810</v>
      </c>
      <c r="C71" s="1" t="s">
        <v>6725</v>
      </c>
      <c r="D71" s="2" t="s">
        <v>6918</v>
      </c>
      <c r="E71" s="2" t="s">
        <v>6923</v>
      </c>
      <c r="F71" s="1" t="s">
        <v>6933</v>
      </c>
      <c r="G71" s="1" t="s">
        <v>6936</v>
      </c>
    </row>
    <row r="72" spans="1:7" x14ac:dyDescent="0.35">
      <c r="A72" s="1" t="s">
        <v>5809</v>
      </c>
      <c r="B72" s="1" t="s">
        <v>5810</v>
      </c>
      <c r="C72" s="1" t="s">
        <v>6725</v>
      </c>
      <c r="D72" s="2" t="s">
        <v>6918</v>
      </c>
      <c r="E72" s="2" t="s">
        <v>6924</v>
      </c>
      <c r="F72" s="1" t="s">
        <v>6934</v>
      </c>
      <c r="G72" s="1" t="s">
        <v>6937</v>
      </c>
    </row>
    <row r="73" spans="1:7" x14ac:dyDescent="0.35">
      <c r="A73" s="1" t="s">
        <v>5809</v>
      </c>
      <c r="B73" s="1" t="s">
        <v>5810</v>
      </c>
      <c r="C73" s="1" t="s">
        <v>6725</v>
      </c>
      <c r="D73" s="2" t="s">
        <v>6918</v>
      </c>
      <c r="E73" s="2" t="s">
        <v>6925</v>
      </c>
      <c r="F73" s="1" t="s">
        <v>6933</v>
      </c>
      <c r="G73" s="1" t="s">
        <v>6938</v>
      </c>
    </row>
    <row r="74" spans="1:7" x14ac:dyDescent="0.35">
      <c r="A74" s="1" t="s">
        <v>5809</v>
      </c>
      <c r="B74" s="1" t="s">
        <v>5810</v>
      </c>
      <c r="C74" s="1" t="s">
        <v>6725</v>
      </c>
      <c r="D74" s="2" t="s">
        <v>6918</v>
      </c>
      <c r="E74" s="2" t="s">
        <v>6926</v>
      </c>
      <c r="F74" s="1" t="s">
        <v>6935</v>
      </c>
      <c r="G74" s="1" t="s">
        <v>6939</v>
      </c>
    </row>
    <row r="75" spans="1:7" x14ac:dyDescent="0.35">
      <c r="A75" s="1" t="s">
        <v>5809</v>
      </c>
      <c r="B75" s="1" t="s">
        <v>5810</v>
      </c>
      <c r="C75" s="1" t="s">
        <v>6725</v>
      </c>
      <c r="D75" s="2" t="s">
        <v>6918</v>
      </c>
      <c r="E75" s="2" t="s">
        <v>6927</v>
      </c>
      <c r="F75" s="1" t="s">
        <v>6928</v>
      </c>
      <c r="G75" s="1" t="s">
        <v>6929</v>
      </c>
    </row>
    <row r="76" spans="1:7" x14ac:dyDescent="0.35">
      <c r="A76" s="1" t="s">
        <v>5809</v>
      </c>
      <c r="B76" s="1" t="s">
        <v>5810</v>
      </c>
      <c r="C76" s="1" t="s">
        <v>6725</v>
      </c>
      <c r="D76" s="2" t="s">
        <v>6918</v>
      </c>
      <c r="E76" s="2" t="s">
        <v>6930</v>
      </c>
      <c r="F76" s="1" t="s">
        <v>6931</v>
      </c>
      <c r="G76" s="1" t="s">
        <v>6932</v>
      </c>
    </row>
    <row r="77" spans="1:7" x14ac:dyDescent="0.35">
      <c r="A77" s="1" t="s">
        <v>1771</v>
      </c>
      <c r="B77" s="1" t="s">
        <v>1772</v>
      </c>
      <c r="C77" s="1" t="s">
        <v>6461</v>
      </c>
      <c r="D77" s="2" t="s">
        <v>6919</v>
      </c>
      <c r="E77" s="2" t="s">
        <v>6940</v>
      </c>
      <c r="F77" s="1" t="s">
        <v>9023</v>
      </c>
      <c r="G77" s="1" t="s">
        <v>9053</v>
      </c>
    </row>
    <row r="78" spans="1:7" x14ac:dyDescent="0.35">
      <c r="A78" s="1" t="s">
        <v>5691</v>
      </c>
      <c r="B78" s="1" t="s">
        <v>5692</v>
      </c>
      <c r="C78" s="1" t="s">
        <v>6717</v>
      </c>
      <c r="D78" s="2" t="s">
        <v>6920</v>
      </c>
      <c r="E78" s="2" t="s">
        <v>6941</v>
      </c>
      <c r="F78" s="1" t="s">
        <v>6946</v>
      </c>
      <c r="G78" s="1" t="s">
        <v>6944</v>
      </c>
    </row>
    <row r="79" spans="1:7" x14ac:dyDescent="0.35">
      <c r="A79" s="1" t="s">
        <v>5691</v>
      </c>
      <c r="B79" s="1" t="s">
        <v>5692</v>
      </c>
      <c r="C79" s="1" t="s">
        <v>6717</v>
      </c>
      <c r="D79" s="2" t="s">
        <v>6920</v>
      </c>
      <c r="E79" s="2" t="s">
        <v>6942</v>
      </c>
      <c r="F79" s="1" t="s">
        <v>6945</v>
      </c>
      <c r="G79" s="1" t="s">
        <v>6943</v>
      </c>
    </row>
    <row r="80" spans="1:7" x14ac:dyDescent="0.35">
      <c r="A80" s="1" t="s">
        <v>4731</v>
      </c>
      <c r="B80" s="1" t="s">
        <v>4732</v>
      </c>
      <c r="C80" s="1" t="s">
        <v>6660</v>
      </c>
      <c r="D80" s="2" t="s">
        <v>6921</v>
      </c>
      <c r="E80" s="2" t="s">
        <v>6947</v>
      </c>
      <c r="F80" s="1" t="s">
        <v>6952</v>
      </c>
      <c r="G80" s="1" t="s">
        <v>6950</v>
      </c>
    </row>
    <row r="81" spans="1:7" x14ac:dyDescent="0.35">
      <c r="A81" s="1" t="s">
        <v>4731</v>
      </c>
      <c r="B81" s="1" t="s">
        <v>4732</v>
      </c>
      <c r="C81" s="1" t="s">
        <v>6660</v>
      </c>
      <c r="D81" s="2" t="s">
        <v>6921</v>
      </c>
      <c r="E81" s="2" t="s">
        <v>6948</v>
      </c>
      <c r="F81" s="1" t="s">
        <v>6951</v>
      </c>
      <c r="G81" s="1" t="s">
        <v>6949</v>
      </c>
    </row>
    <row r="82" spans="1:7" x14ac:dyDescent="0.35">
      <c r="A82" s="1" t="s">
        <v>3341</v>
      </c>
      <c r="B82" s="1" t="s">
        <v>3342</v>
      </c>
      <c r="C82" s="1" t="s">
        <v>6579</v>
      </c>
      <c r="D82" s="2"/>
      <c r="E82" s="2"/>
    </row>
    <row r="83" spans="1:7" x14ac:dyDescent="0.35">
      <c r="A83" s="1" t="s">
        <v>300</v>
      </c>
      <c r="B83" s="1" t="s">
        <v>301</v>
      </c>
      <c r="C83" s="1" t="s">
        <v>6291</v>
      </c>
      <c r="D83" s="2"/>
      <c r="E83" s="2"/>
    </row>
    <row r="84" spans="1:7" x14ac:dyDescent="0.35">
      <c r="A84" s="1" t="s">
        <v>4130</v>
      </c>
      <c r="B84" s="1" t="s">
        <v>4131</v>
      </c>
      <c r="C84" s="1" t="s">
        <v>6632</v>
      </c>
      <c r="D84" s="2" t="s">
        <v>6922</v>
      </c>
      <c r="E84" s="2" t="s">
        <v>6953</v>
      </c>
      <c r="F84" s="1" t="s">
        <v>9024</v>
      </c>
      <c r="G84" s="1" t="s">
        <v>9054</v>
      </c>
    </row>
    <row r="85" spans="1:7" x14ac:dyDescent="0.35">
      <c r="A85" s="1" t="s">
        <v>3179</v>
      </c>
      <c r="B85" s="1" t="s">
        <v>3180</v>
      </c>
      <c r="C85" s="1" t="s">
        <v>6566</v>
      </c>
      <c r="D85" s="2"/>
      <c r="E85" s="2"/>
    </row>
    <row r="86" spans="1:7" x14ac:dyDescent="0.35">
      <c r="A86" s="1" t="s">
        <v>2326</v>
      </c>
      <c r="B86" s="1" t="s">
        <v>2327</v>
      </c>
      <c r="C86" s="1" t="s">
        <v>6498</v>
      </c>
      <c r="D86" s="2" t="s">
        <v>6954</v>
      </c>
      <c r="E86" s="2" t="s">
        <v>6955</v>
      </c>
      <c r="F86" s="1" t="s">
        <v>9083</v>
      </c>
      <c r="G86" s="1" t="s">
        <v>6956</v>
      </c>
    </row>
    <row r="87" spans="1:7" x14ac:dyDescent="0.35">
      <c r="A87" s="1" t="s">
        <v>2335</v>
      </c>
      <c r="B87" s="1" t="s">
        <v>2336</v>
      </c>
      <c r="C87" s="1" t="s">
        <v>6499</v>
      </c>
      <c r="D87" s="2"/>
      <c r="E87" s="2"/>
    </row>
    <row r="88" spans="1:7" x14ac:dyDescent="0.35">
      <c r="A88" s="1" t="s">
        <v>1214</v>
      </c>
      <c r="B88" s="1" t="s">
        <v>1215</v>
      </c>
      <c r="C88" s="1" t="s">
        <v>6417</v>
      </c>
      <c r="D88" s="2" t="s">
        <v>6957</v>
      </c>
      <c r="E88" s="2" t="s">
        <v>6958</v>
      </c>
      <c r="F88" s="1" t="s">
        <v>6963</v>
      </c>
      <c r="G88" s="1" t="s">
        <v>6961</v>
      </c>
    </row>
    <row r="89" spans="1:7" x14ac:dyDescent="0.35">
      <c r="A89" s="1" t="s">
        <v>1214</v>
      </c>
      <c r="B89" s="1" t="s">
        <v>1215</v>
      </c>
      <c r="C89" s="1" t="s">
        <v>6417</v>
      </c>
      <c r="D89" s="2" t="s">
        <v>6957</v>
      </c>
      <c r="E89" s="2" t="s">
        <v>6959</v>
      </c>
      <c r="F89" s="1" t="s">
        <v>6962</v>
      </c>
      <c r="G89" s="1" t="s">
        <v>6960</v>
      </c>
    </row>
    <row r="90" spans="1:7" x14ac:dyDescent="0.35">
      <c r="A90" s="1" t="s">
        <v>2391</v>
      </c>
      <c r="B90" s="1" t="s">
        <v>2392</v>
      </c>
      <c r="C90" s="1" t="s">
        <v>6504</v>
      </c>
      <c r="D90" s="2" t="s">
        <v>6964</v>
      </c>
      <c r="E90" s="2" t="s">
        <v>6965</v>
      </c>
      <c r="F90" s="1" t="s">
        <v>6988</v>
      </c>
      <c r="G90" s="1" t="s">
        <v>6979</v>
      </c>
    </row>
    <row r="91" spans="1:7" x14ac:dyDescent="0.35">
      <c r="A91" s="1" t="s">
        <v>2391</v>
      </c>
      <c r="B91" s="1" t="s">
        <v>2392</v>
      </c>
      <c r="C91" s="1" t="s">
        <v>6504</v>
      </c>
      <c r="D91" s="2" t="s">
        <v>6964</v>
      </c>
      <c r="E91" s="2" t="s">
        <v>6966</v>
      </c>
      <c r="F91" s="1" t="s">
        <v>6987</v>
      </c>
      <c r="G91" s="1" t="s">
        <v>6978</v>
      </c>
    </row>
    <row r="92" spans="1:7" x14ac:dyDescent="0.35">
      <c r="A92" s="1" t="s">
        <v>2391</v>
      </c>
      <c r="B92" s="1" t="s">
        <v>2392</v>
      </c>
      <c r="C92" s="1" t="s">
        <v>6504</v>
      </c>
      <c r="D92" s="2" t="s">
        <v>6964</v>
      </c>
      <c r="E92" s="2" t="s">
        <v>6967</v>
      </c>
      <c r="F92" s="1" t="s">
        <v>6986</v>
      </c>
      <c r="G92" s="1" t="s">
        <v>6977</v>
      </c>
    </row>
    <row r="93" spans="1:7" x14ac:dyDescent="0.35">
      <c r="A93" s="1" t="s">
        <v>2391</v>
      </c>
      <c r="B93" s="1" t="s">
        <v>2392</v>
      </c>
      <c r="C93" s="1" t="s">
        <v>6504</v>
      </c>
      <c r="D93" s="2" t="s">
        <v>6964</v>
      </c>
      <c r="E93" s="2" t="s">
        <v>6968</v>
      </c>
      <c r="F93" s="1" t="s">
        <v>6985</v>
      </c>
      <c r="G93" s="1" t="s">
        <v>6980</v>
      </c>
    </row>
    <row r="94" spans="1:7" x14ac:dyDescent="0.35">
      <c r="A94" s="1" t="s">
        <v>2391</v>
      </c>
      <c r="B94" s="1" t="s">
        <v>2392</v>
      </c>
      <c r="C94" s="1" t="s">
        <v>6504</v>
      </c>
      <c r="D94" s="2" t="s">
        <v>6964</v>
      </c>
      <c r="E94" s="2" t="s">
        <v>6969</v>
      </c>
      <c r="F94" s="1" t="s">
        <v>6984</v>
      </c>
      <c r="G94" s="1" t="s">
        <v>6976</v>
      </c>
    </row>
    <row r="95" spans="1:7" x14ac:dyDescent="0.35">
      <c r="A95" s="1" t="s">
        <v>2391</v>
      </c>
      <c r="B95" s="1" t="s">
        <v>2392</v>
      </c>
      <c r="C95" s="1" t="s">
        <v>6504</v>
      </c>
      <c r="D95" s="2" t="s">
        <v>6964</v>
      </c>
      <c r="E95" s="2" t="s">
        <v>6970</v>
      </c>
      <c r="F95" s="1" t="s">
        <v>6983</v>
      </c>
      <c r="G95" s="1" t="s">
        <v>6975</v>
      </c>
    </row>
    <row r="96" spans="1:7" x14ac:dyDescent="0.35">
      <c r="A96" s="1" t="s">
        <v>2391</v>
      </c>
      <c r="B96" s="1" t="s">
        <v>2392</v>
      </c>
      <c r="C96" s="1" t="s">
        <v>6504</v>
      </c>
      <c r="D96" s="2" t="s">
        <v>6964</v>
      </c>
      <c r="E96" s="2" t="s">
        <v>6971</v>
      </c>
      <c r="F96" s="1" t="s">
        <v>6982</v>
      </c>
      <c r="G96" s="1" t="s">
        <v>6974</v>
      </c>
    </row>
    <row r="97" spans="1:7" x14ac:dyDescent="0.35">
      <c r="A97" s="1" t="s">
        <v>2391</v>
      </c>
      <c r="B97" s="1" t="s">
        <v>2392</v>
      </c>
      <c r="C97" s="1" t="s">
        <v>6504</v>
      </c>
      <c r="D97" s="2" t="s">
        <v>6964</v>
      </c>
      <c r="E97" s="2" t="s">
        <v>6972</v>
      </c>
      <c r="F97" s="1" t="s">
        <v>6981</v>
      </c>
      <c r="G97" s="1" t="s">
        <v>6973</v>
      </c>
    </row>
    <row r="98" spans="1:7" x14ac:dyDescent="0.35">
      <c r="A98" s="1" t="s">
        <v>3888</v>
      </c>
      <c r="B98" s="1" t="s">
        <v>3889</v>
      </c>
      <c r="C98" s="1" t="s">
        <v>6617</v>
      </c>
      <c r="D98" s="2" t="s">
        <v>6989</v>
      </c>
      <c r="E98" s="2" t="s">
        <v>6990</v>
      </c>
      <c r="F98" s="1" t="s">
        <v>13014</v>
      </c>
      <c r="G98" s="1" t="s">
        <v>6995</v>
      </c>
    </row>
    <row r="99" spans="1:7" x14ac:dyDescent="0.35">
      <c r="A99" s="1" t="s">
        <v>3888</v>
      </c>
      <c r="B99" s="1" t="s">
        <v>3889</v>
      </c>
      <c r="C99" s="1" t="s">
        <v>6617</v>
      </c>
      <c r="D99" s="2" t="s">
        <v>6989</v>
      </c>
      <c r="E99" s="2" t="s">
        <v>6991</v>
      </c>
      <c r="F99" s="1" t="s">
        <v>13015</v>
      </c>
      <c r="G99" s="1" t="s">
        <v>6996</v>
      </c>
    </row>
    <row r="100" spans="1:7" x14ac:dyDescent="0.35">
      <c r="A100" s="1" t="s">
        <v>3888</v>
      </c>
      <c r="B100" s="1" t="s">
        <v>3889</v>
      </c>
      <c r="C100" s="1" t="s">
        <v>6617</v>
      </c>
      <c r="D100" s="2" t="s">
        <v>6989</v>
      </c>
      <c r="E100" s="2" t="s">
        <v>6992</v>
      </c>
      <c r="F100" s="1" t="s">
        <v>13016</v>
      </c>
      <c r="G100" s="1" t="s">
        <v>6997</v>
      </c>
    </row>
    <row r="101" spans="1:7" x14ac:dyDescent="0.35">
      <c r="A101" s="1" t="s">
        <v>3888</v>
      </c>
      <c r="B101" s="1" t="s">
        <v>3889</v>
      </c>
      <c r="C101" s="1" t="s">
        <v>6617</v>
      </c>
      <c r="D101" s="2" t="s">
        <v>6989</v>
      </c>
      <c r="E101" s="2" t="s">
        <v>6993</v>
      </c>
      <c r="F101" s="1" t="s">
        <v>13017</v>
      </c>
      <c r="G101" s="1" t="s">
        <v>6998</v>
      </c>
    </row>
    <row r="102" spans="1:7" x14ac:dyDescent="0.35">
      <c r="A102" s="1" t="s">
        <v>3888</v>
      </c>
      <c r="B102" s="1" t="s">
        <v>3889</v>
      </c>
      <c r="C102" s="1" t="s">
        <v>6617</v>
      </c>
      <c r="D102" s="2" t="s">
        <v>6989</v>
      </c>
      <c r="E102" s="2" t="s">
        <v>6994</v>
      </c>
      <c r="F102" s="1" t="s">
        <v>13018</v>
      </c>
      <c r="G102" s="1" t="s">
        <v>6999</v>
      </c>
    </row>
    <row r="103" spans="1:7" x14ac:dyDescent="0.35">
      <c r="A103" s="1" t="s">
        <v>5840</v>
      </c>
      <c r="B103" s="1" t="s">
        <v>5841</v>
      </c>
      <c r="C103" s="1" t="s">
        <v>6727</v>
      </c>
      <c r="D103" s="2" t="s">
        <v>7000</v>
      </c>
      <c r="E103" s="2" t="s">
        <v>7001</v>
      </c>
      <c r="F103" s="1" t="s">
        <v>13019</v>
      </c>
      <c r="G103" s="1" t="s">
        <v>7002</v>
      </c>
    </row>
    <row r="104" spans="1:7" x14ac:dyDescent="0.35">
      <c r="A104" s="1" t="s">
        <v>5840</v>
      </c>
      <c r="B104" s="1" t="s">
        <v>5841</v>
      </c>
      <c r="C104" s="1" t="s">
        <v>6727</v>
      </c>
      <c r="D104" s="2" t="s">
        <v>7000</v>
      </c>
      <c r="E104" s="2" t="s">
        <v>7003</v>
      </c>
      <c r="F104" s="1" t="s">
        <v>13020</v>
      </c>
      <c r="G104" s="1" t="s">
        <v>7004</v>
      </c>
    </row>
    <row r="105" spans="1:7" x14ac:dyDescent="0.35">
      <c r="A105" s="1" t="s">
        <v>3920</v>
      </c>
      <c r="B105" s="1" t="s">
        <v>3921</v>
      </c>
      <c r="C105" s="1" t="s">
        <v>6621</v>
      </c>
      <c r="D105" s="2" t="s">
        <v>7005</v>
      </c>
      <c r="E105" s="2" t="s">
        <v>7006</v>
      </c>
      <c r="F105" s="1" t="s">
        <v>13021</v>
      </c>
      <c r="G105" s="1" t="s">
        <v>7007</v>
      </c>
    </row>
    <row r="106" spans="1:7" x14ac:dyDescent="0.35">
      <c r="A106" s="1" t="s">
        <v>5537</v>
      </c>
      <c r="B106" s="1" t="s">
        <v>5538</v>
      </c>
      <c r="C106" s="1" t="s">
        <v>6708</v>
      </c>
      <c r="D106" s="2" t="s">
        <v>7008</v>
      </c>
      <c r="E106" s="2" t="s">
        <v>7009</v>
      </c>
      <c r="F106" s="1" t="s">
        <v>13022</v>
      </c>
      <c r="G106" s="1" t="s">
        <v>7010</v>
      </c>
    </row>
    <row r="107" spans="1:7" x14ac:dyDescent="0.35">
      <c r="A107" s="1" t="s">
        <v>1350</v>
      </c>
      <c r="B107" s="1" t="s">
        <v>1351</v>
      </c>
      <c r="C107" s="1" t="s">
        <v>6428</v>
      </c>
      <c r="D107" s="2" t="s">
        <v>7011</v>
      </c>
      <c r="E107" s="2" t="s">
        <v>7012</v>
      </c>
      <c r="F107" s="1" t="s">
        <v>13023</v>
      </c>
      <c r="G107" s="1" t="s">
        <v>7013</v>
      </c>
    </row>
    <row r="108" spans="1:7" x14ac:dyDescent="0.35">
      <c r="A108" s="1" t="s">
        <v>5304</v>
      </c>
      <c r="B108" s="1" t="s">
        <v>5305</v>
      </c>
      <c r="C108" s="1" t="s">
        <v>6696</v>
      </c>
      <c r="D108" s="2" t="s">
        <v>7014</v>
      </c>
      <c r="E108" s="2" t="s">
        <v>7015</v>
      </c>
      <c r="F108" s="1" t="s">
        <v>13024</v>
      </c>
      <c r="G108" s="1" t="s">
        <v>7016</v>
      </c>
    </row>
    <row r="109" spans="1:7" x14ac:dyDescent="0.35">
      <c r="A109" s="1" t="s">
        <v>2422</v>
      </c>
      <c r="B109" s="1" t="s">
        <v>2423</v>
      </c>
      <c r="C109" s="1" t="s">
        <v>6510</v>
      </c>
      <c r="D109" s="2" t="s">
        <v>7017</v>
      </c>
      <c r="E109" s="2" t="s">
        <v>7018</v>
      </c>
      <c r="F109" s="1" t="s">
        <v>13025</v>
      </c>
      <c r="G109" s="1" t="s">
        <v>7021</v>
      </c>
    </row>
    <row r="110" spans="1:7" x14ac:dyDescent="0.35">
      <c r="A110" s="1" t="s">
        <v>3210</v>
      </c>
      <c r="B110" s="1" t="s">
        <v>3211</v>
      </c>
      <c r="C110" s="1" t="s">
        <v>6570</v>
      </c>
      <c r="D110" s="2" t="s">
        <v>7019</v>
      </c>
      <c r="E110" s="2" t="s">
        <v>7020</v>
      </c>
      <c r="F110" s="1" t="s">
        <v>13026</v>
      </c>
      <c r="G110" s="1" t="s">
        <v>7022</v>
      </c>
    </row>
    <row r="111" spans="1:7" x14ac:dyDescent="0.35">
      <c r="A111" s="1" t="s">
        <v>3210</v>
      </c>
      <c r="B111" s="1" t="s">
        <v>3211</v>
      </c>
      <c r="C111" s="1" t="s">
        <v>6570</v>
      </c>
      <c r="D111" s="2" t="s">
        <v>7019</v>
      </c>
      <c r="E111" s="2" t="s">
        <v>7023</v>
      </c>
      <c r="F111" s="1" t="s">
        <v>7025</v>
      </c>
      <c r="G111" s="1" t="s">
        <v>7024</v>
      </c>
    </row>
    <row r="112" spans="1:7" x14ac:dyDescent="0.35">
      <c r="A112" s="1" t="s">
        <v>3210</v>
      </c>
      <c r="B112" s="1" t="s">
        <v>3211</v>
      </c>
      <c r="C112" s="1" t="s">
        <v>6570</v>
      </c>
      <c r="D112" s="2" t="s">
        <v>7019</v>
      </c>
      <c r="E112" s="2" t="s">
        <v>7026</v>
      </c>
      <c r="F112" s="1" t="s">
        <v>13027</v>
      </c>
      <c r="G112" s="1" t="s">
        <v>7027</v>
      </c>
    </row>
    <row r="113" spans="1:7" x14ac:dyDescent="0.35">
      <c r="A113" s="1" t="s">
        <v>4033</v>
      </c>
      <c r="B113" s="1" t="s">
        <v>4034</v>
      </c>
      <c r="C113" s="1" t="s">
        <v>6627</v>
      </c>
      <c r="D113" s="2"/>
      <c r="E113" s="2"/>
    </row>
    <row r="114" spans="1:7" x14ac:dyDescent="0.35">
      <c r="A114" s="1" t="s">
        <v>1989</v>
      </c>
      <c r="B114" s="1" t="s">
        <v>1990</v>
      </c>
      <c r="C114" s="1" t="s">
        <v>6482</v>
      </c>
      <c r="D114" s="2" t="s">
        <v>7028</v>
      </c>
      <c r="E114" s="2" t="s">
        <v>7029</v>
      </c>
      <c r="F114" s="1" t="s">
        <v>13028</v>
      </c>
      <c r="G114" s="1" t="s">
        <v>7030</v>
      </c>
    </row>
    <row r="115" spans="1:7" x14ac:dyDescent="0.35">
      <c r="A115" s="1" t="s">
        <v>1120</v>
      </c>
      <c r="B115" s="1" t="s">
        <v>1121</v>
      </c>
      <c r="C115" s="1" t="s">
        <v>6407</v>
      </c>
      <c r="D115" s="2" t="s">
        <v>7031</v>
      </c>
      <c r="E115" s="2" t="s">
        <v>7032</v>
      </c>
      <c r="F115" s="1" t="s">
        <v>7033</v>
      </c>
      <c r="G115" s="1" t="s">
        <v>7034</v>
      </c>
    </row>
    <row r="116" spans="1:7" x14ac:dyDescent="0.35">
      <c r="A116" s="1" t="s">
        <v>1120</v>
      </c>
      <c r="B116" s="1" t="s">
        <v>1121</v>
      </c>
      <c r="C116" s="1" t="s">
        <v>6407</v>
      </c>
      <c r="D116" s="2" t="s">
        <v>7031</v>
      </c>
      <c r="E116" s="2" t="s">
        <v>7035</v>
      </c>
      <c r="F116" s="1" t="s">
        <v>13029</v>
      </c>
      <c r="G116" s="1" t="s">
        <v>7036</v>
      </c>
    </row>
    <row r="117" spans="1:7" x14ac:dyDescent="0.35">
      <c r="A117" s="1" t="s">
        <v>1120</v>
      </c>
      <c r="B117" s="1" t="s">
        <v>1121</v>
      </c>
      <c r="C117" s="1" t="s">
        <v>6407</v>
      </c>
      <c r="D117" s="2" t="s">
        <v>7031</v>
      </c>
      <c r="E117" s="2" t="s">
        <v>7037</v>
      </c>
      <c r="F117" s="1" t="s">
        <v>13030</v>
      </c>
      <c r="G117" s="1" t="s">
        <v>7038</v>
      </c>
    </row>
    <row r="118" spans="1:7" x14ac:dyDescent="0.35">
      <c r="A118" s="1" t="s">
        <v>1120</v>
      </c>
      <c r="B118" s="1" t="s">
        <v>1121</v>
      </c>
      <c r="C118" s="1" t="s">
        <v>6407</v>
      </c>
      <c r="D118" s="2" t="s">
        <v>7031</v>
      </c>
      <c r="E118" s="2" t="s">
        <v>7039</v>
      </c>
      <c r="F118" s="1" t="s">
        <v>13031</v>
      </c>
      <c r="G118" s="1" t="s">
        <v>7040</v>
      </c>
    </row>
    <row r="119" spans="1:7" x14ac:dyDescent="0.35">
      <c r="A119" s="1" t="s">
        <v>1120</v>
      </c>
      <c r="B119" s="1" t="s">
        <v>1121</v>
      </c>
      <c r="C119" s="1" t="s">
        <v>6407</v>
      </c>
      <c r="D119" s="2" t="s">
        <v>7031</v>
      </c>
      <c r="E119" s="2" t="s">
        <v>7041</v>
      </c>
      <c r="F119" s="1" t="s">
        <v>13032</v>
      </c>
      <c r="G119" s="1" t="s">
        <v>7042</v>
      </c>
    </row>
    <row r="120" spans="1:7" x14ac:dyDescent="0.35">
      <c r="A120" s="1" t="s">
        <v>1120</v>
      </c>
      <c r="B120" s="1" t="s">
        <v>1121</v>
      </c>
      <c r="C120" s="1" t="s">
        <v>6407</v>
      </c>
      <c r="D120" s="2" t="s">
        <v>7031</v>
      </c>
      <c r="E120" s="2" t="s">
        <v>7043</v>
      </c>
      <c r="F120" s="1" t="s">
        <v>13033</v>
      </c>
      <c r="G120" s="1" t="s">
        <v>7044</v>
      </c>
    </row>
    <row r="121" spans="1:7" x14ac:dyDescent="0.35">
      <c r="A121" s="1" t="s">
        <v>1120</v>
      </c>
      <c r="B121" s="1" t="s">
        <v>1121</v>
      </c>
      <c r="C121" s="1" t="s">
        <v>6407</v>
      </c>
      <c r="D121" s="2" t="s">
        <v>7031</v>
      </c>
      <c r="E121" s="2" t="s">
        <v>7045</v>
      </c>
      <c r="F121" s="1" t="s">
        <v>13034</v>
      </c>
      <c r="G121" s="1" t="s">
        <v>7046</v>
      </c>
    </row>
    <row r="122" spans="1:7" x14ac:dyDescent="0.35">
      <c r="A122" s="1" t="s">
        <v>1120</v>
      </c>
      <c r="B122" s="1" t="s">
        <v>1121</v>
      </c>
      <c r="C122" s="1" t="s">
        <v>6407</v>
      </c>
      <c r="D122" s="2" t="s">
        <v>7031</v>
      </c>
      <c r="E122" s="2" t="s">
        <v>7047</v>
      </c>
      <c r="F122" s="1" t="s">
        <v>13035</v>
      </c>
      <c r="G122" s="1" t="s">
        <v>7048</v>
      </c>
    </row>
    <row r="123" spans="1:7" x14ac:dyDescent="0.35">
      <c r="A123" s="1" t="s">
        <v>1120</v>
      </c>
      <c r="B123" s="1" t="s">
        <v>1121</v>
      </c>
      <c r="C123" s="1" t="s">
        <v>6407</v>
      </c>
      <c r="D123" s="2" t="s">
        <v>7031</v>
      </c>
      <c r="E123" s="2" t="s">
        <v>7049</v>
      </c>
      <c r="F123" s="1" t="s">
        <v>13036</v>
      </c>
      <c r="G123" s="1" t="s">
        <v>7050</v>
      </c>
    </row>
    <row r="124" spans="1:7" x14ac:dyDescent="0.35">
      <c r="A124" s="1" t="s">
        <v>4766</v>
      </c>
      <c r="B124" s="1" t="s">
        <v>4767</v>
      </c>
      <c r="C124" s="1" t="s">
        <v>6664</v>
      </c>
      <c r="D124" s="2" t="s">
        <v>7051</v>
      </c>
      <c r="E124" s="2" t="s">
        <v>7052</v>
      </c>
      <c r="F124" s="1" t="s">
        <v>13037</v>
      </c>
      <c r="G124" s="1" t="s">
        <v>7055</v>
      </c>
    </row>
    <row r="125" spans="1:7" x14ac:dyDescent="0.35">
      <c r="A125" s="1" t="s">
        <v>4766</v>
      </c>
      <c r="B125" s="1" t="s">
        <v>4767</v>
      </c>
      <c r="C125" s="1" t="s">
        <v>6664</v>
      </c>
      <c r="D125" s="2" t="s">
        <v>7051</v>
      </c>
      <c r="E125" s="2" t="s">
        <v>7053</v>
      </c>
      <c r="F125" s="1" t="s">
        <v>13038</v>
      </c>
      <c r="G125" s="1" t="s">
        <v>7054</v>
      </c>
    </row>
    <row r="126" spans="1:7" x14ac:dyDescent="0.35">
      <c r="A126" s="1" t="s">
        <v>2664</v>
      </c>
      <c r="B126" s="1" t="s">
        <v>2665</v>
      </c>
      <c r="C126" s="1" t="s">
        <v>6538</v>
      </c>
      <c r="D126" s="2" t="s">
        <v>7056</v>
      </c>
      <c r="E126" s="2" t="s">
        <v>7057</v>
      </c>
      <c r="F126" s="1" t="s">
        <v>13039</v>
      </c>
      <c r="G126" s="1" t="s">
        <v>7058</v>
      </c>
    </row>
    <row r="127" spans="1:7" x14ac:dyDescent="0.35">
      <c r="A127" s="1" t="s">
        <v>2017</v>
      </c>
      <c r="B127" s="1" t="s">
        <v>2018</v>
      </c>
      <c r="C127" s="1" t="s">
        <v>6487</v>
      </c>
      <c r="D127" s="2"/>
      <c r="E127" s="2"/>
    </row>
    <row r="128" spans="1:7" x14ac:dyDescent="0.35">
      <c r="A128" s="1" t="s">
        <v>1690</v>
      </c>
      <c r="B128" s="1" t="s">
        <v>1691</v>
      </c>
      <c r="C128" s="1" t="s">
        <v>6449</v>
      </c>
      <c r="D128" s="2" t="s">
        <v>7059</v>
      </c>
      <c r="E128" s="2" t="s">
        <v>7060</v>
      </c>
      <c r="F128" s="1" t="s">
        <v>7062</v>
      </c>
      <c r="G128" s="1" t="s">
        <v>7065</v>
      </c>
    </row>
    <row r="129" spans="1:7" x14ac:dyDescent="0.35">
      <c r="A129" s="1" t="s">
        <v>1690</v>
      </c>
      <c r="B129" s="1" t="s">
        <v>1691</v>
      </c>
      <c r="C129" s="1" t="s">
        <v>6449</v>
      </c>
      <c r="D129" s="2" t="s">
        <v>7059</v>
      </c>
      <c r="E129" s="2" t="s">
        <v>7061</v>
      </c>
      <c r="F129" s="1" t="s">
        <v>7069</v>
      </c>
      <c r="G129" s="1" t="s">
        <v>7066</v>
      </c>
    </row>
    <row r="130" spans="1:7" x14ac:dyDescent="0.35">
      <c r="A130" s="1" t="s">
        <v>1690</v>
      </c>
      <c r="B130" s="1" t="s">
        <v>1691</v>
      </c>
      <c r="C130" s="1" t="s">
        <v>6449</v>
      </c>
      <c r="D130" s="2" t="s">
        <v>7059</v>
      </c>
      <c r="E130" s="2" t="s">
        <v>7063</v>
      </c>
      <c r="F130" s="1" t="s">
        <v>7070</v>
      </c>
      <c r="G130" s="1" t="s">
        <v>7067</v>
      </c>
    </row>
    <row r="131" spans="1:7" x14ac:dyDescent="0.35">
      <c r="A131" s="1" t="s">
        <v>1690</v>
      </c>
      <c r="B131" s="1" t="s">
        <v>1691</v>
      </c>
      <c r="C131" s="1" t="s">
        <v>6449</v>
      </c>
      <c r="D131" s="2" t="s">
        <v>7059</v>
      </c>
      <c r="E131" s="2" t="s">
        <v>7064</v>
      </c>
      <c r="F131" s="1" t="s">
        <v>7071</v>
      </c>
      <c r="G131" s="1" t="s">
        <v>7068</v>
      </c>
    </row>
    <row r="132" spans="1:7" x14ac:dyDescent="0.35">
      <c r="A132" s="1" t="s">
        <v>1233</v>
      </c>
      <c r="B132" s="1" t="s">
        <v>1234</v>
      </c>
      <c r="C132" s="1" t="s">
        <v>6420</v>
      </c>
      <c r="D132" s="2" t="s">
        <v>7072</v>
      </c>
      <c r="E132" s="2" t="s">
        <v>7073</v>
      </c>
      <c r="F132" s="1" t="s">
        <v>13040</v>
      </c>
      <c r="G132" s="1" t="s">
        <v>7074</v>
      </c>
    </row>
    <row r="133" spans="1:7" x14ac:dyDescent="0.35">
      <c r="A133" s="1" t="s">
        <v>1233</v>
      </c>
      <c r="B133" s="1" t="s">
        <v>1234</v>
      </c>
      <c r="C133" s="1" t="s">
        <v>6420</v>
      </c>
      <c r="D133" s="2" t="s">
        <v>7072</v>
      </c>
      <c r="E133" s="2" t="s">
        <v>7061</v>
      </c>
      <c r="F133" s="1" t="s">
        <v>13041</v>
      </c>
      <c r="G133" s="1" t="s">
        <v>7066</v>
      </c>
    </row>
    <row r="134" spans="1:7" x14ac:dyDescent="0.35">
      <c r="A134" s="1" t="s">
        <v>1233</v>
      </c>
      <c r="B134" s="1" t="s">
        <v>1234</v>
      </c>
      <c r="C134" s="1" t="s">
        <v>6420</v>
      </c>
      <c r="D134" s="2" t="s">
        <v>7072</v>
      </c>
      <c r="E134" s="2" t="s">
        <v>7063</v>
      </c>
      <c r="F134" s="1" t="s">
        <v>13042</v>
      </c>
      <c r="G134" s="1" t="s">
        <v>7067</v>
      </c>
    </row>
    <row r="135" spans="1:7" x14ac:dyDescent="0.35">
      <c r="A135" s="1" t="s">
        <v>5748</v>
      </c>
      <c r="B135" s="1" t="s">
        <v>5749</v>
      </c>
      <c r="C135" s="1" t="s">
        <v>6722</v>
      </c>
      <c r="D135" s="2" t="s">
        <v>7075</v>
      </c>
      <c r="E135" s="2" t="s">
        <v>7076</v>
      </c>
      <c r="F135" s="1" t="s">
        <v>13043</v>
      </c>
      <c r="G135" s="1" t="s">
        <v>7083</v>
      </c>
    </row>
    <row r="136" spans="1:7" x14ac:dyDescent="0.35">
      <c r="A136" s="1" t="s">
        <v>5748</v>
      </c>
      <c r="B136" s="1" t="s">
        <v>5749</v>
      </c>
      <c r="C136" s="1" t="s">
        <v>6722</v>
      </c>
      <c r="D136" s="2" t="s">
        <v>7075</v>
      </c>
      <c r="E136" s="2" t="s">
        <v>7077</v>
      </c>
      <c r="F136" s="1" t="s">
        <v>13044</v>
      </c>
      <c r="G136" s="1" t="s">
        <v>7082</v>
      </c>
    </row>
    <row r="137" spans="1:7" x14ac:dyDescent="0.35">
      <c r="A137" s="1" t="s">
        <v>5748</v>
      </c>
      <c r="B137" s="1" t="s">
        <v>5749</v>
      </c>
      <c r="C137" s="1" t="s">
        <v>6722</v>
      </c>
      <c r="D137" s="2" t="s">
        <v>7075</v>
      </c>
      <c r="E137" s="2" t="s">
        <v>7078</v>
      </c>
      <c r="F137" s="1" t="s">
        <v>13045</v>
      </c>
      <c r="G137" s="1" t="s">
        <v>7081</v>
      </c>
    </row>
    <row r="138" spans="1:7" x14ac:dyDescent="0.35">
      <c r="A138" s="1" t="s">
        <v>5748</v>
      </c>
      <c r="B138" s="1" t="s">
        <v>5749</v>
      </c>
      <c r="C138" s="1" t="s">
        <v>6722</v>
      </c>
      <c r="D138" s="2" t="s">
        <v>7075</v>
      </c>
      <c r="E138" s="2" t="s">
        <v>7079</v>
      </c>
      <c r="F138" s="1" t="s">
        <v>13046</v>
      </c>
      <c r="G138" s="1" t="s">
        <v>7080</v>
      </c>
    </row>
    <row r="139" spans="1:7" x14ac:dyDescent="0.35">
      <c r="A139" s="1" t="s">
        <v>3773</v>
      </c>
      <c r="B139" s="1" t="s">
        <v>3774</v>
      </c>
      <c r="C139" s="1" t="s">
        <v>6608</v>
      </c>
      <c r="D139" s="2" t="s">
        <v>7084</v>
      </c>
      <c r="E139" s="2" t="s">
        <v>7085</v>
      </c>
      <c r="F139" s="1" t="s">
        <v>13047</v>
      </c>
      <c r="G139" s="1" t="s">
        <v>7088</v>
      </c>
    </row>
    <row r="140" spans="1:7" x14ac:dyDescent="0.35">
      <c r="A140" s="1" t="s">
        <v>3773</v>
      </c>
      <c r="B140" s="1" t="s">
        <v>3774</v>
      </c>
      <c r="C140" s="1" t="s">
        <v>6608</v>
      </c>
      <c r="D140" s="2" t="s">
        <v>7084</v>
      </c>
      <c r="E140" s="2" t="s">
        <v>7086</v>
      </c>
      <c r="F140" s="1" t="s">
        <v>13048</v>
      </c>
      <c r="G140" s="1" t="s">
        <v>7087</v>
      </c>
    </row>
    <row r="141" spans="1:7" x14ac:dyDescent="0.35">
      <c r="A141" s="1" t="s">
        <v>1783</v>
      </c>
      <c r="B141" s="1" t="s">
        <v>1784</v>
      </c>
      <c r="C141" s="1" t="s">
        <v>6464</v>
      </c>
      <c r="D141" s="2" t="s">
        <v>7089</v>
      </c>
      <c r="E141" s="2" t="s">
        <v>7090</v>
      </c>
      <c r="F141" s="1" t="s">
        <v>13049</v>
      </c>
      <c r="G141" s="1" t="s">
        <v>7101</v>
      </c>
    </row>
    <row r="142" spans="1:7" x14ac:dyDescent="0.35">
      <c r="A142" s="1" t="s">
        <v>1783</v>
      </c>
      <c r="B142" s="1" t="s">
        <v>1784</v>
      </c>
      <c r="C142" s="1" t="s">
        <v>6464</v>
      </c>
      <c r="D142" s="2" t="s">
        <v>7089</v>
      </c>
      <c r="E142" s="2" t="s">
        <v>7091</v>
      </c>
      <c r="F142" s="1" t="s">
        <v>13050</v>
      </c>
      <c r="G142" s="1" t="s">
        <v>7100</v>
      </c>
    </row>
    <row r="143" spans="1:7" x14ac:dyDescent="0.35">
      <c r="A143" s="1" t="s">
        <v>1783</v>
      </c>
      <c r="B143" s="1" t="s">
        <v>1784</v>
      </c>
      <c r="C143" s="1" t="s">
        <v>6464</v>
      </c>
      <c r="D143" s="2" t="s">
        <v>7089</v>
      </c>
      <c r="E143" s="2" t="s">
        <v>7092</v>
      </c>
      <c r="F143" s="1" t="s">
        <v>9020</v>
      </c>
      <c r="G143" s="1" t="s">
        <v>7099</v>
      </c>
    </row>
    <row r="144" spans="1:7" x14ac:dyDescent="0.35">
      <c r="A144" s="1" t="s">
        <v>1783</v>
      </c>
      <c r="B144" s="1" t="s">
        <v>1784</v>
      </c>
      <c r="C144" s="1" t="s">
        <v>6464</v>
      </c>
      <c r="D144" s="2" t="s">
        <v>7089</v>
      </c>
      <c r="E144" s="2" t="s">
        <v>7093</v>
      </c>
      <c r="F144" s="1" t="s">
        <v>9019</v>
      </c>
      <c r="G144" s="1" t="s">
        <v>7098</v>
      </c>
    </row>
    <row r="145" spans="1:7" x14ac:dyDescent="0.35">
      <c r="A145" s="1" t="s">
        <v>1783</v>
      </c>
      <c r="B145" s="1" t="s">
        <v>1784</v>
      </c>
      <c r="C145" s="1" t="s">
        <v>6464</v>
      </c>
      <c r="D145" s="2" t="s">
        <v>7089</v>
      </c>
      <c r="E145" s="2" t="s">
        <v>7094</v>
      </c>
      <c r="F145" s="1" t="s">
        <v>13051</v>
      </c>
      <c r="G145" s="1" t="s">
        <v>7099</v>
      </c>
    </row>
    <row r="146" spans="1:7" x14ac:dyDescent="0.35">
      <c r="A146" s="1" t="s">
        <v>1783</v>
      </c>
      <c r="B146" s="1" t="s">
        <v>1784</v>
      </c>
      <c r="C146" s="1" t="s">
        <v>6464</v>
      </c>
      <c r="D146" s="2" t="s">
        <v>7089</v>
      </c>
      <c r="E146" s="2" t="s">
        <v>7095</v>
      </c>
      <c r="F146" s="1" t="s">
        <v>13052</v>
      </c>
      <c r="G146" s="1" t="s">
        <v>7098</v>
      </c>
    </row>
    <row r="147" spans="1:7" x14ac:dyDescent="0.35">
      <c r="A147" s="1" t="s">
        <v>1783</v>
      </c>
      <c r="B147" s="1" t="s">
        <v>1784</v>
      </c>
      <c r="C147" s="1" t="s">
        <v>6464</v>
      </c>
      <c r="D147" s="2" t="s">
        <v>7089</v>
      </c>
      <c r="E147" s="2" t="s">
        <v>7096</v>
      </c>
      <c r="F147" s="1" t="s">
        <v>7102</v>
      </c>
      <c r="G147" s="1" t="s">
        <v>7097</v>
      </c>
    </row>
    <row r="148" spans="1:7" x14ac:dyDescent="0.35">
      <c r="A148" s="1" t="s">
        <v>2991</v>
      </c>
      <c r="B148" s="1" t="s">
        <v>2992</v>
      </c>
      <c r="C148" s="1" t="s">
        <v>6550</v>
      </c>
      <c r="D148" s="2"/>
      <c r="E148" s="2"/>
    </row>
    <row r="149" spans="1:7" x14ac:dyDescent="0.35">
      <c r="A149" s="1" t="s">
        <v>296</v>
      </c>
      <c r="B149" s="1" t="s">
        <v>297</v>
      </c>
      <c r="C149" s="1" t="s">
        <v>6290</v>
      </c>
      <c r="D149" s="2"/>
      <c r="E149" s="2"/>
    </row>
    <row r="150" spans="1:7" x14ac:dyDescent="0.35">
      <c r="A150" s="1" t="s">
        <v>3673</v>
      </c>
      <c r="B150" s="1" t="s">
        <v>3674</v>
      </c>
      <c r="C150" s="1" t="s">
        <v>6595</v>
      </c>
      <c r="D150" s="2" t="s">
        <v>7103</v>
      </c>
      <c r="E150" s="2" t="s">
        <v>7104</v>
      </c>
      <c r="F150" s="1" t="s">
        <v>9025</v>
      </c>
      <c r="G150" s="1" t="s">
        <v>9055</v>
      </c>
    </row>
    <row r="151" spans="1:7" x14ac:dyDescent="0.35">
      <c r="A151" s="1" t="s">
        <v>5145</v>
      </c>
      <c r="B151" s="1" t="s">
        <v>5146</v>
      </c>
      <c r="C151" s="1" t="s">
        <v>6687</v>
      </c>
      <c r="D151" s="2"/>
      <c r="E151" s="2"/>
    </row>
    <row r="152" spans="1:7" x14ac:dyDescent="0.35">
      <c r="A152" s="1" t="s">
        <v>1700</v>
      </c>
      <c r="B152" s="1" t="s">
        <v>1701</v>
      </c>
      <c r="C152" s="1" t="s">
        <v>6451</v>
      </c>
      <c r="D152" s="2" t="s">
        <v>7105</v>
      </c>
      <c r="E152" s="2" t="s">
        <v>7106</v>
      </c>
      <c r="F152" s="1" t="s">
        <v>13053</v>
      </c>
      <c r="G152" s="1" t="s">
        <v>7113</v>
      </c>
    </row>
    <row r="153" spans="1:7" x14ac:dyDescent="0.35">
      <c r="A153" s="1" t="s">
        <v>1700</v>
      </c>
      <c r="B153" s="1" t="s">
        <v>1701</v>
      </c>
      <c r="C153" s="1" t="s">
        <v>6451</v>
      </c>
      <c r="D153" s="2" t="s">
        <v>7105</v>
      </c>
      <c r="E153" s="2" t="s">
        <v>7107</v>
      </c>
      <c r="F153" s="1" t="s">
        <v>13054</v>
      </c>
      <c r="G153" s="1" t="s">
        <v>7112</v>
      </c>
    </row>
    <row r="154" spans="1:7" x14ac:dyDescent="0.35">
      <c r="A154" s="1" t="s">
        <v>1700</v>
      </c>
      <c r="B154" s="1" t="s">
        <v>1701</v>
      </c>
      <c r="C154" s="1" t="s">
        <v>6451</v>
      </c>
      <c r="D154" s="2" t="s">
        <v>7105</v>
      </c>
      <c r="E154" s="2" t="s">
        <v>7108</v>
      </c>
      <c r="F154" s="1" t="s">
        <v>13055</v>
      </c>
      <c r="G154" s="1" t="s">
        <v>7111</v>
      </c>
    </row>
    <row r="155" spans="1:7" x14ac:dyDescent="0.35">
      <c r="A155" s="1" t="s">
        <v>1700</v>
      </c>
      <c r="B155" s="1" t="s">
        <v>1701</v>
      </c>
      <c r="C155" s="1" t="s">
        <v>6451</v>
      </c>
      <c r="D155" s="2" t="s">
        <v>7105</v>
      </c>
      <c r="E155" s="2" t="s">
        <v>7109</v>
      </c>
      <c r="F155" s="1" t="s">
        <v>13056</v>
      </c>
      <c r="G155" s="1" t="s">
        <v>7110</v>
      </c>
    </row>
    <row r="156" spans="1:7" x14ac:dyDescent="0.35">
      <c r="A156" s="1" t="s">
        <v>1172</v>
      </c>
      <c r="B156" s="1" t="s">
        <v>1173</v>
      </c>
      <c r="C156" s="1" t="s">
        <v>6415</v>
      </c>
      <c r="D156" s="2" t="s">
        <v>7114</v>
      </c>
      <c r="E156" s="2" t="s">
        <v>7115</v>
      </c>
      <c r="F156" s="1" t="s">
        <v>9026</v>
      </c>
      <c r="G156" s="1" t="s">
        <v>7117</v>
      </c>
    </row>
    <row r="157" spans="1:7" x14ac:dyDescent="0.35">
      <c r="A157" s="1" t="s">
        <v>1172</v>
      </c>
      <c r="B157" s="1" t="s">
        <v>1173</v>
      </c>
      <c r="C157" s="1" t="s">
        <v>6415</v>
      </c>
      <c r="D157" s="2" t="s">
        <v>7114</v>
      </c>
      <c r="E157" s="2" t="s">
        <v>7116</v>
      </c>
      <c r="F157" s="1" t="s">
        <v>9027</v>
      </c>
      <c r="G157" s="1" t="s">
        <v>7118</v>
      </c>
    </row>
    <row r="158" spans="1:7" x14ac:dyDescent="0.35">
      <c r="A158" s="1" t="s">
        <v>4465</v>
      </c>
      <c r="B158" s="1" t="s">
        <v>4466</v>
      </c>
      <c r="C158" s="1" t="s">
        <v>6648</v>
      </c>
      <c r="D158" s="2" t="s">
        <v>7119</v>
      </c>
      <c r="E158" s="2" t="s">
        <v>7120</v>
      </c>
      <c r="F158" s="1" t="s">
        <v>13057</v>
      </c>
      <c r="G158" s="1" t="s">
        <v>7123</v>
      </c>
    </row>
    <row r="159" spans="1:7" x14ac:dyDescent="0.35">
      <c r="A159" s="1" t="s">
        <v>4465</v>
      </c>
      <c r="B159" s="1" t="s">
        <v>4466</v>
      </c>
      <c r="C159" s="1" t="s">
        <v>6648</v>
      </c>
      <c r="D159" s="2" t="s">
        <v>7119</v>
      </c>
      <c r="E159" s="2" t="s">
        <v>7121</v>
      </c>
      <c r="F159" s="1" t="s">
        <v>13058</v>
      </c>
      <c r="G159" s="1" t="s">
        <v>7122</v>
      </c>
    </row>
    <row r="160" spans="1:7" x14ac:dyDescent="0.35">
      <c r="A160" s="1" t="s">
        <v>4465</v>
      </c>
      <c r="B160" s="1" t="s">
        <v>4466</v>
      </c>
      <c r="C160" s="1" t="s">
        <v>6648</v>
      </c>
      <c r="D160" s="2" t="s">
        <v>7119</v>
      </c>
      <c r="E160" s="2" t="s">
        <v>7124</v>
      </c>
      <c r="F160" s="1" t="s">
        <v>9028</v>
      </c>
      <c r="G160" s="1" t="s">
        <v>9056</v>
      </c>
    </row>
    <row r="161" spans="1:7" x14ac:dyDescent="0.35">
      <c r="A161" s="1" t="s">
        <v>4465</v>
      </c>
      <c r="B161" s="1" t="s">
        <v>4466</v>
      </c>
      <c r="C161" s="1" t="s">
        <v>6648</v>
      </c>
      <c r="D161" s="2" t="s">
        <v>7119</v>
      </c>
      <c r="E161" s="2" t="s">
        <v>7125</v>
      </c>
      <c r="F161" s="1" t="s">
        <v>9029</v>
      </c>
      <c r="G161" s="1" t="s">
        <v>9057</v>
      </c>
    </row>
    <row r="162" spans="1:7" x14ac:dyDescent="0.35">
      <c r="A162" s="1" t="s">
        <v>4103</v>
      </c>
      <c r="B162" s="1" t="s">
        <v>4104</v>
      </c>
      <c r="C162" s="1" t="s">
        <v>6630</v>
      </c>
      <c r="D162" s="2" t="s">
        <v>7126</v>
      </c>
      <c r="E162" s="2" t="s">
        <v>7127</v>
      </c>
      <c r="F162" s="1" t="s">
        <v>13059</v>
      </c>
      <c r="G162" s="1" t="s">
        <v>7128</v>
      </c>
    </row>
    <row r="163" spans="1:7" x14ac:dyDescent="0.35">
      <c r="A163" s="1" t="s">
        <v>5125</v>
      </c>
      <c r="B163" s="1" t="s">
        <v>5126</v>
      </c>
      <c r="C163" s="1" t="s">
        <v>6686</v>
      </c>
      <c r="D163" s="2" t="s">
        <v>7129</v>
      </c>
      <c r="E163" s="2" t="s">
        <v>7130</v>
      </c>
      <c r="F163" s="1" t="s">
        <v>13060</v>
      </c>
      <c r="G163" s="1" t="s">
        <v>7131</v>
      </c>
    </row>
    <row r="164" spans="1:7" x14ac:dyDescent="0.35">
      <c r="A164" s="1" t="s">
        <v>939</v>
      </c>
      <c r="B164" s="1" t="s">
        <v>940</v>
      </c>
      <c r="C164" s="1" t="s">
        <v>6338</v>
      </c>
      <c r="D164" s="2"/>
      <c r="E164" s="2"/>
    </row>
    <row r="165" spans="1:7" x14ac:dyDescent="0.35">
      <c r="A165" s="1" t="s">
        <v>5142</v>
      </c>
      <c r="B165" s="1" t="s">
        <v>5143</v>
      </c>
      <c r="C165" s="1" t="s">
        <v>6338</v>
      </c>
      <c r="D165" s="2"/>
      <c r="E165" s="2"/>
    </row>
    <row r="166" spans="1:7" x14ac:dyDescent="0.35">
      <c r="A166" s="1" t="s">
        <v>353</v>
      </c>
      <c r="B166" s="1" t="s">
        <v>354</v>
      </c>
      <c r="C166" s="1" t="s">
        <v>6296</v>
      </c>
      <c r="D166" s="2"/>
      <c r="E166" s="2"/>
    </row>
    <row r="167" spans="1:7" x14ac:dyDescent="0.35">
      <c r="A167" s="1" t="s">
        <v>490</v>
      </c>
      <c r="B167" s="1" t="s">
        <v>491</v>
      </c>
      <c r="C167" s="1" t="s">
        <v>6296</v>
      </c>
      <c r="D167" s="2"/>
      <c r="E167" s="2"/>
    </row>
    <row r="168" spans="1:7" x14ac:dyDescent="0.35">
      <c r="A168" s="1" t="s">
        <v>784</v>
      </c>
      <c r="B168" s="1" t="s">
        <v>785</v>
      </c>
      <c r="C168" s="1" t="s">
        <v>6296</v>
      </c>
      <c r="D168" s="2"/>
      <c r="E168" s="2"/>
    </row>
    <row r="169" spans="1:7" x14ac:dyDescent="0.35">
      <c r="A169" s="1" t="s">
        <v>842</v>
      </c>
      <c r="B169" s="1" t="s">
        <v>843</v>
      </c>
      <c r="C169" s="1" t="s">
        <v>6296</v>
      </c>
      <c r="D169" s="2"/>
      <c r="E169" s="2"/>
    </row>
    <row r="170" spans="1:7" x14ac:dyDescent="0.35">
      <c r="A170" s="1" t="s">
        <v>1092</v>
      </c>
      <c r="B170" s="1" t="s">
        <v>1093</v>
      </c>
      <c r="C170" s="1" t="s">
        <v>6296</v>
      </c>
      <c r="D170" s="2"/>
      <c r="E170" s="2"/>
    </row>
    <row r="171" spans="1:7" x14ac:dyDescent="0.35">
      <c r="A171" s="1" t="s">
        <v>1456</v>
      </c>
      <c r="B171" s="1" t="s">
        <v>1457</v>
      </c>
      <c r="C171" s="1" t="s">
        <v>6296</v>
      </c>
      <c r="D171" s="2"/>
      <c r="E171" s="2"/>
    </row>
    <row r="172" spans="1:7" x14ac:dyDescent="0.35">
      <c r="A172" s="1" t="s">
        <v>1969</v>
      </c>
      <c r="B172" s="1" t="s">
        <v>1970</v>
      </c>
      <c r="C172" s="1" t="s">
        <v>6296</v>
      </c>
      <c r="D172" s="2"/>
      <c r="E172" s="2"/>
    </row>
    <row r="173" spans="1:7" x14ac:dyDescent="0.35">
      <c r="A173" s="1" t="s">
        <v>2021</v>
      </c>
      <c r="B173" s="1" t="s">
        <v>2022</v>
      </c>
      <c r="C173" s="1" t="s">
        <v>6296</v>
      </c>
      <c r="D173" s="2"/>
      <c r="E173" s="2"/>
    </row>
    <row r="174" spans="1:7" x14ac:dyDescent="0.35">
      <c r="A174" s="1" t="s">
        <v>2115</v>
      </c>
      <c r="B174" s="1" t="s">
        <v>2116</v>
      </c>
      <c r="C174" s="1" t="s">
        <v>6296</v>
      </c>
      <c r="D174" s="2"/>
      <c r="E174" s="2"/>
    </row>
    <row r="175" spans="1:7" x14ac:dyDescent="0.35">
      <c r="A175" s="1" t="s">
        <v>3310</v>
      </c>
      <c r="B175" s="1" t="s">
        <v>3311</v>
      </c>
      <c r="C175" s="1" t="s">
        <v>6296</v>
      </c>
      <c r="D175" s="2"/>
      <c r="E175" s="2"/>
    </row>
    <row r="176" spans="1:7" x14ac:dyDescent="0.35">
      <c r="A176" s="1" t="s">
        <v>3821</v>
      </c>
      <c r="B176" s="1" t="s">
        <v>3822</v>
      </c>
      <c r="C176" s="1" t="s">
        <v>6296</v>
      </c>
      <c r="D176" s="2"/>
      <c r="E176" s="2"/>
    </row>
    <row r="177" spans="1:7" x14ac:dyDescent="0.35">
      <c r="A177" s="1" t="s">
        <v>4498</v>
      </c>
      <c r="B177" s="1" t="s">
        <v>4499</v>
      </c>
      <c r="C177" s="1" t="s">
        <v>6296</v>
      </c>
      <c r="D177" s="2"/>
      <c r="E177" s="2"/>
    </row>
    <row r="178" spans="1:7" x14ac:dyDescent="0.35">
      <c r="A178" s="1" t="s">
        <v>4875</v>
      </c>
      <c r="B178" s="1" t="s">
        <v>4876</v>
      </c>
      <c r="C178" s="1" t="s">
        <v>6296</v>
      </c>
      <c r="D178" s="2"/>
      <c r="E178" s="2"/>
    </row>
    <row r="179" spans="1:7" x14ac:dyDescent="0.35">
      <c r="A179" s="1" t="s">
        <v>5157</v>
      </c>
      <c r="B179" s="1" t="s">
        <v>5158</v>
      </c>
      <c r="C179" s="1" t="s">
        <v>6296</v>
      </c>
      <c r="D179" s="2"/>
      <c r="E179" s="2"/>
    </row>
    <row r="180" spans="1:7" x14ac:dyDescent="0.35">
      <c r="A180" s="1" t="s">
        <v>5286</v>
      </c>
      <c r="B180" s="1" t="s">
        <v>5287</v>
      </c>
      <c r="C180" s="1" t="s">
        <v>6296</v>
      </c>
      <c r="D180" s="2"/>
      <c r="E180" s="2"/>
    </row>
    <row r="181" spans="1:7" x14ac:dyDescent="0.35">
      <c r="A181" s="1" t="s">
        <v>5577</v>
      </c>
      <c r="B181" s="1" t="s">
        <v>5578</v>
      </c>
      <c r="C181" s="1" t="s">
        <v>6296</v>
      </c>
      <c r="D181" s="2"/>
      <c r="E181" s="2"/>
    </row>
    <row r="182" spans="1:7" x14ac:dyDescent="0.35">
      <c r="A182" s="1" t="s">
        <v>6079</v>
      </c>
      <c r="B182" s="1" t="s">
        <v>6080</v>
      </c>
      <c r="C182" s="1" t="s">
        <v>6296</v>
      </c>
      <c r="D182" s="2"/>
      <c r="E182" s="2"/>
    </row>
    <row r="183" spans="1:7" x14ac:dyDescent="0.35">
      <c r="A183" s="1" t="s">
        <v>1800</v>
      </c>
      <c r="B183" s="1" t="s">
        <v>1801</v>
      </c>
      <c r="C183" s="1" t="s">
        <v>6465</v>
      </c>
      <c r="D183" s="2" t="s">
        <v>7132</v>
      </c>
      <c r="E183" s="2" t="s">
        <v>7133</v>
      </c>
      <c r="F183" s="1" t="s">
        <v>7143</v>
      </c>
      <c r="G183" s="1" t="s">
        <v>9058</v>
      </c>
    </row>
    <row r="184" spans="1:7" x14ac:dyDescent="0.35">
      <c r="A184" s="1" t="s">
        <v>1800</v>
      </c>
      <c r="B184" s="1" t="s">
        <v>1801</v>
      </c>
      <c r="C184" s="1" t="s">
        <v>6465</v>
      </c>
      <c r="D184" s="2" t="s">
        <v>7132</v>
      </c>
      <c r="E184" s="2" t="s">
        <v>7134</v>
      </c>
      <c r="F184" s="1" t="s">
        <v>13061</v>
      </c>
      <c r="G184" s="1" t="s">
        <v>7135</v>
      </c>
    </row>
    <row r="185" spans="1:7" x14ac:dyDescent="0.35">
      <c r="A185" s="1" t="s">
        <v>1323</v>
      </c>
      <c r="B185" s="1" t="s">
        <v>1324</v>
      </c>
      <c r="C185" s="1" t="s">
        <v>6425</v>
      </c>
      <c r="D185" s="2" t="s">
        <v>7136</v>
      </c>
      <c r="E185" s="2" t="s">
        <v>7137</v>
      </c>
      <c r="F185" s="1" t="s">
        <v>13062</v>
      </c>
      <c r="G185" s="1" t="s">
        <v>7140</v>
      </c>
    </row>
    <row r="186" spans="1:7" x14ac:dyDescent="0.35">
      <c r="A186" s="1" t="s">
        <v>1323</v>
      </c>
      <c r="B186" s="1" t="s">
        <v>1324</v>
      </c>
      <c r="C186" s="1" t="s">
        <v>6425</v>
      </c>
      <c r="D186" s="2" t="s">
        <v>7136</v>
      </c>
      <c r="E186" s="2" t="s">
        <v>7138</v>
      </c>
      <c r="F186" s="1" t="s">
        <v>7141</v>
      </c>
      <c r="G186" s="1" t="s">
        <v>7139</v>
      </c>
    </row>
    <row r="187" spans="1:7" x14ac:dyDescent="0.35">
      <c r="A187" s="1" t="s">
        <v>3777</v>
      </c>
      <c r="B187" s="1" t="s">
        <v>3778</v>
      </c>
      <c r="C187" s="1" t="s">
        <v>6609</v>
      </c>
      <c r="D187" s="2" t="s">
        <v>7142</v>
      </c>
      <c r="E187" s="2" t="s">
        <v>7144</v>
      </c>
      <c r="F187" s="1" t="s">
        <v>13063</v>
      </c>
      <c r="G187" s="1" t="s">
        <v>7147</v>
      </c>
    </row>
    <row r="188" spans="1:7" x14ac:dyDescent="0.35">
      <c r="A188" s="1" t="s">
        <v>3777</v>
      </c>
      <c r="B188" s="1" t="s">
        <v>3778</v>
      </c>
      <c r="C188" s="1" t="s">
        <v>6609</v>
      </c>
      <c r="D188" s="2" t="s">
        <v>7142</v>
      </c>
      <c r="E188" s="2" t="s">
        <v>7145</v>
      </c>
      <c r="F188" s="1" t="s">
        <v>13064</v>
      </c>
      <c r="G188" s="1" t="s">
        <v>7146</v>
      </c>
    </row>
    <row r="189" spans="1:7" x14ac:dyDescent="0.35">
      <c r="A189" s="1" t="s">
        <v>3733</v>
      </c>
      <c r="B189" s="1" t="s">
        <v>3734</v>
      </c>
      <c r="C189" s="1" t="s">
        <v>6602</v>
      </c>
      <c r="D189" s="2" t="s">
        <v>7148</v>
      </c>
      <c r="E189" s="2" t="s">
        <v>7149</v>
      </c>
      <c r="F189" s="1" t="s">
        <v>13065</v>
      </c>
      <c r="G189" s="1" t="s">
        <v>7150</v>
      </c>
    </row>
    <row r="190" spans="1:7" x14ac:dyDescent="0.35">
      <c r="A190" s="1" t="s">
        <v>4469</v>
      </c>
      <c r="B190" s="1" t="s">
        <v>4470</v>
      </c>
      <c r="C190" s="1" t="s">
        <v>6649</v>
      </c>
      <c r="D190" s="2"/>
      <c r="E190" s="2"/>
    </row>
    <row r="191" spans="1:7" x14ac:dyDescent="0.35">
      <c r="A191" s="1" t="s">
        <v>5016</v>
      </c>
      <c r="B191" s="1" t="s">
        <v>5017</v>
      </c>
      <c r="C191" s="1" t="s">
        <v>6681</v>
      </c>
      <c r="D191" s="2" t="s">
        <v>7151</v>
      </c>
      <c r="E191" s="2" t="s">
        <v>7152</v>
      </c>
      <c r="F191" s="1" t="s">
        <v>13066</v>
      </c>
      <c r="G191" s="1" t="s">
        <v>7153</v>
      </c>
    </row>
    <row r="192" spans="1:7" x14ac:dyDescent="0.35">
      <c r="A192" s="1" t="s">
        <v>1779</v>
      </c>
      <c r="B192" s="1" t="s">
        <v>1780</v>
      </c>
      <c r="C192" s="1" t="s">
        <v>6463</v>
      </c>
      <c r="D192" s="2" t="s">
        <v>7154</v>
      </c>
      <c r="E192" s="2" t="s">
        <v>7155</v>
      </c>
      <c r="F192" s="1" t="s">
        <v>13067</v>
      </c>
      <c r="G192" s="1" t="s">
        <v>7156</v>
      </c>
    </row>
    <row r="193" spans="1:7" x14ac:dyDescent="0.35">
      <c r="A193" s="1" t="s">
        <v>6201</v>
      </c>
      <c r="B193" s="1" t="s">
        <v>6202</v>
      </c>
      <c r="C193" s="1" t="s">
        <v>6736</v>
      </c>
      <c r="D193" s="2" t="s">
        <v>7157</v>
      </c>
      <c r="E193" s="2" t="s">
        <v>7158</v>
      </c>
      <c r="F193" s="1" t="s">
        <v>13068</v>
      </c>
      <c r="G193" s="1" t="s">
        <v>7159</v>
      </c>
    </row>
    <row r="194" spans="1:7" x14ac:dyDescent="0.35">
      <c r="A194" s="1" t="s">
        <v>4727</v>
      </c>
      <c r="B194" s="1" t="s">
        <v>4728</v>
      </c>
      <c r="C194" s="1" t="s">
        <v>6659</v>
      </c>
      <c r="D194" s="2" t="s">
        <v>7160</v>
      </c>
      <c r="E194" s="2" t="s">
        <v>7161</v>
      </c>
      <c r="F194" s="1" t="s">
        <v>13069</v>
      </c>
      <c r="G194" s="1" t="s">
        <v>7162</v>
      </c>
    </row>
    <row r="195" spans="1:7" x14ac:dyDescent="0.35">
      <c r="A195" s="1" t="s">
        <v>2267</v>
      </c>
      <c r="B195" s="1" t="s">
        <v>2268</v>
      </c>
      <c r="C195" s="1" t="s">
        <v>6496</v>
      </c>
      <c r="D195" s="2" t="s">
        <v>7163</v>
      </c>
      <c r="E195" s="2" t="s">
        <v>7164</v>
      </c>
      <c r="F195" s="1" t="s">
        <v>13070</v>
      </c>
      <c r="G195" s="1" t="s">
        <v>7165</v>
      </c>
    </row>
    <row r="196" spans="1:7" x14ac:dyDescent="0.35">
      <c r="A196" s="1" t="s">
        <v>3815</v>
      </c>
      <c r="B196" s="1" t="s">
        <v>3816</v>
      </c>
      <c r="C196" s="1" t="s">
        <v>6612</v>
      </c>
      <c r="D196" s="2" t="s">
        <v>7166</v>
      </c>
      <c r="E196" s="2" t="s">
        <v>7167</v>
      </c>
      <c r="F196" s="1" t="s">
        <v>13071</v>
      </c>
      <c r="G196" s="1" t="s">
        <v>7170</v>
      </c>
    </row>
    <row r="197" spans="1:7" x14ac:dyDescent="0.35">
      <c r="A197" s="1" t="s">
        <v>3815</v>
      </c>
      <c r="B197" s="1" t="s">
        <v>3816</v>
      </c>
      <c r="C197" s="1" t="s">
        <v>6612</v>
      </c>
      <c r="D197" s="2" t="s">
        <v>7166</v>
      </c>
      <c r="E197" s="2" t="s">
        <v>7168</v>
      </c>
      <c r="F197" s="1" t="s">
        <v>13072</v>
      </c>
      <c r="G197" s="1" t="s">
        <v>7169</v>
      </c>
    </row>
    <row r="198" spans="1:7" x14ac:dyDescent="0.35">
      <c r="A198" s="1" t="s">
        <v>162</v>
      </c>
      <c r="B198" s="1" t="s">
        <v>163</v>
      </c>
      <c r="C198" s="1" t="s">
        <v>6279</v>
      </c>
      <c r="D198" s="2" t="s">
        <v>7171</v>
      </c>
      <c r="E198" s="2" t="s">
        <v>7172</v>
      </c>
      <c r="F198" s="1" t="s">
        <v>13073</v>
      </c>
      <c r="G198" s="1" t="s">
        <v>7175</v>
      </c>
    </row>
    <row r="199" spans="1:7" x14ac:dyDescent="0.35">
      <c r="A199" s="1" t="s">
        <v>162</v>
      </c>
      <c r="B199" s="1" t="s">
        <v>163</v>
      </c>
      <c r="C199" s="1" t="s">
        <v>6279</v>
      </c>
      <c r="D199" s="2" t="s">
        <v>7171</v>
      </c>
      <c r="E199" s="2" t="s">
        <v>7173</v>
      </c>
      <c r="F199" s="1" t="s">
        <v>13074</v>
      </c>
      <c r="G199" s="1" t="s">
        <v>7174</v>
      </c>
    </row>
    <row r="200" spans="1:7" x14ac:dyDescent="0.35">
      <c r="A200" s="1" t="s">
        <v>4502</v>
      </c>
      <c r="B200" s="1" t="s">
        <v>4503</v>
      </c>
      <c r="C200" s="1" t="s">
        <v>6651</v>
      </c>
      <c r="D200" s="2" t="s">
        <v>7176</v>
      </c>
      <c r="E200" s="2" t="s">
        <v>7177</v>
      </c>
      <c r="F200" s="1" t="s">
        <v>7179</v>
      </c>
      <c r="G200" s="1" t="s">
        <v>7178</v>
      </c>
    </row>
    <row r="201" spans="1:7" x14ac:dyDescent="0.35">
      <c r="A201" s="1" t="s">
        <v>1539</v>
      </c>
      <c r="B201" s="1" t="s">
        <v>1540</v>
      </c>
      <c r="C201" s="1" t="s">
        <v>6444</v>
      </c>
      <c r="D201" s="2" t="s">
        <v>7180</v>
      </c>
      <c r="E201" s="2" t="s">
        <v>7181</v>
      </c>
      <c r="F201" s="1" t="s">
        <v>13075</v>
      </c>
      <c r="G201" s="1" t="s">
        <v>7182</v>
      </c>
    </row>
    <row r="202" spans="1:7" x14ac:dyDescent="0.35">
      <c r="A202" s="1" t="s">
        <v>1858</v>
      </c>
      <c r="B202" s="1" t="s">
        <v>1859</v>
      </c>
      <c r="C202" s="1" t="s">
        <v>6468</v>
      </c>
      <c r="D202" s="2" t="s">
        <v>7183</v>
      </c>
      <c r="E202" s="2" t="s">
        <v>7184</v>
      </c>
      <c r="F202" s="1" t="s">
        <v>13076</v>
      </c>
      <c r="G202" s="1" t="s">
        <v>7185</v>
      </c>
    </row>
    <row r="203" spans="1:7" x14ac:dyDescent="0.35">
      <c r="A203" s="1" t="s">
        <v>1439</v>
      </c>
      <c r="B203" s="1" t="s">
        <v>1440</v>
      </c>
      <c r="C203" s="1" t="s">
        <v>6437</v>
      </c>
      <c r="D203" s="2" t="s">
        <v>7186</v>
      </c>
      <c r="E203" s="2" t="s">
        <v>7187</v>
      </c>
      <c r="F203" s="1" t="s">
        <v>13077</v>
      </c>
      <c r="G203" s="1" t="s">
        <v>7198</v>
      </c>
    </row>
    <row r="204" spans="1:7" x14ac:dyDescent="0.35">
      <c r="A204" s="1" t="s">
        <v>1439</v>
      </c>
      <c r="B204" s="1" t="s">
        <v>1440</v>
      </c>
      <c r="C204" s="1" t="s">
        <v>6437</v>
      </c>
      <c r="D204" s="2" t="s">
        <v>7186</v>
      </c>
      <c r="E204" s="2" t="s">
        <v>7188</v>
      </c>
      <c r="F204" s="1" t="s">
        <v>13078</v>
      </c>
      <c r="G204" s="1" t="s">
        <v>7197</v>
      </c>
    </row>
    <row r="205" spans="1:7" x14ac:dyDescent="0.35">
      <c r="A205" s="1" t="s">
        <v>1439</v>
      </c>
      <c r="B205" s="1" t="s">
        <v>1440</v>
      </c>
      <c r="C205" s="1" t="s">
        <v>6437</v>
      </c>
      <c r="D205" s="2" t="s">
        <v>7186</v>
      </c>
      <c r="E205" s="2" t="s">
        <v>7189</v>
      </c>
      <c r="F205" s="1" t="s">
        <v>7199</v>
      </c>
      <c r="G205" s="1" t="s">
        <v>7197</v>
      </c>
    </row>
    <row r="206" spans="1:7" x14ac:dyDescent="0.35">
      <c r="A206" s="1" t="s">
        <v>1439</v>
      </c>
      <c r="B206" s="1" t="s">
        <v>1440</v>
      </c>
      <c r="C206" s="1" t="s">
        <v>6437</v>
      </c>
      <c r="D206" s="2" t="s">
        <v>7186</v>
      </c>
      <c r="E206" s="2" t="s">
        <v>7190</v>
      </c>
      <c r="F206" s="1" t="s">
        <v>13079</v>
      </c>
      <c r="G206" s="1" t="s">
        <v>7196</v>
      </c>
    </row>
    <row r="207" spans="1:7" x14ac:dyDescent="0.35">
      <c r="A207" s="1" t="s">
        <v>1439</v>
      </c>
      <c r="B207" s="1" t="s">
        <v>1440</v>
      </c>
      <c r="C207" s="1" t="s">
        <v>6437</v>
      </c>
      <c r="D207" s="2" t="s">
        <v>7186</v>
      </c>
      <c r="E207" s="2" t="s">
        <v>7191</v>
      </c>
      <c r="F207" s="1" t="s">
        <v>7192</v>
      </c>
      <c r="G207" s="1" t="s">
        <v>7195</v>
      </c>
    </row>
    <row r="208" spans="1:7" x14ac:dyDescent="0.35">
      <c r="A208" s="1" t="s">
        <v>1439</v>
      </c>
      <c r="B208" s="1" t="s">
        <v>1440</v>
      </c>
      <c r="C208" s="1" t="s">
        <v>6437</v>
      </c>
      <c r="D208" s="2" t="s">
        <v>7186</v>
      </c>
      <c r="E208" s="2" t="s">
        <v>7193</v>
      </c>
      <c r="F208" s="1" t="s">
        <v>13080</v>
      </c>
      <c r="G208" s="1" t="s">
        <v>7194</v>
      </c>
    </row>
    <row r="209" spans="1:7" x14ac:dyDescent="0.35">
      <c r="A209" s="1" t="s">
        <v>3532</v>
      </c>
      <c r="B209" s="1" t="s">
        <v>3533</v>
      </c>
      <c r="C209" s="1" t="s">
        <v>6590</v>
      </c>
      <c r="D209" s="2" t="s">
        <v>7200</v>
      </c>
      <c r="E209" s="2" t="s">
        <v>7201</v>
      </c>
      <c r="F209" s="1" t="s">
        <v>13081</v>
      </c>
      <c r="G209" s="1" t="s">
        <v>9059</v>
      </c>
    </row>
    <row r="210" spans="1:7" x14ac:dyDescent="0.35">
      <c r="A210" s="1" t="s">
        <v>3532</v>
      </c>
      <c r="B210" s="1" t="s">
        <v>3533</v>
      </c>
      <c r="C210" s="1" t="s">
        <v>6590</v>
      </c>
      <c r="D210" s="2" t="s">
        <v>7200</v>
      </c>
      <c r="E210" s="2" t="s">
        <v>7202</v>
      </c>
      <c r="F210" s="1" t="s">
        <v>13082</v>
      </c>
      <c r="G210" s="1" t="s">
        <v>9059</v>
      </c>
    </row>
    <row r="211" spans="1:7" x14ac:dyDescent="0.35">
      <c r="A211" s="1" t="s">
        <v>3532</v>
      </c>
      <c r="B211" s="1" t="s">
        <v>3533</v>
      </c>
      <c r="C211" s="1" t="s">
        <v>6590</v>
      </c>
      <c r="D211" s="2" t="s">
        <v>7200</v>
      </c>
      <c r="E211" s="2" t="s">
        <v>7023</v>
      </c>
      <c r="F211" s="1" t="s">
        <v>7205</v>
      </c>
      <c r="G211" s="1" t="s">
        <v>7024</v>
      </c>
    </row>
    <row r="212" spans="1:7" x14ac:dyDescent="0.35">
      <c r="A212" s="1" t="s">
        <v>3532</v>
      </c>
      <c r="B212" s="1" t="s">
        <v>3533</v>
      </c>
      <c r="C212" s="1" t="s">
        <v>6590</v>
      </c>
      <c r="D212" s="2" t="s">
        <v>7200</v>
      </c>
      <c r="E212" s="2" t="s">
        <v>7203</v>
      </c>
      <c r="F212" s="1" t="s">
        <v>7204</v>
      </c>
      <c r="G212" s="1" t="s">
        <v>7206</v>
      </c>
    </row>
    <row r="213" spans="1:7" x14ac:dyDescent="0.35">
      <c r="A213" s="1" t="s">
        <v>3532</v>
      </c>
      <c r="B213" s="1" t="s">
        <v>3533</v>
      </c>
      <c r="C213" s="1" t="s">
        <v>6590</v>
      </c>
      <c r="D213" s="2" t="s">
        <v>7200</v>
      </c>
      <c r="E213" s="2" t="s">
        <v>7207</v>
      </c>
      <c r="F213" s="1" t="s">
        <v>7212</v>
      </c>
      <c r="G213" s="1" t="s">
        <v>7206</v>
      </c>
    </row>
    <row r="214" spans="1:7" x14ac:dyDescent="0.35">
      <c r="A214" s="1" t="s">
        <v>3532</v>
      </c>
      <c r="B214" s="1" t="s">
        <v>3533</v>
      </c>
      <c r="C214" s="1" t="s">
        <v>6590</v>
      </c>
      <c r="D214" s="2" t="s">
        <v>7200</v>
      </c>
      <c r="E214" s="2" t="s">
        <v>7208</v>
      </c>
      <c r="F214" s="1" t="s">
        <v>7213</v>
      </c>
      <c r="G214" s="1" t="s">
        <v>7210</v>
      </c>
    </row>
    <row r="215" spans="1:7" x14ac:dyDescent="0.35">
      <c r="A215" s="1" t="s">
        <v>3532</v>
      </c>
      <c r="B215" s="1" t="s">
        <v>3533</v>
      </c>
      <c r="C215" s="1" t="s">
        <v>6590</v>
      </c>
      <c r="D215" s="2" t="s">
        <v>7200</v>
      </c>
      <c r="E215" s="2" t="s">
        <v>7209</v>
      </c>
      <c r="F215" s="1" t="s">
        <v>13083</v>
      </c>
      <c r="G215" s="1" t="s">
        <v>7211</v>
      </c>
    </row>
    <row r="216" spans="1:7" x14ac:dyDescent="0.35">
      <c r="A216" s="1" t="s">
        <v>1253</v>
      </c>
      <c r="B216" s="1" t="s">
        <v>1254</v>
      </c>
      <c r="C216" s="1" t="s">
        <v>6421</v>
      </c>
      <c r="D216" s="2"/>
      <c r="E216" s="2"/>
    </row>
    <row r="217" spans="1:7" x14ac:dyDescent="0.35">
      <c r="A217" s="1" t="s">
        <v>3607</v>
      </c>
      <c r="B217" s="1" t="s">
        <v>3608</v>
      </c>
      <c r="C217" s="1" t="s">
        <v>6594</v>
      </c>
      <c r="D217" s="2"/>
      <c r="E217" s="2"/>
    </row>
    <row r="218" spans="1:7" x14ac:dyDescent="0.35">
      <c r="A218" s="1" t="s">
        <v>4855</v>
      </c>
      <c r="B218" s="1" t="s">
        <v>4856</v>
      </c>
      <c r="C218" s="1" t="s">
        <v>6594</v>
      </c>
      <c r="D218" s="2"/>
      <c r="E218" s="2"/>
    </row>
    <row r="219" spans="1:7" x14ac:dyDescent="0.35">
      <c r="A219" s="1" t="s">
        <v>5192</v>
      </c>
      <c r="B219" s="1" t="s">
        <v>5193</v>
      </c>
      <c r="C219" s="1" t="s">
        <v>6594</v>
      </c>
      <c r="D219" s="2"/>
      <c r="E219" s="2"/>
    </row>
    <row r="220" spans="1:7" x14ac:dyDescent="0.35">
      <c r="A220" s="1" t="s">
        <v>5994</v>
      </c>
      <c r="B220" s="1" t="s">
        <v>5995</v>
      </c>
      <c r="C220" s="1" t="s">
        <v>6594</v>
      </c>
      <c r="D220" s="2"/>
      <c r="E220" s="2"/>
    </row>
    <row r="221" spans="1:7" x14ac:dyDescent="0.35">
      <c r="A221" s="1" t="s">
        <v>6054</v>
      </c>
      <c r="B221" s="1" t="s">
        <v>6055</v>
      </c>
      <c r="C221" s="1" t="s">
        <v>6594</v>
      </c>
      <c r="D221" s="2"/>
      <c r="E221" s="2"/>
    </row>
    <row r="222" spans="1:7" x14ac:dyDescent="0.35">
      <c r="A222" s="1" t="s">
        <v>1354</v>
      </c>
      <c r="B222" s="1" t="s">
        <v>1355</v>
      </c>
      <c r="C222" s="1" t="s">
        <v>6429</v>
      </c>
      <c r="D222" s="2" t="s">
        <v>7214</v>
      </c>
      <c r="E222" s="2" t="s">
        <v>7215</v>
      </c>
      <c r="F222" s="1" t="s">
        <v>13084</v>
      </c>
      <c r="G222" s="1" t="s">
        <v>7230</v>
      </c>
    </row>
    <row r="223" spans="1:7" x14ac:dyDescent="0.35">
      <c r="A223" s="1" t="s">
        <v>5709</v>
      </c>
      <c r="B223" s="1" t="s">
        <v>5710</v>
      </c>
      <c r="C223" s="1" t="s">
        <v>6720</v>
      </c>
      <c r="D223" s="2" t="s">
        <v>7216</v>
      </c>
      <c r="E223" s="2" t="s">
        <v>7217</v>
      </c>
      <c r="F223" s="1" t="s">
        <v>13085</v>
      </c>
      <c r="G223" s="1" t="s">
        <v>7229</v>
      </c>
    </row>
    <row r="224" spans="1:7" x14ac:dyDescent="0.35">
      <c r="A224" s="1" t="s">
        <v>2112</v>
      </c>
      <c r="B224" s="1" t="s">
        <v>2113</v>
      </c>
      <c r="C224" s="1" t="s">
        <v>6489</v>
      </c>
      <c r="D224" s="2" t="s">
        <v>7218</v>
      </c>
      <c r="E224" s="2" t="s">
        <v>7219</v>
      </c>
      <c r="F224" s="1" t="s">
        <v>7228</v>
      </c>
      <c r="G224" s="1" t="s">
        <v>7227</v>
      </c>
    </row>
    <row r="225" spans="1:7" x14ac:dyDescent="0.35">
      <c r="A225" s="1" t="s">
        <v>2604</v>
      </c>
      <c r="B225" s="1" t="s">
        <v>2605</v>
      </c>
      <c r="C225" s="1" t="s">
        <v>6533</v>
      </c>
      <c r="D225" s="2"/>
      <c r="E225" s="2"/>
    </row>
    <row r="226" spans="1:7" x14ac:dyDescent="0.35">
      <c r="A226" s="1" t="s">
        <v>1729</v>
      </c>
      <c r="B226" s="1" t="s">
        <v>1730</v>
      </c>
      <c r="C226" s="1" t="s">
        <v>6457</v>
      </c>
      <c r="D226" s="2" t="s">
        <v>7220</v>
      </c>
      <c r="E226" s="2" t="s">
        <v>7221</v>
      </c>
      <c r="F226" s="1" t="s">
        <v>7222</v>
      </c>
      <c r="G226" s="1" t="s">
        <v>7226</v>
      </c>
    </row>
    <row r="227" spans="1:7" x14ac:dyDescent="0.35">
      <c r="A227" s="1" t="s">
        <v>1132</v>
      </c>
      <c r="B227" s="1" t="s">
        <v>1133</v>
      </c>
      <c r="C227" s="1" t="s">
        <v>6410</v>
      </c>
      <c r="D227" s="2" t="s">
        <v>7223</v>
      </c>
      <c r="E227" s="2" t="s">
        <v>7224</v>
      </c>
      <c r="F227" s="1" t="s">
        <v>13086</v>
      </c>
      <c r="G227" s="1" t="s">
        <v>7225</v>
      </c>
    </row>
    <row r="228" spans="1:7" x14ac:dyDescent="0.35">
      <c r="A228" s="1" t="s">
        <v>1132</v>
      </c>
      <c r="B228" s="1" t="s">
        <v>1133</v>
      </c>
      <c r="C228" s="1" t="s">
        <v>6410</v>
      </c>
      <c r="D228" s="2" t="s">
        <v>7223</v>
      </c>
      <c r="E228" s="2" t="s">
        <v>7231</v>
      </c>
      <c r="F228" s="1" t="s">
        <v>7232</v>
      </c>
      <c r="G228" s="1" t="s">
        <v>7233</v>
      </c>
    </row>
    <row r="229" spans="1:7" x14ac:dyDescent="0.35">
      <c r="A229" s="1" t="s">
        <v>1132</v>
      </c>
      <c r="B229" s="1" t="s">
        <v>1133</v>
      </c>
      <c r="C229" s="1" t="s">
        <v>6410</v>
      </c>
      <c r="D229" s="2" t="s">
        <v>7223</v>
      </c>
      <c r="E229" s="2" t="s">
        <v>7234</v>
      </c>
      <c r="F229" s="1" t="s">
        <v>13087</v>
      </c>
      <c r="G229" s="1" t="s">
        <v>7247</v>
      </c>
    </row>
    <row r="230" spans="1:7" x14ac:dyDescent="0.35">
      <c r="A230" s="1" t="s">
        <v>1132</v>
      </c>
      <c r="B230" s="1" t="s">
        <v>1133</v>
      </c>
      <c r="C230" s="1" t="s">
        <v>6410</v>
      </c>
      <c r="D230" s="2" t="s">
        <v>7223</v>
      </c>
      <c r="E230" s="2" t="s">
        <v>7235</v>
      </c>
      <c r="F230" s="1" t="s">
        <v>13088</v>
      </c>
      <c r="G230" s="1" t="s">
        <v>7248</v>
      </c>
    </row>
    <row r="231" spans="1:7" x14ac:dyDescent="0.35">
      <c r="A231" s="1" t="s">
        <v>1132</v>
      </c>
      <c r="B231" s="1" t="s">
        <v>1133</v>
      </c>
      <c r="C231" s="1" t="s">
        <v>6410</v>
      </c>
      <c r="D231" s="2" t="s">
        <v>7223</v>
      </c>
      <c r="E231" s="2" t="s">
        <v>7236</v>
      </c>
      <c r="F231" s="1" t="s">
        <v>13089</v>
      </c>
      <c r="G231" s="1" t="s">
        <v>7249</v>
      </c>
    </row>
    <row r="232" spans="1:7" x14ac:dyDescent="0.35">
      <c r="A232" s="1" t="s">
        <v>1132</v>
      </c>
      <c r="B232" s="1" t="s">
        <v>1133</v>
      </c>
      <c r="C232" s="1" t="s">
        <v>6410</v>
      </c>
      <c r="D232" s="2" t="s">
        <v>7223</v>
      </c>
      <c r="E232" s="2" t="s">
        <v>7237</v>
      </c>
      <c r="F232" s="1" t="s">
        <v>7243</v>
      </c>
      <c r="G232" s="1" t="s">
        <v>7250</v>
      </c>
    </row>
    <row r="233" spans="1:7" x14ac:dyDescent="0.35">
      <c r="A233" s="1" t="s">
        <v>1132</v>
      </c>
      <c r="B233" s="1" t="s">
        <v>1133</v>
      </c>
      <c r="C233" s="1" t="s">
        <v>6410</v>
      </c>
      <c r="D233" s="2" t="s">
        <v>7223</v>
      </c>
      <c r="E233" s="2" t="s">
        <v>7238</v>
      </c>
      <c r="F233" s="1" t="s">
        <v>7244</v>
      </c>
      <c r="G233" s="1" t="s">
        <v>7251</v>
      </c>
    </row>
    <row r="234" spans="1:7" x14ac:dyDescent="0.35">
      <c r="A234" s="1" t="s">
        <v>1132</v>
      </c>
      <c r="B234" s="1" t="s">
        <v>1133</v>
      </c>
      <c r="C234" s="1" t="s">
        <v>6410</v>
      </c>
      <c r="D234" s="2" t="s">
        <v>7223</v>
      </c>
      <c r="E234" s="2" t="s">
        <v>7239</v>
      </c>
      <c r="F234" s="1" t="s">
        <v>7245</v>
      </c>
      <c r="G234" s="1" t="s">
        <v>7252</v>
      </c>
    </row>
    <row r="235" spans="1:7" x14ac:dyDescent="0.35">
      <c r="A235" s="1" t="s">
        <v>1132</v>
      </c>
      <c r="B235" s="1" t="s">
        <v>1133</v>
      </c>
      <c r="C235" s="1" t="s">
        <v>6410</v>
      </c>
      <c r="D235" s="2" t="s">
        <v>7223</v>
      </c>
      <c r="E235" s="2" t="s">
        <v>7240</v>
      </c>
      <c r="F235" s="1" t="s">
        <v>7246</v>
      </c>
      <c r="G235" s="1" t="s">
        <v>7253</v>
      </c>
    </row>
    <row r="236" spans="1:7" x14ac:dyDescent="0.35">
      <c r="A236" s="1" t="s">
        <v>1132</v>
      </c>
      <c r="B236" s="1" t="s">
        <v>1133</v>
      </c>
      <c r="C236" s="1" t="s">
        <v>6410</v>
      </c>
      <c r="D236" s="2" t="s">
        <v>7223</v>
      </c>
      <c r="E236" s="2" t="s">
        <v>7241</v>
      </c>
      <c r="F236" s="1" t="s">
        <v>13090</v>
      </c>
      <c r="G236" s="1" t="s">
        <v>7254</v>
      </c>
    </row>
    <row r="237" spans="1:7" x14ac:dyDescent="0.35">
      <c r="A237" s="1" t="s">
        <v>1132</v>
      </c>
      <c r="B237" s="1" t="s">
        <v>1133</v>
      </c>
      <c r="C237" s="1" t="s">
        <v>6410</v>
      </c>
      <c r="D237" s="2" t="s">
        <v>7223</v>
      </c>
      <c r="E237" s="2" t="s">
        <v>7242</v>
      </c>
      <c r="F237" s="1" t="s">
        <v>13091</v>
      </c>
      <c r="G237" s="1" t="s">
        <v>7255</v>
      </c>
    </row>
    <row r="238" spans="1:7" x14ac:dyDescent="0.35">
      <c r="A238" s="1" t="s">
        <v>4017</v>
      </c>
      <c r="B238" s="1" t="s">
        <v>4018</v>
      </c>
      <c r="C238" s="1" t="s">
        <v>6625</v>
      </c>
      <c r="D238" s="2" t="s">
        <v>7256</v>
      </c>
      <c r="E238" s="2" t="s">
        <v>7257</v>
      </c>
      <c r="F238" s="1" t="s">
        <v>13092</v>
      </c>
      <c r="G238" s="1" t="s">
        <v>7258</v>
      </c>
    </row>
    <row r="239" spans="1:7" x14ac:dyDescent="0.35">
      <c r="A239" s="1" t="s">
        <v>3930</v>
      </c>
      <c r="B239" s="1" t="s">
        <v>3931</v>
      </c>
      <c r="C239" s="1" t="s">
        <v>6622</v>
      </c>
      <c r="D239" s="2" t="s">
        <v>7259</v>
      </c>
      <c r="E239" s="2" t="s">
        <v>7270</v>
      </c>
      <c r="F239" s="1" t="s">
        <v>13093</v>
      </c>
      <c r="G239" s="1" t="s">
        <v>7272</v>
      </c>
    </row>
    <row r="240" spans="1:7" x14ac:dyDescent="0.35">
      <c r="A240" s="1" t="s">
        <v>3930</v>
      </c>
      <c r="B240" s="1" t="s">
        <v>3931</v>
      </c>
      <c r="C240" s="1" t="s">
        <v>6622</v>
      </c>
      <c r="D240" s="2" t="s">
        <v>7259</v>
      </c>
      <c r="E240" s="2" t="s">
        <v>7271</v>
      </c>
      <c r="F240" s="1" t="s">
        <v>13094</v>
      </c>
      <c r="G240" s="1" t="s">
        <v>7273</v>
      </c>
    </row>
    <row r="241" spans="1:7" x14ac:dyDescent="0.35">
      <c r="A241" s="1" t="s">
        <v>336</v>
      </c>
      <c r="B241" s="1" t="s">
        <v>337</v>
      </c>
      <c r="C241" s="1" t="s">
        <v>6294</v>
      </c>
      <c r="D241" s="2" t="s">
        <v>7260</v>
      </c>
      <c r="E241" s="2" t="s">
        <v>7274</v>
      </c>
      <c r="F241" s="1" t="s">
        <v>13095</v>
      </c>
      <c r="G241" s="1" t="s">
        <v>7277</v>
      </c>
    </row>
    <row r="242" spans="1:7" x14ac:dyDescent="0.35">
      <c r="A242" s="1" t="s">
        <v>2616</v>
      </c>
      <c r="B242" s="1" t="s">
        <v>2617</v>
      </c>
      <c r="C242" s="1" t="s">
        <v>6535</v>
      </c>
      <c r="D242" s="2" t="s">
        <v>7261</v>
      </c>
      <c r="E242" s="2" t="s">
        <v>7275</v>
      </c>
      <c r="F242" s="1" t="s">
        <v>7278</v>
      </c>
      <c r="G242" s="1" t="s">
        <v>7276</v>
      </c>
    </row>
    <row r="243" spans="1:7" x14ac:dyDescent="0.35">
      <c r="A243" s="1" t="s">
        <v>1124</v>
      </c>
      <c r="B243" s="1" t="s">
        <v>1125</v>
      </c>
      <c r="C243" s="1" t="s">
        <v>6408</v>
      </c>
      <c r="D243" s="2" t="s">
        <v>7262</v>
      </c>
      <c r="E243" s="2" t="s">
        <v>7279</v>
      </c>
      <c r="F243" s="1" t="s">
        <v>13096</v>
      </c>
      <c r="G243" s="1" t="s">
        <v>7280</v>
      </c>
    </row>
    <row r="244" spans="1:7" x14ac:dyDescent="0.35">
      <c r="A244" s="1" t="s">
        <v>1113</v>
      </c>
      <c r="B244" s="1" t="s">
        <v>1114</v>
      </c>
      <c r="C244" s="1" t="s">
        <v>6406</v>
      </c>
      <c r="D244" s="2" t="s">
        <v>7263</v>
      </c>
      <c r="E244" s="2" t="s">
        <v>7224</v>
      </c>
      <c r="F244" s="1" t="s">
        <v>13086</v>
      </c>
      <c r="G244" s="1" t="s">
        <v>7225</v>
      </c>
    </row>
    <row r="245" spans="1:7" x14ac:dyDescent="0.35">
      <c r="A245" s="1" t="s">
        <v>1113</v>
      </c>
      <c r="B245" s="1" t="s">
        <v>1114</v>
      </c>
      <c r="C245" s="1" t="s">
        <v>6406</v>
      </c>
      <c r="D245" s="2" t="s">
        <v>7263</v>
      </c>
      <c r="E245" s="2" t="s">
        <v>7231</v>
      </c>
      <c r="F245" s="1" t="s">
        <v>7232</v>
      </c>
      <c r="G245" s="1" t="s">
        <v>7233</v>
      </c>
    </row>
    <row r="246" spans="1:7" x14ac:dyDescent="0.35">
      <c r="A246" s="1" t="s">
        <v>1113</v>
      </c>
      <c r="B246" s="1" t="s">
        <v>1114</v>
      </c>
      <c r="C246" s="1" t="s">
        <v>6406</v>
      </c>
      <c r="D246" s="2" t="s">
        <v>7263</v>
      </c>
      <c r="E246" s="2" t="s">
        <v>7234</v>
      </c>
      <c r="F246" s="1" t="s">
        <v>7281</v>
      </c>
      <c r="G246" s="1" t="s">
        <v>7247</v>
      </c>
    </row>
    <row r="247" spans="1:7" x14ac:dyDescent="0.35">
      <c r="A247" s="1" t="s">
        <v>1113</v>
      </c>
      <c r="B247" s="1" t="s">
        <v>1114</v>
      </c>
      <c r="C247" s="1" t="s">
        <v>6406</v>
      </c>
      <c r="D247" s="2" t="s">
        <v>7263</v>
      </c>
      <c r="E247" s="2" t="s">
        <v>7235</v>
      </c>
      <c r="F247" s="1" t="s">
        <v>7282</v>
      </c>
      <c r="G247" s="1" t="s">
        <v>7248</v>
      </c>
    </row>
    <row r="248" spans="1:7" x14ac:dyDescent="0.35">
      <c r="A248" s="1" t="s">
        <v>1113</v>
      </c>
      <c r="B248" s="1" t="s">
        <v>1114</v>
      </c>
      <c r="C248" s="1" t="s">
        <v>6406</v>
      </c>
      <c r="D248" s="2" t="s">
        <v>7263</v>
      </c>
      <c r="E248" s="2" t="s">
        <v>7236</v>
      </c>
      <c r="F248" s="1" t="s">
        <v>7283</v>
      </c>
      <c r="G248" s="1" t="s">
        <v>7249</v>
      </c>
    </row>
    <row r="249" spans="1:7" x14ac:dyDescent="0.35">
      <c r="A249" s="1" t="s">
        <v>1113</v>
      </c>
      <c r="B249" s="1" t="s">
        <v>1114</v>
      </c>
      <c r="C249" s="1" t="s">
        <v>6406</v>
      </c>
      <c r="D249" s="2" t="s">
        <v>7263</v>
      </c>
      <c r="E249" s="2" t="s">
        <v>7237</v>
      </c>
      <c r="F249" s="1" t="s">
        <v>7243</v>
      </c>
      <c r="G249" s="1" t="s">
        <v>7250</v>
      </c>
    </row>
    <row r="250" spans="1:7" x14ac:dyDescent="0.35">
      <c r="A250" s="1" t="s">
        <v>1113</v>
      </c>
      <c r="B250" s="1" t="s">
        <v>1114</v>
      </c>
      <c r="C250" s="1" t="s">
        <v>6406</v>
      </c>
      <c r="D250" s="2" t="s">
        <v>7263</v>
      </c>
      <c r="E250" s="2" t="s">
        <v>7238</v>
      </c>
      <c r="F250" s="1" t="s">
        <v>7244</v>
      </c>
      <c r="G250" s="1" t="s">
        <v>7251</v>
      </c>
    </row>
    <row r="251" spans="1:7" x14ac:dyDescent="0.35">
      <c r="A251" s="1" t="s">
        <v>1113</v>
      </c>
      <c r="B251" s="1" t="s">
        <v>1114</v>
      </c>
      <c r="C251" s="1" t="s">
        <v>6406</v>
      </c>
      <c r="D251" s="2" t="s">
        <v>7263</v>
      </c>
      <c r="E251" s="2" t="s">
        <v>7239</v>
      </c>
      <c r="F251" s="1" t="s">
        <v>7284</v>
      </c>
      <c r="G251" s="1" t="s">
        <v>7252</v>
      </c>
    </row>
    <row r="252" spans="1:7" x14ac:dyDescent="0.35">
      <c r="A252" s="1" t="s">
        <v>1113</v>
      </c>
      <c r="B252" s="1" t="s">
        <v>1114</v>
      </c>
      <c r="C252" s="1" t="s">
        <v>6406</v>
      </c>
      <c r="D252" s="2" t="s">
        <v>7263</v>
      </c>
      <c r="E252" s="2" t="s">
        <v>7240</v>
      </c>
      <c r="F252" s="1" t="s">
        <v>7246</v>
      </c>
      <c r="G252" s="1" t="s">
        <v>7253</v>
      </c>
    </row>
    <row r="253" spans="1:7" x14ac:dyDescent="0.35">
      <c r="A253" s="1" t="s">
        <v>1113</v>
      </c>
      <c r="B253" s="1" t="s">
        <v>1114</v>
      </c>
      <c r="C253" s="1" t="s">
        <v>6406</v>
      </c>
      <c r="D253" s="2" t="s">
        <v>7263</v>
      </c>
      <c r="E253" s="2" t="s">
        <v>7241</v>
      </c>
      <c r="F253" s="1" t="s">
        <v>7285</v>
      </c>
      <c r="G253" s="1" t="s">
        <v>7254</v>
      </c>
    </row>
    <row r="254" spans="1:7" x14ac:dyDescent="0.35">
      <c r="A254" s="1" t="s">
        <v>1113</v>
      </c>
      <c r="B254" s="1" t="s">
        <v>1114</v>
      </c>
      <c r="C254" s="1" t="s">
        <v>6406</v>
      </c>
      <c r="D254" s="2" t="s">
        <v>7263</v>
      </c>
      <c r="E254" s="2" t="s">
        <v>7242</v>
      </c>
      <c r="F254" s="1" t="s">
        <v>7286</v>
      </c>
      <c r="G254" s="1" t="s">
        <v>7255</v>
      </c>
    </row>
    <row r="255" spans="1:7" x14ac:dyDescent="0.35">
      <c r="A255" s="1" t="s">
        <v>4870</v>
      </c>
      <c r="B255" s="1" t="s">
        <v>4871</v>
      </c>
      <c r="C255" s="1" t="s">
        <v>6672</v>
      </c>
      <c r="D255" s="2" t="s">
        <v>7264</v>
      </c>
      <c r="E255" s="2" t="s">
        <v>7287</v>
      </c>
      <c r="F255" s="1" t="s">
        <v>7293</v>
      </c>
      <c r="G255" s="1" t="s">
        <v>7290</v>
      </c>
    </row>
    <row r="256" spans="1:7" x14ac:dyDescent="0.35">
      <c r="A256" s="1" t="s">
        <v>4870</v>
      </c>
      <c r="B256" s="1" t="s">
        <v>4871</v>
      </c>
      <c r="C256" s="1" t="s">
        <v>6672</v>
      </c>
      <c r="D256" s="2" t="s">
        <v>7264</v>
      </c>
      <c r="E256" s="2" t="s">
        <v>7288</v>
      </c>
      <c r="F256" s="1" t="s">
        <v>7294</v>
      </c>
      <c r="G256" s="1" t="s">
        <v>7291</v>
      </c>
    </row>
    <row r="257" spans="1:7" x14ac:dyDescent="0.35">
      <c r="A257" s="1" t="s">
        <v>4870</v>
      </c>
      <c r="B257" s="1" t="s">
        <v>4871</v>
      </c>
      <c r="C257" s="1" t="s">
        <v>6672</v>
      </c>
      <c r="D257" s="2" t="s">
        <v>7264</v>
      </c>
      <c r="E257" s="2" t="s">
        <v>7289</v>
      </c>
      <c r="F257" s="1" t="s">
        <v>7295</v>
      </c>
      <c r="G257" s="1" t="s">
        <v>7292</v>
      </c>
    </row>
    <row r="258" spans="1:7" x14ac:dyDescent="0.35">
      <c r="A258" s="1" t="s">
        <v>5186</v>
      </c>
      <c r="B258" s="1" t="s">
        <v>5187</v>
      </c>
      <c r="C258" s="1" t="s">
        <v>6690</v>
      </c>
      <c r="D258" s="2" t="s">
        <v>7265</v>
      </c>
      <c r="E258" s="2" t="s">
        <v>7296</v>
      </c>
      <c r="F258" s="1" t="s">
        <v>7300</v>
      </c>
      <c r="G258" s="1" t="s">
        <v>7298</v>
      </c>
    </row>
    <row r="259" spans="1:7" x14ac:dyDescent="0.35">
      <c r="A259" s="1" t="s">
        <v>5186</v>
      </c>
      <c r="B259" s="1" t="s">
        <v>5187</v>
      </c>
      <c r="C259" s="1" t="s">
        <v>6690</v>
      </c>
      <c r="D259" s="2" t="s">
        <v>7265</v>
      </c>
      <c r="E259" s="2" t="s">
        <v>7297</v>
      </c>
      <c r="F259" s="1" t="s">
        <v>7301</v>
      </c>
      <c r="G259" s="1" t="s">
        <v>7299</v>
      </c>
    </row>
    <row r="260" spans="1:7" x14ac:dyDescent="0.35">
      <c r="A260" s="1" t="s">
        <v>4351</v>
      </c>
      <c r="B260" s="1" t="s">
        <v>4352</v>
      </c>
      <c r="C260" s="1" t="s">
        <v>6642</v>
      </c>
      <c r="D260" s="2" t="s">
        <v>7266</v>
      </c>
      <c r="E260" s="2" t="s">
        <v>7302</v>
      </c>
      <c r="F260" s="1" t="s">
        <v>7311</v>
      </c>
      <c r="G260" s="1" t="s">
        <v>7307</v>
      </c>
    </row>
    <row r="261" spans="1:7" x14ac:dyDescent="0.35">
      <c r="A261" s="1" t="s">
        <v>4351</v>
      </c>
      <c r="B261" s="1" t="s">
        <v>4352</v>
      </c>
      <c r="C261" s="1" t="s">
        <v>6642</v>
      </c>
      <c r="D261" s="2" t="s">
        <v>7266</v>
      </c>
      <c r="E261" s="2" t="s">
        <v>7303</v>
      </c>
      <c r="F261" s="1" t="s">
        <v>7312</v>
      </c>
      <c r="G261" s="1" t="s">
        <v>7308</v>
      </c>
    </row>
    <row r="262" spans="1:7" x14ac:dyDescent="0.35">
      <c r="A262" s="1" t="s">
        <v>4554</v>
      </c>
      <c r="B262" s="1" t="s">
        <v>4555</v>
      </c>
      <c r="C262" s="1" t="s">
        <v>6653</v>
      </c>
      <c r="D262" s="2" t="s">
        <v>7267</v>
      </c>
      <c r="E262" s="2" t="s">
        <v>7304</v>
      </c>
      <c r="F262" s="1" t="s">
        <v>7313</v>
      </c>
      <c r="G262" s="1" t="s">
        <v>7309</v>
      </c>
    </row>
    <row r="263" spans="1:7" x14ac:dyDescent="0.35">
      <c r="A263" s="1" t="s">
        <v>4554</v>
      </c>
      <c r="B263" s="1" t="s">
        <v>4555</v>
      </c>
      <c r="C263" s="1" t="s">
        <v>6653</v>
      </c>
      <c r="D263" s="2" t="s">
        <v>7267</v>
      </c>
      <c r="E263" s="2" t="s">
        <v>7306</v>
      </c>
      <c r="F263" s="1" t="s">
        <v>7314</v>
      </c>
      <c r="G263" s="1" t="s">
        <v>7310</v>
      </c>
    </row>
    <row r="264" spans="1:7" x14ac:dyDescent="0.35">
      <c r="A264" s="1" t="s">
        <v>1890</v>
      </c>
      <c r="B264" s="1" t="s">
        <v>1891</v>
      </c>
      <c r="C264" s="1" t="s">
        <v>6470</v>
      </c>
      <c r="D264" s="2"/>
      <c r="E264" s="2"/>
    </row>
    <row r="265" spans="1:7" x14ac:dyDescent="0.35">
      <c r="A265" s="1" t="s">
        <v>5279</v>
      </c>
      <c r="B265" s="1" t="s">
        <v>5280</v>
      </c>
      <c r="C265" s="1" t="s">
        <v>6470</v>
      </c>
      <c r="D265" s="2"/>
      <c r="E265" s="2"/>
    </row>
    <row r="266" spans="1:7" x14ac:dyDescent="0.35">
      <c r="A266" s="1" t="s">
        <v>2406</v>
      </c>
      <c r="B266" s="1" t="s">
        <v>2407</v>
      </c>
      <c r="C266" s="1" t="s">
        <v>6506</v>
      </c>
      <c r="D266" s="2" t="s">
        <v>7268</v>
      </c>
      <c r="E266" s="2" t="s">
        <v>7315</v>
      </c>
      <c r="F266" s="1" t="s">
        <v>7316</v>
      </c>
      <c r="G266" s="1" t="s">
        <v>7321</v>
      </c>
    </row>
    <row r="267" spans="1:7" x14ac:dyDescent="0.35">
      <c r="A267" s="1" t="s">
        <v>1775</v>
      </c>
      <c r="B267" s="1" t="s">
        <v>1776</v>
      </c>
      <c r="C267" s="1" t="s">
        <v>6462</v>
      </c>
      <c r="D267" s="2" t="s">
        <v>7269</v>
      </c>
      <c r="E267" s="2" t="s">
        <v>7317</v>
      </c>
      <c r="F267" s="1" t="s">
        <v>7319</v>
      </c>
      <c r="G267" s="1" t="s">
        <v>7322</v>
      </c>
    </row>
    <row r="268" spans="1:7" x14ac:dyDescent="0.35">
      <c r="A268" s="1" t="s">
        <v>2672</v>
      </c>
      <c r="B268" s="1" t="s">
        <v>2673</v>
      </c>
      <c r="C268" s="1" t="s">
        <v>6539</v>
      </c>
      <c r="D268" s="2" t="s">
        <v>7305</v>
      </c>
      <c r="E268" s="2" t="s">
        <v>7318</v>
      </c>
      <c r="F268" s="1" t="s">
        <v>7320</v>
      </c>
      <c r="G268" s="1" t="s">
        <v>7323</v>
      </c>
    </row>
    <row r="269" spans="1:7" x14ac:dyDescent="0.35">
      <c r="A269" s="1" t="s">
        <v>3133</v>
      </c>
      <c r="B269" s="1" t="s">
        <v>3134</v>
      </c>
      <c r="C269" s="1" t="s">
        <v>6562</v>
      </c>
      <c r="D269" s="2"/>
      <c r="E269" s="2"/>
    </row>
    <row r="270" spans="1:7" x14ac:dyDescent="0.35">
      <c r="A270" s="1" t="s">
        <v>4625</v>
      </c>
      <c r="B270" s="1" t="s">
        <v>4626</v>
      </c>
      <c r="C270" s="1" t="s">
        <v>6562</v>
      </c>
      <c r="D270" s="2"/>
      <c r="E270" s="2"/>
    </row>
    <row r="271" spans="1:7" x14ac:dyDescent="0.35">
      <c r="A271" s="1" t="s">
        <v>1744</v>
      </c>
      <c r="B271" s="1" t="s">
        <v>1745</v>
      </c>
      <c r="C271" s="1" t="s">
        <v>6459</v>
      </c>
      <c r="D271" s="2"/>
      <c r="E271" s="2"/>
    </row>
    <row r="272" spans="1:7" x14ac:dyDescent="0.35">
      <c r="A272" s="1" t="s">
        <v>3118</v>
      </c>
      <c r="B272" s="1" t="s">
        <v>3119</v>
      </c>
      <c r="C272" s="1" t="s">
        <v>6459</v>
      </c>
      <c r="D272" s="2"/>
      <c r="E272" s="2"/>
    </row>
    <row r="273" spans="1:7" x14ac:dyDescent="0.35">
      <c r="A273" s="1" t="s">
        <v>3129</v>
      </c>
      <c r="B273" s="1" t="s">
        <v>3130</v>
      </c>
      <c r="C273" s="1" t="s">
        <v>6459</v>
      </c>
      <c r="D273" s="2"/>
      <c r="E273" s="2"/>
    </row>
    <row r="274" spans="1:7" x14ac:dyDescent="0.35">
      <c r="A274" s="1" t="s">
        <v>3153</v>
      </c>
      <c r="B274" s="1" t="s">
        <v>3154</v>
      </c>
      <c r="C274" s="1" t="s">
        <v>6459</v>
      </c>
      <c r="D274" s="2"/>
      <c r="E274" s="2"/>
    </row>
    <row r="275" spans="1:7" x14ac:dyDescent="0.35">
      <c r="A275" s="1" t="s">
        <v>4029</v>
      </c>
      <c r="B275" s="1" t="s">
        <v>4030</v>
      </c>
      <c r="C275" s="1" t="s">
        <v>6459</v>
      </c>
      <c r="D275" s="2"/>
      <c r="E275" s="2"/>
    </row>
    <row r="276" spans="1:7" x14ac:dyDescent="0.35">
      <c r="A276" s="1" t="s">
        <v>4043</v>
      </c>
      <c r="B276" s="1" t="s">
        <v>4044</v>
      </c>
      <c r="C276" s="1" t="s">
        <v>6459</v>
      </c>
      <c r="D276" s="2"/>
      <c r="E276" s="2"/>
    </row>
    <row r="277" spans="1:7" x14ac:dyDescent="0.35">
      <c r="A277" s="1" t="s">
        <v>4597</v>
      </c>
      <c r="B277" s="1" t="s">
        <v>4598</v>
      </c>
      <c r="C277" s="1" t="s">
        <v>6459</v>
      </c>
      <c r="D277" s="2"/>
      <c r="E277" s="2"/>
    </row>
    <row r="278" spans="1:7" x14ac:dyDescent="0.35">
      <c r="A278" s="1" t="s">
        <v>4601</v>
      </c>
      <c r="B278" s="1" t="s">
        <v>4602</v>
      </c>
      <c r="C278" s="1" t="s">
        <v>6459</v>
      </c>
      <c r="D278" s="2"/>
      <c r="E278" s="2"/>
    </row>
    <row r="279" spans="1:7" x14ac:dyDescent="0.35">
      <c r="A279" s="1" t="s">
        <v>4613</v>
      </c>
      <c r="B279" s="1" t="s">
        <v>4614</v>
      </c>
      <c r="C279" s="1" t="s">
        <v>6459</v>
      </c>
      <c r="D279" s="2"/>
      <c r="E279" s="2"/>
    </row>
    <row r="280" spans="1:7" x14ac:dyDescent="0.35">
      <c r="A280" s="1" t="s">
        <v>4617</v>
      </c>
      <c r="B280" s="1" t="s">
        <v>4618</v>
      </c>
      <c r="C280" s="1" t="s">
        <v>6459</v>
      </c>
      <c r="D280" s="2"/>
      <c r="E280" s="2"/>
    </row>
    <row r="281" spans="1:7" x14ac:dyDescent="0.35">
      <c r="A281" s="1" t="s">
        <v>3271</v>
      </c>
      <c r="B281" s="1" t="s">
        <v>3272</v>
      </c>
      <c r="C281" s="1" t="s">
        <v>6573</v>
      </c>
      <c r="D281" s="2" t="s">
        <v>7324</v>
      </c>
      <c r="E281" s="2" t="s">
        <v>7325</v>
      </c>
      <c r="F281" s="1" t="s">
        <v>7335</v>
      </c>
      <c r="G281" s="1" t="s">
        <v>7332</v>
      </c>
    </row>
    <row r="282" spans="1:7" x14ac:dyDescent="0.35">
      <c r="A282" s="1" t="s">
        <v>3271</v>
      </c>
      <c r="B282" s="1" t="s">
        <v>3272</v>
      </c>
      <c r="C282" s="1" t="s">
        <v>6573</v>
      </c>
      <c r="D282" s="2" t="s">
        <v>7324</v>
      </c>
      <c r="E282" s="2" t="s">
        <v>7326</v>
      </c>
      <c r="F282" s="5" t="s">
        <v>9030</v>
      </c>
      <c r="G282" s="5" t="s">
        <v>7333</v>
      </c>
    </row>
    <row r="283" spans="1:7" x14ac:dyDescent="0.35">
      <c r="A283" s="1" t="s">
        <v>3271</v>
      </c>
      <c r="B283" s="1" t="s">
        <v>3272</v>
      </c>
      <c r="C283" s="1" t="s">
        <v>6573</v>
      </c>
      <c r="D283" s="2" t="s">
        <v>7324</v>
      </c>
      <c r="E283" s="2" t="s">
        <v>7327</v>
      </c>
      <c r="F283" s="1" t="s">
        <v>7336</v>
      </c>
      <c r="G283" s="5" t="s">
        <v>7332</v>
      </c>
    </row>
    <row r="284" spans="1:7" x14ac:dyDescent="0.35">
      <c r="A284" s="1" t="s">
        <v>3271</v>
      </c>
      <c r="B284" s="1" t="s">
        <v>3272</v>
      </c>
      <c r="C284" s="1" t="s">
        <v>6573</v>
      </c>
      <c r="D284" s="2" t="s">
        <v>7324</v>
      </c>
      <c r="E284" s="2" t="s">
        <v>7328</v>
      </c>
      <c r="F284" s="1" t="s">
        <v>13097</v>
      </c>
      <c r="G284" s="5" t="s">
        <v>7333</v>
      </c>
    </row>
    <row r="285" spans="1:7" x14ac:dyDescent="0.35">
      <c r="A285" s="1" t="s">
        <v>6376</v>
      </c>
      <c r="B285" s="1" t="s">
        <v>1031</v>
      </c>
      <c r="C285" s="1" t="s">
        <v>6398</v>
      </c>
      <c r="D285" s="2" t="s">
        <v>7329</v>
      </c>
      <c r="E285" s="2" t="s">
        <v>7330</v>
      </c>
      <c r="F285" s="1" t="s">
        <v>7337</v>
      </c>
      <c r="G285" s="5" t="s">
        <v>7334</v>
      </c>
    </row>
    <row r="286" spans="1:7" x14ac:dyDescent="0.35">
      <c r="A286" s="1" t="s">
        <v>6376</v>
      </c>
      <c r="B286" s="1" t="s">
        <v>1031</v>
      </c>
      <c r="C286" s="1" t="s">
        <v>6398</v>
      </c>
      <c r="D286" s="2" t="s">
        <v>7329</v>
      </c>
      <c r="E286" s="2" t="s">
        <v>7331</v>
      </c>
      <c r="F286" s="5" t="s">
        <v>9031</v>
      </c>
      <c r="G286" s="5" t="s">
        <v>9060</v>
      </c>
    </row>
    <row r="287" spans="1:7" x14ac:dyDescent="0.35">
      <c r="A287" s="1" t="s">
        <v>6376</v>
      </c>
      <c r="B287" s="1" t="s">
        <v>1031</v>
      </c>
      <c r="C287" s="1" t="s">
        <v>6398</v>
      </c>
      <c r="D287" s="2" t="s">
        <v>7329</v>
      </c>
      <c r="E287" s="2" t="s">
        <v>7331</v>
      </c>
      <c r="F287" s="5" t="s">
        <v>9031</v>
      </c>
      <c r="G287" s="5" t="s">
        <v>9060</v>
      </c>
    </row>
    <row r="288" spans="1:7" x14ac:dyDescent="0.35">
      <c r="A288" s="1" t="s">
        <v>6143</v>
      </c>
      <c r="B288" s="1" t="s">
        <v>6144</v>
      </c>
      <c r="C288" s="1" t="s">
        <v>6735</v>
      </c>
      <c r="D288" s="2" t="s">
        <v>7338</v>
      </c>
      <c r="E288" s="2" t="s">
        <v>7339</v>
      </c>
      <c r="F288" s="5" t="s">
        <v>7352</v>
      </c>
      <c r="G288" s="5" t="s">
        <v>7353</v>
      </c>
    </row>
    <row r="289" spans="1:7" x14ac:dyDescent="0.35">
      <c r="A289" s="1" t="s">
        <v>6143</v>
      </c>
      <c r="B289" s="1" t="s">
        <v>6144</v>
      </c>
      <c r="C289" s="1" t="s">
        <v>6735</v>
      </c>
      <c r="D289" s="2" t="s">
        <v>7338</v>
      </c>
      <c r="E289" s="2" t="s">
        <v>7340</v>
      </c>
      <c r="F289" s="5" t="s">
        <v>9032</v>
      </c>
      <c r="G289" s="5" t="s">
        <v>9061</v>
      </c>
    </row>
    <row r="290" spans="1:7" x14ac:dyDescent="0.35">
      <c r="A290" s="1" t="s">
        <v>735</v>
      </c>
      <c r="B290" s="1" t="s">
        <v>736</v>
      </c>
      <c r="C290" s="1" t="s">
        <v>6326</v>
      </c>
      <c r="D290" s="2"/>
      <c r="E290" s="2"/>
    </row>
    <row r="291" spans="1:7" x14ac:dyDescent="0.35">
      <c r="A291" s="1" t="s">
        <v>4454</v>
      </c>
      <c r="B291" s="1" t="s">
        <v>4455</v>
      </c>
      <c r="C291" s="1" t="s">
        <v>6646</v>
      </c>
      <c r="D291" s="2" t="s">
        <v>7341</v>
      </c>
      <c r="E291" s="2" t="s">
        <v>7342</v>
      </c>
      <c r="F291" s="1" t="s">
        <v>7343</v>
      </c>
      <c r="G291" s="1" t="s">
        <v>7344</v>
      </c>
    </row>
    <row r="292" spans="1:7" x14ac:dyDescent="0.35">
      <c r="A292" s="1" t="s">
        <v>4454</v>
      </c>
      <c r="B292" s="1" t="s">
        <v>4455</v>
      </c>
      <c r="C292" s="1" t="s">
        <v>6646</v>
      </c>
      <c r="D292" s="2" t="s">
        <v>7341</v>
      </c>
      <c r="E292" s="2" t="s">
        <v>7345</v>
      </c>
      <c r="F292" s="1" t="s">
        <v>7347</v>
      </c>
      <c r="G292" s="1" t="s">
        <v>7346</v>
      </c>
    </row>
    <row r="293" spans="1:7" x14ac:dyDescent="0.35">
      <c r="A293" s="1" t="s">
        <v>1958</v>
      </c>
      <c r="B293" s="1" t="s">
        <v>1959</v>
      </c>
      <c r="C293" s="1" t="s">
        <v>6476</v>
      </c>
      <c r="D293" s="2" t="s">
        <v>7348</v>
      </c>
      <c r="E293" s="2" t="s">
        <v>7349</v>
      </c>
      <c r="F293" s="1" t="s">
        <v>13098</v>
      </c>
      <c r="G293" s="1" t="s">
        <v>7354</v>
      </c>
    </row>
    <row r="294" spans="1:7" x14ac:dyDescent="0.35">
      <c r="A294" s="1" t="s">
        <v>1958</v>
      </c>
      <c r="B294" s="1" t="s">
        <v>1959</v>
      </c>
      <c r="C294" s="1" t="s">
        <v>6476</v>
      </c>
      <c r="D294" s="2" t="s">
        <v>7348</v>
      </c>
      <c r="E294" s="2" t="s">
        <v>7350</v>
      </c>
      <c r="F294" s="5" t="s">
        <v>9033</v>
      </c>
      <c r="G294" s="5" t="s">
        <v>9062</v>
      </c>
    </row>
    <row r="295" spans="1:7" x14ac:dyDescent="0.35">
      <c r="A295" s="1" t="s">
        <v>2358</v>
      </c>
      <c r="B295" s="1" t="s">
        <v>2359</v>
      </c>
      <c r="C295" s="1" t="s">
        <v>6502</v>
      </c>
      <c r="D295" s="2" t="s">
        <v>7351</v>
      </c>
      <c r="E295" s="2" t="s">
        <v>7355</v>
      </c>
      <c r="F295" s="5" t="s">
        <v>7365</v>
      </c>
      <c r="G295" s="5" t="s">
        <v>7360</v>
      </c>
    </row>
    <row r="296" spans="1:7" x14ac:dyDescent="0.35">
      <c r="A296" s="1" t="s">
        <v>2358</v>
      </c>
      <c r="B296" s="1" t="s">
        <v>2359</v>
      </c>
      <c r="C296" s="1" t="s">
        <v>6502</v>
      </c>
      <c r="D296" s="2" t="s">
        <v>7351</v>
      </c>
      <c r="E296" s="2" t="s">
        <v>7356</v>
      </c>
      <c r="F296" s="5" t="s">
        <v>7366</v>
      </c>
      <c r="G296" s="5" t="s">
        <v>7361</v>
      </c>
    </row>
    <row r="297" spans="1:7" x14ac:dyDescent="0.35">
      <c r="A297" s="1" t="s">
        <v>2358</v>
      </c>
      <c r="B297" s="1" t="s">
        <v>2359</v>
      </c>
      <c r="C297" s="1" t="s">
        <v>6502</v>
      </c>
      <c r="D297" s="2" t="s">
        <v>7351</v>
      </c>
      <c r="E297" s="2" t="s">
        <v>7357</v>
      </c>
      <c r="F297" s="5" t="s">
        <v>7367</v>
      </c>
      <c r="G297" s="5" t="s">
        <v>7362</v>
      </c>
    </row>
    <row r="298" spans="1:7" x14ac:dyDescent="0.35">
      <c r="A298" s="1" t="s">
        <v>2358</v>
      </c>
      <c r="B298" s="1" t="s">
        <v>2359</v>
      </c>
      <c r="C298" s="1" t="s">
        <v>6502</v>
      </c>
      <c r="D298" s="2" t="s">
        <v>7351</v>
      </c>
      <c r="E298" s="2" t="s">
        <v>7358</v>
      </c>
      <c r="F298" s="5" t="s">
        <v>7368</v>
      </c>
      <c r="G298" s="5" t="s">
        <v>7363</v>
      </c>
    </row>
    <row r="299" spans="1:7" x14ac:dyDescent="0.35">
      <c r="A299" s="1" t="s">
        <v>2358</v>
      </c>
      <c r="B299" s="1" t="s">
        <v>2359</v>
      </c>
      <c r="C299" s="1" t="s">
        <v>6502</v>
      </c>
      <c r="D299" s="2" t="s">
        <v>7351</v>
      </c>
      <c r="E299" s="2" t="s">
        <v>7359</v>
      </c>
      <c r="F299" s="5" t="s">
        <v>7369</v>
      </c>
      <c r="G299" s="5" t="s">
        <v>7364</v>
      </c>
    </row>
    <row r="300" spans="1:7" x14ac:dyDescent="0.35">
      <c r="A300" s="1" t="s">
        <v>3267</v>
      </c>
      <c r="B300" s="1" t="s">
        <v>3268</v>
      </c>
      <c r="C300" s="1" t="s">
        <v>6572</v>
      </c>
      <c r="D300" s="2" t="s">
        <v>7370</v>
      </c>
      <c r="E300" s="2" t="s">
        <v>7371</v>
      </c>
      <c r="F300" s="5" t="s">
        <v>9035</v>
      </c>
      <c r="G300" s="5" t="s">
        <v>8186</v>
      </c>
    </row>
    <row r="301" spans="1:7" x14ac:dyDescent="0.35">
      <c r="A301" s="1" t="s">
        <v>3267</v>
      </c>
      <c r="B301" s="1" t="s">
        <v>3268</v>
      </c>
      <c r="C301" s="1" t="s">
        <v>6572</v>
      </c>
      <c r="D301" s="2" t="s">
        <v>7370</v>
      </c>
      <c r="E301" s="2" t="s">
        <v>7372</v>
      </c>
      <c r="F301" s="5" t="s">
        <v>9036</v>
      </c>
      <c r="G301" s="5" t="s">
        <v>9063</v>
      </c>
    </row>
    <row r="302" spans="1:7" x14ac:dyDescent="0.35">
      <c r="A302" s="1" t="s">
        <v>2573</v>
      </c>
      <c r="B302" s="1" t="s">
        <v>2574</v>
      </c>
      <c r="C302" s="1" t="s">
        <v>6530</v>
      </c>
      <c r="D302" s="2" t="s">
        <v>7373</v>
      </c>
      <c r="E302" s="2" t="s">
        <v>7374</v>
      </c>
      <c r="F302" s="5" t="s">
        <v>7376</v>
      </c>
      <c r="G302" s="5" t="s">
        <v>7377</v>
      </c>
    </row>
    <row r="303" spans="1:7" x14ac:dyDescent="0.35">
      <c r="A303" s="1" t="s">
        <v>2573</v>
      </c>
      <c r="B303" s="1" t="s">
        <v>2574</v>
      </c>
      <c r="C303" s="1" t="s">
        <v>6530</v>
      </c>
      <c r="D303" s="2" t="s">
        <v>7373</v>
      </c>
      <c r="E303" s="2" t="s">
        <v>7375</v>
      </c>
      <c r="F303" s="5" t="s">
        <v>9034</v>
      </c>
      <c r="G303" s="5" t="s">
        <v>9064</v>
      </c>
    </row>
    <row r="304" spans="1:7" x14ac:dyDescent="0.35">
      <c r="A304" s="1" t="s">
        <v>4037</v>
      </c>
      <c r="B304" s="1" t="s">
        <v>4038</v>
      </c>
      <c r="C304" s="1" t="s">
        <v>6628</v>
      </c>
      <c r="D304" s="2" t="s">
        <v>7378</v>
      </c>
      <c r="E304" s="2" t="s">
        <v>7379</v>
      </c>
      <c r="F304" s="1" t="s">
        <v>7381</v>
      </c>
      <c r="G304" s="1" t="s">
        <v>7383</v>
      </c>
    </row>
    <row r="305" spans="1:7" x14ac:dyDescent="0.35">
      <c r="A305" s="1" t="s">
        <v>4037</v>
      </c>
      <c r="B305" s="1" t="s">
        <v>4038</v>
      </c>
      <c r="C305" s="1" t="s">
        <v>6628</v>
      </c>
      <c r="D305" s="2" t="s">
        <v>7378</v>
      </c>
      <c r="E305" s="2" t="s">
        <v>7380</v>
      </c>
      <c r="F305" s="1" t="s">
        <v>7382</v>
      </c>
      <c r="G305" s="1" t="s">
        <v>7384</v>
      </c>
    </row>
    <row r="306" spans="1:7" x14ac:dyDescent="0.35">
      <c r="A306" s="1" t="s">
        <v>6139</v>
      </c>
      <c r="B306" s="1" t="s">
        <v>6140</v>
      </c>
      <c r="C306" s="1" t="s">
        <v>6734</v>
      </c>
      <c r="D306" s="2" t="s">
        <v>7385</v>
      </c>
      <c r="E306" s="2" t="s">
        <v>7386</v>
      </c>
      <c r="F306" s="1" t="s">
        <v>13099</v>
      </c>
      <c r="G306" s="1" t="s">
        <v>7387</v>
      </c>
    </row>
    <row r="307" spans="1:7" x14ac:dyDescent="0.35">
      <c r="A307" s="1" t="s">
        <v>2541</v>
      </c>
      <c r="B307" s="1" t="s">
        <v>2542</v>
      </c>
      <c r="C307" s="1" t="s">
        <v>6525</v>
      </c>
      <c r="D307" s="2"/>
      <c r="E307" s="2"/>
    </row>
    <row r="308" spans="1:7" x14ac:dyDescent="0.35">
      <c r="A308" s="1" t="s">
        <v>3080</v>
      </c>
      <c r="B308" s="1" t="s">
        <v>3081</v>
      </c>
      <c r="C308" s="1" t="s">
        <v>6557</v>
      </c>
      <c r="D308" s="2" t="s">
        <v>7388</v>
      </c>
      <c r="E308" s="2" t="s">
        <v>7389</v>
      </c>
      <c r="F308" s="1" t="s">
        <v>13100</v>
      </c>
      <c r="G308" s="1" t="s">
        <v>7404</v>
      </c>
    </row>
    <row r="309" spans="1:7" x14ac:dyDescent="0.35">
      <c r="A309" s="1" t="s">
        <v>3080</v>
      </c>
      <c r="B309" s="1" t="s">
        <v>3081</v>
      </c>
      <c r="C309" s="1" t="s">
        <v>6557</v>
      </c>
      <c r="D309" s="2" t="s">
        <v>7388</v>
      </c>
      <c r="E309" s="2" t="s">
        <v>7390</v>
      </c>
      <c r="F309" s="1" t="s">
        <v>7401</v>
      </c>
      <c r="G309" s="1" t="s">
        <v>7405</v>
      </c>
    </row>
    <row r="310" spans="1:7" x14ac:dyDescent="0.35">
      <c r="A310" s="1" t="s">
        <v>3080</v>
      </c>
      <c r="B310" s="1" t="s">
        <v>3081</v>
      </c>
      <c r="C310" s="1" t="s">
        <v>6557</v>
      </c>
      <c r="D310" s="2" t="s">
        <v>7388</v>
      </c>
      <c r="E310" s="2" t="s">
        <v>7391</v>
      </c>
      <c r="F310" s="1" t="s">
        <v>7392</v>
      </c>
      <c r="G310" s="1" t="s">
        <v>7406</v>
      </c>
    </row>
    <row r="311" spans="1:7" x14ac:dyDescent="0.35">
      <c r="A311" s="1" t="s">
        <v>3080</v>
      </c>
      <c r="B311" s="1" t="s">
        <v>3081</v>
      </c>
      <c r="C311" s="1" t="s">
        <v>6557</v>
      </c>
      <c r="D311" s="2" t="s">
        <v>7388</v>
      </c>
      <c r="E311" s="2" t="s">
        <v>7393</v>
      </c>
      <c r="F311" s="1" t="s">
        <v>7402</v>
      </c>
      <c r="G311" s="1" t="s">
        <v>7407</v>
      </c>
    </row>
    <row r="312" spans="1:7" x14ac:dyDescent="0.35">
      <c r="A312" s="1" t="s">
        <v>3080</v>
      </c>
      <c r="B312" s="1" t="s">
        <v>3081</v>
      </c>
      <c r="C312" s="1" t="s">
        <v>6557</v>
      </c>
      <c r="D312" s="2" t="s">
        <v>7388</v>
      </c>
      <c r="E312" s="2" t="s">
        <v>7394</v>
      </c>
      <c r="F312" s="1" t="s">
        <v>13101</v>
      </c>
      <c r="G312" s="1" t="s">
        <v>7408</v>
      </c>
    </row>
    <row r="313" spans="1:7" x14ac:dyDescent="0.35">
      <c r="A313" s="1" t="s">
        <v>3080</v>
      </c>
      <c r="B313" s="1" t="s">
        <v>3081</v>
      </c>
      <c r="C313" s="1" t="s">
        <v>6557</v>
      </c>
      <c r="D313" s="2" t="s">
        <v>7388</v>
      </c>
      <c r="E313" s="2" t="s">
        <v>7395</v>
      </c>
      <c r="F313" s="1" t="s">
        <v>13102</v>
      </c>
      <c r="G313" s="1" t="s">
        <v>7409</v>
      </c>
    </row>
    <row r="314" spans="1:7" x14ac:dyDescent="0.35">
      <c r="A314" s="1" t="s">
        <v>3080</v>
      </c>
      <c r="B314" s="1" t="s">
        <v>3081</v>
      </c>
      <c r="C314" s="1" t="s">
        <v>6557</v>
      </c>
      <c r="D314" s="2" t="s">
        <v>7388</v>
      </c>
      <c r="E314" s="2" t="s">
        <v>7396</v>
      </c>
      <c r="F314" s="1" t="s">
        <v>13103</v>
      </c>
      <c r="G314" s="1" t="s">
        <v>7410</v>
      </c>
    </row>
    <row r="315" spans="1:7" x14ac:dyDescent="0.35">
      <c r="A315" s="1" t="s">
        <v>3080</v>
      </c>
      <c r="B315" s="1" t="s">
        <v>3081</v>
      </c>
      <c r="C315" s="1" t="s">
        <v>6557</v>
      </c>
      <c r="D315" s="2" t="s">
        <v>7388</v>
      </c>
      <c r="E315" s="2" t="s">
        <v>7397</v>
      </c>
      <c r="F315" s="1" t="s">
        <v>13104</v>
      </c>
      <c r="G315" s="1" t="s">
        <v>7411</v>
      </c>
    </row>
    <row r="316" spans="1:7" x14ac:dyDescent="0.35">
      <c r="A316" s="1" t="s">
        <v>3080</v>
      </c>
      <c r="B316" s="1" t="s">
        <v>3081</v>
      </c>
      <c r="C316" s="1" t="s">
        <v>6557</v>
      </c>
      <c r="D316" s="2" t="s">
        <v>7388</v>
      </c>
      <c r="E316" s="2" t="s">
        <v>7398</v>
      </c>
      <c r="F316" s="1" t="s">
        <v>13105</v>
      </c>
      <c r="G316" s="1" t="s">
        <v>7412</v>
      </c>
    </row>
    <row r="317" spans="1:7" x14ac:dyDescent="0.35">
      <c r="A317" s="1" t="s">
        <v>3080</v>
      </c>
      <c r="B317" s="1" t="s">
        <v>3081</v>
      </c>
      <c r="C317" s="1" t="s">
        <v>6557</v>
      </c>
      <c r="D317" s="2" t="s">
        <v>7388</v>
      </c>
      <c r="E317" s="2" t="s">
        <v>7399</v>
      </c>
      <c r="F317" s="1" t="s">
        <v>7403</v>
      </c>
      <c r="G317" s="1" t="s">
        <v>7413</v>
      </c>
    </row>
    <row r="318" spans="1:7" x14ac:dyDescent="0.35">
      <c r="A318" s="1" t="s">
        <v>3080</v>
      </c>
      <c r="B318" s="1" t="s">
        <v>3081</v>
      </c>
      <c r="C318" s="1" t="s">
        <v>6557</v>
      </c>
      <c r="D318" s="2" t="s">
        <v>7388</v>
      </c>
      <c r="E318" s="2" t="s">
        <v>7400</v>
      </c>
      <c r="F318" s="1" t="s">
        <v>13106</v>
      </c>
      <c r="G318" s="1" t="s">
        <v>7414</v>
      </c>
    </row>
    <row r="319" spans="1:7" x14ac:dyDescent="0.35">
      <c r="A319" s="1" t="s">
        <v>3383</v>
      </c>
      <c r="B319" s="1" t="s">
        <v>3384</v>
      </c>
      <c r="C319" s="1" t="s">
        <v>6582</v>
      </c>
      <c r="D319" s="2" t="s">
        <v>7415</v>
      </c>
      <c r="E319" s="2" t="s">
        <v>7416</v>
      </c>
      <c r="F319" s="1" t="s">
        <v>7420</v>
      </c>
      <c r="G319" s="1" t="s">
        <v>7418</v>
      </c>
    </row>
    <row r="320" spans="1:7" x14ac:dyDescent="0.35">
      <c r="A320" s="1" t="s">
        <v>3383</v>
      </c>
      <c r="B320" s="1" t="s">
        <v>3384</v>
      </c>
      <c r="C320" s="1" t="s">
        <v>6582</v>
      </c>
      <c r="D320" s="2" t="s">
        <v>7415</v>
      </c>
      <c r="E320" s="2" t="s">
        <v>7417</v>
      </c>
      <c r="F320" s="1" t="s">
        <v>13107</v>
      </c>
      <c r="G320" s="1" t="s">
        <v>7419</v>
      </c>
    </row>
    <row r="321" spans="1:7" x14ac:dyDescent="0.35">
      <c r="A321" s="1" t="s">
        <v>154</v>
      </c>
      <c r="B321" s="1" t="s">
        <v>155</v>
      </c>
      <c r="C321" s="1" t="s">
        <v>6277</v>
      </c>
      <c r="D321" s="2" t="s">
        <v>7421</v>
      </c>
      <c r="E321" s="2" t="s">
        <v>7422</v>
      </c>
      <c r="F321" s="1" t="s">
        <v>13108</v>
      </c>
      <c r="G321" s="1" t="s">
        <v>7423</v>
      </c>
    </row>
    <row r="322" spans="1:7" x14ac:dyDescent="0.35">
      <c r="A322" s="1" t="s">
        <v>2529</v>
      </c>
      <c r="B322" s="1" t="s">
        <v>2530</v>
      </c>
      <c r="C322" s="1" t="s">
        <v>6522</v>
      </c>
      <c r="D322" s="2" t="s">
        <v>7424</v>
      </c>
      <c r="E322" s="2" t="s">
        <v>7425</v>
      </c>
      <c r="F322" s="1" t="s">
        <v>13109</v>
      </c>
      <c r="G322" s="1" t="s">
        <v>7426</v>
      </c>
    </row>
    <row r="323" spans="1:7" x14ac:dyDescent="0.35">
      <c r="A323" s="1" t="s">
        <v>4956</v>
      </c>
      <c r="B323" s="1" t="s">
        <v>4957</v>
      </c>
      <c r="C323" s="1" t="s">
        <v>6678</v>
      </c>
      <c r="D323" s="2" t="s">
        <v>7427</v>
      </c>
      <c r="E323" s="2" t="s">
        <v>7428</v>
      </c>
      <c r="F323" s="1" t="s">
        <v>13110</v>
      </c>
      <c r="G323" s="1" t="s">
        <v>7429</v>
      </c>
    </row>
    <row r="324" spans="1:7" x14ac:dyDescent="0.35">
      <c r="A324" s="1" t="s">
        <v>3730</v>
      </c>
      <c r="B324" s="1" t="s">
        <v>3731</v>
      </c>
      <c r="C324" s="1" t="s">
        <v>6601</v>
      </c>
      <c r="D324" s="2" t="s">
        <v>7430</v>
      </c>
      <c r="E324" s="2" t="s">
        <v>7431</v>
      </c>
      <c r="F324" s="1" t="s">
        <v>13111</v>
      </c>
      <c r="G324" s="1" t="s">
        <v>7437</v>
      </c>
    </row>
    <row r="325" spans="1:7" x14ac:dyDescent="0.35">
      <c r="A325" s="1" t="s">
        <v>3730</v>
      </c>
      <c r="B325" s="1" t="s">
        <v>3731</v>
      </c>
      <c r="C325" s="1" t="s">
        <v>6601</v>
      </c>
      <c r="D325" s="2" t="s">
        <v>7430</v>
      </c>
      <c r="E325" s="2" t="s">
        <v>7432</v>
      </c>
      <c r="F325" s="1" t="s">
        <v>7436</v>
      </c>
      <c r="G325" s="1" t="s">
        <v>7438</v>
      </c>
    </row>
    <row r="326" spans="1:7" x14ac:dyDescent="0.35">
      <c r="A326" s="1" t="s">
        <v>3730</v>
      </c>
      <c r="B326" s="1" t="s">
        <v>3731</v>
      </c>
      <c r="C326" s="1" t="s">
        <v>6601</v>
      </c>
      <c r="D326" s="2" t="s">
        <v>7430</v>
      </c>
      <c r="E326" s="2" t="s">
        <v>7433</v>
      </c>
      <c r="F326" s="1" t="s">
        <v>13112</v>
      </c>
      <c r="G326" s="1" t="s">
        <v>7439</v>
      </c>
    </row>
    <row r="327" spans="1:7" x14ac:dyDescent="0.35">
      <c r="A327" s="1" t="s">
        <v>3730</v>
      </c>
      <c r="B327" s="1" t="s">
        <v>3731</v>
      </c>
      <c r="C327" s="1" t="s">
        <v>6601</v>
      </c>
      <c r="D327" s="2" t="s">
        <v>7430</v>
      </c>
      <c r="E327" s="2" t="s">
        <v>7434</v>
      </c>
      <c r="F327" s="1" t="s">
        <v>13113</v>
      </c>
      <c r="G327" s="1" t="s">
        <v>7440</v>
      </c>
    </row>
    <row r="328" spans="1:7" x14ac:dyDescent="0.35">
      <c r="A328" s="1" t="s">
        <v>3730</v>
      </c>
      <c r="B328" s="1" t="s">
        <v>3731</v>
      </c>
      <c r="C328" s="1" t="s">
        <v>6601</v>
      </c>
      <c r="D328" s="2" t="s">
        <v>7430</v>
      </c>
      <c r="E328" s="2" t="s">
        <v>7435</v>
      </c>
      <c r="F328" s="1" t="s">
        <v>13114</v>
      </c>
      <c r="G328" s="1" t="s">
        <v>7441</v>
      </c>
    </row>
    <row r="329" spans="1:7" x14ac:dyDescent="0.35">
      <c r="A329" s="1" t="s">
        <v>4084</v>
      </c>
      <c r="B329" s="1" t="s">
        <v>4085</v>
      </c>
      <c r="C329" s="1" t="s">
        <v>6629</v>
      </c>
      <c r="D329" s="2" t="s">
        <v>7442</v>
      </c>
      <c r="E329" s="2" t="s">
        <v>7443</v>
      </c>
      <c r="F329" s="1" t="s">
        <v>13115</v>
      </c>
      <c r="G329" s="1" t="s">
        <v>7445</v>
      </c>
    </row>
    <row r="330" spans="1:7" x14ac:dyDescent="0.35">
      <c r="A330" s="1" t="s">
        <v>4084</v>
      </c>
      <c r="B330" s="1" t="s">
        <v>4085</v>
      </c>
      <c r="C330" s="1" t="s">
        <v>6629</v>
      </c>
      <c r="D330" s="2" t="s">
        <v>7442</v>
      </c>
      <c r="E330" s="2" t="s">
        <v>7444</v>
      </c>
      <c r="F330" s="1" t="s">
        <v>13116</v>
      </c>
      <c r="G330" s="1" t="s">
        <v>7446</v>
      </c>
    </row>
    <row r="331" spans="1:7" x14ac:dyDescent="0.35">
      <c r="A331" s="1" t="s">
        <v>5608</v>
      </c>
      <c r="B331" s="1" t="s">
        <v>5609</v>
      </c>
      <c r="C331" s="1" t="s">
        <v>6711</v>
      </c>
      <c r="D331" s="2" t="s">
        <v>7447</v>
      </c>
      <c r="E331" s="2" t="s">
        <v>7448</v>
      </c>
      <c r="F331" s="1" t="s">
        <v>7450</v>
      </c>
      <c r="G331" s="1" t="s">
        <v>7449</v>
      </c>
    </row>
    <row r="332" spans="1:7" x14ac:dyDescent="0.35">
      <c r="A332" s="1" t="s">
        <v>2612</v>
      </c>
      <c r="B332" s="1" t="s">
        <v>2613</v>
      </c>
      <c r="C332" s="1" t="s">
        <v>6534</v>
      </c>
      <c r="D332" s="2" t="s">
        <v>7451</v>
      </c>
      <c r="E332" s="2" t="s">
        <v>7452</v>
      </c>
      <c r="F332" s="1" t="s">
        <v>13117</v>
      </c>
      <c r="G332" s="1" t="s">
        <v>7454</v>
      </c>
    </row>
    <row r="333" spans="1:7" x14ac:dyDescent="0.35">
      <c r="A333" s="1" t="s">
        <v>2612</v>
      </c>
      <c r="B333" s="1" t="s">
        <v>2613</v>
      </c>
      <c r="C333" s="1" t="s">
        <v>6534</v>
      </c>
      <c r="D333" s="2" t="s">
        <v>7451</v>
      </c>
      <c r="E333" s="2" t="s">
        <v>7453</v>
      </c>
      <c r="F333" s="1" t="s">
        <v>13118</v>
      </c>
      <c r="G333" s="1" t="s">
        <v>7455</v>
      </c>
    </row>
    <row r="334" spans="1:7" x14ac:dyDescent="0.35">
      <c r="A334" s="1" t="s">
        <v>64</v>
      </c>
      <c r="B334" s="1" t="s">
        <v>65</v>
      </c>
      <c r="C334" s="1" t="s">
        <v>6271</v>
      </c>
      <c r="D334" s="2" t="s">
        <v>7456</v>
      </c>
      <c r="E334" s="2" t="s">
        <v>7457</v>
      </c>
      <c r="F334" s="1" t="s">
        <v>13119</v>
      </c>
      <c r="G334" s="1" t="s">
        <v>7461</v>
      </c>
    </row>
    <row r="335" spans="1:7" x14ac:dyDescent="0.35">
      <c r="A335" s="1" t="s">
        <v>64</v>
      </c>
      <c r="B335" s="1" t="s">
        <v>65</v>
      </c>
      <c r="C335" s="1" t="s">
        <v>6271</v>
      </c>
      <c r="D335" s="2" t="s">
        <v>7456</v>
      </c>
      <c r="E335" s="2" t="s">
        <v>7444</v>
      </c>
      <c r="F335" s="1" t="s">
        <v>7465</v>
      </c>
      <c r="G335" s="1" t="s">
        <v>7446</v>
      </c>
    </row>
    <row r="336" spans="1:7" x14ac:dyDescent="0.35">
      <c r="A336" s="1" t="s">
        <v>64</v>
      </c>
      <c r="B336" s="1" t="s">
        <v>65</v>
      </c>
      <c r="C336" s="1" t="s">
        <v>6271</v>
      </c>
      <c r="D336" s="2" t="s">
        <v>7456</v>
      </c>
      <c r="E336" s="2" t="s">
        <v>7443</v>
      </c>
      <c r="F336" s="1" t="s">
        <v>7466</v>
      </c>
      <c r="G336" s="1" t="s">
        <v>7445</v>
      </c>
    </row>
    <row r="337" spans="1:7" x14ac:dyDescent="0.35">
      <c r="A337" s="1" t="s">
        <v>64</v>
      </c>
      <c r="B337" s="1" t="s">
        <v>65</v>
      </c>
      <c r="C337" s="1" t="s">
        <v>6271</v>
      </c>
      <c r="D337" s="2" t="s">
        <v>7456</v>
      </c>
      <c r="E337" s="2" t="s">
        <v>7458</v>
      </c>
      <c r="F337" s="1" t="s">
        <v>7467</v>
      </c>
      <c r="G337" s="1" t="s">
        <v>7462</v>
      </c>
    </row>
    <row r="338" spans="1:7" x14ac:dyDescent="0.35">
      <c r="A338" s="1" t="s">
        <v>64</v>
      </c>
      <c r="B338" s="1" t="s">
        <v>65</v>
      </c>
      <c r="C338" s="1" t="s">
        <v>6271</v>
      </c>
      <c r="D338" s="2" t="s">
        <v>7456</v>
      </c>
      <c r="E338" s="2" t="s">
        <v>7459</v>
      </c>
      <c r="F338" s="1" t="s">
        <v>7468</v>
      </c>
      <c r="G338" s="1" t="s">
        <v>7463</v>
      </c>
    </row>
    <row r="339" spans="1:7" x14ac:dyDescent="0.35">
      <c r="A339" s="1" t="s">
        <v>64</v>
      </c>
      <c r="B339" s="1" t="s">
        <v>65</v>
      </c>
      <c r="C339" s="1" t="s">
        <v>6271</v>
      </c>
      <c r="D339" s="2" t="s">
        <v>7456</v>
      </c>
      <c r="E339" s="2" t="s">
        <v>7460</v>
      </c>
      <c r="F339" s="1" t="s">
        <v>7469</v>
      </c>
      <c r="G339" s="1" t="s">
        <v>7464</v>
      </c>
    </row>
    <row r="340" spans="1:7" x14ac:dyDescent="0.35">
      <c r="A340" s="1" t="s">
        <v>6377</v>
      </c>
      <c r="B340" s="1" t="s">
        <v>1034</v>
      </c>
      <c r="C340" s="1" t="s">
        <v>6399</v>
      </c>
      <c r="D340" s="2" t="s">
        <v>7470</v>
      </c>
      <c r="E340" s="2" t="s">
        <v>7471</v>
      </c>
      <c r="F340" s="1" t="s">
        <v>7472</v>
      </c>
      <c r="G340" s="1" t="s">
        <v>7473</v>
      </c>
    </row>
    <row r="341" spans="1:7" x14ac:dyDescent="0.35">
      <c r="A341" s="1" t="s">
        <v>2185</v>
      </c>
      <c r="B341" s="1" t="s">
        <v>2186</v>
      </c>
      <c r="C341" s="1" t="s">
        <v>6491</v>
      </c>
      <c r="D341" s="2"/>
      <c r="E341" s="2"/>
    </row>
    <row r="342" spans="1:7" x14ac:dyDescent="0.35">
      <c r="A342" s="1" t="s">
        <v>2638</v>
      </c>
      <c r="B342" s="1" t="s">
        <v>2639</v>
      </c>
      <c r="C342" s="1" t="s">
        <v>6537</v>
      </c>
      <c r="D342" s="2" t="s">
        <v>7474</v>
      </c>
      <c r="E342" s="2" t="s">
        <v>7475</v>
      </c>
      <c r="F342" s="1" t="s">
        <v>7496</v>
      </c>
      <c r="G342" s="1" t="s">
        <v>7488</v>
      </c>
    </row>
    <row r="343" spans="1:7" x14ac:dyDescent="0.35">
      <c r="A343" s="1" t="s">
        <v>4782</v>
      </c>
      <c r="B343" s="1" t="s">
        <v>4783</v>
      </c>
      <c r="C343" s="1" t="s">
        <v>6667</v>
      </c>
      <c r="D343" s="2" t="s">
        <v>7476</v>
      </c>
      <c r="E343" s="2" t="s">
        <v>7477</v>
      </c>
      <c r="F343" s="1" t="s">
        <v>7497</v>
      </c>
      <c r="G343" s="1" t="s">
        <v>7489</v>
      </c>
    </row>
    <row r="344" spans="1:7" x14ac:dyDescent="0.35">
      <c r="A344" s="1" t="s">
        <v>4782</v>
      </c>
      <c r="B344" s="1" t="s">
        <v>4783</v>
      </c>
      <c r="C344" s="1" t="s">
        <v>6667</v>
      </c>
      <c r="D344" s="2" t="s">
        <v>7476</v>
      </c>
      <c r="E344" s="2" t="s">
        <v>7478</v>
      </c>
      <c r="F344" s="1" t="s">
        <v>7498</v>
      </c>
      <c r="G344" s="1" t="s">
        <v>7490</v>
      </c>
    </row>
    <row r="345" spans="1:7" x14ac:dyDescent="0.35">
      <c r="A345" s="1" t="s">
        <v>2000</v>
      </c>
      <c r="B345" s="1" t="s">
        <v>2001</v>
      </c>
      <c r="C345" s="1" t="s">
        <v>6484</v>
      </c>
      <c r="D345" s="2" t="s">
        <v>7479</v>
      </c>
      <c r="E345" s="2" t="s">
        <v>7480</v>
      </c>
      <c r="F345" s="1" t="s">
        <v>7499</v>
      </c>
      <c r="G345" s="1" t="s">
        <v>7491</v>
      </c>
    </row>
    <row r="346" spans="1:7" x14ac:dyDescent="0.35">
      <c r="A346" s="1" t="s">
        <v>618</v>
      </c>
      <c r="B346" s="1" t="s">
        <v>619</v>
      </c>
      <c r="C346" s="1" t="s">
        <v>6314</v>
      </c>
      <c r="D346" s="2" t="s">
        <v>7481</v>
      </c>
      <c r="E346" s="2" t="s">
        <v>7482</v>
      </c>
      <c r="F346" s="1" t="s">
        <v>9037</v>
      </c>
      <c r="G346" s="1" t="s">
        <v>9065</v>
      </c>
    </row>
    <row r="347" spans="1:7" x14ac:dyDescent="0.35">
      <c r="A347" s="1" t="s">
        <v>6387</v>
      </c>
      <c r="B347" s="1" t="s">
        <v>1058</v>
      </c>
      <c r="C347" s="1" t="s">
        <v>6401</v>
      </c>
      <c r="D347" s="2" t="s">
        <v>7483</v>
      </c>
      <c r="E347" s="2" t="s">
        <v>7484</v>
      </c>
      <c r="F347" s="1" t="s">
        <v>7500</v>
      </c>
      <c r="G347" s="1" t="s">
        <v>7492</v>
      </c>
    </row>
    <row r="348" spans="1:7" x14ac:dyDescent="0.35">
      <c r="A348" s="1" t="s">
        <v>6387</v>
      </c>
      <c r="B348" s="1" t="s">
        <v>1058</v>
      </c>
      <c r="C348" s="1" t="s">
        <v>6401</v>
      </c>
      <c r="D348" s="2" t="s">
        <v>7483</v>
      </c>
      <c r="E348" s="2" t="s">
        <v>7485</v>
      </c>
      <c r="F348" s="1" t="s">
        <v>7501</v>
      </c>
      <c r="G348" s="1" t="s">
        <v>7493</v>
      </c>
    </row>
    <row r="349" spans="1:7" x14ac:dyDescent="0.35">
      <c r="A349" s="1" t="s">
        <v>6387</v>
      </c>
      <c r="B349" s="1" t="s">
        <v>1058</v>
      </c>
      <c r="C349" s="1" t="s">
        <v>6401</v>
      </c>
      <c r="D349" s="2" t="s">
        <v>7483</v>
      </c>
      <c r="E349" s="2" t="s">
        <v>7486</v>
      </c>
      <c r="F349" s="1" t="s">
        <v>7502</v>
      </c>
      <c r="G349" s="1" t="s">
        <v>7494</v>
      </c>
    </row>
    <row r="350" spans="1:7" x14ac:dyDescent="0.35">
      <c r="A350" s="1" t="s">
        <v>6387</v>
      </c>
      <c r="B350" s="1" t="s">
        <v>1058</v>
      </c>
      <c r="C350" s="1" t="s">
        <v>6401</v>
      </c>
      <c r="D350" s="2" t="s">
        <v>7483</v>
      </c>
      <c r="E350" s="2" t="s">
        <v>7487</v>
      </c>
      <c r="F350" s="1" t="s">
        <v>7503</v>
      </c>
      <c r="G350" s="1" t="s">
        <v>7495</v>
      </c>
    </row>
    <row r="351" spans="1:7" x14ac:dyDescent="0.35">
      <c r="A351" s="1" t="s">
        <v>6373</v>
      </c>
      <c r="B351" s="1" t="s">
        <v>1022</v>
      </c>
      <c r="C351" s="1" t="s">
        <v>6396</v>
      </c>
      <c r="D351" s="2" t="s">
        <v>7504</v>
      </c>
      <c r="E351" s="2" t="s">
        <v>7510</v>
      </c>
      <c r="F351" s="1" t="s">
        <v>7518</v>
      </c>
      <c r="G351" s="1" t="s">
        <v>7526</v>
      </c>
    </row>
    <row r="352" spans="1:7" x14ac:dyDescent="0.35">
      <c r="A352" s="1" t="s">
        <v>6373</v>
      </c>
      <c r="B352" s="1" t="s">
        <v>1022</v>
      </c>
      <c r="C352" s="1" t="s">
        <v>6396</v>
      </c>
      <c r="D352" s="2" t="s">
        <v>7504</v>
      </c>
      <c r="E352" s="2" t="s">
        <v>7511</v>
      </c>
      <c r="F352" s="1" t="s">
        <v>7519</v>
      </c>
      <c r="G352" s="1" t="s">
        <v>7527</v>
      </c>
    </row>
    <row r="353" spans="1:7" x14ac:dyDescent="0.35">
      <c r="A353" s="1" t="s">
        <v>6373</v>
      </c>
      <c r="B353" s="1" t="s">
        <v>1022</v>
      </c>
      <c r="C353" s="1" t="s">
        <v>6396</v>
      </c>
      <c r="D353" s="2" t="s">
        <v>7504</v>
      </c>
      <c r="E353" s="2" t="s">
        <v>7512</v>
      </c>
      <c r="F353" s="1" t="s">
        <v>7520</v>
      </c>
      <c r="G353" s="1" t="s">
        <v>7520</v>
      </c>
    </row>
    <row r="354" spans="1:7" x14ac:dyDescent="0.35">
      <c r="A354" s="1" t="s">
        <v>6373</v>
      </c>
      <c r="B354" s="1" t="s">
        <v>1022</v>
      </c>
      <c r="C354" s="1" t="s">
        <v>6396</v>
      </c>
      <c r="D354" s="2" t="s">
        <v>7504</v>
      </c>
      <c r="E354" s="2" t="s">
        <v>7513</v>
      </c>
      <c r="F354" s="1" t="s">
        <v>7521</v>
      </c>
      <c r="G354" s="1" t="s">
        <v>7518</v>
      </c>
    </row>
    <row r="355" spans="1:7" x14ac:dyDescent="0.35">
      <c r="A355" s="1" t="s">
        <v>6373</v>
      </c>
      <c r="B355" s="1" t="s">
        <v>1022</v>
      </c>
      <c r="C355" s="1" t="s">
        <v>6396</v>
      </c>
      <c r="D355" s="2" t="s">
        <v>7504</v>
      </c>
      <c r="E355" s="2" t="s">
        <v>7514</v>
      </c>
      <c r="F355" s="1" t="s">
        <v>7522</v>
      </c>
      <c r="G355" s="1" t="s">
        <v>7528</v>
      </c>
    </row>
    <row r="356" spans="1:7" x14ac:dyDescent="0.35">
      <c r="A356" s="1" t="s">
        <v>6373</v>
      </c>
      <c r="B356" s="1" t="s">
        <v>1022</v>
      </c>
      <c r="C356" s="1" t="s">
        <v>6396</v>
      </c>
      <c r="D356" s="2" t="s">
        <v>7504</v>
      </c>
      <c r="E356" s="2" t="s">
        <v>7515</v>
      </c>
      <c r="F356" s="1" t="s">
        <v>7523</v>
      </c>
      <c r="G356" s="1" t="s">
        <v>7529</v>
      </c>
    </row>
    <row r="357" spans="1:7" x14ac:dyDescent="0.35">
      <c r="A357" s="1" t="s">
        <v>6373</v>
      </c>
      <c r="B357" s="1" t="s">
        <v>1022</v>
      </c>
      <c r="C357" s="1" t="s">
        <v>6396</v>
      </c>
      <c r="D357" s="2" t="s">
        <v>7504</v>
      </c>
      <c r="E357" s="2" t="s">
        <v>7516</v>
      </c>
      <c r="F357" s="1" t="s">
        <v>7524</v>
      </c>
      <c r="G357" s="1" t="s">
        <v>7530</v>
      </c>
    </row>
    <row r="358" spans="1:7" x14ac:dyDescent="0.35">
      <c r="A358" s="1" t="s">
        <v>6373</v>
      </c>
      <c r="B358" s="1" t="s">
        <v>1022</v>
      </c>
      <c r="C358" s="1" t="s">
        <v>6396</v>
      </c>
      <c r="D358" s="2" t="s">
        <v>7504</v>
      </c>
      <c r="E358" s="2" t="s">
        <v>7517</v>
      </c>
      <c r="F358" s="1" t="s">
        <v>7525</v>
      </c>
      <c r="G358" s="1" t="s">
        <v>7531</v>
      </c>
    </row>
    <row r="359" spans="1:7" x14ac:dyDescent="0.35">
      <c r="A359" s="1" t="s">
        <v>3347</v>
      </c>
      <c r="B359" s="1" t="s">
        <v>3348</v>
      </c>
      <c r="C359" s="1" t="s">
        <v>6580</v>
      </c>
      <c r="D359" s="2" t="s">
        <v>7505</v>
      </c>
      <c r="E359" s="2" t="s">
        <v>7532</v>
      </c>
      <c r="F359" s="1" t="s">
        <v>7536</v>
      </c>
      <c r="G359" s="1" t="s">
        <v>7534</v>
      </c>
    </row>
    <row r="360" spans="1:7" x14ac:dyDescent="0.35">
      <c r="A360" s="1" t="s">
        <v>3347</v>
      </c>
      <c r="B360" s="1" t="s">
        <v>3348</v>
      </c>
      <c r="C360" s="1" t="s">
        <v>6580</v>
      </c>
      <c r="D360" s="2" t="s">
        <v>7505</v>
      </c>
      <c r="E360" s="2" t="s">
        <v>7533</v>
      </c>
      <c r="F360" s="1" t="s">
        <v>7537</v>
      </c>
      <c r="G360" s="1" t="s">
        <v>7535</v>
      </c>
    </row>
    <row r="361" spans="1:7" x14ac:dyDescent="0.35">
      <c r="A361" s="1" t="s">
        <v>3347</v>
      </c>
      <c r="B361" s="1" t="s">
        <v>3348</v>
      </c>
      <c r="C361" s="1" t="s">
        <v>6580</v>
      </c>
      <c r="D361" s="2" t="s">
        <v>7505</v>
      </c>
      <c r="E361" s="2" t="s">
        <v>7486</v>
      </c>
      <c r="F361" s="1" t="s">
        <v>7502</v>
      </c>
      <c r="G361" s="1" t="s">
        <v>7494</v>
      </c>
    </row>
    <row r="362" spans="1:7" x14ac:dyDescent="0.35">
      <c r="A362" s="1" t="s">
        <v>5385</v>
      </c>
      <c r="B362" s="1" t="s">
        <v>5386</v>
      </c>
      <c r="C362" s="1" t="s">
        <v>6701</v>
      </c>
      <c r="D362" s="2" t="s">
        <v>7506</v>
      </c>
      <c r="E362" s="2" t="s">
        <v>7538</v>
      </c>
      <c r="F362" s="1" t="s">
        <v>7540</v>
      </c>
      <c r="G362" s="1" t="s">
        <v>7539</v>
      </c>
    </row>
    <row r="363" spans="1:7" x14ac:dyDescent="0.35">
      <c r="A363" s="1" t="s">
        <v>2905</v>
      </c>
      <c r="B363" s="1" t="s">
        <v>2906</v>
      </c>
      <c r="C363" s="1" t="s">
        <v>6547</v>
      </c>
      <c r="D363" s="2" t="s">
        <v>7507</v>
      </c>
      <c r="E363" s="2" t="s">
        <v>7541</v>
      </c>
      <c r="F363" s="1" t="s">
        <v>13120</v>
      </c>
      <c r="G363" s="1" t="s">
        <v>7542</v>
      </c>
    </row>
    <row r="364" spans="1:7" x14ac:dyDescent="0.35">
      <c r="A364" s="1" t="s">
        <v>2905</v>
      </c>
      <c r="B364" s="1" t="s">
        <v>2906</v>
      </c>
      <c r="C364" s="1" t="s">
        <v>6547</v>
      </c>
      <c r="D364" s="2" t="s">
        <v>7507</v>
      </c>
      <c r="E364" s="2" t="s">
        <v>7543</v>
      </c>
      <c r="F364" s="1" t="s">
        <v>7545</v>
      </c>
      <c r="G364" s="1" t="s">
        <v>7544</v>
      </c>
    </row>
    <row r="365" spans="1:7" x14ac:dyDescent="0.35">
      <c r="A365" s="1" t="s">
        <v>2936</v>
      </c>
      <c r="B365" s="1" t="s">
        <v>2937</v>
      </c>
      <c r="C365" s="1" t="s">
        <v>6671</v>
      </c>
      <c r="D365" s="2" t="s">
        <v>7508</v>
      </c>
      <c r="E365" s="2" t="s">
        <v>7546</v>
      </c>
      <c r="F365" s="1" t="s">
        <v>7548</v>
      </c>
      <c r="G365" s="1" t="s">
        <v>7547</v>
      </c>
    </row>
    <row r="366" spans="1:7" x14ac:dyDescent="0.35">
      <c r="A366" s="1" t="s">
        <v>2589</v>
      </c>
      <c r="B366" s="1" t="s">
        <v>2590</v>
      </c>
      <c r="C366" s="1" t="s">
        <v>6531</v>
      </c>
      <c r="D366" s="2" t="s">
        <v>7509</v>
      </c>
      <c r="E366" s="2" t="s">
        <v>7549</v>
      </c>
      <c r="F366" s="1" t="s">
        <v>7551</v>
      </c>
      <c r="G366" s="1" t="s">
        <v>7550</v>
      </c>
    </row>
    <row r="367" spans="1:7" x14ac:dyDescent="0.35">
      <c r="A367" s="1" t="s">
        <v>4318</v>
      </c>
      <c r="B367" s="1" t="s">
        <v>4319</v>
      </c>
      <c r="C367" s="1" t="s">
        <v>6640</v>
      </c>
      <c r="D367" s="2"/>
      <c r="E367" s="2"/>
    </row>
    <row r="368" spans="1:7" x14ac:dyDescent="0.35">
      <c r="A368" s="1" t="s">
        <v>6374</v>
      </c>
      <c r="B368" s="1" t="s">
        <v>1025</v>
      </c>
      <c r="C368" s="1" t="s">
        <v>6397</v>
      </c>
      <c r="D368" s="2"/>
      <c r="E368" s="2"/>
    </row>
    <row r="369" spans="1:7" x14ac:dyDescent="0.35">
      <c r="A369" s="1" t="s">
        <v>1346</v>
      </c>
      <c r="B369" s="1" t="s">
        <v>1347</v>
      </c>
      <c r="C369" s="1" t="s">
        <v>6397</v>
      </c>
      <c r="D369" s="2"/>
      <c r="E369" s="2"/>
    </row>
    <row r="370" spans="1:7" x14ac:dyDescent="0.35">
      <c r="A370" s="1" t="s">
        <v>5116</v>
      </c>
      <c r="B370" s="1" t="s">
        <v>5117</v>
      </c>
      <c r="C370" s="1" t="s">
        <v>6397</v>
      </c>
      <c r="D370" s="2"/>
      <c r="E370" s="2"/>
    </row>
    <row r="371" spans="1:7" x14ac:dyDescent="0.35">
      <c r="A371" s="1" t="s">
        <v>3698</v>
      </c>
      <c r="B371" s="1" t="s">
        <v>3699</v>
      </c>
      <c r="C371" s="1" t="s">
        <v>6598</v>
      </c>
      <c r="D371" s="2" t="s">
        <v>7552</v>
      </c>
      <c r="E371" s="2" t="s">
        <v>7553</v>
      </c>
      <c r="F371" s="1" t="s">
        <v>7569</v>
      </c>
      <c r="G371" s="1" t="s">
        <v>7561</v>
      </c>
    </row>
    <row r="372" spans="1:7" x14ac:dyDescent="0.35">
      <c r="A372" s="1" t="s">
        <v>3698</v>
      </c>
      <c r="B372" s="1" t="s">
        <v>3699</v>
      </c>
      <c r="C372" s="1" t="s">
        <v>6598</v>
      </c>
      <c r="D372" s="2" t="s">
        <v>7552</v>
      </c>
      <c r="E372" s="2" t="s">
        <v>7554</v>
      </c>
      <c r="F372" s="1" t="s">
        <v>7570</v>
      </c>
      <c r="G372" s="1" t="s">
        <v>7562</v>
      </c>
    </row>
    <row r="373" spans="1:7" x14ac:dyDescent="0.35">
      <c r="A373" s="1" t="s">
        <v>3698</v>
      </c>
      <c r="B373" s="1" t="s">
        <v>3699</v>
      </c>
      <c r="C373" s="1" t="s">
        <v>6598</v>
      </c>
      <c r="D373" s="2" t="s">
        <v>7552</v>
      </c>
      <c r="E373" s="2" t="s">
        <v>7555</v>
      </c>
      <c r="F373" s="1" t="s">
        <v>7571</v>
      </c>
      <c r="G373" s="1" t="s">
        <v>7563</v>
      </c>
    </row>
    <row r="374" spans="1:7" x14ac:dyDescent="0.35">
      <c r="A374" s="1" t="s">
        <v>3698</v>
      </c>
      <c r="B374" s="1" t="s">
        <v>3699</v>
      </c>
      <c r="C374" s="1" t="s">
        <v>6598</v>
      </c>
      <c r="D374" s="2" t="s">
        <v>7552</v>
      </c>
      <c r="E374" s="2" t="s">
        <v>7556</v>
      </c>
      <c r="F374" s="1" t="s">
        <v>7572</v>
      </c>
      <c r="G374" s="1" t="s">
        <v>7564</v>
      </c>
    </row>
    <row r="375" spans="1:7" x14ac:dyDescent="0.35">
      <c r="A375" s="1" t="s">
        <v>3698</v>
      </c>
      <c r="B375" s="1" t="s">
        <v>3699</v>
      </c>
      <c r="C375" s="1" t="s">
        <v>6598</v>
      </c>
      <c r="D375" s="2" t="s">
        <v>7552</v>
      </c>
      <c r="E375" s="2" t="s">
        <v>7557</v>
      </c>
      <c r="F375" s="1" t="s">
        <v>7572</v>
      </c>
      <c r="G375" s="1" t="s">
        <v>7565</v>
      </c>
    </row>
    <row r="376" spans="1:7" x14ac:dyDescent="0.35">
      <c r="A376" s="1" t="s">
        <v>3698</v>
      </c>
      <c r="B376" s="1" t="s">
        <v>3699</v>
      </c>
      <c r="C376" s="1" t="s">
        <v>6598</v>
      </c>
      <c r="D376" s="2" t="s">
        <v>7552</v>
      </c>
      <c r="E376" s="2" t="s">
        <v>7558</v>
      </c>
      <c r="F376" s="1" t="s">
        <v>7573</v>
      </c>
      <c r="G376" s="1" t="s">
        <v>7566</v>
      </c>
    </row>
    <row r="377" spans="1:7" x14ac:dyDescent="0.35">
      <c r="A377" s="1" t="s">
        <v>3698</v>
      </c>
      <c r="B377" s="1" t="s">
        <v>3699</v>
      </c>
      <c r="C377" s="1" t="s">
        <v>6598</v>
      </c>
      <c r="D377" s="2" t="s">
        <v>7552</v>
      </c>
      <c r="E377" s="2" t="s">
        <v>7559</v>
      </c>
      <c r="F377" s="1" t="s">
        <v>7574</v>
      </c>
      <c r="G377" s="1" t="s">
        <v>7567</v>
      </c>
    </row>
    <row r="378" spans="1:7" x14ac:dyDescent="0.35">
      <c r="A378" s="1" t="s">
        <v>3698</v>
      </c>
      <c r="B378" s="1" t="s">
        <v>3699</v>
      </c>
      <c r="C378" s="1" t="s">
        <v>6598</v>
      </c>
      <c r="D378" s="2" t="s">
        <v>7552</v>
      </c>
      <c r="E378" s="2" t="s">
        <v>7560</v>
      </c>
      <c r="F378" s="1" t="s">
        <v>7575</v>
      </c>
      <c r="G378" s="1" t="s">
        <v>7568</v>
      </c>
    </row>
    <row r="379" spans="1:7" x14ac:dyDescent="0.35">
      <c r="A379" s="1" t="s">
        <v>1362</v>
      </c>
      <c r="B379" s="1" t="s">
        <v>1363</v>
      </c>
      <c r="C379" s="1" t="s">
        <v>6431</v>
      </c>
      <c r="D379" s="2" t="s">
        <v>7576</v>
      </c>
      <c r="E379" s="2" t="s">
        <v>7577</v>
      </c>
      <c r="F379" s="1" t="s">
        <v>7579</v>
      </c>
      <c r="G379" s="1" t="s">
        <v>7578</v>
      </c>
    </row>
    <row r="380" spans="1:7" x14ac:dyDescent="0.35">
      <c r="A380" s="1" t="s">
        <v>3633</v>
      </c>
      <c r="B380" s="1" t="s">
        <v>3634</v>
      </c>
      <c r="C380" s="1" t="s">
        <v>6741</v>
      </c>
      <c r="D380" s="2" t="s">
        <v>7580</v>
      </c>
      <c r="E380" s="2" t="s">
        <v>7581</v>
      </c>
      <c r="F380" s="1" t="s">
        <v>7583</v>
      </c>
      <c r="G380" s="1" t="s">
        <v>7582</v>
      </c>
    </row>
    <row r="381" spans="1:7" x14ac:dyDescent="0.35">
      <c r="A381" s="1" t="s">
        <v>1823</v>
      </c>
      <c r="B381" s="1" t="s">
        <v>1824</v>
      </c>
      <c r="C381" s="1" t="s">
        <v>6467</v>
      </c>
      <c r="D381" s="2" t="s">
        <v>7584</v>
      </c>
      <c r="E381" s="2" t="s">
        <v>7585</v>
      </c>
      <c r="F381" s="1" t="s">
        <v>7592</v>
      </c>
      <c r="G381" s="1" t="s">
        <v>7589</v>
      </c>
    </row>
    <row r="382" spans="1:7" x14ac:dyDescent="0.35">
      <c r="A382" s="1" t="s">
        <v>1823</v>
      </c>
      <c r="B382" s="1" t="s">
        <v>1824</v>
      </c>
      <c r="C382" s="1" t="s">
        <v>6467</v>
      </c>
      <c r="D382" s="2" t="s">
        <v>7584</v>
      </c>
      <c r="E382" s="2" t="s">
        <v>7586</v>
      </c>
      <c r="F382" s="1" t="s">
        <v>7593</v>
      </c>
      <c r="G382" s="1" t="s">
        <v>7590</v>
      </c>
    </row>
    <row r="383" spans="1:7" x14ac:dyDescent="0.35">
      <c r="A383" s="1" t="s">
        <v>1823</v>
      </c>
      <c r="B383" s="1" t="s">
        <v>1824</v>
      </c>
      <c r="C383" s="1" t="s">
        <v>6467</v>
      </c>
      <c r="D383" s="2" t="s">
        <v>7584</v>
      </c>
      <c r="E383" s="2" t="s">
        <v>7587</v>
      </c>
      <c r="F383" s="1" t="s">
        <v>7594</v>
      </c>
      <c r="G383" s="1" t="s">
        <v>7591</v>
      </c>
    </row>
    <row r="384" spans="1:7" x14ac:dyDescent="0.35">
      <c r="A384" s="1" t="s">
        <v>1823</v>
      </c>
      <c r="B384" s="1" t="s">
        <v>1824</v>
      </c>
      <c r="C384" s="1" t="s">
        <v>6467</v>
      </c>
      <c r="D384" s="2" t="s">
        <v>7584</v>
      </c>
      <c r="E384" s="2" t="s">
        <v>7588</v>
      </c>
      <c r="F384" s="1" t="s">
        <v>7595</v>
      </c>
      <c r="G384" s="1" t="s">
        <v>10174</v>
      </c>
    </row>
    <row r="385" spans="1:7" x14ac:dyDescent="0.35">
      <c r="A385" s="1" t="s">
        <v>4737</v>
      </c>
      <c r="B385" s="1" t="s">
        <v>4738</v>
      </c>
      <c r="C385" s="1" t="s">
        <v>6661</v>
      </c>
      <c r="D385" s="2" t="s">
        <v>7596</v>
      </c>
      <c r="E385" s="2" t="s">
        <v>7597</v>
      </c>
      <c r="F385" s="1" t="s">
        <v>7599</v>
      </c>
      <c r="G385" s="1" t="s">
        <v>7601</v>
      </c>
    </row>
    <row r="386" spans="1:7" x14ac:dyDescent="0.35">
      <c r="A386" s="1" t="s">
        <v>4737</v>
      </c>
      <c r="B386" s="1" t="s">
        <v>4738</v>
      </c>
      <c r="C386" s="1" t="s">
        <v>6661</v>
      </c>
      <c r="D386" s="2" t="s">
        <v>7596</v>
      </c>
      <c r="E386" s="2" t="s">
        <v>7598</v>
      </c>
      <c r="F386" s="1" t="s">
        <v>7600</v>
      </c>
      <c r="G386" s="1" t="s">
        <v>7602</v>
      </c>
    </row>
    <row r="387" spans="1:7" x14ac:dyDescent="0.35">
      <c r="A387" s="1" t="s">
        <v>130</v>
      </c>
      <c r="B387" s="1" t="s">
        <v>131</v>
      </c>
      <c r="C387" s="1" t="s">
        <v>6274</v>
      </c>
      <c r="D387" s="2" t="s">
        <v>7603</v>
      </c>
      <c r="E387" s="2" t="s">
        <v>7604</v>
      </c>
      <c r="F387" s="1" t="s">
        <v>7615</v>
      </c>
      <c r="G387" s="1" t="s">
        <v>7611</v>
      </c>
    </row>
    <row r="388" spans="1:7" x14ac:dyDescent="0.35">
      <c r="A388" s="1" t="s">
        <v>130</v>
      </c>
      <c r="B388" s="1" t="s">
        <v>131</v>
      </c>
      <c r="C388" s="1" t="s">
        <v>6274</v>
      </c>
      <c r="D388" s="2" t="s">
        <v>7603</v>
      </c>
      <c r="E388" s="2" t="s">
        <v>7554</v>
      </c>
      <c r="F388" s="1" t="s">
        <v>7570</v>
      </c>
      <c r="G388" s="1" t="s">
        <v>7562</v>
      </c>
    </row>
    <row r="389" spans="1:7" x14ac:dyDescent="0.35">
      <c r="A389" s="1" t="s">
        <v>130</v>
      </c>
      <c r="B389" s="1" t="s">
        <v>131</v>
      </c>
      <c r="C389" s="1" t="s">
        <v>6274</v>
      </c>
      <c r="D389" s="2" t="s">
        <v>7603</v>
      </c>
      <c r="E389" s="2" t="s">
        <v>7555</v>
      </c>
      <c r="F389" s="1" t="s">
        <v>7571</v>
      </c>
      <c r="G389" s="1" t="s">
        <v>7563</v>
      </c>
    </row>
    <row r="390" spans="1:7" x14ac:dyDescent="0.35">
      <c r="A390" s="1" t="s">
        <v>130</v>
      </c>
      <c r="B390" s="1" t="s">
        <v>131</v>
      </c>
      <c r="C390" s="1" t="s">
        <v>6274</v>
      </c>
      <c r="D390" s="2" t="s">
        <v>7603</v>
      </c>
      <c r="E390" s="2" t="s">
        <v>7605</v>
      </c>
      <c r="F390" s="1" t="s">
        <v>7614</v>
      </c>
      <c r="G390" s="1" t="s">
        <v>7610</v>
      </c>
    </row>
    <row r="391" spans="1:7" x14ac:dyDescent="0.35">
      <c r="A391" s="1" t="s">
        <v>130</v>
      </c>
      <c r="B391" s="1" t="s">
        <v>131</v>
      </c>
      <c r="C391" s="1" t="s">
        <v>6274</v>
      </c>
      <c r="D391" s="2" t="s">
        <v>7603</v>
      </c>
      <c r="E391" s="2" t="s">
        <v>7606</v>
      </c>
      <c r="F391" s="1" t="s">
        <v>7613</v>
      </c>
      <c r="G391" s="1" t="s">
        <v>7609</v>
      </c>
    </row>
    <row r="392" spans="1:7" x14ac:dyDescent="0.35">
      <c r="A392" s="1" t="s">
        <v>130</v>
      </c>
      <c r="B392" s="1" t="s">
        <v>131</v>
      </c>
      <c r="C392" s="1" t="s">
        <v>6274</v>
      </c>
      <c r="D392" s="2" t="s">
        <v>7603</v>
      </c>
      <c r="E392" s="2" t="s">
        <v>7607</v>
      </c>
      <c r="F392" s="1" t="s">
        <v>7612</v>
      </c>
      <c r="G392" s="1" t="s">
        <v>7608</v>
      </c>
    </row>
    <row r="393" spans="1:7" x14ac:dyDescent="0.35">
      <c r="A393" s="1" t="s">
        <v>2521</v>
      </c>
      <c r="B393" s="1" t="s">
        <v>2522</v>
      </c>
      <c r="C393" s="1" t="s">
        <v>6521</v>
      </c>
      <c r="D393" s="2" t="s">
        <v>7616</v>
      </c>
      <c r="E393" s="2" t="s">
        <v>7617</v>
      </c>
      <c r="F393" s="1" t="s">
        <v>7619</v>
      </c>
      <c r="G393" s="1" t="s">
        <v>7618</v>
      </c>
    </row>
    <row r="394" spans="1:7" x14ac:dyDescent="0.35">
      <c r="A394" s="1" t="s">
        <v>2521</v>
      </c>
      <c r="B394" s="1" t="s">
        <v>2522</v>
      </c>
      <c r="C394" s="1" t="s">
        <v>6521</v>
      </c>
      <c r="D394" s="2" t="s">
        <v>7616</v>
      </c>
      <c r="E394" s="2" t="s">
        <v>7554</v>
      </c>
      <c r="F394" s="1" t="s">
        <v>7570</v>
      </c>
      <c r="G394" s="1" t="s">
        <v>7562</v>
      </c>
    </row>
    <row r="395" spans="1:7" x14ac:dyDescent="0.35">
      <c r="A395" s="1" t="s">
        <v>2521</v>
      </c>
      <c r="B395" s="1" t="s">
        <v>2522</v>
      </c>
      <c r="C395" s="1" t="s">
        <v>6521</v>
      </c>
      <c r="D395" s="2" t="s">
        <v>7616</v>
      </c>
      <c r="E395" s="2" t="s">
        <v>7555</v>
      </c>
      <c r="F395" s="1" t="s">
        <v>7571</v>
      </c>
      <c r="G395" s="1" t="s">
        <v>7563</v>
      </c>
    </row>
    <row r="396" spans="1:7" x14ac:dyDescent="0.35">
      <c r="A396" s="1" t="s">
        <v>3149</v>
      </c>
      <c r="B396" s="1" t="s">
        <v>3150</v>
      </c>
      <c r="C396" s="1" t="s">
        <v>6564</v>
      </c>
      <c r="D396" s="2"/>
      <c r="E396" s="2"/>
    </row>
    <row r="397" spans="1:7" x14ac:dyDescent="0.35">
      <c r="A397" s="1" t="s">
        <v>4267</v>
      </c>
      <c r="B397" s="1" t="s">
        <v>4268</v>
      </c>
      <c r="C397" s="1" t="s">
        <v>6564</v>
      </c>
      <c r="D397" s="2"/>
      <c r="E397" s="2"/>
    </row>
    <row r="398" spans="1:7" x14ac:dyDescent="0.35">
      <c r="A398" s="1" t="s">
        <v>4271</v>
      </c>
      <c r="B398" s="1" t="s">
        <v>4272</v>
      </c>
      <c r="C398" s="1" t="s">
        <v>6564</v>
      </c>
      <c r="D398" s="2"/>
      <c r="E398" s="2"/>
    </row>
    <row r="399" spans="1:7" x14ac:dyDescent="0.35">
      <c r="A399" s="1" t="s">
        <v>595</v>
      </c>
      <c r="B399" s="1" t="s">
        <v>596</v>
      </c>
      <c r="C399" s="1" t="s">
        <v>6311</v>
      </c>
      <c r="D399" s="2"/>
      <c r="E399" s="2"/>
    </row>
    <row r="400" spans="1:7" x14ac:dyDescent="0.35">
      <c r="A400" s="1" t="s">
        <v>1505</v>
      </c>
      <c r="B400" s="1" t="s">
        <v>1506</v>
      </c>
      <c r="C400" s="1" t="s">
        <v>6311</v>
      </c>
      <c r="D400" s="2"/>
      <c r="E400" s="2"/>
    </row>
    <row r="401" spans="1:7" x14ac:dyDescent="0.35">
      <c r="A401" s="1" t="s">
        <v>3578</v>
      </c>
      <c r="B401" s="1" t="s">
        <v>3579</v>
      </c>
      <c r="C401" s="1" t="s">
        <v>6311</v>
      </c>
      <c r="D401" s="2"/>
      <c r="E401" s="2"/>
    </row>
    <row r="402" spans="1:7" x14ac:dyDescent="0.35">
      <c r="A402" s="1" t="s">
        <v>4207</v>
      </c>
      <c r="B402" s="1" t="s">
        <v>4208</v>
      </c>
      <c r="C402" s="1" t="s">
        <v>6311</v>
      </c>
      <c r="D402" s="2"/>
      <c r="E402" s="2"/>
    </row>
    <row r="403" spans="1:7" x14ac:dyDescent="0.35">
      <c r="A403" s="1" t="s">
        <v>4263</v>
      </c>
      <c r="B403" s="1" t="s">
        <v>4264</v>
      </c>
      <c r="C403" s="1" t="s">
        <v>6311</v>
      </c>
      <c r="D403" s="2"/>
      <c r="E403" s="2"/>
    </row>
    <row r="404" spans="1:7" x14ac:dyDescent="0.35">
      <c r="A404" s="1" t="s">
        <v>5401</v>
      </c>
      <c r="B404" s="1" t="s">
        <v>5402</v>
      </c>
      <c r="C404" s="1" t="s">
        <v>6311</v>
      </c>
      <c r="D404" s="2"/>
      <c r="E404" s="2"/>
    </row>
    <row r="405" spans="1:7" x14ac:dyDescent="0.35">
      <c r="A405" s="1" t="s">
        <v>6117</v>
      </c>
      <c r="B405" s="1" t="s">
        <v>6118</v>
      </c>
      <c r="C405" s="1" t="s">
        <v>6311</v>
      </c>
      <c r="D405" s="2"/>
      <c r="E405" s="2"/>
    </row>
    <row r="406" spans="1:7" x14ac:dyDescent="0.35">
      <c r="A406" s="1" t="s">
        <v>1906</v>
      </c>
      <c r="B406" s="1" t="s">
        <v>1907</v>
      </c>
      <c r="C406" s="1" t="s">
        <v>6471</v>
      </c>
      <c r="D406" s="2" t="s">
        <v>7620</v>
      </c>
      <c r="E406" s="2" t="s">
        <v>7621</v>
      </c>
      <c r="F406" s="1" t="s">
        <v>7623</v>
      </c>
      <c r="G406" s="1" t="s">
        <v>7622</v>
      </c>
    </row>
    <row r="407" spans="1:7" x14ac:dyDescent="0.35">
      <c r="A407" s="1" t="s">
        <v>2694</v>
      </c>
      <c r="B407" s="1" t="s">
        <v>2695</v>
      </c>
      <c r="C407" s="1" t="s">
        <v>6542</v>
      </c>
      <c r="D407" s="2" t="s">
        <v>7624</v>
      </c>
      <c r="E407" s="2" t="s">
        <v>7625</v>
      </c>
      <c r="F407" s="1" t="s">
        <v>7645</v>
      </c>
      <c r="G407" s="1" t="s">
        <v>7635</v>
      </c>
    </row>
    <row r="408" spans="1:7" x14ac:dyDescent="0.35">
      <c r="A408" s="1" t="s">
        <v>2694</v>
      </c>
      <c r="B408" s="1" t="s">
        <v>2695</v>
      </c>
      <c r="C408" s="1" t="s">
        <v>6542</v>
      </c>
      <c r="D408" s="2" t="s">
        <v>7624</v>
      </c>
      <c r="E408" s="2" t="s">
        <v>7626</v>
      </c>
      <c r="F408" s="1" t="s">
        <v>7646</v>
      </c>
      <c r="G408" s="1" t="s">
        <v>7636</v>
      </c>
    </row>
    <row r="409" spans="1:7" x14ac:dyDescent="0.35">
      <c r="A409" s="1" t="s">
        <v>2694</v>
      </c>
      <c r="B409" s="1" t="s">
        <v>2695</v>
      </c>
      <c r="C409" s="1" t="s">
        <v>6542</v>
      </c>
      <c r="D409" s="2" t="s">
        <v>7624</v>
      </c>
      <c r="E409" s="2" t="s">
        <v>7627</v>
      </c>
      <c r="F409" s="1" t="s">
        <v>7647</v>
      </c>
      <c r="G409" s="1" t="s">
        <v>7637</v>
      </c>
    </row>
    <row r="410" spans="1:7" x14ac:dyDescent="0.35">
      <c r="A410" s="1" t="s">
        <v>2694</v>
      </c>
      <c r="B410" s="1" t="s">
        <v>2695</v>
      </c>
      <c r="C410" s="1" t="s">
        <v>6542</v>
      </c>
      <c r="D410" s="2" t="s">
        <v>7624</v>
      </c>
      <c r="E410" s="2" t="s">
        <v>7628</v>
      </c>
      <c r="F410" s="1" t="s">
        <v>7648</v>
      </c>
      <c r="G410" s="1" t="s">
        <v>7638</v>
      </c>
    </row>
    <row r="411" spans="1:7" x14ac:dyDescent="0.35">
      <c r="A411" s="1" t="s">
        <v>2694</v>
      </c>
      <c r="B411" s="1" t="s">
        <v>2695</v>
      </c>
      <c r="C411" s="1" t="s">
        <v>6542</v>
      </c>
      <c r="D411" s="2" t="s">
        <v>7624</v>
      </c>
      <c r="E411" s="2" t="s">
        <v>7629</v>
      </c>
      <c r="F411" s="1" t="s">
        <v>7649</v>
      </c>
      <c r="G411" s="1" t="s">
        <v>7639</v>
      </c>
    </row>
    <row r="412" spans="1:7" x14ac:dyDescent="0.35">
      <c r="A412" s="1" t="s">
        <v>2694</v>
      </c>
      <c r="B412" s="1" t="s">
        <v>2695</v>
      </c>
      <c r="C412" s="1" t="s">
        <v>6542</v>
      </c>
      <c r="D412" s="2" t="s">
        <v>7624</v>
      </c>
      <c r="E412" s="2" t="s">
        <v>7630</v>
      </c>
      <c r="F412" s="1" t="s">
        <v>7650</v>
      </c>
      <c r="G412" s="1" t="s">
        <v>7640</v>
      </c>
    </row>
    <row r="413" spans="1:7" x14ac:dyDescent="0.35">
      <c r="A413" s="1" t="s">
        <v>2694</v>
      </c>
      <c r="B413" s="1" t="s">
        <v>2695</v>
      </c>
      <c r="C413" s="1" t="s">
        <v>6542</v>
      </c>
      <c r="D413" s="2" t="s">
        <v>7624</v>
      </c>
      <c r="E413" s="2" t="s">
        <v>7631</v>
      </c>
      <c r="F413" s="1" t="s">
        <v>7651</v>
      </c>
      <c r="G413" s="1" t="s">
        <v>7641</v>
      </c>
    </row>
    <row r="414" spans="1:7" x14ac:dyDescent="0.35">
      <c r="A414" s="1" t="s">
        <v>2694</v>
      </c>
      <c r="B414" s="1" t="s">
        <v>2695</v>
      </c>
      <c r="C414" s="1" t="s">
        <v>6542</v>
      </c>
      <c r="D414" s="2" t="s">
        <v>7624</v>
      </c>
      <c r="E414" s="2" t="s">
        <v>7632</v>
      </c>
      <c r="F414" s="1" t="s">
        <v>7652</v>
      </c>
      <c r="G414" s="1" t="s">
        <v>7642</v>
      </c>
    </row>
    <row r="415" spans="1:7" x14ac:dyDescent="0.35">
      <c r="A415" s="1" t="s">
        <v>2694</v>
      </c>
      <c r="B415" s="1" t="s">
        <v>2695</v>
      </c>
      <c r="C415" s="1" t="s">
        <v>6542</v>
      </c>
      <c r="D415" s="2" t="s">
        <v>7624</v>
      </c>
      <c r="E415" s="2" t="s">
        <v>7633</v>
      </c>
      <c r="F415" s="1" t="s">
        <v>7653</v>
      </c>
      <c r="G415" s="1" t="s">
        <v>7643</v>
      </c>
    </row>
    <row r="416" spans="1:7" x14ac:dyDescent="0.35">
      <c r="A416" s="1" t="s">
        <v>2694</v>
      </c>
      <c r="B416" s="1" t="s">
        <v>2695</v>
      </c>
      <c r="C416" s="1" t="s">
        <v>6542</v>
      </c>
      <c r="D416" s="2" t="s">
        <v>7624</v>
      </c>
      <c r="E416" s="2" t="s">
        <v>7634</v>
      </c>
      <c r="F416" s="1" t="s">
        <v>7654</v>
      </c>
      <c r="G416" s="1" t="s">
        <v>7644</v>
      </c>
    </row>
    <row r="417" spans="1:7" x14ac:dyDescent="0.35">
      <c r="A417" s="1" t="s">
        <v>2344</v>
      </c>
      <c r="B417" s="1" t="s">
        <v>2345</v>
      </c>
      <c r="C417" s="1" t="s">
        <v>6500</v>
      </c>
      <c r="D417" s="2" t="s">
        <v>7655</v>
      </c>
      <c r="E417" s="2" t="s">
        <v>7656</v>
      </c>
      <c r="F417" s="1" t="s">
        <v>13121</v>
      </c>
      <c r="G417" s="1" t="s">
        <v>7659</v>
      </c>
    </row>
    <row r="418" spans="1:7" x14ac:dyDescent="0.35">
      <c r="A418" s="1" t="s">
        <v>2344</v>
      </c>
      <c r="B418" s="1" t="s">
        <v>2345</v>
      </c>
      <c r="C418" s="1" t="s">
        <v>6500</v>
      </c>
      <c r="D418" s="2" t="s">
        <v>7655</v>
      </c>
      <c r="E418" s="2" t="s">
        <v>7657</v>
      </c>
      <c r="F418" s="1" t="s">
        <v>7662</v>
      </c>
      <c r="G418" s="1" t="s">
        <v>7660</v>
      </c>
    </row>
    <row r="419" spans="1:7" x14ac:dyDescent="0.35">
      <c r="A419" s="1" t="s">
        <v>2344</v>
      </c>
      <c r="B419" s="1" t="s">
        <v>2345</v>
      </c>
      <c r="C419" s="1" t="s">
        <v>6500</v>
      </c>
      <c r="D419" s="2" t="s">
        <v>7655</v>
      </c>
      <c r="E419" s="2" t="s">
        <v>7658</v>
      </c>
      <c r="F419" s="1" t="s">
        <v>7663</v>
      </c>
      <c r="G419" s="1" t="s">
        <v>7661</v>
      </c>
    </row>
    <row r="420" spans="1:7" x14ac:dyDescent="0.35">
      <c r="A420" s="1" t="s">
        <v>3829</v>
      </c>
      <c r="B420" s="1" t="s">
        <v>3830</v>
      </c>
      <c r="C420" s="1" t="s">
        <v>6613</v>
      </c>
      <c r="D420" s="2" t="s">
        <v>7664</v>
      </c>
      <c r="E420" s="2" t="s">
        <v>7665</v>
      </c>
      <c r="F420" s="1" t="s">
        <v>7671</v>
      </c>
      <c r="G420" s="1" t="s">
        <v>7668</v>
      </c>
    </row>
    <row r="421" spans="1:7" x14ac:dyDescent="0.35">
      <c r="A421" s="1" t="s">
        <v>3829</v>
      </c>
      <c r="B421" s="1" t="s">
        <v>3830</v>
      </c>
      <c r="C421" s="1" t="s">
        <v>6613</v>
      </c>
      <c r="D421" s="2" t="s">
        <v>7664</v>
      </c>
      <c r="E421" s="2" t="s">
        <v>7666</v>
      </c>
      <c r="F421" s="1" t="s">
        <v>7672</v>
      </c>
      <c r="G421" s="1" t="s">
        <v>7669</v>
      </c>
    </row>
    <row r="422" spans="1:7" x14ac:dyDescent="0.35">
      <c r="A422" s="1" t="s">
        <v>3829</v>
      </c>
      <c r="B422" s="1" t="s">
        <v>3830</v>
      </c>
      <c r="C422" s="1" t="s">
        <v>6613</v>
      </c>
      <c r="D422" s="2" t="s">
        <v>7664</v>
      </c>
      <c r="E422" s="2" t="s">
        <v>7667</v>
      </c>
      <c r="F422" s="1" t="s">
        <v>7673</v>
      </c>
      <c r="G422" s="1" t="s">
        <v>7670</v>
      </c>
    </row>
    <row r="423" spans="1:7" x14ac:dyDescent="0.35">
      <c r="A423" s="1" t="s">
        <v>4562</v>
      </c>
      <c r="B423" s="1" t="s">
        <v>4563</v>
      </c>
      <c r="C423" s="1" t="s">
        <v>6654</v>
      </c>
      <c r="D423" s="2" t="s">
        <v>7674</v>
      </c>
      <c r="E423" s="2" t="s">
        <v>7675</v>
      </c>
      <c r="F423" s="1" t="s">
        <v>7677</v>
      </c>
      <c r="G423" s="1" t="s">
        <v>7676</v>
      </c>
    </row>
    <row r="424" spans="1:7" x14ac:dyDescent="0.35">
      <c r="A424" s="1" t="s">
        <v>1918</v>
      </c>
      <c r="B424" s="1" t="s">
        <v>1919</v>
      </c>
      <c r="C424" s="1" t="s">
        <v>6473</v>
      </c>
      <c r="D424" s="2" t="s">
        <v>7678</v>
      </c>
      <c r="E424" s="2" t="s">
        <v>7682</v>
      </c>
      <c r="F424" s="1" t="s">
        <v>7684</v>
      </c>
      <c r="G424" s="1" t="s">
        <v>7683</v>
      </c>
    </row>
    <row r="425" spans="1:7" x14ac:dyDescent="0.35">
      <c r="A425" s="1" t="s">
        <v>1954</v>
      </c>
      <c r="B425" s="1" t="s">
        <v>1955</v>
      </c>
      <c r="C425" s="1" t="s">
        <v>6475</v>
      </c>
      <c r="D425" s="2" t="s">
        <v>7679</v>
      </c>
      <c r="E425" s="2" t="s">
        <v>7685</v>
      </c>
      <c r="F425" s="1" t="s">
        <v>7687</v>
      </c>
      <c r="G425" s="1" t="s">
        <v>7686</v>
      </c>
    </row>
    <row r="426" spans="1:7" x14ac:dyDescent="0.35">
      <c r="A426" s="1" t="s">
        <v>3737</v>
      </c>
      <c r="B426" s="1" t="s">
        <v>3738</v>
      </c>
      <c r="C426" s="1" t="s">
        <v>6603</v>
      </c>
      <c r="D426" s="2" t="s">
        <v>7680</v>
      </c>
      <c r="E426" s="2" t="s">
        <v>7688</v>
      </c>
      <c r="F426" s="1" t="s">
        <v>7694</v>
      </c>
      <c r="G426" s="1" t="s">
        <v>7691</v>
      </c>
    </row>
    <row r="427" spans="1:7" x14ac:dyDescent="0.35">
      <c r="A427" s="1" t="s">
        <v>3737</v>
      </c>
      <c r="B427" s="1" t="s">
        <v>3738</v>
      </c>
      <c r="C427" s="1" t="s">
        <v>6603</v>
      </c>
      <c r="D427" s="2" t="s">
        <v>7680</v>
      </c>
      <c r="E427" s="2" t="s">
        <v>7689</v>
      </c>
      <c r="F427" s="1" t="s">
        <v>7695</v>
      </c>
      <c r="G427" s="1" t="s">
        <v>7692</v>
      </c>
    </row>
    <row r="428" spans="1:7" x14ac:dyDescent="0.35">
      <c r="A428" s="1" t="s">
        <v>3737</v>
      </c>
      <c r="B428" s="1" t="s">
        <v>3738</v>
      </c>
      <c r="C428" s="1" t="s">
        <v>6603</v>
      </c>
      <c r="D428" s="2" t="s">
        <v>7680</v>
      </c>
      <c r="E428" s="2" t="s">
        <v>7690</v>
      </c>
      <c r="F428" s="1" t="s">
        <v>7696</v>
      </c>
      <c r="G428" s="1" t="s">
        <v>7693</v>
      </c>
    </row>
    <row r="429" spans="1:7" x14ac:dyDescent="0.35">
      <c r="A429" s="1" t="s">
        <v>3879</v>
      </c>
      <c r="B429" s="1" t="s">
        <v>3880</v>
      </c>
      <c r="C429" s="1" t="s">
        <v>6616</v>
      </c>
      <c r="D429" s="2" t="s">
        <v>7681</v>
      </c>
      <c r="E429" s="2" t="s">
        <v>7701</v>
      </c>
      <c r="F429" s="1" t="s">
        <v>7707</v>
      </c>
      <c r="G429" s="1" t="s">
        <v>7704</v>
      </c>
    </row>
    <row r="430" spans="1:7" x14ac:dyDescent="0.35">
      <c r="A430" s="1" t="s">
        <v>3879</v>
      </c>
      <c r="B430" s="1" t="s">
        <v>3880</v>
      </c>
      <c r="C430" s="1" t="s">
        <v>6616</v>
      </c>
      <c r="D430" s="2" t="s">
        <v>7681</v>
      </c>
      <c r="E430" s="2" t="s">
        <v>7702</v>
      </c>
      <c r="F430" s="1" t="s">
        <v>7708</v>
      </c>
      <c r="G430" s="1" t="s">
        <v>7705</v>
      </c>
    </row>
    <row r="431" spans="1:7" x14ac:dyDescent="0.35">
      <c r="A431" s="1" t="s">
        <v>3879</v>
      </c>
      <c r="B431" s="1" t="s">
        <v>3880</v>
      </c>
      <c r="C431" s="1" t="s">
        <v>6616</v>
      </c>
      <c r="D431" s="2" t="s">
        <v>7681</v>
      </c>
      <c r="E431" s="2" t="s">
        <v>7703</v>
      </c>
      <c r="F431" s="1" t="s">
        <v>7709</v>
      </c>
      <c r="G431" s="1" t="s">
        <v>7706</v>
      </c>
    </row>
    <row r="432" spans="1:7" x14ac:dyDescent="0.35">
      <c r="A432" s="1" t="s">
        <v>1704</v>
      </c>
      <c r="B432" s="1" t="s">
        <v>1705</v>
      </c>
      <c r="C432" s="1" t="s">
        <v>6452</v>
      </c>
      <c r="D432" s="2" t="s">
        <v>7697</v>
      </c>
      <c r="E432" s="2" t="s">
        <v>7710</v>
      </c>
      <c r="F432" s="1" t="s">
        <v>7711</v>
      </c>
      <c r="G432" s="1" t="s">
        <v>7712</v>
      </c>
    </row>
    <row r="433" spans="1:7" x14ac:dyDescent="0.35">
      <c r="A433" s="1" t="s">
        <v>1373</v>
      </c>
      <c r="B433" s="1" t="s">
        <v>1374</v>
      </c>
      <c r="C433" s="1" t="s">
        <v>6433</v>
      </c>
      <c r="D433" s="2" t="s">
        <v>7698</v>
      </c>
      <c r="E433" s="2" t="s">
        <v>7713</v>
      </c>
      <c r="F433" s="1" t="s">
        <v>7715</v>
      </c>
      <c r="G433" s="1" t="s">
        <v>7714</v>
      </c>
    </row>
    <row r="434" spans="1:7" x14ac:dyDescent="0.35">
      <c r="A434" s="1" t="s">
        <v>5397</v>
      </c>
      <c r="B434" s="1" t="s">
        <v>5398</v>
      </c>
      <c r="C434" s="1" t="s">
        <v>6702</v>
      </c>
      <c r="D434" s="2" t="s">
        <v>7699</v>
      </c>
      <c r="E434" s="2" t="s">
        <v>7716</v>
      </c>
      <c r="F434" s="1" t="s">
        <v>7721</v>
      </c>
      <c r="G434" s="1" t="s">
        <v>7719</v>
      </c>
    </row>
    <row r="435" spans="1:7" x14ac:dyDescent="0.35">
      <c r="A435" s="1" t="s">
        <v>5397</v>
      </c>
      <c r="B435" s="1" t="s">
        <v>5398</v>
      </c>
      <c r="C435" s="1" t="s">
        <v>6702</v>
      </c>
      <c r="D435" s="2" t="s">
        <v>7699</v>
      </c>
      <c r="E435" s="2" t="s">
        <v>7717</v>
      </c>
      <c r="F435" s="1" t="s">
        <v>7721</v>
      </c>
      <c r="G435" s="1" t="s">
        <v>7720</v>
      </c>
    </row>
    <row r="436" spans="1:7" x14ac:dyDescent="0.35">
      <c r="A436" s="1" t="s">
        <v>5397</v>
      </c>
      <c r="B436" s="1" t="s">
        <v>5398</v>
      </c>
      <c r="C436" s="1" t="s">
        <v>6702</v>
      </c>
      <c r="D436" s="2" t="s">
        <v>7699</v>
      </c>
      <c r="E436" s="2" t="s">
        <v>7718</v>
      </c>
      <c r="F436" s="1" t="s">
        <v>7722</v>
      </c>
      <c r="G436" s="1" t="s">
        <v>7720</v>
      </c>
    </row>
    <row r="437" spans="1:7" x14ac:dyDescent="0.35">
      <c r="A437" s="1" t="s">
        <v>2698</v>
      </c>
      <c r="B437" s="1" t="s">
        <v>2699</v>
      </c>
      <c r="C437" s="1" t="s">
        <v>6543</v>
      </c>
      <c r="D437" s="2" t="s">
        <v>7700</v>
      </c>
      <c r="E437" s="2" t="s">
        <v>7723</v>
      </c>
      <c r="F437" s="1" t="s">
        <v>7739</v>
      </c>
      <c r="G437" s="1" t="s">
        <v>7731</v>
      </c>
    </row>
    <row r="438" spans="1:7" x14ac:dyDescent="0.35">
      <c r="A438" s="1" t="s">
        <v>2698</v>
      </c>
      <c r="B438" s="1" t="s">
        <v>2699</v>
      </c>
      <c r="C438" s="1" t="s">
        <v>6543</v>
      </c>
      <c r="D438" s="2" t="s">
        <v>7700</v>
      </c>
      <c r="E438" s="2" t="s">
        <v>7724</v>
      </c>
      <c r="F438" s="1" t="s">
        <v>7740</v>
      </c>
      <c r="G438" s="1" t="s">
        <v>7732</v>
      </c>
    </row>
    <row r="439" spans="1:7" x14ac:dyDescent="0.35">
      <c r="A439" s="1" t="s">
        <v>2698</v>
      </c>
      <c r="B439" s="1" t="s">
        <v>2699</v>
      </c>
      <c r="C439" s="1" t="s">
        <v>6543</v>
      </c>
      <c r="D439" s="2" t="s">
        <v>7700</v>
      </c>
      <c r="E439" s="2" t="s">
        <v>7725</v>
      </c>
      <c r="F439" s="1" t="s">
        <v>7741</v>
      </c>
      <c r="G439" s="1" t="s">
        <v>7733</v>
      </c>
    </row>
    <row r="440" spans="1:7" x14ac:dyDescent="0.35">
      <c r="A440" s="1" t="s">
        <v>2698</v>
      </c>
      <c r="B440" s="1" t="s">
        <v>2699</v>
      </c>
      <c r="C440" s="1" t="s">
        <v>6543</v>
      </c>
      <c r="D440" s="2" t="s">
        <v>7700</v>
      </c>
      <c r="E440" s="2" t="s">
        <v>7726</v>
      </c>
      <c r="F440" s="1" t="s">
        <v>7742</v>
      </c>
      <c r="G440" s="1" t="s">
        <v>7734</v>
      </c>
    </row>
    <row r="441" spans="1:7" x14ac:dyDescent="0.35">
      <c r="A441" s="1" t="s">
        <v>2698</v>
      </c>
      <c r="B441" s="1" t="s">
        <v>2699</v>
      </c>
      <c r="C441" s="1" t="s">
        <v>6543</v>
      </c>
      <c r="D441" s="2" t="s">
        <v>7700</v>
      </c>
      <c r="E441" s="2" t="s">
        <v>7727</v>
      </c>
      <c r="F441" s="1" t="s">
        <v>7743</v>
      </c>
      <c r="G441" s="1" t="s">
        <v>7735</v>
      </c>
    </row>
    <row r="442" spans="1:7" x14ac:dyDescent="0.35">
      <c r="A442" s="1" t="s">
        <v>2698</v>
      </c>
      <c r="B442" s="1" t="s">
        <v>2699</v>
      </c>
      <c r="C442" s="1" t="s">
        <v>6543</v>
      </c>
      <c r="D442" s="2" t="s">
        <v>7700</v>
      </c>
      <c r="E442" s="2" t="s">
        <v>7728</v>
      </c>
      <c r="F442" s="1" t="s">
        <v>7744</v>
      </c>
      <c r="G442" s="1" t="s">
        <v>7736</v>
      </c>
    </row>
    <row r="443" spans="1:7" x14ac:dyDescent="0.35">
      <c r="A443" s="1" t="s">
        <v>2698</v>
      </c>
      <c r="B443" s="1" t="s">
        <v>2699</v>
      </c>
      <c r="C443" s="1" t="s">
        <v>6543</v>
      </c>
      <c r="D443" s="2" t="s">
        <v>7700</v>
      </c>
      <c r="E443" s="2" t="s">
        <v>7729</v>
      </c>
      <c r="F443" s="1" t="s">
        <v>7745</v>
      </c>
      <c r="G443" s="1" t="s">
        <v>7737</v>
      </c>
    </row>
    <row r="444" spans="1:7" x14ac:dyDescent="0.35">
      <c r="A444" s="1" t="s">
        <v>2698</v>
      </c>
      <c r="B444" s="1" t="s">
        <v>2699</v>
      </c>
      <c r="C444" s="1" t="s">
        <v>6543</v>
      </c>
      <c r="D444" s="2" t="s">
        <v>7700</v>
      </c>
      <c r="E444" s="2" t="s">
        <v>7730</v>
      </c>
      <c r="F444" s="1" t="s">
        <v>7746</v>
      </c>
      <c r="G444" s="1" t="s">
        <v>7738</v>
      </c>
    </row>
    <row r="445" spans="1:7" x14ac:dyDescent="0.35">
      <c r="A445" s="1" t="s">
        <v>2438</v>
      </c>
      <c r="B445" s="1" t="s">
        <v>2439</v>
      </c>
      <c r="C445" s="1" t="s">
        <v>6511</v>
      </c>
      <c r="D445" s="2" t="s">
        <v>7747</v>
      </c>
      <c r="E445" s="2" t="s">
        <v>7748</v>
      </c>
      <c r="F445" s="1" t="s">
        <v>7758</v>
      </c>
      <c r="G445" s="1" t="s">
        <v>7753</v>
      </c>
    </row>
    <row r="446" spans="1:7" x14ac:dyDescent="0.35">
      <c r="A446" s="1" t="s">
        <v>2438</v>
      </c>
      <c r="B446" s="1" t="s">
        <v>2439</v>
      </c>
      <c r="C446" s="1" t="s">
        <v>6511</v>
      </c>
      <c r="D446" s="2" t="s">
        <v>7747</v>
      </c>
      <c r="E446" s="2" t="s">
        <v>7749</v>
      </c>
      <c r="F446" s="1" t="s">
        <v>7759</v>
      </c>
      <c r="G446" s="1" t="s">
        <v>7754</v>
      </c>
    </row>
    <row r="447" spans="1:7" x14ac:dyDescent="0.35">
      <c r="A447" s="1" t="s">
        <v>2438</v>
      </c>
      <c r="B447" s="1" t="s">
        <v>2439</v>
      </c>
      <c r="C447" s="1" t="s">
        <v>6511</v>
      </c>
      <c r="D447" s="2" t="s">
        <v>7747</v>
      </c>
      <c r="E447" s="2" t="s">
        <v>7750</v>
      </c>
      <c r="F447" s="1" t="s">
        <v>7760</v>
      </c>
      <c r="G447" s="1" t="s">
        <v>7755</v>
      </c>
    </row>
    <row r="448" spans="1:7" x14ac:dyDescent="0.35">
      <c r="A448" s="1" t="s">
        <v>2438</v>
      </c>
      <c r="B448" s="1" t="s">
        <v>2439</v>
      </c>
      <c r="C448" s="1" t="s">
        <v>6511</v>
      </c>
      <c r="D448" s="2" t="s">
        <v>7747</v>
      </c>
      <c r="E448" s="2" t="s">
        <v>7751</v>
      </c>
      <c r="F448" s="1" t="s">
        <v>7761</v>
      </c>
      <c r="G448" s="1" t="s">
        <v>7756</v>
      </c>
    </row>
    <row r="449" spans="1:7" x14ac:dyDescent="0.35">
      <c r="A449" s="1" t="s">
        <v>2438</v>
      </c>
      <c r="B449" s="1" t="s">
        <v>2439</v>
      </c>
      <c r="C449" s="1" t="s">
        <v>6511</v>
      </c>
      <c r="D449" s="2" t="s">
        <v>7747</v>
      </c>
      <c r="E449" s="2" t="s">
        <v>7752</v>
      </c>
      <c r="F449" s="1" t="s">
        <v>7762</v>
      </c>
      <c r="G449" s="1" t="s">
        <v>7757</v>
      </c>
    </row>
    <row r="450" spans="1:7" x14ac:dyDescent="0.35">
      <c r="A450" s="1" t="s">
        <v>1164</v>
      </c>
      <c r="B450" s="1" t="s">
        <v>1165</v>
      </c>
      <c r="C450" s="1" t="s">
        <v>6414</v>
      </c>
      <c r="D450" s="2" t="s">
        <v>7763</v>
      </c>
      <c r="E450" s="2" t="s">
        <v>7764</v>
      </c>
      <c r="F450" s="1" t="s">
        <v>7766</v>
      </c>
      <c r="G450" s="1" t="s">
        <v>7636</v>
      </c>
    </row>
    <row r="451" spans="1:7" x14ac:dyDescent="0.35">
      <c r="A451" s="1" t="s">
        <v>1164</v>
      </c>
      <c r="B451" s="1" t="s">
        <v>1165</v>
      </c>
      <c r="C451" s="1" t="s">
        <v>6414</v>
      </c>
      <c r="D451" s="2" t="s">
        <v>7763</v>
      </c>
      <c r="E451" s="2" t="s">
        <v>7765</v>
      </c>
      <c r="F451" s="1" t="s">
        <v>7766</v>
      </c>
      <c r="G451" s="1" t="s">
        <v>7635</v>
      </c>
    </row>
    <row r="452" spans="1:7" x14ac:dyDescent="0.35">
      <c r="A452" s="1" t="s">
        <v>1164</v>
      </c>
      <c r="B452" s="1" t="s">
        <v>1165</v>
      </c>
      <c r="C452" s="1" t="s">
        <v>6414</v>
      </c>
      <c r="D452" s="2" t="s">
        <v>7763</v>
      </c>
      <c r="E452" s="2" t="s">
        <v>7631</v>
      </c>
      <c r="F452" s="1" t="s">
        <v>7651</v>
      </c>
      <c r="G452" s="1" t="s">
        <v>7641</v>
      </c>
    </row>
    <row r="453" spans="1:7" x14ac:dyDescent="0.35">
      <c r="A453" s="1" t="s">
        <v>4221</v>
      </c>
      <c r="B453" s="1" t="s">
        <v>4222</v>
      </c>
      <c r="C453" s="1" t="s">
        <v>6636</v>
      </c>
      <c r="D453" s="2" t="s">
        <v>7767</v>
      </c>
      <c r="E453" s="2" t="s">
        <v>7768</v>
      </c>
      <c r="F453" s="1" t="s">
        <v>7770</v>
      </c>
      <c r="G453" s="1" t="s">
        <v>7769</v>
      </c>
    </row>
    <row r="454" spans="1:7" x14ac:dyDescent="0.35">
      <c r="A454" s="1" t="s">
        <v>6349</v>
      </c>
      <c r="B454" s="1" t="s">
        <v>967</v>
      </c>
      <c r="C454" s="1" t="s">
        <v>6394</v>
      </c>
      <c r="D454" s="2"/>
      <c r="E454" s="2"/>
    </row>
    <row r="455" spans="1:7" x14ac:dyDescent="0.35">
      <c r="A455" s="1" t="s">
        <v>2004</v>
      </c>
      <c r="B455" s="1" t="s">
        <v>2005</v>
      </c>
      <c r="C455" s="1" t="s">
        <v>6485</v>
      </c>
      <c r="D455" s="2" t="s">
        <v>7771</v>
      </c>
      <c r="E455" s="2" t="s">
        <v>7772</v>
      </c>
      <c r="F455" s="1" t="s">
        <v>7773</v>
      </c>
      <c r="G455" s="1" t="s">
        <v>7774</v>
      </c>
    </row>
    <row r="456" spans="1:7" x14ac:dyDescent="0.35">
      <c r="A456" s="1" t="s">
        <v>3110</v>
      </c>
      <c r="B456" s="1" t="s">
        <v>3111</v>
      </c>
      <c r="C456" s="1" t="s">
        <v>6560</v>
      </c>
      <c r="D456" s="2" t="s">
        <v>7775</v>
      </c>
      <c r="E456" s="2" t="s">
        <v>7776</v>
      </c>
      <c r="F456" s="1" t="s">
        <v>7778</v>
      </c>
      <c r="G456" s="1" t="s">
        <v>7777</v>
      </c>
    </row>
    <row r="457" spans="1:7" x14ac:dyDescent="0.35">
      <c r="A457" s="1" t="s">
        <v>2414</v>
      </c>
      <c r="B457" s="1" t="s">
        <v>2415</v>
      </c>
      <c r="C457" s="1" t="s">
        <v>6508</v>
      </c>
      <c r="D457" s="2"/>
      <c r="E457" s="2"/>
    </row>
    <row r="458" spans="1:7" x14ac:dyDescent="0.35">
      <c r="A458" s="1" t="s">
        <v>4490</v>
      </c>
      <c r="B458" s="1" t="s">
        <v>4491</v>
      </c>
      <c r="C458" s="1" t="s">
        <v>6650</v>
      </c>
      <c r="D458" s="2" t="s">
        <v>7779</v>
      </c>
      <c r="E458" s="2" t="s">
        <v>7780</v>
      </c>
      <c r="F458" s="1" t="s">
        <v>7784</v>
      </c>
      <c r="G458" s="1" t="s">
        <v>7783</v>
      </c>
    </row>
    <row r="459" spans="1:7" x14ac:dyDescent="0.35">
      <c r="A459" s="1" t="s">
        <v>4490</v>
      </c>
      <c r="B459" s="1" t="s">
        <v>4491</v>
      </c>
      <c r="C459" s="1" t="s">
        <v>6650</v>
      </c>
      <c r="D459" s="2" t="s">
        <v>7779</v>
      </c>
      <c r="E459" s="2" t="s">
        <v>7781</v>
      </c>
      <c r="F459" s="1" t="s">
        <v>7785</v>
      </c>
      <c r="G459" s="1" t="s">
        <v>7782</v>
      </c>
    </row>
    <row r="460" spans="1:7" x14ac:dyDescent="0.35">
      <c r="A460" s="1" t="s">
        <v>6341</v>
      </c>
      <c r="B460" s="1" t="s">
        <v>947</v>
      </c>
      <c r="C460" s="1" t="s">
        <v>6392</v>
      </c>
      <c r="D460" s="2"/>
      <c r="E460" s="2"/>
    </row>
    <row r="461" spans="1:7" x14ac:dyDescent="0.35">
      <c r="A461" s="1" t="s">
        <v>5761</v>
      </c>
      <c r="B461" s="1" t="s">
        <v>5762</v>
      </c>
      <c r="C461" s="1" t="s">
        <v>6723</v>
      </c>
      <c r="D461" s="2" t="s">
        <v>7786</v>
      </c>
      <c r="E461" s="2" t="s">
        <v>7787</v>
      </c>
      <c r="F461" s="1" t="s">
        <v>7791</v>
      </c>
      <c r="G461" s="1" t="s">
        <v>7789</v>
      </c>
    </row>
    <row r="462" spans="1:7" x14ac:dyDescent="0.35">
      <c r="A462" s="1" t="s">
        <v>5761</v>
      </c>
      <c r="B462" s="1" t="s">
        <v>5762</v>
      </c>
      <c r="C462" s="1" t="s">
        <v>6723</v>
      </c>
      <c r="D462" s="2" t="s">
        <v>7786</v>
      </c>
      <c r="E462" s="2" t="s">
        <v>7788</v>
      </c>
      <c r="F462" s="1" t="s">
        <v>7792</v>
      </c>
      <c r="G462" s="1" t="s">
        <v>7790</v>
      </c>
    </row>
    <row r="463" spans="1:7" x14ac:dyDescent="0.35">
      <c r="A463" s="1" t="s">
        <v>5308</v>
      </c>
      <c r="B463" s="1" t="s">
        <v>5309</v>
      </c>
      <c r="C463" s="1" t="s">
        <v>6697</v>
      </c>
      <c r="D463" s="2" t="s">
        <v>7793</v>
      </c>
      <c r="E463" s="2" t="s">
        <v>7794</v>
      </c>
      <c r="F463" s="1" t="s">
        <v>7796</v>
      </c>
      <c r="G463" s="1" t="s">
        <v>7795</v>
      </c>
    </row>
    <row r="464" spans="1:7" x14ac:dyDescent="0.35">
      <c r="A464" s="1" t="s">
        <v>1476</v>
      </c>
      <c r="B464" s="1" t="s">
        <v>1477</v>
      </c>
      <c r="C464" s="1" t="s">
        <v>6440</v>
      </c>
      <c r="D464" s="2" t="s">
        <v>7797</v>
      </c>
      <c r="E464" s="2" t="s">
        <v>7798</v>
      </c>
      <c r="F464" s="1" t="s">
        <v>7800</v>
      </c>
      <c r="G464" s="1" t="s">
        <v>7799</v>
      </c>
    </row>
    <row r="465" spans="1:7" x14ac:dyDescent="0.35">
      <c r="A465" s="1" t="s">
        <v>1100</v>
      </c>
      <c r="B465" s="1" t="s">
        <v>1101</v>
      </c>
      <c r="C465" s="1" t="s">
        <v>6404</v>
      </c>
      <c r="D465" s="2" t="s">
        <v>7801</v>
      </c>
      <c r="E465" s="2" t="s">
        <v>7802</v>
      </c>
      <c r="F465" s="1" t="s">
        <v>7803</v>
      </c>
      <c r="G465" s="1" t="s">
        <v>7804</v>
      </c>
    </row>
    <row r="466" spans="1:7" x14ac:dyDescent="0.35">
      <c r="A466" s="1" t="s">
        <v>1358</v>
      </c>
      <c r="B466" s="1" t="s">
        <v>1359</v>
      </c>
      <c r="C466" s="1" t="s">
        <v>6430</v>
      </c>
      <c r="D466" s="2" t="s">
        <v>7805</v>
      </c>
      <c r="E466" s="2" t="s">
        <v>7806</v>
      </c>
      <c r="F466" s="1" t="s">
        <v>7808</v>
      </c>
      <c r="G466" s="1" t="s">
        <v>7807</v>
      </c>
    </row>
    <row r="467" spans="1:7" x14ac:dyDescent="0.35">
      <c r="A467" s="1" t="s">
        <v>1584</v>
      </c>
      <c r="B467" s="1" t="s">
        <v>1585</v>
      </c>
      <c r="C467" s="1" t="s">
        <v>6446</v>
      </c>
      <c r="D467" s="2"/>
      <c r="E467" s="2"/>
    </row>
    <row r="468" spans="1:7" x14ac:dyDescent="0.35">
      <c r="A468" s="1" t="s">
        <v>3486</v>
      </c>
      <c r="B468" s="1" t="s">
        <v>3487</v>
      </c>
      <c r="C468" s="1" t="s">
        <v>6446</v>
      </c>
      <c r="D468" s="2"/>
      <c r="E468" s="2"/>
    </row>
    <row r="469" spans="1:7" x14ac:dyDescent="0.35">
      <c r="A469" s="1" t="s">
        <v>4481</v>
      </c>
      <c r="B469" s="1" t="s">
        <v>4482</v>
      </c>
      <c r="C469" s="1" t="s">
        <v>6446</v>
      </c>
      <c r="D469" s="2"/>
      <c r="E469" s="2"/>
    </row>
    <row r="470" spans="1:7" x14ac:dyDescent="0.35">
      <c r="A470" s="1" t="s">
        <v>4669</v>
      </c>
      <c r="B470" s="1" t="s">
        <v>4670</v>
      </c>
      <c r="C470" s="1" t="s">
        <v>6446</v>
      </c>
      <c r="D470" s="2"/>
      <c r="E470" s="2"/>
    </row>
    <row r="471" spans="1:7" x14ac:dyDescent="0.35">
      <c r="A471" s="1" t="s">
        <v>4805</v>
      </c>
      <c r="B471" s="1" t="s">
        <v>4806</v>
      </c>
      <c r="C471" s="1" t="s">
        <v>6446</v>
      </c>
      <c r="D471" s="2"/>
      <c r="E471" s="2"/>
    </row>
    <row r="472" spans="1:7" x14ac:dyDescent="0.35">
      <c r="A472" s="1" t="s">
        <v>5327</v>
      </c>
      <c r="B472" s="1" t="s">
        <v>5328</v>
      </c>
      <c r="C472" s="1" t="s">
        <v>6446</v>
      </c>
      <c r="D472" s="2"/>
      <c r="E472" s="2"/>
    </row>
    <row r="473" spans="1:7" x14ac:dyDescent="0.35">
      <c r="A473" s="1" t="s">
        <v>5329</v>
      </c>
      <c r="B473" s="1" t="s">
        <v>5330</v>
      </c>
      <c r="C473" s="1" t="s">
        <v>6446</v>
      </c>
      <c r="D473" s="2"/>
      <c r="E473" s="2"/>
    </row>
    <row r="474" spans="1:7" x14ac:dyDescent="0.35">
      <c r="A474" s="1" t="s">
        <v>5638</v>
      </c>
      <c r="B474" s="1" t="s">
        <v>5639</v>
      </c>
      <c r="C474" s="1" t="s">
        <v>6446</v>
      </c>
      <c r="D474" s="2"/>
      <c r="E474" s="2"/>
    </row>
    <row r="475" spans="1:7" x14ac:dyDescent="0.35">
      <c r="A475" s="1" t="s">
        <v>5640</v>
      </c>
      <c r="B475" s="1" t="s">
        <v>5641</v>
      </c>
      <c r="C475" s="1" t="s">
        <v>6446</v>
      </c>
      <c r="D475" s="2"/>
      <c r="E475" s="2"/>
    </row>
    <row r="476" spans="1:7" x14ac:dyDescent="0.35">
      <c r="A476" s="1" t="s">
        <v>5644</v>
      </c>
      <c r="B476" s="1" t="s">
        <v>5645</v>
      </c>
      <c r="C476" s="1" t="s">
        <v>6446</v>
      </c>
      <c r="D476" s="2"/>
      <c r="E476" s="2"/>
    </row>
    <row r="477" spans="1:7" x14ac:dyDescent="0.35">
      <c r="A477" s="1" t="s">
        <v>2418</v>
      </c>
      <c r="B477" s="1" t="s">
        <v>2419</v>
      </c>
      <c r="C477" s="1" t="s">
        <v>6509</v>
      </c>
      <c r="D477" s="2" t="s">
        <v>7809</v>
      </c>
      <c r="E477" s="2" t="s">
        <v>7810</v>
      </c>
      <c r="F477" s="1" t="s">
        <v>7812</v>
      </c>
      <c r="G477" s="1" t="s">
        <v>7811</v>
      </c>
    </row>
    <row r="478" spans="1:7" x14ac:dyDescent="0.35">
      <c r="A478" s="1" t="s">
        <v>2181</v>
      </c>
      <c r="B478" s="1" t="s">
        <v>2182</v>
      </c>
      <c r="C478" s="1" t="s">
        <v>6490</v>
      </c>
      <c r="D478" s="2"/>
      <c r="E478" s="2"/>
    </row>
    <row r="479" spans="1:7" x14ac:dyDescent="0.35">
      <c r="A479" s="1" t="s">
        <v>3033</v>
      </c>
      <c r="B479" s="1" t="s">
        <v>3034</v>
      </c>
      <c r="C479" s="1" t="s">
        <v>6552</v>
      </c>
      <c r="D479" s="2" t="s">
        <v>7813</v>
      </c>
      <c r="E479" s="2" t="s">
        <v>7814</v>
      </c>
      <c r="F479" s="1" t="s">
        <v>7824</v>
      </c>
      <c r="G479" s="1" t="s">
        <v>7819</v>
      </c>
    </row>
    <row r="480" spans="1:7" x14ac:dyDescent="0.35">
      <c r="A480" s="1" t="s">
        <v>3033</v>
      </c>
      <c r="B480" s="1" t="s">
        <v>3034</v>
      </c>
      <c r="C480" s="1" t="s">
        <v>6552</v>
      </c>
      <c r="D480" s="2" t="s">
        <v>7813</v>
      </c>
      <c r="E480" s="2" t="s">
        <v>7815</v>
      </c>
      <c r="F480" s="1" t="s">
        <v>7825</v>
      </c>
      <c r="G480" s="1" t="s">
        <v>7820</v>
      </c>
    </row>
    <row r="481" spans="1:7" x14ac:dyDescent="0.35">
      <c r="A481" s="1" t="s">
        <v>3033</v>
      </c>
      <c r="B481" s="1" t="s">
        <v>3034</v>
      </c>
      <c r="C481" s="1" t="s">
        <v>6552</v>
      </c>
      <c r="D481" s="2" t="s">
        <v>7813</v>
      </c>
      <c r="E481" s="2" t="s">
        <v>7816</v>
      </c>
      <c r="F481" s="1" t="s">
        <v>7826</v>
      </c>
      <c r="G481" s="1" t="s">
        <v>7821</v>
      </c>
    </row>
    <row r="482" spans="1:7" x14ac:dyDescent="0.35">
      <c r="A482" s="1" t="s">
        <v>3033</v>
      </c>
      <c r="B482" s="1" t="s">
        <v>3034</v>
      </c>
      <c r="C482" s="1" t="s">
        <v>6552</v>
      </c>
      <c r="D482" s="2" t="s">
        <v>7813</v>
      </c>
      <c r="E482" s="2" t="s">
        <v>7817</v>
      </c>
      <c r="F482" s="1" t="s">
        <v>7827</v>
      </c>
      <c r="G482" s="1" t="s">
        <v>7822</v>
      </c>
    </row>
    <row r="483" spans="1:7" x14ac:dyDescent="0.35">
      <c r="A483" s="1" t="s">
        <v>3033</v>
      </c>
      <c r="B483" s="1" t="s">
        <v>3034</v>
      </c>
      <c r="C483" s="1" t="s">
        <v>6552</v>
      </c>
      <c r="D483" s="2" t="s">
        <v>7813</v>
      </c>
      <c r="E483" s="2" t="s">
        <v>7818</v>
      </c>
      <c r="F483" s="1" t="s">
        <v>7828</v>
      </c>
      <c r="G483" s="1" t="s">
        <v>7823</v>
      </c>
    </row>
    <row r="484" spans="1:7" x14ac:dyDescent="0.35">
      <c r="A484" s="1" t="s">
        <v>1712</v>
      </c>
      <c r="B484" s="1" t="s">
        <v>1713</v>
      </c>
      <c r="C484" s="1" t="s">
        <v>6454</v>
      </c>
      <c r="D484" s="2" t="s">
        <v>7829</v>
      </c>
      <c r="E484" s="2" t="s">
        <v>7830</v>
      </c>
      <c r="F484" s="1" t="s">
        <v>7832</v>
      </c>
      <c r="G484" s="1" t="s">
        <v>7831</v>
      </c>
    </row>
    <row r="485" spans="1:7" x14ac:dyDescent="0.35">
      <c r="A485" s="1" t="s">
        <v>1266</v>
      </c>
      <c r="B485" s="1" t="s">
        <v>1267</v>
      </c>
      <c r="C485" s="1" t="s">
        <v>6422</v>
      </c>
      <c r="D485" s="2" t="s">
        <v>7833</v>
      </c>
      <c r="E485" s="2" t="s">
        <v>7814</v>
      </c>
      <c r="F485" s="1" t="s">
        <v>7824</v>
      </c>
      <c r="G485" s="1" t="s">
        <v>7819</v>
      </c>
    </row>
    <row r="486" spans="1:7" x14ac:dyDescent="0.35">
      <c r="A486" s="1" t="s">
        <v>5899</v>
      </c>
      <c r="B486" s="1" t="s">
        <v>5900</v>
      </c>
      <c r="C486" s="1" t="s">
        <v>6730</v>
      </c>
      <c r="D486" s="2" t="s">
        <v>7834</v>
      </c>
      <c r="E486" s="2" t="s">
        <v>7835</v>
      </c>
      <c r="F486" s="1" t="s">
        <v>7840</v>
      </c>
      <c r="G486" s="1" t="s">
        <v>9066</v>
      </c>
    </row>
    <row r="487" spans="1:7" x14ac:dyDescent="0.35">
      <c r="A487" s="1" t="s">
        <v>5899</v>
      </c>
      <c r="B487" s="1" t="s">
        <v>5900</v>
      </c>
      <c r="C487" s="1" t="s">
        <v>6730</v>
      </c>
      <c r="D487" s="2" t="s">
        <v>7834</v>
      </c>
      <c r="E487" s="2" t="s">
        <v>7836</v>
      </c>
      <c r="F487" s="1" t="s">
        <v>7841</v>
      </c>
      <c r="G487" s="1" t="s">
        <v>7838</v>
      </c>
    </row>
    <row r="488" spans="1:7" x14ac:dyDescent="0.35">
      <c r="A488" s="1" t="s">
        <v>5899</v>
      </c>
      <c r="B488" s="1" t="s">
        <v>5900</v>
      </c>
      <c r="C488" s="1" t="s">
        <v>6730</v>
      </c>
      <c r="D488" s="2" t="s">
        <v>7834</v>
      </c>
      <c r="E488" s="2" t="s">
        <v>7837</v>
      </c>
      <c r="F488" s="1" t="s">
        <v>7842</v>
      </c>
      <c r="G488" s="1" t="s">
        <v>7839</v>
      </c>
    </row>
    <row r="489" spans="1:7" x14ac:dyDescent="0.35">
      <c r="A489" s="1" t="s">
        <v>3553</v>
      </c>
      <c r="B489" s="1" t="s">
        <v>3554</v>
      </c>
      <c r="C489" s="1" t="s">
        <v>6592</v>
      </c>
      <c r="D489" s="2" t="s">
        <v>7843</v>
      </c>
      <c r="E489" s="2" t="s">
        <v>7844</v>
      </c>
      <c r="F489" s="1" t="s">
        <v>7860</v>
      </c>
      <c r="G489" s="1" t="s">
        <v>7876</v>
      </c>
    </row>
    <row r="490" spans="1:7" x14ac:dyDescent="0.35">
      <c r="A490" s="1" t="s">
        <v>3553</v>
      </c>
      <c r="B490" s="1" t="s">
        <v>3554</v>
      </c>
      <c r="C490" s="1" t="s">
        <v>6592</v>
      </c>
      <c r="D490" s="2" t="s">
        <v>7843</v>
      </c>
      <c r="E490" s="2" t="s">
        <v>7845</v>
      </c>
      <c r="F490" s="1" t="s">
        <v>7861</v>
      </c>
      <c r="G490" s="1" t="s">
        <v>7877</v>
      </c>
    </row>
    <row r="491" spans="1:7" x14ac:dyDescent="0.35">
      <c r="A491" s="1" t="s">
        <v>3553</v>
      </c>
      <c r="B491" s="1" t="s">
        <v>3554</v>
      </c>
      <c r="C491" s="1" t="s">
        <v>6592</v>
      </c>
      <c r="D491" s="2" t="s">
        <v>7843</v>
      </c>
      <c r="E491" s="2" t="s">
        <v>7846</v>
      </c>
      <c r="F491" s="1" t="s">
        <v>7862</v>
      </c>
      <c r="G491" s="1" t="s">
        <v>7878</v>
      </c>
    </row>
    <row r="492" spans="1:7" x14ac:dyDescent="0.35">
      <c r="A492" s="1" t="s">
        <v>3553</v>
      </c>
      <c r="B492" s="1" t="s">
        <v>3554</v>
      </c>
      <c r="C492" s="1" t="s">
        <v>6592</v>
      </c>
      <c r="D492" s="2" t="s">
        <v>7843</v>
      </c>
      <c r="E492" s="2" t="s">
        <v>7847</v>
      </c>
      <c r="F492" s="1" t="s">
        <v>7863</v>
      </c>
      <c r="G492" s="1" t="s">
        <v>7879</v>
      </c>
    </row>
    <row r="493" spans="1:7" x14ac:dyDescent="0.35">
      <c r="A493" s="1" t="s">
        <v>3553</v>
      </c>
      <c r="B493" s="1" t="s">
        <v>3554</v>
      </c>
      <c r="C493" s="1" t="s">
        <v>6592</v>
      </c>
      <c r="D493" s="2" t="s">
        <v>7843</v>
      </c>
      <c r="E493" s="2" t="s">
        <v>7848</v>
      </c>
      <c r="F493" s="1" t="s">
        <v>7864</v>
      </c>
      <c r="G493" s="1" t="s">
        <v>7880</v>
      </c>
    </row>
    <row r="494" spans="1:7" x14ac:dyDescent="0.35">
      <c r="A494" s="1" t="s">
        <v>3553</v>
      </c>
      <c r="B494" s="1" t="s">
        <v>3554</v>
      </c>
      <c r="C494" s="1" t="s">
        <v>6592</v>
      </c>
      <c r="D494" s="2" t="s">
        <v>7843</v>
      </c>
      <c r="E494" s="2" t="s">
        <v>7849</v>
      </c>
      <c r="F494" s="1" t="s">
        <v>7865</v>
      </c>
      <c r="G494" s="1" t="s">
        <v>7881</v>
      </c>
    </row>
    <row r="495" spans="1:7" x14ac:dyDescent="0.35">
      <c r="A495" s="1" t="s">
        <v>3553</v>
      </c>
      <c r="B495" s="1" t="s">
        <v>3554</v>
      </c>
      <c r="C495" s="1" t="s">
        <v>6592</v>
      </c>
      <c r="D495" s="2" t="s">
        <v>7843</v>
      </c>
      <c r="E495" s="2" t="s">
        <v>7850</v>
      </c>
      <c r="F495" s="1" t="s">
        <v>7866</v>
      </c>
      <c r="G495" s="1" t="s">
        <v>7882</v>
      </c>
    </row>
    <row r="496" spans="1:7" x14ac:dyDescent="0.35">
      <c r="A496" s="1" t="s">
        <v>3553</v>
      </c>
      <c r="B496" s="1" t="s">
        <v>3554</v>
      </c>
      <c r="C496" s="1" t="s">
        <v>6592</v>
      </c>
      <c r="D496" s="2" t="s">
        <v>7843</v>
      </c>
      <c r="E496" s="2" t="s">
        <v>7851</v>
      </c>
      <c r="F496" s="1" t="s">
        <v>7867</v>
      </c>
      <c r="G496" s="1" t="s">
        <v>7883</v>
      </c>
    </row>
    <row r="497" spans="1:7" x14ac:dyDescent="0.35">
      <c r="A497" s="1" t="s">
        <v>3553</v>
      </c>
      <c r="B497" s="1" t="s">
        <v>3554</v>
      </c>
      <c r="C497" s="1" t="s">
        <v>6592</v>
      </c>
      <c r="D497" s="2" t="s">
        <v>7843</v>
      </c>
      <c r="E497" s="2" t="s">
        <v>7852</v>
      </c>
      <c r="F497" s="1" t="s">
        <v>7868</v>
      </c>
      <c r="G497" s="1" t="s">
        <v>7884</v>
      </c>
    </row>
    <row r="498" spans="1:7" x14ac:dyDescent="0.35">
      <c r="A498" s="1" t="s">
        <v>3553</v>
      </c>
      <c r="B498" s="1" t="s">
        <v>3554</v>
      </c>
      <c r="C498" s="1" t="s">
        <v>6592</v>
      </c>
      <c r="D498" s="2" t="s">
        <v>7843</v>
      </c>
      <c r="E498" s="2" t="s">
        <v>7853</v>
      </c>
      <c r="F498" s="1" t="s">
        <v>7869</v>
      </c>
      <c r="G498" s="1" t="s">
        <v>7885</v>
      </c>
    </row>
    <row r="499" spans="1:7" x14ac:dyDescent="0.35">
      <c r="A499" s="1" t="s">
        <v>3553</v>
      </c>
      <c r="B499" s="1" t="s">
        <v>3554</v>
      </c>
      <c r="C499" s="1" t="s">
        <v>6592</v>
      </c>
      <c r="D499" s="2" t="s">
        <v>7843</v>
      </c>
      <c r="E499" s="2" t="s">
        <v>7854</v>
      </c>
      <c r="F499" s="1" t="s">
        <v>7870</v>
      </c>
      <c r="G499" s="1" t="s">
        <v>7886</v>
      </c>
    </row>
    <row r="500" spans="1:7" x14ac:dyDescent="0.35">
      <c r="A500" s="1" t="s">
        <v>3553</v>
      </c>
      <c r="B500" s="1" t="s">
        <v>3554</v>
      </c>
      <c r="C500" s="1" t="s">
        <v>6592</v>
      </c>
      <c r="D500" s="2" t="s">
        <v>7843</v>
      </c>
      <c r="E500" s="2" t="s">
        <v>7855</v>
      </c>
      <c r="F500" s="1" t="s">
        <v>7871</v>
      </c>
      <c r="G500" s="1" t="s">
        <v>7887</v>
      </c>
    </row>
    <row r="501" spans="1:7" x14ac:dyDescent="0.35">
      <c r="A501" s="1" t="s">
        <v>3553</v>
      </c>
      <c r="B501" s="1" t="s">
        <v>3554</v>
      </c>
      <c r="C501" s="1" t="s">
        <v>6592</v>
      </c>
      <c r="D501" s="2" t="s">
        <v>7843</v>
      </c>
      <c r="E501" s="2" t="s">
        <v>7856</v>
      </c>
      <c r="F501" s="1" t="s">
        <v>7872</v>
      </c>
      <c r="G501" s="1" t="s">
        <v>7888</v>
      </c>
    </row>
    <row r="502" spans="1:7" x14ac:dyDescent="0.35">
      <c r="A502" s="1" t="s">
        <v>3553</v>
      </c>
      <c r="B502" s="1" t="s">
        <v>3554</v>
      </c>
      <c r="C502" s="1" t="s">
        <v>6592</v>
      </c>
      <c r="D502" s="2" t="s">
        <v>7843</v>
      </c>
      <c r="E502" s="2" t="s">
        <v>7857</v>
      </c>
      <c r="F502" s="1" t="s">
        <v>7873</v>
      </c>
      <c r="G502" s="1" t="s">
        <v>7889</v>
      </c>
    </row>
    <row r="503" spans="1:7" x14ac:dyDescent="0.35">
      <c r="A503" s="1" t="s">
        <v>3553</v>
      </c>
      <c r="B503" s="1" t="s">
        <v>3554</v>
      </c>
      <c r="C503" s="1" t="s">
        <v>6592</v>
      </c>
      <c r="D503" s="2" t="s">
        <v>7843</v>
      </c>
      <c r="E503" s="2" t="s">
        <v>7858</v>
      </c>
      <c r="F503" s="1" t="s">
        <v>7874</v>
      </c>
      <c r="G503" s="1" t="s">
        <v>7890</v>
      </c>
    </row>
    <row r="504" spans="1:7" x14ac:dyDescent="0.35">
      <c r="A504" s="1" t="s">
        <v>3553</v>
      </c>
      <c r="B504" s="1" t="s">
        <v>3554</v>
      </c>
      <c r="C504" s="1" t="s">
        <v>6592</v>
      </c>
      <c r="D504" s="2" t="s">
        <v>7843</v>
      </c>
      <c r="E504" s="2" t="s">
        <v>7859</v>
      </c>
      <c r="F504" s="1" t="s">
        <v>7875</v>
      </c>
      <c r="G504" s="1" t="s">
        <v>7891</v>
      </c>
    </row>
    <row r="505" spans="1:7" x14ac:dyDescent="0.35">
      <c r="A505" s="1" t="s">
        <v>440</v>
      </c>
      <c r="B505" s="1" t="s">
        <v>441</v>
      </c>
      <c r="C505" s="1" t="s">
        <v>6301</v>
      </c>
      <c r="D505" s="2" t="s">
        <v>7892</v>
      </c>
      <c r="E505" s="2" t="s">
        <v>7893</v>
      </c>
      <c r="F505" s="1" t="s">
        <v>7894</v>
      </c>
      <c r="G505" s="1" t="s">
        <v>7895</v>
      </c>
    </row>
    <row r="506" spans="1:7" x14ac:dyDescent="0.35">
      <c r="A506" s="1" t="s">
        <v>4514</v>
      </c>
      <c r="B506" s="1" t="s">
        <v>4515</v>
      </c>
      <c r="C506" s="1" t="s">
        <v>6652</v>
      </c>
      <c r="D506" s="2" t="s">
        <v>7896</v>
      </c>
      <c r="E506" s="2" t="s">
        <v>7897</v>
      </c>
      <c r="F506" s="1" t="s">
        <v>7903</v>
      </c>
      <c r="G506" s="1" t="s">
        <v>7900</v>
      </c>
    </row>
    <row r="507" spans="1:7" x14ac:dyDescent="0.35">
      <c r="A507" s="1" t="s">
        <v>4514</v>
      </c>
      <c r="B507" s="1" t="s">
        <v>4515</v>
      </c>
      <c r="C507" s="1" t="s">
        <v>6652</v>
      </c>
      <c r="D507" s="2" t="s">
        <v>7896</v>
      </c>
      <c r="E507" s="2" t="s">
        <v>7898</v>
      </c>
      <c r="F507" s="1" t="s">
        <v>7904</v>
      </c>
      <c r="G507" s="1" t="s">
        <v>7901</v>
      </c>
    </row>
    <row r="508" spans="1:7" x14ac:dyDescent="0.35">
      <c r="A508" s="1" t="s">
        <v>4514</v>
      </c>
      <c r="B508" s="1" t="s">
        <v>4515</v>
      </c>
      <c r="C508" s="1" t="s">
        <v>6652</v>
      </c>
      <c r="D508" s="2" t="s">
        <v>7896</v>
      </c>
      <c r="E508" s="2" t="s">
        <v>7899</v>
      </c>
      <c r="F508" s="1" t="s">
        <v>7905</v>
      </c>
      <c r="G508" s="1" t="s">
        <v>7902</v>
      </c>
    </row>
    <row r="509" spans="1:7" x14ac:dyDescent="0.35">
      <c r="A509" s="1" t="s">
        <v>1444</v>
      </c>
      <c r="B509" s="1" t="s">
        <v>1445</v>
      </c>
      <c r="C509" s="1" t="s">
        <v>6438</v>
      </c>
      <c r="D509" s="2" t="s">
        <v>7906</v>
      </c>
      <c r="E509" s="2" t="s">
        <v>7907</v>
      </c>
      <c r="F509" s="1" t="s">
        <v>7911</v>
      </c>
      <c r="G509" s="1" t="s">
        <v>7909</v>
      </c>
    </row>
    <row r="510" spans="1:7" x14ac:dyDescent="0.35">
      <c r="A510" s="1" t="s">
        <v>1444</v>
      </c>
      <c r="B510" s="1" t="s">
        <v>1445</v>
      </c>
      <c r="C510" s="1" t="s">
        <v>6438</v>
      </c>
      <c r="D510" s="2" t="s">
        <v>7906</v>
      </c>
      <c r="E510" s="2" t="s">
        <v>7908</v>
      </c>
      <c r="F510" s="1" t="s">
        <v>7912</v>
      </c>
      <c r="G510" s="1" t="s">
        <v>7910</v>
      </c>
    </row>
    <row r="511" spans="1:7" x14ac:dyDescent="0.35">
      <c r="A511" s="1" t="s">
        <v>126</v>
      </c>
      <c r="B511" s="1" t="s">
        <v>127</v>
      </c>
      <c r="C511" s="1" t="s">
        <v>6273</v>
      </c>
      <c r="D511" s="2" t="s">
        <v>7913</v>
      </c>
      <c r="E511" s="2" t="s">
        <v>7914</v>
      </c>
      <c r="F511" s="1" t="s">
        <v>7916</v>
      </c>
      <c r="G511" s="1" t="s">
        <v>7915</v>
      </c>
    </row>
    <row r="512" spans="1:7" x14ac:dyDescent="0.35">
      <c r="A512" s="1" t="s">
        <v>5564</v>
      </c>
      <c r="B512" s="1" t="s">
        <v>5565</v>
      </c>
      <c r="C512" s="1" t="s">
        <v>6709</v>
      </c>
      <c r="D512" s="2" t="s">
        <v>7917</v>
      </c>
      <c r="E512" s="2" t="s">
        <v>7918</v>
      </c>
      <c r="F512" s="1" t="s">
        <v>7920</v>
      </c>
      <c r="G512" s="1" t="s">
        <v>7919</v>
      </c>
    </row>
    <row r="513" spans="1:7" x14ac:dyDescent="0.35">
      <c r="A513" s="1" t="s">
        <v>4770</v>
      </c>
      <c r="B513" s="1" t="s">
        <v>4771</v>
      </c>
      <c r="C513" s="1" t="s">
        <v>6665</v>
      </c>
      <c r="D513" s="2" t="s">
        <v>7921</v>
      </c>
      <c r="E513" s="2" t="s">
        <v>7922</v>
      </c>
      <c r="F513" s="1" t="s">
        <v>7923</v>
      </c>
      <c r="G513" s="1" t="s">
        <v>7924</v>
      </c>
    </row>
    <row r="514" spans="1:7" x14ac:dyDescent="0.35">
      <c r="A514" s="1" t="s">
        <v>504</v>
      </c>
      <c r="B514" s="1" t="s">
        <v>505</v>
      </c>
      <c r="C514" s="1" t="s">
        <v>6304</v>
      </c>
      <c r="D514" s="2" t="s">
        <v>7925</v>
      </c>
      <c r="E514" s="2" t="s">
        <v>7926</v>
      </c>
      <c r="F514" s="1" t="s">
        <v>7928</v>
      </c>
      <c r="G514" s="1" t="s">
        <v>7927</v>
      </c>
    </row>
    <row r="515" spans="1:7" x14ac:dyDescent="0.35">
      <c r="A515" s="1" t="s">
        <v>4636</v>
      </c>
      <c r="B515" s="1" t="s">
        <v>4637</v>
      </c>
      <c r="C515" s="1" t="s">
        <v>6657</v>
      </c>
      <c r="D515" s="2"/>
      <c r="E515" s="2"/>
    </row>
    <row r="516" spans="1:7" x14ac:dyDescent="0.35">
      <c r="A516" s="1" t="s">
        <v>1229</v>
      </c>
      <c r="B516" s="1" t="s">
        <v>1230</v>
      </c>
      <c r="C516" s="1" t="s">
        <v>6419</v>
      </c>
      <c r="D516" s="2" t="s">
        <v>7929</v>
      </c>
      <c r="E516" s="2" t="s">
        <v>7930</v>
      </c>
      <c r="F516" s="1" t="s">
        <v>7932</v>
      </c>
      <c r="G516" s="1" t="s">
        <v>7931</v>
      </c>
    </row>
    <row r="517" spans="1:7" x14ac:dyDescent="0.35">
      <c r="A517" s="1" t="s">
        <v>1229</v>
      </c>
      <c r="B517" s="1" t="s">
        <v>1230</v>
      </c>
      <c r="C517" s="1" t="s">
        <v>6419</v>
      </c>
      <c r="D517" s="2" t="s">
        <v>7929</v>
      </c>
      <c r="E517" s="2" t="s">
        <v>7933</v>
      </c>
      <c r="F517" s="1" t="s">
        <v>7934</v>
      </c>
      <c r="G517" s="1" t="s">
        <v>7935</v>
      </c>
    </row>
    <row r="518" spans="1:7" x14ac:dyDescent="0.35">
      <c r="A518" s="1" t="s">
        <v>4217</v>
      </c>
      <c r="B518" s="1" t="s">
        <v>4218</v>
      </c>
      <c r="C518" s="1" t="s">
        <v>6635</v>
      </c>
      <c r="D518" s="2" t="s">
        <v>7936</v>
      </c>
      <c r="E518" s="2" t="s">
        <v>7937</v>
      </c>
      <c r="F518" s="1" t="s">
        <v>7938</v>
      </c>
      <c r="G518" s="1" t="s">
        <v>7939</v>
      </c>
    </row>
    <row r="519" spans="1:7" x14ac:dyDescent="0.35">
      <c r="A519" s="1" t="s">
        <v>5060</v>
      </c>
      <c r="B519" s="1" t="s">
        <v>5061</v>
      </c>
      <c r="C519" s="1" t="s">
        <v>6683</v>
      </c>
      <c r="D519" s="2" t="s">
        <v>7940</v>
      </c>
      <c r="E519" s="2" t="s">
        <v>7933</v>
      </c>
      <c r="F519" s="1" t="s">
        <v>7934</v>
      </c>
      <c r="G519" s="1" t="s">
        <v>7935</v>
      </c>
    </row>
    <row r="520" spans="1:7" x14ac:dyDescent="0.35">
      <c r="A520" s="1" t="s">
        <v>5060</v>
      </c>
      <c r="B520" s="1" t="s">
        <v>5061</v>
      </c>
      <c r="C520" s="1" t="s">
        <v>6683</v>
      </c>
      <c r="D520" s="2" t="s">
        <v>7940</v>
      </c>
      <c r="E520" s="2" t="s">
        <v>7930</v>
      </c>
      <c r="F520" s="1" t="s">
        <v>7932</v>
      </c>
      <c r="G520" s="1" t="s">
        <v>7931</v>
      </c>
    </row>
    <row r="521" spans="1:7" x14ac:dyDescent="0.35">
      <c r="A521" s="1" t="s">
        <v>3325</v>
      </c>
      <c r="B521" s="1" t="s">
        <v>3326</v>
      </c>
      <c r="C521" s="1" t="s">
        <v>6578</v>
      </c>
      <c r="D521" s="2" t="s">
        <v>7941</v>
      </c>
      <c r="E521" s="2" t="s">
        <v>7942</v>
      </c>
      <c r="F521" s="1" t="s">
        <v>7943</v>
      </c>
      <c r="G521" s="1" t="s">
        <v>7944</v>
      </c>
    </row>
    <row r="522" spans="1:7" x14ac:dyDescent="0.35">
      <c r="A522" s="1" t="s">
        <v>2482</v>
      </c>
      <c r="B522" s="1" t="s">
        <v>2483</v>
      </c>
      <c r="C522" s="1" t="s">
        <v>6515</v>
      </c>
      <c r="D522" s="2" t="s">
        <v>7945</v>
      </c>
      <c r="E522" s="2" t="s">
        <v>7946</v>
      </c>
      <c r="F522" s="1" t="s">
        <v>7948</v>
      </c>
      <c r="G522" s="1" t="s">
        <v>7947</v>
      </c>
    </row>
    <row r="523" spans="1:7" x14ac:dyDescent="0.35">
      <c r="A523" s="1" t="s">
        <v>4448</v>
      </c>
      <c r="B523" s="1" t="s">
        <v>4449</v>
      </c>
      <c r="C523" s="1" t="s">
        <v>6645</v>
      </c>
      <c r="D523" s="2" t="s">
        <v>7949</v>
      </c>
      <c r="E523" s="2" t="s">
        <v>7950</v>
      </c>
      <c r="F523" s="1" t="s">
        <v>7951</v>
      </c>
      <c r="G523" s="1" t="s">
        <v>7952</v>
      </c>
    </row>
    <row r="524" spans="1:7" x14ac:dyDescent="0.35">
      <c r="A524" s="1" t="s">
        <v>5153</v>
      </c>
      <c r="B524" s="1" t="s">
        <v>5154</v>
      </c>
      <c r="C524" s="1" t="s">
        <v>6689</v>
      </c>
      <c r="D524" s="2" t="s">
        <v>7953</v>
      </c>
      <c r="E524" s="2" t="s">
        <v>7954</v>
      </c>
      <c r="F524" s="1" t="s">
        <v>7956</v>
      </c>
      <c r="G524" s="1" t="s">
        <v>7955</v>
      </c>
    </row>
    <row r="525" spans="1:7" x14ac:dyDescent="0.35">
      <c r="A525" s="1" t="s">
        <v>622</v>
      </c>
      <c r="B525" s="1" t="s">
        <v>623</v>
      </c>
      <c r="C525" s="1" t="s">
        <v>6315</v>
      </c>
      <c r="D525" s="2" t="s">
        <v>7957</v>
      </c>
      <c r="E525" s="2" t="s">
        <v>7958</v>
      </c>
      <c r="F525" s="1" t="s">
        <v>7960</v>
      </c>
      <c r="G525" s="1" t="s">
        <v>7959</v>
      </c>
    </row>
    <row r="526" spans="1:7" x14ac:dyDescent="0.35">
      <c r="A526" s="1" t="s">
        <v>176</v>
      </c>
      <c r="B526" s="1" t="s">
        <v>177</v>
      </c>
      <c r="C526" s="1" t="s">
        <v>6281</v>
      </c>
      <c r="D526" s="2" t="s">
        <v>7961</v>
      </c>
      <c r="E526" s="2" t="s">
        <v>7962</v>
      </c>
      <c r="F526" s="1" t="s">
        <v>9038</v>
      </c>
      <c r="G526" s="5" t="s">
        <v>7988</v>
      </c>
    </row>
    <row r="527" spans="1:7" x14ac:dyDescent="0.35">
      <c r="A527" s="1" t="s">
        <v>476</v>
      </c>
      <c r="B527" s="1" t="s">
        <v>477</v>
      </c>
      <c r="C527" s="1" t="s">
        <v>6302</v>
      </c>
      <c r="D527" s="2" t="s">
        <v>7963</v>
      </c>
      <c r="E527" s="2" t="s">
        <v>7964</v>
      </c>
      <c r="F527" s="1" t="s">
        <v>7970</v>
      </c>
      <c r="G527" s="5" t="s">
        <v>7975</v>
      </c>
    </row>
    <row r="528" spans="1:7" x14ac:dyDescent="0.35">
      <c r="A528" s="1" t="s">
        <v>476</v>
      </c>
      <c r="B528" s="1" t="s">
        <v>477</v>
      </c>
      <c r="C528" s="1" t="s">
        <v>6302</v>
      </c>
      <c r="D528" s="2" t="s">
        <v>7963</v>
      </c>
      <c r="E528" s="2" t="s">
        <v>7965</v>
      </c>
      <c r="F528" s="1" t="s">
        <v>7971</v>
      </c>
      <c r="G528" s="5" t="s">
        <v>7975</v>
      </c>
    </row>
    <row r="529" spans="1:7" x14ac:dyDescent="0.35">
      <c r="A529" s="1" t="s">
        <v>476</v>
      </c>
      <c r="B529" s="1" t="s">
        <v>477</v>
      </c>
      <c r="C529" s="1" t="s">
        <v>6302</v>
      </c>
      <c r="D529" s="2" t="s">
        <v>7963</v>
      </c>
      <c r="E529" s="2" t="s">
        <v>7966</v>
      </c>
      <c r="F529" s="1" t="s">
        <v>7972</v>
      </c>
      <c r="G529" s="5" t="s">
        <v>7975</v>
      </c>
    </row>
    <row r="530" spans="1:7" x14ac:dyDescent="0.35">
      <c r="A530" s="1" t="s">
        <v>476</v>
      </c>
      <c r="B530" s="1" t="s">
        <v>477</v>
      </c>
      <c r="C530" s="1" t="s">
        <v>6302</v>
      </c>
      <c r="D530" s="2" t="s">
        <v>7963</v>
      </c>
      <c r="E530" s="2" t="s">
        <v>7967</v>
      </c>
      <c r="F530" s="1" t="s">
        <v>7973</v>
      </c>
      <c r="G530" s="5" t="s">
        <v>7975</v>
      </c>
    </row>
    <row r="531" spans="1:7" x14ac:dyDescent="0.35">
      <c r="A531" s="1" t="s">
        <v>476</v>
      </c>
      <c r="B531" s="1" t="s">
        <v>477</v>
      </c>
      <c r="C531" s="1" t="s">
        <v>6302</v>
      </c>
      <c r="D531" s="2" t="s">
        <v>7963</v>
      </c>
      <c r="E531" s="2" t="s">
        <v>7968</v>
      </c>
      <c r="F531" s="1" t="s">
        <v>7974</v>
      </c>
      <c r="G531" s="5" t="s">
        <v>7975</v>
      </c>
    </row>
    <row r="532" spans="1:7" x14ac:dyDescent="0.35">
      <c r="A532" s="1" t="s">
        <v>476</v>
      </c>
      <c r="B532" s="1" t="s">
        <v>477</v>
      </c>
      <c r="C532" s="1" t="s">
        <v>6302</v>
      </c>
      <c r="D532" s="2" t="s">
        <v>7963</v>
      </c>
      <c r="E532" s="2" t="s">
        <v>7969</v>
      </c>
      <c r="F532" s="1" t="s">
        <v>9039</v>
      </c>
      <c r="G532" s="1" t="s">
        <v>9067</v>
      </c>
    </row>
    <row r="533" spans="1:7" x14ac:dyDescent="0.35">
      <c r="A533" s="1" t="s">
        <v>3277</v>
      </c>
      <c r="B533" s="1" t="s">
        <v>3278</v>
      </c>
      <c r="C533" s="1" t="s">
        <v>6574</v>
      </c>
      <c r="D533" s="2"/>
      <c r="E533" s="2"/>
    </row>
    <row r="534" spans="1:7" x14ac:dyDescent="0.35">
      <c r="A534" s="1" t="s">
        <v>277</v>
      </c>
      <c r="B534" s="1" t="s">
        <v>278</v>
      </c>
      <c r="C534" s="1" t="s">
        <v>6288</v>
      </c>
      <c r="D534" s="2" t="s">
        <v>7976</v>
      </c>
      <c r="E534" s="2" t="s">
        <v>7962</v>
      </c>
      <c r="F534" s="5" t="s">
        <v>9038</v>
      </c>
      <c r="G534" s="5" t="s">
        <v>7988</v>
      </c>
    </row>
    <row r="535" spans="1:7" x14ac:dyDescent="0.35">
      <c r="A535" s="1" t="s">
        <v>277</v>
      </c>
      <c r="B535" s="1" t="s">
        <v>278</v>
      </c>
      <c r="C535" s="1" t="s">
        <v>6288</v>
      </c>
      <c r="D535" s="2" t="s">
        <v>7976</v>
      </c>
      <c r="E535" s="2" t="s">
        <v>7977</v>
      </c>
      <c r="F535" s="5" t="s">
        <v>7984</v>
      </c>
      <c r="G535" s="5" t="s">
        <v>7988</v>
      </c>
    </row>
    <row r="536" spans="1:7" x14ac:dyDescent="0.35">
      <c r="A536" s="1" t="s">
        <v>277</v>
      </c>
      <c r="B536" s="1" t="s">
        <v>278</v>
      </c>
      <c r="C536" s="1" t="s">
        <v>6288</v>
      </c>
      <c r="D536" s="2" t="s">
        <v>7976</v>
      </c>
      <c r="E536" s="2" t="s">
        <v>7978</v>
      </c>
      <c r="F536" s="5" t="s">
        <v>7985</v>
      </c>
      <c r="G536" s="5" t="s">
        <v>7988</v>
      </c>
    </row>
    <row r="537" spans="1:7" x14ac:dyDescent="0.35">
      <c r="A537" s="1" t="s">
        <v>277</v>
      </c>
      <c r="B537" s="1" t="s">
        <v>278</v>
      </c>
      <c r="C537" s="1" t="s">
        <v>6288</v>
      </c>
      <c r="D537" s="2" t="s">
        <v>7976</v>
      </c>
      <c r="E537" s="2" t="s">
        <v>7979</v>
      </c>
      <c r="F537" s="5" t="s">
        <v>7986</v>
      </c>
      <c r="G537" s="5" t="s">
        <v>7988</v>
      </c>
    </row>
    <row r="538" spans="1:7" x14ac:dyDescent="0.35">
      <c r="A538" s="1" t="s">
        <v>277</v>
      </c>
      <c r="B538" s="1" t="s">
        <v>278</v>
      </c>
      <c r="C538" s="1" t="s">
        <v>6288</v>
      </c>
      <c r="D538" s="2" t="s">
        <v>7976</v>
      </c>
      <c r="E538" s="2" t="s">
        <v>7980</v>
      </c>
      <c r="F538" s="5" t="s">
        <v>7987</v>
      </c>
      <c r="G538" s="5" t="s">
        <v>7988</v>
      </c>
    </row>
    <row r="539" spans="1:7" x14ac:dyDescent="0.35">
      <c r="A539" s="1" t="s">
        <v>277</v>
      </c>
      <c r="B539" s="1" t="s">
        <v>278</v>
      </c>
      <c r="C539" s="1" t="s">
        <v>6288</v>
      </c>
      <c r="D539" s="2" t="s">
        <v>7976</v>
      </c>
      <c r="E539" s="2" t="s">
        <v>7981</v>
      </c>
      <c r="F539" s="5" t="s">
        <v>7982</v>
      </c>
      <c r="G539" s="5" t="s">
        <v>7983</v>
      </c>
    </row>
    <row r="540" spans="1:7" x14ac:dyDescent="0.35">
      <c r="A540" s="1" t="s">
        <v>330</v>
      </c>
      <c r="B540" s="1" t="s">
        <v>331</v>
      </c>
      <c r="C540" s="1" t="s">
        <v>6293</v>
      </c>
      <c r="D540" s="2" t="s">
        <v>7989</v>
      </c>
      <c r="E540" s="2" t="s">
        <v>7990</v>
      </c>
      <c r="F540" s="5" t="s">
        <v>8000</v>
      </c>
      <c r="G540" s="5" t="s">
        <v>7995</v>
      </c>
    </row>
    <row r="541" spans="1:7" x14ac:dyDescent="0.35">
      <c r="A541" s="1" t="s">
        <v>330</v>
      </c>
      <c r="B541" s="1" t="s">
        <v>331</v>
      </c>
      <c r="C541" s="1" t="s">
        <v>6293</v>
      </c>
      <c r="D541" s="2" t="s">
        <v>7989</v>
      </c>
      <c r="E541" s="2" t="s">
        <v>7991</v>
      </c>
      <c r="F541" s="5" t="s">
        <v>8000</v>
      </c>
      <c r="G541" s="5" t="s">
        <v>7996</v>
      </c>
    </row>
    <row r="542" spans="1:7" x14ac:dyDescent="0.35">
      <c r="A542" s="1" t="s">
        <v>330</v>
      </c>
      <c r="B542" s="1" t="s">
        <v>331</v>
      </c>
      <c r="C542" s="1" t="s">
        <v>6293</v>
      </c>
      <c r="D542" s="2" t="s">
        <v>7989</v>
      </c>
      <c r="E542" s="2" t="s">
        <v>7992</v>
      </c>
      <c r="F542" s="5" t="s">
        <v>8000</v>
      </c>
      <c r="G542" s="5" t="s">
        <v>7997</v>
      </c>
    </row>
    <row r="543" spans="1:7" x14ac:dyDescent="0.35">
      <c r="A543" s="1" t="s">
        <v>330</v>
      </c>
      <c r="B543" s="1" t="s">
        <v>331</v>
      </c>
      <c r="C543" s="1" t="s">
        <v>6293</v>
      </c>
      <c r="D543" s="2" t="s">
        <v>7989</v>
      </c>
      <c r="E543" s="2" t="s">
        <v>7993</v>
      </c>
      <c r="F543" s="5" t="s">
        <v>8000</v>
      </c>
      <c r="G543" s="5" t="s">
        <v>7998</v>
      </c>
    </row>
    <row r="544" spans="1:7" x14ac:dyDescent="0.35">
      <c r="A544" s="1" t="s">
        <v>330</v>
      </c>
      <c r="B544" s="1" t="s">
        <v>331</v>
      </c>
      <c r="C544" s="1" t="s">
        <v>6293</v>
      </c>
      <c r="D544" s="2" t="s">
        <v>7989</v>
      </c>
      <c r="E544" s="2" t="s">
        <v>7994</v>
      </c>
      <c r="F544" s="5" t="s">
        <v>8000</v>
      </c>
      <c r="G544" s="5" t="s">
        <v>7999</v>
      </c>
    </row>
    <row r="545" spans="1:7" x14ac:dyDescent="0.35">
      <c r="A545" s="1" t="s">
        <v>5695</v>
      </c>
      <c r="B545" s="1" t="s">
        <v>5696</v>
      </c>
      <c r="C545" s="1" t="s">
        <v>6718</v>
      </c>
      <c r="D545" s="2" t="s">
        <v>8001</v>
      </c>
      <c r="E545" s="2" t="s">
        <v>8002</v>
      </c>
      <c r="F545" s="5" t="s">
        <v>8004</v>
      </c>
      <c r="G545" s="5" t="s">
        <v>8003</v>
      </c>
    </row>
    <row r="546" spans="1:7" x14ac:dyDescent="0.35">
      <c r="A546" s="1" t="s">
        <v>3114</v>
      </c>
      <c r="B546" s="1" t="s">
        <v>3115</v>
      </c>
      <c r="C546" s="1" t="s">
        <v>6561</v>
      </c>
      <c r="D546" s="2"/>
      <c r="E546" s="2"/>
      <c r="F546" s="5"/>
      <c r="G546" s="5"/>
    </row>
    <row r="547" spans="1:7" x14ac:dyDescent="0.35">
      <c r="A547" s="1" t="s">
        <v>3926</v>
      </c>
      <c r="B547" s="1" t="s">
        <v>3927</v>
      </c>
      <c r="C547" s="1" t="s">
        <v>6561</v>
      </c>
      <c r="D547" s="2"/>
      <c r="E547" s="2"/>
      <c r="F547" s="5"/>
      <c r="G547" s="5"/>
    </row>
    <row r="548" spans="1:7" x14ac:dyDescent="0.35">
      <c r="A548" s="1" t="s">
        <v>3932</v>
      </c>
      <c r="B548" s="1" t="s">
        <v>3933</v>
      </c>
      <c r="C548" s="1" t="s">
        <v>6561</v>
      </c>
      <c r="D548" s="2"/>
      <c r="E548" s="2"/>
      <c r="F548" s="5"/>
      <c r="G548" s="5"/>
    </row>
    <row r="549" spans="1:7" x14ac:dyDescent="0.35">
      <c r="A549" s="1" t="s">
        <v>5275</v>
      </c>
      <c r="B549" s="1" t="s">
        <v>5276</v>
      </c>
      <c r="C549" s="1" t="s">
        <v>6695</v>
      </c>
      <c r="D549" s="2" t="s">
        <v>8005</v>
      </c>
      <c r="E549" s="2" t="s">
        <v>8006</v>
      </c>
      <c r="F549" s="5" t="s">
        <v>8010</v>
      </c>
      <c r="G549" s="5" t="s">
        <v>8008</v>
      </c>
    </row>
    <row r="550" spans="1:7" x14ac:dyDescent="0.35">
      <c r="A550" s="1" t="s">
        <v>5275</v>
      </c>
      <c r="B550" s="1" t="s">
        <v>5276</v>
      </c>
      <c r="C550" s="1" t="s">
        <v>6695</v>
      </c>
      <c r="D550" s="2" t="s">
        <v>8005</v>
      </c>
      <c r="E550" s="2" t="s">
        <v>8007</v>
      </c>
      <c r="F550" s="5" t="s">
        <v>8011</v>
      </c>
      <c r="G550" s="5" t="s">
        <v>8009</v>
      </c>
    </row>
    <row r="551" spans="1:7" x14ac:dyDescent="0.35">
      <c r="A551" s="1" t="s">
        <v>6221</v>
      </c>
      <c r="B551" s="1" t="s">
        <v>6222</v>
      </c>
      <c r="C551" s="1" t="s">
        <v>6737</v>
      </c>
      <c r="D551" s="2" t="s">
        <v>8012</v>
      </c>
      <c r="E551" s="2" t="s">
        <v>8013</v>
      </c>
      <c r="F551" s="5" t="s">
        <v>8014</v>
      </c>
      <c r="G551" s="5" t="s">
        <v>8015</v>
      </c>
    </row>
    <row r="552" spans="1:7" x14ac:dyDescent="0.35">
      <c r="A552" s="1" t="s">
        <v>5381</v>
      </c>
      <c r="B552" s="1" t="s">
        <v>5382</v>
      </c>
      <c r="C552" s="1" t="s">
        <v>6700</v>
      </c>
      <c r="D552" s="2" t="s">
        <v>8016</v>
      </c>
      <c r="E552" s="2" t="s">
        <v>8017</v>
      </c>
      <c r="F552" s="5" t="s">
        <v>8031</v>
      </c>
      <c r="G552" s="5" t="s">
        <v>8027</v>
      </c>
    </row>
    <row r="553" spans="1:7" x14ac:dyDescent="0.35">
      <c r="A553" s="1" t="s">
        <v>2206</v>
      </c>
      <c r="B553" s="1" t="s">
        <v>2207</v>
      </c>
      <c r="C553" s="1" t="s">
        <v>6493</v>
      </c>
      <c r="D553" s="2" t="s">
        <v>8018</v>
      </c>
      <c r="E553" s="2" t="s">
        <v>8019</v>
      </c>
      <c r="F553" s="5" t="s">
        <v>9040</v>
      </c>
      <c r="G553" s="5" t="s">
        <v>9068</v>
      </c>
    </row>
    <row r="554" spans="1:7" x14ac:dyDescent="0.35">
      <c r="A554" s="1" t="s">
        <v>562</v>
      </c>
      <c r="B554" s="1" t="s">
        <v>563</v>
      </c>
      <c r="C554" s="1" t="s">
        <v>6309</v>
      </c>
      <c r="D554" s="2" t="s">
        <v>8020</v>
      </c>
      <c r="E554" s="2" t="s">
        <v>8021</v>
      </c>
      <c r="F554" s="5" t="s">
        <v>8024</v>
      </c>
      <c r="G554" s="5" t="s">
        <v>8028</v>
      </c>
    </row>
    <row r="555" spans="1:7" x14ac:dyDescent="0.35">
      <c r="A555" s="1" t="s">
        <v>562</v>
      </c>
      <c r="B555" s="1" t="s">
        <v>563</v>
      </c>
      <c r="C555" s="1" t="s">
        <v>6309</v>
      </c>
      <c r="D555" s="2" t="s">
        <v>8020</v>
      </c>
      <c r="E555" s="2" t="s">
        <v>8022</v>
      </c>
      <c r="F555" s="5" t="s">
        <v>8025</v>
      </c>
      <c r="G555" s="5" t="s">
        <v>8029</v>
      </c>
    </row>
    <row r="556" spans="1:7" x14ac:dyDescent="0.35">
      <c r="A556" s="1" t="s">
        <v>562</v>
      </c>
      <c r="B556" s="1" t="s">
        <v>563</v>
      </c>
      <c r="C556" s="1" t="s">
        <v>6309</v>
      </c>
      <c r="D556" s="2" t="s">
        <v>8020</v>
      </c>
      <c r="E556" s="2" t="s">
        <v>8023</v>
      </c>
      <c r="F556" s="5" t="s">
        <v>8026</v>
      </c>
      <c r="G556" s="5" t="s">
        <v>8030</v>
      </c>
    </row>
    <row r="557" spans="1:7" x14ac:dyDescent="0.35">
      <c r="A557" s="1" t="s">
        <v>673</v>
      </c>
      <c r="B557" s="1" t="s">
        <v>674</v>
      </c>
      <c r="C557" s="1" t="s">
        <v>6320</v>
      </c>
      <c r="D557" s="2"/>
      <c r="E557" s="2"/>
      <c r="F557" s="5"/>
      <c r="G557" s="5"/>
    </row>
    <row r="558" spans="1:7" x14ac:dyDescent="0.35">
      <c r="A558" s="1" t="s">
        <v>1468</v>
      </c>
      <c r="B558" s="1" t="s">
        <v>1469</v>
      </c>
      <c r="C558" s="1" t="s">
        <v>6320</v>
      </c>
      <c r="D558" s="2"/>
      <c r="E558" s="2"/>
      <c r="F558" s="5"/>
      <c r="G558" s="5"/>
    </row>
    <row r="559" spans="1:7" x14ac:dyDescent="0.35">
      <c r="A559" s="1" t="s">
        <v>1684</v>
      </c>
      <c r="B559" s="1" t="s">
        <v>1685</v>
      </c>
      <c r="C559" s="1" t="s">
        <v>6320</v>
      </c>
      <c r="D559" s="2"/>
      <c r="E559" s="2"/>
      <c r="F559" s="5"/>
      <c r="G559" s="5"/>
    </row>
    <row r="560" spans="1:7" x14ac:dyDescent="0.35">
      <c r="A560" s="1" t="s">
        <v>3707</v>
      </c>
      <c r="B560" s="1" t="s">
        <v>3708</v>
      </c>
      <c r="C560" s="1" t="s">
        <v>6320</v>
      </c>
      <c r="D560" s="2"/>
      <c r="E560" s="2"/>
      <c r="F560" s="5"/>
      <c r="G560" s="5"/>
    </row>
    <row r="561" spans="1:7" x14ac:dyDescent="0.35">
      <c r="A561" s="1" t="s">
        <v>4022</v>
      </c>
      <c r="B561" s="1" t="s">
        <v>4023</v>
      </c>
      <c r="C561" s="1" t="s">
        <v>6320</v>
      </c>
      <c r="D561" s="2"/>
      <c r="E561" s="2"/>
      <c r="F561" s="5"/>
      <c r="G561" s="5"/>
    </row>
    <row r="562" spans="1:7" x14ac:dyDescent="0.35">
      <c r="A562" s="1" t="s">
        <v>5705</v>
      </c>
      <c r="B562" s="1" t="s">
        <v>5706</v>
      </c>
      <c r="C562" s="1" t="s">
        <v>6320</v>
      </c>
      <c r="D562" s="2"/>
      <c r="E562" s="2"/>
      <c r="F562" s="5"/>
      <c r="G562" s="5"/>
    </row>
    <row r="563" spans="1:7" x14ac:dyDescent="0.35">
      <c r="A563" s="1" t="s">
        <v>508</v>
      </c>
      <c r="B563" s="1" t="s">
        <v>509</v>
      </c>
      <c r="C563" s="1" t="s">
        <v>6305</v>
      </c>
      <c r="D563" s="2"/>
      <c r="E563" s="2"/>
      <c r="F563" s="5"/>
      <c r="G563" s="5"/>
    </row>
    <row r="564" spans="1:7" x14ac:dyDescent="0.35">
      <c r="A564" s="1" t="s">
        <v>1929</v>
      </c>
      <c r="B564" s="1" t="s">
        <v>1930</v>
      </c>
      <c r="C564" s="1" t="s">
        <v>6305</v>
      </c>
      <c r="D564" s="2"/>
      <c r="E564" s="2"/>
      <c r="F564" s="5"/>
      <c r="G564" s="5"/>
    </row>
    <row r="565" spans="1:7" x14ac:dyDescent="0.35">
      <c r="A565" s="1" t="s">
        <v>2608</v>
      </c>
      <c r="B565" s="1" t="s">
        <v>2609</v>
      </c>
      <c r="C565" s="1" t="s">
        <v>6305</v>
      </c>
      <c r="D565" s="2"/>
      <c r="E565" s="2"/>
      <c r="F565" s="5"/>
      <c r="G565" s="5"/>
    </row>
    <row r="566" spans="1:7" x14ac:dyDescent="0.35">
      <c r="A566" s="1" t="s">
        <v>3688</v>
      </c>
      <c r="B566" s="1" t="s">
        <v>3689</v>
      </c>
      <c r="C566" s="1" t="s">
        <v>6305</v>
      </c>
      <c r="D566" s="2"/>
      <c r="E566" s="2"/>
      <c r="F566" s="5"/>
      <c r="G566" s="5"/>
    </row>
    <row r="567" spans="1:7" x14ac:dyDescent="0.35">
      <c r="A567" s="1" t="s">
        <v>5043</v>
      </c>
      <c r="B567" s="1" t="s">
        <v>5044</v>
      </c>
      <c r="C567" s="1" t="s">
        <v>6305</v>
      </c>
      <c r="D567" s="2"/>
      <c r="E567" s="2"/>
      <c r="F567" s="5"/>
      <c r="G567" s="5"/>
    </row>
    <row r="568" spans="1:7" x14ac:dyDescent="0.35">
      <c r="A568" s="1" t="s">
        <v>5515</v>
      </c>
      <c r="B568" s="1" t="s">
        <v>5516</v>
      </c>
      <c r="C568" s="1" t="s">
        <v>6305</v>
      </c>
      <c r="D568" s="2"/>
      <c r="E568" s="2"/>
      <c r="F568" s="5"/>
      <c r="G568" s="5"/>
    </row>
    <row r="569" spans="1:7" x14ac:dyDescent="0.35">
      <c r="A569" s="1" t="s">
        <v>5557</v>
      </c>
      <c r="B569" s="1" t="s">
        <v>5558</v>
      </c>
      <c r="C569" s="1" t="s">
        <v>6305</v>
      </c>
      <c r="D569" s="2"/>
      <c r="E569" s="2"/>
      <c r="F569" s="5"/>
      <c r="G569" s="5"/>
    </row>
    <row r="570" spans="1:7" x14ac:dyDescent="0.35">
      <c r="A570" s="1" t="s">
        <v>6041</v>
      </c>
      <c r="B570" s="1" t="s">
        <v>6042</v>
      </c>
      <c r="C570" s="1" t="s">
        <v>6305</v>
      </c>
      <c r="D570" s="2"/>
      <c r="E570" s="2"/>
      <c r="F570" s="5"/>
      <c r="G570" s="5"/>
    </row>
    <row r="571" spans="1:7" x14ac:dyDescent="0.35">
      <c r="A571" s="1" t="s">
        <v>1696</v>
      </c>
      <c r="B571" s="1" t="s">
        <v>1697</v>
      </c>
      <c r="C571" s="1" t="s">
        <v>6450</v>
      </c>
      <c r="D571" s="2" t="s">
        <v>8032</v>
      </c>
      <c r="E571" s="2" t="s">
        <v>8033</v>
      </c>
      <c r="F571" s="5" t="s">
        <v>8039</v>
      </c>
      <c r="G571" s="5" t="s">
        <v>8034</v>
      </c>
    </row>
    <row r="572" spans="1:7" x14ac:dyDescent="0.35">
      <c r="A572" s="1" t="s">
        <v>36</v>
      </c>
      <c r="B572" s="1" t="s">
        <v>37</v>
      </c>
      <c r="C572" s="1" t="s">
        <v>6269</v>
      </c>
      <c r="D572" s="2" t="s">
        <v>8035</v>
      </c>
      <c r="E572" s="2" t="s">
        <v>8036</v>
      </c>
      <c r="F572" s="5" t="s">
        <v>8038</v>
      </c>
      <c r="G572" s="5" t="s">
        <v>8037</v>
      </c>
    </row>
    <row r="573" spans="1:7" x14ac:dyDescent="0.35">
      <c r="A573" s="1" t="s">
        <v>4401</v>
      </c>
      <c r="B573" s="1" t="s">
        <v>4402</v>
      </c>
      <c r="C573" s="1" t="s">
        <v>6643</v>
      </c>
      <c r="D573" s="2"/>
      <c r="E573" s="2"/>
      <c r="F573" s="5"/>
      <c r="G573" s="5"/>
    </row>
    <row r="574" spans="1:7" x14ac:dyDescent="0.35">
      <c r="A574" s="1" t="s">
        <v>4404</v>
      </c>
      <c r="B574" s="1" t="s">
        <v>4405</v>
      </c>
      <c r="C574" s="1" t="s">
        <v>6643</v>
      </c>
      <c r="D574" s="2"/>
      <c r="E574" s="2"/>
      <c r="F574" s="5"/>
      <c r="G574" s="5"/>
    </row>
    <row r="575" spans="1:7" x14ac:dyDescent="0.35">
      <c r="A575" s="1" t="s">
        <v>4825</v>
      </c>
      <c r="B575" s="1" t="s">
        <v>4826</v>
      </c>
      <c r="C575" s="1" t="s">
        <v>6669</v>
      </c>
      <c r="D575" s="2"/>
      <c r="E575" s="2"/>
      <c r="F575" s="5"/>
      <c r="G575" s="5"/>
    </row>
    <row r="576" spans="1:7" x14ac:dyDescent="0.35">
      <c r="A576" s="1" t="s">
        <v>5492</v>
      </c>
      <c r="B576" s="1" t="s">
        <v>5493</v>
      </c>
      <c r="C576" s="1" t="s">
        <v>6705</v>
      </c>
      <c r="D576" s="2"/>
      <c r="E576" s="2"/>
      <c r="F576" s="5"/>
      <c r="G576" s="5"/>
    </row>
    <row r="577" spans="1:7" x14ac:dyDescent="0.35">
      <c r="A577" s="1" t="s">
        <v>2630</v>
      </c>
      <c r="B577" s="1" t="s">
        <v>2631</v>
      </c>
      <c r="C577" s="1" t="s">
        <v>6536</v>
      </c>
      <c r="D577" s="2"/>
      <c r="E577" s="2"/>
      <c r="F577" s="5"/>
      <c r="G577" s="5"/>
    </row>
    <row r="578" spans="1:7" x14ac:dyDescent="0.35">
      <c r="A578" s="1" t="s">
        <v>2502</v>
      </c>
      <c r="B578" s="1" t="s">
        <v>2503</v>
      </c>
      <c r="C578" s="1" t="s">
        <v>6518</v>
      </c>
      <c r="D578" s="2" t="s">
        <v>8040</v>
      </c>
      <c r="E578" s="2" t="s">
        <v>8041</v>
      </c>
      <c r="F578" s="5" t="s">
        <v>8060</v>
      </c>
      <c r="G578" s="5" t="s">
        <v>8054</v>
      </c>
    </row>
    <row r="579" spans="1:7" x14ac:dyDescent="0.35">
      <c r="A579" s="1" t="s">
        <v>2502</v>
      </c>
      <c r="B579" s="1" t="s">
        <v>2503</v>
      </c>
      <c r="C579" s="1" t="s">
        <v>6518</v>
      </c>
      <c r="D579" s="2" t="s">
        <v>8040</v>
      </c>
      <c r="E579" s="2" t="s">
        <v>8042</v>
      </c>
      <c r="F579" s="5" t="s">
        <v>8059</v>
      </c>
      <c r="G579" s="5" t="s">
        <v>8053</v>
      </c>
    </row>
    <row r="580" spans="1:7" x14ac:dyDescent="0.35">
      <c r="A580" s="1" t="s">
        <v>2502</v>
      </c>
      <c r="B580" s="1" t="s">
        <v>2503</v>
      </c>
      <c r="C580" s="1" t="s">
        <v>6518</v>
      </c>
      <c r="D580" s="2" t="s">
        <v>8040</v>
      </c>
      <c r="E580" s="2" t="s">
        <v>8043</v>
      </c>
      <c r="F580" s="5" t="s">
        <v>8058</v>
      </c>
      <c r="G580" s="5" t="s">
        <v>8052</v>
      </c>
    </row>
    <row r="581" spans="1:7" x14ac:dyDescent="0.35">
      <c r="A581" s="1" t="s">
        <v>2502</v>
      </c>
      <c r="B581" s="1" t="s">
        <v>2503</v>
      </c>
      <c r="C581" s="1" t="s">
        <v>6518</v>
      </c>
      <c r="D581" s="2" t="s">
        <v>8040</v>
      </c>
      <c r="E581" s="2" t="s">
        <v>8044</v>
      </c>
      <c r="F581" s="5" t="s">
        <v>8057</v>
      </c>
      <c r="G581" s="5" t="s">
        <v>8051</v>
      </c>
    </row>
    <row r="582" spans="1:7" x14ac:dyDescent="0.35">
      <c r="A582" s="1" t="s">
        <v>2502</v>
      </c>
      <c r="B582" s="1" t="s">
        <v>2503</v>
      </c>
      <c r="C582" s="1" t="s">
        <v>6518</v>
      </c>
      <c r="D582" s="2" t="s">
        <v>8040</v>
      </c>
      <c r="E582" s="2" t="s">
        <v>8045</v>
      </c>
      <c r="F582" s="5" t="s">
        <v>8056</v>
      </c>
      <c r="G582" s="5" t="s">
        <v>8050</v>
      </c>
    </row>
    <row r="583" spans="1:7" x14ac:dyDescent="0.35">
      <c r="A583" s="1" t="s">
        <v>2502</v>
      </c>
      <c r="B583" s="1" t="s">
        <v>2503</v>
      </c>
      <c r="C583" s="1" t="s">
        <v>6518</v>
      </c>
      <c r="D583" s="2" t="s">
        <v>8040</v>
      </c>
      <c r="E583" s="2" t="s">
        <v>8046</v>
      </c>
      <c r="F583" s="5" t="s">
        <v>8055</v>
      </c>
      <c r="G583" s="5" t="s">
        <v>8049</v>
      </c>
    </row>
    <row r="584" spans="1:7" x14ac:dyDescent="0.35">
      <c r="A584" s="1" t="s">
        <v>2502</v>
      </c>
      <c r="B584" s="1" t="s">
        <v>2503</v>
      </c>
      <c r="C584" s="1" t="s">
        <v>6518</v>
      </c>
      <c r="D584" s="2" t="s">
        <v>8040</v>
      </c>
      <c r="E584" s="2" t="s">
        <v>8047</v>
      </c>
      <c r="F584" s="5" t="s">
        <v>13122</v>
      </c>
      <c r="G584" s="5" t="s">
        <v>8048</v>
      </c>
    </row>
    <row r="585" spans="1:7" x14ac:dyDescent="0.35">
      <c r="A585" s="1" t="s">
        <v>687</v>
      </c>
      <c r="B585" s="1" t="s">
        <v>688</v>
      </c>
      <c r="C585" s="1" t="s">
        <v>6322</v>
      </c>
      <c r="D585" s="2" t="s">
        <v>8061</v>
      </c>
      <c r="E585" s="2" t="s">
        <v>8062</v>
      </c>
      <c r="F585" s="5" t="s">
        <v>8086</v>
      </c>
      <c r="G585" s="5" t="s">
        <v>8074</v>
      </c>
    </row>
    <row r="586" spans="1:7" x14ac:dyDescent="0.35">
      <c r="A586" s="1" t="s">
        <v>687</v>
      </c>
      <c r="B586" s="1" t="s">
        <v>688</v>
      </c>
      <c r="C586" s="1" t="s">
        <v>6322</v>
      </c>
      <c r="D586" s="2" t="s">
        <v>8061</v>
      </c>
      <c r="E586" s="2" t="s">
        <v>8063</v>
      </c>
      <c r="F586" s="5" t="s">
        <v>8087</v>
      </c>
      <c r="G586" s="5" t="s">
        <v>8075</v>
      </c>
    </row>
    <row r="587" spans="1:7" x14ac:dyDescent="0.35">
      <c r="A587" s="1" t="s">
        <v>687</v>
      </c>
      <c r="B587" s="1" t="s">
        <v>688</v>
      </c>
      <c r="C587" s="1" t="s">
        <v>6322</v>
      </c>
      <c r="D587" s="2" t="s">
        <v>8061</v>
      </c>
      <c r="E587" s="2" t="s">
        <v>8064</v>
      </c>
      <c r="F587" s="5" t="s">
        <v>8088</v>
      </c>
      <c r="G587" s="5" t="s">
        <v>8076</v>
      </c>
    </row>
    <row r="588" spans="1:7" x14ac:dyDescent="0.35">
      <c r="A588" s="1" t="s">
        <v>687</v>
      </c>
      <c r="B588" s="1" t="s">
        <v>688</v>
      </c>
      <c r="C588" s="1" t="s">
        <v>6322</v>
      </c>
      <c r="D588" s="2" t="s">
        <v>8061</v>
      </c>
      <c r="E588" s="2" t="s">
        <v>8065</v>
      </c>
      <c r="F588" s="5" t="s">
        <v>8089</v>
      </c>
      <c r="G588" s="5" t="s">
        <v>8077</v>
      </c>
    </row>
    <row r="589" spans="1:7" x14ac:dyDescent="0.35">
      <c r="A589" s="1" t="s">
        <v>687</v>
      </c>
      <c r="B589" s="1" t="s">
        <v>688</v>
      </c>
      <c r="C589" s="1" t="s">
        <v>6322</v>
      </c>
      <c r="D589" s="2" t="s">
        <v>8061</v>
      </c>
      <c r="E589" s="2" t="s">
        <v>8066</v>
      </c>
      <c r="F589" s="5" t="s">
        <v>8090</v>
      </c>
      <c r="G589" s="5" t="s">
        <v>8078</v>
      </c>
    </row>
    <row r="590" spans="1:7" x14ac:dyDescent="0.35">
      <c r="A590" s="1" t="s">
        <v>687</v>
      </c>
      <c r="B590" s="1" t="s">
        <v>688</v>
      </c>
      <c r="C590" s="1" t="s">
        <v>6322</v>
      </c>
      <c r="D590" s="2" t="s">
        <v>8061</v>
      </c>
      <c r="E590" s="2" t="s">
        <v>8067</v>
      </c>
      <c r="F590" s="5" t="s">
        <v>8091</v>
      </c>
      <c r="G590" s="5" t="s">
        <v>8079</v>
      </c>
    </row>
    <row r="591" spans="1:7" x14ac:dyDescent="0.35">
      <c r="A591" s="1" t="s">
        <v>687</v>
      </c>
      <c r="B591" s="1" t="s">
        <v>688</v>
      </c>
      <c r="C591" s="1" t="s">
        <v>6322</v>
      </c>
      <c r="D591" s="2" t="s">
        <v>8061</v>
      </c>
      <c r="E591" s="2" t="s">
        <v>8068</v>
      </c>
      <c r="F591" s="5" t="s">
        <v>8092</v>
      </c>
      <c r="G591" s="5" t="s">
        <v>8080</v>
      </c>
    </row>
    <row r="592" spans="1:7" x14ac:dyDescent="0.35">
      <c r="A592" s="1" t="s">
        <v>687</v>
      </c>
      <c r="B592" s="1" t="s">
        <v>688</v>
      </c>
      <c r="C592" s="1" t="s">
        <v>6322</v>
      </c>
      <c r="D592" s="2" t="s">
        <v>8061</v>
      </c>
      <c r="E592" s="2" t="s">
        <v>8069</v>
      </c>
      <c r="F592" s="5" t="s">
        <v>8093</v>
      </c>
      <c r="G592" s="5" t="s">
        <v>8081</v>
      </c>
    </row>
    <row r="593" spans="1:7" x14ac:dyDescent="0.35">
      <c r="A593" s="1" t="s">
        <v>687</v>
      </c>
      <c r="B593" s="1" t="s">
        <v>688</v>
      </c>
      <c r="C593" s="1" t="s">
        <v>6322</v>
      </c>
      <c r="D593" s="2" t="s">
        <v>8061</v>
      </c>
      <c r="E593" s="2" t="s">
        <v>8070</v>
      </c>
      <c r="F593" s="5" t="s">
        <v>8094</v>
      </c>
      <c r="G593" s="5" t="s">
        <v>8082</v>
      </c>
    </row>
    <row r="594" spans="1:7" x14ac:dyDescent="0.35">
      <c r="A594" s="1" t="s">
        <v>687</v>
      </c>
      <c r="B594" s="1" t="s">
        <v>688</v>
      </c>
      <c r="C594" s="1" t="s">
        <v>6322</v>
      </c>
      <c r="D594" s="2" t="s">
        <v>8061</v>
      </c>
      <c r="E594" s="2" t="s">
        <v>8071</v>
      </c>
      <c r="F594" s="5" t="s">
        <v>8095</v>
      </c>
      <c r="G594" s="5" t="s">
        <v>8083</v>
      </c>
    </row>
    <row r="595" spans="1:7" x14ac:dyDescent="0.35">
      <c r="A595" s="1" t="s">
        <v>687</v>
      </c>
      <c r="B595" s="1" t="s">
        <v>688</v>
      </c>
      <c r="C595" s="1" t="s">
        <v>6322</v>
      </c>
      <c r="D595" s="2" t="s">
        <v>8061</v>
      </c>
      <c r="E595" s="2" t="s">
        <v>8072</v>
      </c>
      <c r="F595" s="5" t="s">
        <v>8096</v>
      </c>
      <c r="G595" s="5" t="s">
        <v>8084</v>
      </c>
    </row>
    <row r="596" spans="1:7" x14ac:dyDescent="0.35">
      <c r="A596" s="1" t="s">
        <v>687</v>
      </c>
      <c r="B596" s="1" t="s">
        <v>688</v>
      </c>
      <c r="C596" s="1" t="s">
        <v>6322</v>
      </c>
      <c r="D596" s="2" t="s">
        <v>8061</v>
      </c>
      <c r="E596" s="2" t="s">
        <v>8073</v>
      </c>
      <c r="F596" s="5" t="s">
        <v>8097</v>
      </c>
      <c r="G596" s="5" t="s">
        <v>8085</v>
      </c>
    </row>
    <row r="597" spans="1:7" x14ac:dyDescent="0.35">
      <c r="A597" s="1" t="s">
        <v>2263</v>
      </c>
      <c r="B597" s="1" t="s">
        <v>2264</v>
      </c>
      <c r="C597" s="1" t="s">
        <v>6495</v>
      </c>
      <c r="D597" s="2"/>
      <c r="E597" s="2"/>
      <c r="F597" s="5"/>
      <c r="G597" s="5"/>
    </row>
    <row r="598" spans="1:7" x14ac:dyDescent="0.35">
      <c r="A598" s="1" t="s">
        <v>739</v>
      </c>
      <c r="B598" s="1" t="s">
        <v>740</v>
      </c>
      <c r="C598" s="1" t="s">
        <v>6327</v>
      </c>
      <c r="D598" s="2"/>
      <c r="E598" s="2"/>
      <c r="F598" s="5"/>
      <c r="G598" s="5"/>
    </row>
    <row r="599" spans="1:7" x14ac:dyDescent="0.35">
      <c r="A599" s="1" t="s">
        <v>2593</v>
      </c>
      <c r="B599" s="1" t="s">
        <v>2594</v>
      </c>
      <c r="C599" s="1" t="s">
        <v>6532</v>
      </c>
      <c r="D599" s="2"/>
      <c r="E599" s="2"/>
      <c r="F599" s="5"/>
      <c r="G599" s="5"/>
    </row>
    <row r="600" spans="1:7" x14ac:dyDescent="0.35">
      <c r="A600" s="1" t="s">
        <v>3912</v>
      </c>
      <c r="B600" s="1" t="s">
        <v>3913</v>
      </c>
      <c r="C600" s="1" t="s">
        <v>6619</v>
      </c>
      <c r="D600" s="2"/>
      <c r="E600" s="2"/>
      <c r="F600" s="5"/>
      <c r="G600" s="5"/>
    </row>
    <row r="601" spans="1:7" x14ac:dyDescent="0.35">
      <c r="A601" s="1" t="s">
        <v>2728</v>
      </c>
      <c r="B601" s="1" t="s">
        <v>2729</v>
      </c>
      <c r="C601" s="1" t="s">
        <v>6544</v>
      </c>
      <c r="D601" s="2"/>
      <c r="E601" s="2"/>
      <c r="F601" s="5"/>
      <c r="G601" s="5"/>
    </row>
    <row r="602" spans="1:7" x14ac:dyDescent="0.35">
      <c r="A602" s="1" t="s">
        <v>5626</v>
      </c>
      <c r="B602" s="1" t="s">
        <v>5627</v>
      </c>
      <c r="C602" s="1" t="s">
        <v>6712</v>
      </c>
      <c r="D602" s="2"/>
      <c r="E602" s="2"/>
      <c r="F602" s="5"/>
      <c r="G602" s="5"/>
    </row>
    <row r="603" spans="1:7" x14ac:dyDescent="0.35">
      <c r="A603" s="1" t="s">
        <v>2981</v>
      </c>
      <c r="B603" s="1" t="s">
        <v>2982</v>
      </c>
      <c r="C603" s="1" t="s">
        <v>6549</v>
      </c>
      <c r="D603" s="2"/>
      <c r="E603" s="2"/>
      <c r="F603" s="5"/>
      <c r="G603" s="5"/>
    </row>
    <row r="604" spans="1:7" x14ac:dyDescent="0.35">
      <c r="A604" s="1" t="s">
        <v>3159</v>
      </c>
      <c r="B604" s="1" t="s">
        <v>3160</v>
      </c>
      <c r="C604" s="1" t="s">
        <v>6549</v>
      </c>
      <c r="D604" s="2"/>
      <c r="E604" s="2"/>
      <c r="F604" s="5"/>
      <c r="G604" s="5"/>
    </row>
    <row r="605" spans="1:7" x14ac:dyDescent="0.35">
      <c r="A605" s="1" t="s">
        <v>4520</v>
      </c>
      <c r="B605" s="1" t="s">
        <v>4521</v>
      </c>
      <c r="C605" s="1" t="s">
        <v>6549</v>
      </c>
      <c r="D605" s="2"/>
      <c r="E605" s="2"/>
      <c r="F605" s="5"/>
      <c r="G605" s="5"/>
    </row>
    <row r="606" spans="1:7" x14ac:dyDescent="0.35">
      <c r="A606" s="1" t="s">
        <v>4522</v>
      </c>
      <c r="B606" s="1" t="s">
        <v>4523</v>
      </c>
      <c r="C606" s="1" t="s">
        <v>6549</v>
      </c>
      <c r="D606" s="2"/>
      <c r="E606" s="2"/>
      <c r="F606" s="5"/>
      <c r="G606" s="5"/>
    </row>
    <row r="607" spans="1:7" x14ac:dyDescent="0.35">
      <c r="A607" s="1" t="s">
        <v>2512</v>
      </c>
      <c r="B607" s="1" t="s">
        <v>2513</v>
      </c>
      <c r="C607" s="1" t="s">
        <v>6520</v>
      </c>
      <c r="D607" s="2" t="s">
        <v>8098</v>
      </c>
      <c r="E607" s="2" t="s">
        <v>8099</v>
      </c>
      <c r="F607" s="5" t="s">
        <v>8101</v>
      </c>
      <c r="G607" s="5" t="s">
        <v>8100</v>
      </c>
    </row>
    <row r="608" spans="1:7" x14ac:dyDescent="0.35">
      <c r="A608" s="1" t="s">
        <v>4276</v>
      </c>
      <c r="B608" s="1" t="s">
        <v>4277</v>
      </c>
      <c r="C608" s="1" t="s">
        <v>6639</v>
      </c>
      <c r="D608" s="2" t="s">
        <v>8102</v>
      </c>
      <c r="E608" s="2" t="s">
        <v>8103</v>
      </c>
      <c r="F608" s="5" t="s">
        <v>8105</v>
      </c>
      <c r="G608" s="5" t="s">
        <v>8104</v>
      </c>
    </row>
    <row r="609" spans="1:7" x14ac:dyDescent="0.35">
      <c r="A609" s="1" t="s">
        <v>3314</v>
      </c>
      <c r="B609" s="1" t="s">
        <v>3315</v>
      </c>
      <c r="C609" s="1" t="s">
        <v>6577</v>
      </c>
      <c r="D609" s="2" t="s">
        <v>8106</v>
      </c>
      <c r="E609" s="2" t="s">
        <v>8107</v>
      </c>
      <c r="F609" s="5" t="s">
        <v>8112</v>
      </c>
      <c r="G609" s="5" t="s">
        <v>8111</v>
      </c>
    </row>
    <row r="610" spans="1:7" x14ac:dyDescent="0.35">
      <c r="A610" s="1" t="s">
        <v>3314</v>
      </c>
      <c r="B610" s="1" t="s">
        <v>3315</v>
      </c>
      <c r="C610" s="1" t="s">
        <v>6577</v>
      </c>
      <c r="D610" s="2" t="s">
        <v>8106</v>
      </c>
      <c r="E610" s="2" t="s">
        <v>8108</v>
      </c>
      <c r="F610" s="5" t="s">
        <v>8113</v>
      </c>
      <c r="G610" s="5" t="s">
        <v>8111</v>
      </c>
    </row>
    <row r="611" spans="1:7" x14ac:dyDescent="0.35">
      <c r="A611" s="1" t="s">
        <v>3314</v>
      </c>
      <c r="B611" s="1" t="s">
        <v>3315</v>
      </c>
      <c r="C611" s="1" t="s">
        <v>6577</v>
      </c>
      <c r="D611" s="2" t="s">
        <v>8106</v>
      </c>
      <c r="E611" s="2" t="s">
        <v>8109</v>
      </c>
      <c r="F611" s="5" t="s">
        <v>8114</v>
      </c>
      <c r="G611" s="5" t="s">
        <v>8111</v>
      </c>
    </row>
    <row r="612" spans="1:7" x14ac:dyDescent="0.35">
      <c r="A612" s="1" t="s">
        <v>3314</v>
      </c>
      <c r="B612" s="1" t="s">
        <v>3315</v>
      </c>
      <c r="C612" s="1" t="s">
        <v>6577</v>
      </c>
      <c r="D612" s="2" t="s">
        <v>8106</v>
      </c>
      <c r="E612" s="2" t="s">
        <v>8110</v>
      </c>
      <c r="F612" s="5" t="s">
        <v>8115</v>
      </c>
      <c r="G612" s="5" t="s">
        <v>8111</v>
      </c>
    </row>
    <row r="613" spans="1:7" x14ac:dyDescent="0.35">
      <c r="A613" s="1" t="s">
        <v>670</v>
      </c>
      <c r="B613" s="1" t="s">
        <v>671</v>
      </c>
      <c r="C613" s="1" t="s">
        <v>6319</v>
      </c>
      <c r="D613" s="2" t="s">
        <v>8116</v>
      </c>
      <c r="E613" s="2" t="s">
        <v>8117</v>
      </c>
      <c r="F613" s="5" t="s">
        <v>8119</v>
      </c>
      <c r="G613" s="5" t="s">
        <v>8118</v>
      </c>
    </row>
    <row r="614" spans="1:7" x14ac:dyDescent="0.35">
      <c r="A614" s="1" t="s">
        <v>4702</v>
      </c>
      <c r="B614" s="1" t="s">
        <v>4703</v>
      </c>
      <c r="C614" s="1" t="s">
        <v>6658</v>
      </c>
      <c r="D614" s="2" t="s">
        <v>8120</v>
      </c>
      <c r="E614" s="2" t="s">
        <v>8121</v>
      </c>
      <c r="F614" s="5" t="s">
        <v>8125</v>
      </c>
      <c r="G614" s="5" t="s">
        <v>8123</v>
      </c>
    </row>
    <row r="615" spans="1:7" x14ac:dyDescent="0.35">
      <c r="A615" s="1" t="s">
        <v>4702</v>
      </c>
      <c r="B615" s="1" t="s">
        <v>4703</v>
      </c>
      <c r="C615" s="1" t="s">
        <v>6658</v>
      </c>
      <c r="D615" s="2" t="s">
        <v>8120</v>
      </c>
      <c r="E615" s="2" t="s">
        <v>8122</v>
      </c>
      <c r="F615" s="5" t="s">
        <v>8126</v>
      </c>
      <c r="G615" s="5" t="s">
        <v>8124</v>
      </c>
    </row>
    <row r="616" spans="1:7" x14ac:dyDescent="0.35">
      <c r="A616" s="1" t="s">
        <v>2506</v>
      </c>
      <c r="B616" s="1" t="s">
        <v>2507</v>
      </c>
      <c r="C616" s="1" t="s">
        <v>6519</v>
      </c>
      <c r="D616" s="2" t="s">
        <v>8127</v>
      </c>
      <c r="E616" s="2" t="s">
        <v>8128</v>
      </c>
      <c r="F616" s="5" t="s">
        <v>8130</v>
      </c>
      <c r="G616" s="5" t="s">
        <v>8129</v>
      </c>
    </row>
    <row r="617" spans="1:7" x14ac:dyDescent="0.35">
      <c r="A617" s="1" t="s">
        <v>3102</v>
      </c>
      <c r="B617" s="1" t="s">
        <v>3103</v>
      </c>
      <c r="C617" s="1" t="s">
        <v>6559</v>
      </c>
      <c r="D617" s="2" t="s">
        <v>8131</v>
      </c>
      <c r="E617" s="2" t="s">
        <v>8139</v>
      </c>
      <c r="F617" s="5" t="s">
        <v>8141</v>
      </c>
      <c r="G617" s="5" t="s">
        <v>8140</v>
      </c>
    </row>
    <row r="618" spans="1:7" x14ac:dyDescent="0.35">
      <c r="A618" s="1" t="s">
        <v>5265</v>
      </c>
      <c r="B618" s="1" t="s">
        <v>5266</v>
      </c>
      <c r="C618" s="1" t="s">
        <v>6694</v>
      </c>
      <c r="D618" s="2" t="s">
        <v>8132</v>
      </c>
      <c r="E618" s="2" t="s">
        <v>8142</v>
      </c>
      <c r="F618" s="5" t="s">
        <v>8167</v>
      </c>
      <c r="G618" s="5" t="s">
        <v>8157</v>
      </c>
    </row>
    <row r="619" spans="1:7" x14ac:dyDescent="0.35">
      <c r="A619" s="1" t="s">
        <v>5265</v>
      </c>
      <c r="B619" s="1" t="s">
        <v>5266</v>
      </c>
      <c r="C619" s="1" t="s">
        <v>6694</v>
      </c>
      <c r="D619" s="2" t="s">
        <v>8132</v>
      </c>
      <c r="E619" s="2" t="s">
        <v>8143</v>
      </c>
      <c r="F619" s="5" t="s">
        <v>8168</v>
      </c>
      <c r="G619" s="5" t="s">
        <v>7401</v>
      </c>
    </row>
    <row r="620" spans="1:7" x14ac:dyDescent="0.35">
      <c r="A620" s="1" t="s">
        <v>5265</v>
      </c>
      <c r="B620" s="1" t="s">
        <v>5266</v>
      </c>
      <c r="C620" s="1" t="s">
        <v>6694</v>
      </c>
      <c r="D620" s="2" t="s">
        <v>8132</v>
      </c>
      <c r="E620" s="2" t="s">
        <v>8144</v>
      </c>
      <c r="F620" s="5" t="s">
        <v>8169</v>
      </c>
      <c r="G620" s="5" t="s">
        <v>8158</v>
      </c>
    </row>
    <row r="621" spans="1:7" x14ac:dyDescent="0.35">
      <c r="A621" s="1" t="s">
        <v>5265</v>
      </c>
      <c r="B621" s="1" t="s">
        <v>5266</v>
      </c>
      <c r="C621" s="1" t="s">
        <v>6694</v>
      </c>
      <c r="D621" s="2" t="s">
        <v>8132</v>
      </c>
      <c r="E621" s="2" t="s">
        <v>8145</v>
      </c>
      <c r="F621" s="5" t="s">
        <v>8170</v>
      </c>
      <c r="G621" s="5" t="s">
        <v>7436</v>
      </c>
    </row>
    <row r="622" spans="1:7" x14ac:dyDescent="0.35">
      <c r="A622" s="1" t="s">
        <v>5265</v>
      </c>
      <c r="B622" s="1" t="s">
        <v>5266</v>
      </c>
      <c r="C622" s="1" t="s">
        <v>6694</v>
      </c>
      <c r="D622" s="2" t="s">
        <v>8132</v>
      </c>
      <c r="E622" s="2" t="s">
        <v>8146</v>
      </c>
      <c r="F622" s="5" t="s">
        <v>8171</v>
      </c>
      <c r="G622" s="5" t="s">
        <v>7392</v>
      </c>
    </row>
    <row r="623" spans="1:7" x14ac:dyDescent="0.35">
      <c r="A623" s="1" t="s">
        <v>5265</v>
      </c>
      <c r="B623" s="1" t="s">
        <v>5266</v>
      </c>
      <c r="C623" s="1" t="s">
        <v>6694</v>
      </c>
      <c r="D623" s="2" t="s">
        <v>8132</v>
      </c>
      <c r="E623" s="2" t="s">
        <v>8147</v>
      </c>
      <c r="F623" s="5" t="s">
        <v>8172</v>
      </c>
      <c r="G623" s="5" t="s">
        <v>7402</v>
      </c>
    </row>
    <row r="624" spans="1:7" x14ac:dyDescent="0.35">
      <c r="A624" s="1" t="s">
        <v>5265</v>
      </c>
      <c r="B624" s="1" t="s">
        <v>5266</v>
      </c>
      <c r="C624" s="1" t="s">
        <v>6694</v>
      </c>
      <c r="D624" s="2" t="s">
        <v>8132</v>
      </c>
      <c r="E624" s="2" t="s">
        <v>8148</v>
      </c>
      <c r="F624" s="5" t="s">
        <v>8173</v>
      </c>
      <c r="G624" s="5" t="s">
        <v>7403</v>
      </c>
    </row>
    <row r="625" spans="1:7" x14ac:dyDescent="0.35">
      <c r="A625" s="1" t="s">
        <v>5265</v>
      </c>
      <c r="B625" s="1" t="s">
        <v>5266</v>
      </c>
      <c r="C625" s="1" t="s">
        <v>6694</v>
      </c>
      <c r="D625" s="2" t="s">
        <v>8132</v>
      </c>
      <c r="E625" s="2" t="s">
        <v>8149</v>
      </c>
      <c r="F625" s="5" t="s">
        <v>8174</v>
      </c>
      <c r="G625" s="5" t="s">
        <v>8159</v>
      </c>
    </row>
    <row r="626" spans="1:7" x14ac:dyDescent="0.35">
      <c r="A626" s="1" t="s">
        <v>5265</v>
      </c>
      <c r="B626" s="1" t="s">
        <v>5266</v>
      </c>
      <c r="C626" s="1" t="s">
        <v>6694</v>
      </c>
      <c r="D626" s="2" t="s">
        <v>8132</v>
      </c>
      <c r="E626" s="2" t="s">
        <v>8150</v>
      </c>
      <c r="F626" s="5" t="s">
        <v>8175</v>
      </c>
      <c r="G626" s="5" t="s">
        <v>8160</v>
      </c>
    </row>
    <row r="627" spans="1:7" x14ac:dyDescent="0.35">
      <c r="A627" s="1" t="s">
        <v>5265</v>
      </c>
      <c r="B627" s="1" t="s">
        <v>5266</v>
      </c>
      <c r="C627" s="1" t="s">
        <v>6694</v>
      </c>
      <c r="D627" s="2" t="s">
        <v>8132</v>
      </c>
      <c r="E627" s="2" t="s">
        <v>8151</v>
      </c>
      <c r="F627" s="5" t="s">
        <v>8176</v>
      </c>
      <c r="G627" s="5" t="s">
        <v>8161</v>
      </c>
    </row>
    <row r="628" spans="1:7" x14ac:dyDescent="0.35">
      <c r="A628" s="1" t="s">
        <v>5265</v>
      </c>
      <c r="B628" s="1" t="s">
        <v>5266</v>
      </c>
      <c r="C628" s="1" t="s">
        <v>6694</v>
      </c>
      <c r="D628" s="2" t="s">
        <v>8132</v>
      </c>
      <c r="E628" s="2" t="s">
        <v>8152</v>
      </c>
      <c r="F628" s="5" t="s">
        <v>8177</v>
      </c>
      <c r="G628" s="5" t="s">
        <v>8162</v>
      </c>
    </row>
    <row r="629" spans="1:7" x14ac:dyDescent="0.35">
      <c r="A629" s="1" t="s">
        <v>5265</v>
      </c>
      <c r="B629" s="1" t="s">
        <v>5266</v>
      </c>
      <c r="C629" s="1" t="s">
        <v>6694</v>
      </c>
      <c r="D629" s="2" t="s">
        <v>8132</v>
      </c>
      <c r="E629" s="2" t="s">
        <v>8153</v>
      </c>
      <c r="F629" s="5" t="s">
        <v>8178</v>
      </c>
      <c r="G629" s="5" t="s">
        <v>8163</v>
      </c>
    </row>
    <row r="630" spans="1:7" x14ac:dyDescent="0.35">
      <c r="A630" s="1" t="s">
        <v>5265</v>
      </c>
      <c r="B630" s="1" t="s">
        <v>5266</v>
      </c>
      <c r="C630" s="1" t="s">
        <v>6694</v>
      </c>
      <c r="D630" s="2" t="s">
        <v>8132</v>
      </c>
      <c r="E630" s="2" t="s">
        <v>8154</v>
      </c>
      <c r="F630" s="5" t="s">
        <v>8179</v>
      </c>
      <c r="G630" s="5" t="s">
        <v>8164</v>
      </c>
    </row>
    <row r="631" spans="1:7" x14ac:dyDescent="0.35">
      <c r="A631" s="1" t="s">
        <v>5265</v>
      </c>
      <c r="B631" s="1" t="s">
        <v>5266</v>
      </c>
      <c r="C631" s="1" t="s">
        <v>6694</v>
      </c>
      <c r="D631" s="2" t="s">
        <v>8132</v>
      </c>
      <c r="E631" s="2" t="s">
        <v>8155</v>
      </c>
      <c r="F631" s="5" t="s">
        <v>8180</v>
      </c>
      <c r="G631" s="5" t="s">
        <v>8165</v>
      </c>
    </row>
    <row r="632" spans="1:7" x14ac:dyDescent="0.35">
      <c r="A632" s="1" t="s">
        <v>5265</v>
      </c>
      <c r="B632" s="1" t="s">
        <v>5266</v>
      </c>
      <c r="C632" s="1" t="s">
        <v>6694</v>
      </c>
      <c r="D632" s="2" t="s">
        <v>8132</v>
      </c>
      <c r="E632" s="2" t="s">
        <v>8156</v>
      </c>
      <c r="F632" s="5" t="s">
        <v>8181</v>
      </c>
      <c r="G632" s="5" t="s">
        <v>8166</v>
      </c>
    </row>
    <row r="633" spans="1:7" x14ac:dyDescent="0.35">
      <c r="A633" s="1" t="s">
        <v>811</v>
      </c>
      <c r="B633" s="1" t="s">
        <v>812</v>
      </c>
      <c r="C633" s="1" t="s">
        <v>6334</v>
      </c>
      <c r="D633" s="2"/>
      <c r="E633" s="2"/>
    </row>
    <row r="634" spans="1:7" x14ac:dyDescent="0.35">
      <c r="A634" s="1" t="s">
        <v>3403</v>
      </c>
      <c r="B634" s="1" t="s">
        <v>3404</v>
      </c>
      <c r="C634" s="1" t="s">
        <v>6584</v>
      </c>
      <c r="D634" s="2"/>
      <c r="E634" s="2"/>
    </row>
    <row r="635" spans="1:7" x14ac:dyDescent="0.35">
      <c r="A635" s="1" t="s">
        <v>3226</v>
      </c>
      <c r="B635" s="1" t="s">
        <v>3227</v>
      </c>
      <c r="C635" s="1" t="s">
        <v>6571</v>
      </c>
      <c r="D635" s="2" t="s">
        <v>8133</v>
      </c>
      <c r="E635" s="2" t="s">
        <v>8182</v>
      </c>
      <c r="F635" s="1" t="s">
        <v>8189</v>
      </c>
      <c r="G635" s="1" t="s">
        <v>8187</v>
      </c>
    </row>
    <row r="636" spans="1:7" x14ac:dyDescent="0.35">
      <c r="A636" s="1" t="s">
        <v>3226</v>
      </c>
      <c r="B636" s="1" t="s">
        <v>3227</v>
      </c>
      <c r="C636" s="1" t="s">
        <v>6571</v>
      </c>
      <c r="D636" s="2" t="s">
        <v>8133</v>
      </c>
      <c r="E636" s="2" t="s">
        <v>8183</v>
      </c>
      <c r="F636" s="1" t="s">
        <v>7344</v>
      </c>
      <c r="G636" s="1" t="s">
        <v>8188</v>
      </c>
    </row>
    <row r="637" spans="1:7" x14ac:dyDescent="0.35">
      <c r="A637" s="1" t="s">
        <v>3226</v>
      </c>
      <c r="B637" s="1" t="s">
        <v>3227</v>
      </c>
      <c r="C637" s="1" t="s">
        <v>6571</v>
      </c>
      <c r="D637" s="2" t="s">
        <v>8133</v>
      </c>
      <c r="E637" s="2" t="s">
        <v>8184</v>
      </c>
      <c r="F637" s="1" t="s">
        <v>9041</v>
      </c>
      <c r="G637" s="1" t="s">
        <v>9069</v>
      </c>
    </row>
    <row r="638" spans="1:7" x14ac:dyDescent="0.35">
      <c r="A638" s="1" t="s">
        <v>3226</v>
      </c>
      <c r="B638" s="1" t="s">
        <v>3227</v>
      </c>
      <c r="C638" s="1" t="s">
        <v>6571</v>
      </c>
      <c r="D638" s="2" t="s">
        <v>8133</v>
      </c>
      <c r="E638" s="2" t="s">
        <v>8185</v>
      </c>
      <c r="F638" s="5" t="s">
        <v>8190</v>
      </c>
      <c r="G638" s="5" t="s">
        <v>8186</v>
      </c>
    </row>
    <row r="639" spans="1:7" x14ac:dyDescent="0.35">
      <c r="A639" s="1" t="s">
        <v>4203</v>
      </c>
      <c r="B639" s="1" t="s">
        <v>4204</v>
      </c>
      <c r="C639" s="1" t="s">
        <v>6633</v>
      </c>
      <c r="D639" s="2" t="s">
        <v>8134</v>
      </c>
      <c r="E639" s="2" t="s">
        <v>8191</v>
      </c>
      <c r="F639" s="5" t="s">
        <v>13123</v>
      </c>
      <c r="G639" s="5" t="s">
        <v>8206</v>
      </c>
    </row>
    <row r="640" spans="1:7" x14ac:dyDescent="0.35">
      <c r="A640" s="1" t="s">
        <v>4203</v>
      </c>
      <c r="B640" s="1" t="s">
        <v>4204</v>
      </c>
      <c r="C640" s="1" t="s">
        <v>6633</v>
      </c>
      <c r="D640" s="2" t="s">
        <v>8134</v>
      </c>
      <c r="E640" s="2" t="s">
        <v>8192</v>
      </c>
      <c r="F640" s="5" t="s">
        <v>8217</v>
      </c>
      <c r="G640" s="5" t="s">
        <v>8207</v>
      </c>
    </row>
    <row r="641" spans="1:7" x14ac:dyDescent="0.35">
      <c r="A641" s="1" t="s">
        <v>4203</v>
      </c>
      <c r="B641" s="1" t="s">
        <v>4204</v>
      </c>
      <c r="C641" s="1" t="s">
        <v>6633</v>
      </c>
      <c r="D641" s="2" t="s">
        <v>8134</v>
      </c>
      <c r="E641" s="2" t="s">
        <v>8193</v>
      </c>
      <c r="F641" s="5" t="s">
        <v>8218</v>
      </c>
      <c r="G641" s="5" t="s">
        <v>8208</v>
      </c>
    </row>
    <row r="642" spans="1:7" x14ac:dyDescent="0.35">
      <c r="A642" s="1" t="s">
        <v>4203</v>
      </c>
      <c r="B642" s="1" t="s">
        <v>4204</v>
      </c>
      <c r="C642" s="1" t="s">
        <v>6633</v>
      </c>
      <c r="D642" s="2" t="s">
        <v>8134</v>
      </c>
      <c r="E642" s="2" t="s">
        <v>8194</v>
      </c>
      <c r="F642" s="5" t="s">
        <v>8219</v>
      </c>
      <c r="G642" s="5" t="s">
        <v>8209</v>
      </c>
    </row>
    <row r="643" spans="1:7" x14ac:dyDescent="0.35">
      <c r="A643" s="1" t="s">
        <v>4203</v>
      </c>
      <c r="B643" s="1" t="s">
        <v>4204</v>
      </c>
      <c r="C643" s="1" t="s">
        <v>6633</v>
      </c>
      <c r="D643" s="2" t="s">
        <v>8134</v>
      </c>
      <c r="E643" s="2" t="s">
        <v>8195</v>
      </c>
      <c r="F643" s="5" t="s">
        <v>8220</v>
      </c>
      <c r="G643" s="5" t="s">
        <v>8210</v>
      </c>
    </row>
    <row r="644" spans="1:7" x14ac:dyDescent="0.35">
      <c r="A644" s="1" t="s">
        <v>4203</v>
      </c>
      <c r="B644" s="1" t="s">
        <v>4204</v>
      </c>
      <c r="C644" s="1" t="s">
        <v>6633</v>
      </c>
      <c r="D644" s="2" t="s">
        <v>8134</v>
      </c>
      <c r="E644" s="2" t="s">
        <v>8196</v>
      </c>
      <c r="F644" s="5" t="s">
        <v>8221</v>
      </c>
      <c r="G644" s="5" t="s">
        <v>8211</v>
      </c>
    </row>
    <row r="645" spans="1:7" x14ac:dyDescent="0.35">
      <c r="A645" s="1" t="s">
        <v>4203</v>
      </c>
      <c r="B645" s="1" t="s">
        <v>4204</v>
      </c>
      <c r="C645" s="1" t="s">
        <v>6633</v>
      </c>
      <c r="D645" s="2" t="s">
        <v>8134</v>
      </c>
      <c r="E645" s="2" t="s">
        <v>8197</v>
      </c>
      <c r="F645" s="5" t="s">
        <v>8222</v>
      </c>
      <c r="G645" s="5" t="s">
        <v>8212</v>
      </c>
    </row>
    <row r="646" spans="1:7" x14ac:dyDescent="0.35">
      <c r="A646" s="1" t="s">
        <v>4203</v>
      </c>
      <c r="B646" s="1" t="s">
        <v>4204</v>
      </c>
      <c r="C646" s="1" t="s">
        <v>6633</v>
      </c>
      <c r="D646" s="2" t="s">
        <v>8134</v>
      </c>
      <c r="E646" s="2" t="s">
        <v>8198</v>
      </c>
      <c r="F646" s="5" t="s">
        <v>8223</v>
      </c>
      <c r="G646" s="5" t="s">
        <v>8213</v>
      </c>
    </row>
    <row r="647" spans="1:7" x14ac:dyDescent="0.35">
      <c r="A647" s="1" t="s">
        <v>4203</v>
      </c>
      <c r="B647" s="1" t="s">
        <v>4204</v>
      </c>
      <c r="C647" s="1" t="s">
        <v>6633</v>
      </c>
      <c r="D647" s="2" t="s">
        <v>8134</v>
      </c>
      <c r="E647" s="2" t="s">
        <v>8199</v>
      </c>
      <c r="F647" s="5" t="s">
        <v>8224</v>
      </c>
      <c r="G647" s="5" t="s">
        <v>8214</v>
      </c>
    </row>
    <row r="648" spans="1:7" x14ac:dyDescent="0.35">
      <c r="A648" s="1" t="s">
        <v>4203</v>
      </c>
      <c r="B648" s="1" t="s">
        <v>4204</v>
      </c>
      <c r="C648" s="1" t="s">
        <v>6633</v>
      </c>
      <c r="D648" s="2" t="s">
        <v>8134</v>
      </c>
      <c r="E648" s="2" t="s">
        <v>8200</v>
      </c>
      <c r="F648" s="5" t="s">
        <v>8225</v>
      </c>
      <c r="G648" s="5" t="s">
        <v>8208</v>
      </c>
    </row>
    <row r="649" spans="1:7" x14ac:dyDescent="0.35">
      <c r="A649" s="1" t="s">
        <v>4203</v>
      </c>
      <c r="B649" s="1" t="s">
        <v>4204</v>
      </c>
      <c r="C649" s="1" t="s">
        <v>6633</v>
      </c>
      <c r="D649" s="2" t="s">
        <v>8134</v>
      </c>
      <c r="E649" s="2" t="s">
        <v>8201</v>
      </c>
      <c r="F649" s="5" t="s">
        <v>8226</v>
      </c>
      <c r="G649" s="5" t="s">
        <v>8215</v>
      </c>
    </row>
    <row r="650" spans="1:7" x14ac:dyDescent="0.35">
      <c r="A650" s="1" t="s">
        <v>4203</v>
      </c>
      <c r="B650" s="1" t="s">
        <v>4204</v>
      </c>
      <c r="C650" s="1" t="s">
        <v>6633</v>
      </c>
      <c r="D650" s="2" t="s">
        <v>8134</v>
      </c>
      <c r="E650" s="2" t="s">
        <v>8202</v>
      </c>
      <c r="F650" s="1" t="s">
        <v>8225</v>
      </c>
      <c r="G650" s="1" t="s">
        <v>8206</v>
      </c>
    </row>
    <row r="651" spans="1:7" x14ac:dyDescent="0.35">
      <c r="A651" s="1" t="s">
        <v>4203</v>
      </c>
      <c r="B651" s="1" t="s">
        <v>4204</v>
      </c>
      <c r="C651" s="1" t="s">
        <v>6633</v>
      </c>
      <c r="D651" s="2" t="s">
        <v>8134</v>
      </c>
      <c r="E651" s="2" t="s">
        <v>8203</v>
      </c>
      <c r="F651" s="1" t="s">
        <v>8563</v>
      </c>
      <c r="G651" s="1" t="s">
        <v>8211</v>
      </c>
    </row>
    <row r="652" spans="1:7" x14ac:dyDescent="0.35">
      <c r="A652" s="1" t="s">
        <v>4203</v>
      </c>
      <c r="B652" s="1" t="s">
        <v>4204</v>
      </c>
      <c r="C652" s="1" t="s">
        <v>6633</v>
      </c>
      <c r="D652" s="2" t="s">
        <v>8134</v>
      </c>
      <c r="E652" s="2" t="s">
        <v>8204</v>
      </c>
      <c r="F652" s="1" t="s">
        <v>9042</v>
      </c>
      <c r="G652" s="1" t="s">
        <v>9070</v>
      </c>
    </row>
    <row r="653" spans="1:7" x14ac:dyDescent="0.35">
      <c r="A653" s="1" t="s">
        <v>4203</v>
      </c>
      <c r="B653" s="1" t="s">
        <v>4204</v>
      </c>
      <c r="C653" s="1" t="s">
        <v>6633</v>
      </c>
      <c r="D653" s="2" t="s">
        <v>8134</v>
      </c>
      <c r="E653" s="2" t="s">
        <v>8205</v>
      </c>
      <c r="F653" s="1" t="s">
        <v>8227</v>
      </c>
      <c r="G653" s="1" t="s">
        <v>8216</v>
      </c>
    </row>
    <row r="654" spans="1:7" x14ac:dyDescent="0.35">
      <c r="A654" s="1" t="s">
        <v>5405</v>
      </c>
      <c r="B654" s="1" t="s">
        <v>5406</v>
      </c>
      <c r="C654" s="1" t="s">
        <v>6703</v>
      </c>
      <c r="D654" s="2" t="s">
        <v>8135</v>
      </c>
      <c r="E654" s="2" t="s">
        <v>8228</v>
      </c>
      <c r="F654" s="5" t="s">
        <v>8246</v>
      </c>
      <c r="G654" s="5" t="s">
        <v>8238</v>
      </c>
    </row>
    <row r="655" spans="1:7" x14ac:dyDescent="0.35">
      <c r="A655" s="1" t="s">
        <v>5405</v>
      </c>
      <c r="B655" s="1" t="s">
        <v>5406</v>
      </c>
      <c r="C655" s="1" t="s">
        <v>6703</v>
      </c>
      <c r="D655" s="2" t="s">
        <v>8135</v>
      </c>
      <c r="E655" s="2" t="s">
        <v>8229</v>
      </c>
      <c r="F655" s="5" t="s">
        <v>8246</v>
      </c>
      <c r="G655" s="5" t="s">
        <v>8239</v>
      </c>
    </row>
    <row r="656" spans="1:7" x14ac:dyDescent="0.35">
      <c r="A656" s="1" t="s">
        <v>5405</v>
      </c>
      <c r="B656" s="1" t="s">
        <v>5406</v>
      </c>
      <c r="C656" s="1" t="s">
        <v>6703</v>
      </c>
      <c r="D656" s="2" t="s">
        <v>8135</v>
      </c>
      <c r="E656" s="2" t="s">
        <v>8230</v>
      </c>
      <c r="F656" s="5" t="s">
        <v>8247</v>
      </c>
      <c r="G656" s="5" t="s">
        <v>8240</v>
      </c>
    </row>
    <row r="657" spans="1:7" x14ac:dyDescent="0.35">
      <c r="A657" s="1" t="s">
        <v>5405</v>
      </c>
      <c r="B657" s="1" t="s">
        <v>5406</v>
      </c>
      <c r="C657" s="1" t="s">
        <v>6703</v>
      </c>
      <c r="D657" s="2" t="s">
        <v>8135</v>
      </c>
      <c r="E657" s="2" t="s">
        <v>8231</v>
      </c>
      <c r="F657" s="5" t="s">
        <v>8248</v>
      </c>
      <c r="G657" s="5" t="s">
        <v>8241</v>
      </c>
    </row>
    <row r="658" spans="1:7" x14ac:dyDescent="0.35">
      <c r="A658" s="1" t="s">
        <v>5405</v>
      </c>
      <c r="B658" s="1" t="s">
        <v>5406</v>
      </c>
      <c r="C658" s="1" t="s">
        <v>6703</v>
      </c>
      <c r="D658" s="2" t="s">
        <v>8135</v>
      </c>
      <c r="E658" s="2" t="s">
        <v>8232</v>
      </c>
      <c r="F658" s="5" t="s">
        <v>8249</v>
      </c>
      <c r="G658" s="5" t="s">
        <v>8242</v>
      </c>
    </row>
    <row r="659" spans="1:7" x14ac:dyDescent="0.35">
      <c r="A659" s="1" t="s">
        <v>5405</v>
      </c>
      <c r="B659" s="1" t="s">
        <v>5406</v>
      </c>
      <c r="C659" s="1" t="s">
        <v>6703</v>
      </c>
      <c r="D659" s="2" t="s">
        <v>8135</v>
      </c>
      <c r="E659" s="2" t="s">
        <v>8233</v>
      </c>
      <c r="F659" s="5" t="s">
        <v>8250</v>
      </c>
      <c r="G659" s="5" t="s">
        <v>8238</v>
      </c>
    </row>
    <row r="660" spans="1:7" x14ac:dyDescent="0.35">
      <c r="A660" s="1" t="s">
        <v>5405</v>
      </c>
      <c r="B660" s="1" t="s">
        <v>5406</v>
      </c>
      <c r="C660" s="1" t="s">
        <v>6703</v>
      </c>
      <c r="D660" s="2" t="s">
        <v>8135</v>
      </c>
      <c r="E660" s="2" t="s">
        <v>8234</v>
      </c>
      <c r="F660" s="5" t="s">
        <v>8250</v>
      </c>
      <c r="G660" s="5" t="s">
        <v>8239</v>
      </c>
    </row>
    <row r="661" spans="1:7" x14ac:dyDescent="0.35">
      <c r="A661" s="1" t="s">
        <v>5405</v>
      </c>
      <c r="B661" s="1" t="s">
        <v>5406</v>
      </c>
      <c r="C661" s="1" t="s">
        <v>6703</v>
      </c>
      <c r="D661" s="2" t="s">
        <v>8135</v>
      </c>
      <c r="E661" s="2" t="s">
        <v>8235</v>
      </c>
      <c r="F661" s="5" t="s">
        <v>13124</v>
      </c>
      <c r="G661" s="5" t="s">
        <v>8243</v>
      </c>
    </row>
    <row r="662" spans="1:7" x14ac:dyDescent="0.35">
      <c r="A662" s="1" t="s">
        <v>5405</v>
      </c>
      <c r="B662" s="1" t="s">
        <v>5406</v>
      </c>
      <c r="C662" s="1" t="s">
        <v>6703</v>
      </c>
      <c r="D662" s="2" t="s">
        <v>8135</v>
      </c>
      <c r="E662" s="2" t="s">
        <v>8236</v>
      </c>
      <c r="F662" s="5" t="s">
        <v>13125</v>
      </c>
      <c r="G662" s="5" t="s">
        <v>8244</v>
      </c>
    </row>
    <row r="663" spans="1:7" x14ac:dyDescent="0.35">
      <c r="A663" s="1" t="s">
        <v>5405</v>
      </c>
      <c r="B663" s="1" t="s">
        <v>5406</v>
      </c>
      <c r="C663" s="1" t="s">
        <v>6703</v>
      </c>
      <c r="D663" s="2" t="s">
        <v>8135</v>
      </c>
      <c r="E663" s="2" t="s">
        <v>8237</v>
      </c>
      <c r="F663" s="1" t="s">
        <v>8251</v>
      </c>
      <c r="G663" s="1" t="s">
        <v>8245</v>
      </c>
    </row>
    <row r="664" spans="1:7" x14ac:dyDescent="0.35">
      <c r="A664" s="1" t="s">
        <v>4458</v>
      </c>
      <c r="B664" s="1" t="s">
        <v>4459</v>
      </c>
      <c r="C664" s="1" t="s">
        <v>6647</v>
      </c>
      <c r="D664" s="2"/>
      <c r="E664" s="2"/>
    </row>
    <row r="665" spans="1:7" x14ac:dyDescent="0.35">
      <c r="A665" s="1" t="s">
        <v>4229</v>
      </c>
      <c r="B665" s="1" t="s">
        <v>4230</v>
      </c>
      <c r="C665" s="1" t="s">
        <v>6637</v>
      </c>
      <c r="D665" s="2"/>
      <c r="E665" s="2"/>
    </row>
    <row r="666" spans="1:7" x14ac:dyDescent="0.35">
      <c r="A666" s="1" t="s">
        <v>3958</v>
      </c>
      <c r="B666" s="1" t="s">
        <v>3959</v>
      </c>
      <c r="C666" s="1" t="s">
        <v>6624</v>
      </c>
      <c r="D666" s="2" t="s">
        <v>8136</v>
      </c>
      <c r="E666" s="2" t="s">
        <v>8252</v>
      </c>
      <c r="F666" s="1" t="s">
        <v>9043</v>
      </c>
      <c r="G666" s="1" t="s">
        <v>9071</v>
      </c>
    </row>
    <row r="667" spans="1:7" x14ac:dyDescent="0.35">
      <c r="A667" s="1" t="s">
        <v>3958</v>
      </c>
      <c r="B667" s="1" t="s">
        <v>3959</v>
      </c>
      <c r="C667" s="1" t="s">
        <v>6624</v>
      </c>
      <c r="D667" s="2" t="s">
        <v>8136</v>
      </c>
      <c r="E667" s="2" t="s">
        <v>8253</v>
      </c>
      <c r="F667" s="1" t="s">
        <v>9044</v>
      </c>
      <c r="G667" s="1" t="s">
        <v>9072</v>
      </c>
    </row>
    <row r="668" spans="1:7" x14ac:dyDescent="0.35">
      <c r="A668" s="1" t="s">
        <v>3174</v>
      </c>
      <c r="B668" s="1" t="s">
        <v>3175</v>
      </c>
      <c r="C668" s="1" t="s">
        <v>6565</v>
      </c>
      <c r="D668" s="2" t="s">
        <v>8137</v>
      </c>
      <c r="E668" s="2" t="s">
        <v>8254</v>
      </c>
      <c r="F668" s="5" t="s">
        <v>8261</v>
      </c>
      <c r="G668" s="5" t="s">
        <v>8258</v>
      </c>
    </row>
    <row r="669" spans="1:7" x14ac:dyDescent="0.35">
      <c r="A669" s="1" t="s">
        <v>3174</v>
      </c>
      <c r="B669" s="1" t="s">
        <v>3175</v>
      </c>
      <c r="C669" s="1" t="s">
        <v>6565</v>
      </c>
      <c r="D669" s="2" t="s">
        <v>8137</v>
      </c>
      <c r="E669" s="2" t="s">
        <v>8255</v>
      </c>
      <c r="F669" s="5" t="s">
        <v>13126</v>
      </c>
      <c r="G669" s="5" t="s">
        <v>8258</v>
      </c>
    </row>
    <row r="670" spans="1:7" x14ac:dyDescent="0.35">
      <c r="A670" s="1" t="s">
        <v>3174</v>
      </c>
      <c r="B670" s="1" t="s">
        <v>3175</v>
      </c>
      <c r="C670" s="1" t="s">
        <v>6565</v>
      </c>
      <c r="D670" s="2" t="s">
        <v>8137</v>
      </c>
      <c r="E670" s="2" t="s">
        <v>8256</v>
      </c>
      <c r="F670" s="5" t="s">
        <v>13127</v>
      </c>
      <c r="G670" s="5" t="s">
        <v>8259</v>
      </c>
    </row>
    <row r="671" spans="1:7" x14ac:dyDescent="0.35">
      <c r="A671" s="1" t="s">
        <v>3174</v>
      </c>
      <c r="B671" s="1" t="s">
        <v>3175</v>
      </c>
      <c r="C671" s="1" t="s">
        <v>6565</v>
      </c>
      <c r="D671" s="2" t="s">
        <v>8137</v>
      </c>
      <c r="E671" s="2" t="s">
        <v>8257</v>
      </c>
      <c r="F671" s="5" t="s">
        <v>13128</v>
      </c>
      <c r="G671" s="5" t="s">
        <v>8260</v>
      </c>
    </row>
    <row r="672" spans="1:7" x14ac:dyDescent="0.35">
      <c r="A672" s="1" t="s">
        <v>5847</v>
      </c>
      <c r="B672" s="1" t="s">
        <v>5848</v>
      </c>
      <c r="C672" s="1" t="s">
        <v>6728</v>
      </c>
      <c r="D672" s="2" t="s">
        <v>8138</v>
      </c>
      <c r="E672" s="2" t="s">
        <v>8262</v>
      </c>
      <c r="F672" s="5" t="s">
        <v>8264</v>
      </c>
      <c r="G672" s="5" t="s">
        <v>8258</v>
      </c>
    </row>
    <row r="673" spans="1:7" x14ac:dyDescent="0.35">
      <c r="A673" s="1" t="s">
        <v>5847</v>
      </c>
      <c r="B673" s="1" t="s">
        <v>5848</v>
      </c>
      <c r="C673" s="1" t="s">
        <v>6728</v>
      </c>
      <c r="D673" s="2" t="s">
        <v>8138</v>
      </c>
      <c r="E673" s="2" t="s">
        <v>8263</v>
      </c>
      <c r="F673" s="5" t="s">
        <v>8265</v>
      </c>
      <c r="G673" s="5" t="s">
        <v>8258</v>
      </c>
    </row>
    <row r="674" spans="1:7" x14ac:dyDescent="0.35">
      <c r="A674" s="1" t="s">
        <v>3194</v>
      </c>
      <c r="B674" s="1" t="s">
        <v>3195</v>
      </c>
      <c r="C674" s="1" t="s">
        <v>6568</v>
      </c>
      <c r="D674" s="2"/>
      <c r="E674" s="2"/>
      <c r="F674" s="5"/>
      <c r="G674" s="5"/>
    </row>
    <row r="675" spans="1:7" x14ac:dyDescent="0.35">
      <c r="A675" s="1" t="s">
        <v>5462</v>
      </c>
      <c r="B675" s="1" t="s">
        <v>5463</v>
      </c>
      <c r="C675" s="1" t="s">
        <v>6568</v>
      </c>
      <c r="D675" s="2"/>
      <c r="E675" s="2"/>
      <c r="F675" s="5"/>
      <c r="G675" s="5"/>
    </row>
    <row r="676" spans="1:7" x14ac:dyDescent="0.35">
      <c r="A676" s="1" t="s">
        <v>240</v>
      </c>
      <c r="B676" s="1" t="s">
        <v>241</v>
      </c>
      <c r="C676" s="1" t="s">
        <v>6287</v>
      </c>
      <c r="D676" s="2"/>
      <c r="E676" s="2"/>
      <c r="F676" s="5"/>
      <c r="G676" s="5"/>
    </row>
    <row r="677" spans="1:7" x14ac:dyDescent="0.35">
      <c r="A677" s="1" t="s">
        <v>1739</v>
      </c>
      <c r="B677" s="1" t="s">
        <v>1740</v>
      </c>
      <c r="C677" s="1" t="s">
        <v>6458</v>
      </c>
      <c r="D677" s="2" t="s">
        <v>8266</v>
      </c>
      <c r="E677" s="2" t="s">
        <v>8267</v>
      </c>
      <c r="F677" s="5" t="s">
        <v>8273</v>
      </c>
      <c r="G677" s="5" t="s">
        <v>8270</v>
      </c>
    </row>
    <row r="678" spans="1:7" x14ac:dyDescent="0.35">
      <c r="A678" s="1" t="s">
        <v>1739</v>
      </c>
      <c r="B678" s="1" t="s">
        <v>1740</v>
      </c>
      <c r="C678" s="1" t="s">
        <v>6458</v>
      </c>
      <c r="D678" s="2" t="s">
        <v>8266</v>
      </c>
      <c r="E678" s="2" t="s">
        <v>8268</v>
      </c>
      <c r="F678" s="5" t="s">
        <v>13129</v>
      </c>
      <c r="G678" s="5" t="s">
        <v>8271</v>
      </c>
    </row>
    <row r="679" spans="1:7" x14ac:dyDescent="0.35">
      <c r="A679" s="1" t="s">
        <v>1739</v>
      </c>
      <c r="B679" s="1" t="s">
        <v>1740</v>
      </c>
      <c r="C679" s="1" t="s">
        <v>6458</v>
      </c>
      <c r="D679" s="2" t="s">
        <v>8266</v>
      </c>
      <c r="E679" s="2" t="s">
        <v>8269</v>
      </c>
      <c r="F679" s="5" t="s">
        <v>8274</v>
      </c>
      <c r="G679" s="5" t="s">
        <v>8272</v>
      </c>
    </row>
    <row r="680" spans="1:7" x14ac:dyDescent="0.35">
      <c r="A680" s="1" t="s">
        <v>2198</v>
      </c>
      <c r="B680" s="1" t="s">
        <v>2199</v>
      </c>
      <c r="C680" s="1" t="s">
        <v>6492</v>
      </c>
      <c r="D680" s="2"/>
      <c r="E680" s="2"/>
      <c r="F680" s="5"/>
      <c r="G680" s="5"/>
    </row>
    <row r="681" spans="1:7" x14ac:dyDescent="0.35">
      <c r="A681" s="1" t="s">
        <v>3658</v>
      </c>
      <c r="B681" s="1" t="s">
        <v>3659</v>
      </c>
      <c r="C681" s="1" t="s">
        <v>6492</v>
      </c>
      <c r="D681" s="2"/>
      <c r="E681" s="2"/>
      <c r="F681" s="5"/>
      <c r="G681" s="5"/>
    </row>
    <row r="682" spans="1:7" x14ac:dyDescent="0.35">
      <c r="A682" s="1" t="s">
        <v>5425</v>
      </c>
      <c r="B682" s="1" t="s">
        <v>5426</v>
      </c>
      <c r="C682" s="1" t="s">
        <v>6492</v>
      </c>
      <c r="D682" s="2"/>
      <c r="E682" s="2"/>
      <c r="F682" s="5"/>
      <c r="G682" s="5"/>
    </row>
    <row r="683" spans="1:7" x14ac:dyDescent="0.35">
      <c r="A683" s="1" t="s">
        <v>6230</v>
      </c>
      <c r="B683" s="1" t="s">
        <v>6231</v>
      </c>
      <c r="C683" s="1" t="s">
        <v>6492</v>
      </c>
      <c r="D683" s="2"/>
      <c r="E683" s="2"/>
      <c r="F683" s="5"/>
      <c r="G683" s="5"/>
    </row>
    <row r="684" spans="1:7" x14ac:dyDescent="0.35">
      <c r="A684" s="1" t="s">
        <v>281</v>
      </c>
      <c r="B684" s="1" t="s">
        <v>282</v>
      </c>
      <c r="C684" s="1" t="s">
        <v>6289</v>
      </c>
      <c r="D684" s="2"/>
      <c r="E684" s="2"/>
      <c r="F684" s="5"/>
      <c r="G684" s="5"/>
    </row>
    <row r="685" spans="1:7" x14ac:dyDescent="0.35">
      <c r="A685" s="1" t="s">
        <v>4849</v>
      </c>
      <c r="B685" s="1" t="s">
        <v>4850</v>
      </c>
      <c r="C685" s="1" t="s">
        <v>6670</v>
      </c>
      <c r="D685" s="2"/>
      <c r="E685" s="2"/>
      <c r="F685" s="5"/>
      <c r="G685" s="5"/>
    </row>
    <row r="686" spans="1:7" x14ac:dyDescent="0.35">
      <c r="A686" s="1" t="s">
        <v>3285</v>
      </c>
      <c r="B686" s="1" t="s">
        <v>3286</v>
      </c>
      <c r="C686" s="1" t="s">
        <v>6575</v>
      </c>
      <c r="D686" s="2" t="s">
        <v>8275</v>
      </c>
      <c r="E686" s="2" t="s">
        <v>8276</v>
      </c>
      <c r="F686" s="5" t="s">
        <v>8280</v>
      </c>
      <c r="G686" s="5" t="s">
        <v>8278</v>
      </c>
    </row>
    <row r="687" spans="1:7" x14ac:dyDescent="0.35">
      <c r="A687" s="1" t="s">
        <v>3285</v>
      </c>
      <c r="B687" s="1" t="s">
        <v>3286</v>
      </c>
      <c r="C687" s="1" t="s">
        <v>6575</v>
      </c>
      <c r="D687" s="2" t="s">
        <v>8275</v>
      </c>
      <c r="E687" s="2" t="s">
        <v>8277</v>
      </c>
      <c r="F687" s="5" t="s">
        <v>8281</v>
      </c>
      <c r="G687" s="5" t="s">
        <v>8279</v>
      </c>
    </row>
    <row r="688" spans="1:7" x14ac:dyDescent="0.35">
      <c r="A688" s="1" t="s">
        <v>3025</v>
      </c>
      <c r="B688" s="1" t="s">
        <v>3026</v>
      </c>
      <c r="C688" s="1" t="s">
        <v>6551</v>
      </c>
      <c r="D688" s="2"/>
      <c r="E688" s="2"/>
      <c r="F688" s="5"/>
      <c r="G688" s="5"/>
    </row>
    <row r="689" spans="1:7" x14ac:dyDescent="0.35">
      <c r="A689" s="1" t="s">
        <v>5744</v>
      </c>
      <c r="B689" s="1" t="s">
        <v>5745</v>
      </c>
      <c r="C689" s="1" t="s">
        <v>6721</v>
      </c>
      <c r="D689" s="2"/>
      <c r="E689" s="2"/>
      <c r="F689" s="5"/>
      <c r="G689" s="5"/>
    </row>
    <row r="690" spans="1:7" x14ac:dyDescent="0.35">
      <c r="A690" s="1" t="s">
        <v>3058</v>
      </c>
      <c r="B690" s="1" t="s">
        <v>3059</v>
      </c>
      <c r="C690" s="1" t="s">
        <v>6554</v>
      </c>
      <c r="D690" s="2"/>
      <c r="E690" s="2"/>
      <c r="F690" s="5"/>
      <c r="G690" s="5"/>
    </row>
    <row r="691" spans="1:7" x14ac:dyDescent="0.35">
      <c r="A691" s="1" t="s">
        <v>1943</v>
      </c>
      <c r="B691" s="1" t="s">
        <v>1944</v>
      </c>
      <c r="C691" s="1" t="s">
        <v>6474</v>
      </c>
      <c r="D691" s="2"/>
      <c r="E691" s="2"/>
      <c r="F691" s="5"/>
      <c r="G691" s="5"/>
    </row>
    <row r="692" spans="1:7" x14ac:dyDescent="0.35">
      <c r="A692" s="1" t="s">
        <v>5214</v>
      </c>
      <c r="B692" s="1" t="s">
        <v>5215</v>
      </c>
      <c r="C692" s="1" t="s">
        <v>6692</v>
      </c>
      <c r="D692" s="2"/>
      <c r="E692" s="2"/>
      <c r="F692" s="5"/>
      <c r="G692" s="5"/>
    </row>
    <row r="693" spans="1:7" x14ac:dyDescent="0.35">
      <c r="A693" s="1" t="s">
        <v>322</v>
      </c>
      <c r="B693" s="1" t="s">
        <v>323</v>
      </c>
      <c r="C693" s="1" t="s">
        <v>6292</v>
      </c>
      <c r="D693" s="2"/>
      <c r="E693" s="2"/>
      <c r="F693" s="5"/>
      <c r="G693" s="5"/>
    </row>
    <row r="694" spans="1:7" x14ac:dyDescent="0.35">
      <c r="A694" s="1" t="s">
        <v>3184</v>
      </c>
      <c r="B694" s="1" t="s">
        <v>3185</v>
      </c>
      <c r="C694" s="1" t="s">
        <v>6567</v>
      </c>
      <c r="D694" s="2"/>
      <c r="E694" s="2"/>
      <c r="F694" s="5"/>
      <c r="G694" s="5"/>
    </row>
    <row r="695" spans="1:7" x14ac:dyDescent="0.35">
      <c r="A695" s="1" t="s">
        <v>5039</v>
      </c>
      <c r="B695" s="1" t="s">
        <v>5040</v>
      </c>
      <c r="C695" s="1" t="s">
        <v>6567</v>
      </c>
      <c r="D695" s="2"/>
      <c r="E695" s="2"/>
      <c r="F695" s="5"/>
      <c r="G695" s="5"/>
    </row>
    <row r="696" spans="1:7" x14ac:dyDescent="0.35">
      <c r="A696" s="1" t="s">
        <v>6264</v>
      </c>
      <c r="B696" s="1" t="s">
        <v>6265</v>
      </c>
      <c r="C696" s="1" t="s">
        <v>6567</v>
      </c>
      <c r="D696" s="2"/>
      <c r="E696" s="2"/>
      <c r="F696" s="5"/>
      <c r="G696" s="5"/>
    </row>
    <row r="697" spans="1:7" x14ac:dyDescent="0.35">
      <c r="A697" s="1" t="s">
        <v>5149</v>
      </c>
      <c r="B697" s="1" t="s">
        <v>5150</v>
      </c>
      <c r="C697" s="1" t="s">
        <v>6688</v>
      </c>
      <c r="D697" s="2"/>
      <c r="E697" s="2"/>
      <c r="F697" s="5"/>
      <c r="G697" s="5"/>
    </row>
    <row r="698" spans="1:7" x14ac:dyDescent="0.35">
      <c r="A698" s="1" t="s">
        <v>3019</v>
      </c>
      <c r="B698" s="1" t="s">
        <v>3020</v>
      </c>
      <c r="C698" s="1" t="s">
        <v>6704</v>
      </c>
      <c r="D698" s="2"/>
      <c r="E698" s="2"/>
      <c r="F698" s="5"/>
      <c r="G698" s="5"/>
    </row>
    <row r="699" spans="1:7" x14ac:dyDescent="0.35">
      <c r="A699" s="1" t="s">
        <v>6378</v>
      </c>
      <c r="B699" s="1" t="s">
        <v>1037</v>
      </c>
      <c r="C699" s="1" t="s">
        <v>6400</v>
      </c>
      <c r="D699" s="2"/>
      <c r="E699" s="2"/>
      <c r="F699" s="5"/>
      <c r="G699" s="5"/>
    </row>
    <row r="700" spans="1:7" x14ac:dyDescent="0.35">
      <c r="A700" s="1" t="s">
        <v>855</v>
      </c>
      <c r="B700" s="1" t="s">
        <v>856</v>
      </c>
      <c r="C700" s="1" t="s">
        <v>6335</v>
      </c>
      <c r="D700" s="2"/>
      <c r="E700" s="2"/>
      <c r="F700" s="5"/>
      <c r="G700" s="5"/>
    </row>
    <row r="701" spans="1:7" x14ac:dyDescent="0.35">
      <c r="A701" s="1" t="s">
        <v>731</v>
      </c>
      <c r="B701" s="1" t="s">
        <v>732</v>
      </c>
      <c r="C701" s="1" t="s">
        <v>6325</v>
      </c>
      <c r="D701" s="2"/>
      <c r="E701" s="2"/>
      <c r="F701" s="5"/>
      <c r="G701" s="5"/>
    </row>
    <row r="702" spans="1:7" x14ac:dyDescent="0.35">
      <c r="A702" s="1" t="s">
        <v>1451</v>
      </c>
      <c r="B702" s="1" t="s">
        <v>1452</v>
      </c>
      <c r="C702" s="1" t="s">
        <v>6439</v>
      </c>
      <c r="D702" s="2"/>
      <c r="E702" s="2"/>
      <c r="F702" s="5"/>
      <c r="G702" s="5"/>
    </row>
    <row r="703" spans="1:7" x14ac:dyDescent="0.35">
      <c r="A703" s="1" t="s">
        <v>68</v>
      </c>
      <c r="B703" s="1" t="s">
        <v>69</v>
      </c>
      <c r="C703" s="1" t="s">
        <v>6272</v>
      </c>
      <c r="D703" s="2"/>
      <c r="E703" s="2"/>
      <c r="F703" s="5"/>
      <c r="G703" s="5"/>
    </row>
    <row r="704" spans="1:7" x14ac:dyDescent="0.35">
      <c r="A704" s="1" t="s">
        <v>626</v>
      </c>
      <c r="B704" s="1" t="s">
        <v>627</v>
      </c>
      <c r="C704" s="1" t="s">
        <v>6272</v>
      </c>
      <c r="D704" s="2"/>
      <c r="E704" s="2"/>
      <c r="F704" s="5"/>
      <c r="G704" s="5"/>
    </row>
    <row r="705" spans="1:7" x14ac:dyDescent="0.35">
      <c r="A705" s="1" t="s">
        <v>1316</v>
      </c>
      <c r="B705" s="1" t="s">
        <v>1317</v>
      </c>
      <c r="C705" s="1" t="s">
        <v>6272</v>
      </c>
      <c r="D705" s="2"/>
      <c r="E705" s="2"/>
      <c r="F705" s="5"/>
      <c r="G705" s="5"/>
    </row>
    <row r="706" spans="1:7" x14ac:dyDescent="0.35">
      <c r="A706" s="1" t="s">
        <v>1902</v>
      </c>
      <c r="B706" s="1" t="s">
        <v>1903</v>
      </c>
      <c r="C706" s="1" t="s">
        <v>6272</v>
      </c>
      <c r="D706" s="2"/>
      <c r="E706" s="2"/>
      <c r="F706" s="5"/>
      <c r="G706" s="5"/>
    </row>
    <row r="707" spans="1:7" x14ac:dyDescent="0.35">
      <c r="A707" s="1" t="s">
        <v>2174</v>
      </c>
      <c r="B707" s="1" t="s">
        <v>2175</v>
      </c>
      <c r="C707" s="1" t="s">
        <v>6272</v>
      </c>
      <c r="D707" s="2"/>
      <c r="E707" s="2"/>
      <c r="F707" s="5"/>
      <c r="G707" s="5"/>
    </row>
    <row r="708" spans="1:7" x14ac:dyDescent="0.35">
      <c r="A708" s="1" t="s">
        <v>2294</v>
      </c>
      <c r="B708" s="1" t="s">
        <v>2295</v>
      </c>
      <c r="C708" s="1" t="s">
        <v>6272</v>
      </c>
      <c r="D708" s="2"/>
      <c r="E708" s="2"/>
      <c r="F708" s="5"/>
      <c r="G708" s="5"/>
    </row>
    <row r="709" spans="1:7" x14ac:dyDescent="0.35">
      <c r="A709" s="1" t="s">
        <v>4282</v>
      </c>
      <c r="B709" s="1" t="s">
        <v>4283</v>
      </c>
      <c r="C709" s="1" t="s">
        <v>6272</v>
      </c>
      <c r="D709" s="2"/>
      <c r="E709" s="2"/>
      <c r="F709" s="5"/>
      <c r="G709" s="5"/>
    </row>
    <row r="710" spans="1:7" x14ac:dyDescent="0.35">
      <c r="A710" s="1" t="s">
        <v>4410</v>
      </c>
      <c r="B710" s="1" t="s">
        <v>4411</v>
      </c>
      <c r="C710" s="1" t="s">
        <v>6272</v>
      </c>
      <c r="D710" s="2"/>
      <c r="E710" s="2"/>
      <c r="F710" s="5"/>
      <c r="G710" s="5"/>
    </row>
    <row r="711" spans="1:7" x14ac:dyDescent="0.35">
      <c r="A711" s="1" t="s">
        <v>5843</v>
      </c>
      <c r="B711" s="1" t="s">
        <v>5844</v>
      </c>
      <c r="C711" s="1" t="s">
        <v>6272</v>
      </c>
      <c r="D711" s="2"/>
      <c r="E711" s="2"/>
      <c r="F711" s="5"/>
      <c r="G711" s="5"/>
    </row>
    <row r="712" spans="1:7" x14ac:dyDescent="0.35">
      <c r="A712" s="1" t="s">
        <v>5502</v>
      </c>
      <c r="B712" s="1" t="s">
        <v>5503</v>
      </c>
      <c r="C712" s="1" t="s">
        <v>6706</v>
      </c>
      <c r="D712" s="2"/>
      <c r="E712" s="2"/>
      <c r="F712" s="5"/>
      <c r="G712" s="5"/>
    </row>
    <row r="713" spans="1:7" x14ac:dyDescent="0.35">
      <c r="A713" s="1" t="s">
        <v>6227</v>
      </c>
      <c r="B713" s="1" t="s">
        <v>6228</v>
      </c>
      <c r="C713" s="1" t="s">
        <v>6738</v>
      </c>
      <c r="D713" s="2"/>
      <c r="E713" s="2"/>
      <c r="F713" s="5"/>
      <c r="G713" s="5"/>
    </row>
    <row r="714" spans="1:7" x14ac:dyDescent="0.35">
      <c r="A714" s="1" t="s">
        <v>1342</v>
      </c>
      <c r="B714" s="1" t="s">
        <v>1343</v>
      </c>
      <c r="C714" s="1" t="s">
        <v>6427</v>
      </c>
      <c r="D714" s="2"/>
      <c r="E714" s="2"/>
      <c r="F714" s="5"/>
      <c r="G714" s="5"/>
    </row>
    <row r="715" spans="1:7" x14ac:dyDescent="0.35">
      <c r="A715" s="1" t="s">
        <v>3684</v>
      </c>
      <c r="B715" s="1" t="s">
        <v>3685</v>
      </c>
      <c r="C715" s="1" t="s">
        <v>6427</v>
      </c>
      <c r="D715" s="2"/>
      <c r="E715" s="2"/>
      <c r="F715" s="5"/>
      <c r="G715" s="5"/>
    </row>
    <row r="716" spans="1:7" x14ac:dyDescent="0.35">
      <c r="A716" s="1" t="s">
        <v>5359</v>
      </c>
      <c r="B716" s="1" t="s">
        <v>5360</v>
      </c>
      <c r="C716" s="1" t="s">
        <v>6698</v>
      </c>
      <c r="D716" s="2" t="s">
        <v>8282</v>
      </c>
      <c r="E716" s="2" t="s">
        <v>8283</v>
      </c>
      <c r="F716" s="5" t="s">
        <v>8287</v>
      </c>
      <c r="G716" s="5" t="s">
        <v>8285</v>
      </c>
    </row>
    <row r="717" spans="1:7" x14ac:dyDescent="0.35">
      <c r="A717" s="1" t="s">
        <v>5359</v>
      </c>
      <c r="B717" s="1" t="s">
        <v>5360</v>
      </c>
      <c r="C717" s="1" t="s">
        <v>6698</v>
      </c>
      <c r="D717" s="2" t="s">
        <v>8282</v>
      </c>
      <c r="E717" s="2" t="s">
        <v>8284</v>
      </c>
      <c r="F717" s="5" t="s">
        <v>13130</v>
      </c>
      <c r="G717" s="5" t="s">
        <v>8286</v>
      </c>
    </row>
    <row r="718" spans="1:7" x14ac:dyDescent="0.35">
      <c r="A718" s="1" t="s">
        <v>915</v>
      </c>
      <c r="B718" s="1" t="s">
        <v>916</v>
      </c>
      <c r="C718" s="1" t="s">
        <v>6337</v>
      </c>
      <c r="D718" s="2" t="s">
        <v>8288</v>
      </c>
      <c r="E718" s="2" t="s">
        <v>8289</v>
      </c>
      <c r="F718" s="5" t="s">
        <v>8291</v>
      </c>
      <c r="G718" s="5" t="s">
        <v>8290</v>
      </c>
    </row>
    <row r="719" spans="1:7" x14ac:dyDescent="0.35">
      <c r="A719" s="1" t="s">
        <v>5108</v>
      </c>
      <c r="B719" s="1" t="s">
        <v>5109</v>
      </c>
      <c r="C719" s="1" t="s">
        <v>6685</v>
      </c>
      <c r="D719" s="2" t="s">
        <v>8292</v>
      </c>
      <c r="E719" s="2" t="s">
        <v>8301</v>
      </c>
      <c r="F719" s="5" t="s">
        <v>8303</v>
      </c>
      <c r="G719" s="5" t="s">
        <v>8302</v>
      </c>
    </row>
    <row r="720" spans="1:7" x14ac:dyDescent="0.35">
      <c r="A720" s="1" t="s">
        <v>5108</v>
      </c>
      <c r="B720" s="1" t="s">
        <v>5109</v>
      </c>
      <c r="C720" s="1" t="s">
        <v>6685</v>
      </c>
      <c r="D720" s="2" t="s">
        <v>8292</v>
      </c>
      <c r="E720" s="2" t="s">
        <v>8284</v>
      </c>
      <c r="F720" s="5" t="s">
        <v>8304</v>
      </c>
      <c r="G720" s="5" t="s">
        <v>8286</v>
      </c>
    </row>
    <row r="721" spans="1:7" x14ac:dyDescent="0.35">
      <c r="A721" s="1" t="s">
        <v>1480</v>
      </c>
      <c r="B721" s="1" t="s">
        <v>1481</v>
      </c>
      <c r="C721" s="1" t="s">
        <v>6441</v>
      </c>
      <c r="D721" s="2" t="s">
        <v>8293</v>
      </c>
      <c r="E721" s="2" t="s">
        <v>8305</v>
      </c>
      <c r="F721" s="5" t="s">
        <v>8307</v>
      </c>
      <c r="G721" s="5" t="s">
        <v>8306</v>
      </c>
    </row>
    <row r="722" spans="1:7" x14ac:dyDescent="0.35">
      <c r="A722" s="1" t="s">
        <v>416</v>
      </c>
      <c r="B722" s="1" t="s">
        <v>417</v>
      </c>
      <c r="C722" s="1" t="s">
        <v>6299</v>
      </c>
      <c r="D722" s="2" t="s">
        <v>8294</v>
      </c>
      <c r="E722" s="2" t="s">
        <v>8308</v>
      </c>
      <c r="F722" s="5" t="s">
        <v>8309</v>
      </c>
      <c r="G722" s="5" t="s">
        <v>8309</v>
      </c>
    </row>
    <row r="723" spans="1:7" x14ac:dyDescent="0.35">
      <c r="A723" s="1" t="s">
        <v>868</v>
      </c>
      <c r="B723" s="1" t="s">
        <v>869</v>
      </c>
      <c r="C723" s="1" t="s">
        <v>6336</v>
      </c>
      <c r="D723" s="2" t="s">
        <v>8295</v>
      </c>
      <c r="E723" s="2" t="s">
        <v>8310</v>
      </c>
      <c r="F723" s="1" t="s">
        <v>8564</v>
      </c>
      <c r="G723" s="1" t="s">
        <v>8314</v>
      </c>
    </row>
    <row r="724" spans="1:7" x14ac:dyDescent="0.35">
      <c r="A724" s="1" t="s">
        <v>868</v>
      </c>
      <c r="B724" s="1" t="s">
        <v>869</v>
      </c>
      <c r="C724" s="1" t="s">
        <v>6336</v>
      </c>
      <c r="D724" s="2" t="s">
        <v>8295</v>
      </c>
      <c r="E724" s="2" t="s">
        <v>8311</v>
      </c>
      <c r="F724" s="1" t="s">
        <v>9045</v>
      </c>
      <c r="G724" s="1" t="s">
        <v>9073</v>
      </c>
    </row>
    <row r="725" spans="1:7" x14ac:dyDescent="0.35">
      <c r="A725" s="1" t="s">
        <v>868</v>
      </c>
      <c r="B725" s="1" t="s">
        <v>869</v>
      </c>
      <c r="C725" s="1" t="s">
        <v>6336</v>
      </c>
      <c r="D725" s="2" t="s">
        <v>8295</v>
      </c>
      <c r="E725" s="2" t="s">
        <v>8312</v>
      </c>
      <c r="F725" s="1" t="s">
        <v>8565</v>
      </c>
      <c r="G725" s="1" t="s">
        <v>8315</v>
      </c>
    </row>
    <row r="726" spans="1:7" x14ac:dyDescent="0.35">
      <c r="A726" s="1" t="s">
        <v>868</v>
      </c>
      <c r="B726" s="1" t="s">
        <v>869</v>
      </c>
      <c r="C726" s="1" t="s">
        <v>6336</v>
      </c>
      <c r="D726" s="2" t="s">
        <v>8295</v>
      </c>
      <c r="E726" s="2" t="s">
        <v>8313</v>
      </c>
      <c r="F726" s="1" t="s">
        <v>8565</v>
      </c>
      <c r="G726" s="1" t="s">
        <v>9074</v>
      </c>
    </row>
    <row r="727" spans="1:7" x14ac:dyDescent="0.35">
      <c r="A727" s="1" t="s">
        <v>868</v>
      </c>
      <c r="B727" s="1" t="s">
        <v>869</v>
      </c>
      <c r="C727" s="1" t="s">
        <v>6336</v>
      </c>
      <c r="D727" s="2" t="s">
        <v>8295</v>
      </c>
      <c r="E727" s="2" t="s">
        <v>8284</v>
      </c>
      <c r="F727" s="5" t="s">
        <v>8304</v>
      </c>
      <c r="G727" s="5" t="s">
        <v>8286</v>
      </c>
    </row>
    <row r="728" spans="1:7" x14ac:dyDescent="0.35">
      <c r="A728" s="1" t="s">
        <v>518</v>
      </c>
      <c r="B728" s="1" t="s">
        <v>519</v>
      </c>
      <c r="C728" s="1" t="s">
        <v>6307</v>
      </c>
      <c r="D728" s="2" t="s">
        <v>8296</v>
      </c>
      <c r="E728" s="2" t="s">
        <v>8316</v>
      </c>
      <c r="F728" s="5" t="s">
        <v>8320</v>
      </c>
      <c r="G728" s="5" t="s">
        <v>8318</v>
      </c>
    </row>
    <row r="729" spans="1:7" x14ac:dyDescent="0.35">
      <c r="A729" s="1" t="s">
        <v>518</v>
      </c>
      <c r="B729" s="1" t="s">
        <v>519</v>
      </c>
      <c r="C729" s="1" t="s">
        <v>6307</v>
      </c>
      <c r="D729" s="2" t="s">
        <v>8296</v>
      </c>
      <c r="E729" s="2" t="s">
        <v>8317</v>
      </c>
      <c r="F729" s="5" t="s">
        <v>8321</v>
      </c>
      <c r="G729" s="5" t="s">
        <v>8319</v>
      </c>
    </row>
    <row r="730" spans="1:7" x14ac:dyDescent="0.35">
      <c r="A730" s="1" t="s">
        <v>3379</v>
      </c>
      <c r="B730" s="1" t="s">
        <v>3380</v>
      </c>
      <c r="C730" s="1" t="s">
        <v>6581</v>
      </c>
      <c r="D730" s="2" t="s">
        <v>8297</v>
      </c>
      <c r="E730" s="2" t="s">
        <v>8322</v>
      </c>
      <c r="F730" s="5" t="s">
        <v>8324</v>
      </c>
      <c r="G730" s="5" t="s">
        <v>8323</v>
      </c>
    </row>
    <row r="731" spans="1:7" x14ac:dyDescent="0.35">
      <c r="A731" s="1" t="s">
        <v>3198</v>
      </c>
      <c r="B731" s="1" t="s">
        <v>3199</v>
      </c>
      <c r="C731" s="1" t="s">
        <v>6569</v>
      </c>
      <c r="D731" s="2" t="s">
        <v>8298</v>
      </c>
      <c r="E731" s="2" t="s">
        <v>8325</v>
      </c>
      <c r="F731" s="5" t="s">
        <v>8327</v>
      </c>
      <c r="G731" s="5" t="s">
        <v>8326</v>
      </c>
    </row>
    <row r="732" spans="1:7" x14ac:dyDescent="0.35">
      <c r="A732" s="1" t="s">
        <v>169</v>
      </c>
      <c r="B732" s="1" t="s">
        <v>170</v>
      </c>
      <c r="C732" s="1" t="s">
        <v>6280</v>
      </c>
      <c r="D732" s="2" t="s">
        <v>8299</v>
      </c>
      <c r="E732" s="2" t="s">
        <v>8328</v>
      </c>
      <c r="F732" s="5" t="s">
        <v>8171</v>
      </c>
      <c r="G732" s="5" t="s">
        <v>8329</v>
      </c>
    </row>
    <row r="733" spans="1:7" x14ac:dyDescent="0.35">
      <c r="A733" s="1" t="s">
        <v>4786</v>
      </c>
      <c r="B733" s="1" t="s">
        <v>4787</v>
      </c>
      <c r="C733" s="1" t="s">
        <v>6668</v>
      </c>
      <c r="D733" s="2" t="s">
        <v>8300</v>
      </c>
      <c r="E733" s="2" t="s">
        <v>8330</v>
      </c>
      <c r="F733" s="5" t="s">
        <v>8339</v>
      </c>
      <c r="G733" s="5" t="s">
        <v>8342</v>
      </c>
    </row>
    <row r="734" spans="1:7" x14ac:dyDescent="0.35">
      <c r="A734" s="1" t="s">
        <v>4786</v>
      </c>
      <c r="B734" s="1" t="s">
        <v>4787</v>
      </c>
      <c r="C734" s="1" t="s">
        <v>6668</v>
      </c>
      <c r="D734" s="2" t="s">
        <v>8300</v>
      </c>
      <c r="E734" s="2" t="s">
        <v>8332</v>
      </c>
      <c r="F734" s="5" t="s">
        <v>8339</v>
      </c>
      <c r="G734" s="5" t="s">
        <v>8333</v>
      </c>
    </row>
    <row r="735" spans="1:7" x14ac:dyDescent="0.35">
      <c r="A735" s="1" t="s">
        <v>4786</v>
      </c>
      <c r="B735" s="1" t="s">
        <v>4787</v>
      </c>
      <c r="C735" s="1" t="s">
        <v>6668</v>
      </c>
      <c r="D735" s="2" t="s">
        <v>8300</v>
      </c>
      <c r="E735" s="2" t="s">
        <v>8334</v>
      </c>
      <c r="F735" s="5" t="s">
        <v>8340</v>
      </c>
      <c r="G735" s="5" t="s">
        <v>8335</v>
      </c>
    </row>
    <row r="736" spans="1:7" x14ac:dyDescent="0.35">
      <c r="A736" s="1" t="s">
        <v>4786</v>
      </c>
      <c r="B736" s="1" t="s">
        <v>4787</v>
      </c>
      <c r="C736" s="1" t="s">
        <v>6668</v>
      </c>
      <c r="D736" s="2" t="s">
        <v>8300</v>
      </c>
      <c r="E736" s="2" t="s">
        <v>8336</v>
      </c>
      <c r="F736" s="5" t="s">
        <v>8341</v>
      </c>
      <c r="G736" s="5" t="s">
        <v>8343</v>
      </c>
    </row>
    <row r="737" spans="1:7" x14ac:dyDescent="0.35">
      <c r="A737" s="1" t="s">
        <v>4786</v>
      </c>
      <c r="B737" s="1" t="s">
        <v>4787</v>
      </c>
      <c r="C737" s="1" t="s">
        <v>6668</v>
      </c>
      <c r="D737" s="2" t="s">
        <v>8300</v>
      </c>
      <c r="E737" s="2" t="s">
        <v>8337</v>
      </c>
      <c r="F737" s="5" t="s">
        <v>8338</v>
      </c>
      <c r="G737" s="5" t="s">
        <v>8335</v>
      </c>
    </row>
    <row r="738" spans="1:7" x14ac:dyDescent="0.35">
      <c r="A738" s="1" t="s">
        <v>2553</v>
      </c>
      <c r="B738" s="1" t="s">
        <v>2554</v>
      </c>
      <c r="C738" s="1" t="s">
        <v>6528</v>
      </c>
      <c r="D738" s="2" t="s">
        <v>8331</v>
      </c>
      <c r="E738" s="2" t="s">
        <v>8344</v>
      </c>
      <c r="F738" s="5" t="s">
        <v>8346</v>
      </c>
      <c r="G738" s="5" t="s">
        <v>8345</v>
      </c>
    </row>
    <row r="739" spans="1:7" x14ac:dyDescent="0.35">
      <c r="A739" s="1" t="s">
        <v>3833</v>
      </c>
      <c r="B739" s="1" t="s">
        <v>3834</v>
      </c>
      <c r="C739" s="1" t="s">
        <v>6614</v>
      </c>
      <c r="D739" s="2" t="s">
        <v>8347</v>
      </c>
      <c r="E739" s="2" t="s">
        <v>8348</v>
      </c>
      <c r="F739" s="5" t="s">
        <v>8352</v>
      </c>
      <c r="G739" s="5" t="s">
        <v>8350</v>
      </c>
    </row>
    <row r="740" spans="1:7" x14ac:dyDescent="0.35">
      <c r="A740" s="1" t="s">
        <v>3833</v>
      </c>
      <c r="B740" s="1" t="s">
        <v>3834</v>
      </c>
      <c r="C740" s="1" t="s">
        <v>6614</v>
      </c>
      <c r="D740" s="2" t="s">
        <v>8347</v>
      </c>
      <c r="E740" s="2" t="s">
        <v>8349</v>
      </c>
      <c r="F740" s="5" t="s">
        <v>8353</v>
      </c>
      <c r="G740" s="5" t="s">
        <v>8351</v>
      </c>
    </row>
    <row r="741" spans="1:7" x14ac:dyDescent="0.35">
      <c r="A741" s="1" t="s">
        <v>3722</v>
      </c>
      <c r="B741" s="1" t="s">
        <v>3723</v>
      </c>
      <c r="C741" s="1" t="s">
        <v>6599</v>
      </c>
      <c r="D741" s="2" t="s">
        <v>8354</v>
      </c>
      <c r="E741" s="2" t="s">
        <v>8355</v>
      </c>
      <c r="F741" s="5" t="s">
        <v>8361</v>
      </c>
      <c r="G741" s="5" t="s">
        <v>8358</v>
      </c>
    </row>
    <row r="742" spans="1:7" x14ac:dyDescent="0.35">
      <c r="A742" s="1" t="s">
        <v>3722</v>
      </c>
      <c r="B742" s="1" t="s">
        <v>3723</v>
      </c>
      <c r="C742" s="1" t="s">
        <v>6599</v>
      </c>
      <c r="D742" s="2" t="s">
        <v>8354</v>
      </c>
      <c r="E742" s="2" t="s">
        <v>8356</v>
      </c>
      <c r="F742" s="5" t="s">
        <v>13131</v>
      </c>
      <c r="G742" s="5" t="s">
        <v>8359</v>
      </c>
    </row>
    <row r="743" spans="1:7" x14ac:dyDescent="0.35">
      <c r="A743" s="1" t="s">
        <v>3722</v>
      </c>
      <c r="B743" s="1" t="s">
        <v>3723</v>
      </c>
      <c r="C743" s="1" t="s">
        <v>6599</v>
      </c>
      <c r="D743" s="2" t="s">
        <v>8354</v>
      </c>
      <c r="E743" s="2" t="s">
        <v>8357</v>
      </c>
      <c r="F743" s="5" t="s">
        <v>8362</v>
      </c>
      <c r="G743" s="5" t="s">
        <v>8360</v>
      </c>
    </row>
    <row r="744" spans="1:7" x14ac:dyDescent="0.35">
      <c r="A744" s="1" t="s">
        <v>1882</v>
      </c>
      <c r="B744" s="1" t="s">
        <v>1883</v>
      </c>
      <c r="C744" s="1" t="s">
        <v>6469</v>
      </c>
      <c r="D744" s="2" t="s">
        <v>8363</v>
      </c>
      <c r="E744" s="2" t="s">
        <v>8364</v>
      </c>
      <c r="F744" s="5" t="s">
        <v>13132</v>
      </c>
      <c r="G744" s="5" t="s">
        <v>8365</v>
      </c>
    </row>
    <row r="745" spans="1:7" x14ac:dyDescent="0.35">
      <c r="A745" s="1" t="s">
        <v>1653</v>
      </c>
      <c r="B745" s="1" t="s">
        <v>1654</v>
      </c>
      <c r="C745" s="1" t="s">
        <v>6448</v>
      </c>
      <c r="D745" s="2" t="s">
        <v>8366</v>
      </c>
      <c r="E745" s="2" t="s">
        <v>8367</v>
      </c>
      <c r="F745" s="5" t="s">
        <v>8369</v>
      </c>
      <c r="G745" s="5" t="s">
        <v>8368</v>
      </c>
    </row>
    <row r="746" spans="1:7" x14ac:dyDescent="0.35">
      <c r="A746" s="1" t="s">
        <v>755</v>
      </c>
      <c r="B746" s="1" t="s">
        <v>756</v>
      </c>
      <c r="C746" s="1" t="s">
        <v>6328</v>
      </c>
      <c r="D746" s="2"/>
      <c r="E746" s="2"/>
      <c r="F746" s="5"/>
      <c r="G746" s="5"/>
    </row>
    <row r="747" spans="1:7" x14ac:dyDescent="0.35">
      <c r="A747" s="1" t="s">
        <v>236</v>
      </c>
      <c r="B747" s="1" t="s">
        <v>237</v>
      </c>
      <c r="C747" s="1" t="s">
        <v>6286</v>
      </c>
      <c r="D747" s="2"/>
      <c r="E747" s="2"/>
      <c r="F747" s="5"/>
      <c r="G747" s="5"/>
    </row>
    <row r="748" spans="1:7" x14ac:dyDescent="0.35">
      <c r="A748" s="1" t="s">
        <v>6343</v>
      </c>
      <c r="B748" s="1" t="s">
        <v>953</v>
      </c>
      <c r="C748" s="1" t="s">
        <v>6286</v>
      </c>
      <c r="D748" s="2"/>
      <c r="E748" s="2"/>
      <c r="F748" s="5"/>
      <c r="G748" s="5"/>
    </row>
    <row r="749" spans="1:7" x14ac:dyDescent="0.35">
      <c r="A749" s="1" t="s">
        <v>6389</v>
      </c>
      <c r="B749" s="1" t="s">
        <v>1062</v>
      </c>
      <c r="C749" s="1" t="s">
        <v>6286</v>
      </c>
      <c r="D749" s="2"/>
      <c r="E749" s="2"/>
      <c r="F749" s="5"/>
      <c r="G749" s="5"/>
    </row>
    <row r="750" spans="1:7" x14ac:dyDescent="0.35">
      <c r="A750" s="1" t="s">
        <v>1850</v>
      </c>
      <c r="B750" s="1" t="s">
        <v>1851</v>
      </c>
      <c r="C750" s="1" t="s">
        <v>6286</v>
      </c>
      <c r="D750" s="2"/>
      <c r="E750" s="2"/>
      <c r="F750" s="5"/>
      <c r="G750" s="5"/>
    </row>
    <row r="751" spans="1:7" x14ac:dyDescent="0.35">
      <c r="A751" s="1" t="s">
        <v>2219</v>
      </c>
      <c r="B751" s="1" t="s">
        <v>2220</v>
      </c>
      <c r="C751" s="1" t="s">
        <v>6286</v>
      </c>
      <c r="D751" s="2"/>
      <c r="E751" s="2"/>
      <c r="F751" s="5"/>
      <c r="G751" s="5"/>
    </row>
    <row r="752" spans="1:7" x14ac:dyDescent="0.35">
      <c r="A752" s="1" t="s">
        <v>3011</v>
      </c>
      <c r="B752" s="1" t="s">
        <v>3012</v>
      </c>
      <c r="C752" s="1" t="s">
        <v>6286</v>
      </c>
      <c r="D752" s="2"/>
      <c r="E752" s="2"/>
      <c r="F752" s="5"/>
      <c r="G752" s="5"/>
    </row>
    <row r="753" spans="1:7" x14ac:dyDescent="0.35">
      <c r="A753" s="1" t="s">
        <v>3351</v>
      </c>
      <c r="B753" s="1" t="s">
        <v>3352</v>
      </c>
      <c r="C753" s="1" t="s">
        <v>6286</v>
      </c>
      <c r="D753" s="2"/>
      <c r="E753" s="2"/>
      <c r="F753" s="5"/>
      <c r="G753" s="5"/>
    </row>
    <row r="754" spans="1:7" x14ac:dyDescent="0.35">
      <c r="A754" s="1" t="s">
        <v>3971</v>
      </c>
      <c r="B754" s="1" t="s">
        <v>3972</v>
      </c>
      <c r="C754" s="1" t="s">
        <v>6286</v>
      </c>
      <c r="D754" s="2"/>
      <c r="E754" s="2"/>
      <c r="F754" s="5"/>
      <c r="G754" s="5"/>
    </row>
    <row r="755" spans="1:7" x14ac:dyDescent="0.35">
      <c r="A755" s="1" t="s">
        <v>4506</v>
      </c>
      <c r="B755" s="1" t="s">
        <v>4507</v>
      </c>
      <c r="C755" s="1" t="s">
        <v>6286</v>
      </c>
      <c r="D755" s="2"/>
      <c r="E755" s="2"/>
      <c r="F755" s="5"/>
      <c r="G755" s="5"/>
    </row>
    <row r="756" spans="1:7" x14ac:dyDescent="0.35">
      <c r="A756" s="1" t="s">
        <v>4656</v>
      </c>
      <c r="B756" s="1" t="s">
        <v>4657</v>
      </c>
      <c r="C756" s="1" t="s">
        <v>6286</v>
      </c>
      <c r="D756" s="2"/>
      <c r="E756" s="2"/>
      <c r="F756" s="5"/>
      <c r="G756" s="5"/>
    </row>
    <row r="757" spans="1:7" x14ac:dyDescent="0.35">
      <c r="A757" s="1" t="s">
        <v>4884</v>
      </c>
      <c r="B757" s="1" t="s">
        <v>4885</v>
      </c>
      <c r="C757" s="1" t="s">
        <v>6286</v>
      </c>
      <c r="D757" s="2"/>
      <c r="E757" s="2"/>
      <c r="F757" s="5"/>
      <c r="G757" s="5"/>
    </row>
    <row r="758" spans="1:7" x14ac:dyDescent="0.35">
      <c r="A758" s="1" t="s">
        <v>5271</v>
      </c>
      <c r="B758" s="1" t="s">
        <v>5272</v>
      </c>
      <c r="C758" s="1" t="s">
        <v>6286</v>
      </c>
      <c r="D758" s="2"/>
      <c r="E758" s="2"/>
      <c r="F758" s="5"/>
      <c r="G758" s="5"/>
    </row>
    <row r="759" spans="1:7" x14ac:dyDescent="0.35">
      <c r="A759" s="1" t="s">
        <v>5319</v>
      </c>
      <c r="B759" s="1" t="s">
        <v>5320</v>
      </c>
      <c r="C759" s="1" t="s">
        <v>6286</v>
      </c>
      <c r="D759" s="2"/>
      <c r="E759" s="2"/>
      <c r="F759" s="5"/>
      <c r="G759" s="5"/>
    </row>
    <row r="760" spans="1:7" x14ac:dyDescent="0.35">
      <c r="A760" s="1" t="s">
        <v>5323</v>
      </c>
      <c r="B760" s="1" t="s">
        <v>5324</v>
      </c>
      <c r="C760" s="1" t="s">
        <v>6286</v>
      </c>
      <c r="D760" s="2"/>
      <c r="E760" s="2"/>
      <c r="F760" s="5"/>
      <c r="G760" s="5"/>
    </row>
    <row r="761" spans="1:7" x14ac:dyDescent="0.35">
      <c r="A761" s="1" t="s">
        <v>5373</v>
      </c>
      <c r="B761" s="1" t="s">
        <v>5374</v>
      </c>
      <c r="C761" s="1" t="s">
        <v>6286</v>
      </c>
      <c r="D761" s="2"/>
      <c r="E761" s="2"/>
      <c r="F761" s="5"/>
      <c r="G761" s="5"/>
    </row>
    <row r="762" spans="1:7" x14ac:dyDescent="0.35">
      <c r="A762" s="1" t="s">
        <v>5572</v>
      </c>
      <c r="B762" s="1" t="s">
        <v>5573</v>
      </c>
      <c r="C762" s="1" t="s">
        <v>6286</v>
      </c>
      <c r="D762" s="2"/>
      <c r="E762" s="2"/>
      <c r="F762" s="5"/>
      <c r="G762" s="5"/>
    </row>
    <row r="763" spans="1:7" x14ac:dyDescent="0.35">
      <c r="A763" s="1" t="s">
        <v>5990</v>
      </c>
      <c r="B763" s="1" t="s">
        <v>5991</v>
      </c>
      <c r="C763" s="1" t="s">
        <v>6286</v>
      </c>
      <c r="D763" s="2"/>
      <c r="E763" s="2"/>
      <c r="F763" s="5"/>
      <c r="G763" s="5"/>
    </row>
    <row r="764" spans="1:7" x14ac:dyDescent="0.35">
      <c r="A764" s="1" t="s">
        <v>6158</v>
      </c>
      <c r="B764" s="1" t="s">
        <v>6159</v>
      </c>
      <c r="C764" s="1" t="s">
        <v>6286</v>
      </c>
      <c r="D764" s="2"/>
      <c r="E764" s="2"/>
      <c r="F764" s="5"/>
      <c r="G764" s="5"/>
    </row>
    <row r="765" spans="1:7" x14ac:dyDescent="0.35">
      <c r="A765" s="1" t="s">
        <v>6183</v>
      </c>
      <c r="B765" s="1" t="s">
        <v>6184</v>
      </c>
      <c r="C765" s="1" t="s">
        <v>6286</v>
      </c>
      <c r="D765" s="2"/>
      <c r="E765" s="2"/>
      <c r="F765" s="5"/>
      <c r="G765" s="5"/>
    </row>
    <row r="766" spans="1:7" x14ac:dyDescent="0.35">
      <c r="A766" s="1" t="s">
        <v>1080</v>
      </c>
      <c r="B766" s="1" t="s">
        <v>1081</v>
      </c>
      <c r="C766" s="1" t="s">
        <v>6402</v>
      </c>
      <c r="D766" s="2" t="s">
        <v>8370</v>
      </c>
      <c r="E766" s="2" t="s">
        <v>8371</v>
      </c>
      <c r="F766" s="5" t="s">
        <v>8372</v>
      </c>
      <c r="G766" s="5" t="s">
        <v>9075</v>
      </c>
    </row>
    <row r="767" spans="1:7" x14ac:dyDescent="0.35">
      <c r="A767" s="1" t="s">
        <v>1225</v>
      </c>
      <c r="B767" s="1" t="s">
        <v>1226</v>
      </c>
      <c r="C767" s="1" t="s">
        <v>6418</v>
      </c>
      <c r="D767" s="2" t="s">
        <v>8373</v>
      </c>
      <c r="E767" s="2" t="s">
        <v>8374</v>
      </c>
      <c r="F767" s="5" t="s">
        <v>8376</v>
      </c>
      <c r="G767" s="5" t="s">
        <v>8375</v>
      </c>
    </row>
    <row r="768" spans="1:7" x14ac:dyDescent="0.35">
      <c r="A768" s="1" t="s">
        <v>808</v>
      </c>
      <c r="B768" s="1" t="s">
        <v>809</v>
      </c>
      <c r="C768" s="1" t="s">
        <v>6333</v>
      </c>
      <c r="D768" s="2" t="s">
        <v>8377</v>
      </c>
      <c r="E768" s="2" t="s">
        <v>8378</v>
      </c>
      <c r="F768" s="5" t="s">
        <v>8384</v>
      </c>
      <c r="G768" s="5" t="s">
        <v>8381</v>
      </c>
    </row>
    <row r="769" spans="1:7" x14ac:dyDescent="0.35">
      <c r="A769" s="1" t="s">
        <v>808</v>
      </c>
      <c r="B769" s="1" t="s">
        <v>809</v>
      </c>
      <c r="C769" s="1" t="s">
        <v>6333</v>
      </c>
      <c r="D769" s="2" t="s">
        <v>8377</v>
      </c>
      <c r="E769" s="2" t="s">
        <v>8379</v>
      </c>
      <c r="F769" s="5" t="s">
        <v>8385</v>
      </c>
      <c r="G769" s="5" t="s">
        <v>8382</v>
      </c>
    </row>
    <row r="770" spans="1:7" x14ac:dyDescent="0.35">
      <c r="A770" s="1" t="s">
        <v>808</v>
      </c>
      <c r="B770" s="1" t="s">
        <v>809</v>
      </c>
      <c r="C770" s="1" t="s">
        <v>6333</v>
      </c>
      <c r="D770" s="2" t="s">
        <v>8377</v>
      </c>
      <c r="E770" s="2" t="s">
        <v>8380</v>
      </c>
      <c r="F770" s="5" t="s">
        <v>8386</v>
      </c>
      <c r="G770" s="5" t="s">
        <v>8383</v>
      </c>
    </row>
    <row r="771" spans="1:7" x14ac:dyDescent="0.35">
      <c r="A771" s="1" t="s">
        <v>5028</v>
      </c>
      <c r="B771" s="1" t="s">
        <v>5029</v>
      </c>
      <c r="C771" s="1" t="s">
        <v>6682</v>
      </c>
      <c r="D771" s="2" t="s">
        <v>8387</v>
      </c>
      <c r="E771" s="2" t="s">
        <v>8388</v>
      </c>
      <c r="F771" s="5" t="s">
        <v>13133</v>
      </c>
      <c r="G771" s="5" t="s">
        <v>8392</v>
      </c>
    </row>
    <row r="772" spans="1:7" x14ac:dyDescent="0.35">
      <c r="A772" s="1" t="s">
        <v>5028</v>
      </c>
      <c r="B772" s="1" t="s">
        <v>5029</v>
      </c>
      <c r="C772" s="1" t="s">
        <v>6682</v>
      </c>
      <c r="D772" s="2" t="s">
        <v>8387</v>
      </c>
      <c r="E772" s="2" t="s">
        <v>8389</v>
      </c>
      <c r="F772" s="5" t="s">
        <v>8395</v>
      </c>
      <c r="G772" s="5" t="s">
        <v>7840</v>
      </c>
    </row>
    <row r="773" spans="1:7" x14ac:dyDescent="0.35">
      <c r="A773" s="1" t="s">
        <v>5028</v>
      </c>
      <c r="B773" s="1" t="s">
        <v>5029</v>
      </c>
      <c r="C773" s="1" t="s">
        <v>6682</v>
      </c>
      <c r="D773" s="2" t="s">
        <v>8387</v>
      </c>
      <c r="E773" s="2" t="s">
        <v>8390</v>
      </c>
      <c r="F773" s="5" t="s">
        <v>8396</v>
      </c>
      <c r="G773" s="5" t="s">
        <v>8393</v>
      </c>
    </row>
    <row r="774" spans="1:7" x14ac:dyDescent="0.35">
      <c r="A774" s="1" t="s">
        <v>5028</v>
      </c>
      <c r="B774" s="1" t="s">
        <v>5029</v>
      </c>
      <c r="C774" s="1" t="s">
        <v>6682</v>
      </c>
      <c r="D774" s="2" t="s">
        <v>8387</v>
      </c>
      <c r="E774" s="2" t="s">
        <v>8391</v>
      </c>
      <c r="F774" s="5" t="s">
        <v>13134</v>
      </c>
      <c r="G774" s="5" t="s">
        <v>8394</v>
      </c>
    </row>
    <row r="775" spans="1:7" x14ac:dyDescent="0.35">
      <c r="A775" s="1" t="s">
        <v>5677</v>
      </c>
      <c r="B775" s="1" t="s">
        <v>5678</v>
      </c>
      <c r="C775" s="1" t="s">
        <v>6716</v>
      </c>
      <c r="D775" s="2" t="s">
        <v>8397</v>
      </c>
      <c r="E775" s="2" t="s">
        <v>8398</v>
      </c>
      <c r="F775" s="5" t="s">
        <v>8402</v>
      </c>
      <c r="G775" s="5" t="s">
        <v>8400</v>
      </c>
    </row>
    <row r="776" spans="1:7" x14ac:dyDescent="0.35">
      <c r="A776" s="1" t="s">
        <v>5677</v>
      </c>
      <c r="B776" s="1" t="s">
        <v>5678</v>
      </c>
      <c r="C776" s="1" t="s">
        <v>6716</v>
      </c>
      <c r="D776" s="2" t="s">
        <v>8397</v>
      </c>
      <c r="E776" s="2" t="s">
        <v>8399</v>
      </c>
      <c r="F776" s="5" t="s">
        <v>8403</v>
      </c>
      <c r="G776" s="5" t="s">
        <v>8401</v>
      </c>
    </row>
    <row r="777" spans="1:7" x14ac:dyDescent="0.35">
      <c r="A777" s="1" t="s">
        <v>543</v>
      </c>
      <c r="B777" s="1" t="s">
        <v>544</v>
      </c>
      <c r="C777" s="1" t="s">
        <v>6308</v>
      </c>
      <c r="D777" s="2" t="s">
        <v>8404</v>
      </c>
      <c r="E777" s="2" t="s">
        <v>8405</v>
      </c>
      <c r="F777" s="5" t="s">
        <v>8407</v>
      </c>
      <c r="G777" s="5" t="s">
        <v>8406</v>
      </c>
    </row>
    <row r="778" spans="1:7" x14ac:dyDescent="0.35">
      <c r="A778" s="1" t="s">
        <v>2557</v>
      </c>
      <c r="B778" s="1" t="s">
        <v>2558</v>
      </c>
      <c r="C778" s="1" t="s">
        <v>6529</v>
      </c>
      <c r="D778" s="2" t="s">
        <v>8408</v>
      </c>
      <c r="E778" s="2" t="s">
        <v>8409</v>
      </c>
      <c r="F778" s="5" t="s">
        <v>8411</v>
      </c>
      <c r="G778" s="5" t="s">
        <v>8410</v>
      </c>
    </row>
    <row r="779" spans="1:7" x14ac:dyDescent="0.35">
      <c r="A779" s="1" t="s">
        <v>780</v>
      </c>
      <c r="B779" s="1" t="s">
        <v>781</v>
      </c>
      <c r="C779" s="1" t="s">
        <v>6330</v>
      </c>
      <c r="D779" s="2" t="s">
        <v>8412</v>
      </c>
      <c r="E779" s="2" t="s">
        <v>8413</v>
      </c>
      <c r="F779" s="5" t="s">
        <v>8421</v>
      </c>
      <c r="G779" s="5" t="s">
        <v>8417</v>
      </c>
    </row>
    <row r="780" spans="1:7" x14ac:dyDescent="0.35">
      <c r="A780" s="1" t="s">
        <v>780</v>
      </c>
      <c r="B780" s="1" t="s">
        <v>781</v>
      </c>
      <c r="C780" s="1" t="s">
        <v>6330</v>
      </c>
      <c r="D780" s="2" t="s">
        <v>8412</v>
      </c>
      <c r="E780" s="2" t="s">
        <v>8414</v>
      </c>
      <c r="F780" s="5" t="s">
        <v>8422</v>
      </c>
      <c r="G780" s="5" t="s">
        <v>8418</v>
      </c>
    </row>
    <row r="781" spans="1:7" x14ac:dyDescent="0.35">
      <c r="A781" s="1" t="s">
        <v>780</v>
      </c>
      <c r="B781" s="1" t="s">
        <v>781</v>
      </c>
      <c r="C781" s="1" t="s">
        <v>6330</v>
      </c>
      <c r="D781" s="2" t="s">
        <v>8412</v>
      </c>
      <c r="E781" s="2" t="s">
        <v>8415</v>
      </c>
      <c r="F781" s="5" t="s">
        <v>8423</v>
      </c>
      <c r="G781" s="5" t="s">
        <v>8419</v>
      </c>
    </row>
    <row r="782" spans="1:7" x14ac:dyDescent="0.35">
      <c r="A782" s="1" t="s">
        <v>780</v>
      </c>
      <c r="B782" s="1" t="s">
        <v>781</v>
      </c>
      <c r="C782" s="1" t="s">
        <v>6330</v>
      </c>
      <c r="D782" s="2" t="s">
        <v>8412</v>
      </c>
      <c r="E782" s="2" t="s">
        <v>8416</v>
      </c>
      <c r="F782" s="5" t="s">
        <v>8424</v>
      </c>
      <c r="G782" s="5" t="s">
        <v>8420</v>
      </c>
    </row>
    <row r="783" spans="1:7" x14ac:dyDescent="0.35">
      <c r="A783" s="1" t="s">
        <v>608</v>
      </c>
      <c r="B783" s="1" t="s">
        <v>609</v>
      </c>
      <c r="C783" s="1" t="s">
        <v>6313</v>
      </c>
      <c r="D783" s="2"/>
      <c r="E783" s="2"/>
      <c r="F783" s="5"/>
      <c r="G783" s="5"/>
    </row>
    <row r="784" spans="1:7" x14ac:dyDescent="0.35">
      <c r="A784" s="1" t="s">
        <v>699</v>
      </c>
      <c r="B784" s="1" t="s">
        <v>700</v>
      </c>
      <c r="C784" s="1" t="s">
        <v>6313</v>
      </c>
      <c r="D784" s="2"/>
      <c r="E784" s="2"/>
      <c r="F784" s="5"/>
      <c r="G784" s="5"/>
    </row>
    <row r="785" spans="1:7" x14ac:dyDescent="0.35">
      <c r="A785" s="1" t="s">
        <v>714</v>
      </c>
      <c r="B785" s="1" t="s">
        <v>715</v>
      </c>
      <c r="C785" s="1" t="s">
        <v>6313</v>
      </c>
      <c r="D785" s="2"/>
      <c r="E785" s="2"/>
      <c r="F785" s="5"/>
      <c r="G785" s="5"/>
    </row>
    <row r="786" spans="1:7" x14ac:dyDescent="0.35">
      <c r="A786" s="1" t="s">
        <v>904</v>
      </c>
      <c r="B786" s="1" t="s">
        <v>905</v>
      </c>
      <c r="C786" s="1" t="s">
        <v>6313</v>
      </c>
      <c r="D786" s="2"/>
      <c r="E786" s="2"/>
      <c r="F786" s="5"/>
      <c r="G786" s="5"/>
    </row>
    <row r="787" spans="1:7" x14ac:dyDescent="0.35">
      <c r="A787" s="1" t="s">
        <v>919</v>
      </c>
      <c r="B787" s="1" t="s">
        <v>920</v>
      </c>
      <c r="C787" s="1" t="s">
        <v>6313</v>
      </c>
      <c r="D787" s="2"/>
      <c r="E787" s="2"/>
      <c r="F787" s="5"/>
      <c r="G787" s="5"/>
    </row>
    <row r="788" spans="1:7" x14ac:dyDescent="0.35">
      <c r="A788" s="1" t="s">
        <v>6372</v>
      </c>
      <c r="B788" s="1" t="s">
        <v>1019</v>
      </c>
      <c r="C788" s="1" t="s">
        <v>6313</v>
      </c>
      <c r="D788" s="2"/>
      <c r="E788" s="2"/>
      <c r="F788" s="5"/>
      <c r="G788" s="5"/>
    </row>
    <row r="789" spans="1:7" x14ac:dyDescent="0.35">
      <c r="A789" s="1" t="s">
        <v>1554</v>
      </c>
      <c r="B789" s="1" t="s">
        <v>1555</v>
      </c>
      <c r="C789" s="1" t="s">
        <v>6313</v>
      </c>
      <c r="D789" s="2"/>
      <c r="E789" s="2"/>
      <c r="F789" s="5"/>
      <c r="G789" s="5"/>
    </row>
    <row r="790" spans="1:7" x14ac:dyDescent="0.35">
      <c r="A790" s="1" t="s">
        <v>1619</v>
      </c>
      <c r="B790" s="1" t="s">
        <v>1620</v>
      </c>
      <c r="C790" s="1" t="s">
        <v>6313</v>
      </c>
      <c r="D790" s="2"/>
      <c r="E790" s="2"/>
      <c r="F790" s="5"/>
      <c r="G790" s="5"/>
    </row>
    <row r="791" spans="1:7" x14ac:dyDescent="0.35">
      <c r="A791" s="1" t="s">
        <v>1719</v>
      </c>
      <c r="B791" s="1" t="s">
        <v>1720</v>
      </c>
      <c r="C791" s="1" t="s">
        <v>6313</v>
      </c>
      <c r="D791" s="2"/>
      <c r="E791" s="2"/>
      <c r="F791" s="5"/>
      <c r="G791" s="5"/>
    </row>
    <row r="792" spans="1:7" x14ac:dyDescent="0.35">
      <c r="A792" s="1" t="s">
        <v>2083</v>
      </c>
      <c r="B792" s="1" t="s">
        <v>2084</v>
      </c>
      <c r="C792" s="1" t="s">
        <v>6313</v>
      </c>
      <c r="D792" s="2"/>
      <c r="E792" s="2"/>
      <c r="F792" s="5"/>
      <c r="G792" s="5"/>
    </row>
    <row r="793" spans="1:7" x14ac:dyDescent="0.35">
      <c r="A793" s="1" t="s">
        <v>2987</v>
      </c>
      <c r="B793" s="1" t="s">
        <v>2988</v>
      </c>
      <c r="C793" s="1" t="s">
        <v>6313</v>
      </c>
      <c r="D793" s="2"/>
      <c r="E793" s="2"/>
      <c r="F793" s="5"/>
      <c r="G793" s="5"/>
    </row>
    <row r="794" spans="1:7" x14ac:dyDescent="0.35">
      <c r="A794" s="1" t="s">
        <v>3475</v>
      </c>
      <c r="B794" s="1" t="s">
        <v>3476</v>
      </c>
      <c r="C794" s="1" t="s">
        <v>6313</v>
      </c>
      <c r="D794" s="2"/>
      <c r="E794" s="2"/>
      <c r="F794" s="5"/>
      <c r="G794" s="5"/>
    </row>
    <row r="795" spans="1:7" x14ac:dyDescent="0.35">
      <c r="A795" s="1" t="s">
        <v>3479</v>
      </c>
      <c r="B795" s="1" t="s">
        <v>3480</v>
      </c>
      <c r="C795" s="1" t="s">
        <v>6313</v>
      </c>
      <c r="D795" s="2"/>
      <c r="E795" s="2"/>
      <c r="F795" s="5"/>
      <c r="G795" s="5"/>
    </row>
    <row r="796" spans="1:7" x14ac:dyDescent="0.35">
      <c r="A796" s="1" t="s">
        <v>3494</v>
      </c>
      <c r="B796" s="1" t="s">
        <v>3495</v>
      </c>
      <c r="C796" s="1" t="s">
        <v>6313</v>
      </c>
      <c r="D796" s="2"/>
      <c r="E796" s="2"/>
      <c r="F796" s="5"/>
      <c r="G796" s="5"/>
    </row>
    <row r="797" spans="1:7" x14ac:dyDescent="0.35">
      <c r="A797" s="1" t="s">
        <v>3977</v>
      </c>
      <c r="B797" s="1" t="s">
        <v>3978</v>
      </c>
      <c r="C797" s="1" t="s">
        <v>6313</v>
      </c>
      <c r="D797" s="2"/>
      <c r="E797" s="2"/>
      <c r="F797" s="5"/>
      <c r="G797" s="5"/>
    </row>
    <row r="798" spans="1:7" x14ac:dyDescent="0.35">
      <c r="A798" s="1" t="s">
        <v>4061</v>
      </c>
      <c r="B798" s="1" t="s">
        <v>4062</v>
      </c>
      <c r="C798" s="1" t="s">
        <v>6313</v>
      </c>
      <c r="D798" s="2"/>
      <c r="E798" s="2"/>
      <c r="F798" s="5"/>
      <c r="G798" s="5"/>
    </row>
    <row r="799" spans="1:7" x14ac:dyDescent="0.35">
      <c r="A799" s="1" t="s">
        <v>4073</v>
      </c>
      <c r="B799" s="1" t="s">
        <v>4074</v>
      </c>
      <c r="C799" s="1" t="s">
        <v>6313</v>
      </c>
      <c r="D799" s="2"/>
      <c r="E799" s="2"/>
      <c r="F799" s="5"/>
      <c r="G799" s="5"/>
    </row>
    <row r="800" spans="1:7" x14ac:dyDescent="0.35">
      <c r="A800" s="1" t="s">
        <v>4136</v>
      </c>
      <c r="B800" s="1" t="s">
        <v>4137</v>
      </c>
      <c r="C800" s="1" t="s">
        <v>6313</v>
      </c>
      <c r="D800" s="2"/>
      <c r="E800" s="2"/>
      <c r="F800" s="5"/>
      <c r="G800" s="5"/>
    </row>
    <row r="801" spans="1:7" x14ac:dyDescent="0.35">
      <c r="A801" s="1" t="s">
        <v>4243</v>
      </c>
      <c r="B801" s="1" t="s">
        <v>4244</v>
      </c>
      <c r="C801" s="1" t="s">
        <v>6313</v>
      </c>
      <c r="D801" s="2"/>
      <c r="E801" s="2"/>
      <c r="F801" s="5"/>
      <c r="G801" s="5"/>
    </row>
    <row r="802" spans="1:7" x14ac:dyDescent="0.35">
      <c r="A802" s="1" t="s">
        <v>4929</v>
      </c>
      <c r="B802" s="1" t="s">
        <v>4930</v>
      </c>
      <c r="C802" s="1" t="s">
        <v>6313</v>
      </c>
      <c r="D802" s="2"/>
      <c r="E802" s="2"/>
      <c r="F802" s="5"/>
      <c r="G802" s="5"/>
    </row>
    <row r="803" spans="1:7" x14ac:dyDescent="0.35">
      <c r="A803" s="1" t="s">
        <v>4973</v>
      </c>
      <c r="B803" s="1" t="s">
        <v>4974</v>
      </c>
      <c r="C803" s="1" t="s">
        <v>6313</v>
      </c>
      <c r="D803" s="2"/>
      <c r="E803" s="2"/>
      <c r="F803" s="5"/>
      <c r="G803" s="5"/>
    </row>
    <row r="804" spans="1:7" x14ac:dyDescent="0.35">
      <c r="A804" s="1" t="s">
        <v>4983</v>
      </c>
      <c r="B804" s="1" t="s">
        <v>4984</v>
      </c>
      <c r="C804" s="1" t="s">
        <v>6313</v>
      </c>
      <c r="D804" s="2"/>
      <c r="E804" s="2"/>
      <c r="F804" s="5"/>
      <c r="G804" s="5"/>
    </row>
    <row r="805" spans="1:7" x14ac:dyDescent="0.35">
      <c r="A805" s="1" t="s">
        <v>5167</v>
      </c>
      <c r="B805" s="1" t="s">
        <v>5168</v>
      </c>
      <c r="C805" s="1" t="s">
        <v>6313</v>
      </c>
      <c r="D805" s="2"/>
      <c r="E805" s="2"/>
      <c r="F805" s="5"/>
      <c r="G805" s="5"/>
    </row>
    <row r="806" spans="1:7" x14ac:dyDescent="0.35">
      <c r="A806" s="1" t="s">
        <v>6213</v>
      </c>
      <c r="B806" s="1" t="s">
        <v>6214</v>
      </c>
      <c r="C806" s="1" t="s">
        <v>6313</v>
      </c>
      <c r="D806" s="2"/>
      <c r="E806" s="2"/>
      <c r="F806" s="5"/>
      <c r="G806" s="5"/>
    </row>
    <row r="807" spans="1:7" x14ac:dyDescent="0.35">
      <c r="A807" s="1" t="s">
        <v>6217</v>
      </c>
      <c r="B807" s="1" t="s">
        <v>6218</v>
      </c>
      <c r="C807" s="1" t="s">
        <v>6313</v>
      </c>
      <c r="D807" s="2"/>
      <c r="E807" s="2"/>
      <c r="F807" s="5"/>
      <c r="G807" s="5"/>
    </row>
    <row r="808" spans="1:7" x14ac:dyDescent="0.35">
      <c r="A808" s="1" t="s">
        <v>1396</v>
      </c>
      <c r="B808" s="1" t="s">
        <v>1397</v>
      </c>
      <c r="C808" s="1" t="s">
        <v>6435</v>
      </c>
      <c r="D808" s="2"/>
      <c r="E808" s="2"/>
      <c r="F808" s="5"/>
      <c r="G808" s="5"/>
    </row>
    <row r="809" spans="1:7" x14ac:dyDescent="0.35">
      <c r="A809" s="1" t="s">
        <v>1725</v>
      </c>
      <c r="B809" s="1" t="s">
        <v>1726</v>
      </c>
      <c r="C809" s="1" t="s">
        <v>6456</v>
      </c>
      <c r="D809" s="2"/>
      <c r="E809" s="2"/>
      <c r="F809" s="5"/>
      <c r="G809" s="5"/>
    </row>
    <row r="810" spans="1:7" x14ac:dyDescent="0.35">
      <c r="A810" s="1" t="s">
        <v>4605</v>
      </c>
      <c r="B810" s="1" t="s">
        <v>4606</v>
      </c>
      <c r="C810" s="1" t="s">
        <v>6655</v>
      </c>
      <c r="D810" s="2"/>
      <c r="E810" s="2"/>
      <c r="F810" s="5"/>
      <c r="G810" s="5"/>
    </row>
    <row r="811" spans="1:7" x14ac:dyDescent="0.35">
      <c r="A811" s="1" t="s">
        <v>3292</v>
      </c>
      <c r="B811" s="1" t="s">
        <v>3293</v>
      </c>
      <c r="C811" s="1" t="s">
        <v>6576</v>
      </c>
      <c r="D811" s="2"/>
      <c r="E811" s="2"/>
      <c r="F811" s="5"/>
      <c r="G811" s="5"/>
    </row>
    <row r="812" spans="1:7" x14ac:dyDescent="0.35">
      <c r="A812" s="1" t="s">
        <v>637</v>
      </c>
      <c r="B812" s="1" t="s">
        <v>638</v>
      </c>
      <c r="C812" s="1" t="s">
        <v>6317</v>
      </c>
      <c r="D812" s="2"/>
      <c r="E812" s="2"/>
      <c r="F812" s="5"/>
      <c r="G812" s="5"/>
    </row>
    <row r="813" spans="1:7" x14ac:dyDescent="0.35">
      <c r="A813" s="1" t="s">
        <v>4762</v>
      </c>
      <c r="B813" s="1" t="s">
        <v>4763</v>
      </c>
      <c r="C813" s="1" t="s">
        <v>6663</v>
      </c>
      <c r="D813" s="2"/>
      <c r="E813" s="2"/>
      <c r="F813" s="5"/>
      <c r="G813" s="5"/>
    </row>
    <row r="814" spans="1:7" x14ac:dyDescent="0.35">
      <c r="A814" s="1" t="s">
        <v>3506</v>
      </c>
      <c r="B814" s="1" t="s">
        <v>3507</v>
      </c>
      <c r="C814" s="1" t="s">
        <v>6588</v>
      </c>
      <c r="D814" s="2"/>
      <c r="E814" s="2"/>
      <c r="F814" s="5"/>
      <c r="G814" s="5"/>
    </row>
    <row r="815" spans="1:7" x14ac:dyDescent="0.35">
      <c r="A815" s="1" t="s">
        <v>378</v>
      </c>
      <c r="B815" s="1" t="s">
        <v>379</v>
      </c>
      <c r="C815" s="1" t="s">
        <v>6297</v>
      </c>
      <c r="D815" s="2"/>
      <c r="E815" s="2"/>
      <c r="F815" s="5"/>
      <c r="G815" s="5"/>
    </row>
    <row r="816" spans="1:7" x14ac:dyDescent="0.35">
      <c r="A816" s="1" t="s">
        <v>5248</v>
      </c>
      <c r="B816" s="1" t="s">
        <v>5249</v>
      </c>
      <c r="C816" s="1" t="s">
        <v>6693</v>
      </c>
      <c r="D816" s="2"/>
      <c r="E816" s="2"/>
      <c r="F816" s="5"/>
      <c r="G816" s="5"/>
    </row>
    <row r="817" spans="1:7" x14ac:dyDescent="0.35">
      <c r="A817" s="1" t="s">
        <v>3787</v>
      </c>
      <c r="B817" s="1" t="s">
        <v>3788</v>
      </c>
      <c r="C817" s="1" t="s">
        <v>6610</v>
      </c>
      <c r="D817" s="2"/>
      <c r="E817" s="2"/>
      <c r="F817" s="5"/>
      <c r="G817" s="5"/>
    </row>
    <row r="818" spans="1:7" x14ac:dyDescent="0.35">
      <c r="A818" s="1" t="s">
        <v>4322</v>
      </c>
      <c r="B818" s="1" t="s">
        <v>4323</v>
      </c>
      <c r="C818" s="1" t="s">
        <v>6641</v>
      </c>
      <c r="D818" s="2"/>
      <c r="E818" s="2"/>
      <c r="F818" s="5"/>
      <c r="G818" s="5"/>
    </row>
    <row r="819" spans="1:7" x14ac:dyDescent="0.35">
      <c r="A819" s="1" t="s">
        <v>794</v>
      </c>
      <c r="B819" s="1" t="s">
        <v>795</v>
      </c>
      <c r="C819" s="1" t="s">
        <v>6331</v>
      </c>
      <c r="D819" s="2" t="s">
        <v>8425</v>
      </c>
      <c r="E819" s="2" t="s">
        <v>8426</v>
      </c>
      <c r="F819" s="5" t="s">
        <v>8427</v>
      </c>
      <c r="G819" s="5" t="s">
        <v>8431</v>
      </c>
    </row>
    <row r="820" spans="1:7" x14ac:dyDescent="0.35">
      <c r="A820" s="1" t="s">
        <v>191</v>
      </c>
      <c r="B820" s="1" t="s">
        <v>192</v>
      </c>
      <c r="C820" s="1" t="s">
        <v>6283</v>
      </c>
      <c r="D820" s="2" t="s">
        <v>8428</v>
      </c>
      <c r="E820" s="2" t="s">
        <v>8429</v>
      </c>
      <c r="F820" s="5" t="s">
        <v>8430</v>
      </c>
      <c r="G820" s="5" t="s">
        <v>8432</v>
      </c>
    </row>
    <row r="821" spans="1:7" x14ac:dyDescent="0.35">
      <c r="A821" s="1" t="s">
        <v>3387</v>
      </c>
      <c r="B821" s="1" t="s">
        <v>3388</v>
      </c>
      <c r="C821" s="1" t="s">
        <v>6583</v>
      </c>
      <c r="D821" s="2" t="s">
        <v>8433</v>
      </c>
      <c r="E821" s="2" t="s">
        <v>8434</v>
      </c>
      <c r="F821" s="5" t="s">
        <v>8435</v>
      </c>
      <c r="G821" s="5" t="s">
        <v>8436</v>
      </c>
    </row>
    <row r="822" spans="1:7" x14ac:dyDescent="0.35">
      <c r="A822" s="1" t="s">
        <v>2318</v>
      </c>
      <c r="B822" s="1" t="s">
        <v>2319</v>
      </c>
      <c r="C822" s="1" t="s">
        <v>6497</v>
      </c>
      <c r="D822" s="2" t="s">
        <v>8437</v>
      </c>
      <c r="E822" s="2" t="s">
        <v>8438</v>
      </c>
      <c r="F822" s="5" t="s">
        <v>8440</v>
      </c>
      <c r="G822" s="5" t="s">
        <v>8439</v>
      </c>
    </row>
    <row r="823" spans="1:7" x14ac:dyDescent="0.35">
      <c r="A823" s="1" t="s">
        <v>1708</v>
      </c>
      <c r="B823" s="1" t="s">
        <v>1709</v>
      </c>
      <c r="C823" s="1" t="s">
        <v>6453</v>
      </c>
      <c r="D823" s="2" t="s">
        <v>8441</v>
      </c>
      <c r="E823" s="2" t="s">
        <v>8442</v>
      </c>
      <c r="F823" s="5" t="s">
        <v>8444</v>
      </c>
      <c r="G823" s="5" t="s">
        <v>8443</v>
      </c>
    </row>
    <row r="824" spans="1:7" x14ac:dyDescent="0.35">
      <c r="A824" s="1" t="s">
        <v>3761</v>
      </c>
      <c r="B824" s="1" t="s">
        <v>3762</v>
      </c>
      <c r="C824" s="1" t="s">
        <v>6606</v>
      </c>
      <c r="D824" s="2" t="s">
        <v>8445</v>
      </c>
      <c r="E824" s="2" t="s">
        <v>8446</v>
      </c>
      <c r="F824" s="5" t="s">
        <v>8447</v>
      </c>
      <c r="G824" s="5" t="s">
        <v>8448</v>
      </c>
    </row>
    <row r="825" spans="1:7" x14ac:dyDescent="0.35">
      <c r="A825" s="1" t="s">
        <v>4952</v>
      </c>
      <c r="B825" s="1" t="s">
        <v>4953</v>
      </c>
      <c r="C825" s="1" t="s">
        <v>6677</v>
      </c>
      <c r="D825" s="2" t="s">
        <v>8449</v>
      </c>
      <c r="E825" s="2" t="s">
        <v>8450</v>
      </c>
      <c r="F825" s="5" t="s">
        <v>8451</v>
      </c>
      <c r="G825" s="5" t="s">
        <v>8452</v>
      </c>
    </row>
    <row r="826" spans="1:7" x14ac:dyDescent="0.35">
      <c r="A826" s="1" t="s">
        <v>3528</v>
      </c>
      <c r="B826" s="1" t="s">
        <v>3529</v>
      </c>
      <c r="C826" s="1" t="s">
        <v>6589</v>
      </c>
      <c r="D826" s="2" t="s">
        <v>8453</v>
      </c>
      <c r="E826" s="2" t="s">
        <v>8454</v>
      </c>
      <c r="F826" s="5" t="s">
        <v>6931</v>
      </c>
      <c r="G826" s="5" t="s">
        <v>8455</v>
      </c>
    </row>
    <row r="827" spans="1:7" x14ac:dyDescent="0.35">
      <c r="A827" s="1" t="s">
        <v>5867</v>
      </c>
      <c r="B827" s="1" t="s">
        <v>5868</v>
      </c>
      <c r="C827" s="1" t="s">
        <v>6729</v>
      </c>
      <c r="D827" s="2" t="s">
        <v>8456</v>
      </c>
      <c r="E827" s="2" t="s">
        <v>8457</v>
      </c>
      <c r="F827" s="5" t="s">
        <v>8458</v>
      </c>
      <c r="G827" s="5" t="s">
        <v>8465</v>
      </c>
    </row>
    <row r="828" spans="1:7" x14ac:dyDescent="0.35">
      <c r="A828" s="1" t="s">
        <v>5867</v>
      </c>
      <c r="B828" s="1" t="s">
        <v>5868</v>
      </c>
      <c r="C828" s="1" t="s">
        <v>6729</v>
      </c>
      <c r="D828" s="2" t="s">
        <v>8456</v>
      </c>
      <c r="E828" s="2" t="s">
        <v>8459</v>
      </c>
      <c r="F828" s="5" t="s">
        <v>8460</v>
      </c>
      <c r="G828" s="5" t="s">
        <v>8465</v>
      </c>
    </row>
    <row r="829" spans="1:7" x14ac:dyDescent="0.35">
      <c r="A829" s="1" t="s">
        <v>5867</v>
      </c>
      <c r="B829" s="1" t="s">
        <v>5868</v>
      </c>
      <c r="C829" s="1" t="s">
        <v>6729</v>
      </c>
      <c r="D829" s="2" t="s">
        <v>8456</v>
      </c>
      <c r="E829" s="2" t="s">
        <v>8461</v>
      </c>
      <c r="F829" s="5" t="s">
        <v>8462</v>
      </c>
      <c r="G829" s="5" t="s">
        <v>8466</v>
      </c>
    </row>
    <row r="830" spans="1:7" x14ac:dyDescent="0.35">
      <c r="A830" s="1" t="s">
        <v>5867</v>
      </c>
      <c r="B830" s="1" t="s">
        <v>5868</v>
      </c>
      <c r="C830" s="1" t="s">
        <v>6729</v>
      </c>
      <c r="D830" s="2" t="s">
        <v>8456</v>
      </c>
      <c r="E830" s="2" t="s">
        <v>8463</v>
      </c>
      <c r="F830" s="5" t="s">
        <v>8464</v>
      </c>
      <c r="G830" s="5" t="s">
        <v>8467</v>
      </c>
    </row>
    <row r="831" spans="1:7" x14ac:dyDescent="0.35">
      <c r="A831" s="1" t="s">
        <v>4774</v>
      </c>
      <c r="B831" s="1" t="s">
        <v>4775</v>
      </c>
      <c r="C831" s="1" t="s">
        <v>6666</v>
      </c>
      <c r="D831" s="2" t="s">
        <v>8468</v>
      </c>
      <c r="E831" s="2" t="s">
        <v>8469</v>
      </c>
      <c r="F831" s="5" t="s">
        <v>8470</v>
      </c>
      <c r="G831" s="5" t="s">
        <v>8471</v>
      </c>
    </row>
    <row r="832" spans="1:7" x14ac:dyDescent="0.35">
      <c r="A832" s="1" t="s">
        <v>3726</v>
      </c>
      <c r="B832" s="1" t="s">
        <v>3727</v>
      </c>
      <c r="C832" s="1" t="s">
        <v>6600</v>
      </c>
      <c r="D832" s="2" t="s">
        <v>8472</v>
      </c>
      <c r="E832" s="2" t="s">
        <v>8473</v>
      </c>
      <c r="F832" s="5" t="s">
        <v>8474</v>
      </c>
      <c r="G832" s="5" t="s">
        <v>8475</v>
      </c>
    </row>
    <row r="833" spans="1:7" x14ac:dyDescent="0.35">
      <c r="A833" s="1" t="s">
        <v>2549</v>
      </c>
      <c r="B833" s="1" t="s">
        <v>2550</v>
      </c>
      <c r="C833" s="1" t="s">
        <v>6527</v>
      </c>
      <c r="D833" s="2"/>
      <c r="E833" s="2"/>
      <c r="F833" s="5"/>
      <c r="G833" s="5"/>
    </row>
    <row r="834" spans="1:7" x14ac:dyDescent="0.35">
      <c r="A834" s="1" t="s">
        <v>3783</v>
      </c>
      <c r="B834" s="1" t="s">
        <v>3784</v>
      </c>
      <c r="C834" s="1" t="s">
        <v>6527</v>
      </c>
      <c r="D834" s="2"/>
      <c r="E834" s="2"/>
      <c r="F834" s="5"/>
      <c r="G834" s="5"/>
    </row>
    <row r="835" spans="1:7" x14ac:dyDescent="0.35">
      <c r="A835" s="1" t="s">
        <v>4960</v>
      </c>
      <c r="B835" s="1" t="s">
        <v>4961</v>
      </c>
      <c r="C835" s="1" t="s">
        <v>6679</v>
      </c>
      <c r="D835" s="2" t="s">
        <v>8476</v>
      </c>
      <c r="E835" s="2" t="s">
        <v>8477</v>
      </c>
      <c r="F835" s="5" t="s">
        <v>8481</v>
      </c>
      <c r="G835" s="5" t="s">
        <v>8479</v>
      </c>
    </row>
    <row r="836" spans="1:7" x14ac:dyDescent="0.35">
      <c r="A836" s="1" t="s">
        <v>4960</v>
      </c>
      <c r="B836" s="1" t="s">
        <v>4961</v>
      </c>
      <c r="C836" s="1" t="s">
        <v>6679</v>
      </c>
      <c r="D836" s="2" t="s">
        <v>8476</v>
      </c>
      <c r="E836" s="2" t="s">
        <v>8478</v>
      </c>
      <c r="F836" s="5" t="s">
        <v>8482</v>
      </c>
      <c r="G836" s="5" t="s">
        <v>8480</v>
      </c>
    </row>
    <row r="837" spans="1:7" x14ac:dyDescent="0.35">
      <c r="A837" s="1" t="s">
        <v>1140</v>
      </c>
      <c r="B837" s="1" t="s">
        <v>1141</v>
      </c>
      <c r="C837" s="1" t="s">
        <v>6412</v>
      </c>
      <c r="D837" s="2"/>
      <c r="E837" s="2"/>
      <c r="F837" s="5"/>
      <c r="G837" s="5"/>
    </row>
    <row r="838" spans="1:7" x14ac:dyDescent="0.35">
      <c r="A838" s="1" t="s">
        <v>5190</v>
      </c>
      <c r="B838" s="1" t="s">
        <v>5191</v>
      </c>
      <c r="C838" s="1" t="s">
        <v>6691</v>
      </c>
      <c r="D838" s="2" t="s">
        <v>8483</v>
      </c>
      <c r="E838" s="2" t="s">
        <v>8484</v>
      </c>
      <c r="F838" s="5" t="s">
        <v>8485</v>
      </c>
      <c r="G838" s="5" t="s">
        <v>8486</v>
      </c>
    </row>
    <row r="839" spans="1:7" x14ac:dyDescent="0.35">
      <c r="A839" s="1" t="s">
        <v>5190</v>
      </c>
      <c r="B839" s="1" t="s">
        <v>5191</v>
      </c>
      <c r="C839" s="1" t="s">
        <v>6691</v>
      </c>
      <c r="D839" s="2" t="s">
        <v>8483</v>
      </c>
      <c r="E839" s="2" t="s">
        <v>8487</v>
      </c>
      <c r="F839" s="5" t="s">
        <v>8488</v>
      </c>
      <c r="G839" s="5" t="s">
        <v>8486</v>
      </c>
    </row>
    <row r="840" spans="1:7" x14ac:dyDescent="0.35">
      <c r="A840" s="1" t="s">
        <v>1973</v>
      </c>
      <c r="B840" s="1" t="s">
        <v>1974</v>
      </c>
      <c r="C840" s="1" t="s">
        <v>6478</v>
      </c>
      <c r="D840" s="2" t="s">
        <v>8489</v>
      </c>
      <c r="E840" s="2" t="s">
        <v>8490</v>
      </c>
      <c r="F840" s="5" t="s">
        <v>8491</v>
      </c>
      <c r="G840" s="5" t="s">
        <v>8492</v>
      </c>
    </row>
    <row r="841" spans="1:7" x14ac:dyDescent="0.35">
      <c r="A841" s="1" t="s">
        <v>1962</v>
      </c>
      <c r="B841" s="1" t="s">
        <v>1963</v>
      </c>
      <c r="C841" s="1" t="s">
        <v>6477</v>
      </c>
      <c r="D841" s="2" t="s">
        <v>8493</v>
      </c>
      <c r="E841" s="2" t="s">
        <v>8494</v>
      </c>
      <c r="F841" s="5" t="s">
        <v>8495</v>
      </c>
      <c r="G841" s="5" t="s">
        <v>8496</v>
      </c>
    </row>
    <row r="842" spans="1:7" x14ac:dyDescent="0.35">
      <c r="A842" s="1" t="s">
        <v>1962</v>
      </c>
      <c r="B842" s="1" t="s">
        <v>1963</v>
      </c>
      <c r="C842" s="1" t="s">
        <v>6477</v>
      </c>
      <c r="D842" s="2" t="s">
        <v>8493</v>
      </c>
      <c r="E842" s="2" t="s">
        <v>8497</v>
      </c>
      <c r="F842" s="5" t="s">
        <v>8498</v>
      </c>
      <c r="G842" s="5" t="s">
        <v>8499</v>
      </c>
    </row>
    <row r="843" spans="1:7" x14ac:dyDescent="0.35">
      <c r="A843" s="1" t="s">
        <v>1107</v>
      </c>
      <c r="B843" s="1" t="s">
        <v>1108</v>
      </c>
      <c r="C843" s="1" t="s">
        <v>6405</v>
      </c>
      <c r="D843" s="2" t="s">
        <v>8500</v>
      </c>
      <c r="E843" s="2" t="s">
        <v>8501</v>
      </c>
      <c r="F843" s="5" t="s">
        <v>8502</v>
      </c>
      <c r="G843" s="5" t="s">
        <v>8503</v>
      </c>
    </row>
    <row r="844" spans="1:7" x14ac:dyDescent="0.35">
      <c r="A844" s="1" t="s">
        <v>1107</v>
      </c>
      <c r="B844" s="1" t="s">
        <v>1108</v>
      </c>
      <c r="C844" s="1" t="s">
        <v>6405</v>
      </c>
      <c r="D844" s="2" t="s">
        <v>8500</v>
      </c>
      <c r="E844" s="2" t="s">
        <v>8504</v>
      </c>
      <c r="F844" s="5" t="s">
        <v>8505</v>
      </c>
      <c r="G844" s="5" t="s">
        <v>8506</v>
      </c>
    </row>
    <row r="845" spans="1:7" x14ac:dyDescent="0.35">
      <c r="A845" s="1" t="s">
        <v>1107</v>
      </c>
      <c r="B845" s="1" t="s">
        <v>1108</v>
      </c>
      <c r="C845" s="1" t="s">
        <v>6405</v>
      </c>
      <c r="D845" s="2" t="s">
        <v>8500</v>
      </c>
      <c r="E845" s="2" t="s">
        <v>8507</v>
      </c>
      <c r="F845" s="5" t="s">
        <v>8508</v>
      </c>
      <c r="G845" s="5" t="s">
        <v>8509</v>
      </c>
    </row>
    <row r="846" spans="1:7" x14ac:dyDescent="0.35">
      <c r="A846" s="1" t="s">
        <v>1107</v>
      </c>
      <c r="B846" s="1" t="s">
        <v>1108</v>
      </c>
      <c r="C846" s="1" t="s">
        <v>6405</v>
      </c>
      <c r="D846" s="2" t="s">
        <v>8500</v>
      </c>
      <c r="E846" s="2" t="s">
        <v>8510</v>
      </c>
      <c r="F846" s="5" t="s">
        <v>8511</v>
      </c>
      <c r="G846" s="5" t="s">
        <v>8512</v>
      </c>
    </row>
    <row r="847" spans="1:7" x14ac:dyDescent="0.35">
      <c r="A847" s="1" t="s">
        <v>1107</v>
      </c>
      <c r="B847" s="1" t="s">
        <v>1108</v>
      </c>
      <c r="C847" s="1" t="s">
        <v>6405</v>
      </c>
      <c r="D847" s="2" t="s">
        <v>8500</v>
      </c>
      <c r="E847" s="2" t="s">
        <v>8513</v>
      </c>
      <c r="F847" s="5" t="s">
        <v>8514</v>
      </c>
      <c r="G847" s="5" t="s">
        <v>8515</v>
      </c>
    </row>
    <row r="848" spans="1:7" x14ac:dyDescent="0.35">
      <c r="A848" s="1" t="s">
        <v>1107</v>
      </c>
      <c r="B848" s="1" t="s">
        <v>1108</v>
      </c>
      <c r="C848" s="1" t="s">
        <v>6405</v>
      </c>
      <c r="D848" s="2" t="s">
        <v>8500</v>
      </c>
      <c r="E848" s="2" t="s">
        <v>8516</v>
      </c>
      <c r="F848" s="5" t="s">
        <v>8517</v>
      </c>
      <c r="G848" s="5" t="s">
        <v>8518</v>
      </c>
    </row>
    <row r="849" spans="1:7" x14ac:dyDescent="0.35">
      <c r="A849" s="1" t="s">
        <v>1107</v>
      </c>
      <c r="B849" s="1" t="s">
        <v>1108</v>
      </c>
      <c r="C849" s="1" t="s">
        <v>6405</v>
      </c>
      <c r="D849" s="2" t="s">
        <v>8500</v>
      </c>
      <c r="E849" s="2" t="s">
        <v>8519</v>
      </c>
      <c r="F849" s="5" t="s">
        <v>8520</v>
      </c>
      <c r="G849" s="5" t="s">
        <v>8521</v>
      </c>
    </row>
    <row r="850" spans="1:7" x14ac:dyDescent="0.35">
      <c r="A850" s="1" t="s">
        <v>1107</v>
      </c>
      <c r="B850" s="1" t="s">
        <v>1108</v>
      </c>
      <c r="C850" s="1" t="s">
        <v>6405</v>
      </c>
      <c r="D850" s="2" t="s">
        <v>8500</v>
      </c>
      <c r="E850" s="2" t="s">
        <v>8522</v>
      </c>
      <c r="F850" s="5" t="s">
        <v>8523</v>
      </c>
      <c r="G850" s="5" t="s">
        <v>8524</v>
      </c>
    </row>
    <row r="851" spans="1:7" x14ac:dyDescent="0.35">
      <c r="A851" s="1" t="s">
        <v>1107</v>
      </c>
      <c r="B851" s="1" t="s">
        <v>1108</v>
      </c>
      <c r="C851" s="1" t="s">
        <v>6405</v>
      </c>
      <c r="D851" s="2" t="s">
        <v>8500</v>
      </c>
      <c r="E851" s="2" t="s">
        <v>8525</v>
      </c>
      <c r="F851" s="5" t="s">
        <v>8526</v>
      </c>
      <c r="G851" s="5" t="s">
        <v>8527</v>
      </c>
    </row>
    <row r="852" spans="1:7" x14ac:dyDescent="0.35">
      <c r="A852" s="1" t="s">
        <v>1107</v>
      </c>
      <c r="B852" s="1" t="s">
        <v>1108</v>
      </c>
      <c r="C852" s="1" t="s">
        <v>6405</v>
      </c>
      <c r="D852" s="2" t="s">
        <v>8500</v>
      </c>
      <c r="E852" s="2" t="s">
        <v>8528</v>
      </c>
      <c r="F852" s="5" t="s">
        <v>8529</v>
      </c>
      <c r="G852" s="5" t="s">
        <v>8530</v>
      </c>
    </row>
    <row r="853" spans="1:7" x14ac:dyDescent="0.35">
      <c r="A853" s="1" t="s">
        <v>1107</v>
      </c>
      <c r="B853" s="1" t="s">
        <v>1108</v>
      </c>
      <c r="C853" s="1" t="s">
        <v>6405</v>
      </c>
      <c r="D853" s="2" t="s">
        <v>8500</v>
      </c>
      <c r="E853" s="2" t="s">
        <v>8531</v>
      </c>
      <c r="F853" s="5" t="s">
        <v>8532</v>
      </c>
      <c r="G853" s="5" t="s">
        <v>8533</v>
      </c>
    </row>
    <row r="854" spans="1:7" x14ac:dyDescent="0.35">
      <c r="A854" s="1" t="s">
        <v>1107</v>
      </c>
      <c r="B854" s="1" t="s">
        <v>1108</v>
      </c>
      <c r="C854" s="1" t="s">
        <v>6405</v>
      </c>
      <c r="D854" s="2" t="s">
        <v>8500</v>
      </c>
      <c r="E854" s="2" t="s">
        <v>8534</v>
      </c>
      <c r="F854" s="5" t="s">
        <v>8535</v>
      </c>
      <c r="G854" s="5" t="s">
        <v>8536</v>
      </c>
    </row>
    <row r="855" spans="1:7" x14ac:dyDescent="0.35">
      <c r="A855" s="1" t="s">
        <v>1107</v>
      </c>
      <c r="B855" s="1" t="s">
        <v>1108</v>
      </c>
      <c r="C855" s="1" t="s">
        <v>6405</v>
      </c>
      <c r="D855" s="2" t="s">
        <v>8500</v>
      </c>
      <c r="E855" s="2" t="s">
        <v>8537</v>
      </c>
      <c r="F855" s="5" t="s">
        <v>8538</v>
      </c>
      <c r="G855" s="5" t="s">
        <v>8539</v>
      </c>
    </row>
    <row r="856" spans="1:7" x14ac:dyDescent="0.35">
      <c r="A856" s="1" t="s">
        <v>1107</v>
      </c>
      <c r="B856" s="1" t="s">
        <v>1108</v>
      </c>
      <c r="C856" s="1" t="s">
        <v>6405</v>
      </c>
      <c r="D856" s="2" t="s">
        <v>8500</v>
      </c>
      <c r="E856" s="2" t="s">
        <v>8540</v>
      </c>
      <c r="F856" s="5" t="s">
        <v>8541</v>
      </c>
      <c r="G856" s="5" t="s">
        <v>8542</v>
      </c>
    </row>
    <row r="857" spans="1:7" x14ac:dyDescent="0.35">
      <c r="A857" s="1" t="s">
        <v>1107</v>
      </c>
      <c r="B857" s="1" t="s">
        <v>1108</v>
      </c>
      <c r="C857" s="1" t="s">
        <v>6405</v>
      </c>
      <c r="D857" s="2" t="s">
        <v>8500</v>
      </c>
      <c r="E857" s="2" t="s">
        <v>8543</v>
      </c>
      <c r="F857" s="5" t="s">
        <v>8502</v>
      </c>
      <c r="G857" s="5" t="s">
        <v>8544</v>
      </c>
    </row>
    <row r="858" spans="1:7" x14ac:dyDescent="0.35">
      <c r="A858" s="1" t="s">
        <v>1107</v>
      </c>
      <c r="B858" s="1" t="s">
        <v>1108</v>
      </c>
      <c r="C858" s="1" t="s">
        <v>6405</v>
      </c>
      <c r="D858" s="2" t="s">
        <v>8500</v>
      </c>
      <c r="E858" s="2" t="s">
        <v>8545</v>
      </c>
      <c r="F858" s="5" t="s">
        <v>8546</v>
      </c>
      <c r="G858" s="5" t="s">
        <v>8547</v>
      </c>
    </row>
    <row r="859" spans="1:7" x14ac:dyDescent="0.35">
      <c r="A859" s="1" t="s">
        <v>1107</v>
      </c>
      <c r="B859" s="1" t="s">
        <v>1108</v>
      </c>
      <c r="C859" s="1" t="s">
        <v>6405</v>
      </c>
      <c r="D859" s="2" t="s">
        <v>8500</v>
      </c>
      <c r="E859" s="2" t="s">
        <v>8548</v>
      </c>
      <c r="F859" s="5" t="s">
        <v>8549</v>
      </c>
      <c r="G859" s="5" t="s">
        <v>8550</v>
      </c>
    </row>
    <row r="860" spans="1:7" x14ac:dyDescent="0.35">
      <c r="A860" s="1" t="s">
        <v>1107</v>
      </c>
      <c r="B860" s="1" t="s">
        <v>1108</v>
      </c>
      <c r="C860" s="1" t="s">
        <v>6405</v>
      </c>
      <c r="D860" s="2" t="s">
        <v>8500</v>
      </c>
      <c r="E860" s="2" t="s">
        <v>8551</v>
      </c>
      <c r="F860" s="5" t="s">
        <v>8506</v>
      </c>
      <c r="G860" s="5" t="s">
        <v>8552</v>
      </c>
    </row>
    <row r="861" spans="1:7" x14ac:dyDescent="0.35">
      <c r="A861" s="1" t="s">
        <v>1107</v>
      </c>
      <c r="B861" s="1" t="s">
        <v>1108</v>
      </c>
      <c r="C861" s="1" t="s">
        <v>6405</v>
      </c>
      <c r="D861" s="2" t="s">
        <v>8500</v>
      </c>
      <c r="E861" s="2" t="s">
        <v>8553</v>
      </c>
      <c r="F861" s="5" t="s">
        <v>8554</v>
      </c>
      <c r="G861" s="5" t="s">
        <v>8555</v>
      </c>
    </row>
    <row r="862" spans="1:7" x14ac:dyDescent="0.35">
      <c r="A862" s="1" t="s">
        <v>1107</v>
      </c>
      <c r="B862" s="1" t="s">
        <v>1108</v>
      </c>
      <c r="C862" s="1" t="s">
        <v>6405</v>
      </c>
      <c r="D862" s="2" t="s">
        <v>8500</v>
      </c>
      <c r="E862" s="2" t="s">
        <v>8556</v>
      </c>
      <c r="F862" s="5" t="s">
        <v>8557</v>
      </c>
      <c r="G862" s="5" t="s">
        <v>8555</v>
      </c>
    </row>
    <row r="863" spans="1:7" x14ac:dyDescent="0.35">
      <c r="A863" s="1" t="s">
        <v>1107</v>
      </c>
      <c r="B863" s="1" t="s">
        <v>1108</v>
      </c>
      <c r="C863" s="1" t="s">
        <v>6405</v>
      </c>
      <c r="D863" s="2" t="s">
        <v>8500</v>
      </c>
      <c r="E863" s="2" t="s">
        <v>8558</v>
      </c>
      <c r="F863" s="5" t="s">
        <v>8559</v>
      </c>
      <c r="G863" s="5" t="s">
        <v>8560</v>
      </c>
    </row>
    <row r="864" spans="1:7" x14ac:dyDescent="0.35">
      <c r="A864" s="1" t="s">
        <v>1107</v>
      </c>
      <c r="B864" s="1" t="s">
        <v>1108</v>
      </c>
      <c r="C864" s="1" t="s">
        <v>6405</v>
      </c>
      <c r="D864" s="2" t="s">
        <v>8500</v>
      </c>
      <c r="E864" s="2" t="s">
        <v>8561</v>
      </c>
      <c r="F864" s="5" t="s">
        <v>8566</v>
      </c>
      <c r="G864" s="5" t="s">
        <v>8562</v>
      </c>
    </row>
    <row r="865" spans="1:7" x14ac:dyDescent="0.35">
      <c r="A865" s="1" t="s">
        <v>2537</v>
      </c>
      <c r="B865" s="1" t="s">
        <v>2538</v>
      </c>
      <c r="C865" s="1" t="s">
        <v>6524</v>
      </c>
      <c r="D865" s="2" t="s">
        <v>8567</v>
      </c>
      <c r="E865" s="2" t="s">
        <v>8568</v>
      </c>
      <c r="F865" s="5" t="s">
        <v>8569</v>
      </c>
      <c r="G865" s="5" t="s">
        <v>8570</v>
      </c>
    </row>
    <row r="866" spans="1:7" x14ac:dyDescent="0.35">
      <c r="A866" s="1" t="s">
        <v>4940</v>
      </c>
      <c r="B866" s="1" t="s">
        <v>4941</v>
      </c>
      <c r="C866" s="1" t="s">
        <v>6675</v>
      </c>
      <c r="D866" s="2" t="s">
        <v>8571</v>
      </c>
      <c r="E866" s="2" t="s">
        <v>8572</v>
      </c>
      <c r="F866" s="5" t="s">
        <v>13135</v>
      </c>
      <c r="G866" s="5" t="s">
        <v>8576</v>
      </c>
    </row>
    <row r="867" spans="1:7" x14ac:dyDescent="0.35">
      <c r="A867" s="1" t="s">
        <v>4940</v>
      </c>
      <c r="B867" s="1" t="s">
        <v>4941</v>
      </c>
      <c r="C867" s="1" t="s">
        <v>6675</v>
      </c>
      <c r="D867" s="2" t="s">
        <v>8571</v>
      </c>
      <c r="E867" s="2" t="s">
        <v>8573</v>
      </c>
      <c r="F867" s="5" t="s">
        <v>8574</v>
      </c>
      <c r="G867" s="5" t="s">
        <v>8577</v>
      </c>
    </row>
    <row r="868" spans="1:7" x14ac:dyDescent="0.35">
      <c r="A868" s="1" t="s">
        <v>4940</v>
      </c>
      <c r="B868" s="1" t="s">
        <v>4941</v>
      </c>
      <c r="C868" s="1" t="s">
        <v>6675</v>
      </c>
      <c r="D868" s="2" t="s">
        <v>8571</v>
      </c>
      <c r="E868" s="2" t="s">
        <v>8575</v>
      </c>
      <c r="F868" s="5" t="s">
        <v>8579</v>
      </c>
      <c r="G868" s="5" t="s">
        <v>8578</v>
      </c>
    </row>
    <row r="869" spans="1:7" x14ac:dyDescent="0.35">
      <c r="A869" s="1" t="s">
        <v>2402</v>
      </c>
      <c r="B869" s="1" t="s">
        <v>2403</v>
      </c>
      <c r="C869" s="1" t="s">
        <v>6505</v>
      </c>
      <c r="D869" s="2" t="s">
        <v>8580</v>
      </c>
      <c r="E869" s="2" t="s">
        <v>8581</v>
      </c>
      <c r="F869" s="5" t="s">
        <v>8582</v>
      </c>
      <c r="G869" s="5" t="s">
        <v>8583</v>
      </c>
    </row>
    <row r="870" spans="1:7" x14ac:dyDescent="0.35">
      <c r="A870" s="1" t="s">
        <v>2402</v>
      </c>
      <c r="B870" s="1" t="s">
        <v>2403</v>
      </c>
      <c r="C870" s="1" t="s">
        <v>6505</v>
      </c>
      <c r="D870" s="2" t="s">
        <v>8580</v>
      </c>
      <c r="E870" s="2" t="s">
        <v>8584</v>
      </c>
      <c r="F870" s="5" t="s">
        <v>8582</v>
      </c>
      <c r="G870" s="5" t="s">
        <v>8585</v>
      </c>
    </row>
    <row r="871" spans="1:7" x14ac:dyDescent="0.35">
      <c r="A871" s="1" t="s">
        <v>2402</v>
      </c>
      <c r="B871" s="1" t="s">
        <v>2403</v>
      </c>
      <c r="C871" s="1" t="s">
        <v>6505</v>
      </c>
      <c r="D871" s="2" t="s">
        <v>8580</v>
      </c>
      <c r="E871" s="2" t="s">
        <v>8586</v>
      </c>
      <c r="F871" s="5" t="s">
        <v>8583</v>
      </c>
      <c r="G871" s="5" t="s">
        <v>8585</v>
      </c>
    </row>
    <row r="872" spans="1:7" x14ac:dyDescent="0.35">
      <c r="A872" s="1" t="s">
        <v>2682</v>
      </c>
      <c r="B872" s="1" t="s">
        <v>2683</v>
      </c>
      <c r="C872" s="1" t="s">
        <v>6541</v>
      </c>
      <c r="D872" s="2" t="s">
        <v>8587</v>
      </c>
      <c r="E872" s="2" t="s">
        <v>8588</v>
      </c>
      <c r="F872" s="5" t="s">
        <v>8589</v>
      </c>
      <c r="G872" s="5" t="s">
        <v>8590</v>
      </c>
    </row>
    <row r="873" spans="1:7" x14ac:dyDescent="0.35">
      <c r="A873" s="1" t="s">
        <v>2682</v>
      </c>
      <c r="B873" s="1" t="s">
        <v>2683</v>
      </c>
      <c r="C873" s="1" t="s">
        <v>6541</v>
      </c>
      <c r="D873" s="2" t="s">
        <v>8587</v>
      </c>
      <c r="E873" s="2" t="s">
        <v>8591</v>
      </c>
      <c r="F873" s="5" t="s">
        <v>8592</v>
      </c>
      <c r="G873" s="5" t="s">
        <v>8590</v>
      </c>
    </row>
    <row r="874" spans="1:7" x14ac:dyDescent="0.35">
      <c r="A874" s="1" t="s">
        <v>2682</v>
      </c>
      <c r="B874" s="1" t="s">
        <v>2683</v>
      </c>
      <c r="C874" s="1" t="s">
        <v>6541</v>
      </c>
      <c r="D874" s="2" t="s">
        <v>8587</v>
      </c>
      <c r="E874" s="2" t="s">
        <v>8593</v>
      </c>
      <c r="F874" s="5" t="s">
        <v>8594</v>
      </c>
      <c r="G874" s="5" t="s">
        <v>8589</v>
      </c>
    </row>
    <row r="875" spans="1:7" x14ac:dyDescent="0.35">
      <c r="A875" s="1" t="s">
        <v>2490</v>
      </c>
      <c r="B875" s="1" t="s">
        <v>2491</v>
      </c>
      <c r="C875" s="1" t="s">
        <v>6517</v>
      </c>
      <c r="D875" s="2" t="s">
        <v>8595</v>
      </c>
      <c r="E875" s="2" t="s">
        <v>8596</v>
      </c>
      <c r="F875" s="5" t="s">
        <v>8597</v>
      </c>
      <c r="G875" s="5" t="s">
        <v>8598</v>
      </c>
    </row>
    <row r="876" spans="1:7" x14ac:dyDescent="0.35">
      <c r="A876" s="1" t="s">
        <v>2008</v>
      </c>
      <c r="B876" s="1" t="s">
        <v>2009</v>
      </c>
      <c r="C876" s="1" t="s">
        <v>6486</v>
      </c>
      <c r="D876" s="2" t="s">
        <v>8599</v>
      </c>
      <c r="E876" s="2" t="s">
        <v>8600</v>
      </c>
      <c r="F876" s="5" t="s">
        <v>8601</v>
      </c>
      <c r="G876" s="5" t="s">
        <v>8602</v>
      </c>
    </row>
    <row r="877" spans="1:7" x14ac:dyDescent="0.35">
      <c r="A877" s="1" t="s">
        <v>2008</v>
      </c>
      <c r="B877" s="1" t="s">
        <v>2009</v>
      </c>
      <c r="C877" s="1" t="s">
        <v>6486</v>
      </c>
      <c r="D877" s="2" t="s">
        <v>8599</v>
      </c>
      <c r="E877" s="2" t="s">
        <v>8603</v>
      </c>
      <c r="F877" s="5" t="s">
        <v>8604</v>
      </c>
      <c r="G877" s="5" t="s">
        <v>8605</v>
      </c>
    </row>
    <row r="878" spans="1:7" x14ac:dyDescent="0.35">
      <c r="A878" s="1" t="s">
        <v>5008</v>
      </c>
      <c r="B878" s="1" t="s">
        <v>5009</v>
      </c>
      <c r="C878" s="1" t="s">
        <v>6680</v>
      </c>
      <c r="D878" s="2" t="s">
        <v>8606</v>
      </c>
      <c r="E878" s="2" t="s">
        <v>8607</v>
      </c>
      <c r="F878" s="5" t="s">
        <v>8608</v>
      </c>
      <c r="G878" s="5" t="s">
        <v>8614</v>
      </c>
    </row>
    <row r="879" spans="1:7" x14ac:dyDescent="0.35">
      <c r="A879" s="1" t="s">
        <v>5008</v>
      </c>
      <c r="B879" s="1" t="s">
        <v>5009</v>
      </c>
      <c r="C879" s="1" t="s">
        <v>6680</v>
      </c>
      <c r="D879" s="2" t="s">
        <v>8606</v>
      </c>
      <c r="E879" s="2" t="s">
        <v>8609</v>
      </c>
      <c r="F879" s="5" t="s">
        <v>8610</v>
      </c>
      <c r="G879" s="5" t="s">
        <v>8614</v>
      </c>
    </row>
    <row r="880" spans="1:7" x14ac:dyDescent="0.35">
      <c r="A880" s="1" t="s">
        <v>5008</v>
      </c>
      <c r="B880" s="1" t="s">
        <v>5009</v>
      </c>
      <c r="C880" s="1" t="s">
        <v>6680</v>
      </c>
      <c r="D880" s="2" t="s">
        <v>8606</v>
      </c>
      <c r="E880" s="2" t="s">
        <v>8611</v>
      </c>
      <c r="F880" s="5" t="s">
        <v>8612</v>
      </c>
      <c r="G880" s="5" t="s">
        <v>8613</v>
      </c>
    </row>
    <row r="881" spans="1:7" x14ac:dyDescent="0.35">
      <c r="A881" s="1" t="s">
        <v>5832</v>
      </c>
      <c r="B881" s="1" t="s">
        <v>5833</v>
      </c>
      <c r="C881" s="1" t="s">
        <v>6726</v>
      </c>
      <c r="D881" s="2" t="s">
        <v>8615</v>
      </c>
      <c r="E881" s="2" t="s">
        <v>8616</v>
      </c>
      <c r="F881" s="5" t="s">
        <v>8620</v>
      </c>
      <c r="G881" s="5" t="s">
        <v>8618</v>
      </c>
    </row>
    <row r="882" spans="1:7" x14ac:dyDescent="0.35">
      <c r="A882" s="1" t="s">
        <v>5832</v>
      </c>
      <c r="B882" s="1" t="s">
        <v>5833</v>
      </c>
      <c r="C882" s="1" t="s">
        <v>6726</v>
      </c>
      <c r="D882" s="2" t="s">
        <v>8615</v>
      </c>
      <c r="E882" s="2" t="s">
        <v>8617</v>
      </c>
      <c r="F882" s="5" t="s">
        <v>8621</v>
      </c>
      <c r="G882" s="5" t="s">
        <v>8619</v>
      </c>
    </row>
    <row r="883" spans="1:7" x14ac:dyDescent="0.35">
      <c r="A883" s="1" t="s">
        <v>3680</v>
      </c>
      <c r="B883" s="1" t="s">
        <v>3681</v>
      </c>
      <c r="C883" s="1" t="s">
        <v>6596</v>
      </c>
      <c r="D883" s="2" t="s">
        <v>8622</v>
      </c>
      <c r="E883" s="2" t="s">
        <v>8623</v>
      </c>
      <c r="F883" s="5" t="s">
        <v>8624</v>
      </c>
      <c r="G883" s="5" t="s">
        <v>8625</v>
      </c>
    </row>
    <row r="884" spans="1:7" x14ac:dyDescent="0.35">
      <c r="A884" s="1" t="s">
        <v>1981</v>
      </c>
      <c r="B884" s="1" t="s">
        <v>1982</v>
      </c>
      <c r="C884" s="1" t="s">
        <v>6480</v>
      </c>
      <c r="D884" s="2" t="s">
        <v>8626</v>
      </c>
      <c r="E884" s="2" t="s">
        <v>8627</v>
      </c>
      <c r="F884" s="5" t="s">
        <v>8628</v>
      </c>
      <c r="G884" s="5" t="s">
        <v>8629</v>
      </c>
    </row>
    <row r="885" spans="1:7" x14ac:dyDescent="0.35">
      <c r="A885" s="1" t="s">
        <v>1985</v>
      </c>
      <c r="B885" s="1" t="s">
        <v>1986</v>
      </c>
      <c r="C885" s="1" t="s">
        <v>6481</v>
      </c>
      <c r="D885" s="2" t="s">
        <v>8630</v>
      </c>
      <c r="E885" s="2" t="s">
        <v>8631</v>
      </c>
      <c r="F885" s="5" t="s">
        <v>8632</v>
      </c>
      <c r="G885" s="5" t="s">
        <v>8633</v>
      </c>
    </row>
    <row r="886" spans="1:7" x14ac:dyDescent="0.35">
      <c r="A886" s="1" t="s">
        <v>1914</v>
      </c>
      <c r="B886" s="1" t="s">
        <v>1915</v>
      </c>
      <c r="C886" s="1" t="s">
        <v>6472</v>
      </c>
      <c r="D886" s="2" t="s">
        <v>8634</v>
      </c>
      <c r="E886" s="2" t="s">
        <v>8635</v>
      </c>
      <c r="F886" s="5" t="s">
        <v>8636</v>
      </c>
      <c r="G886" s="5" t="s">
        <v>8644</v>
      </c>
    </row>
    <row r="887" spans="1:7" x14ac:dyDescent="0.35">
      <c r="A887" s="1" t="s">
        <v>3951</v>
      </c>
      <c r="B887" s="1" t="s">
        <v>3952</v>
      </c>
      <c r="C887" s="1" t="s">
        <v>6623</v>
      </c>
      <c r="D887" s="2" t="s">
        <v>8634</v>
      </c>
      <c r="E887" s="2" t="s">
        <v>8637</v>
      </c>
      <c r="F887" s="5" t="s">
        <v>8636</v>
      </c>
      <c r="G887" s="5" t="s">
        <v>8645</v>
      </c>
    </row>
    <row r="888" spans="1:7" x14ac:dyDescent="0.35">
      <c r="A888" s="1" t="s">
        <v>3951</v>
      </c>
      <c r="B888" s="1" t="s">
        <v>3952</v>
      </c>
      <c r="C888" s="1" t="s">
        <v>6623</v>
      </c>
      <c r="D888" s="2" t="s">
        <v>8634</v>
      </c>
      <c r="E888" s="2" t="s">
        <v>8638</v>
      </c>
      <c r="F888" s="5" t="s">
        <v>13136</v>
      </c>
      <c r="G888" s="5" t="s">
        <v>8644</v>
      </c>
    </row>
    <row r="889" spans="1:7" x14ac:dyDescent="0.35">
      <c r="A889" s="1" t="s">
        <v>3951</v>
      </c>
      <c r="B889" s="1" t="s">
        <v>3952</v>
      </c>
      <c r="C889" s="1" t="s">
        <v>6623</v>
      </c>
      <c r="D889" s="2" t="s">
        <v>8634</v>
      </c>
      <c r="E889" s="2" t="s">
        <v>8639</v>
      </c>
      <c r="F889" s="5" t="s">
        <v>8640</v>
      </c>
      <c r="G889" s="5" t="s">
        <v>8641</v>
      </c>
    </row>
    <row r="890" spans="1:7" x14ac:dyDescent="0.35">
      <c r="A890" s="1" t="s">
        <v>3951</v>
      </c>
      <c r="B890" s="1" t="s">
        <v>3952</v>
      </c>
      <c r="C890" s="1" t="s">
        <v>6623</v>
      </c>
      <c r="D890" s="2" t="s">
        <v>8634</v>
      </c>
      <c r="E890" s="2" t="s">
        <v>8642</v>
      </c>
      <c r="F890" s="5" t="s">
        <v>8643</v>
      </c>
      <c r="G890" s="5" t="s">
        <v>8646</v>
      </c>
    </row>
    <row r="891" spans="1:7" x14ac:dyDescent="0.35">
      <c r="A891" s="1" t="s">
        <v>514</v>
      </c>
      <c r="B891" s="1" t="s">
        <v>515</v>
      </c>
      <c r="C891" s="1" t="s">
        <v>6306</v>
      </c>
      <c r="D891" s="2" t="s">
        <v>8647</v>
      </c>
      <c r="E891" s="2" t="s">
        <v>8648</v>
      </c>
      <c r="F891" s="5" t="s">
        <v>8649</v>
      </c>
      <c r="G891" s="5" t="s">
        <v>8655</v>
      </c>
    </row>
    <row r="892" spans="1:7" x14ac:dyDescent="0.35">
      <c r="A892" s="1" t="s">
        <v>514</v>
      </c>
      <c r="B892" s="1" t="s">
        <v>515</v>
      </c>
      <c r="C892" s="1" t="s">
        <v>6306</v>
      </c>
      <c r="D892" s="2" t="s">
        <v>8647</v>
      </c>
      <c r="E892" s="2" t="s">
        <v>8650</v>
      </c>
      <c r="F892" s="5" t="s">
        <v>13137</v>
      </c>
      <c r="G892" s="5" t="s">
        <v>8655</v>
      </c>
    </row>
    <row r="893" spans="1:7" x14ac:dyDescent="0.35">
      <c r="A893" s="1" t="s">
        <v>514</v>
      </c>
      <c r="B893" s="1" t="s">
        <v>515</v>
      </c>
      <c r="C893" s="1" t="s">
        <v>6306</v>
      </c>
      <c r="D893" s="2" t="s">
        <v>8647</v>
      </c>
      <c r="E893" s="2" t="s">
        <v>8651</v>
      </c>
      <c r="F893" s="5" t="s">
        <v>8652</v>
      </c>
      <c r="G893" s="5" t="s">
        <v>8653</v>
      </c>
    </row>
    <row r="894" spans="1:7" x14ac:dyDescent="0.35">
      <c r="A894" s="1" t="s">
        <v>514</v>
      </c>
      <c r="B894" s="1" t="s">
        <v>515</v>
      </c>
      <c r="C894" s="1" t="s">
        <v>6306</v>
      </c>
      <c r="D894" s="2" t="s">
        <v>8647</v>
      </c>
      <c r="E894" s="2" t="s">
        <v>8635</v>
      </c>
      <c r="F894" s="5" t="s">
        <v>8636</v>
      </c>
      <c r="G894" s="5" t="s">
        <v>8644</v>
      </c>
    </row>
    <row r="895" spans="1:7" x14ac:dyDescent="0.35">
      <c r="A895" s="1" t="s">
        <v>514</v>
      </c>
      <c r="B895" s="1" t="s">
        <v>515</v>
      </c>
      <c r="C895" s="1" t="s">
        <v>6306</v>
      </c>
      <c r="D895" s="2" t="s">
        <v>8647</v>
      </c>
      <c r="E895" s="2" t="s">
        <v>8642</v>
      </c>
      <c r="F895" s="5" t="s">
        <v>8654</v>
      </c>
      <c r="G895" s="5" t="s">
        <v>8646</v>
      </c>
    </row>
    <row r="896" spans="1:7" x14ac:dyDescent="0.35">
      <c r="A896" s="1" t="s">
        <v>5630</v>
      </c>
      <c r="B896" s="1" t="s">
        <v>5631</v>
      </c>
      <c r="C896" s="1" t="s">
        <v>6713</v>
      </c>
      <c r="D896" s="2" t="s">
        <v>8656</v>
      </c>
      <c r="E896" s="2" t="s">
        <v>8657</v>
      </c>
      <c r="F896" s="5" t="s">
        <v>8658</v>
      </c>
      <c r="G896" s="5" t="s">
        <v>8659</v>
      </c>
    </row>
    <row r="897" spans="1:7" x14ac:dyDescent="0.35">
      <c r="A897" s="1" t="s">
        <v>203</v>
      </c>
      <c r="B897" s="1" t="s">
        <v>204</v>
      </c>
      <c r="C897" s="1" t="s">
        <v>6284</v>
      </c>
      <c r="D897" s="2" t="s">
        <v>8660</v>
      </c>
      <c r="E897" s="2" t="s">
        <v>8661</v>
      </c>
      <c r="F897" s="5" t="s">
        <v>8662</v>
      </c>
      <c r="G897" s="5" t="s">
        <v>8667</v>
      </c>
    </row>
    <row r="898" spans="1:7" x14ac:dyDescent="0.35">
      <c r="A898" s="1" t="s">
        <v>203</v>
      </c>
      <c r="B898" s="1" t="s">
        <v>204</v>
      </c>
      <c r="C898" s="1" t="s">
        <v>6284</v>
      </c>
      <c r="D898" s="2" t="s">
        <v>8660</v>
      </c>
      <c r="E898" s="2" t="s">
        <v>8663</v>
      </c>
      <c r="F898" s="5" t="s">
        <v>8664</v>
      </c>
      <c r="G898" s="5" t="s">
        <v>8668</v>
      </c>
    </row>
    <row r="899" spans="1:7" x14ac:dyDescent="0.35">
      <c r="A899" s="1" t="s">
        <v>203</v>
      </c>
      <c r="B899" s="1" t="s">
        <v>204</v>
      </c>
      <c r="C899" s="1" t="s">
        <v>6284</v>
      </c>
      <c r="D899" s="2" t="s">
        <v>8660</v>
      </c>
      <c r="E899" s="2" t="s">
        <v>8665</v>
      </c>
      <c r="F899" s="5" t="s">
        <v>8666</v>
      </c>
      <c r="G899" s="5" t="s">
        <v>8669</v>
      </c>
    </row>
    <row r="900" spans="1:7" x14ac:dyDescent="0.35">
      <c r="A900" s="1" t="s">
        <v>3916</v>
      </c>
      <c r="B900" s="1" t="s">
        <v>3917</v>
      </c>
      <c r="C900" s="1" t="s">
        <v>6620</v>
      </c>
      <c r="D900" s="2" t="s">
        <v>8670</v>
      </c>
      <c r="E900" s="2" t="s">
        <v>8671</v>
      </c>
      <c r="F900" s="5" t="s">
        <v>13138</v>
      </c>
      <c r="G900" s="5" t="s">
        <v>8672</v>
      </c>
    </row>
    <row r="901" spans="1:7" x14ac:dyDescent="0.35">
      <c r="A901" s="1" t="s">
        <v>1154</v>
      </c>
      <c r="B901" s="1" t="s">
        <v>1155</v>
      </c>
      <c r="C901" s="1" t="s">
        <v>6413</v>
      </c>
      <c r="D901" s="2" t="s">
        <v>8673</v>
      </c>
      <c r="E901" s="2" t="s">
        <v>8674</v>
      </c>
      <c r="F901" s="5" t="s">
        <v>8675</v>
      </c>
      <c r="G901" s="5" t="s">
        <v>8676</v>
      </c>
    </row>
    <row r="902" spans="1:7" x14ac:dyDescent="0.35">
      <c r="A902" s="1" t="s">
        <v>4744</v>
      </c>
      <c r="B902" s="1" t="s">
        <v>4745</v>
      </c>
      <c r="C902" s="1" t="s">
        <v>6662</v>
      </c>
      <c r="D902" s="2" t="s">
        <v>8677</v>
      </c>
      <c r="E902" s="2" t="s">
        <v>8678</v>
      </c>
      <c r="F902" s="5" t="s">
        <v>8679</v>
      </c>
      <c r="G902" s="5" t="s">
        <v>8680</v>
      </c>
    </row>
    <row r="903" spans="1:7" x14ac:dyDescent="0.35">
      <c r="A903" s="1" t="s">
        <v>3451</v>
      </c>
      <c r="B903" s="1" t="s">
        <v>3452</v>
      </c>
      <c r="C903" s="1" t="s">
        <v>6586</v>
      </c>
      <c r="D903" s="2"/>
      <c r="E903" s="2"/>
      <c r="F903" s="5"/>
      <c r="G903" s="5"/>
    </row>
    <row r="904" spans="1:7" x14ac:dyDescent="0.35">
      <c r="A904" s="1" t="s">
        <v>1649</v>
      </c>
      <c r="B904" s="1" t="s">
        <v>1650</v>
      </c>
      <c r="C904" s="1" t="s">
        <v>6447</v>
      </c>
      <c r="D904" s="2"/>
      <c r="E904" s="2"/>
      <c r="F904" s="5"/>
      <c r="G904" s="5"/>
    </row>
    <row r="905" spans="1:7" x14ac:dyDescent="0.35">
      <c r="A905" s="1" t="s">
        <v>3490</v>
      </c>
      <c r="B905" s="1" t="s">
        <v>3491</v>
      </c>
      <c r="C905" s="1" t="s">
        <v>6587</v>
      </c>
      <c r="D905" s="2"/>
      <c r="E905" s="2"/>
      <c r="F905" s="5"/>
      <c r="G905" s="5"/>
    </row>
    <row r="906" spans="1:7" x14ac:dyDescent="0.35">
      <c r="A906" s="1" t="s">
        <v>5377</v>
      </c>
      <c r="B906" s="1" t="s">
        <v>5378</v>
      </c>
      <c r="C906" s="1" t="s">
        <v>6699</v>
      </c>
      <c r="D906" s="2" t="s">
        <v>8681</v>
      </c>
      <c r="E906" s="2" t="s">
        <v>8682</v>
      </c>
      <c r="F906" s="5" t="s">
        <v>8683</v>
      </c>
      <c r="G906" s="5" t="s">
        <v>8684</v>
      </c>
    </row>
    <row r="907" spans="1:7" x14ac:dyDescent="0.35">
      <c r="A907" s="1" t="s">
        <v>804</v>
      </c>
      <c r="B907" s="1" t="s">
        <v>805</v>
      </c>
      <c r="C907" s="1" t="s">
        <v>6332</v>
      </c>
      <c r="D907" s="2" t="s">
        <v>8685</v>
      </c>
      <c r="E907" s="2" t="s">
        <v>8686</v>
      </c>
      <c r="F907" s="5" t="s">
        <v>8687</v>
      </c>
      <c r="G907" s="5" t="s">
        <v>8688</v>
      </c>
    </row>
    <row r="908" spans="1:7" x14ac:dyDescent="0.35">
      <c r="A908" s="1" t="s">
        <v>5568</v>
      </c>
      <c r="B908" s="1" t="s">
        <v>5569</v>
      </c>
      <c r="C908" s="1" t="s">
        <v>6710</v>
      </c>
      <c r="D908" s="2" t="s">
        <v>8689</v>
      </c>
      <c r="E908" s="2" t="s">
        <v>8690</v>
      </c>
      <c r="F908" s="5" t="s">
        <v>8691</v>
      </c>
      <c r="G908" s="5" t="s">
        <v>8692</v>
      </c>
    </row>
    <row r="909" spans="1:7" x14ac:dyDescent="0.35">
      <c r="A909" s="1" t="s">
        <v>2486</v>
      </c>
      <c r="B909" s="1" t="s">
        <v>2487</v>
      </c>
      <c r="C909" s="1" t="s">
        <v>6516</v>
      </c>
      <c r="D909" s="2" t="s">
        <v>8693</v>
      </c>
      <c r="E909" s="2" t="s">
        <v>8694</v>
      </c>
      <c r="F909" s="5" t="s">
        <v>8695</v>
      </c>
      <c r="G909" s="5" t="s">
        <v>8696</v>
      </c>
    </row>
    <row r="910" spans="1:7" x14ac:dyDescent="0.35">
      <c r="A910" s="1" t="s">
        <v>2930</v>
      </c>
      <c r="B910" s="1" t="s">
        <v>2931</v>
      </c>
      <c r="C910" s="1" t="s">
        <v>6548</v>
      </c>
      <c r="D910" s="2" t="s">
        <v>8697</v>
      </c>
      <c r="E910" s="2" t="s">
        <v>8698</v>
      </c>
      <c r="F910" s="5" t="s">
        <v>8699</v>
      </c>
      <c r="G910" s="5" t="s">
        <v>8699</v>
      </c>
    </row>
    <row r="911" spans="1:7" x14ac:dyDescent="0.35">
      <c r="A911" s="1" t="s">
        <v>2930</v>
      </c>
      <c r="B911" s="1" t="s">
        <v>2931</v>
      </c>
      <c r="C911" s="1" t="s">
        <v>6548</v>
      </c>
      <c r="D911" s="2" t="s">
        <v>8697</v>
      </c>
      <c r="E911" s="2" t="s">
        <v>8700</v>
      </c>
      <c r="F911" s="5" t="s">
        <v>8701</v>
      </c>
      <c r="G911" s="5" t="s">
        <v>8702</v>
      </c>
    </row>
    <row r="912" spans="1:7" x14ac:dyDescent="0.35">
      <c r="A912" s="1" t="s">
        <v>2930</v>
      </c>
      <c r="B912" s="1" t="s">
        <v>2931</v>
      </c>
      <c r="C912" s="1" t="s">
        <v>6548</v>
      </c>
      <c r="D912" s="2" t="s">
        <v>8697</v>
      </c>
      <c r="E912" s="2" t="s">
        <v>8703</v>
      </c>
      <c r="F912" s="5" t="s">
        <v>8597</v>
      </c>
      <c r="G912" s="5" t="s">
        <v>8704</v>
      </c>
    </row>
    <row r="913" spans="1:7" x14ac:dyDescent="0.35">
      <c r="A913" s="1" t="s">
        <v>4211</v>
      </c>
      <c r="B913" s="1" t="s">
        <v>4212</v>
      </c>
      <c r="C913" s="1" t="s">
        <v>6634</v>
      </c>
      <c r="D913" s="2" t="s">
        <v>8705</v>
      </c>
      <c r="E913" s="2" t="s">
        <v>8706</v>
      </c>
      <c r="F913" s="5" t="s">
        <v>8707</v>
      </c>
      <c r="G913" s="5" t="s">
        <v>8708</v>
      </c>
    </row>
    <row r="914" spans="1:7" x14ac:dyDescent="0.35">
      <c r="A914" s="1" t="s">
        <v>4211</v>
      </c>
      <c r="B914" s="1" t="s">
        <v>4212</v>
      </c>
      <c r="C914" s="1" t="s">
        <v>6634</v>
      </c>
      <c r="D914" s="2" t="s">
        <v>8705</v>
      </c>
      <c r="E914" s="2" t="s">
        <v>8709</v>
      </c>
      <c r="F914" s="5" t="s">
        <v>8710</v>
      </c>
      <c r="G914" s="5" t="s">
        <v>8711</v>
      </c>
    </row>
    <row r="915" spans="1:7" x14ac:dyDescent="0.35">
      <c r="A915" s="1" t="s">
        <v>1509</v>
      </c>
      <c r="B915" s="1" t="s">
        <v>1510</v>
      </c>
      <c r="C915" s="1" t="s">
        <v>6443</v>
      </c>
      <c r="D915" s="2" t="s">
        <v>8712</v>
      </c>
      <c r="E915" s="2" t="s">
        <v>8713</v>
      </c>
      <c r="F915" s="5" t="s">
        <v>8714</v>
      </c>
      <c r="G915" s="5" t="s">
        <v>8715</v>
      </c>
    </row>
    <row r="916" spans="1:7" x14ac:dyDescent="0.35">
      <c r="A916" s="1" t="s">
        <v>1435</v>
      </c>
      <c r="B916" s="1" t="s">
        <v>1436</v>
      </c>
      <c r="C916" s="1" t="s">
        <v>6436</v>
      </c>
      <c r="D916" s="2" t="s">
        <v>8716</v>
      </c>
      <c r="E916" s="2" t="s">
        <v>8717</v>
      </c>
      <c r="F916" s="5" t="s">
        <v>8718</v>
      </c>
      <c r="G916" s="5" t="s">
        <v>8719</v>
      </c>
    </row>
    <row r="917" spans="1:7" x14ac:dyDescent="0.35">
      <c r="A917" s="1" t="s">
        <v>2545</v>
      </c>
      <c r="B917" s="1" t="s">
        <v>2546</v>
      </c>
      <c r="C917" s="1" t="s">
        <v>6526</v>
      </c>
      <c r="D917" s="2" t="s">
        <v>8720</v>
      </c>
      <c r="E917" s="2" t="s">
        <v>8721</v>
      </c>
      <c r="F917" s="5" t="s">
        <v>8345</v>
      </c>
      <c r="G917" s="5" t="s">
        <v>8722</v>
      </c>
    </row>
    <row r="918" spans="1:7" x14ac:dyDescent="0.35">
      <c r="A918" s="1" t="s">
        <v>4948</v>
      </c>
      <c r="B918" s="1" t="s">
        <v>4949</v>
      </c>
      <c r="C918" s="1" t="s">
        <v>6676</v>
      </c>
      <c r="D918" s="2" t="s">
        <v>8723</v>
      </c>
      <c r="E918" s="2" t="s">
        <v>8724</v>
      </c>
      <c r="F918" s="5" t="s">
        <v>8725</v>
      </c>
      <c r="G918" s="5" t="s">
        <v>8451</v>
      </c>
    </row>
    <row r="919" spans="1:7" x14ac:dyDescent="0.35">
      <c r="A919" s="1" t="s">
        <v>3069</v>
      </c>
      <c r="B919" s="1" t="s">
        <v>3070</v>
      </c>
      <c r="C919" s="1" t="s">
        <v>6555</v>
      </c>
      <c r="D919" s="2" t="s">
        <v>8726</v>
      </c>
      <c r="E919" s="2" t="s">
        <v>8727</v>
      </c>
      <c r="F919" s="5" t="s">
        <v>8728</v>
      </c>
      <c r="G919" s="5" t="s">
        <v>8691</v>
      </c>
    </row>
    <row r="920" spans="1:7" x14ac:dyDescent="0.35">
      <c r="A920" s="1" t="s">
        <v>3069</v>
      </c>
      <c r="B920" s="1" t="s">
        <v>3070</v>
      </c>
      <c r="C920" s="1" t="s">
        <v>6555</v>
      </c>
      <c r="D920" s="2" t="s">
        <v>8726</v>
      </c>
      <c r="E920" s="2" t="s">
        <v>8729</v>
      </c>
      <c r="F920" s="5" t="s">
        <v>8730</v>
      </c>
      <c r="G920" s="5" t="s">
        <v>8731</v>
      </c>
    </row>
    <row r="921" spans="1:7" x14ac:dyDescent="0.35">
      <c r="A921" s="1" t="s">
        <v>4111</v>
      </c>
      <c r="B921" s="1" t="s">
        <v>4112</v>
      </c>
      <c r="C921" s="1" t="s">
        <v>6631</v>
      </c>
      <c r="D921" s="2" t="s">
        <v>8732</v>
      </c>
      <c r="E921" s="2" t="s">
        <v>8733</v>
      </c>
      <c r="F921" s="5" t="s">
        <v>8734</v>
      </c>
      <c r="G921" s="5" t="s">
        <v>8735</v>
      </c>
    </row>
    <row r="922" spans="1:7" x14ac:dyDescent="0.35">
      <c r="A922" s="1" t="s">
        <v>4111</v>
      </c>
      <c r="B922" s="1" t="s">
        <v>4112</v>
      </c>
      <c r="C922" s="1" t="s">
        <v>6631</v>
      </c>
      <c r="D922" s="2" t="s">
        <v>8732</v>
      </c>
      <c r="E922" s="2" t="s">
        <v>8736</v>
      </c>
      <c r="F922" s="5" t="s">
        <v>8737</v>
      </c>
      <c r="G922" s="5" t="s">
        <v>8738</v>
      </c>
    </row>
    <row r="923" spans="1:7" x14ac:dyDescent="0.35">
      <c r="A923" s="1" t="s">
        <v>601</v>
      </c>
      <c r="B923" s="1" t="s">
        <v>602</v>
      </c>
      <c r="C923" s="1" t="s">
        <v>6312</v>
      </c>
      <c r="D923" s="2" t="s">
        <v>8739</v>
      </c>
      <c r="E923" s="2" t="s">
        <v>8740</v>
      </c>
      <c r="F923" s="5" t="s">
        <v>8741</v>
      </c>
      <c r="G923" s="5" t="s">
        <v>8738</v>
      </c>
    </row>
    <row r="924" spans="1:7" x14ac:dyDescent="0.35">
      <c r="A924" s="1" t="s">
        <v>601</v>
      </c>
      <c r="B924" s="1" t="s">
        <v>602</v>
      </c>
      <c r="C924" s="1" t="s">
        <v>6312</v>
      </c>
      <c r="D924" s="2" t="s">
        <v>8739</v>
      </c>
      <c r="E924" s="2" t="s">
        <v>8742</v>
      </c>
      <c r="F924" s="5" t="s">
        <v>8743</v>
      </c>
      <c r="G924" s="5" t="s">
        <v>8735</v>
      </c>
    </row>
    <row r="925" spans="1:7" x14ac:dyDescent="0.35">
      <c r="A925" s="1" t="s">
        <v>601</v>
      </c>
      <c r="B925" s="1" t="s">
        <v>602</v>
      </c>
      <c r="C925" s="1" t="s">
        <v>6312</v>
      </c>
      <c r="D925" s="2" t="s">
        <v>8739</v>
      </c>
      <c r="E925" s="2" t="s">
        <v>8744</v>
      </c>
      <c r="F925" s="5" t="s">
        <v>8741</v>
      </c>
      <c r="G925" s="5" t="s">
        <v>8745</v>
      </c>
    </row>
    <row r="926" spans="1:7" x14ac:dyDescent="0.35">
      <c r="A926" s="1" t="s">
        <v>601</v>
      </c>
      <c r="B926" s="1" t="s">
        <v>602</v>
      </c>
      <c r="C926" s="1" t="s">
        <v>6312</v>
      </c>
      <c r="D926" s="2" t="s">
        <v>8739</v>
      </c>
      <c r="E926" s="2" t="s">
        <v>8746</v>
      </c>
      <c r="F926" s="5" t="s">
        <v>8745</v>
      </c>
      <c r="G926" s="5" t="s">
        <v>8738</v>
      </c>
    </row>
    <row r="927" spans="1:7" x14ac:dyDescent="0.35">
      <c r="A927" s="1" t="s">
        <v>601</v>
      </c>
      <c r="B927" s="1" t="s">
        <v>602</v>
      </c>
      <c r="C927" s="1" t="s">
        <v>6312</v>
      </c>
      <c r="D927" s="2" t="s">
        <v>8739</v>
      </c>
      <c r="E927" s="2" t="s">
        <v>8747</v>
      </c>
      <c r="F927" s="5" t="s">
        <v>8741</v>
      </c>
      <c r="G927" s="5" t="s">
        <v>8735</v>
      </c>
    </row>
    <row r="928" spans="1:7" x14ac:dyDescent="0.35">
      <c r="A928" s="1" t="s">
        <v>3054</v>
      </c>
      <c r="B928" s="1" t="s">
        <v>3055</v>
      </c>
      <c r="C928" s="1" t="s">
        <v>6553</v>
      </c>
      <c r="D928" s="2"/>
      <c r="E928" s="2"/>
      <c r="F928" s="5"/>
      <c r="G928" s="5"/>
    </row>
    <row r="929" spans="1:7" x14ac:dyDescent="0.35">
      <c r="A929" s="1" t="s">
        <v>1716</v>
      </c>
      <c r="B929" s="1" t="s">
        <v>1717</v>
      </c>
      <c r="C929" s="1" t="s">
        <v>6455</v>
      </c>
      <c r="D929" s="2" t="s">
        <v>8748</v>
      </c>
      <c r="E929" s="2" t="s">
        <v>8749</v>
      </c>
      <c r="F929" s="5" t="s">
        <v>8750</v>
      </c>
      <c r="G929" s="5" t="s">
        <v>8751</v>
      </c>
    </row>
    <row r="930" spans="1:7" x14ac:dyDescent="0.35">
      <c r="A930" s="1" t="s">
        <v>409</v>
      </c>
      <c r="B930" s="1" t="s">
        <v>410</v>
      </c>
      <c r="C930" s="1" t="s">
        <v>6298</v>
      </c>
      <c r="D930" s="2"/>
      <c r="E930" s="2"/>
      <c r="F930" s="5"/>
      <c r="G930" s="5"/>
    </row>
    <row r="931" spans="1:7" x14ac:dyDescent="0.35">
      <c r="A931" s="1" t="s">
        <v>2461</v>
      </c>
      <c r="B931" s="1" t="s">
        <v>2462</v>
      </c>
      <c r="C931" s="1" t="s">
        <v>6514</v>
      </c>
      <c r="D931" s="2" t="s">
        <v>8752</v>
      </c>
      <c r="E931" s="2" t="s">
        <v>8753</v>
      </c>
      <c r="F931" s="5" t="s">
        <v>8754</v>
      </c>
      <c r="G931" s="5" t="s">
        <v>8755</v>
      </c>
    </row>
    <row r="932" spans="1:7" x14ac:dyDescent="0.35">
      <c r="A932" s="1" t="s">
        <v>3769</v>
      </c>
      <c r="B932" s="1" t="s">
        <v>3770</v>
      </c>
      <c r="C932" s="1" t="s">
        <v>6607</v>
      </c>
      <c r="D932" s="2" t="s">
        <v>8756</v>
      </c>
      <c r="E932" s="2" t="s">
        <v>8757</v>
      </c>
      <c r="F932" s="5" t="s">
        <v>8758</v>
      </c>
      <c r="G932" s="5" t="s">
        <v>8743</v>
      </c>
    </row>
    <row r="933" spans="1:7" x14ac:dyDescent="0.35">
      <c r="A933" s="1" t="s">
        <v>3769</v>
      </c>
      <c r="B933" s="1" t="s">
        <v>3770</v>
      </c>
      <c r="C933" s="1" t="s">
        <v>6607</v>
      </c>
      <c r="D933" s="2" t="s">
        <v>8756</v>
      </c>
      <c r="E933" s="2" t="s">
        <v>8759</v>
      </c>
      <c r="F933" s="5" t="s">
        <v>8760</v>
      </c>
      <c r="G933" s="5" t="s">
        <v>8741</v>
      </c>
    </row>
    <row r="934" spans="1:7" x14ac:dyDescent="0.35">
      <c r="A934" s="1" t="s">
        <v>3769</v>
      </c>
      <c r="B934" s="1" t="s">
        <v>3770</v>
      </c>
      <c r="C934" s="1" t="s">
        <v>6607</v>
      </c>
      <c r="D934" s="2" t="s">
        <v>8756</v>
      </c>
      <c r="E934" s="2" t="s">
        <v>8761</v>
      </c>
      <c r="F934" s="5" t="s">
        <v>8762</v>
      </c>
      <c r="G934" s="5" t="s">
        <v>8763</v>
      </c>
    </row>
    <row r="935" spans="1:7" x14ac:dyDescent="0.35">
      <c r="A935" s="1" t="s">
        <v>3769</v>
      </c>
      <c r="B935" s="1" t="s">
        <v>3770</v>
      </c>
      <c r="C935" s="1" t="s">
        <v>6607</v>
      </c>
      <c r="D935" s="2" t="s">
        <v>8756</v>
      </c>
      <c r="E935" s="2" t="s">
        <v>8764</v>
      </c>
      <c r="F935" s="5" t="s">
        <v>8765</v>
      </c>
      <c r="G935" s="5" t="s">
        <v>8766</v>
      </c>
    </row>
    <row r="936" spans="1:7" x14ac:dyDescent="0.35">
      <c r="A936" s="1" t="s">
        <v>3073</v>
      </c>
      <c r="B936" s="1" t="s">
        <v>3074</v>
      </c>
      <c r="C936" s="1" t="s">
        <v>6556</v>
      </c>
      <c r="D936" s="2" t="s">
        <v>8767</v>
      </c>
      <c r="E936" s="2" t="s">
        <v>8761</v>
      </c>
      <c r="F936" s="5" t="s">
        <v>8762</v>
      </c>
      <c r="G936" s="5" t="s">
        <v>8763</v>
      </c>
    </row>
    <row r="937" spans="1:7" x14ac:dyDescent="0.35">
      <c r="A937" s="1" t="s">
        <v>3073</v>
      </c>
      <c r="B937" s="1" t="s">
        <v>3074</v>
      </c>
      <c r="C937" s="1" t="s">
        <v>6556</v>
      </c>
      <c r="D937" s="2" t="s">
        <v>8767</v>
      </c>
      <c r="E937" s="2" t="s">
        <v>8768</v>
      </c>
      <c r="F937" s="5" t="s">
        <v>8769</v>
      </c>
      <c r="G937" s="5" t="s">
        <v>8474</v>
      </c>
    </row>
    <row r="938" spans="1:7" x14ac:dyDescent="0.35">
      <c r="A938" s="1" t="s">
        <v>655</v>
      </c>
      <c r="B938" s="1" t="s">
        <v>656</v>
      </c>
      <c r="C938" s="1" t="s">
        <v>6318</v>
      </c>
      <c r="D938" s="2"/>
      <c r="E938" s="2"/>
      <c r="F938" s="5"/>
      <c r="G938" s="5"/>
    </row>
    <row r="939" spans="1:7" x14ac:dyDescent="0.35">
      <c r="A939" s="1" t="s">
        <v>828</v>
      </c>
      <c r="B939" s="1" t="s">
        <v>829</v>
      </c>
      <c r="C939" s="1" t="s">
        <v>6318</v>
      </c>
      <c r="D939" s="2"/>
      <c r="E939" s="2"/>
      <c r="F939" s="5"/>
      <c r="G939" s="5"/>
    </row>
    <row r="940" spans="1:7" x14ac:dyDescent="0.35">
      <c r="A940" s="1" t="s">
        <v>1527</v>
      </c>
      <c r="B940" s="1" t="s">
        <v>1528</v>
      </c>
      <c r="C940" s="1" t="s">
        <v>6318</v>
      </c>
      <c r="D940" s="2"/>
      <c r="E940" s="2"/>
      <c r="F940" s="5"/>
      <c r="G940" s="5"/>
    </row>
    <row r="941" spans="1:7" x14ac:dyDescent="0.35">
      <c r="A941" s="1" t="s">
        <v>1680</v>
      </c>
      <c r="B941" s="1" t="s">
        <v>1681</v>
      </c>
      <c r="C941" s="1" t="s">
        <v>6318</v>
      </c>
      <c r="D941" s="2"/>
      <c r="E941" s="2"/>
      <c r="F941" s="5"/>
      <c r="G941" s="5"/>
    </row>
    <row r="942" spans="1:7" x14ac:dyDescent="0.35">
      <c r="A942" s="1" t="s">
        <v>3329</v>
      </c>
      <c r="B942" s="1" t="s">
        <v>3330</v>
      </c>
      <c r="C942" s="1" t="s">
        <v>6318</v>
      </c>
      <c r="D942" s="2"/>
      <c r="E942" s="2"/>
      <c r="F942" s="5"/>
      <c r="G942" s="5"/>
    </row>
    <row r="943" spans="1:7" x14ac:dyDescent="0.35">
      <c r="A943" s="1" t="s">
        <v>4558</v>
      </c>
      <c r="B943" s="1" t="s">
        <v>4559</v>
      </c>
      <c r="C943" s="1" t="s">
        <v>6318</v>
      </c>
      <c r="D943" s="2"/>
      <c r="E943" s="2"/>
      <c r="F943" s="5"/>
      <c r="G943" s="5"/>
    </row>
    <row r="944" spans="1:7" x14ac:dyDescent="0.35">
      <c r="A944" s="1" t="s">
        <v>4684</v>
      </c>
      <c r="B944" s="1" t="s">
        <v>4685</v>
      </c>
      <c r="C944" s="1" t="s">
        <v>6318</v>
      </c>
      <c r="D944" s="2"/>
      <c r="E944" s="2"/>
      <c r="F944" s="5"/>
      <c r="G944" s="5"/>
    </row>
    <row r="945" spans="1:7" x14ac:dyDescent="0.35">
      <c r="A945" s="1" t="s">
        <v>436</v>
      </c>
      <c r="B945" s="1" t="s">
        <v>437</v>
      </c>
      <c r="C945" s="1" t="s">
        <v>6300</v>
      </c>
      <c r="D945" s="2" t="s">
        <v>8770</v>
      </c>
      <c r="E945" s="2" t="s">
        <v>8771</v>
      </c>
      <c r="F945" s="5" t="s">
        <v>8772</v>
      </c>
      <c r="G945" s="5" t="s">
        <v>8773</v>
      </c>
    </row>
    <row r="946" spans="1:7" x14ac:dyDescent="0.35">
      <c r="A946" s="1" t="s">
        <v>2731</v>
      </c>
      <c r="B946" s="1" t="s">
        <v>2732</v>
      </c>
      <c r="C946" s="1" t="s">
        <v>6545</v>
      </c>
      <c r="D946" s="2" t="s">
        <v>8774</v>
      </c>
      <c r="E946" s="2" t="s">
        <v>8775</v>
      </c>
      <c r="F946" s="5" t="s">
        <v>8776</v>
      </c>
      <c r="G946" s="5" t="s">
        <v>8777</v>
      </c>
    </row>
    <row r="947" spans="1:7" x14ac:dyDescent="0.35">
      <c r="A947" s="1" t="s">
        <v>3145</v>
      </c>
      <c r="B947" s="1" t="s">
        <v>3146</v>
      </c>
      <c r="C947" s="1" t="s">
        <v>6563</v>
      </c>
      <c r="D947" s="2" t="s">
        <v>8778</v>
      </c>
      <c r="E947" s="2" t="s">
        <v>8779</v>
      </c>
      <c r="F947" s="5" t="s">
        <v>8780</v>
      </c>
      <c r="G947" s="5" t="s">
        <v>8781</v>
      </c>
    </row>
    <row r="948" spans="1:7" x14ac:dyDescent="0.35">
      <c r="A948" s="1" t="s">
        <v>3145</v>
      </c>
      <c r="B948" s="1" t="s">
        <v>3146</v>
      </c>
      <c r="C948" s="1" t="s">
        <v>6563</v>
      </c>
      <c r="D948" s="2" t="s">
        <v>8778</v>
      </c>
      <c r="E948" s="2" t="s">
        <v>8782</v>
      </c>
      <c r="F948" s="5" t="s">
        <v>8783</v>
      </c>
      <c r="G948" s="5" t="s">
        <v>8784</v>
      </c>
    </row>
    <row r="949" spans="1:7" x14ac:dyDescent="0.35">
      <c r="A949" s="1" t="s">
        <v>1811</v>
      </c>
      <c r="B949" s="1" t="s">
        <v>1812</v>
      </c>
      <c r="C949" s="1" t="s">
        <v>6466</v>
      </c>
      <c r="D949" s="2"/>
      <c r="E949" s="2"/>
      <c r="F949" s="5"/>
      <c r="G949" s="5"/>
    </row>
    <row r="950" spans="1:7" x14ac:dyDescent="0.35">
      <c r="A950" s="1" t="s">
        <v>1819</v>
      </c>
      <c r="B950" s="1" t="s">
        <v>1820</v>
      </c>
      <c r="C950" s="1" t="s">
        <v>6466</v>
      </c>
      <c r="D950" s="2"/>
      <c r="E950" s="2"/>
      <c r="F950" s="5"/>
      <c r="G950" s="5"/>
    </row>
    <row r="951" spans="1:7" x14ac:dyDescent="0.35">
      <c r="A951" s="1" t="s">
        <v>3571</v>
      </c>
      <c r="B951" s="1" t="s">
        <v>3572</v>
      </c>
      <c r="C951" s="1" t="s">
        <v>6593</v>
      </c>
      <c r="D951" s="2"/>
      <c r="E951" s="2"/>
      <c r="F951" s="5"/>
      <c r="G951" s="5"/>
    </row>
    <row r="952" spans="1:7" x14ac:dyDescent="0.35">
      <c r="A952" s="1" t="s">
        <v>3862</v>
      </c>
      <c r="B952" s="1" t="s">
        <v>3863</v>
      </c>
      <c r="C952" s="1" t="s">
        <v>6615</v>
      </c>
      <c r="D952" s="2"/>
      <c r="E952" s="2"/>
      <c r="F952" s="5"/>
      <c r="G952" s="5"/>
    </row>
    <row r="953" spans="1:7" x14ac:dyDescent="0.35">
      <c r="A953" s="1" t="s">
        <v>5805</v>
      </c>
      <c r="B953" s="1" t="s">
        <v>5806</v>
      </c>
      <c r="C953" s="1" t="s">
        <v>6724</v>
      </c>
      <c r="D953" s="2" t="s">
        <v>8785</v>
      </c>
      <c r="E953" s="2" t="s">
        <v>8786</v>
      </c>
      <c r="F953" s="5" t="s">
        <v>8788</v>
      </c>
      <c r="G953" s="5" t="s">
        <v>8787</v>
      </c>
    </row>
    <row r="954" spans="1:7" x14ac:dyDescent="0.35">
      <c r="A954" s="1" t="s">
        <v>1296</v>
      </c>
      <c r="B954" s="1" t="s">
        <v>1297</v>
      </c>
      <c r="C954" s="1" t="s">
        <v>6423</v>
      </c>
      <c r="D954" s="2" t="s">
        <v>8789</v>
      </c>
      <c r="E954" s="2" t="s">
        <v>8790</v>
      </c>
      <c r="F954" s="5" t="s">
        <v>13139</v>
      </c>
      <c r="G954" s="5" t="s">
        <v>8792</v>
      </c>
    </row>
    <row r="955" spans="1:7" x14ac:dyDescent="0.35">
      <c r="A955" s="1" t="s">
        <v>1296</v>
      </c>
      <c r="B955" s="1" t="s">
        <v>1297</v>
      </c>
      <c r="C955" s="1" t="s">
        <v>6423</v>
      </c>
      <c r="D955" s="2" t="s">
        <v>8789</v>
      </c>
      <c r="E955" s="2" t="s">
        <v>8791</v>
      </c>
      <c r="F955" s="5" t="s">
        <v>8794</v>
      </c>
      <c r="G955" s="5" t="s">
        <v>8793</v>
      </c>
    </row>
    <row r="956" spans="1:7" x14ac:dyDescent="0.35">
      <c r="A956" s="1" t="s">
        <v>6347</v>
      </c>
      <c r="B956" s="1" t="s">
        <v>963</v>
      </c>
      <c r="C956" s="1" t="s">
        <v>6393</v>
      </c>
      <c r="D956" s="2" t="s">
        <v>8795</v>
      </c>
      <c r="E956" s="2" t="s">
        <v>8796</v>
      </c>
      <c r="F956" s="5" t="s">
        <v>8798</v>
      </c>
      <c r="G956" s="5" t="s">
        <v>8797</v>
      </c>
    </row>
    <row r="957" spans="1:7" x14ac:dyDescent="0.35">
      <c r="A957" s="1" t="s">
        <v>6347</v>
      </c>
      <c r="B957" s="1" t="s">
        <v>963</v>
      </c>
      <c r="C957" s="1" t="s">
        <v>6393</v>
      </c>
      <c r="D957" s="2" t="s">
        <v>8795</v>
      </c>
      <c r="E957" s="2" t="s">
        <v>8799</v>
      </c>
      <c r="F957" s="5" t="s">
        <v>13140</v>
      </c>
      <c r="G957" s="5" t="s">
        <v>8800</v>
      </c>
    </row>
    <row r="958" spans="1:7" x14ac:dyDescent="0.35">
      <c r="A958" s="1" t="s">
        <v>6066</v>
      </c>
      <c r="B958" s="1" t="s">
        <v>6067</v>
      </c>
      <c r="C958" s="1" t="s">
        <v>6732</v>
      </c>
      <c r="D958" s="2" t="s">
        <v>8801</v>
      </c>
      <c r="E958" s="2" t="s">
        <v>8802</v>
      </c>
      <c r="F958" s="5" t="s">
        <v>13141</v>
      </c>
      <c r="G958" s="5" t="s">
        <v>8803</v>
      </c>
    </row>
    <row r="959" spans="1:7" x14ac:dyDescent="0.35">
      <c r="A959" s="1" t="s">
        <v>3795</v>
      </c>
      <c r="B959" s="1" t="s">
        <v>3796</v>
      </c>
      <c r="C959" s="1" t="s">
        <v>6611</v>
      </c>
      <c r="D959" s="2" t="s">
        <v>8804</v>
      </c>
      <c r="E959" s="2" t="s">
        <v>8805</v>
      </c>
      <c r="F959" s="5" t="s">
        <v>8806</v>
      </c>
      <c r="G959" s="5" t="s">
        <v>8814</v>
      </c>
    </row>
    <row r="960" spans="1:7" x14ac:dyDescent="0.35">
      <c r="A960" s="1" t="s">
        <v>3795</v>
      </c>
      <c r="B960" s="1" t="s">
        <v>3796</v>
      </c>
      <c r="C960" s="1" t="s">
        <v>6611</v>
      </c>
      <c r="D960" s="2" t="s">
        <v>8804</v>
      </c>
      <c r="E960" s="2" t="s">
        <v>8807</v>
      </c>
      <c r="F960" s="5" t="s">
        <v>13142</v>
      </c>
      <c r="G960" s="5" t="s">
        <v>8815</v>
      </c>
    </row>
    <row r="961" spans="1:7" x14ac:dyDescent="0.35">
      <c r="A961" s="1" t="s">
        <v>3795</v>
      </c>
      <c r="B961" s="1" t="s">
        <v>3796</v>
      </c>
      <c r="C961" s="1" t="s">
        <v>6611</v>
      </c>
      <c r="D961" s="2" t="s">
        <v>8804</v>
      </c>
      <c r="E961" s="2" t="s">
        <v>8808</v>
      </c>
      <c r="F961" s="5" t="s">
        <v>13143</v>
      </c>
      <c r="G961" s="5" t="s">
        <v>8816</v>
      </c>
    </row>
    <row r="962" spans="1:7" x14ac:dyDescent="0.35">
      <c r="A962" s="1" t="s">
        <v>3795</v>
      </c>
      <c r="B962" s="1" t="s">
        <v>3796</v>
      </c>
      <c r="C962" s="1" t="s">
        <v>6611</v>
      </c>
      <c r="D962" s="2" t="s">
        <v>8804</v>
      </c>
      <c r="E962" s="2" t="s">
        <v>8809</v>
      </c>
      <c r="F962" s="5" t="s">
        <v>8821</v>
      </c>
      <c r="G962" s="5" t="s">
        <v>8817</v>
      </c>
    </row>
    <row r="963" spans="1:7" x14ac:dyDescent="0.35">
      <c r="A963" s="1" t="s">
        <v>3795</v>
      </c>
      <c r="B963" s="1" t="s">
        <v>3796</v>
      </c>
      <c r="C963" s="1" t="s">
        <v>6611</v>
      </c>
      <c r="D963" s="2" t="s">
        <v>8804</v>
      </c>
      <c r="E963" s="2" t="s">
        <v>8810</v>
      </c>
      <c r="F963" s="5" t="s">
        <v>13144</v>
      </c>
      <c r="G963" s="5" t="s">
        <v>9076</v>
      </c>
    </row>
    <row r="964" spans="1:7" x14ac:dyDescent="0.35">
      <c r="A964" s="1" t="s">
        <v>3795</v>
      </c>
      <c r="B964" s="1" t="s">
        <v>3796</v>
      </c>
      <c r="C964" s="1" t="s">
        <v>6611</v>
      </c>
      <c r="D964" s="2" t="s">
        <v>8804</v>
      </c>
      <c r="E964" s="2" t="s">
        <v>8811</v>
      </c>
      <c r="F964" s="5" t="s">
        <v>8822</v>
      </c>
      <c r="G964" s="5" t="s">
        <v>8818</v>
      </c>
    </row>
    <row r="965" spans="1:7" x14ac:dyDescent="0.35">
      <c r="A965" s="1" t="s">
        <v>3795</v>
      </c>
      <c r="B965" s="1" t="s">
        <v>3796</v>
      </c>
      <c r="C965" s="1" t="s">
        <v>6611</v>
      </c>
      <c r="D965" s="2" t="s">
        <v>8804</v>
      </c>
      <c r="E965" s="2" t="s">
        <v>8812</v>
      </c>
      <c r="F965" s="5" t="s">
        <v>13145</v>
      </c>
      <c r="G965" s="5" t="s">
        <v>8819</v>
      </c>
    </row>
    <row r="966" spans="1:7" x14ac:dyDescent="0.35">
      <c r="A966" s="1" t="s">
        <v>3795</v>
      </c>
      <c r="B966" s="1" t="s">
        <v>3796</v>
      </c>
      <c r="C966" s="1" t="s">
        <v>6611</v>
      </c>
      <c r="D966" s="2" t="s">
        <v>8804</v>
      </c>
      <c r="E966" s="2" t="s">
        <v>8813</v>
      </c>
      <c r="F966" s="5" t="s">
        <v>8823</v>
      </c>
      <c r="G966" s="5" t="s">
        <v>8820</v>
      </c>
    </row>
    <row r="967" spans="1:7" x14ac:dyDescent="0.35">
      <c r="A967" s="1" t="s">
        <v>1487</v>
      </c>
      <c r="B967" s="1" t="s">
        <v>1488</v>
      </c>
      <c r="C967" s="1" t="s">
        <v>6442</v>
      </c>
      <c r="D967" s="2" t="s">
        <v>8824</v>
      </c>
      <c r="E967" s="2" t="s">
        <v>8825</v>
      </c>
      <c r="F967" s="5" t="s">
        <v>8826</v>
      </c>
      <c r="G967" s="5" t="s">
        <v>8827</v>
      </c>
    </row>
    <row r="968" spans="1:7" x14ac:dyDescent="0.35">
      <c r="A968" s="1" t="s">
        <v>630</v>
      </c>
      <c r="B968" s="1" t="s">
        <v>631</v>
      </c>
      <c r="C968" s="1" t="s">
        <v>6316</v>
      </c>
      <c r="D968" s="2" t="s">
        <v>8828</v>
      </c>
      <c r="E968" s="2" t="s">
        <v>8829</v>
      </c>
      <c r="F968" s="5" t="s">
        <v>13146</v>
      </c>
      <c r="G968" s="5" t="s">
        <v>8830</v>
      </c>
    </row>
    <row r="969" spans="1:7" x14ac:dyDescent="0.35">
      <c r="A969" s="1" t="s">
        <v>344</v>
      </c>
      <c r="B969" s="1" t="s">
        <v>345</v>
      </c>
      <c r="C969" s="1" t="s">
        <v>6295</v>
      </c>
      <c r="D969" s="2" t="s">
        <v>8831</v>
      </c>
      <c r="E969" s="2" t="s">
        <v>8832</v>
      </c>
      <c r="F969" s="5" t="s">
        <v>8833</v>
      </c>
      <c r="G969" s="5" t="s">
        <v>8834</v>
      </c>
    </row>
    <row r="970" spans="1:7" x14ac:dyDescent="0.35">
      <c r="A970" s="1" t="s">
        <v>5648</v>
      </c>
      <c r="B970" s="1" t="s">
        <v>5649</v>
      </c>
      <c r="C970" s="1" t="s">
        <v>6715</v>
      </c>
      <c r="D970" s="2" t="s">
        <v>8835</v>
      </c>
      <c r="E970" s="2" t="s">
        <v>8836</v>
      </c>
      <c r="F970" s="5" t="s">
        <v>8838</v>
      </c>
      <c r="G970" s="5" t="s">
        <v>8837</v>
      </c>
    </row>
    <row r="971" spans="1:7" x14ac:dyDescent="0.35">
      <c r="A971" s="1" t="s">
        <v>207</v>
      </c>
      <c r="B971" s="1" t="s">
        <v>208</v>
      </c>
      <c r="C971" s="1" t="s">
        <v>6285</v>
      </c>
      <c r="D971" s="2" t="s">
        <v>8839</v>
      </c>
      <c r="E971" s="2" t="s">
        <v>8840</v>
      </c>
      <c r="F971" s="5" t="s">
        <v>8842</v>
      </c>
      <c r="G971" s="5" t="s">
        <v>8841</v>
      </c>
    </row>
    <row r="972" spans="1:7" x14ac:dyDescent="0.35">
      <c r="A972" s="1" t="s">
        <v>6245</v>
      </c>
      <c r="B972" s="1" t="s">
        <v>6246</v>
      </c>
      <c r="C972" s="1" t="s">
        <v>6740</v>
      </c>
      <c r="D972" s="2" t="s">
        <v>8843</v>
      </c>
      <c r="E972" s="2" t="s">
        <v>8844</v>
      </c>
      <c r="F972" s="5" t="s">
        <v>8846</v>
      </c>
      <c r="G972" s="5" t="s">
        <v>8845</v>
      </c>
    </row>
    <row r="973" spans="1:7" x14ac:dyDescent="0.35">
      <c r="A973" s="1" t="s">
        <v>3894</v>
      </c>
      <c r="B973" s="1" t="s">
        <v>3895</v>
      </c>
      <c r="C973" s="1" t="s">
        <v>6618</v>
      </c>
      <c r="D973" s="2" t="s">
        <v>8847</v>
      </c>
      <c r="E973" s="2" t="s">
        <v>8848</v>
      </c>
      <c r="F973" s="5" t="s">
        <v>8849</v>
      </c>
      <c r="G973" s="5" t="s">
        <v>8850</v>
      </c>
    </row>
    <row r="974" spans="1:7" x14ac:dyDescent="0.35">
      <c r="A974" s="1" t="s">
        <v>6072</v>
      </c>
      <c r="B974" s="1" t="s">
        <v>6073</v>
      </c>
      <c r="C974" s="1" t="s">
        <v>6733</v>
      </c>
      <c r="D974" s="2" t="s">
        <v>8851</v>
      </c>
      <c r="E974" s="2" t="s">
        <v>8852</v>
      </c>
      <c r="F974" s="5" t="s">
        <v>8853</v>
      </c>
      <c r="G974" s="5" t="s">
        <v>8854</v>
      </c>
    </row>
    <row r="975" spans="1:7" x14ac:dyDescent="0.35">
      <c r="A975" s="1" t="s">
        <v>3694</v>
      </c>
      <c r="B975" s="1" t="s">
        <v>3695</v>
      </c>
      <c r="C975" s="1" t="s">
        <v>6597</v>
      </c>
      <c r="D975" s="2" t="s">
        <v>8855</v>
      </c>
      <c r="E975" s="2" t="s">
        <v>8856</v>
      </c>
      <c r="F975" s="5" t="s">
        <v>8857</v>
      </c>
      <c r="G975" s="5" t="s">
        <v>8858</v>
      </c>
    </row>
    <row r="976" spans="1:7" x14ac:dyDescent="0.35">
      <c r="A976" s="1" t="s">
        <v>1754</v>
      </c>
      <c r="B976" s="1" t="s">
        <v>1755</v>
      </c>
      <c r="C976" s="1" t="s">
        <v>6460</v>
      </c>
      <c r="D976" s="2" t="s">
        <v>8859</v>
      </c>
      <c r="E976" s="2" t="s">
        <v>8860</v>
      </c>
      <c r="F976" s="5" t="s">
        <v>8862</v>
      </c>
      <c r="G976" s="5" t="s">
        <v>8861</v>
      </c>
    </row>
    <row r="977" spans="1:7" x14ac:dyDescent="0.35">
      <c r="A977" s="1" t="s">
        <v>680</v>
      </c>
      <c r="B977" s="1" t="s">
        <v>681</v>
      </c>
      <c r="C977" s="1" t="s">
        <v>6321</v>
      </c>
      <c r="D977" s="2" t="s">
        <v>8863</v>
      </c>
      <c r="E977" s="2" t="s">
        <v>8864</v>
      </c>
      <c r="F977" s="5" t="s">
        <v>8866</v>
      </c>
      <c r="G977" s="5" t="s">
        <v>8865</v>
      </c>
    </row>
    <row r="978" spans="1:7" x14ac:dyDescent="0.35">
      <c r="A978" s="1" t="s">
        <v>2372</v>
      </c>
      <c r="B978" s="1" t="s">
        <v>2373</v>
      </c>
      <c r="C978" s="1" t="s">
        <v>6503</v>
      </c>
      <c r="D978" s="2" t="s">
        <v>8867</v>
      </c>
      <c r="E978" s="2" t="s">
        <v>8868</v>
      </c>
      <c r="F978" s="5" t="s">
        <v>8870</v>
      </c>
      <c r="G978" s="5" t="s">
        <v>8869</v>
      </c>
    </row>
    <row r="979" spans="1:7" x14ac:dyDescent="0.35">
      <c r="A979" s="1" t="s">
        <v>2228</v>
      </c>
      <c r="B979" s="1" t="s">
        <v>2229</v>
      </c>
      <c r="C979" s="1" t="s">
        <v>6494</v>
      </c>
      <c r="D979" s="2" t="s">
        <v>8871</v>
      </c>
      <c r="E979" s="2" t="s">
        <v>8872</v>
      </c>
      <c r="F979" s="5" t="s">
        <v>13147</v>
      </c>
      <c r="G979" s="5" t="s">
        <v>8873</v>
      </c>
    </row>
    <row r="980" spans="1:7" x14ac:dyDescent="0.35">
      <c r="A980" s="1" t="s">
        <v>1333</v>
      </c>
      <c r="B980" s="1" t="s">
        <v>1334</v>
      </c>
      <c r="C980" s="1" t="s">
        <v>6426</v>
      </c>
      <c r="D980" s="2" t="s">
        <v>8874</v>
      </c>
      <c r="E980" s="2" t="s">
        <v>8875</v>
      </c>
      <c r="F980" s="5" t="s">
        <v>8877</v>
      </c>
      <c r="G980" s="5" t="s">
        <v>8876</v>
      </c>
    </row>
    <row r="981" spans="1:7" x14ac:dyDescent="0.35">
      <c r="A981" s="1" t="s">
        <v>1388</v>
      </c>
      <c r="B981" s="1" t="s">
        <v>1389</v>
      </c>
      <c r="C981" s="1" t="s">
        <v>6434</v>
      </c>
      <c r="D981" s="2" t="s">
        <v>8878</v>
      </c>
      <c r="E981" s="2" t="s">
        <v>8879</v>
      </c>
      <c r="F981" s="5" t="s">
        <v>8881</v>
      </c>
      <c r="G981" s="5" t="s">
        <v>8880</v>
      </c>
    </row>
    <row r="982" spans="1:7" x14ac:dyDescent="0.35">
      <c r="A982" s="1" t="s">
        <v>1096</v>
      </c>
      <c r="B982" s="1" t="s">
        <v>1097</v>
      </c>
      <c r="C982" s="1" t="s">
        <v>6403</v>
      </c>
      <c r="D982" s="2" t="s">
        <v>8884</v>
      </c>
      <c r="E982" s="2" t="s">
        <v>8882</v>
      </c>
      <c r="F982" s="5" t="s">
        <v>13148</v>
      </c>
      <c r="G982" s="5" t="s">
        <v>8899</v>
      </c>
    </row>
    <row r="983" spans="1:7" x14ac:dyDescent="0.35">
      <c r="A983" s="1" t="s">
        <v>5523</v>
      </c>
      <c r="B983" s="1" t="s">
        <v>5524</v>
      </c>
      <c r="C983" s="1" t="s">
        <v>6707</v>
      </c>
      <c r="D983" s="2" t="s">
        <v>8883</v>
      </c>
      <c r="E983" s="2" t="s">
        <v>8885</v>
      </c>
      <c r="F983" s="5" t="s">
        <v>8908</v>
      </c>
      <c r="G983" s="5" t="s">
        <v>8900</v>
      </c>
    </row>
    <row r="984" spans="1:7" x14ac:dyDescent="0.35">
      <c r="A984" s="1" t="s">
        <v>724</v>
      </c>
      <c r="B984" s="1" t="s">
        <v>725</v>
      </c>
      <c r="C984" s="1" t="s">
        <v>6324</v>
      </c>
      <c r="D984" s="2" t="s">
        <v>8886</v>
      </c>
      <c r="E984" s="2" t="s">
        <v>8887</v>
      </c>
      <c r="F984" s="5" t="s">
        <v>13149</v>
      </c>
      <c r="G984" s="5" t="s">
        <v>8901</v>
      </c>
    </row>
    <row r="985" spans="1:7" x14ac:dyDescent="0.35">
      <c r="A985" s="1" t="s">
        <v>4903</v>
      </c>
      <c r="B985" s="1" t="s">
        <v>4904</v>
      </c>
      <c r="C985" s="1" t="s">
        <v>6673</v>
      </c>
      <c r="D985" s="2" t="s">
        <v>8888</v>
      </c>
      <c r="E985" s="2" t="s">
        <v>8889</v>
      </c>
      <c r="F985" s="5" t="s">
        <v>8909</v>
      </c>
      <c r="G985" s="5" t="s">
        <v>8902</v>
      </c>
    </row>
    <row r="986" spans="1:7" x14ac:dyDescent="0.35">
      <c r="A986" s="1" t="s">
        <v>4903</v>
      </c>
      <c r="B986" s="1" t="s">
        <v>4904</v>
      </c>
      <c r="C986" s="1" t="s">
        <v>6673</v>
      </c>
      <c r="D986" s="2" t="s">
        <v>8888</v>
      </c>
      <c r="E986" s="2" t="s">
        <v>8890</v>
      </c>
      <c r="F986" s="5" t="s">
        <v>8910</v>
      </c>
      <c r="G986" s="5" t="s">
        <v>8903</v>
      </c>
    </row>
    <row r="987" spans="1:7" x14ac:dyDescent="0.35">
      <c r="A987" s="1" t="s">
        <v>2453</v>
      </c>
      <c r="B987" s="1" t="s">
        <v>2454</v>
      </c>
      <c r="C987" s="1" t="s">
        <v>6513</v>
      </c>
      <c r="D987" s="2" t="s">
        <v>8891</v>
      </c>
      <c r="E987" s="2" t="s">
        <v>8892</v>
      </c>
      <c r="F987" s="5" t="s">
        <v>8911</v>
      </c>
      <c r="G987" s="5" t="s">
        <v>8904</v>
      </c>
    </row>
    <row r="988" spans="1:7" x14ac:dyDescent="0.35">
      <c r="A988" s="1" t="s">
        <v>1178</v>
      </c>
      <c r="B988" s="1" t="s">
        <v>1179</v>
      </c>
      <c r="C988" s="1" t="s">
        <v>6416</v>
      </c>
      <c r="D988" s="2" t="s">
        <v>8893</v>
      </c>
      <c r="E988" s="2" t="s">
        <v>8894</v>
      </c>
      <c r="F988" s="1" t="s">
        <v>9046</v>
      </c>
      <c r="G988" s="1" t="s">
        <v>9077</v>
      </c>
    </row>
    <row r="989" spans="1:7" x14ac:dyDescent="0.35">
      <c r="A989" s="1" t="s">
        <v>1178</v>
      </c>
      <c r="B989" s="1" t="s">
        <v>1179</v>
      </c>
      <c r="C989" s="1" t="s">
        <v>6416</v>
      </c>
      <c r="D989" s="2" t="s">
        <v>8893</v>
      </c>
      <c r="E989" s="2" t="s">
        <v>8895</v>
      </c>
      <c r="F989" s="1" t="s">
        <v>8912</v>
      </c>
      <c r="G989" s="1" t="s">
        <v>8905</v>
      </c>
    </row>
    <row r="990" spans="1:7" x14ac:dyDescent="0.35">
      <c r="A990" s="1" t="s">
        <v>1178</v>
      </c>
      <c r="B990" s="1" t="s">
        <v>1179</v>
      </c>
      <c r="C990" s="1" t="s">
        <v>6416</v>
      </c>
      <c r="D990" s="2" t="s">
        <v>8893</v>
      </c>
      <c r="E990" s="2" t="s">
        <v>8896</v>
      </c>
      <c r="F990" s="1" t="s">
        <v>8913</v>
      </c>
      <c r="G990" s="1" t="s">
        <v>8906</v>
      </c>
    </row>
    <row r="991" spans="1:7" x14ac:dyDescent="0.35">
      <c r="A991" s="1" t="s">
        <v>1178</v>
      </c>
      <c r="B991" s="1" t="s">
        <v>1179</v>
      </c>
      <c r="C991" s="1" t="s">
        <v>6416</v>
      </c>
      <c r="D991" s="2" t="s">
        <v>8893</v>
      </c>
      <c r="E991" s="2" t="s">
        <v>8897</v>
      </c>
      <c r="F991" s="1" t="s">
        <v>8914</v>
      </c>
      <c r="G991" s="1" t="s">
        <v>8907</v>
      </c>
    </row>
    <row r="992" spans="1:7" x14ac:dyDescent="0.35">
      <c r="A992" s="1" t="s">
        <v>1178</v>
      </c>
      <c r="B992" s="1" t="s">
        <v>1179</v>
      </c>
      <c r="C992" s="1" t="s">
        <v>6416</v>
      </c>
      <c r="D992" s="2" t="s">
        <v>8893</v>
      </c>
      <c r="E992" s="2" t="s">
        <v>8898</v>
      </c>
      <c r="F992" s="1" t="s">
        <v>9047</v>
      </c>
      <c r="G992" s="1" t="s">
        <v>9078</v>
      </c>
    </row>
    <row r="993" spans="1:7" x14ac:dyDescent="0.35">
      <c r="A993" s="1" t="s">
        <v>4430</v>
      </c>
      <c r="B993" s="1" t="s">
        <v>4431</v>
      </c>
      <c r="C993" s="1" t="s">
        <v>6644</v>
      </c>
      <c r="D993" s="2" t="s">
        <v>8915</v>
      </c>
      <c r="E993" s="2" t="s">
        <v>8916</v>
      </c>
      <c r="F993" s="1" t="s">
        <v>9012</v>
      </c>
      <c r="G993" s="1" t="s">
        <v>8985</v>
      </c>
    </row>
    <row r="994" spans="1:7" x14ac:dyDescent="0.35">
      <c r="A994" s="1" t="s">
        <v>4430</v>
      </c>
      <c r="B994" s="1" t="s">
        <v>4431</v>
      </c>
      <c r="C994" s="1" t="s">
        <v>6644</v>
      </c>
      <c r="D994" s="2" t="s">
        <v>8915</v>
      </c>
      <c r="E994" s="2" t="s">
        <v>8917</v>
      </c>
      <c r="F994" s="1" t="s">
        <v>8966</v>
      </c>
      <c r="G994" s="1" t="s">
        <v>8986</v>
      </c>
    </row>
    <row r="995" spans="1:7" x14ac:dyDescent="0.35">
      <c r="A995" s="1" t="s">
        <v>4921</v>
      </c>
      <c r="B995" s="1" t="s">
        <v>4922</v>
      </c>
      <c r="C995" s="1" t="s">
        <v>6674</v>
      </c>
      <c r="D995" s="2" t="s">
        <v>8918</v>
      </c>
      <c r="E995" s="2" t="s">
        <v>8919</v>
      </c>
      <c r="F995" s="1" t="s">
        <v>9048</v>
      </c>
      <c r="G995" s="1" t="s">
        <v>8987</v>
      </c>
    </row>
    <row r="996" spans="1:7" x14ac:dyDescent="0.35">
      <c r="A996" s="1" t="s">
        <v>3757</v>
      </c>
      <c r="B996" s="1" t="s">
        <v>3758</v>
      </c>
      <c r="C996" s="1" t="s">
        <v>6605</v>
      </c>
      <c r="D996" s="2" t="s">
        <v>8920</v>
      </c>
      <c r="E996" s="2" t="s">
        <v>8921</v>
      </c>
      <c r="F996" s="5" t="s">
        <v>8967</v>
      </c>
      <c r="G996" s="5" t="s">
        <v>8988</v>
      </c>
    </row>
    <row r="997" spans="1:7" x14ac:dyDescent="0.35">
      <c r="A997" s="1" t="s">
        <v>146</v>
      </c>
      <c r="B997" s="1" t="s">
        <v>147</v>
      </c>
      <c r="C997" s="1" t="s">
        <v>6275</v>
      </c>
      <c r="D997" s="2" t="s">
        <v>8922</v>
      </c>
      <c r="E997" s="2" t="s">
        <v>8923</v>
      </c>
      <c r="F997" s="5" t="s">
        <v>8968</v>
      </c>
      <c r="G997" s="5" t="s">
        <v>8989</v>
      </c>
    </row>
    <row r="998" spans="1:7" x14ac:dyDescent="0.35">
      <c r="A998" s="1" t="s">
        <v>6370</v>
      </c>
      <c r="B998" s="1" t="s">
        <v>1014</v>
      </c>
      <c r="C998" s="1" t="s">
        <v>6395</v>
      </c>
      <c r="D998" s="2" t="s">
        <v>8924</v>
      </c>
      <c r="E998" s="2" t="s">
        <v>8925</v>
      </c>
      <c r="F998" s="5" t="s">
        <v>8969</v>
      </c>
      <c r="G998" s="5" t="s">
        <v>8990</v>
      </c>
    </row>
    <row r="999" spans="1:7" x14ac:dyDescent="0.35">
      <c r="A999" s="1" t="s">
        <v>762</v>
      </c>
      <c r="B999" s="1" t="s">
        <v>763</v>
      </c>
      <c r="C999" s="1" t="s">
        <v>6329</v>
      </c>
      <c r="D999" s="2" t="s">
        <v>8926</v>
      </c>
      <c r="E999" s="2" t="s">
        <v>8927</v>
      </c>
      <c r="F999" s="5" t="s">
        <v>8970</v>
      </c>
      <c r="G999" s="5" t="s">
        <v>8991</v>
      </c>
    </row>
    <row r="1000" spans="1:7" x14ac:dyDescent="0.35">
      <c r="A1000" s="1" t="s">
        <v>2354</v>
      </c>
      <c r="B1000" s="1" t="s">
        <v>2355</v>
      </c>
      <c r="C1000" s="1" t="s">
        <v>6501</v>
      </c>
      <c r="D1000" s="2" t="s">
        <v>8928</v>
      </c>
      <c r="E1000" s="2" t="s">
        <v>8929</v>
      </c>
      <c r="F1000" s="5" t="s">
        <v>13150</v>
      </c>
      <c r="G1000" s="5" t="s">
        <v>8992</v>
      </c>
    </row>
    <row r="1001" spans="1:7" x14ac:dyDescent="0.35">
      <c r="A1001" s="1" t="s">
        <v>158</v>
      </c>
      <c r="B1001" s="1" t="s">
        <v>159</v>
      </c>
      <c r="C1001" s="1" t="s">
        <v>6278</v>
      </c>
      <c r="D1001" s="2" t="s">
        <v>8930</v>
      </c>
      <c r="E1001" s="2" t="s">
        <v>8931</v>
      </c>
      <c r="F1001" s="5" t="s">
        <v>8971</v>
      </c>
      <c r="G1001" s="5" t="s">
        <v>8993</v>
      </c>
    </row>
    <row r="1002" spans="1:7" x14ac:dyDescent="0.35">
      <c r="A1002" s="1" t="s">
        <v>5702</v>
      </c>
      <c r="B1002" s="1" t="s">
        <v>5703</v>
      </c>
      <c r="C1002" s="1" t="s">
        <v>6719</v>
      </c>
      <c r="D1002" s="2" t="s">
        <v>8932</v>
      </c>
      <c r="E1002" s="2" t="s">
        <v>8933</v>
      </c>
      <c r="F1002" s="5" t="s">
        <v>8972</v>
      </c>
      <c r="G1002" s="5" t="s">
        <v>8994</v>
      </c>
    </row>
    <row r="1003" spans="1:7" x14ac:dyDescent="0.35">
      <c r="A1003" s="1" t="s">
        <v>60</v>
      </c>
      <c r="B1003" s="1" t="s">
        <v>61</v>
      </c>
      <c r="C1003" s="1" t="s">
        <v>6270</v>
      </c>
      <c r="D1003" s="2"/>
      <c r="E1003" s="2"/>
      <c r="F1003" s="5"/>
      <c r="G1003" s="5"/>
    </row>
    <row r="1004" spans="1:7" x14ac:dyDescent="0.35">
      <c r="A1004" s="1" t="s">
        <v>187</v>
      </c>
      <c r="B1004" s="1" t="s">
        <v>188</v>
      </c>
      <c r="C1004" s="1" t="s">
        <v>6282</v>
      </c>
      <c r="D1004" s="2" t="s">
        <v>8934</v>
      </c>
      <c r="E1004" s="2" t="s">
        <v>8935</v>
      </c>
      <c r="F1004" s="5" t="s">
        <v>8973</v>
      </c>
      <c r="G1004" s="5" t="s">
        <v>8995</v>
      </c>
    </row>
    <row r="1005" spans="1:7" x14ac:dyDescent="0.35">
      <c r="A1005" s="1" t="s">
        <v>2901</v>
      </c>
      <c r="B1005" s="1" t="s">
        <v>2902</v>
      </c>
      <c r="C1005" s="1" t="s">
        <v>6546</v>
      </c>
      <c r="D1005" s="2" t="s">
        <v>8936</v>
      </c>
      <c r="E1005" s="2" t="s">
        <v>8937</v>
      </c>
      <c r="F1005" s="5" t="s">
        <v>13151</v>
      </c>
      <c r="G1005" s="5" t="s">
        <v>8996</v>
      </c>
    </row>
    <row r="1006" spans="1:7" x14ac:dyDescent="0.35">
      <c r="A1006" s="1" t="s">
        <v>2901</v>
      </c>
      <c r="B1006" s="1" t="s">
        <v>2902</v>
      </c>
      <c r="C1006" s="1" t="s">
        <v>6546</v>
      </c>
      <c r="D1006" s="2" t="s">
        <v>8936</v>
      </c>
      <c r="E1006" s="2" t="s">
        <v>8938</v>
      </c>
      <c r="F1006" s="5" t="s">
        <v>8974</v>
      </c>
      <c r="G1006" s="5" t="s">
        <v>8997</v>
      </c>
    </row>
    <row r="1007" spans="1:7" x14ac:dyDescent="0.35">
      <c r="A1007" s="1" t="s">
        <v>2901</v>
      </c>
      <c r="B1007" s="1" t="s">
        <v>2902</v>
      </c>
      <c r="C1007" s="1" t="s">
        <v>6546</v>
      </c>
      <c r="D1007" s="2" t="s">
        <v>8936</v>
      </c>
      <c r="E1007" s="2" t="s">
        <v>8939</v>
      </c>
      <c r="F1007" s="5" t="s">
        <v>13152</v>
      </c>
      <c r="G1007" s="5" t="s">
        <v>8998</v>
      </c>
    </row>
    <row r="1008" spans="1:7" x14ac:dyDescent="0.35">
      <c r="A1008" s="1" t="s">
        <v>480</v>
      </c>
      <c r="B1008" s="1" t="s">
        <v>481</v>
      </c>
      <c r="C1008" s="1" t="s">
        <v>6303</v>
      </c>
      <c r="D1008" s="2" t="s">
        <v>8940</v>
      </c>
      <c r="E1008" s="2" t="s">
        <v>8941</v>
      </c>
      <c r="F1008" s="5" t="s">
        <v>8975</v>
      </c>
      <c r="G1008" s="5" t="s">
        <v>8999</v>
      </c>
    </row>
    <row r="1009" spans="1:7" x14ac:dyDescent="0.35">
      <c r="A1009" s="1" t="s">
        <v>480</v>
      </c>
      <c r="B1009" s="1" t="s">
        <v>481</v>
      </c>
      <c r="C1009" s="1" t="s">
        <v>6303</v>
      </c>
      <c r="D1009" s="2" t="s">
        <v>8940</v>
      </c>
      <c r="E1009" s="2" t="s">
        <v>8942</v>
      </c>
      <c r="F1009" s="5" t="s">
        <v>13153</v>
      </c>
      <c r="G1009" s="5" t="s">
        <v>9000</v>
      </c>
    </row>
    <row r="1010" spans="1:7" x14ac:dyDescent="0.35">
      <c r="A1010" s="1" t="s">
        <v>480</v>
      </c>
      <c r="B1010" s="1" t="s">
        <v>481</v>
      </c>
      <c r="C1010" s="1" t="s">
        <v>6303</v>
      </c>
      <c r="D1010" s="2" t="s">
        <v>8940</v>
      </c>
      <c r="E1010" s="2" t="s">
        <v>8943</v>
      </c>
      <c r="F1010" s="5" t="s">
        <v>8976</v>
      </c>
      <c r="G1010" s="5" t="s">
        <v>9001</v>
      </c>
    </row>
    <row r="1011" spans="1:7" x14ac:dyDescent="0.35">
      <c r="A1011" s="1" t="s">
        <v>720</v>
      </c>
      <c r="B1011" s="1" t="s">
        <v>721</v>
      </c>
      <c r="C1011" s="1" t="s">
        <v>6323</v>
      </c>
      <c r="D1011" s="2" t="s">
        <v>8944</v>
      </c>
      <c r="E1011" s="2" t="s">
        <v>8945</v>
      </c>
      <c r="F1011" s="5" t="s">
        <v>8977</v>
      </c>
      <c r="G1011" s="5" t="s">
        <v>9079</v>
      </c>
    </row>
    <row r="1012" spans="1:7" x14ac:dyDescent="0.35">
      <c r="A1012" s="1" t="s">
        <v>3753</v>
      </c>
      <c r="B1012" s="1" t="s">
        <v>3754</v>
      </c>
      <c r="C1012" s="1" t="s">
        <v>6604</v>
      </c>
      <c r="D1012" s="2" t="s">
        <v>8946</v>
      </c>
      <c r="E1012" s="2" t="s">
        <v>8947</v>
      </c>
      <c r="F1012" s="5" t="s">
        <v>8978</v>
      </c>
      <c r="G1012" s="5" t="s">
        <v>9002</v>
      </c>
    </row>
    <row r="1013" spans="1:7" x14ac:dyDescent="0.35">
      <c r="A1013" s="1" t="s">
        <v>6004</v>
      </c>
      <c r="B1013" s="1" t="s">
        <v>6005</v>
      </c>
      <c r="C1013" s="1" t="s">
        <v>6731</v>
      </c>
      <c r="D1013" s="2" t="s">
        <v>8948</v>
      </c>
      <c r="E1013" s="2" t="s">
        <v>8949</v>
      </c>
      <c r="F1013" s="5" t="s">
        <v>8979</v>
      </c>
      <c r="G1013" s="5" t="s">
        <v>9003</v>
      </c>
    </row>
    <row r="1014" spans="1:7" x14ac:dyDescent="0.35">
      <c r="A1014" s="1" t="s">
        <v>5634</v>
      </c>
      <c r="B1014" s="1" t="s">
        <v>5635</v>
      </c>
      <c r="C1014" s="1" t="s">
        <v>6714</v>
      </c>
      <c r="D1014" s="2" t="s">
        <v>8950</v>
      </c>
      <c r="E1014" s="2" t="s">
        <v>8951</v>
      </c>
      <c r="F1014" s="5" t="s">
        <v>8980</v>
      </c>
      <c r="G1014" s="5" t="s">
        <v>9004</v>
      </c>
    </row>
    <row r="1015" spans="1:7" x14ac:dyDescent="0.35">
      <c r="A1015" s="1" t="s">
        <v>2450</v>
      </c>
      <c r="B1015" s="1" t="s">
        <v>2451</v>
      </c>
      <c r="C1015" s="1" t="s">
        <v>6512</v>
      </c>
      <c r="D1015" s="2"/>
      <c r="E1015" s="2"/>
      <c r="F1015" s="5"/>
      <c r="G1015" s="5"/>
    </row>
    <row r="1016" spans="1:7" x14ac:dyDescent="0.35">
      <c r="A1016" s="1" t="s">
        <v>5083</v>
      </c>
      <c r="B1016" s="1" t="s">
        <v>5084</v>
      </c>
      <c r="C1016" s="1" t="s">
        <v>6512</v>
      </c>
      <c r="D1016" s="2"/>
      <c r="E1016" s="2"/>
      <c r="F1016" s="5"/>
      <c r="G1016" s="5"/>
    </row>
    <row r="1017" spans="1:7" x14ac:dyDescent="0.35">
      <c r="A1017" s="1" t="s">
        <v>5087</v>
      </c>
      <c r="B1017" s="1" t="s">
        <v>5088</v>
      </c>
      <c r="C1017" s="1" t="s">
        <v>6512</v>
      </c>
      <c r="D1017" s="2"/>
      <c r="E1017" s="2"/>
      <c r="F1017" s="5"/>
      <c r="G1017" s="5"/>
    </row>
    <row r="1018" spans="1:7" x14ac:dyDescent="0.35">
      <c r="A1018" s="1" t="s">
        <v>5091</v>
      </c>
      <c r="B1018" s="1" t="s">
        <v>5092</v>
      </c>
      <c r="C1018" s="1" t="s">
        <v>6512</v>
      </c>
      <c r="D1018" s="2"/>
      <c r="E1018" s="2"/>
      <c r="F1018" s="5"/>
      <c r="G1018" s="5"/>
    </row>
    <row r="1019" spans="1:7" x14ac:dyDescent="0.35">
      <c r="A1019" s="1" t="s">
        <v>3091</v>
      </c>
      <c r="B1019" s="1" t="s">
        <v>3092</v>
      </c>
      <c r="C1019" s="1" t="s">
        <v>6558</v>
      </c>
      <c r="D1019" s="2" t="s">
        <v>8952</v>
      </c>
      <c r="E1019" s="2" t="s">
        <v>8941</v>
      </c>
      <c r="F1019" s="1" t="s">
        <v>8975</v>
      </c>
      <c r="G1019" s="1" t="s">
        <v>8999</v>
      </c>
    </row>
    <row r="1020" spans="1:7" x14ac:dyDescent="0.35">
      <c r="A1020" s="1" t="s">
        <v>3091</v>
      </c>
      <c r="B1020" s="1" t="s">
        <v>3092</v>
      </c>
      <c r="C1020" s="1" t="s">
        <v>6558</v>
      </c>
      <c r="D1020" s="2" t="s">
        <v>8952</v>
      </c>
      <c r="E1020" s="2" t="s">
        <v>8953</v>
      </c>
      <c r="F1020" s="1" t="s">
        <v>8981</v>
      </c>
      <c r="G1020" s="1" t="s">
        <v>9005</v>
      </c>
    </row>
    <row r="1021" spans="1:7" x14ac:dyDescent="0.35">
      <c r="A1021" s="1" t="s">
        <v>3091</v>
      </c>
      <c r="B1021" s="1" t="s">
        <v>3092</v>
      </c>
      <c r="C1021" s="1" t="s">
        <v>6558</v>
      </c>
      <c r="D1021" s="2" t="s">
        <v>8952</v>
      </c>
      <c r="E1021" s="2" t="s">
        <v>8954</v>
      </c>
      <c r="F1021" s="1" t="s">
        <v>9013</v>
      </c>
      <c r="G1021" s="1" t="s">
        <v>9014</v>
      </c>
    </row>
    <row r="1022" spans="1:7" x14ac:dyDescent="0.35">
      <c r="A1022" s="1" t="s">
        <v>3091</v>
      </c>
      <c r="B1022" s="1" t="s">
        <v>3092</v>
      </c>
      <c r="C1022" s="1" t="s">
        <v>6558</v>
      </c>
      <c r="D1022" s="2" t="s">
        <v>8952</v>
      </c>
      <c r="E1022" s="2" t="s">
        <v>8955</v>
      </c>
      <c r="F1022" s="1" t="s">
        <v>9015</v>
      </c>
      <c r="G1022" s="1" t="s">
        <v>9006</v>
      </c>
    </row>
    <row r="1023" spans="1:7" x14ac:dyDescent="0.35">
      <c r="A1023" s="1" t="s">
        <v>150</v>
      </c>
      <c r="B1023" s="1" t="s">
        <v>151</v>
      </c>
      <c r="C1023" s="1" t="s">
        <v>6276</v>
      </c>
      <c r="D1023" s="2" t="s">
        <v>8956</v>
      </c>
      <c r="E1023" s="2" t="s">
        <v>8957</v>
      </c>
      <c r="F1023" s="1" t="s">
        <v>8982</v>
      </c>
      <c r="G1023" s="1" t="s">
        <v>9007</v>
      </c>
    </row>
    <row r="1024" spans="1:7" x14ac:dyDescent="0.35">
      <c r="A1024" s="1" t="s">
        <v>1543</v>
      </c>
      <c r="B1024" s="1" t="s">
        <v>1544</v>
      </c>
      <c r="C1024" s="1" t="s">
        <v>6445</v>
      </c>
      <c r="D1024" s="2" t="s">
        <v>8958</v>
      </c>
      <c r="E1024" s="2" t="s">
        <v>8941</v>
      </c>
      <c r="F1024" s="1" t="s">
        <v>8975</v>
      </c>
      <c r="G1024" s="1" t="s">
        <v>8999</v>
      </c>
    </row>
    <row r="1025" spans="1:7" x14ac:dyDescent="0.35">
      <c r="A1025" s="1" t="s">
        <v>1543</v>
      </c>
      <c r="B1025" s="1" t="s">
        <v>1544</v>
      </c>
      <c r="C1025" s="1" t="s">
        <v>6445</v>
      </c>
      <c r="D1025" s="2" t="s">
        <v>8958</v>
      </c>
      <c r="E1025" s="2" t="s">
        <v>8959</v>
      </c>
      <c r="F1025" s="1" t="s">
        <v>9049</v>
      </c>
      <c r="G1025" s="1" t="s">
        <v>9080</v>
      </c>
    </row>
    <row r="1026" spans="1:7" x14ac:dyDescent="0.35">
      <c r="A1026" s="1" t="s">
        <v>1543</v>
      </c>
      <c r="B1026" s="1" t="s">
        <v>1544</v>
      </c>
      <c r="C1026" s="1" t="s">
        <v>6445</v>
      </c>
      <c r="D1026" s="2" t="s">
        <v>8958</v>
      </c>
      <c r="E1026" s="2" t="s">
        <v>8960</v>
      </c>
      <c r="F1026" s="1" t="s">
        <v>8983</v>
      </c>
      <c r="G1026" s="1" t="s">
        <v>9008</v>
      </c>
    </row>
    <row r="1027" spans="1:7" x14ac:dyDescent="0.35">
      <c r="A1027" s="1" t="s">
        <v>1543</v>
      </c>
      <c r="B1027" s="1" t="s">
        <v>1544</v>
      </c>
      <c r="C1027" s="1" t="s">
        <v>6445</v>
      </c>
      <c r="D1027" s="2" t="s">
        <v>8958</v>
      </c>
      <c r="E1027" s="2" t="s">
        <v>8961</v>
      </c>
      <c r="F1027" s="1" t="s">
        <v>9016</v>
      </c>
      <c r="G1027" s="1" t="s">
        <v>9009</v>
      </c>
    </row>
    <row r="1028" spans="1:7" x14ac:dyDescent="0.35">
      <c r="A1028" s="1" t="s">
        <v>1543</v>
      </c>
      <c r="B1028" s="1" t="s">
        <v>1544</v>
      </c>
      <c r="C1028" s="1" t="s">
        <v>6445</v>
      </c>
      <c r="D1028" s="2" t="s">
        <v>8958</v>
      </c>
      <c r="E1028" s="2" t="s">
        <v>8962</v>
      </c>
      <c r="F1028" s="1" t="s">
        <v>8984</v>
      </c>
      <c r="G1028" s="1" t="s">
        <v>9010</v>
      </c>
    </row>
    <row r="1029" spans="1:7" x14ac:dyDescent="0.35">
      <c r="A1029" s="1" t="s">
        <v>1543</v>
      </c>
      <c r="B1029" s="1" t="s">
        <v>1544</v>
      </c>
      <c r="C1029" s="1" t="s">
        <v>6445</v>
      </c>
      <c r="D1029" s="2" t="s">
        <v>8958</v>
      </c>
      <c r="E1029" s="2" t="s">
        <v>8963</v>
      </c>
      <c r="F1029" s="1" t="s">
        <v>9050</v>
      </c>
      <c r="G1029" s="1" t="s">
        <v>9081</v>
      </c>
    </row>
    <row r="1030" spans="1:7" x14ac:dyDescent="0.35">
      <c r="A1030" s="1" t="s">
        <v>1136</v>
      </c>
      <c r="B1030" s="1" t="s">
        <v>1137</v>
      </c>
      <c r="C1030" s="1" t="s">
        <v>6411</v>
      </c>
      <c r="D1030" s="2" t="s">
        <v>8964</v>
      </c>
      <c r="E1030" s="2" t="s">
        <v>8965</v>
      </c>
      <c r="F1030" s="1" t="s">
        <v>9017</v>
      </c>
      <c r="G1030" s="1" t="s">
        <v>9011</v>
      </c>
    </row>
    <row r="1031" spans="1:7" x14ac:dyDescent="0.35">
      <c r="A1031" s="1" t="s">
        <v>20</v>
      </c>
      <c r="B1031" s="1" t="s">
        <v>21</v>
      </c>
    </row>
    <row r="1032" spans="1:7" x14ac:dyDescent="0.35">
      <c r="A1032" s="1" t="s">
        <v>24</v>
      </c>
      <c r="B1032" s="1" t="s">
        <v>25</v>
      </c>
    </row>
    <row r="1033" spans="1:7" x14ac:dyDescent="0.35">
      <c r="A1033" s="1" t="s">
        <v>28</v>
      </c>
      <c r="B1033" s="1" t="s">
        <v>29</v>
      </c>
    </row>
    <row r="1034" spans="1:7" x14ac:dyDescent="0.35">
      <c r="A1034" s="1" t="s">
        <v>32</v>
      </c>
      <c r="B1034" s="1" t="s">
        <v>33</v>
      </c>
    </row>
    <row r="1035" spans="1:7" x14ac:dyDescent="0.35">
      <c r="A1035" s="1" t="s">
        <v>40</v>
      </c>
      <c r="B1035" s="1" t="s">
        <v>41</v>
      </c>
    </row>
    <row r="1036" spans="1:7" x14ac:dyDescent="0.35">
      <c r="A1036" s="1" t="s">
        <v>44</v>
      </c>
      <c r="B1036" s="1" t="s">
        <v>45</v>
      </c>
    </row>
    <row r="1037" spans="1:7" x14ac:dyDescent="0.35">
      <c r="A1037" s="1" t="s">
        <v>48</v>
      </c>
      <c r="B1037" s="1" t="s">
        <v>49</v>
      </c>
    </row>
    <row r="1038" spans="1:7" x14ac:dyDescent="0.35">
      <c r="A1038" s="1" t="s">
        <v>52</v>
      </c>
      <c r="B1038" s="1" t="s">
        <v>53</v>
      </c>
    </row>
    <row r="1039" spans="1:7" x14ac:dyDescent="0.35">
      <c r="A1039" s="1" t="s">
        <v>56</v>
      </c>
      <c r="B1039" s="1" t="s">
        <v>57</v>
      </c>
    </row>
    <row r="1040" spans="1:7" x14ac:dyDescent="0.35">
      <c r="B1040" s="1" t="s">
        <v>73</v>
      </c>
    </row>
    <row r="1041" spans="2:2" x14ac:dyDescent="0.35">
      <c r="B1041" s="1" t="s">
        <v>76</v>
      </c>
    </row>
    <row r="1042" spans="2:2" x14ac:dyDescent="0.35">
      <c r="B1042" s="1" t="s">
        <v>79</v>
      </c>
    </row>
    <row r="1043" spans="2:2" x14ac:dyDescent="0.35">
      <c r="B1043" s="1" t="s">
        <v>82</v>
      </c>
    </row>
    <row r="1044" spans="2:2" x14ac:dyDescent="0.35">
      <c r="B1044" s="1" t="s">
        <v>84</v>
      </c>
    </row>
    <row r="1045" spans="2:2" x14ac:dyDescent="0.35">
      <c r="B1045" s="1" t="s">
        <v>86</v>
      </c>
    </row>
    <row r="1046" spans="2:2" x14ac:dyDescent="0.35">
      <c r="B1046" s="1" t="s">
        <v>88</v>
      </c>
    </row>
    <row r="1047" spans="2:2" x14ac:dyDescent="0.35">
      <c r="B1047" s="1" t="s">
        <v>90</v>
      </c>
    </row>
    <row r="1048" spans="2:2" x14ac:dyDescent="0.35">
      <c r="B1048" s="1" t="s">
        <v>92</v>
      </c>
    </row>
    <row r="1049" spans="2:2" x14ac:dyDescent="0.35">
      <c r="B1049" s="1" t="s">
        <v>94</v>
      </c>
    </row>
    <row r="1050" spans="2:2" x14ac:dyDescent="0.35">
      <c r="B1050" s="1" t="s">
        <v>95</v>
      </c>
    </row>
    <row r="1051" spans="2:2" x14ac:dyDescent="0.35">
      <c r="B1051" s="1" t="s">
        <v>97</v>
      </c>
    </row>
    <row r="1052" spans="2:2" x14ac:dyDescent="0.35">
      <c r="B1052" s="1" t="s">
        <v>99</v>
      </c>
    </row>
    <row r="1053" spans="2:2" x14ac:dyDescent="0.35">
      <c r="B1053" s="1" t="s">
        <v>101</v>
      </c>
    </row>
    <row r="1054" spans="2:2" x14ac:dyDescent="0.35">
      <c r="B1054" s="1" t="s">
        <v>102</v>
      </c>
    </row>
    <row r="1055" spans="2:2" x14ac:dyDescent="0.35">
      <c r="B1055" s="1" t="s">
        <v>104</v>
      </c>
    </row>
    <row r="1056" spans="2:2" x14ac:dyDescent="0.35">
      <c r="B1056" s="1" t="s">
        <v>105</v>
      </c>
    </row>
    <row r="1057" spans="1:2" x14ac:dyDescent="0.35">
      <c r="B1057" s="1" t="s">
        <v>107</v>
      </c>
    </row>
    <row r="1058" spans="1:2" x14ac:dyDescent="0.35">
      <c r="B1058" s="1" t="s">
        <v>108</v>
      </c>
    </row>
    <row r="1059" spans="1:2" x14ac:dyDescent="0.35">
      <c r="B1059" s="1" t="s">
        <v>110</v>
      </c>
    </row>
    <row r="1060" spans="1:2" x14ac:dyDescent="0.35">
      <c r="B1060" s="1" t="s">
        <v>111</v>
      </c>
    </row>
    <row r="1061" spans="1:2" x14ac:dyDescent="0.35">
      <c r="A1061" s="1" t="s">
        <v>114</v>
      </c>
      <c r="B1061" s="1" t="s">
        <v>115</v>
      </c>
    </row>
    <row r="1062" spans="1:2" x14ac:dyDescent="0.35">
      <c r="A1062" s="1" t="s">
        <v>118</v>
      </c>
      <c r="B1062" s="1" t="s">
        <v>119</v>
      </c>
    </row>
    <row r="1063" spans="1:2" x14ac:dyDescent="0.35">
      <c r="A1063" s="1" t="s">
        <v>122</v>
      </c>
      <c r="B1063" s="1" t="s">
        <v>123</v>
      </c>
    </row>
    <row r="1064" spans="1:2" x14ac:dyDescent="0.35">
      <c r="A1064" s="1" t="s">
        <v>134</v>
      </c>
      <c r="B1064" s="1" t="s">
        <v>135</v>
      </c>
    </row>
    <row r="1065" spans="1:2" x14ac:dyDescent="0.35">
      <c r="A1065" s="1" t="s">
        <v>138</v>
      </c>
      <c r="B1065" s="1" t="s">
        <v>139</v>
      </c>
    </row>
    <row r="1066" spans="1:2" x14ac:dyDescent="0.35">
      <c r="A1066" s="1" t="s">
        <v>142</v>
      </c>
      <c r="B1066" s="1" t="s">
        <v>143</v>
      </c>
    </row>
    <row r="1067" spans="1:2" x14ac:dyDescent="0.35">
      <c r="A1067" s="1" t="s">
        <v>165</v>
      </c>
      <c r="B1067" s="1" t="s">
        <v>166</v>
      </c>
    </row>
    <row r="1068" spans="1:2" x14ac:dyDescent="0.35">
      <c r="A1068" s="1" t="s">
        <v>171</v>
      </c>
      <c r="B1068" s="1" t="s">
        <v>172</v>
      </c>
    </row>
    <row r="1069" spans="1:2" x14ac:dyDescent="0.35">
      <c r="A1069" s="1" t="s">
        <v>173</v>
      </c>
      <c r="B1069" s="1" t="s">
        <v>174</v>
      </c>
    </row>
    <row r="1070" spans="1:2" x14ac:dyDescent="0.35">
      <c r="A1070" s="1" t="s">
        <v>181</v>
      </c>
      <c r="B1070" s="1" t="s">
        <v>182</v>
      </c>
    </row>
    <row r="1071" spans="1:2" x14ac:dyDescent="0.35">
      <c r="A1071" s="1" t="s">
        <v>183</v>
      </c>
      <c r="B1071" s="1" t="s">
        <v>184</v>
      </c>
    </row>
    <row r="1072" spans="1:2" x14ac:dyDescent="0.35">
      <c r="A1072" s="1" t="s">
        <v>197</v>
      </c>
      <c r="B1072" s="1" t="s">
        <v>198</v>
      </c>
    </row>
    <row r="1073" spans="1:2" x14ac:dyDescent="0.35">
      <c r="A1073" s="1" t="s">
        <v>199</v>
      </c>
      <c r="B1073" s="1" t="s">
        <v>200</v>
      </c>
    </row>
    <row r="1074" spans="1:2" x14ac:dyDescent="0.35">
      <c r="A1074" s="1" t="s">
        <v>211</v>
      </c>
      <c r="B1074" s="1" t="s">
        <v>212</v>
      </c>
    </row>
    <row r="1075" spans="1:2" x14ac:dyDescent="0.35">
      <c r="A1075" s="1" t="s">
        <v>214</v>
      </c>
      <c r="B1075" s="1" t="s">
        <v>215</v>
      </c>
    </row>
    <row r="1076" spans="1:2" x14ac:dyDescent="0.35">
      <c r="A1076" s="1" t="s">
        <v>218</v>
      </c>
      <c r="B1076" s="1" t="s">
        <v>219</v>
      </c>
    </row>
    <row r="1077" spans="1:2" x14ac:dyDescent="0.35">
      <c r="A1077" s="1" t="s">
        <v>220</v>
      </c>
      <c r="B1077" s="1" t="s">
        <v>221</v>
      </c>
    </row>
    <row r="1078" spans="1:2" x14ac:dyDescent="0.35">
      <c r="A1078" s="1" t="s">
        <v>223</v>
      </c>
      <c r="B1078" s="1" t="s">
        <v>224</v>
      </c>
    </row>
    <row r="1079" spans="1:2" x14ac:dyDescent="0.35">
      <c r="A1079" s="1" t="s">
        <v>225</v>
      </c>
      <c r="B1079" s="1" t="s">
        <v>226</v>
      </c>
    </row>
    <row r="1080" spans="1:2" x14ac:dyDescent="0.35">
      <c r="A1080" s="1" t="s">
        <v>229</v>
      </c>
      <c r="B1080" s="1" t="s">
        <v>230</v>
      </c>
    </row>
    <row r="1081" spans="1:2" x14ac:dyDescent="0.35">
      <c r="A1081" s="1" t="s">
        <v>232</v>
      </c>
      <c r="B1081" s="1" t="s">
        <v>233</v>
      </c>
    </row>
    <row r="1082" spans="1:2" x14ac:dyDescent="0.35">
      <c r="A1082" s="1" t="s">
        <v>244</v>
      </c>
      <c r="B1082" s="1" t="s">
        <v>245</v>
      </c>
    </row>
    <row r="1083" spans="1:2" x14ac:dyDescent="0.35">
      <c r="A1083" s="1" t="s">
        <v>248</v>
      </c>
      <c r="B1083" s="1" t="s">
        <v>249</v>
      </c>
    </row>
    <row r="1084" spans="1:2" x14ac:dyDescent="0.35">
      <c r="A1084" s="1" t="s">
        <v>252</v>
      </c>
      <c r="B1084" s="1" t="s">
        <v>253</v>
      </c>
    </row>
    <row r="1085" spans="1:2" x14ac:dyDescent="0.35">
      <c r="B1085" s="1" t="s">
        <v>254</v>
      </c>
    </row>
    <row r="1086" spans="1:2" x14ac:dyDescent="0.35">
      <c r="B1086" s="1" t="s">
        <v>255</v>
      </c>
    </row>
    <row r="1087" spans="1:2" x14ac:dyDescent="0.35">
      <c r="B1087" s="1" t="s">
        <v>256</v>
      </c>
    </row>
    <row r="1088" spans="1:2" x14ac:dyDescent="0.35">
      <c r="B1088" s="1" t="s">
        <v>257</v>
      </c>
    </row>
    <row r="1089" spans="1:2" x14ac:dyDescent="0.35">
      <c r="B1089" s="1" t="s">
        <v>258</v>
      </c>
    </row>
    <row r="1090" spans="1:2" x14ac:dyDescent="0.35">
      <c r="B1090" s="1" t="s">
        <v>259</v>
      </c>
    </row>
    <row r="1091" spans="1:2" x14ac:dyDescent="0.35">
      <c r="B1091" s="1" t="s">
        <v>260</v>
      </c>
    </row>
    <row r="1092" spans="1:2" x14ac:dyDescent="0.35">
      <c r="B1092" s="1" t="s">
        <v>262</v>
      </c>
    </row>
    <row r="1093" spans="1:2" x14ac:dyDescent="0.35">
      <c r="B1093" s="1" t="s">
        <v>263</v>
      </c>
    </row>
    <row r="1094" spans="1:2" x14ac:dyDescent="0.35">
      <c r="B1094" s="1" t="s">
        <v>264</v>
      </c>
    </row>
    <row r="1095" spans="1:2" x14ac:dyDescent="0.35">
      <c r="B1095" s="1" t="s">
        <v>265</v>
      </c>
    </row>
    <row r="1096" spans="1:2" x14ac:dyDescent="0.35">
      <c r="B1096" s="1" t="s">
        <v>267</v>
      </c>
    </row>
    <row r="1097" spans="1:2" x14ac:dyDescent="0.35">
      <c r="B1097" s="1" t="s">
        <v>269</v>
      </c>
    </row>
    <row r="1098" spans="1:2" x14ac:dyDescent="0.35">
      <c r="B1098" s="1" t="s">
        <v>271</v>
      </c>
    </row>
    <row r="1099" spans="1:2" x14ac:dyDescent="0.35">
      <c r="B1099" s="1" t="s">
        <v>273</v>
      </c>
    </row>
    <row r="1100" spans="1:2" x14ac:dyDescent="0.35">
      <c r="B1100" s="1" t="s">
        <v>274</v>
      </c>
    </row>
    <row r="1101" spans="1:2" x14ac:dyDescent="0.35">
      <c r="A1101" s="1" t="s">
        <v>283</v>
      </c>
      <c r="B1101" s="1" t="s">
        <v>284</v>
      </c>
    </row>
    <row r="1102" spans="1:2" x14ac:dyDescent="0.35">
      <c r="A1102" s="1" t="s">
        <v>287</v>
      </c>
      <c r="B1102" s="1" t="s">
        <v>288</v>
      </c>
    </row>
    <row r="1103" spans="1:2" x14ac:dyDescent="0.35">
      <c r="A1103" s="1" t="s">
        <v>290</v>
      </c>
      <c r="B1103" s="1" t="s">
        <v>291</v>
      </c>
    </row>
    <row r="1104" spans="1:2" x14ac:dyDescent="0.35">
      <c r="B1104" s="1" t="s">
        <v>293</v>
      </c>
    </row>
    <row r="1105" spans="1:2" x14ac:dyDescent="0.35">
      <c r="A1105" s="1" t="s">
        <v>304</v>
      </c>
      <c r="B1105" s="1" t="s">
        <v>305</v>
      </c>
    </row>
    <row r="1106" spans="1:2" x14ac:dyDescent="0.35">
      <c r="A1106" s="1" t="s">
        <v>308</v>
      </c>
      <c r="B1106" s="1" t="s">
        <v>309</v>
      </c>
    </row>
    <row r="1107" spans="1:2" x14ac:dyDescent="0.35">
      <c r="A1107" s="1" t="s">
        <v>310</v>
      </c>
      <c r="B1107" s="1" t="s">
        <v>311</v>
      </c>
    </row>
    <row r="1108" spans="1:2" x14ac:dyDescent="0.35">
      <c r="A1108" s="1" t="s">
        <v>314</v>
      </c>
      <c r="B1108" s="1" t="s">
        <v>315</v>
      </c>
    </row>
    <row r="1109" spans="1:2" x14ac:dyDescent="0.35">
      <c r="A1109" s="1" t="s">
        <v>318</v>
      </c>
      <c r="B1109" s="1" t="s">
        <v>319</v>
      </c>
    </row>
    <row r="1110" spans="1:2" x14ac:dyDescent="0.35">
      <c r="A1110" s="1" t="s">
        <v>332</v>
      </c>
      <c r="B1110" s="1" t="s">
        <v>333</v>
      </c>
    </row>
    <row r="1111" spans="1:2" x14ac:dyDescent="0.35">
      <c r="A1111" s="1" t="s">
        <v>338</v>
      </c>
      <c r="B1111" s="1" t="s">
        <v>339</v>
      </c>
    </row>
    <row r="1112" spans="1:2" x14ac:dyDescent="0.35">
      <c r="A1112" s="1" t="s">
        <v>340</v>
      </c>
      <c r="B1112" s="1" t="s">
        <v>341</v>
      </c>
    </row>
    <row r="1113" spans="1:2" x14ac:dyDescent="0.35">
      <c r="A1113" s="1" t="s">
        <v>347</v>
      </c>
      <c r="B1113" s="1" t="s">
        <v>348</v>
      </c>
    </row>
    <row r="1114" spans="1:2" x14ac:dyDescent="0.35">
      <c r="A1114" s="1" t="s">
        <v>349</v>
      </c>
      <c r="B1114" s="1" t="s">
        <v>350</v>
      </c>
    </row>
    <row r="1115" spans="1:2" x14ac:dyDescent="0.35">
      <c r="A1115" s="1" t="s">
        <v>356</v>
      </c>
      <c r="B1115" s="1" t="s">
        <v>357</v>
      </c>
    </row>
    <row r="1116" spans="1:2" x14ac:dyDescent="0.35">
      <c r="A1116" s="1" t="s">
        <v>358</v>
      </c>
      <c r="B1116" s="1" t="s">
        <v>359</v>
      </c>
    </row>
    <row r="1117" spans="1:2" x14ac:dyDescent="0.35">
      <c r="A1117" s="1" t="s">
        <v>360</v>
      </c>
      <c r="B1117" s="1" t="s">
        <v>361</v>
      </c>
    </row>
    <row r="1118" spans="1:2" x14ac:dyDescent="0.35">
      <c r="A1118" s="1" t="s">
        <v>364</v>
      </c>
      <c r="B1118" s="1" t="s">
        <v>365</v>
      </c>
    </row>
    <row r="1119" spans="1:2" x14ac:dyDescent="0.35">
      <c r="A1119" s="1" t="s">
        <v>368</v>
      </c>
      <c r="B1119" s="1" t="s">
        <v>369</v>
      </c>
    </row>
    <row r="1120" spans="1:2" x14ac:dyDescent="0.35">
      <c r="A1120" s="1" t="s">
        <v>370</v>
      </c>
      <c r="B1120" s="1" t="s">
        <v>371</v>
      </c>
    </row>
    <row r="1121" spans="1:2" x14ac:dyDescent="0.35">
      <c r="A1121" s="1" t="s">
        <v>374</v>
      </c>
      <c r="B1121" s="1" t="s">
        <v>375</v>
      </c>
    </row>
    <row r="1122" spans="1:2" x14ac:dyDescent="0.35">
      <c r="A1122" s="1" t="s">
        <v>382</v>
      </c>
      <c r="B1122" s="1" t="s">
        <v>383</v>
      </c>
    </row>
    <row r="1123" spans="1:2" x14ac:dyDescent="0.35">
      <c r="A1123" s="1" t="s">
        <v>386</v>
      </c>
      <c r="B1123" s="1" t="s">
        <v>387</v>
      </c>
    </row>
    <row r="1124" spans="1:2" x14ac:dyDescent="0.35">
      <c r="A1124" s="1" t="s">
        <v>389</v>
      </c>
      <c r="B1124" s="1" t="s">
        <v>390</v>
      </c>
    </row>
    <row r="1125" spans="1:2" x14ac:dyDescent="0.35">
      <c r="A1125" s="1" t="s">
        <v>392</v>
      </c>
      <c r="B1125" s="1" t="s">
        <v>393</v>
      </c>
    </row>
    <row r="1126" spans="1:2" x14ac:dyDescent="0.35">
      <c r="A1126" s="1" t="s">
        <v>394</v>
      </c>
      <c r="B1126" s="1" t="s">
        <v>395</v>
      </c>
    </row>
    <row r="1127" spans="1:2" x14ac:dyDescent="0.35">
      <c r="A1127" s="1" t="s">
        <v>398</v>
      </c>
      <c r="B1127" s="1" t="s">
        <v>399</v>
      </c>
    </row>
    <row r="1128" spans="1:2" x14ac:dyDescent="0.35">
      <c r="A1128" s="1" t="s">
        <v>400</v>
      </c>
      <c r="B1128" s="1" t="s">
        <v>401</v>
      </c>
    </row>
    <row r="1129" spans="1:2" x14ac:dyDescent="0.35">
      <c r="A1129" s="1" t="s">
        <v>403</v>
      </c>
      <c r="B1129" s="1" t="s">
        <v>404</v>
      </c>
    </row>
    <row r="1130" spans="1:2" x14ac:dyDescent="0.35">
      <c r="A1130" s="1" t="s">
        <v>405</v>
      </c>
      <c r="B1130" s="1" t="s">
        <v>406</v>
      </c>
    </row>
    <row r="1131" spans="1:2" x14ac:dyDescent="0.35">
      <c r="A1131" s="1" t="s">
        <v>420</v>
      </c>
      <c r="B1131" s="1" t="s">
        <v>421</v>
      </c>
    </row>
    <row r="1132" spans="1:2" x14ac:dyDescent="0.35">
      <c r="A1132" s="1" t="s">
        <v>424</v>
      </c>
      <c r="B1132" s="1" t="s">
        <v>425</v>
      </c>
    </row>
    <row r="1133" spans="1:2" x14ac:dyDescent="0.35">
      <c r="A1133" s="1" t="s">
        <v>428</v>
      </c>
      <c r="B1133" s="1" t="s">
        <v>429</v>
      </c>
    </row>
    <row r="1134" spans="1:2" x14ac:dyDescent="0.35">
      <c r="A1134" s="1" t="s">
        <v>432</v>
      </c>
      <c r="B1134" s="1" t="s">
        <v>433</v>
      </c>
    </row>
    <row r="1135" spans="1:2" x14ac:dyDescent="0.35">
      <c r="A1135" s="1" t="s">
        <v>443</v>
      </c>
      <c r="B1135" s="1" t="s">
        <v>444</v>
      </c>
    </row>
    <row r="1136" spans="1:2" x14ac:dyDescent="0.35">
      <c r="B1136" s="1" t="s">
        <v>445</v>
      </c>
    </row>
    <row r="1137" spans="2:2" x14ac:dyDescent="0.35">
      <c r="B1137" s="1" t="s">
        <v>446</v>
      </c>
    </row>
    <row r="1138" spans="2:2" x14ac:dyDescent="0.35">
      <c r="B1138" s="1" t="s">
        <v>447</v>
      </c>
    </row>
    <row r="1139" spans="2:2" x14ac:dyDescent="0.35">
      <c r="B1139" s="1" t="s">
        <v>448</v>
      </c>
    </row>
    <row r="1140" spans="2:2" x14ac:dyDescent="0.35">
      <c r="B1140" s="1" t="s">
        <v>449</v>
      </c>
    </row>
    <row r="1141" spans="2:2" x14ac:dyDescent="0.35">
      <c r="B1141" s="1" t="s">
        <v>450</v>
      </c>
    </row>
    <row r="1142" spans="2:2" x14ac:dyDescent="0.35">
      <c r="B1142" s="1" t="s">
        <v>451</v>
      </c>
    </row>
    <row r="1143" spans="2:2" x14ac:dyDescent="0.35">
      <c r="B1143" s="1" t="s">
        <v>452</v>
      </c>
    </row>
    <row r="1144" spans="2:2" x14ac:dyDescent="0.35">
      <c r="B1144" s="1" t="s">
        <v>453</v>
      </c>
    </row>
    <row r="1145" spans="2:2" x14ac:dyDescent="0.35">
      <c r="B1145" s="1" t="s">
        <v>454</v>
      </c>
    </row>
    <row r="1146" spans="2:2" x14ac:dyDescent="0.35">
      <c r="B1146" s="1" t="s">
        <v>455</v>
      </c>
    </row>
    <row r="1147" spans="2:2" x14ac:dyDescent="0.35">
      <c r="B1147" s="1" t="s">
        <v>456</v>
      </c>
    </row>
    <row r="1148" spans="2:2" x14ac:dyDescent="0.35">
      <c r="B1148" s="1" t="s">
        <v>457</v>
      </c>
    </row>
    <row r="1149" spans="2:2" x14ac:dyDescent="0.35">
      <c r="B1149" s="1" t="s">
        <v>458</v>
      </c>
    </row>
    <row r="1150" spans="2:2" x14ac:dyDescent="0.35">
      <c r="B1150" s="1" t="s">
        <v>459</v>
      </c>
    </row>
    <row r="1151" spans="2:2" x14ac:dyDescent="0.35">
      <c r="B1151" s="1" t="s">
        <v>460</v>
      </c>
    </row>
    <row r="1152" spans="2:2" x14ac:dyDescent="0.35">
      <c r="B1152" s="1" t="s">
        <v>461</v>
      </c>
    </row>
    <row r="1153" spans="1:2" x14ac:dyDescent="0.35">
      <c r="B1153" s="1" t="s">
        <v>463</v>
      </c>
    </row>
    <row r="1154" spans="1:2" x14ac:dyDescent="0.35">
      <c r="A1154" s="1" t="s">
        <v>465</v>
      </c>
      <c r="B1154" s="1" t="s">
        <v>466</v>
      </c>
    </row>
    <row r="1155" spans="1:2" x14ac:dyDescent="0.35">
      <c r="A1155" s="1" t="s">
        <v>468</v>
      </c>
      <c r="B1155" s="1" t="s">
        <v>469</v>
      </c>
    </row>
    <row r="1156" spans="1:2" x14ac:dyDescent="0.35">
      <c r="A1156" s="1" t="s">
        <v>472</v>
      </c>
      <c r="B1156" s="1" t="s">
        <v>473</v>
      </c>
    </row>
    <row r="1157" spans="1:2" x14ac:dyDescent="0.35">
      <c r="A1157" s="1" t="s">
        <v>482</v>
      </c>
      <c r="B1157" s="1" t="s">
        <v>483</v>
      </c>
    </row>
    <row r="1158" spans="1:2" x14ac:dyDescent="0.35">
      <c r="A1158" s="1" t="s">
        <v>486</v>
      </c>
      <c r="B1158" s="1" t="s">
        <v>487</v>
      </c>
    </row>
    <row r="1159" spans="1:2" x14ac:dyDescent="0.35">
      <c r="A1159" s="1" t="s">
        <v>493</v>
      </c>
      <c r="B1159" s="1" t="s">
        <v>494</v>
      </c>
    </row>
    <row r="1160" spans="1:2" x14ac:dyDescent="0.35">
      <c r="A1160" s="1" t="s">
        <v>496</v>
      </c>
      <c r="B1160" s="1" t="s">
        <v>497</v>
      </c>
    </row>
    <row r="1161" spans="1:2" x14ac:dyDescent="0.35">
      <c r="A1161" s="1" t="s">
        <v>500</v>
      </c>
      <c r="B1161" s="1" t="s">
        <v>501</v>
      </c>
    </row>
    <row r="1162" spans="1:2" x14ac:dyDescent="0.35">
      <c r="A1162" s="1" t="s">
        <v>510</v>
      </c>
      <c r="B1162" s="1" t="s">
        <v>511</v>
      </c>
    </row>
    <row r="1163" spans="1:2" x14ac:dyDescent="0.35">
      <c r="A1163" s="1" t="s">
        <v>521</v>
      </c>
      <c r="B1163" s="1" t="s">
        <v>522</v>
      </c>
    </row>
    <row r="1164" spans="1:2" x14ac:dyDescent="0.35">
      <c r="A1164" s="1" t="s">
        <v>524</v>
      </c>
      <c r="B1164" s="1" t="s">
        <v>525</v>
      </c>
    </row>
    <row r="1165" spans="1:2" x14ac:dyDescent="0.35">
      <c r="A1165" s="1" t="s">
        <v>528</v>
      </c>
      <c r="B1165" s="1" t="s">
        <v>529</v>
      </c>
    </row>
    <row r="1166" spans="1:2" x14ac:dyDescent="0.35">
      <c r="A1166" s="1" t="s">
        <v>531</v>
      </c>
      <c r="B1166" s="1" t="s">
        <v>532</v>
      </c>
    </row>
    <row r="1167" spans="1:2" x14ac:dyDescent="0.35">
      <c r="A1167" s="1" t="s">
        <v>533</v>
      </c>
      <c r="B1167" s="1" t="s">
        <v>534</v>
      </c>
    </row>
    <row r="1168" spans="1:2" x14ac:dyDescent="0.35">
      <c r="A1168" s="1" t="s">
        <v>536</v>
      </c>
      <c r="B1168" s="1" t="s">
        <v>537</v>
      </c>
    </row>
    <row r="1169" spans="1:2" x14ac:dyDescent="0.35">
      <c r="A1169" s="1" t="s">
        <v>539</v>
      </c>
      <c r="B1169" s="1" t="s">
        <v>540</v>
      </c>
    </row>
    <row r="1170" spans="1:2" x14ac:dyDescent="0.35">
      <c r="A1170" s="1" t="s">
        <v>545</v>
      </c>
      <c r="B1170" s="1" t="s">
        <v>546</v>
      </c>
    </row>
    <row r="1171" spans="1:2" x14ac:dyDescent="0.35">
      <c r="A1171" s="1" t="s">
        <v>549</v>
      </c>
      <c r="B1171" s="1" t="s">
        <v>550</v>
      </c>
    </row>
    <row r="1172" spans="1:2" x14ac:dyDescent="0.35">
      <c r="A1172" s="1" t="s">
        <v>553</v>
      </c>
      <c r="B1172" s="1" t="s">
        <v>554</v>
      </c>
    </row>
    <row r="1173" spans="1:2" x14ac:dyDescent="0.35">
      <c r="A1173" s="1" t="s">
        <v>556</v>
      </c>
      <c r="B1173" s="1" t="s">
        <v>557</v>
      </c>
    </row>
    <row r="1174" spans="1:2" x14ac:dyDescent="0.35">
      <c r="A1174" s="1" t="s">
        <v>558</v>
      </c>
      <c r="B1174" s="1" t="s">
        <v>559</v>
      </c>
    </row>
    <row r="1175" spans="1:2" x14ac:dyDescent="0.35">
      <c r="A1175" s="1" t="s">
        <v>566</v>
      </c>
      <c r="B1175" s="1" t="s">
        <v>567</v>
      </c>
    </row>
    <row r="1176" spans="1:2" x14ac:dyDescent="0.35">
      <c r="A1176" s="1" t="s">
        <v>568</v>
      </c>
      <c r="B1176" s="1" t="s">
        <v>569</v>
      </c>
    </row>
    <row r="1177" spans="1:2" x14ac:dyDescent="0.35">
      <c r="A1177" s="1" t="s">
        <v>570</v>
      </c>
      <c r="B1177" s="1" t="s">
        <v>571</v>
      </c>
    </row>
    <row r="1178" spans="1:2" x14ac:dyDescent="0.35">
      <c r="A1178" s="1" t="s">
        <v>574</v>
      </c>
      <c r="B1178" s="1" t="s">
        <v>575</v>
      </c>
    </row>
    <row r="1179" spans="1:2" x14ac:dyDescent="0.35">
      <c r="A1179" s="1" t="s">
        <v>580</v>
      </c>
      <c r="B1179" s="1" t="s">
        <v>581</v>
      </c>
    </row>
    <row r="1180" spans="1:2" x14ac:dyDescent="0.35">
      <c r="A1180" s="1" t="s">
        <v>584</v>
      </c>
      <c r="B1180" s="1" t="s">
        <v>585</v>
      </c>
    </row>
    <row r="1181" spans="1:2" x14ac:dyDescent="0.35">
      <c r="A1181" s="1" t="s">
        <v>588</v>
      </c>
      <c r="B1181" s="1" t="s">
        <v>589</v>
      </c>
    </row>
    <row r="1182" spans="1:2" x14ac:dyDescent="0.35">
      <c r="A1182" s="1" t="s">
        <v>591</v>
      </c>
      <c r="B1182" s="1" t="s">
        <v>592</v>
      </c>
    </row>
    <row r="1183" spans="1:2" x14ac:dyDescent="0.35">
      <c r="A1183" s="1" t="s">
        <v>597</v>
      </c>
      <c r="B1183" s="1" t="s">
        <v>598</v>
      </c>
    </row>
    <row r="1184" spans="1:2" x14ac:dyDescent="0.35">
      <c r="A1184" s="1" t="s">
        <v>604</v>
      </c>
      <c r="B1184" s="1" t="s">
        <v>605</v>
      </c>
    </row>
    <row r="1185" spans="1:2" x14ac:dyDescent="0.35">
      <c r="A1185" s="1" t="s">
        <v>611</v>
      </c>
      <c r="B1185" s="1" t="s">
        <v>612</v>
      </c>
    </row>
    <row r="1186" spans="1:2" x14ac:dyDescent="0.35">
      <c r="A1186" s="1" t="s">
        <v>614</v>
      </c>
      <c r="B1186" s="1" t="s">
        <v>615</v>
      </c>
    </row>
    <row r="1187" spans="1:2" x14ac:dyDescent="0.35">
      <c r="A1187" s="1" t="s">
        <v>633</v>
      </c>
      <c r="B1187" s="1" t="s">
        <v>634</v>
      </c>
    </row>
    <row r="1188" spans="1:2" x14ac:dyDescent="0.35">
      <c r="A1188" s="1" t="s">
        <v>641</v>
      </c>
      <c r="B1188" s="1" t="s">
        <v>642</v>
      </c>
    </row>
    <row r="1189" spans="1:2" x14ac:dyDescent="0.35">
      <c r="A1189" s="1" t="s">
        <v>645</v>
      </c>
      <c r="B1189" s="1" t="s">
        <v>646</v>
      </c>
    </row>
    <row r="1190" spans="1:2" x14ac:dyDescent="0.35">
      <c r="A1190" s="1" t="s">
        <v>647</v>
      </c>
      <c r="B1190" s="1" t="s">
        <v>648</v>
      </c>
    </row>
    <row r="1191" spans="1:2" x14ac:dyDescent="0.35">
      <c r="A1191" s="1" t="s">
        <v>649</v>
      </c>
      <c r="B1191" s="1" t="s">
        <v>650</v>
      </c>
    </row>
    <row r="1192" spans="1:2" x14ac:dyDescent="0.35">
      <c r="A1192" s="1" t="s">
        <v>651</v>
      </c>
      <c r="B1192" s="1" t="s">
        <v>652</v>
      </c>
    </row>
    <row r="1193" spans="1:2" x14ac:dyDescent="0.35">
      <c r="A1193" s="1" t="s">
        <v>659</v>
      </c>
      <c r="B1193" s="1" t="s">
        <v>660</v>
      </c>
    </row>
    <row r="1194" spans="1:2" x14ac:dyDescent="0.35">
      <c r="A1194" s="1" t="s">
        <v>663</v>
      </c>
      <c r="B1194" s="1" t="s">
        <v>664</v>
      </c>
    </row>
    <row r="1195" spans="1:2" x14ac:dyDescent="0.35">
      <c r="A1195" s="1" t="s">
        <v>667</v>
      </c>
      <c r="B1195" s="1" t="s">
        <v>668</v>
      </c>
    </row>
    <row r="1196" spans="1:2" x14ac:dyDescent="0.35">
      <c r="A1196" s="1" t="s">
        <v>676</v>
      </c>
      <c r="B1196" s="1" t="s">
        <v>677</v>
      </c>
    </row>
    <row r="1197" spans="1:2" x14ac:dyDescent="0.35">
      <c r="A1197" s="1" t="s">
        <v>683</v>
      </c>
      <c r="B1197" s="1" t="s">
        <v>684</v>
      </c>
    </row>
    <row r="1198" spans="1:2" x14ac:dyDescent="0.35">
      <c r="A1198" s="1" t="s">
        <v>689</v>
      </c>
      <c r="B1198" s="1" t="s">
        <v>690</v>
      </c>
    </row>
    <row r="1199" spans="1:2" x14ac:dyDescent="0.35">
      <c r="A1199" s="1" t="s">
        <v>691</v>
      </c>
      <c r="B1199" s="1" t="s">
        <v>692</v>
      </c>
    </row>
    <row r="1200" spans="1:2" x14ac:dyDescent="0.35">
      <c r="A1200" s="1" t="s">
        <v>695</v>
      </c>
      <c r="B1200" s="1" t="s">
        <v>696</v>
      </c>
    </row>
    <row r="1201" spans="1:2" x14ac:dyDescent="0.35">
      <c r="A1201" s="1" t="s">
        <v>702</v>
      </c>
      <c r="B1201" s="1" t="s">
        <v>703</v>
      </c>
    </row>
    <row r="1202" spans="1:2" x14ac:dyDescent="0.35">
      <c r="A1202" s="1" t="s">
        <v>704</v>
      </c>
      <c r="B1202" s="1" t="s">
        <v>705</v>
      </c>
    </row>
    <row r="1203" spans="1:2" x14ac:dyDescent="0.35">
      <c r="A1203" s="1" t="s">
        <v>706</v>
      </c>
      <c r="B1203" s="1" t="s">
        <v>707</v>
      </c>
    </row>
    <row r="1204" spans="1:2" x14ac:dyDescent="0.35">
      <c r="A1204" s="1" t="s">
        <v>710</v>
      </c>
      <c r="B1204" s="1" t="s">
        <v>711</v>
      </c>
    </row>
    <row r="1205" spans="1:2" x14ac:dyDescent="0.35">
      <c r="A1205" s="1" t="s">
        <v>716</v>
      </c>
      <c r="B1205" s="1" t="s">
        <v>717</v>
      </c>
    </row>
    <row r="1206" spans="1:2" x14ac:dyDescent="0.35">
      <c r="A1206" s="1" t="s">
        <v>727</v>
      </c>
      <c r="B1206" s="1" t="s">
        <v>728</v>
      </c>
    </row>
    <row r="1207" spans="1:2" x14ac:dyDescent="0.35">
      <c r="A1207" s="1" t="s">
        <v>742</v>
      </c>
      <c r="B1207" s="1" t="s">
        <v>743</v>
      </c>
    </row>
    <row r="1208" spans="1:2" x14ac:dyDescent="0.35">
      <c r="A1208" s="1" t="s">
        <v>746</v>
      </c>
      <c r="B1208" s="1" t="s">
        <v>747</v>
      </c>
    </row>
    <row r="1209" spans="1:2" x14ac:dyDescent="0.35">
      <c r="A1209" s="1" t="s">
        <v>749</v>
      </c>
      <c r="B1209" s="1" t="s">
        <v>750</v>
      </c>
    </row>
    <row r="1210" spans="1:2" x14ac:dyDescent="0.35">
      <c r="A1210" s="1" t="s">
        <v>751</v>
      </c>
      <c r="B1210" s="1" t="s">
        <v>752</v>
      </c>
    </row>
    <row r="1211" spans="1:2" x14ac:dyDescent="0.35">
      <c r="A1211" s="1" t="s">
        <v>758</v>
      </c>
      <c r="B1211" s="1" t="s">
        <v>759</v>
      </c>
    </row>
    <row r="1212" spans="1:2" x14ac:dyDescent="0.35">
      <c r="A1212" s="1" t="s">
        <v>765</v>
      </c>
      <c r="B1212" s="1" t="s">
        <v>766</v>
      </c>
    </row>
    <row r="1213" spans="1:2" x14ac:dyDescent="0.35">
      <c r="A1213" s="1" t="s">
        <v>769</v>
      </c>
      <c r="B1213" s="1" t="s">
        <v>770</v>
      </c>
    </row>
    <row r="1214" spans="1:2" x14ac:dyDescent="0.35">
      <c r="A1214" s="1" t="s">
        <v>773</v>
      </c>
      <c r="B1214" s="1" t="s">
        <v>774</v>
      </c>
    </row>
    <row r="1215" spans="1:2" x14ac:dyDescent="0.35">
      <c r="A1215" s="1" t="s">
        <v>776</v>
      </c>
      <c r="B1215" s="1" t="s">
        <v>777</v>
      </c>
    </row>
    <row r="1216" spans="1:2" x14ac:dyDescent="0.35">
      <c r="A1216" s="1" t="s">
        <v>786</v>
      </c>
      <c r="B1216" s="1" t="s">
        <v>787</v>
      </c>
    </row>
    <row r="1217" spans="1:2" x14ac:dyDescent="0.35">
      <c r="A1217" s="1" t="s">
        <v>788</v>
      </c>
      <c r="B1217" s="1" t="s">
        <v>789</v>
      </c>
    </row>
    <row r="1218" spans="1:2" x14ac:dyDescent="0.35">
      <c r="A1218" s="1" t="s">
        <v>790</v>
      </c>
      <c r="B1218" s="1" t="s">
        <v>791</v>
      </c>
    </row>
    <row r="1219" spans="1:2" x14ac:dyDescent="0.35">
      <c r="A1219" s="1" t="s">
        <v>797</v>
      </c>
      <c r="B1219" s="1" t="s">
        <v>798</v>
      </c>
    </row>
    <row r="1220" spans="1:2" x14ac:dyDescent="0.35">
      <c r="A1220" s="1" t="s">
        <v>800</v>
      </c>
      <c r="B1220" s="1" t="s">
        <v>801</v>
      </c>
    </row>
    <row r="1221" spans="1:2" x14ac:dyDescent="0.35">
      <c r="A1221" s="1" t="s">
        <v>814</v>
      </c>
      <c r="B1221" s="1" t="s">
        <v>815</v>
      </c>
    </row>
    <row r="1222" spans="1:2" x14ac:dyDescent="0.35">
      <c r="A1222" s="1" t="s">
        <v>817</v>
      </c>
      <c r="B1222" s="1" t="s">
        <v>818</v>
      </c>
    </row>
    <row r="1223" spans="1:2" x14ac:dyDescent="0.35">
      <c r="A1223" s="1" t="s">
        <v>821</v>
      </c>
      <c r="B1223" s="1" t="s">
        <v>822</v>
      </c>
    </row>
    <row r="1224" spans="1:2" x14ac:dyDescent="0.35">
      <c r="A1224" s="1" t="s">
        <v>824</v>
      </c>
      <c r="B1224" s="1" t="s">
        <v>825</v>
      </c>
    </row>
    <row r="1225" spans="1:2" x14ac:dyDescent="0.35">
      <c r="A1225" s="1" t="s">
        <v>831</v>
      </c>
      <c r="B1225" s="1" t="s">
        <v>832</v>
      </c>
    </row>
    <row r="1226" spans="1:2" x14ac:dyDescent="0.35">
      <c r="A1226" s="1" t="s">
        <v>834</v>
      </c>
      <c r="B1226" s="1" t="s">
        <v>835</v>
      </c>
    </row>
    <row r="1227" spans="1:2" x14ac:dyDescent="0.35">
      <c r="A1227" s="1" t="s">
        <v>838</v>
      </c>
      <c r="B1227" s="1" t="s">
        <v>839</v>
      </c>
    </row>
    <row r="1228" spans="1:2" x14ac:dyDescent="0.35">
      <c r="A1228" s="1" t="s">
        <v>844</v>
      </c>
      <c r="B1228" s="1" t="s">
        <v>845</v>
      </c>
    </row>
    <row r="1229" spans="1:2" x14ac:dyDescent="0.35">
      <c r="A1229" s="1" t="s">
        <v>847</v>
      </c>
      <c r="B1229" s="1" t="s">
        <v>848</v>
      </c>
    </row>
    <row r="1230" spans="1:2" x14ac:dyDescent="0.35">
      <c r="A1230" s="1" t="s">
        <v>851</v>
      </c>
      <c r="B1230" s="1" t="s">
        <v>852</v>
      </c>
    </row>
    <row r="1231" spans="1:2" x14ac:dyDescent="0.35">
      <c r="A1231" s="1" t="s">
        <v>858</v>
      </c>
      <c r="B1231" s="1" t="s">
        <v>859</v>
      </c>
    </row>
    <row r="1232" spans="1:2" x14ac:dyDescent="0.35">
      <c r="A1232" s="1" t="s">
        <v>861</v>
      </c>
      <c r="B1232" s="1" t="s">
        <v>862</v>
      </c>
    </row>
    <row r="1233" spans="1:2" x14ac:dyDescent="0.35">
      <c r="A1233" s="1" t="s">
        <v>864</v>
      </c>
      <c r="B1233" s="1" t="s">
        <v>865</v>
      </c>
    </row>
    <row r="1234" spans="1:2" x14ac:dyDescent="0.35">
      <c r="A1234" s="1" t="s">
        <v>880</v>
      </c>
      <c r="B1234" s="1" t="s">
        <v>881</v>
      </c>
    </row>
    <row r="1235" spans="1:2" x14ac:dyDescent="0.35">
      <c r="A1235" s="1" t="s">
        <v>884</v>
      </c>
      <c r="B1235" s="1" t="s">
        <v>885</v>
      </c>
    </row>
    <row r="1236" spans="1:2" x14ac:dyDescent="0.35">
      <c r="A1236" s="1" t="s">
        <v>888</v>
      </c>
      <c r="B1236" s="1" t="s">
        <v>889</v>
      </c>
    </row>
    <row r="1237" spans="1:2" x14ac:dyDescent="0.35">
      <c r="A1237" s="1" t="s">
        <v>892</v>
      </c>
      <c r="B1237" s="1" t="s">
        <v>893</v>
      </c>
    </row>
    <row r="1238" spans="1:2" x14ac:dyDescent="0.35">
      <c r="A1238" s="1" t="s">
        <v>896</v>
      </c>
      <c r="B1238" s="1" t="s">
        <v>897</v>
      </c>
    </row>
    <row r="1239" spans="1:2" x14ac:dyDescent="0.35">
      <c r="A1239" s="1" t="s">
        <v>900</v>
      </c>
      <c r="B1239" s="1" t="s">
        <v>901</v>
      </c>
    </row>
    <row r="1240" spans="1:2" x14ac:dyDescent="0.35">
      <c r="A1240" s="1" t="s">
        <v>908</v>
      </c>
      <c r="B1240" s="1" t="s">
        <v>909</v>
      </c>
    </row>
    <row r="1241" spans="1:2" x14ac:dyDescent="0.35">
      <c r="A1241" s="1" t="s">
        <v>912</v>
      </c>
      <c r="B1241" s="1" t="s">
        <v>913</v>
      </c>
    </row>
    <row r="1242" spans="1:2" x14ac:dyDescent="0.35">
      <c r="A1242" s="1" t="s">
        <v>923</v>
      </c>
      <c r="B1242" s="1" t="s">
        <v>924</v>
      </c>
    </row>
    <row r="1243" spans="1:2" x14ac:dyDescent="0.35">
      <c r="A1243" s="1" t="s">
        <v>927</v>
      </c>
      <c r="B1243" s="1" t="s">
        <v>928</v>
      </c>
    </row>
    <row r="1244" spans="1:2" x14ac:dyDescent="0.35">
      <c r="A1244" s="1" t="s">
        <v>929</v>
      </c>
      <c r="B1244" s="1" t="s">
        <v>930</v>
      </c>
    </row>
    <row r="1245" spans="1:2" x14ac:dyDescent="0.35">
      <c r="A1245" s="1" t="s">
        <v>932</v>
      </c>
      <c r="B1245" s="1" t="s">
        <v>933</v>
      </c>
    </row>
    <row r="1246" spans="1:2" x14ac:dyDescent="0.35">
      <c r="A1246" s="1" t="s">
        <v>935</v>
      </c>
      <c r="B1246" s="1" t="s">
        <v>936</v>
      </c>
    </row>
    <row r="1247" spans="1:2" x14ac:dyDescent="0.35">
      <c r="A1247" s="1" t="s">
        <v>941</v>
      </c>
      <c r="B1247" s="1" t="s">
        <v>942</v>
      </c>
    </row>
    <row r="1248" spans="1:2" x14ac:dyDescent="0.35">
      <c r="A1248" s="1" t="s">
        <v>6339</v>
      </c>
      <c r="B1248" s="1" t="s">
        <v>943</v>
      </c>
    </row>
    <row r="1249" spans="1:2" x14ac:dyDescent="0.35">
      <c r="A1249" s="1" t="s">
        <v>6340</v>
      </c>
      <c r="B1249" s="1" t="s">
        <v>944</v>
      </c>
    </row>
    <row r="1250" spans="1:2" x14ac:dyDescent="0.35">
      <c r="A1250" s="1" t="s">
        <v>6342</v>
      </c>
      <c r="B1250" s="1" t="s">
        <v>950</v>
      </c>
    </row>
    <row r="1251" spans="1:2" x14ac:dyDescent="0.35">
      <c r="A1251" s="1" t="s">
        <v>6344</v>
      </c>
      <c r="B1251" s="1" t="s">
        <v>956</v>
      </c>
    </row>
    <row r="1252" spans="1:2" x14ac:dyDescent="0.35">
      <c r="A1252" s="1" t="s">
        <v>6345</v>
      </c>
      <c r="B1252" s="1" t="s">
        <v>959</v>
      </c>
    </row>
    <row r="1253" spans="1:2" x14ac:dyDescent="0.35">
      <c r="A1253" s="1" t="s">
        <v>6346</v>
      </c>
      <c r="B1253" s="1" t="s">
        <v>960</v>
      </c>
    </row>
    <row r="1254" spans="1:2" x14ac:dyDescent="0.35">
      <c r="A1254" s="1" t="s">
        <v>6348</v>
      </c>
      <c r="B1254" s="1" t="s">
        <v>964</v>
      </c>
    </row>
    <row r="1255" spans="1:2" x14ac:dyDescent="0.35">
      <c r="A1255" s="1" t="s">
        <v>6352</v>
      </c>
      <c r="B1255" s="1" t="s">
        <v>974</v>
      </c>
    </row>
    <row r="1256" spans="1:2" x14ac:dyDescent="0.35">
      <c r="A1256" s="1" t="s">
        <v>6356</v>
      </c>
      <c r="B1256" s="1" t="s">
        <v>983</v>
      </c>
    </row>
    <row r="1257" spans="1:2" x14ac:dyDescent="0.35">
      <c r="A1257" s="1" t="s">
        <v>6357</v>
      </c>
      <c r="B1257" s="1" t="s">
        <v>986</v>
      </c>
    </row>
    <row r="1258" spans="1:2" x14ac:dyDescent="0.35">
      <c r="A1258" s="1" t="s">
        <v>6358</v>
      </c>
      <c r="B1258" s="1" t="s">
        <v>988</v>
      </c>
    </row>
    <row r="1259" spans="1:2" x14ac:dyDescent="0.35">
      <c r="A1259" s="1" t="s">
        <v>6359</v>
      </c>
      <c r="B1259" s="1" t="s">
        <v>990</v>
      </c>
    </row>
    <row r="1260" spans="1:2" x14ac:dyDescent="0.35">
      <c r="A1260" s="1" t="s">
        <v>6360</v>
      </c>
      <c r="B1260" s="1" t="s">
        <v>991</v>
      </c>
    </row>
    <row r="1261" spans="1:2" x14ac:dyDescent="0.35">
      <c r="A1261" s="1" t="s">
        <v>6361</v>
      </c>
      <c r="B1261" s="1" t="s">
        <v>992</v>
      </c>
    </row>
    <row r="1262" spans="1:2" x14ac:dyDescent="0.35">
      <c r="A1262" s="1" t="s">
        <v>6362</v>
      </c>
      <c r="B1262" s="1" t="s">
        <v>994</v>
      </c>
    </row>
    <row r="1263" spans="1:2" x14ac:dyDescent="0.35">
      <c r="A1263" s="1" t="s">
        <v>6363</v>
      </c>
      <c r="B1263" s="1" t="s">
        <v>997</v>
      </c>
    </row>
    <row r="1264" spans="1:2" x14ac:dyDescent="0.35">
      <c r="A1264" s="1" t="s">
        <v>6364</v>
      </c>
      <c r="B1264" s="1" t="s">
        <v>999</v>
      </c>
    </row>
    <row r="1265" spans="1:2" x14ac:dyDescent="0.35">
      <c r="A1265" s="1" t="s">
        <v>6365</v>
      </c>
      <c r="B1265" s="1" t="s">
        <v>1001</v>
      </c>
    </row>
    <row r="1266" spans="1:2" x14ac:dyDescent="0.35">
      <c r="A1266" s="1" t="s">
        <v>6366</v>
      </c>
      <c r="B1266" s="1" t="s">
        <v>1004</v>
      </c>
    </row>
    <row r="1267" spans="1:2" x14ac:dyDescent="0.35">
      <c r="A1267" s="1" t="s">
        <v>6367</v>
      </c>
      <c r="B1267" s="1" t="s">
        <v>1007</v>
      </c>
    </row>
    <row r="1268" spans="1:2" x14ac:dyDescent="0.35">
      <c r="A1268" s="1" t="s">
        <v>6368</v>
      </c>
      <c r="B1268" s="1" t="s">
        <v>1008</v>
      </c>
    </row>
    <row r="1269" spans="1:2" x14ac:dyDescent="0.35">
      <c r="A1269" s="1" t="s">
        <v>6369</v>
      </c>
      <c r="B1269" s="1" t="s">
        <v>1011</v>
      </c>
    </row>
    <row r="1270" spans="1:2" x14ac:dyDescent="0.35">
      <c r="A1270" s="1" t="s">
        <v>6371</v>
      </c>
      <c r="B1270" s="1" t="s">
        <v>1016</v>
      </c>
    </row>
    <row r="1271" spans="1:2" x14ac:dyDescent="0.35">
      <c r="A1271" s="1" t="s">
        <v>6375</v>
      </c>
      <c r="B1271" s="1" t="s">
        <v>1028</v>
      </c>
    </row>
    <row r="1272" spans="1:2" x14ac:dyDescent="0.35">
      <c r="A1272" s="1" t="s">
        <v>6379</v>
      </c>
      <c r="B1272" s="1" t="s">
        <v>1038</v>
      </c>
    </row>
    <row r="1273" spans="1:2" x14ac:dyDescent="0.35">
      <c r="A1273" s="1" t="s">
        <v>6380</v>
      </c>
      <c r="B1273" s="1" t="s">
        <v>1039</v>
      </c>
    </row>
    <row r="1274" spans="1:2" x14ac:dyDescent="0.35">
      <c r="A1274" s="1" t="s">
        <v>6381</v>
      </c>
      <c r="B1274" s="1" t="s">
        <v>1042</v>
      </c>
    </row>
    <row r="1275" spans="1:2" x14ac:dyDescent="0.35">
      <c r="A1275" s="1" t="s">
        <v>6382</v>
      </c>
      <c r="B1275" s="1" t="s">
        <v>1045</v>
      </c>
    </row>
    <row r="1276" spans="1:2" x14ac:dyDescent="0.35">
      <c r="A1276" s="1" t="s">
        <v>6383</v>
      </c>
      <c r="B1276" s="1" t="s">
        <v>1048</v>
      </c>
    </row>
    <row r="1277" spans="1:2" x14ac:dyDescent="0.35">
      <c r="A1277" s="1" t="s">
        <v>6384</v>
      </c>
      <c r="B1277" s="1" t="s">
        <v>1051</v>
      </c>
    </row>
    <row r="1278" spans="1:2" x14ac:dyDescent="0.35">
      <c r="A1278" s="1" t="s">
        <v>6385</v>
      </c>
      <c r="B1278" s="1" t="s">
        <v>1053</v>
      </c>
    </row>
    <row r="1279" spans="1:2" x14ac:dyDescent="0.35">
      <c r="A1279" s="1" t="s">
        <v>6386</v>
      </c>
      <c r="B1279" s="1" t="s">
        <v>1055</v>
      </c>
    </row>
    <row r="1280" spans="1:2" x14ac:dyDescent="0.35">
      <c r="A1280" s="1" t="s">
        <v>6388</v>
      </c>
      <c r="B1280" s="1" t="s">
        <v>1059</v>
      </c>
    </row>
    <row r="1281" spans="1:2" x14ac:dyDescent="0.35">
      <c r="A1281" s="1" t="s">
        <v>6390</v>
      </c>
      <c r="B1281" s="1" t="s">
        <v>1065</v>
      </c>
    </row>
    <row r="1282" spans="1:2" x14ac:dyDescent="0.35">
      <c r="A1282" s="1" t="s">
        <v>6391</v>
      </c>
      <c r="B1282" s="1" t="s">
        <v>1067</v>
      </c>
    </row>
    <row r="1283" spans="1:2" x14ac:dyDescent="0.35">
      <c r="B1283" s="1" t="s">
        <v>1068</v>
      </c>
    </row>
    <row r="1284" spans="1:2" x14ac:dyDescent="0.35">
      <c r="B1284" s="1" t="s">
        <v>1069</v>
      </c>
    </row>
    <row r="1285" spans="1:2" x14ac:dyDescent="0.35">
      <c r="B1285" s="1" t="s">
        <v>1070</v>
      </c>
    </row>
    <row r="1286" spans="1:2" x14ac:dyDescent="0.35">
      <c r="B1286" s="1" t="s">
        <v>1071</v>
      </c>
    </row>
    <row r="1287" spans="1:2" x14ac:dyDescent="0.35">
      <c r="B1287" s="1" t="s">
        <v>1072</v>
      </c>
    </row>
    <row r="1288" spans="1:2" x14ac:dyDescent="0.35">
      <c r="B1288" s="1" t="s">
        <v>1073</v>
      </c>
    </row>
    <row r="1289" spans="1:2" x14ac:dyDescent="0.35">
      <c r="B1289" s="1" t="s">
        <v>1074</v>
      </c>
    </row>
    <row r="1290" spans="1:2" x14ac:dyDescent="0.35">
      <c r="B1290" s="1" t="s">
        <v>1075</v>
      </c>
    </row>
    <row r="1291" spans="1:2" x14ac:dyDescent="0.35">
      <c r="B1291" s="1" t="s">
        <v>1076</v>
      </c>
    </row>
    <row r="1292" spans="1:2" x14ac:dyDescent="0.35">
      <c r="B1292" s="1" t="s">
        <v>1077</v>
      </c>
    </row>
    <row r="1293" spans="1:2" x14ac:dyDescent="0.35">
      <c r="A1293" s="1" t="s">
        <v>1082</v>
      </c>
      <c r="B1293" s="1" t="s">
        <v>1083</v>
      </c>
    </row>
    <row r="1294" spans="1:2" x14ac:dyDescent="0.35">
      <c r="A1294" s="1" t="s">
        <v>1085</v>
      </c>
      <c r="B1294" s="1" t="s">
        <v>1086</v>
      </c>
    </row>
    <row r="1295" spans="1:2" x14ac:dyDescent="0.35">
      <c r="A1295" s="1" t="s">
        <v>1089</v>
      </c>
      <c r="B1295" s="1" t="s">
        <v>1090</v>
      </c>
    </row>
    <row r="1296" spans="1:2" x14ac:dyDescent="0.35">
      <c r="A1296" s="1" t="s">
        <v>1103</v>
      </c>
      <c r="B1296" s="1" t="s">
        <v>1104</v>
      </c>
    </row>
    <row r="1297" spans="1:2" x14ac:dyDescent="0.35">
      <c r="A1297" s="1" t="s">
        <v>1109</v>
      </c>
      <c r="B1297" s="1" t="s">
        <v>1110</v>
      </c>
    </row>
    <row r="1298" spans="1:2" x14ac:dyDescent="0.35">
      <c r="A1298" s="1" t="s">
        <v>1116</v>
      </c>
      <c r="B1298" s="1" t="s">
        <v>1117</v>
      </c>
    </row>
    <row r="1299" spans="1:2" x14ac:dyDescent="0.35">
      <c r="A1299" s="1" t="s">
        <v>1142</v>
      </c>
      <c r="B1299" s="1" t="s">
        <v>1143</v>
      </c>
    </row>
    <row r="1300" spans="1:2" x14ac:dyDescent="0.35">
      <c r="A1300" s="1" t="s">
        <v>1157</v>
      </c>
      <c r="B1300" s="1" t="s">
        <v>1158</v>
      </c>
    </row>
    <row r="1301" spans="1:2" x14ac:dyDescent="0.35">
      <c r="A1301" s="1" t="s">
        <v>1161</v>
      </c>
      <c r="B1301" s="1" t="s">
        <v>1162</v>
      </c>
    </row>
    <row r="1302" spans="1:2" x14ac:dyDescent="0.35">
      <c r="A1302" s="1" t="s">
        <v>1174</v>
      </c>
      <c r="B1302" s="1" t="s">
        <v>1175</v>
      </c>
    </row>
    <row r="1303" spans="1:2" x14ac:dyDescent="0.35">
      <c r="A1303" s="1" t="s">
        <v>1180</v>
      </c>
      <c r="B1303" s="1" t="s">
        <v>1181</v>
      </c>
    </row>
    <row r="1304" spans="1:2" x14ac:dyDescent="0.35">
      <c r="A1304" s="1" t="s">
        <v>1188</v>
      </c>
      <c r="B1304" s="1" t="s">
        <v>1189</v>
      </c>
    </row>
    <row r="1305" spans="1:2" x14ac:dyDescent="0.35">
      <c r="A1305" s="1" t="s">
        <v>1191</v>
      </c>
      <c r="B1305" s="1" t="s">
        <v>1192</v>
      </c>
    </row>
    <row r="1306" spans="1:2" x14ac:dyDescent="0.35">
      <c r="A1306" s="1" t="s">
        <v>1193</v>
      </c>
      <c r="B1306" s="1" t="s">
        <v>1194</v>
      </c>
    </row>
    <row r="1307" spans="1:2" x14ac:dyDescent="0.35">
      <c r="A1307" s="1" t="s">
        <v>1195</v>
      </c>
      <c r="B1307" s="1" t="s">
        <v>1196</v>
      </c>
    </row>
    <row r="1308" spans="1:2" x14ac:dyDescent="0.35">
      <c r="A1308" s="1" t="s">
        <v>1199</v>
      </c>
      <c r="B1308" s="1" t="s">
        <v>1200</v>
      </c>
    </row>
    <row r="1309" spans="1:2" x14ac:dyDescent="0.35">
      <c r="A1309" s="1" t="s">
        <v>1203</v>
      </c>
      <c r="B1309" s="1" t="s">
        <v>1204</v>
      </c>
    </row>
    <row r="1310" spans="1:2" x14ac:dyDescent="0.35">
      <c r="A1310" s="1" t="s">
        <v>1206</v>
      </c>
      <c r="B1310" s="1" t="s">
        <v>1207</v>
      </c>
    </row>
    <row r="1311" spans="1:2" x14ac:dyDescent="0.35">
      <c r="A1311" s="1" t="s">
        <v>1208</v>
      </c>
      <c r="B1311" s="1" t="s">
        <v>1209</v>
      </c>
    </row>
    <row r="1312" spans="1:2" x14ac:dyDescent="0.35">
      <c r="A1312" s="1" t="s">
        <v>1210</v>
      </c>
      <c r="B1312" s="1" t="s">
        <v>1211</v>
      </c>
    </row>
    <row r="1313" spans="1:2" x14ac:dyDescent="0.35">
      <c r="A1313" s="1" t="s">
        <v>1218</v>
      </c>
      <c r="B1313" s="1" t="s">
        <v>1219</v>
      </c>
    </row>
    <row r="1314" spans="1:2" x14ac:dyDescent="0.35">
      <c r="A1314" s="1" t="s">
        <v>1221</v>
      </c>
      <c r="B1314" s="1" t="s">
        <v>1222</v>
      </c>
    </row>
    <row r="1315" spans="1:2" x14ac:dyDescent="0.35">
      <c r="A1315" s="1" t="s">
        <v>1223</v>
      </c>
      <c r="B1315" s="1" t="s">
        <v>1224</v>
      </c>
    </row>
    <row r="1316" spans="1:2" x14ac:dyDescent="0.35">
      <c r="A1316" s="1" t="s">
        <v>1236</v>
      </c>
      <c r="B1316" s="1" t="s">
        <v>1237</v>
      </c>
    </row>
    <row r="1317" spans="1:2" x14ac:dyDescent="0.35">
      <c r="A1317" s="1" t="s">
        <v>1242</v>
      </c>
      <c r="B1317" s="1" t="s">
        <v>1243</v>
      </c>
    </row>
    <row r="1318" spans="1:2" x14ac:dyDescent="0.35">
      <c r="A1318" s="1" t="s">
        <v>1246</v>
      </c>
      <c r="B1318" s="1" t="s">
        <v>1247</v>
      </c>
    </row>
    <row r="1319" spans="1:2" x14ac:dyDescent="0.35">
      <c r="A1319" s="1" t="s">
        <v>1249</v>
      </c>
      <c r="B1319" s="1" t="s">
        <v>1250</v>
      </c>
    </row>
    <row r="1320" spans="1:2" x14ac:dyDescent="0.35">
      <c r="A1320" s="1" t="s">
        <v>1260</v>
      </c>
      <c r="B1320" s="1" t="s">
        <v>1261</v>
      </c>
    </row>
    <row r="1321" spans="1:2" x14ac:dyDescent="0.35">
      <c r="A1321" s="1" t="s">
        <v>1262</v>
      </c>
      <c r="B1321" s="1" t="s">
        <v>1263</v>
      </c>
    </row>
    <row r="1322" spans="1:2" x14ac:dyDescent="0.35">
      <c r="A1322" s="1" t="s">
        <v>1270</v>
      </c>
      <c r="B1322" s="1" t="s">
        <v>1271</v>
      </c>
    </row>
    <row r="1323" spans="1:2" x14ac:dyDescent="0.35">
      <c r="A1323" s="1" t="s">
        <v>1273</v>
      </c>
      <c r="B1323" s="1" t="s">
        <v>1274</v>
      </c>
    </row>
    <row r="1324" spans="1:2" x14ac:dyDescent="0.35">
      <c r="A1324" s="1" t="s">
        <v>1276</v>
      </c>
      <c r="B1324" s="1" t="s">
        <v>1277</v>
      </c>
    </row>
    <row r="1325" spans="1:2" x14ac:dyDescent="0.35">
      <c r="A1325" s="1" t="s">
        <v>1279</v>
      </c>
      <c r="B1325" s="1" t="s">
        <v>1280</v>
      </c>
    </row>
    <row r="1326" spans="1:2" x14ac:dyDescent="0.35">
      <c r="A1326" s="1" t="s">
        <v>1282</v>
      </c>
      <c r="B1326" s="1" t="s">
        <v>1283</v>
      </c>
    </row>
    <row r="1327" spans="1:2" x14ac:dyDescent="0.35">
      <c r="A1327" s="1" t="s">
        <v>1284</v>
      </c>
      <c r="B1327" s="1" t="s">
        <v>1285</v>
      </c>
    </row>
    <row r="1328" spans="1:2" x14ac:dyDescent="0.35">
      <c r="A1328" s="1" t="s">
        <v>1286</v>
      </c>
      <c r="B1328" s="1" t="s">
        <v>1287</v>
      </c>
    </row>
    <row r="1329" spans="1:2" x14ac:dyDescent="0.35">
      <c r="A1329" s="1" t="s">
        <v>1288</v>
      </c>
      <c r="B1329" s="1" t="s">
        <v>1289</v>
      </c>
    </row>
    <row r="1330" spans="1:2" x14ac:dyDescent="0.35">
      <c r="A1330" s="1" t="s">
        <v>1290</v>
      </c>
      <c r="B1330" s="1" t="s">
        <v>1291</v>
      </c>
    </row>
    <row r="1331" spans="1:2" x14ac:dyDescent="0.35">
      <c r="A1331" s="1" t="s">
        <v>1292</v>
      </c>
      <c r="B1331" s="1" t="s">
        <v>1293</v>
      </c>
    </row>
    <row r="1332" spans="1:2" x14ac:dyDescent="0.35">
      <c r="A1332" s="1" t="s">
        <v>1304</v>
      </c>
      <c r="B1332" s="1" t="s">
        <v>1305</v>
      </c>
    </row>
    <row r="1333" spans="1:2" x14ac:dyDescent="0.35">
      <c r="A1333" s="1" t="s">
        <v>1306</v>
      </c>
      <c r="B1333" s="1" t="s">
        <v>1307</v>
      </c>
    </row>
    <row r="1334" spans="1:2" x14ac:dyDescent="0.35">
      <c r="A1334" s="1" t="s">
        <v>1308</v>
      </c>
      <c r="B1334" s="1" t="s">
        <v>1309</v>
      </c>
    </row>
    <row r="1335" spans="1:2" x14ac:dyDescent="0.35">
      <c r="A1335" s="1" t="s">
        <v>1312</v>
      </c>
      <c r="B1335" s="1" t="s">
        <v>1313</v>
      </c>
    </row>
    <row r="1336" spans="1:2" x14ac:dyDescent="0.35">
      <c r="A1336" s="1" t="s">
        <v>1320</v>
      </c>
      <c r="B1336" s="1" t="s">
        <v>1321</v>
      </c>
    </row>
    <row r="1337" spans="1:2" x14ac:dyDescent="0.35">
      <c r="A1337" s="1" t="s">
        <v>1325</v>
      </c>
      <c r="B1337" s="1" t="s">
        <v>1326</v>
      </c>
    </row>
    <row r="1338" spans="1:2" x14ac:dyDescent="0.35">
      <c r="A1338" s="1" t="s">
        <v>1327</v>
      </c>
      <c r="B1338" s="1" t="s">
        <v>1328</v>
      </c>
    </row>
    <row r="1339" spans="1:2" x14ac:dyDescent="0.35">
      <c r="A1339" s="1" t="s">
        <v>1329</v>
      </c>
      <c r="B1339" s="1" t="s">
        <v>1330</v>
      </c>
    </row>
    <row r="1340" spans="1:2" x14ac:dyDescent="0.35">
      <c r="A1340" s="1" t="s">
        <v>1335</v>
      </c>
      <c r="B1340" s="1" t="s">
        <v>1336</v>
      </c>
    </row>
    <row r="1341" spans="1:2" x14ac:dyDescent="0.35">
      <c r="A1341" s="1" t="s">
        <v>1338</v>
      </c>
      <c r="B1341" s="1" t="s">
        <v>1339</v>
      </c>
    </row>
    <row r="1342" spans="1:2" x14ac:dyDescent="0.35">
      <c r="A1342" s="1" t="s">
        <v>1365</v>
      </c>
      <c r="B1342" s="1" t="s">
        <v>1366</v>
      </c>
    </row>
    <row r="1343" spans="1:2" x14ac:dyDescent="0.35">
      <c r="A1343" s="1" t="s">
        <v>1376</v>
      </c>
      <c r="B1343" s="1" t="s">
        <v>1377</v>
      </c>
    </row>
    <row r="1344" spans="1:2" x14ac:dyDescent="0.35">
      <c r="A1344" s="1" t="s">
        <v>1378</v>
      </c>
      <c r="B1344" s="1" t="s">
        <v>1379</v>
      </c>
    </row>
    <row r="1345" spans="1:2" x14ac:dyDescent="0.35">
      <c r="A1345" s="1" t="s">
        <v>1380</v>
      </c>
      <c r="B1345" s="1" t="s">
        <v>1381</v>
      </c>
    </row>
    <row r="1346" spans="1:2" x14ac:dyDescent="0.35">
      <c r="A1346" s="1" t="s">
        <v>1382</v>
      </c>
      <c r="B1346" s="1" t="s">
        <v>1383</v>
      </c>
    </row>
    <row r="1347" spans="1:2" x14ac:dyDescent="0.35">
      <c r="A1347" s="1" t="s">
        <v>1384</v>
      </c>
      <c r="B1347" s="1" t="s">
        <v>1385</v>
      </c>
    </row>
    <row r="1348" spans="1:2" x14ac:dyDescent="0.35">
      <c r="A1348" s="1" t="s">
        <v>1390</v>
      </c>
      <c r="B1348" s="1" t="s">
        <v>1391</v>
      </c>
    </row>
    <row r="1349" spans="1:2" x14ac:dyDescent="0.35">
      <c r="A1349" s="1" t="s">
        <v>1392</v>
      </c>
      <c r="B1349" s="1" t="s">
        <v>1393</v>
      </c>
    </row>
    <row r="1350" spans="1:2" x14ac:dyDescent="0.35">
      <c r="A1350" s="1" t="s">
        <v>1427</v>
      </c>
      <c r="B1350" s="1" t="s">
        <v>1428</v>
      </c>
    </row>
    <row r="1351" spans="1:2" x14ac:dyDescent="0.35">
      <c r="A1351" s="1" t="s">
        <v>1431</v>
      </c>
      <c r="B1351" s="1" t="s">
        <v>1432</v>
      </c>
    </row>
    <row r="1352" spans="1:2" x14ac:dyDescent="0.35">
      <c r="B1352" s="1" t="s">
        <v>1441</v>
      </c>
    </row>
    <row r="1353" spans="1:2" x14ac:dyDescent="0.35">
      <c r="A1353" s="1" t="s">
        <v>1454</v>
      </c>
      <c r="B1353" s="1" t="s">
        <v>1455</v>
      </c>
    </row>
    <row r="1354" spans="1:2" x14ac:dyDescent="0.35">
      <c r="A1354" s="1" t="s">
        <v>1459</v>
      </c>
      <c r="B1354" s="1" t="s">
        <v>1460</v>
      </c>
    </row>
    <row r="1355" spans="1:2" x14ac:dyDescent="0.35">
      <c r="A1355" s="1" t="s">
        <v>1463</v>
      </c>
      <c r="B1355" s="1" t="s">
        <v>1464</v>
      </c>
    </row>
    <row r="1356" spans="1:2" x14ac:dyDescent="0.35">
      <c r="A1356" s="1" t="s">
        <v>1466</v>
      </c>
      <c r="B1356" s="1" t="s">
        <v>1467</v>
      </c>
    </row>
    <row r="1357" spans="1:2" x14ac:dyDescent="0.35">
      <c r="A1357" s="1" t="s">
        <v>1470</v>
      </c>
      <c r="B1357" s="1" t="s">
        <v>1471</v>
      </c>
    </row>
    <row r="1358" spans="1:2" x14ac:dyDescent="0.35">
      <c r="A1358" s="1" t="s">
        <v>1472</v>
      </c>
      <c r="B1358" s="1" t="s">
        <v>1473</v>
      </c>
    </row>
    <row r="1359" spans="1:2" x14ac:dyDescent="0.35">
      <c r="A1359" s="1" t="s">
        <v>1483</v>
      </c>
      <c r="B1359" s="1" t="s">
        <v>1484</v>
      </c>
    </row>
    <row r="1360" spans="1:2" x14ac:dyDescent="0.35">
      <c r="A1360" s="1" t="s">
        <v>1494</v>
      </c>
      <c r="B1360" s="1" t="s">
        <v>1495</v>
      </c>
    </row>
    <row r="1361" spans="1:2" x14ac:dyDescent="0.35">
      <c r="A1361" s="1" t="s">
        <v>1498</v>
      </c>
      <c r="B1361" s="1" t="s">
        <v>1499</v>
      </c>
    </row>
    <row r="1362" spans="1:2" x14ac:dyDescent="0.35">
      <c r="A1362" s="1" t="s">
        <v>1501</v>
      </c>
      <c r="B1362" s="1" t="s">
        <v>1502</v>
      </c>
    </row>
    <row r="1363" spans="1:2" x14ac:dyDescent="0.35">
      <c r="A1363" s="1" t="s">
        <v>1511</v>
      </c>
      <c r="B1363" s="1" t="s">
        <v>1512</v>
      </c>
    </row>
    <row r="1364" spans="1:2" x14ac:dyDescent="0.35">
      <c r="A1364" s="1" t="s">
        <v>1513</v>
      </c>
      <c r="B1364" s="1" t="s">
        <v>1514</v>
      </c>
    </row>
    <row r="1365" spans="1:2" x14ac:dyDescent="0.35">
      <c r="A1365" s="1" t="s">
        <v>1515</v>
      </c>
      <c r="B1365" s="1" t="s">
        <v>1516</v>
      </c>
    </row>
    <row r="1366" spans="1:2" x14ac:dyDescent="0.35">
      <c r="A1366" s="1" t="s">
        <v>1517</v>
      </c>
      <c r="B1366" s="1" t="s">
        <v>1518</v>
      </c>
    </row>
    <row r="1367" spans="1:2" x14ac:dyDescent="0.35">
      <c r="A1367" s="1" t="s">
        <v>1520</v>
      </c>
      <c r="B1367" s="1" t="s">
        <v>1521</v>
      </c>
    </row>
    <row r="1368" spans="1:2" x14ac:dyDescent="0.35">
      <c r="A1368" s="1" t="s">
        <v>1535</v>
      </c>
      <c r="B1368" s="1" t="s">
        <v>1536</v>
      </c>
    </row>
    <row r="1369" spans="1:2" x14ac:dyDescent="0.35">
      <c r="A1369" s="1" t="s">
        <v>1549</v>
      </c>
      <c r="B1369" s="1" t="s">
        <v>1550</v>
      </c>
    </row>
    <row r="1370" spans="1:2" x14ac:dyDescent="0.35">
      <c r="A1370" s="1" t="s">
        <v>1552</v>
      </c>
      <c r="B1370" s="1" t="s">
        <v>1553</v>
      </c>
    </row>
    <row r="1371" spans="1:2" x14ac:dyDescent="0.35">
      <c r="A1371" s="1" t="s">
        <v>1558</v>
      </c>
      <c r="B1371" s="1" t="s">
        <v>1559</v>
      </c>
    </row>
    <row r="1372" spans="1:2" x14ac:dyDescent="0.35">
      <c r="A1372" s="1" t="s">
        <v>1562</v>
      </c>
      <c r="B1372" s="1" t="s">
        <v>1563</v>
      </c>
    </row>
    <row r="1373" spans="1:2" x14ac:dyDescent="0.35">
      <c r="A1373" s="1" t="s">
        <v>1566</v>
      </c>
      <c r="B1373" s="1" t="s">
        <v>1567</v>
      </c>
    </row>
    <row r="1374" spans="1:2" x14ac:dyDescent="0.35">
      <c r="A1374" s="1" t="s">
        <v>1568</v>
      </c>
      <c r="B1374" s="1" t="s">
        <v>1569</v>
      </c>
    </row>
    <row r="1375" spans="1:2" x14ac:dyDescent="0.35">
      <c r="A1375" s="1" t="s">
        <v>1570</v>
      </c>
      <c r="B1375" s="1" t="s">
        <v>1571</v>
      </c>
    </row>
    <row r="1376" spans="1:2" x14ac:dyDescent="0.35">
      <c r="A1376" s="1" t="s">
        <v>1572</v>
      </c>
      <c r="B1376" s="1" t="s">
        <v>1573</v>
      </c>
    </row>
    <row r="1377" spans="1:2" x14ac:dyDescent="0.35">
      <c r="A1377" s="1" t="s">
        <v>1574</v>
      </c>
      <c r="B1377" s="1" t="s">
        <v>1575</v>
      </c>
    </row>
    <row r="1378" spans="1:2" x14ac:dyDescent="0.35">
      <c r="A1378" s="1" t="s">
        <v>1576</v>
      </c>
      <c r="B1378" s="1" t="s">
        <v>1577</v>
      </c>
    </row>
    <row r="1379" spans="1:2" x14ac:dyDescent="0.35">
      <c r="A1379" s="1" t="s">
        <v>1578</v>
      </c>
      <c r="B1379" s="1" t="s">
        <v>1579</v>
      </c>
    </row>
    <row r="1380" spans="1:2" x14ac:dyDescent="0.35">
      <c r="A1380" s="1" t="s">
        <v>1580</v>
      </c>
      <c r="B1380" s="1" t="s">
        <v>1581</v>
      </c>
    </row>
    <row r="1381" spans="1:2" x14ac:dyDescent="0.35">
      <c r="A1381" s="1" t="s">
        <v>1588</v>
      </c>
      <c r="B1381" s="1" t="s">
        <v>1589</v>
      </c>
    </row>
    <row r="1382" spans="1:2" x14ac:dyDescent="0.35">
      <c r="A1382" s="1" t="s">
        <v>1590</v>
      </c>
      <c r="B1382" s="1" t="s">
        <v>1591</v>
      </c>
    </row>
    <row r="1383" spans="1:2" x14ac:dyDescent="0.35">
      <c r="A1383" s="1" t="s">
        <v>1594</v>
      </c>
      <c r="B1383" s="1" t="s">
        <v>1595</v>
      </c>
    </row>
    <row r="1384" spans="1:2" x14ac:dyDescent="0.35">
      <c r="A1384" s="1" t="s">
        <v>1598</v>
      </c>
      <c r="B1384" s="1" t="s">
        <v>1599</v>
      </c>
    </row>
    <row r="1385" spans="1:2" x14ac:dyDescent="0.35">
      <c r="A1385" s="1" t="s">
        <v>1602</v>
      </c>
      <c r="B1385" s="1" t="s">
        <v>1603</v>
      </c>
    </row>
    <row r="1386" spans="1:2" x14ac:dyDescent="0.35">
      <c r="A1386" s="1" t="s">
        <v>1604</v>
      </c>
      <c r="B1386" s="1" t="s">
        <v>1605</v>
      </c>
    </row>
    <row r="1387" spans="1:2" x14ac:dyDescent="0.35">
      <c r="A1387" s="1" t="s">
        <v>1607</v>
      </c>
      <c r="B1387" s="1" t="s">
        <v>1608</v>
      </c>
    </row>
    <row r="1388" spans="1:2" x14ac:dyDescent="0.35">
      <c r="A1388" s="1" t="s">
        <v>1609</v>
      </c>
      <c r="B1388" s="1" t="s">
        <v>1610</v>
      </c>
    </row>
    <row r="1389" spans="1:2" x14ac:dyDescent="0.35">
      <c r="A1389" s="1" t="s">
        <v>1613</v>
      </c>
      <c r="B1389" s="1" t="s">
        <v>1614</v>
      </c>
    </row>
    <row r="1390" spans="1:2" x14ac:dyDescent="0.35">
      <c r="A1390" s="1" t="s">
        <v>1615</v>
      </c>
      <c r="B1390" s="1" t="s">
        <v>1616</v>
      </c>
    </row>
    <row r="1391" spans="1:2" x14ac:dyDescent="0.35">
      <c r="A1391" s="1" t="s">
        <v>1617</v>
      </c>
      <c r="B1391" s="1" t="s">
        <v>1618</v>
      </c>
    </row>
    <row r="1392" spans="1:2" x14ac:dyDescent="0.35">
      <c r="A1392" s="1" t="s">
        <v>1621</v>
      </c>
      <c r="B1392" s="1" t="s">
        <v>1622</v>
      </c>
    </row>
    <row r="1393" spans="1:2" x14ac:dyDescent="0.35">
      <c r="A1393" s="1" t="s">
        <v>1623</v>
      </c>
      <c r="B1393" s="1" t="s">
        <v>1624</v>
      </c>
    </row>
    <row r="1394" spans="1:2" x14ac:dyDescent="0.35">
      <c r="A1394" s="1" t="s">
        <v>1625</v>
      </c>
      <c r="B1394" s="1" t="s">
        <v>1626</v>
      </c>
    </row>
    <row r="1395" spans="1:2" x14ac:dyDescent="0.35">
      <c r="A1395" s="1" t="s">
        <v>1627</v>
      </c>
      <c r="B1395" s="1" t="s">
        <v>1628</v>
      </c>
    </row>
    <row r="1396" spans="1:2" x14ac:dyDescent="0.35">
      <c r="A1396" s="1" t="s">
        <v>1629</v>
      </c>
      <c r="B1396" s="1" t="s">
        <v>1630</v>
      </c>
    </row>
    <row r="1397" spans="1:2" x14ac:dyDescent="0.35">
      <c r="A1397" s="1" t="s">
        <v>1631</v>
      </c>
      <c r="B1397" s="1" t="s">
        <v>1632</v>
      </c>
    </row>
    <row r="1398" spans="1:2" x14ac:dyDescent="0.35">
      <c r="A1398" s="1" t="s">
        <v>1633</v>
      </c>
      <c r="B1398" s="1" t="s">
        <v>1634</v>
      </c>
    </row>
    <row r="1399" spans="1:2" x14ac:dyDescent="0.35">
      <c r="A1399" s="1" t="s">
        <v>1635</v>
      </c>
      <c r="B1399" s="1" t="s">
        <v>1636</v>
      </c>
    </row>
    <row r="1400" spans="1:2" x14ac:dyDescent="0.35">
      <c r="A1400" s="1" t="s">
        <v>1637</v>
      </c>
      <c r="B1400" s="1" t="s">
        <v>1638</v>
      </c>
    </row>
    <row r="1401" spans="1:2" x14ac:dyDescent="0.35">
      <c r="A1401" s="1" t="s">
        <v>1640</v>
      </c>
      <c r="B1401" s="1" t="s">
        <v>1641</v>
      </c>
    </row>
    <row r="1402" spans="1:2" x14ac:dyDescent="0.35">
      <c r="A1402" s="1" t="s">
        <v>1643</v>
      </c>
      <c r="B1402" s="1" t="s">
        <v>1644</v>
      </c>
    </row>
    <row r="1403" spans="1:2" x14ac:dyDescent="0.35">
      <c r="A1403" s="1" t="s">
        <v>1645</v>
      </c>
      <c r="B1403" s="1" t="s">
        <v>1646</v>
      </c>
    </row>
    <row r="1404" spans="1:2" x14ac:dyDescent="0.35">
      <c r="A1404" s="1" t="s">
        <v>1656</v>
      </c>
      <c r="B1404" s="1" t="s">
        <v>1657</v>
      </c>
    </row>
    <row r="1405" spans="1:2" x14ac:dyDescent="0.35">
      <c r="A1405" s="1" t="s">
        <v>1658</v>
      </c>
      <c r="B1405" s="1" t="s">
        <v>1659</v>
      </c>
    </row>
    <row r="1406" spans="1:2" x14ac:dyDescent="0.35">
      <c r="A1406" s="1" t="s">
        <v>1661</v>
      </c>
      <c r="B1406" s="1" t="s">
        <v>1662</v>
      </c>
    </row>
    <row r="1407" spans="1:2" x14ac:dyDescent="0.35">
      <c r="A1407" s="1" t="s">
        <v>1664</v>
      </c>
      <c r="B1407" s="1" t="s">
        <v>1665</v>
      </c>
    </row>
    <row r="1408" spans="1:2" x14ac:dyDescent="0.35">
      <c r="A1408" s="1" t="s">
        <v>1667</v>
      </c>
      <c r="B1408" s="1" t="s">
        <v>1668</v>
      </c>
    </row>
    <row r="1409" spans="1:2" x14ac:dyDescent="0.35">
      <c r="A1409" s="1" t="s">
        <v>1670</v>
      </c>
      <c r="B1409" s="1" t="s">
        <v>1671</v>
      </c>
    </row>
    <row r="1410" spans="1:2" x14ac:dyDescent="0.35">
      <c r="A1410" s="1" t="s">
        <v>1672</v>
      </c>
      <c r="B1410" s="1" t="s">
        <v>1673</v>
      </c>
    </row>
    <row r="1411" spans="1:2" x14ac:dyDescent="0.35">
      <c r="A1411" s="1" t="s">
        <v>1675</v>
      </c>
      <c r="B1411" s="1" t="s">
        <v>1676</v>
      </c>
    </row>
    <row r="1412" spans="1:2" x14ac:dyDescent="0.35">
      <c r="A1412" s="1" t="s">
        <v>1677</v>
      </c>
      <c r="B1412" s="1" t="s">
        <v>1678</v>
      </c>
    </row>
    <row r="1413" spans="1:2" x14ac:dyDescent="0.35">
      <c r="A1413" s="1" t="s">
        <v>1686</v>
      </c>
      <c r="B1413" s="1" t="s">
        <v>1687</v>
      </c>
    </row>
    <row r="1414" spans="1:2" x14ac:dyDescent="0.35">
      <c r="A1414" s="1" t="s">
        <v>1692</v>
      </c>
      <c r="B1414" s="1" t="s">
        <v>1693</v>
      </c>
    </row>
    <row r="1415" spans="1:2" x14ac:dyDescent="0.35">
      <c r="A1415" s="1" t="s">
        <v>1721</v>
      </c>
      <c r="B1415" s="1" t="s">
        <v>1722</v>
      </c>
    </row>
    <row r="1416" spans="1:2" x14ac:dyDescent="0.35">
      <c r="A1416" s="1" t="s">
        <v>1735</v>
      </c>
      <c r="B1416" s="1" t="s">
        <v>1736</v>
      </c>
    </row>
    <row r="1417" spans="1:2" x14ac:dyDescent="0.35">
      <c r="A1417" s="1" t="s">
        <v>1741</v>
      </c>
      <c r="B1417" s="1" t="s">
        <v>1742</v>
      </c>
    </row>
    <row r="1418" spans="1:2" x14ac:dyDescent="0.35">
      <c r="A1418" s="1" t="s">
        <v>1748</v>
      </c>
      <c r="B1418" s="1" t="s">
        <v>1749</v>
      </c>
    </row>
    <row r="1419" spans="1:2" x14ac:dyDescent="0.35">
      <c r="A1419" s="1" t="s">
        <v>1750</v>
      </c>
      <c r="B1419" s="1" t="s">
        <v>1751</v>
      </c>
    </row>
    <row r="1420" spans="1:2" x14ac:dyDescent="0.35">
      <c r="A1420" s="1" t="s">
        <v>1756</v>
      </c>
      <c r="B1420" s="1" t="s">
        <v>1757</v>
      </c>
    </row>
    <row r="1421" spans="1:2" x14ac:dyDescent="0.35">
      <c r="A1421" s="1" t="s">
        <v>1758</v>
      </c>
      <c r="B1421" s="1" t="s">
        <v>1759</v>
      </c>
    </row>
    <row r="1422" spans="1:2" x14ac:dyDescent="0.35">
      <c r="A1422" s="1" t="s">
        <v>1761</v>
      </c>
      <c r="B1422" s="1" t="s">
        <v>1762</v>
      </c>
    </row>
    <row r="1423" spans="1:2" x14ac:dyDescent="0.35">
      <c r="A1423" s="1" t="s">
        <v>1764</v>
      </c>
      <c r="B1423" s="1" t="s">
        <v>1765</v>
      </c>
    </row>
    <row r="1424" spans="1:2" x14ac:dyDescent="0.35">
      <c r="A1424" s="1" t="s">
        <v>1767</v>
      </c>
      <c r="B1424" s="1" t="s">
        <v>1768</v>
      </c>
    </row>
    <row r="1425" spans="1:2" x14ac:dyDescent="0.35">
      <c r="A1425" s="1" t="s">
        <v>1785</v>
      </c>
      <c r="B1425" s="1" t="s">
        <v>1786</v>
      </c>
    </row>
    <row r="1426" spans="1:2" x14ac:dyDescent="0.35">
      <c r="A1426" s="1" t="s">
        <v>1789</v>
      </c>
      <c r="B1426" s="1" t="s">
        <v>1790</v>
      </c>
    </row>
    <row r="1427" spans="1:2" x14ac:dyDescent="0.35">
      <c r="A1427" s="1" t="s">
        <v>1793</v>
      </c>
      <c r="B1427" s="1" t="s">
        <v>1794</v>
      </c>
    </row>
    <row r="1428" spans="1:2" x14ac:dyDescent="0.35">
      <c r="A1428" s="1" t="s">
        <v>1796</v>
      </c>
      <c r="B1428" s="1" t="s">
        <v>1797</v>
      </c>
    </row>
    <row r="1429" spans="1:2" x14ac:dyDescent="0.35">
      <c r="A1429" s="1" t="s">
        <v>1802</v>
      </c>
      <c r="B1429" s="1" t="s">
        <v>1803</v>
      </c>
    </row>
    <row r="1430" spans="1:2" x14ac:dyDescent="0.35">
      <c r="A1430" s="1" t="s">
        <v>1804</v>
      </c>
      <c r="B1430" s="1" t="s">
        <v>1805</v>
      </c>
    </row>
    <row r="1431" spans="1:2" x14ac:dyDescent="0.35">
      <c r="A1431" s="1" t="s">
        <v>1807</v>
      </c>
      <c r="B1431" s="1" t="s">
        <v>1808</v>
      </c>
    </row>
    <row r="1432" spans="1:2" x14ac:dyDescent="0.35">
      <c r="A1432" s="1" t="s">
        <v>1813</v>
      </c>
      <c r="B1432" s="1" t="s">
        <v>1814</v>
      </c>
    </row>
    <row r="1433" spans="1:2" x14ac:dyDescent="0.35">
      <c r="A1433" s="1" t="s">
        <v>1815</v>
      </c>
      <c r="B1433" s="1" t="s">
        <v>1816</v>
      </c>
    </row>
    <row r="1434" spans="1:2" x14ac:dyDescent="0.35">
      <c r="A1434" s="1" t="s">
        <v>1825</v>
      </c>
      <c r="B1434" s="1" t="s">
        <v>1826</v>
      </c>
    </row>
    <row r="1435" spans="1:2" x14ac:dyDescent="0.35">
      <c r="B1435" s="1" t="s">
        <v>1827</v>
      </c>
    </row>
    <row r="1436" spans="1:2" x14ac:dyDescent="0.35">
      <c r="B1436" s="1" t="s">
        <v>1828</v>
      </c>
    </row>
    <row r="1437" spans="1:2" x14ac:dyDescent="0.35">
      <c r="A1437" s="1" t="s">
        <v>1831</v>
      </c>
      <c r="B1437" s="1" t="s">
        <v>1832</v>
      </c>
    </row>
    <row r="1438" spans="1:2" x14ac:dyDescent="0.35">
      <c r="B1438" s="1" t="s">
        <v>1833</v>
      </c>
    </row>
    <row r="1439" spans="1:2" x14ac:dyDescent="0.35">
      <c r="A1439" s="1" t="s">
        <v>1835</v>
      </c>
      <c r="B1439" s="1" t="s">
        <v>1836</v>
      </c>
    </row>
    <row r="1440" spans="1:2" x14ac:dyDescent="0.35">
      <c r="A1440" s="1" t="s">
        <v>1837</v>
      </c>
      <c r="B1440" s="1" t="s">
        <v>1838</v>
      </c>
    </row>
    <row r="1441" spans="1:2" x14ac:dyDescent="0.35">
      <c r="A1441" s="1" t="s">
        <v>1841</v>
      </c>
      <c r="B1441" s="1" t="s">
        <v>1842</v>
      </c>
    </row>
    <row r="1442" spans="1:2" x14ac:dyDescent="0.35">
      <c r="A1442" s="1" t="s">
        <v>1847</v>
      </c>
      <c r="B1442" s="1" t="s">
        <v>1848</v>
      </c>
    </row>
    <row r="1443" spans="1:2" x14ac:dyDescent="0.35">
      <c r="A1443" s="1" t="s">
        <v>1854</v>
      </c>
      <c r="B1443" s="1" t="s">
        <v>1855</v>
      </c>
    </row>
    <row r="1444" spans="1:2" x14ac:dyDescent="0.35">
      <c r="A1444" s="1" t="s">
        <v>1860</v>
      </c>
      <c r="B1444" s="1" t="s">
        <v>1861</v>
      </c>
    </row>
    <row r="1445" spans="1:2" x14ac:dyDescent="0.35">
      <c r="A1445" s="1" t="s">
        <v>1863</v>
      </c>
      <c r="B1445" s="1" t="s">
        <v>1864</v>
      </c>
    </row>
    <row r="1446" spans="1:2" x14ac:dyDescent="0.35">
      <c r="A1446" s="1" t="s">
        <v>1865</v>
      </c>
      <c r="B1446" s="1" t="s">
        <v>1866</v>
      </c>
    </row>
    <row r="1447" spans="1:2" x14ac:dyDescent="0.35">
      <c r="A1447" s="1" t="s">
        <v>1869</v>
      </c>
      <c r="B1447" s="1" t="s">
        <v>1870</v>
      </c>
    </row>
    <row r="1448" spans="1:2" x14ac:dyDescent="0.35">
      <c r="A1448" s="1" t="s">
        <v>1873</v>
      </c>
      <c r="B1448" s="1" t="s">
        <v>1874</v>
      </c>
    </row>
    <row r="1449" spans="1:2" x14ac:dyDescent="0.35">
      <c r="A1449" s="1" t="s">
        <v>1875</v>
      </c>
      <c r="B1449" s="1" t="s">
        <v>1876</v>
      </c>
    </row>
    <row r="1450" spans="1:2" x14ac:dyDescent="0.35">
      <c r="A1450" s="1" t="s">
        <v>1878</v>
      </c>
      <c r="B1450" s="1" t="s">
        <v>1879</v>
      </c>
    </row>
    <row r="1451" spans="1:2" x14ac:dyDescent="0.35">
      <c r="A1451" s="1" t="s">
        <v>1894</v>
      </c>
      <c r="B1451" s="1" t="s">
        <v>1895</v>
      </c>
    </row>
    <row r="1452" spans="1:2" x14ac:dyDescent="0.35">
      <c r="A1452" s="1" t="s">
        <v>1898</v>
      </c>
      <c r="B1452" s="1" t="s">
        <v>1899</v>
      </c>
    </row>
    <row r="1453" spans="1:2" x14ac:dyDescent="0.35">
      <c r="A1453" s="1" t="s">
        <v>1910</v>
      </c>
      <c r="B1453" s="1" t="s">
        <v>1911</v>
      </c>
    </row>
    <row r="1454" spans="1:2" x14ac:dyDescent="0.35">
      <c r="A1454" s="1" t="s">
        <v>1922</v>
      </c>
      <c r="B1454" s="1" t="s">
        <v>1923</v>
      </c>
    </row>
    <row r="1455" spans="1:2" x14ac:dyDescent="0.35">
      <c r="A1455" s="1" t="s">
        <v>1925</v>
      </c>
      <c r="B1455" s="1" t="s">
        <v>1926</v>
      </c>
    </row>
    <row r="1456" spans="1:2" x14ac:dyDescent="0.35">
      <c r="A1456" s="1" t="s">
        <v>1933</v>
      </c>
      <c r="B1456" s="1" t="s">
        <v>1934</v>
      </c>
    </row>
    <row r="1457" spans="1:2" x14ac:dyDescent="0.35">
      <c r="A1457" s="1" t="s">
        <v>1939</v>
      </c>
      <c r="B1457" s="1" t="s">
        <v>1940</v>
      </c>
    </row>
    <row r="1458" spans="1:2" x14ac:dyDescent="0.35">
      <c r="A1458" s="1" t="s">
        <v>1947</v>
      </c>
      <c r="B1458" s="1" t="s">
        <v>1948</v>
      </c>
    </row>
    <row r="1459" spans="1:2" x14ac:dyDescent="0.35">
      <c r="A1459" s="1" t="s">
        <v>1950</v>
      </c>
      <c r="B1459" s="1" t="s">
        <v>1951</v>
      </c>
    </row>
    <row r="1460" spans="1:2" x14ac:dyDescent="0.35">
      <c r="A1460" s="1" t="s">
        <v>1964</v>
      </c>
      <c r="B1460" s="1" t="s">
        <v>1965</v>
      </c>
    </row>
    <row r="1461" spans="1:2" x14ac:dyDescent="0.35">
      <c r="A1461" s="1" t="s">
        <v>1966</v>
      </c>
      <c r="B1461" s="1" t="s">
        <v>1967</v>
      </c>
    </row>
    <row r="1462" spans="1:2" x14ac:dyDescent="0.35">
      <c r="A1462" s="1" t="s">
        <v>1992</v>
      </c>
      <c r="B1462" s="1" t="s">
        <v>1993</v>
      </c>
    </row>
    <row r="1463" spans="1:2" x14ac:dyDescent="0.35">
      <c r="A1463" s="1" t="s">
        <v>2011</v>
      </c>
      <c r="B1463" s="1" t="s">
        <v>2012</v>
      </c>
    </row>
    <row r="1464" spans="1:2" x14ac:dyDescent="0.35">
      <c r="A1464" s="1" t="s">
        <v>2014</v>
      </c>
      <c r="B1464" s="1" t="s">
        <v>2015</v>
      </c>
    </row>
    <row r="1465" spans="1:2" x14ac:dyDescent="0.35">
      <c r="A1465" s="1" t="s">
        <v>2019</v>
      </c>
      <c r="B1465" s="1" t="s">
        <v>2020</v>
      </c>
    </row>
    <row r="1466" spans="1:2" x14ac:dyDescent="0.35">
      <c r="A1466" s="1" t="s">
        <v>2023</v>
      </c>
      <c r="B1466" s="1" t="s">
        <v>2024</v>
      </c>
    </row>
    <row r="1467" spans="1:2" x14ac:dyDescent="0.35">
      <c r="A1467" s="1" t="s">
        <v>2026</v>
      </c>
      <c r="B1467" s="1" t="s">
        <v>2027</v>
      </c>
    </row>
    <row r="1468" spans="1:2" x14ac:dyDescent="0.35">
      <c r="A1468" s="1" t="s">
        <v>2028</v>
      </c>
      <c r="B1468" s="1" t="s">
        <v>2029</v>
      </c>
    </row>
    <row r="1469" spans="1:2" x14ac:dyDescent="0.35">
      <c r="A1469" s="1" t="s">
        <v>2030</v>
      </c>
      <c r="B1469" s="1" t="s">
        <v>2031</v>
      </c>
    </row>
    <row r="1470" spans="1:2" x14ac:dyDescent="0.35">
      <c r="A1470" s="1" t="s">
        <v>2032</v>
      </c>
      <c r="B1470" s="1" t="s">
        <v>2033</v>
      </c>
    </row>
    <row r="1471" spans="1:2" x14ac:dyDescent="0.35">
      <c r="A1471" s="1" t="s">
        <v>2034</v>
      </c>
      <c r="B1471" s="1" t="s">
        <v>2035</v>
      </c>
    </row>
    <row r="1472" spans="1:2" x14ac:dyDescent="0.35">
      <c r="A1472" s="1" t="s">
        <v>2036</v>
      </c>
      <c r="B1472" s="1" t="s">
        <v>2037</v>
      </c>
    </row>
    <row r="1473" spans="1:2" x14ac:dyDescent="0.35">
      <c r="A1473" s="1" t="s">
        <v>2038</v>
      </c>
      <c r="B1473" s="1" t="s">
        <v>2039</v>
      </c>
    </row>
    <row r="1474" spans="1:2" x14ac:dyDescent="0.35">
      <c r="A1474" s="1" t="s">
        <v>2040</v>
      </c>
      <c r="B1474" s="1" t="s">
        <v>2041</v>
      </c>
    </row>
    <row r="1475" spans="1:2" x14ac:dyDescent="0.35">
      <c r="A1475" s="1" t="s">
        <v>2043</v>
      </c>
      <c r="B1475" s="1" t="s">
        <v>2044</v>
      </c>
    </row>
    <row r="1476" spans="1:2" x14ac:dyDescent="0.35">
      <c r="A1476" s="1" t="s">
        <v>2046</v>
      </c>
      <c r="B1476" s="1" t="s">
        <v>2047</v>
      </c>
    </row>
    <row r="1477" spans="1:2" x14ac:dyDescent="0.35">
      <c r="A1477" s="1" t="s">
        <v>2049</v>
      </c>
      <c r="B1477" s="1" t="s">
        <v>2050</v>
      </c>
    </row>
    <row r="1478" spans="1:2" x14ac:dyDescent="0.35">
      <c r="A1478" s="1" t="s">
        <v>2053</v>
      </c>
      <c r="B1478" s="1" t="s">
        <v>2054</v>
      </c>
    </row>
    <row r="1479" spans="1:2" x14ac:dyDescent="0.35">
      <c r="A1479" s="1" t="s">
        <v>2056</v>
      </c>
      <c r="B1479" s="1" t="s">
        <v>2057</v>
      </c>
    </row>
    <row r="1480" spans="1:2" x14ac:dyDescent="0.35">
      <c r="A1480" s="1" t="s">
        <v>2059</v>
      </c>
      <c r="B1480" s="1" t="s">
        <v>2060</v>
      </c>
    </row>
    <row r="1481" spans="1:2" x14ac:dyDescent="0.35">
      <c r="A1481" s="1" t="s">
        <v>2062</v>
      </c>
      <c r="B1481" s="1" t="s">
        <v>2063</v>
      </c>
    </row>
    <row r="1482" spans="1:2" x14ac:dyDescent="0.35">
      <c r="A1482" s="1" t="s">
        <v>2064</v>
      </c>
      <c r="B1482" s="1" t="s">
        <v>2065</v>
      </c>
    </row>
    <row r="1483" spans="1:2" x14ac:dyDescent="0.35">
      <c r="A1483" s="1" t="s">
        <v>2066</v>
      </c>
      <c r="B1483" s="1" t="s">
        <v>2067</v>
      </c>
    </row>
    <row r="1484" spans="1:2" x14ac:dyDescent="0.35">
      <c r="A1484" s="1" t="s">
        <v>2069</v>
      </c>
      <c r="B1484" s="1" t="s">
        <v>2070</v>
      </c>
    </row>
    <row r="1485" spans="1:2" x14ac:dyDescent="0.35">
      <c r="A1485" s="1" t="s">
        <v>2071</v>
      </c>
      <c r="B1485" s="1" t="s">
        <v>2072</v>
      </c>
    </row>
    <row r="1486" spans="1:2" x14ac:dyDescent="0.35">
      <c r="A1486" s="1" t="s">
        <v>2073</v>
      </c>
      <c r="B1486" s="1" t="s">
        <v>2074</v>
      </c>
    </row>
    <row r="1487" spans="1:2" x14ac:dyDescent="0.35">
      <c r="A1487" s="1" t="s">
        <v>2075</v>
      </c>
      <c r="B1487" s="1" t="s">
        <v>2076</v>
      </c>
    </row>
    <row r="1488" spans="1:2" x14ac:dyDescent="0.35">
      <c r="A1488" s="1" t="s">
        <v>2079</v>
      </c>
      <c r="B1488" s="1" t="s">
        <v>2080</v>
      </c>
    </row>
    <row r="1489" spans="1:2" x14ac:dyDescent="0.35">
      <c r="A1489" s="1" t="s">
        <v>2086</v>
      </c>
      <c r="B1489" s="1" t="s">
        <v>2087</v>
      </c>
    </row>
    <row r="1490" spans="1:2" x14ac:dyDescent="0.35">
      <c r="A1490" s="1" t="s">
        <v>2089</v>
      </c>
      <c r="B1490" s="1" t="s">
        <v>2090</v>
      </c>
    </row>
    <row r="1491" spans="1:2" x14ac:dyDescent="0.35">
      <c r="A1491" s="1" t="s">
        <v>2091</v>
      </c>
      <c r="B1491" s="1" t="s">
        <v>2092</v>
      </c>
    </row>
    <row r="1492" spans="1:2" x14ac:dyDescent="0.35">
      <c r="A1492" s="1" t="s">
        <v>2093</v>
      </c>
      <c r="B1492" s="1" t="s">
        <v>2094</v>
      </c>
    </row>
    <row r="1493" spans="1:2" x14ac:dyDescent="0.35">
      <c r="A1493" s="1" t="s">
        <v>2095</v>
      </c>
      <c r="B1493" s="1" t="s">
        <v>2096</v>
      </c>
    </row>
    <row r="1494" spans="1:2" x14ac:dyDescent="0.35">
      <c r="A1494" s="1" t="s">
        <v>2097</v>
      </c>
      <c r="B1494" s="1" t="s">
        <v>2098</v>
      </c>
    </row>
    <row r="1495" spans="1:2" x14ac:dyDescent="0.35">
      <c r="A1495" s="1" t="s">
        <v>2118</v>
      </c>
      <c r="B1495" s="1" t="s">
        <v>2119</v>
      </c>
    </row>
    <row r="1496" spans="1:2" x14ac:dyDescent="0.35">
      <c r="A1496" s="1" t="s">
        <v>2120</v>
      </c>
      <c r="B1496" s="1" t="s">
        <v>2121</v>
      </c>
    </row>
    <row r="1497" spans="1:2" x14ac:dyDescent="0.35">
      <c r="A1497" s="1" t="s">
        <v>2123</v>
      </c>
      <c r="B1497" s="1" t="s">
        <v>2124</v>
      </c>
    </row>
    <row r="1498" spans="1:2" x14ac:dyDescent="0.35">
      <c r="A1498" s="1" t="s">
        <v>2125</v>
      </c>
      <c r="B1498" s="1" t="s">
        <v>2126</v>
      </c>
    </row>
    <row r="1499" spans="1:2" x14ac:dyDescent="0.35">
      <c r="A1499" s="1" t="s">
        <v>2127</v>
      </c>
      <c r="B1499" s="1" t="s">
        <v>2128</v>
      </c>
    </row>
    <row r="1500" spans="1:2" x14ac:dyDescent="0.35">
      <c r="A1500" s="1" t="s">
        <v>2129</v>
      </c>
      <c r="B1500" s="1" t="s">
        <v>2130</v>
      </c>
    </row>
    <row r="1501" spans="1:2" x14ac:dyDescent="0.35">
      <c r="A1501" s="1" t="s">
        <v>2132</v>
      </c>
      <c r="B1501" s="1" t="s">
        <v>2133</v>
      </c>
    </row>
    <row r="1502" spans="1:2" x14ac:dyDescent="0.35">
      <c r="A1502" s="1" t="s">
        <v>2135</v>
      </c>
      <c r="B1502" s="1" t="s">
        <v>2136</v>
      </c>
    </row>
    <row r="1503" spans="1:2" x14ac:dyDescent="0.35">
      <c r="A1503" s="1" t="s">
        <v>2137</v>
      </c>
      <c r="B1503" s="1" t="s">
        <v>2138</v>
      </c>
    </row>
    <row r="1504" spans="1:2" x14ac:dyDescent="0.35">
      <c r="A1504" s="1" t="s">
        <v>2139</v>
      </c>
      <c r="B1504" s="1" t="s">
        <v>2140</v>
      </c>
    </row>
    <row r="1505" spans="1:2" x14ac:dyDescent="0.35">
      <c r="A1505" s="1" t="s">
        <v>2141</v>
      </c>
      <c r="B1505" s="1" t="s">
        <v>2142</v>
      </c>
    </row>
    <row r="1506" spans="1:2" x14ac:dyDescent="0.35">
      <c r="A1506" s="1" t="s">
        <v>2145</v>
      </c>
      <c r="B1506" s="1" t="s">
        <v>2146</v>
      </c>
    </row>
    <row r="1507" spans="1:2" x14ac:dyDescent="0.35">
      <c r="A1507" s="1" t="s">
        <v>2147</v>
      </c>
      <c r="B1507" s="1" t="s">
        <v>2148</v>
      </c>
    </row>
    <row r="1508" spans="1:2" x14ac:dyDescent="0.35">
      <c r="A1508" s="1" t="s">
        <v>2151</v>
      </c>
      <c r="B1508" s="1" t="s">
        <v>2152</v>
      </c>
    </row>
    <row r="1509" spans="1:2" x14ac:dyDescent="0.35">
      <c r="A1509" s="1" t="s">
        <v>2154</v>
      </c>
      <c r="B1509" s="1" t="s">
        <v>2155</v>
      </c>
    </row>
    <row r="1510" spans="1:2" x14ac:dyDescent="0.35">
      <c r="A1510" s="1" t="s">
        <v>2156</v>
      </c>
      <c r="B1510" s="1" t="s">
        <v>2157</v>
      </c>
    </row>
    <row r="1511" spans="1:2" x14ac:dyDescent="0.35">
      <c r="A1511" s="1" t="s">
        <v>2158</v>
      </c>
      <c r="B1511" s="1" t="s">
        <v>2159</v>
      </c>
    </row>
    <row r="1512" spans="1:2" x14ac:dyDescent="0.35">
      <c r="A1512" s="1" t="s">
        <v>2160</v>
      </c>
      <c r="B1512" s="1" t="s">
        <v>2161</v>
      </c>
    </row>
    <row r="1513" spans="1:2" x14ac:dyDescent="0.35">
      <c r="A1513" s="1" t="s">
        <v>2162</v>
      </c>
      <c r="B1513" s="1" t="s">
        <v>2163</v>
      </c>
    </row>
    <row r="1514" spans="1:2" x14ac:dyDescent="0.35">
      <c r="A1514" s="1" t="s">
        <v>2164</v>
      </c>
      <c r="B1514" s="1" t="s">
        <v>2165</v>
      </c>
    </row>
    <row r="1515" spans="1:2" x14ac:dyDescent="0.35">
      <c r="A1515" s="1" t="s">
        <v>2166</v>
      </c>
      <c r="B1515" s="1" t="s">
        <v>2167</v>
      </c>
    </row>
    <row r="1516" spans="1:2" x14ac:dyDescent="0.35">
      <c r="A1516" s="1" t="s">
        <v>2168</v>
      </c>
      <c r="B1516" s="1" t="s">
        <v>2169</v>
      </c>
    </row>
    <row r="1517" spans="1:2" x14ac:dyDescent="0.35">
      <c r="A1517" s="1" t="s">
        <v>2171</v>
      </c>
      <c r="B1517" s="1" t="s">
        <v>2172</v>
      </c>
    </row>
    <row r="1518" spans="1:2" x14ac:dyDescent="0.35">
      <c r="A1518" s="1" t="s">
        <v>2177</v>
      </c>
      <c r="B1518" s="1" t="s">
        <v>2178</v>
      </c>
    </row>
    <row r="1519" spans="1:2" x14ac:dyDescent="0.35">
      <c r="A1519" s="1" t="s">
        <v>2187</v>
      </c>
      <c r="B1519" s="1" t="s">
        <v>2188</v>
      </c>
    </row>
    <row r="1520" spans="1:2" x14ac:dyDescent="0.35">
      <c r="A1520" s="1" t="s">
        <v>2189</v>
      </c>
      <c r="B1520" s="1" t="s">
        <v>2190</v>
      </c>
    </row>
    <row r="1521" spans="1:2" x14ac:dyDescent="0.35">
      <c r="A1521" s="1" t="s">
        <v>2191</v>
      </c>
      <c r="B1521" s="1" t="s">
        <v>2192</v>
      </c>
    </row>
    <row r="1522" spans="1:2" x14ac:dyDescent="0.35">
      <c r="A1522" s="1" t="s">
        <v>2195</v>
      </c>
      <c r="B1522" s="1" t="s">
        <v>2196</v>
      </c>
    </row>
    <row r="1523" spans="1:2" x14ac:dyDescent="0.35">
      <c r="A1523" s="1" t="s">
        <v>2202</v>
      </c>
      <c r="B1523" s="1" t="s">
        <v>2203</v>
      </c>
    </row>
    <row r="1524" spans="1:2" x14ac:dyDescent="0.35">
      <c r="A1524" s="1" t="s">
        <v>2208</v>
      </c>
      <c r="B1524" s="1" t="s">
        <v>2209</v>
      </c>
    </row>
    <row r="1525" spans="1:2" x14ac:dyDescent="0.35">
      <c r="A1525" s="1" t="s">
        <v>2210</v>
      </c>
      <c r="B1525" s="1" t="s">
        <v>2211</v>
      </c>
    </row>
    <row r="1526" spans="1:2" x14ac:dyDescent="0.35">
      <c r="A1526" s="1" t="s">
        <v>2213</v>
      </c>
      <c r="B1526" s="1" t="s">
        <v>2214</v>
      </c>
    </row>
    <row r="1527" spans="1:2" x14ac:dyDescent="0.35">
      <c r="A1527" s="1" t="s">
        <v>2215</v>
      </c>
      <c r="B1527" s="1" t="s">
        <v>2216</v>
      </c>
    </row>
    <row r="1528" spans="1:2" x14ac:dyDescent="0.35">
      <c r="A1528" s="1" t="s">
        <v>2222</v>
      </c>
      <c r="B1528" s="1" t="s">
        <v>2223</v>
      </c>
    </row>
    <row r="1529" spans="1:2" x14ac:dyDescent="0.35">
      <c r="A1529" s="1" t="s">
        <v>2224</v>
      </c>
      <c r="B1529" s="1" t="s">
        <v>2225</v>
      </c>
    </row>
    <row r="1530" spans="1:2" x14ac:dyDescent="0.35">
      <c r="A1530" s="1" t="s">
        <v>2230</v>
      </c>
      <c r="B1530" s="1" t="s">
        <v>2231</v>
      </c>
    </row>
    <row r="1531" spans="1:2" x14ac:dyDescent="0.35">
      <c r="A1531" s="1" t="s">
        <v>2232</v>
      </c>
      <c r="B1531" s="1" t="s">
        <v>2233</v>
      </c>
    </row>
    <row r="1532" spans="1:2" x14ac:dyDescent="0.35">
      <c r="A1532" s="1" t="s">
        <v>2235</v>
      </c>
      <c r="B1532" s="1" t="s">
        <v>2236</v>
      </c>
    </row>
    <row r="1533" spans="1:2" x14ac:dyDescent="0.35">
      <c r="A1533" s="1" t="s">
        <v>2237</v>
      </c>
      <c r="B1533" s="1" t="s">
        <v>2238</v>
      </c>
    </row>
    <row r="1534" spans="1:2" x14ac:dyDescent="0.35">
      <c r="A1534" s="1" t="s">
        <v>2242</v>
      </c>
      <c r="B1534" s="1" t="s">
        <v>2243</v>
      </c>
    </row>
    <row r="1535" spans="1:2" x14ac:dyDescent="0.35">
      <c r="A1535" s="1" t="s">
        <v>2247</v>
      </c>
      <c r="B1535" s="1" t="s">
        <v>2248</v>
      </c>
    </row>
    <row r="1536" spans="1:2" x14ac:dyDescent="0.35">
      <c r="A1536" s="1" t="s">
        <v>2251</v>
      </c>
      <c r="B1536" s="1" t="s">
        <v>2252</v>
      </c>
    </row>
    <row r="1537" spans="1:2" x14ac:dyDescent="0.35">
      <c r="A1537" s="1" t="s">
        <v>2253</v>
      </c>
      <c r="B1537" s="1" t="s">
        <v>2254</v>
      </c>
    </row>
    <row r="1538" spans="1:2" x14ac:dyDescent="0.35">
      <c r="A1538" s="1" t="s">
        <v>2256</v>
      </c>
      <c r="B1538" s="1" t="s">
        <v>2257</v>
      </c>
    </row>
    <row r="1539" spans="1:2" x14ac:dyDescent="0.35">
      <c r="A1539" s="1" t="s">
        <v>2260</v>
      </c>
      <c r="B1539" s="1" t="s">
        <v>2261</v>
      </c>
    </row>
    <row r="1540" spans="1:2" x14ac:dyDescent="0.35">
      <c r="A1540" s="1" t="s">
        <v>2270</v>
      </c>
      <c r="B1540" s="1" t="s">
        <v>2271</v>
      </c>
    </row>
    <row r="1541" spans="1:2" x14ac:dyDescent="0.35">
      <c r="A1541" s="1" t="s">
        <v>2272</v>
      </c>
      <c r="B1541" s="1" t="s">
        <v>2273</v>
      </c>
    </row>
    <row r="1542" spans="1:2" x14ac:dyDescent="0.35">
      <c r="A1542" s="1" t="s">
        <v>2274</v>
      </c>
      <c r="B1542" s="1" t="s">
        <v>2275</v>
      </c>
    </row>
    <row r="1543" spans="1:2" x14ac:dyDescent="0.35">
      <c r="A1543" s="1" t="s">
        <v>2276</v>
      </c>
      <c r="B1543" s="1" t="s">
        <v>2277</v>
      </c>
    </row>
    <row r="1544" spans="1:2" x14ac:dyDescent="0.35">
      <c r="A1544" s="1" t="s">
        <v>2279</v>
      </c>
      <c r="B1544" s="1" t="s">
        <v>2280</v>
      </c>
    </row>
    <row r="1545" spans="1:2" x14ac:dyDescent="0.35">
      <c r="A1545" s="1" t="s">
        <v>2281</v>
      </c>
      <c r="B1545" s="1" t="s">
        <v>2282</v>
      </c>
    </row>
    <row r="1546" spans="1:2" x14ac:dyDescent="0.35">
      <c r="A1546" s="1" t="s">
        <v>2283</v>
      </c>
      <c r="B1546" s="1" t="s">
        <v>2284</v>
      </c>
    </row>
    <row r="1547" spans="1:2" x14ac:dyDescent="0.35">
      <c r="A1547" s="1" t="s">
        <v>2286</v>
      </c>
      <c r="B1547" s="1" t="s">
        <v>2287</v>
      </c>
    </row>
    <row r="1548" spans="1:2" x14ac:dyDescent="0.35">
      <c r="A1548" s="1" t="s">
        <v>2290</v>
      </c>
      <c r="B1548" s="1" t="s">
        <v>2291</v>
      </c>
    </row>
    <row r="1549" spans="1:2" x14ac:dyDescent="0.35">
      <c r="A1549" s="1" t="s">
        <v>2298</v>
      </c>
      <c r="B1549" s="1" t="s">
        <v>2299</v>
      </c>
    </row>
    <row r="1550" spans="1:2" x14ac:dyDescent="0.35">
      <c r="A1550" s="1" t="s">
        <v>2302</v>
      </c>
      <c r="B1550" s="1" t="s">
        <v>2303</v>
      </c>
    </row>
    <row r="1551" spans="1:2" x14ac:dyDescent="0.35">
      <c r="A1551" s="1" t="s">
        <v>2306</v>
      </c>
      <c r="B1551" s="1" t="s">
        <v>2307</v>
      </c>
    </row>
    <row r="1552" spans="1:2" x14ac:dyDescent="0.35">
      <c r="A1552" s="1" t="s">
        <v>2310</v>
      </c>
      <c r="B1552" s="1" t="s">
        <v>2311</v>
      </c>
    </row>
    <row r="1553" spans="1:2" x14ac:dyDescent="0.35">
      <c r="A1553" s="1" t="s">
        <v>2312</v>
      </c>
      <c r="B1553" s="1" t="s">
        <v>2313</v>
      </c>
    </row>
    <row r="1554" spans="1:2" x14ac:dyDescent="0.35">
      <c r="A1554" s="1" t="s">
        <v>2314</v>
      </c>
      <c r="B1554" s="1" t="s">
        <v>2315</v>
      </c>
    </row>
    <row r="1555" spans="1:2" x14ac:dyDescent="0.35">
      <c r="A1555" s="1" t="s">
        <v>2328</v>
      </c>
      <c r="B1555" s="1" t="s">
        <v>2329</v>
      </c>
    </row>
    <row r="1556" spans="1:2" x14ac:dyDescent="0.35">
      <c r="A1556" s="1" t="s">
        <v>2331</v>
      </c>
      <c r="B1556" s="1" t="s">
        <v>2332</v>
      </c>
    </row>
    <row r="1557" spans="1:2" x14ac:dyDescent="0.35">
      <c r="A1557" s="1" t="s">
        <v>2338</v>
      </c>
      <c r="B1557" s="1" t="s">
        <v>2339</v>
      </c>
    </row>
    <row r="1558" spans="1:2" x14ac:dyDescent="0.35">
      <c r="A1558" s="1" t="s">
        <v>2340</v>
      </c>
      <c r="B1558" s="1" t="s">
        <v>2341</v>
      </c>
    </row>
    <row r="1559" spans="1:2" x14ac:dyDescent="0.35">
      <c r="A1559" s="1" t="s">
        <v>2348</v>
      </c>
      <c r="B1559" s="1" t="s">
        <v>2349</v>
      </c>
    </row>
    <row r="1560" spans="1:2" x14ac:dyDescent="0.35">
      <c r="A1560" s="1" t="s">
        <v>2350</v>
      </c>
      <c r="B1560" s="1" t="s">
        <v>2351</v>
      </c>
    </row>
    <row r="1561" spans="1:2" x14ac:dyDescent="0.35">
      <c r="A1561" s="1" t="s">
        <v>2362</v>
      </c>
      <c r="B1561" s="1" t="s">
        <v>2363</v>
      </c>
    </row>
    <row r="1562" spans="1:2" x14ac:dyDescent="0.35">
      <c r="A1562" s="1" t="s">
        <v>2365</v>
      </c>
      <c r="B1562" s="1" t="s">
        <v>2366</v>
      </c>
    </row>
    <row r="1563" spans="1:2" x14ac:dyDescent="0.35">
      <c r="A1563" s="1" t="s">
        <v>2368</v>
      </c>
      <c r="B1563" s="1" t="s">
        <v>2369</v>
      </c>
    </row>
    <row r="1564" spans="1:2" x14ac:dyDescent="0.35">
      <c r="A1564" s="1" t="s">
        <v>2374</v>
      </c>
      <c r="B1564" s="1" t="s">
        <v>2375</v>
      </c>
    </row>
    <row r="1565" spans="1:2" x14ac:dyDescent="0.35">
      <c r="A1565" s="1" t="s">
        <v>2377</v>
      </c>
      <c r="B1565" s="1" t="s">
        <v>2378</v>
      </c>
    </row>
    <row r="1566" spans="1:2" x14ac:dyDescent="0.35">
      <c r="A1566" s="1" t="s">
        <v>2380</v>
      </c>
      <c r="B1566" s="1" t="s">
        <v>2381</v>
      </c>
    </row>
    <row r="1567" spans="1:2" x14ac:dyDescent="0.35">
      <c r="A1567" s="1" t="s">
        <v>2384</v>
      </c>
      <c r="B1567" s="1" t="s">
        <v>2385</v>
      </c>
    </row>
    <row r="1568" spans="1:2" x14ac:dyDescent="0.35">
      <c r="A1568" s="1" t="s">
        <v>2425</v>
      </c>
      <c r="B1568" s="1" t="s">
        <v>2426</v>
      </c>
    </row>
    <row r="1569" spans="1:2" x14ac:dyDescent="0.35">
      <c r="A1569" s="1" t="s">
        <v>2428</v>
      </c>
      <c r="B1569" s="1" t="s">
        <v>2429</v>
      </c>
    </row>
    <row r="1570" spans="1:2" x14ac:dyDescent="0.35">
      <c r="A1570" s="1" t="s">
        <v>2430</v>
      </c>
      <c r="B1570" s="1" t="s">
        <v>2431</v>
      </c>
    </row>
    <row r="1571" spans="1:2" x14ac:dyDescent="0.35">
      <c r="A1571" s="1" t="s">
        <v>2434</v>
      </c>
      <c r="B1571" s="1" t="s">
        <v>2435</v>
      </c>
    </row>
    <row r="1572" spans="1:2" x14ac:dyDescent="0.35">
      <c r="A1572" s="1" t="s">
        <v>2440</v>
      </c>
      <c r="B1572" s="1" t="s">
        <v>2441</v>
      </c>
    </row>
    <row r="1573" spans="1:2" x14ac:dyDescent="0.35">
      <c r="A1573" s="1" t="s">
        <v>2442</v>
      </c>
      <c r="B1573" s="1" t="s">
        <v>2443</v>
      </c>
    </row>
    <row r="1574" spans="1:2" x14ac:dyDescent="0.35">
      <c r="A1574" s="1" t="s">
        <v>2447</v>
      </c>
      <c r="B1574" s="1" t="s">
        <v>2448</v>
      </c>
    </row>
    <row r="1575" spans="1:2" x14ac:dyDescent="0.35">
      <c r="A1575" s="1" t="s">
        <v>2455</v>
      </c>
      <c r="B1575" s="1" t="s">
        <v>2456</v>
      </c>
    </row>
    <row r="1576" spans="1:2" x14ac:dyDescent="0.35">
      <c r="A1576" s="1" t="s">
        <v>2457</v>
      </c>
      <c r="B1576" s="1" t="s">
        <v>2458</v>
      </c>
    </row>
    <row r="1577" spans="1:2" x14ac:dyDescent="0.35">
      <c r="A1577" s="1" t="s">
        <v>2463</v>
      </c>
      <c r="B1577" s="1" t="s">
        <v>2464</v>
      </c>
    </row>
    <row r="1578" spans="1:2" x14ac:dyDescent="0.35">
      <c r="A1578" s="1" t="s">
        <v>2465</v>
      </c>
      <c r="B1578" s="1" t="s">
        <v>2466</v>
      </c>
    </row>
    <row r="1579" spans="1:2" x14ac:dyDescent="0.35">
      <c r="A1579" s="1" t="s">
        <v>2467</v>
      </c>
      <c r="B1579" s="1" t="s">
        <v>2468</v>
      </c>
    </row>
    <row r="1580" spans="1:2" x14ac:dyDescent="0.35">
      <c r="A1580" s="1" t="s">
        <v>2471</v>
      </c>
      <c r="B1580" s="1" t="s">
        <v>2472</v>
      </c>
    </row>
    <row r="1581" spans="1:2" x14ac:dyDescent="0.35">
      <c r="A1581" s="1" t="s">
        <v>2478</v>
      </c>
      <c r="B1581" s="1" t="s">
        <v>2479</v>
      </c>
    </row>
    <row r="1582" spans="1:2" x14ac:dyDescent="0.35">
      <c r="A1582" s="1" t="s">
        <v>2492</v>
      </c>
      <c r="B1582" s="1" t="s">
        <v>2493</v>
      </c>
    </row>
    <row r="1583" spans="1:2" x14ac:dyDescent="0.35">
      <c r="A1583" s="1" t="s">
        <v>2494</v>
      </c>
      <c r="B1583" s="1" t="s">
        <v>2495</v>
      </c>
    </row>
    <row r="1584" spans="1:2" x14ac:dyDescent="0.35">
      <c r="A1584" s="1" t="s">
        <v>2498</v>
      </c>
      <c r="B1584" s="1" t="s">
        <v>2499</v>
      </c>
    </row>
    <row r="1585" spans="1:2" x14ac:dyDescent="0.35">
      <c r="A1585" s="1" t="s">
        <v>2508</v>
      </c>
      <c r="B1585" s="1" t="s">
        <v>2509</v>
      </c>
    </row>
    <row r="1586" spans="1:2" x14ac:dyDescent="0.35">
      <c r="A1586" s="1" t="s">
        <v>2515</v>
      </c>
      <c r="B1586" s="1" t="s">
        <v>2516</v>
      </c>
    </row>
    <row r="1587" spans="1:2" x14ac:dyDescent="0.35">
      <c r="A1587" s="1" t="s">
        <v>2517</v>
      </c>
      <c r="B1587" s="1" t="s">
        <v>2518</v>
      </c>
    </row>
    <row r="1588" spans="1:2" x14ac:dyDescent="0.35">
      <c r="A1588" s="1" t="s">
        <v>2525</v>
      </c>
      <c r="B1588" s="1" t="s">
        <v>2526</v>
      </c>
    </row>
    <row r="1589" spans="1:2" x14ac:dyDescent="0.35">
      <c r="A1589" s="1" t="s">
        <v>2559</v>
      </c>
      <c r="B1589" s="1" t="s">
        <v>2560</v>
      </c>
    </row>
    <row r="1590" spans="1:2" x14ac:dyDescent="0.35">
      <c r="A1590" s="1" t="s">
        <v>2561</v>
      </c>
      <c r="B1590" s="1" t="s">
        <v>2562</v>
      </c>
    </row>
    <row r="1591" spans="1:2" x14ac:dyDescent="0.35">
      <c r="A1591" s="1" t="s">
        <v>2564</v>
      </c>
      <c r="B1591" s="1" t="s">
        <v>2565</v>
      </c>
    </row>
    <row r="1592" spans="1:2" x14ac:dyDescent="0.35">
      <c r="A1592" s="1" t="s">
        <v>2566</v>
      </c>
      <c r="B1592" s="1" t="s">
        <v>2567</v>
      </c>
    </row>
    <row r="1593" spans="1:2" x14ac:dyDescent="0.35">
      <c r="A1593" s="1" t="s">
        <v>2569</v>
      </c>
      <c r="B1593" s="1" t="s">
        <v>2570</v>
      </c>
    </row>
    <row r="1594" spans="1:2" x14ac:dyDescent="0.35">
      <c r="A1594" s="1" t="s">
        <v>2582</v>
      </c>
      <c r="B1594" s="1" t="s">
        <v>2583</v>
      </c>
    </row>
    <row r="1595" spans="1:2" x14ac:dyDescent="0.35">
      <c r="A1595" s="1" t="s">
        <v>2585</v>
      </c>
      <c r="B1595" s="1" t="s">
        <v>2586</v>
      </c>
    </row>
    <row r="1596" spans="1:2" x14ac:dyDescent="0.35">
      <c r="A1596" s="1" t="s">
        <v>2601</v>
      </c>
      <c r="B1596" s="1" t="s">
        <v>2602</v>
      </c>
    </row>
    <row r="1597" spans="1:2" x14ac:dyDescent="0.35">
      <c r="A1597" s="1" t="s">
        <v>2620</v>
      </c>
      <c r="B1597" s="1" t="s">
        <v>2621</v>
      </c>
    </row>
    <row r="1598" spans="1:2" x14ac:dyDescent="0.35">
      <c r="A1598" s="1" t="s">
        <v>2626</v>
      </c>
      <c r="B1598" s="1" t="s">
        <v>2627</v>
      </c>
    </row>
    <row r="1599" spans="1:2" x14ac:dyDescent="0.35">
      <c r="A1599" s="1" t="s">
        <v>2641</v>
      </c>
      <c r="B1599" s="1" t="s">
        <v>2642</v>
      </c>
    </row>
    <row r="1600" spans="1:2" x14ac:dyDescent="0.35">
      <c r="A1600" s="1" t="s">
        <v>2644</v>
      </c>
      <c r="B1600" s="1" t="s">
        <v>2645</v>
      </c>
    </row>
    <row r="1601" spans="1:2" x14ac:dyDescent="0.35">
      <c r="A1601" s="1" t="s">
        <v>2648</v>
      </c>
      <c r="B1601" s="1" t="s">
        <v>2649</v>
      </c>
    </row>
    <row r="1602" spans="1:2" x14ac:dyDescent="0.35">
      <c r="A1602" s="1" t="s">
        <v>2650</v>
      </c>
      <c r="B1602" s="1" t="s">
        <v>2651</v>
      </c>
    </row>
    <row r="1603" spans="1:2" x14ac:dyDescent="0.35">
      <c r="A1603" s="1" t="s">
        <v>2652</v>
      </c>
      <c r="B1603" s="1" t="s">
        <v>2653</v>
      </c>
    </row>
    <row r="1604" spans="1:2" x14ac:dyDescent="0.35">
      <c r="A1604" s="1" t="s">
        <v>2654</v>
      </c>
      <c r="B1604" s="1" t="s">
        <v>2655</v>
      </c>
    </row>
    <row r="1605" spans="1:2" x14ac:dyDescent="0.35">
      <c r="A1605" s="1" t="s">
        <v>2658</v>
      </c>
      <c r="B1605" s="1" t="s">
        <v>2659</v>
      </c>
    </row>
    <row r="1606" spans="1:2" x14ac:dyDescent="0.35">
      <c r="A1606" s="1" t="s">
        <v>2660</v>
      </c>
      <c r="B1606" s="1" t="s">
        <v>2661</v>
      </c>
    </row>
    <row r="1607" spans="1:2" x14ac:dyDescent="0.35">
      <c r="A1607" s="1" t="s">
        <v>2678</v>
      </c>
      <c r="B1607" s="1" t="s">
        <v>2679</v>
      </c>
    </row>
    <row r="1608" spans="1:2" x14ac:dyDescent="0.35">
      <c r="A1608" s="1" t="s">
        <v>2700</v>
      </c>
      <c r="B1608" s="1" t="s">
        <v>2701</v>
      </c>
    </row>
    <row r="1609" spans="1:2" x14ac:dyDescent="0.35">
      <c r="A1609" s="1" t="s">
        <v>2702</v>
      </c>
      <c r="B1609" s="1" t="s">
        <v>2703</v>
      </c>
    </row>
    <row r="1610" spans="1:2" x14ac:dyDescent="0.35">
      <c r="A1610" s="1" t="s">
        <v>2705</v>
      </c>
      <c r="B1610" s="1" t="s">
        <v>2706</v>
      </c>
    </row>
    <row r="1611" spans="1:2" x14ac:dyDescent="0.35">
      <c r="A1611" s="1" t="s">
        <v>2707</v>
      </c>
      <c r="B1611" s="1" t="s">
        <v>2708</v>
      </c>
    </row>
    <row r="1612" spans="1:2" x14ac:dyDescent="0.35">
      <c r="A1612" s="1" t="s">
        <v>2712</v>
      </c>
      <c r="B1612" s="1" t="s">
        <v>2713</v>
      </c>
    </row>
    <row r="1613" spans="1:2" x14ac:dyDescent="0.35">
      <c r="A1613" s="1" t="s">
        <v>2716</v>
      </c>
      <c r="B1613" s="1" t="s">
        <v>2717</v>
      </c>
    </row>
    <row r="1614" spans="1:2" x14ac:dyDescent="0.35">
      <c r="A1614" s="1" t="s">
        <v>2719</v>
      </c>
      <c r="B1614" s="1" t="s">
        <v>2720</v>
      </c>
    </row>
    <row r="1615" spans="1:2" x14ac:dyDescent="0.35">
      <c r="A1615" s="1" t="s">
        <v>2721</v>
      </c>
      <c r="B1615" s="1" t="s">
        <v>2722</v>
      </c>
    </row>
    <row r="1616" spans="1:2" x14ac:dyDescent="0.35">
      <c r="A1616" s="1" t="s">
        <v>2724</v>
      </c>
      <c r="B1616" s="1" t="s">
        <v>2725</v>
      </c>
    </row>
    <row r="1617" spans="1:2" x14ac:dyDescent="0.35">
      <c r="A1617" s="1" t="s">
        <v>2733</v>
      </c>
      <c r="B1617" s="1" t="s">
        <v>2734</v>
      </c>
    </row>
    <row r="1618" spans="1:2" x14ac:dyDescent="0.35">
      <c r="A1618" s="1" t="s">
        <v>2737</v>
      </c>
      <c r="B1618" s="1" t="s">
        <v>2738</v>
      </c>
    </row>
    <row r="1619" spans="1:2" x14ac:dyDescent="0.35">
      <c r="B1619" s="1" t="s">
        <v>2739</v>
      </c>
    </row>
    <row r="1620" spans="1:2" x14ac:dyDescent="0.35">
      <c r="A1620" s="1" t="s">
        <v>2740</v>
      </c>
      <c r="B1620" s="1" t="s">
        <v>2741</v>
      </c>
    </row>
    <row r="1621" spans="1:2" x14ac:dyDescent="0.35">
      <c r="A1621" s="1" t="s">
        <v>2743</v>
      </c>
      <c r="B1621" s="1" t="s">
        <v>2744</v>
      </c>
    </row>
    <row r="1622" spans="1:2" x14ac:dyDescent="0.35">
      <c r="A1622" s="1" t="s">
        <v>2746</v>
      </c>
      <c r="B1622" s="1" t="s">
        <v>2747</v>
      </c>
    </row>
    <row r="1623" spans="1:2" x14ac:dyDescent="0.35">
      <c r="A1623" s="1" t="s">
        <v>2749</v>
      </c>
      <c r="B1623" s="1" t="s">
        <v>2750</v>
      </c>
    </row>
    <row r="1624" spans="1:2" x14ac:dyDescent="0.35">
      <c r="A1624" s="1" t="s">
        <v>2753</v>
      </c>
      <c r="B1624" s="1" t="s">
        <v>2754</v>
      </c>
    </row>
    <row r="1625" spans="1:2" x14ac:dyDescent="0.35">
      <c r="A1625" s="1" t="s">
        <v>2755</v>
      </c>
      <c r="B1625" s="1" t="s">
        <v>2756</v>
      </c>
    </row>
    <row r="1626" spans="1:2" x14ac:dyDescent="0.35">
      <c r="A1626" s="1" t="s">
        <v>2758</v>
      </c>
      <c r="B1626" s="1" t="s">
        <v>2759</v>
      </c>
    </row>
    <row r="1627" spans="1:2" x14ac:dyDescent="0.35">
      <c r="A1627" s="1" t="s">
        <v>2761</v>
      </c>
      <c r="B1627" s="1" t="s">
        <v>2762</v>
      </c>
    </row>
    <row r="1628" spans="1:2" x14ac:dyDescent="0.35">
      <c r="A1628" s="1" t="s">
        <v>2763</v>
      </c>
      <c r="B1628" s="1" t="s">
        <v>2764</v>
      </c>
    </row>
    <row r="1629" spans="1:2" x14ac:dyDescent="0.35">
      <c r="A1629" s="1" t="s">
        <v>2765</v>
      </c>
      <c r="B1629" s="1" t="s">
        <v>2766</v>
      </c>
    </row>
    <row r="1630" spans="1:2" x14ac:dyDescent="0.35">
      <c r="A1630" s="1" t="s">
        <v>2767</v>
      </c>
      <c r="B1630" s="1" t="s">
        <v>2768</v>
      </c>
    </row>
    <row r="1631" spans="1:2" x14ac:dyDescent="0.35">
      <c r="A1631" s="1" t="s">
        <v>2769</v>
      </c>
      <c r="B1631" s="1" t="s">
        <v>2770</v>
      </c>
    </row>
    <row r="1632" spans="1:2" x14ac:dyDescent="0.35">
      <c r="A1632" s="1" t="s">
        <v>2772</v>
      </c>
      <c r="B1632" s="1" t="s">
        <v>2773</v>
      </c>
    </row>
    <row r="1633" spans="1:2" x14ac:dyDescent="0.35">
      <c r="A1633" s="1" t="s">
        <v>2775</v>
      </c>
      <c r="B1633" s="1" t="s">
        <v>2776</v>
      </c>
    </row>
    <row r="1634" spans="1:2" x14ac:dyDescent="0.35">
      <c r="A1634" s="1" t="s">
        <v>2779</v>
      </c>
      <c r="B1634" s="1" t="s">
        <v>2780</v>
      </c>
    </row>
    <row r="1635" spans="1:2" x14ac:dyDescent="0.35">
      <c r="A1635" s="1" t="s">
        <v>2781</v>
      </c>
      <c r="B1635" s="1" t="s">
        <v>2782</v>
      </c>
    </row>
    <row r="1636" spans="1:2" x14ac:dyDescent="0.35">
      <c r="A1636" s="1" t="s">
        <v>2784</v>
      </c>
      <c r="B1636" s="1" t="s">
        <v>2785</v>
      </c>
    </row>
    <row r="1637" spans="1:2" x14ac:dyDescent="0.35">
      <c r="A1637" s="1" t="s">
        <v>2788</v>
      </c>
      <c r="B1637" s="1" t="s">
        <v>2789</v>
      </c>
    </row>
    <row r="1638" spans="1:2" x14ac:dyDescent="0.35">
      <c r="A1638" s="1" t="s">
        <v>2792</v>
      </c>
      <c r="B1638" s="1" t="s">
        <v>2793</v>
      </c>
    </row>
    <row r="1639" spans="1:2" x14ac:dyDescent="0.35">
      <c r="A1639" s="1" t="s">
        <v>2795</v>
      </c>
      <c r="B1639" s="1" t="s">
        <v>2796</v>
      </c>
    </row>
    <row r="1640" spans="1:2" x14ac:dyDescent="0.35">
      <c r="A1640" s="1" t="s">
        <v>2798</v>
      </c>
      <c r="B1640" s="1" t="s">
        <v>2799</v>
      </c>
    </row>
    <row r="1641" spans="1:2" x14ac:dyDescent="0.35">
      <c r="A1641" s="1" t="s">
        <v>2801</v>
      </c>
      <c r="B1641" s="1" t="s">
        <v>2802</v>
      </c>
    </row>
    <row r="1642" spans="1:2" x14ac:dyDescent="0.35">
      <c r="A1642" s="1" t="s">
        <v>2805</v>
      </c>
      <c r="B1642" s="1" t="s">
        <v>2806</v>
      </c>
    </row>
    <row r="1643" spans="1:2" x14ac:dyDescent="0.35">
      <c r="A1643" s="1" t="s">
        <v>2808</v>
      </c>
      <c r="B1643" s="1" t="s">
        <v>2809</v>
      </c>
    </row>
    <row r="1644" spans="1:2" x14ac:dyDescent="0.35">
      <c r="A1644" s="1" t="s">
        <v>2810</v>
      </c>
      <c r="B1644" s="1" t="s">
        <v>2811</v>
      </c>
    </row>
    <row r="1645" spans="1:2" x14ac:dyDescent="0.35">
      <c r="A1645" s="1" t="s">
        <v>2814</v>
      </c>
      <c r="B1645" s="1" t="s">
        <v>2815</v>
      </c>
    </row>
    <row r="1646" spans="1:2" x14ac:dyDescent="0.35">
      <c r="A1646" s="1" t="s">
        <v>2817</v>
      </c>
      <c r="B1646" s="1" t="s">
        <v>2818</v>
      </c>
    </row>
    <row r="1647" spans="1:2" x14ac:dyDescent="0.35">
      <c r="A1647" s="1" t="s">
        <v>2821</v>
      </c>
      <c r="B1647" s="1" t="s">
        <v>2822</v>
      </c>
    </row>
    <row r="1648" spans="1:2" x14ac:dyDescent="0.35">
      <c r="A1648" s="1" t="s">
        <v>2825</v>
      </c>
      <c r="B1648" s="1" t="s">
        <v>2826</v>
      </c>
    </row>
    <row r="1649" spans="1:2" x14ac:dyDescent="0.35">
      <c r="A1649" s="1" t="s">
        <v>2832</v>
      </c>
      <c r="B1649" s="1" t="s">
        <v>2833</v>
      </c>
    </row>
    <row r="1650" spans="1:2" x14ac:dyDescent="0.35">
      <c r="A1650" s="1" t="s">
        <v>2836</v>
      </c>
      <c r="B1650" s="1" t="s">
        <v>2837</v>
      </c>
    </row>
    <row r="1651" spans="1:2" x14ac:dyDescent="0.35">
      <c r="A1651" s="1" t="s">
        <v>2840</v>
      </c>
      <c r="B1651" s="1" t="s">
        <v>2841</v>
      </c>
    </row>
    <row r="1652" spans="1:2" x14ac:dyDescent="0.35">
      <c r="A1652" s="1" t="s">
        <v>2843</v>
      </c>
      <c r="B1652" s="1" t="s">
        <v>2844</v>
      </c>
    </row>
    <row r="1653" spans="1:2" x14ac:dyDescent="0.35">
      <c r="A1653" s="1" t="s">
        <v>2846</v>
      </c>
      <c r="B1653" s="1" t="s">
        <v>2847</v>
      </c>
    </row>
    <row r="1654" spans="1:2" x14ac:dyDescent="0.35">
      <c r="A1654" s="1" t="s">
        <v>2850</v>
      </c>
      <c r="B1654" s="1" t="s">
        <v>2851</v>
      </c>
    </row>
    <row r="1655" spans="1:2" x14ac:dyDescent="0.35">
      <c r="A1655" s="1" t="s">
        <v>2854</v>
      </c>
      <c r="B1655" s="1" t="s">
        <v>2855</v>
      </c>
    </row>
    <row r="1656" spans="1:2" x14ac:dyDescent="0.35">
      <c r="A1656" s="1" t="s">
        <v>2856</v>
      </c>
      <c r="B1656" s="1" t="s">
        <v>2857</v>
      </c>
    </row>
    <row r="1657" spans="1:2" x14ac:dyDescent="0.35">
      <c r="A1657" s="1" t="s">
        <v>2860</v>
      </c>
      <c r="B1657" s="1" t="s">
        <v>2861</v>
      </c>
    </row>
    <row r="1658" spans="1:2" x14ac:dyDescent="0.35">
      <c r="A1658" s="1" t="s">
        <v>2862</v>
      </c>
      <c r="B1658" s="1" t="s">
        <v>2863</v>
      </c>
    </row>
    <row r="1659" spans="1:2" x14ac:dyDescent="0.35">
      <c r="A1659" s="1" t="s">
        <v>2864</v>
      </c>
      <c r="B1659" s="1" t="s">
        <v>2865</v>
      </c>
    </row>
    <row r="1660" spans="1:2" x14ac:dyDescent="0.35">
      <c r="A1660" s="1" t="s">
        <v>2866</v>
      </c>
      <c r="B1660" s="1" t="s">
        <v>2867</v>
      </c>
    </row>
    <row r="1661" spans="1:2" x14ac:dyDescent="0.35">
      <c r="A1661" s="1" t="s">
        <v>2868</v>
      </c>
      <c r="B1661" s="1" t="s">
        <v>2869</v>
      </c>
    </row>
    <row r="1662" spans="1:2" x14ac:dyDescent="0.35">
      <c r="A1662" s="1" t="s">
        <v>2871</v>
      </c>
      <c r="B1662" s="1" t="s">
        <v>2872</v>
      </c>
    </row>
    <row r="1663" spans="1:2" x14ac:dyDescent="0.35">
      <c r="A1663" s="1" t="s">
        <v>2874</v>
      </c>
      <c r="B1663" s="1" t="s">
        <v>2875</v>
      </c>
    </row>
    <row r="1664" spans="1:2" x14ac:dyDescent="0.35">
      <c r="A1664" s="1" t="s">
        <v>2876</v>
      </c>
      <c r="B1664" s="1" t="s">
        <v>2877</v>
      </c>
    </row>
    <row r="1665" spans="1:2" x14ac:dyDescent="0.35">
      <c r="A1665" s="1" t="s">
        <v>2878</v>
      </c>
      <c r="B1665" s="1" t="s">
        <v>2879</v>
      </c>
    </row>
    <row r="1666" spans="1:2" x14ac:dyDescent="0.35">
      <c r="A1666" s="1" t="s">
        <v>2880</v>
      </c>
      <c r="B1666" s="1" t="s">
        <v>2881</v>
      </c>
    </row>
    <row r="1667" spans="1:2" x14ac:dyDescent="0.35">
      <c r="A1667" s="1" t="s">
        <v>2882</v>
      </c>
      <c r="B1667" s="1" t="s">
        <v>2883</v>
      </c>
    </row>
    <row r="1668" spans="1:2" x14ac:dyDescent="0.35">
      <c r="A1668" s="1" t="s">
        <v>2884</v>
      </c>
      <c r="B1668" s="1" t="s">
        <v>2885</v>
      </c>
    </row>
    <row r="1669" spans="1:2" x14ac:dyDescent="0.35">
      <c r="A1669" s="1" t="s">
        <v>2886</v>
      </c>
      <c r="B1669" s="1" t="s">
        <v>2887</v>
      </c>
    </row>
    <row r="1670" spans="1:2" x14ac:dyDescent="0.35">
      <c r="A1670" s="1" t="s">
        <v>2888</v>
      </c>
      <c r="B1670" s="1" t="s">
        <v>2889</v>
      </c>
    </row>
    <row r="1671" spans="1:2" x14ac:dyDescent="0.35">
      <c r="A1671" s="1" t="s">
        <v>2893</v>
      </c>
      <c r="B1671" s="1" t="s">
        <v>2894</v>
      </c>
    </row>
    <row r="1672" spans="1:2" x14ac:dyDescent="0.35">
      <c r="A1672" s="1" t="s">
        <v>2907</v>
      </c>
      <c r="B1672" s="1" t="s">
        <v>2908</v>
      </c>
    </row>
    <row r="1673" spans="1:2" x14ac:dyDescent="0.35">
      <c r="A1673" s="1" t="s">
        <v>2910</v>
      </c>
      <c r="B1673" s="1" t="s">
        <v>2911</v>
      </c>
    </row>
    <row r="1674" spans="1:2" x14ac:dyDescent="0.35">
      <c r="A1674" s="1" t="s">
        <v>2912</v>
      </c>
      <c r="B1674" s="1" t="s">
        <v>2913</v>
      </c>
    </row>
    <row r="1675" spans="1:2" x14ac:dyDescent="0.35">
      <c r="A1675" s="1" t="s">
        <v>2914</v>
      </c>
      <c r="B1675" s="1" t="s">
        <v>2915</v>
      </c>
    </row>
    <row r="1676" spans="1:2" x14ac:dyDescent="0.35">
      <c r="A1676" s="1" t="s">
        <v>2917</v>
      </c>
      <c r="B1676" s="1" t="s">
        <v>2918</v>
      </c>
    </row>
    <row r="1677" spans="1:2" x14ac:dyDescent="0.35">
      <c r="A1677" s="1" t="s">
        <v>2919</v>
      </c>
      <c r="B1677" s="1" t="s">
        <v>2920</v>
      </c>
    </row>
    <row r="1678" spans="1:2" x14ac:dyDescent="0.35">
      <c r="A1678" s="1" t="s">
        <v>2922</v>
      </c>
      <c r="B1678" s="1" t="s">
        <v>2923</v>
      </c>
    </row>
    <row r="1679" spans="1:2" x14ac:dyDescent="0.35">
      <c r="A1679" s="1" t="s">
        <v>2924</v>
      </c>
      <c r="B1679" s="1" t="s">
        <v>2925</v>
      </c>
    </row>
    <row r="1680" spans="1:2" x14ac:dyDescent="0.35">
      <c r="A1680" s="1" t="s">
        <v>2926</v>
      </c>
      <c r="B1680" s="1" t="s">
        <v>2927</v>
      </c>
    </row>
    <row r="1681" spans="1:2" x14ac:dyDescent="0.35">
      <c r="A1681" s="1" t="s">
        <v>2932</v>
      </c>
      <c r="B1681" s="1" t="s">
        <v>2933</v>
      </c>
    </row>
    <row r="1682" spans="1:2" x14ac:dyDescent="0.35">
      <c r="A1682" s="1" t="s">
        <v>2938</v>
      </c>
      <c r="B1682" s="1" t="s">
        <v>2939</v>
      </c>
    </row>
    <row r="1683" spans="1:2" x14ac:dyDescent="0.35">
      <c r="A1683" s="1" t="s">
        <v>2942</v>
      </c>
      <c r="B1683" s="1" t="s">
        <v>2943</v>
      </c>
    </row>
    <row r="1684" spans="1:2" x14ac:dyDescent="0.35">
      <c r="A1684" s="1" t="s">
        <v>2945</v>
      </c>
      <c r="B1684" s="1" t="s">
        <v>2946</v>
      </c>
    </row>
    <row r="1685" spans="1:2" x14ac:dyDescent="0.35">
      <c r="A1685" s="1" t="s">
        <v>2947</v>
      </c>
      <c r="B1685" s="1" t="s">
        <v>2948</v>
      </c>
    </row>
    <row r="1686" spans="1:2" x14ac:dyDescent="0.35">
      <c r="A1686" s="1" t="s">
        <v>2950</v>
      </c>
      <c r="B1686" s="1" t="s">
        <v>2951</v>
      </c>
    </row>
    <row r="1687" spans="1:2" x14ac:dyDescent="0.35">
      <c r="A1687" s="1" t="s">
        <v>2952</v>
      </c>
      <c r="B1687" s="1" t="s">
        <v>2953</v>
      </c>
    </row>
    <row r="1688" spans="1:2" x14ac:dyDescent="0.35">
      <c r="A1688" s="1" t="s">
        <v>2954</v>
      </c>
      <c r="B1688" s="1" t="s">
        <v>2955</v>
      </c>
    </row>
    <row r="1689" spans="1:2" x14ac:dyDescent="0.35">
      <c r="A1689" s="1" t="s">
        <v>2956</v>
      </c>
      <c r="B1689" s="1" t="s">
        <v>2957</v>
      </c>
    </row>
    <row r="1690" spans="1:2" x14ac:dyDescent="0.35">
      <c r="A1690" s="1" t="s">
        <v>2958</v>
      </c>
      <c r="B1690" s="1" t="s">
        <v>2959</v>
      </c>
    </row>
    <row r="1691" spans="1:2" x14ac:dyDescent="0.35">
      <c r="A1691" s="1" t="s">
        <v>2960</v>
      </c>
      <c r="B1691" s="1" t="s">
        <v>2961</v>
      </c>
    </row>
    <row r="1692" spans="1:2" x14ac:dyDescent="0.35">
      <c r="A1692" s="1" t="s">
        <v>2964</v>
      </c>
      <c r="B1692" s="1" t="s">
        <v>2965</v>
      </c>
    </row>
    <row r="1693" spans="1:2" x14ac:dyDescent="0.35">
      <c r="A1693" s="1" t="s">
        <v>2972</v>
      </c>
      <c r="B1693" s="1" t="s">
        <v>2973</v>
      </c>
    </row>
    <row r="1694" spans="1:2" x14ac:dyDescent="0.35">
      <c r="A1694" s="1" t="s">
        <v>2978</v>
      </c>
      <c r="B1694" s="1" t="s">
        <v>2979</v>
      </c>
    </row>
    <row r="1695" spans="1:2" x14ac:dyDescent="0.35">
      <c r="A1695" s="1" t="s">
        <v>2983</v>
      </c>
      <c r="B1695" s="1" t="s">
        <v>2984</v>
      </c>
    </row>
    <row r="1696" spans="1:2" x14ac:dyDescent="0.35">
      <c r="A1696" s="1" t="s">
        <v>2985</v>
      </c>
      <c r="B1696" s="1" t="s">
        <v>2986</v>
      </c>
    </row>
    <row r="1697" spans="1:2" x14ac:dyDescent="0.35">
      <c r="A1697" s="1" t="s">
        <v>2993</v>
      </c>
      <c r="B1697" s="1" t="s">
        <v>2994</v>
      </c>
    </row>
    <row r="1698" spans="1:2" x14ac:dyDescent="0.35">
      <c r="A1698" s="1" t="s">
        <v>2995</v>
      </c>
      <c r="B1698" s="1" t="s">
        <v>2996</v>
      </c>
    </row>
    <row r="1699" spans="1:2" x14ac:dyDescent="0.35">
      <c r="A1699" s="1" t="s">
        <v>2999</v>
      </c>
      <c r="B1699" s="1" t="s">
        <v>3000</v>
      </c>
    </row>
    <row r="1700" spans="1:2" x14ac:dyDescent="0.35">
      <c r="A1700" s="1" t="s">
        <v>3003</v>
      </c>
      <c r="B1700" s="1" t="s">
        <v>3004</v>
      </c>
    </row>
    <row r="1701" spans="1:2" x14ac:dyDescent="0.35">
      <c r="A1701" s="1" t="s">
        <v>3007</v>
      </c>
      <c r="B1701" s="1" t="s">
        <v>3008</v>
      </c>
    </row>
    <row r="1702" spans="1:2" x14ac:dyDescent="0.35">
      <c r="A1702" s="1" t="s">
        <v>3013</v>
      </c>
      <c r="B1702" s="1" t="s">
        <v>3014</v>
      </c>
    </row>
    <row r="1703" spans="1:2" x14ac:dyDescent="0.35">
      <c r="A1703" s="1" t="s">
        <v>3015</v>
      </c>
      <c r="B1703" s="1" t="s">
        <v>3016</v>
      </c>
    </row>
    <row r="1704" spans="1:2" x14ac:dyDescent="0.35">
      <c r="A1704" s="1" t="s">
        <v>3021</v>
      </c>
      <c r="B1704" s="1" t="s">
        <v>3022</v>
      </c>
    </row>
    <row r="1705" spans="1:2" x14ac:dyDescent="0.35">
      <c r="A1705" s="1" t="s">
        <v>3027</v>
      </c>
      <c r="B1705" s="1" t="s">
        <v>3028</v>
      </c>
    </row>
    <row r="1706" spans="1:2" x14ac:dyDescent="0.35">
      <c r="A1706" s="1" t="s">
        <v>3029</v>
      </c>
      <c r="B1706" s="1" t="s">
        <v>3030</v>
      </c>
    </row>
    <row r="1707" spans="1:2" x14ac:dyDescent="0.35">
      <c r="A1707" s="1" t="s">
        <v>3037</v>
      </c>
      <c r="B1707" s="1" t="s">
        <v>3038</v>
      </c>
    </row>
    <row r="1708" spans="1:2" x14ac:dyDescent="0.35">
      <c r="A1708" s="1" t="s">
        <v>3041</v>
      </c>
      <c r="B1708" s="1" t="s">
        <v>3042</v>
      </c>
    </row>
    <row r="1709" spans="1:2" x14ac:dyDescent="0.35">
      <c r="A1709" s="1" t="s">
        <v>3045</v>
      </c>
      <c r="B1709" s="1" t="s">
        <v>3046</v>
      </c>
    </row>
    <row r="1710" spans="1:2" x14ac:dyDescent="0.35">
      <c r="A1710" s="1" t="s">
        <v>3047</v>
      </c>
      <c r="B1710" s="1" t="s">
        <v>3048</v>
      </c>
    </row>
    <row r="1711" spans="1:2" x14ac:dyDescent="0.35">
      <c r="A1711" s="1" t="s">
        <v>3051</v>
      </c>
      <c r="B1711" s="1" t="s">
        <v>3052</v>
      </c>
    </row>
    <row r="1712" spans="1:2" x14ac:dyDescent="0.35">
      <c r="A1712" s="1" t="s">
        <v>3061</v>
      </c>
      <c r="B1712" s="1" t="s">
        <v>3062</v>
      </c>
    </row>
    <row r="1713" spans="1:2" x14ac:dyDescent="0.35">
      <c r="A1713" s="1" t="s">
        <v>3063</v>
      </c>
      <c r="B1713" s="1" t="s">
        <v>3064</v>
      </c>
    </row>
    <row r="1714" spans="1:2" x14ac:dyDescent="0.35">
      <c r="A1714" s="1" t="s">
        <v>3065</v>
      </c>
      <c r="B1714" s="1" t="s">
        <v>3066</v>
      </c>
    </row>
    <row r="1715" spans="1:2" x14ac:dyDescent="0.35">
      <c r="A1715" s="1" t="s">
        <v>3083</v>
      </c>
      <c r="B1715" s="1" t="s">
        <v>3084</v>
      </c>
    </row>
    <row r="1716" spans="1:2" x14ac:dyDescent="0.35">
      <c r="A1716" s="1" t="s">
        <v>3087</v>
      </c>
      <c r="B1716" s="1" t="s">
        <v>3088</v>
      </c>
    </row>
    <row r="1717" spans="1:2" x14ac:dyDescent="0.35">
      <c r="A1717" s="1" t="s">
        <v>3098</v>
      </c>
      <c r="B1717" s="1" t="s">
        <v>3099</v>
      </c>
    </row>
    <row r="1718" spans="1:2" x14ac:dyDescent="0.35">
      <c r="A1718" s="1" t="s">
        <v>3106</v>
      </c>
      <c r="B1718" s="1" t="s">
        <v>3107</v>
      </c>
    </row>
    <row r="1719" spans="1:2" x14ac:dyDescent="0.35">
      <c r="A1719" s="1" t="s">
        <v>3121</v>
      </c>
      <c r="B1719" s="1" t="s">
        <v>3122</v>
      </c>
    </row>
    <row r="1720" spans="1:2" x14ac:dyDescent="0.35">
      <c r="A1720" s="1" t="s">
        <v>3125</v>
      </c>
      <c r="B1720" s="1" t="s">
        <v>3126</v>
      </c>
    </row>
    <row r="1721" spans="1:2" x14ac:dyDescent="0.35">
      <c r="A1721" s="1" t="s">
        <v>3137</v>
      </c>
      <c r="B1721" s="1" t="s">
        <v>3138</v>
      </c>
    </row>
    <row r="1722" spans="1:2" x14ac:dyDescent="0.35">
      <c r="A1722" s="1" t="s">
        <v>3141</v>
      </c>
      <c r="B1722" s="1" t="s">
        <v>3142</v>
      </c>
    </row>
    <row r="1723" spans="1:2" x14ac:dyDescent="0.35">
      <c r="A1723" s="1" t="s">
        <v>3155</v>
      </c>
      <c r="B1723" s="1" t="s">
        <v>3156</v>
      </c>
    </row>
    <row r="1724" spans="1:2" x14ac:dyDescent="0.35">
      <c r="A1724" s="1" t="s">
        <v>3170</v>
      </c>
      <c r="B1724" s="1" t="s">
        <v>3171</v>
      </c>
    </row>
    <row r="1725" spans="1:2" x14ac:dyDescent="0.35">
      <c r="A1725" s="1" t="s">
        <v>3176</v>
      </c>
      <c r="B1725" s="1" t="s">
        <v>3177</v>
      </c>
    </row>
    <row r="1726" spans="1:2" x14ac:dyDescent="0.35">
      <c r="A1726" s="1" t="s">
        <v>3181</v>
      </c>
      <c r="B1726" s="1" t="s">
        <v>3182</v>
      </c>
    </row>
    <row r="1727" spans="1:2" x14ac:dyDescent="0.35">
      <c r="A1727" s="1" t="s">
        <v>3191</v>
      </c>
      <c r="B1727" s="1" t="s">
        <v>3192</v>
      </c>
    </row>
    <row r="1728" spans="1:2" x14ac:dyDescent="0.35">
      <c r="A1728" s="1" t="s">
        <v>3200</v>
      </c>
      <c r="B1728" s="1" t="s">
        <v>3201</v>
      </c>
    </row>
    <row r="1729" spans="1:2" x14ac:dyDescent="0.35">
      <c r="A1729" s="1" t="s">
        <v>3202</v>
      </c>
      <c r="B1729" s="1" t="s">
        <v>3203</v>
      </c>
    </row>
    <row r="1730" spans="1:2" x14ac:dyDescent="0.35">
      <c r="A1730" s="1" t="s">
        <v>3204</v>
      </c>
      <c r="B1730" s="1" t="s">
        <v>3205</v>
      </c>
    </row>
    <row r="1731" spans="1:2" x14ac:dyDescent="0.35">
      <c r="A1731" s="1" t="s">
        <v>3219</v>
      </c>
      <c r="B1731" s="1" t="s">
        <v>3220</v>
      </c>
    </row>
    <row r="1732" spans="1:2" x14ac:dyDescent="0.35">
      <c r="A1732" s="1" t="s">
        <v>3222</v>
      </c>
      <c r="B1732" s="1" t="s">
        <v>3223</v>
      </c>
    </row>
    <row r="1733" spans="1:2" x14ac:dyDescent="0.35">
      <c r="A1733" s="1" t="s">
        <v>3228</v>
      </c>
      <c r="B1733" s="1" t="s">
        <v>3229</v>
      </c>
    </row>
    <row r="1734" spans="1:2" x14ac:dyDescent="0.35">
      <c r="A1734" s="1" t="s">
        <v>3231</v>
      </c>
      <c r="B1734" s="1" t="s">
        <v>3232</v>
      </c>
    </row>
    <row r="1735" spans="1:2" x14ac:dyDescent="0.35">
      <c r="A1735" s="1" t="s">
        <v>3234</v>
      </c>
      <c r="B1735" s="1" t="s">
        <v>3235</v>
      </c>
    </row>
    <row r="1736" spans="1:2" x14ac:dyDescent="0.35">
      <c r="A1736" s="1" t="s">
        <v>3238</v>
      </c>
      <c r="B1736" s="1" t="s">
        <v>3239</v>
      </c>
    </row>
    <row r="1737" spans="1:2" x14ac:dyDescent="0.35">
      <c r="A1737" s="1" t="s">
        <v>3241</v>
      </c>
      <c r="B1737" s="1" t="s">
        <v>3242</v>
      </c>
    </row>
    <row r="1738" spans="1:2" x14ac:dyDescent="0.35">
      <c r="A1738" s="1" t="s">
        <v>3243</v>
      </c>
      <c r="B1738" s="1" t="s">
        <v>3244</v>
      </c>
    </row>
    <row r="1739" spans="1:2" x14ac:dyDescent="0.35">
      <c r="A1739" s="1" t="s">
        <v>3247</v>
      </c>
      <c r="B1739" s="1" t="s">
        <v>3248</v>
      </c>
    </row>
    <row r="1740" spans="1:2" x14ac:dyDescent="0.35">
      <c r="A1740" s="1" t="s">
        <v>3251</v>
      </c>
      <c r="B1740" s="1" t="s">
        <v>3252</v>
      </c>
    </row>
    <row r="1741" spans="1:2" x14ac:dyDescent="0.35">
      <c r="A1741" s="1" t="s">
        <v>3255</v>
      </c>
      <c r="B1741" s="1" t="s">
        <v>3256</v>
      </c>
    </row>
    <row r="1742" spans="1:2" x14ac:dyDescent="0.35">
      <c r="A1742" s="1" t="s">
        <v>3259</v>
      </c>
      <c r="B1742" s="1" t="s">
        <v>3260</v>
      </c>
    </row>
    <row r="1743" spans="1:2" x14ac:dyDescent="0.35">
      <c r="A1743" s="1" t="s">
        <v>3263</v>
      </c>
      <c r="B1743" s="1" t="s">
        <v>3264</v>
      </c>
    </row>
    <row r="1744" spans="1:2" x14ac:dyDescent="0.35">
      <c r="A1744" s="1" t="s">
        <v>3273</v>
      </c>
      <c r="B1744" s="1" t="s">
        <v>3274</v>
      </c>
    </row>
    <row r="1745" spans="1:2" x14ac:dyDescent="0.35">
      <c r="A1745" s="1" t="s">
        <v>3281</v>
      </c>
      <c r="B1745" s="1" t="s">
        <v>3282</v>
      </c>
    </row>
    <row r="1746" spans="1:2" x14ac:dyDescent="0.35">
      <c r="A1746" s="1" t="s">
        <v>3288</v>
      </c>
      <c r="B1746" s="1" t="s">
        <v>3289</v>
      </c>
    </row>
    <row r="1747" spans="1:2" x14ac:dyDescent="0.35">
      <c r="A1747" s="1" t="s">
        <v>3300</v>
      </c>
      <c r="B1747" s="1" t="s">
        <v>3301</v>
      </c>
    </row>
    <row r="1748" spans="1:2" x14ac:dyDescent="0.35">
      <c r="A1748" s="1" t="s">
        <v>3303</v>
      </c>
      <c r="B1748" s="1" t="s">
        <v>3304</v>
      </c>
    </row>
    <row r="1749" spans="1:2" x14ac:dyDescent="0.35">
      <c r="A1749" s="1" t="s">
        <v>3306</v>
      </c>
      <c r="B1749" s="1" t="s">
        <v>3307</v>
      </c>
    </row>
    <row r="1750" spans="1:2" x14ac:dyDescent="0.35">
      <c r="A1750" s="1" t="s">
        <v>3317</v>
      </c>
      <c r="B1750" s="1" t="s">
        <v>3318</v>
      </c>
    </row>
    <row r="1751" spans="1:2" x14ac:dyDescent="0.35">
      <c r="A1751" s="1" t="s">
        <v>3321</v>
      </c>
      <c r="B1751" s="1" t="s">
        <v>3322</v>
      </c>
    </row>
    <row r="1752" spans="1:2" x14ac:dyDescent="0.35">
      <c r="A1752" s="1" t="s">
        <v>3331</v>
      </c>
      <c r="B1752" s="1" t="s">
        <v>3332</v>
      </c>
    </row>
    <row r="1753" spans="1:2" x14ac:dyDescent="0.35">
      <c r="A1753" s="1" t="s">
        <v>3333</v>
      </c>
      <c r="B1753" s="1" t="s">
        <v>3334</v>
      </c>
    </row>
    <row r="1754" spans="1:2" x14ac:dyDescent="0.35">
      <c r="A1754" s="1" t="s">
        <v>3337</v>
      </c>
      <c r="B1754" s="1" t="s">
        <v>3338</v>
      </c>
    </row>
    <row r="1755" spans="1:2" x14ac:dyDescent="0.35">
      <c r="A1755" s="1" t="s">
        <v>3343</v>
      </c>
      <c r="B1755" s="1" t="s">
        <v>3344</v>
      </c>
    </row>
    <row r="1756" spans="1:2" x14ac:dyDescent="0.35">
      <c r="A1756" s="1" t="s">
        <v>3355</v>
      </c>
      <c r="B1756" s="1" t="s">
        <v>3356</v>
      </c>
    </row>
    <row r="1757" spans="1:2" x14ac:dyDescent="0.35">
      <c r="A1757" s="1" t="s">
        <v>3359</v>
      </c>
      <c r="B1757" s="1" t="s">
        <v>3360</v>
      </c>
    </row>
    <row r="1758" spans="1:2" x14ac:dyDescent="0.35">
      <c r="A1758" s="1" t="s">
        <v>3363</v>
      </c>
      <c r="B1758" s="1" t="s">
        <v>3364</v>
      </c>
    </row>
    <row r="1759" spans="1:2" x14ac:dyDescent="0.35">
      <c r="A1759" s="1" t="s">
        <v>3366</v>
      </c>
      <c r="B1759" s="1" t="s">
        <v>3367</v>
      </c>
    </row>
    <row r="1760" spans="1:2" x14ac:dyDescent="0.35">
      <c r="A1760" s="1" t="s">
        <v>3368</v>
      </c>
      <c r="B1760" s="1" t="s">
        <v>3369</v>
      </c>
    </row>
    <row r="1761" spans="1:2" x14ac:dyDescent="0.35">
      <c r="A1761" s="1" t="s">
        <v>3370</v>
      </c>
      <c r="B1761" s="1" t="s">
        <v>3371</v>
      </c>
    </row>
    <row r="1762" spans="1:2" x14ac:dyDescent="0.35">
      <c r="A1762" s="1" t="s">
        <v>3373</v>
      </c>
      <c r="B1762" s="1" t="s">
        <v>3374</v>
      </c>
    </row>
    <row r="1763" spans="1:2" x14ac:dyDescent="0.35">
      <c r="A1763" s="1" t="s">
        <v>3375</v>
      </c>
      <c r="B1763" s="1" t="s">
        <v>3376</v>
      </c>
    </row>
    <row r="1764" spans="1:2" x14ac:dyDescent="0.35">
      <c r="A1764" s="1" t="s">
        <v>3389</v>
      </c>
      <c r="B1764" s="1" t="s">
        <v>3390</v>
      </c>
    </row>
    <row r="1765" spans="1:2" x14ac:dyDescent="0.35">
      <c r="A1765" s="1" t="s">
        <v>3391</v>
      </c>
      <c r="B1765" s="1" t="s">
        <v>3392</v>
      </c>
    </row>
    <row r="1766" spans="1:2" x14ac:dyDescent="0.35">
      <c r="A1766" s="1" t="s">
        <v>3405</v>
      </c>
      <c r="B1766" s="1" t="s">
        <v>3406</v>
      </c>
    </row>
    <row r="1767" spans="1:2" x14ac:dyDescent="0.35">
      <c r="A1767" s="1" t="s">
        <v>3409</v>
      </c>
      <c r="B1767" s="1" t="s">
        <v>3410</v>
      </c>
    </row>
    <row r="1768" spans="1:2" x14ac:dyDescent="0.35">
      <c r="A1768" s="1" t="s">
        <v>3411</v>
      </c>
      <c r="B1768" s="1" t="s">
        <v>3412</v>
      </c>
    </row>
    <row r="1769" spans="1:2" x14ac:dyDescent="0.35">
      <c r="A1769" s="1" t="s">
        <v>3415</v>
      </c>
      <c r="B1769" s="1" t="s">
        <v>3416</v>
      </c>
    </row>
    <row r="1770" spans="1:2" x14ac:dyDescent="0.35">
      <c r="A1770" s="1" t="s">
        <v>3419</v>
      </c>
      <c r="B1770" s="1" t="s">
        <v>3420</v>
      </c>
    </row>
    <row r="1771" spans="1:2" x14ac:dyDescent="0.35">
      <c r="A1771" s="1" t="s">
        <v>3421</v>
      </c>
      <c r="B1771" s="1" t="s">
        <v>3422</v>
      </c>
    </row>
    <row r="1772" spans="1:2" x14ac:dyDescent="0.35">
      <c r="A1772" s="1" t="s">
        <v>3423</v>
      </c>
      <c r="B1772" s="1" t="s">
        <v>3424</v>
      </c>
    </row>
    <row r="1773" spans="1:2" x14ac:dyDescent="0.35">
      <c r="A1773" s="1" t="s">
        <v>3425</v>
      </c>
      <c r="B1773" s="1" t="s">
        <v>3426</v>
      </c>
    </row>
    <row r="1774" spans="1:2" x14ac:dyDescent="0.35">
      <c r="A1774" s="1" t="s">
        <v>3432</v>
      </c>
      <c r="B1774" s="1" t="s">
        <v>3433</v>
      </c>
    </row>
    <row r="1775" spans="1:2" x14ac:dyDescent="0.35">
      <c r="A1775" s="1" t="s">
        <v>3434</v>
      </c>
      <c r="B1775" s="1" t="s">
        <v>3435</v>
      </c>
    </row>
    <row r="1776" spans="1:2" x14ac:dyDescent="0.35">
      <c r="A1776" s="1" t="s">
        <v>3438</v>
      </c>
      <c r="B1776" s="1" t="s">
        <v>3439</v>
      </c>
    </row>
    <row r="1777" spans="1:2" x14ac:dyDescent="0.35">
      <c r="A1777" s="1" t="s">
        <v>3441</v>
      </c>
      <c r="B1777" s="1" t="s">
        <v>3442</v>
      </c>
    </row>
    <row r="1778" spans="1:2" x14ac:dyDescent="0.35">
      <c r="A1778" s="1" t="s">
        <v>3443</v>
      </c>
      <c r="B1778" s="1" t="s">
        <v>3444</v>
      </c>
    </row>
    <row r="1779" spans="1:2" x14ac:dyDescent="0.35">
      <c r="A1779" s="1" t="s">
        <v>3454</v>
      </c>
      <c r="B1779" s="1" t="s">
        <v>3455</v>
      </c>
    </row>
    <row r="1780" spans="1:2" x14ac:dyDescent="0.35">
      <c r="A1780" s="1" t="s">
        <v>3456</v>
      </c>
      <c r="B1780" s="1" t="s">
        <v>3457</v>
      </c>
    </row>
    <row r="1781" spans="1:2" x14ac:dyDescent="0.35">
      <c r="A1781" s="1" t="s">
        <v>3458</v>
      </c>
      <c r="B1781" s="1" t="s">
        <v>3459</v>
      </c>
    </row>
    <row r="1782" spans="1:2" x14ac:dyDescent="0.35">
      <c r="A1782" s="1" t="s">
        <v>3460</v>
      </c>
      <c r="B1782" s="1" t="s">
        <v>3461</v>
      </c>
    </row>
    <row r="1783" spans="1:2" x14ac:dyDescent="0.35">
      <c r="A1783" s="1" t="s">
        <v>3462</v>
      </c>
      <c r="B1783" s="1" t="s">
        <v>3463</v>
      </c>
    </row>
    <row r="1784" spans="1:2" x14ac:dyDescent="0.35">
      <c r="A1784" s="1" t="s">
        <v>3464</v>
      </c>
      <c r="B1784" s="1" t="s">
        <v>3465</v>
      </c>
    </row>
    <row r="1785" spans="1:2" x14ac:dyDescent="0.35">
      <c r="A1785" s="1" t="s">
        <v>3468</v>
      </c>
      <c r="B1785" s="1" t="s">
        <v>3469</v>
      </c>
    </row>
    <row r="1786" spans="1:2" x14ac:dyDescent="0.35">
      <c r="A1786" s="1" t="s">
        <v>3473</v>
      </c>
      <c r="B1786" s="1" t="s">
        <v>3474</v>
      </c>
    </row>
    <row r="1787" spans="1:2" x14ac:dyDescent="0.35">
      <c r="A1787" s="1" t="s">
        <v>3483</v>
      </c>
      <c r="B1787" s="1" t="s">
        <v>3484</v>
      </c>
    </row>
    <row r="1788" spans="1:2" x14ac:dyDescent="0.35">
      <c r="A1788" s="1" t="s">
        <v>3492</v>
      </c>
      <c r="B1788" s="1" t="s">
        <v>3493</v>
      </c>
    </row>
    <row r="1789" spans="1:2" x14ac:dyDescent="0.35">
      <c r="A1789" s="1" t="s">
        <v>3497</v>
      </c>
      <c r="B1789" s="1" t="s">
        <v>3498</v>
      </c>
    </row>
    <row r="1790" spans="1:2" x14ac:dyDescent="0.35">
      <c r="A1790" s="1" t="s">
        <v>3500</v>
      </c>
      <c r="B1790" s="1" t="s">
        <v>3501</v>
      </c>
    </row>
    <row r="1791" spans="1:2" x14ac:dyDescent="0.35">
      <c r="A1791" s="1" t="s">
        <v>3510</v>
      </c>
      <c r="B1791" s="1" t="s">
        <v>3511</v>
      </c>
    </row>
    <row r="1792" spans="1:2" x14ac:dyDescent="0.35">
      <c r="A1792" s="1" t="s">
        <v>3516</v>
      </c>
      <c r="B1792" s="1" t="s">
        <v>3517</v>
      </c>
    </row>
    <row r="1793" spans="1:2" x14ac:dyDescent="0.35">
      <c r="A1793" s="1" t="s">
        <v>3519</v>
      </c>
      <c r="B1793" s="1" t="s">
        <v>3520</v>
      </c>
    </row>
    <row r="1794" spans="1:2" x14ac:dyDescent="0.35">
      <c r="A1794" s="1" t="s">
        <v>3522</v>
      </c>
      <c r="B1794" s="1" t="s">
        <v>3523</v>
      </c>
    </row>
    <row r="1795" spans="1:2" x14ac:dyDescent="0.35">
      <c r="A1795" s="1" t="s">
        <v>3524</v>
      </c>
      <c r="B1795" s="1" t="s">
        <v>3525</v>
      </c>
    </row>
    <row r="1796" spans="1:2" x14ac:dyDescent="0.35">
      <c r="A1796" s="1" t="s">
        <v>3534</v>
      </c>
      <c r="B1796" s="1" t="s">
        <v>3535</v>
      </c>
    </row>
    <row r="1797" spans="1:2" x14ac:dyDescent="0.35">
      <c r="A1797" s="1" t="s">
        <v>3536</v>
      </c>
      <c r="B1797" s="1" t="s">
        <v>3537</v>
      </c>
    </row>
    <row r="1798" spans="1:2" x14ac:dyDescent="0.35">
      <c r="A1798" s="1" t="s">
        <v>3540</v>
      </c>
      <c r="B1798" s="1" t="s">
        <v>3541</v>
      </c>
    </row>
    <row r="1799" spans="1:2" x14ac:dyDescent="0.35">
      <c r="A1799" s="1" t="s">
        <v>3542</v>
      </c>
      <c r="B1799" s="1" t="s">
        <v>3543</v>
      </c>
    </row>
    <row r="1800" spans="1:2" x14ac:dyDescent="0.35">
      <c r="A1800" s="1" t="s">
        <v>3549</v>
      </c>
      <c r="B1800" s="1" t="s">
        <v>3550</v>
      </c>
    </row>
    <row r="1801" spans="1:2" x14ac:dyDescent="0.35">
      <c r="A1801" s="1" t="s">
        <v>3560</v>
      </c>
      <c r="B1801" s="1" t="s">
        <v>3561</v>
      </c>
    </row>
    <row r="1802" spans="1:2" x14ac:dyDescent="0.35">
      <c r="A1802" s="1" t="s">
        <v>3567</v>
      </c>
      <c r="B1802" s="1" t="s">
        <v>3568</v>
      </c>
    </row>
    <row r="1803" spans="1:2" x14ac:dyDescent="0.35">
      <c r="A1803" s="1" t="s">
        <v>3575</v>
      </c>
      <c r="B1803" s="1" t="s">
        <v>3576</v>
      </c>
    </row>
    <row r="1804" spans="1:2" x14ac:dyDescent="0.35">
      <c r="A1804" s="1" t="s">
        <v>3583</v>
      </c>
      <c r="B1804" s="1" t="s">
        <v>3584</v>
      </c>
    </row>
    <row r="1805" spans="1:2" x14ac:dyDescent="0.35">
      <c r="A1805" s="1" t="s">
        <v>3586</v>
      </c>
      <c r="B1805" s="1" t="s">
        <v>3587</v>
      </c>
    </row>
    <row r="1806" spans="1:2" x14ac:dyDescent="0.35">
      <c r="A1806" s="1" t="s">
        <v>3589</v>
      </c>
      <c r="B1806" s="1" t="s">
        <v>3590</v>
      </c>
    </row>
    <row r="1807" spans="1:2" x14ac:dyDescent="0.35">
      <c r="A1807" s="1" t="s">
        <v>3591</v>
      </c>
      <c r="B1807" s="1" t="s">
        <v>3592</v>
      </c>
    </row>
    <row r="1808" spans="1:2" x14ac:dyDescent="0.35">
      <c r="A1808" s="1" t="s">
        <v>3594</v>
      </c>
      <c r="B1808" s="1" t="s">
        <v>3595</v>
      </c>
    </row>
    <row r="1809" spans="1:2" x14ac:dyDescent="0.35">
      <c r="A1809" s="1" t="s">
        <v>3597</v>
      </c>
      <c r="B1809" s="1" t="s">
        <v>3598</v>
      </c>
    </row>
    <row r="1810" spans="1:2" x14ac:dyDescent="0.35">
      <c r="A1810" s="1" t="s">
        <v>3600</v>
      </c>
      <c r="B1810" s="1" t="s">
        <v>3601</v>
      </c>
    </row>
    <row r="1811" spans="1:2" x14ac:dyDescent="0.35">
      <c r="A1811" s="1" t="s">
        <v>3613</v>
      </c>
      <c r="B1811" s="1" t="s">
        <v>3614</v>
      </c>
    </row>
    <row r="1812" spans="1:2" x14ac:dyDescent="0.35">
      <c r="A1812" s="1" t="s">
        <v>3615</v>
      </c>
      <c r="B1812" s="1" t="s">
        <v>3616</v>
      </c>
    </row>
    <row r="1813" spans="1:2" x14ac:dyDescent="0.35">
      <c r="A1813" s="1" t="s">
        <v>3621</v>
      </c>
      <c r="B1813" s="1" t="s">
        <v>3622</v>
      </c>
    </row>
    <row r="1814" spans="1:2" x14ac:dyDescent="0.35">
      <c r="A1814" s="1" t="s">
        <v>3624</v>
      </c>
      <c r="B1814" s="1" t="s">
        <v>3625</v>
      </c>
    </row>
    <row r="1815" spans="1:2" x14ac:dyDescent="0.35">
      <c r="A1815" s="1" t="s">
        <v>3626</v>
      </c>
      <c r="B1815" s="1" t="s">
        <v>3627</v>
      </c>
    </row>
    <row r="1816" spans="1:2" x14ac:dyDescent="0.35">
      <c r="A1816" s="1" t="s">
        <v>3629</v>
      </c>
      <c r="B1816" s="1" t="s">
        <v>3630</v>
      </c>
    </row>
    <row r="1817" spans="1:2" x14ac:dyDescent="0.35">
      <c r="A1817" s="1" t="s">
        <v>3637</v>
      </c>
      <c r="B1817" s="1" t="s">
        <v>3638</v>
      </c>
    </row>
    <row r="1818" spans="1:2" x14ac:dyDescent="0.35">
      <c r="A1818" s="1" t="s">
        <v>3641</v>
      </c>
      <c r="B1818" s="1" t="s">
        <v>3642</v>
      </c>
    </row>
    <row r="1819" spans="1:2" x14ac:dyDescent="0.35">
      <c r="A1819" s="1" t="s">
        <v>3643</v>
      </c>
      <c r="B1819" s="1" t="s">
        <v>3644</v>
      </c>
    </row>
    <row r="1820" spans="1:2" x14ac:dyDescent="0.35">
      <c r="A1820" s="1" t="s">
        <v>3645</v>
      </c>
      <c r="B1820" s="1" t="s">
        <v>3646</v>
      </c>
    </row>
    <row r="1821" spans="1:2" x14ac:dyDescent="0.35">
      <c r="A1821" s="1" t="s">
        <v>3647</v>
      </c>
      <c r="B1821" s="1" t="s">
        <v>3648</v>
      </c>
    </row>
    <row r="1822" spans="1:2" x14ac:dyDescent="0.35">
      <c r="A1822" s="1" t="s">
        <v>3651</v>
      </c>
      <c r="B1822" s="1" t="s">
        <v>3652</v>
      </c>
    </row>
    <row r="1823" spans="1:2" x14ac:dyDescent="0.35">
      <c r="A1823" s="1" t="s">
        <v>3654</v>
      </c>
      <c r="B1823" s="1" t="s">
        <v>3655</v>
      </c>
    </row>
    <row r="1824" spans="1:2" x14ac:dyDescent="0.35">
      <c r="A1824" s="1" t="s">
        <v>3660</v>
      </c>
      <c r="B1824" s="1" t="s">
        <v>3661</v>
      </c>
    </row>
    <row r="1825" spans="1:2" x14ac:dyDescent="0.35">
      <c r="A1825" s="1" t="s">
        <v>3662</v>
      </c>
      <c r="B1825" s="1" t="s">
        <v>3663</v>
      </c>
    </row>
    <row r="1826" spans="1:2" x14ac:dyDescent="0.35">
      <c r="A1826" s="1" t="s">
        <v>3665</v>
      </c>
      <c r="B1826" s="1" t="s">
        <v>3666</v>
      </c>
    </row>
    <row r="1827" spans="1:2" x14ac:dyDescent="0.35">
      <c r="A1827" s="1" t="s">
        <v>3667</v>
      </c>
      <c r="B1827" s="1" t="s">
        <v>3668</v>
      </c>
    </row>
    <row r="1828" spans="1:2" x14ac:dyDescent="0.35">
      <c r="A1828" s="1" t="s">
        <v>3669</v>
      </c>
      <c r="B1828" s="1" t="s">
        <v>3670</v>
      </c>
    </row>
    <row r="1829" spans="1:2" x14ac:dyDescent="0.35">
      <c r="A1829" s="1" t="s">
        <v>3676</v>
      </c>
      <c r="B1829" s="1" t="s">
        <v>3677</v>
      </c>
    </row>
    <row r="1830" spans="1:2" x14ac:dyDescent="0.35">
      <c r="A1830" s="1" t="s">
        <v>3690</v>
      </c>
      <c r="B1830" s="1" t="s">
        <v>3691</v>
      </c>
    </row>
    <row r="1831" spans="1:2" x14ac:dyDescent="0.35">
      <c r="A1831" s="1" t="s">
        <v>3700</v>
      </c>
      <c r="B1831" s="1" t="s">
        <v>3701</v>
      </c>
    </row>
    <row r="1832" spans="1:2" x14ac:dyDescent="0.35">
      <c r="A1832" s="1" t="s">
        <v>3710</v>
      </c>
      <c r="B1832" s="1" t="s">
        <v>3711</v>
      </c>
    </row>
    <row r="1833" spans="1:2" x14ac:dyDescent="0.35">
      <c r="A1833" s="1" t="s">
        <v>3712</v>
      </c>
      <c r="B1833" s="1" t="s">
        <v>3713</v>
      </c>
    </row>
    <row r="1834" spans="1:2" x14ac:dyDescent="0.35">
      <c r="A1834" s="1" t="s">
        <v>3716</v>
      </c>
      <c r="B1834" s="1" t="s">
        <v>3717</v>
      </c>
    </row>
    <row r="1835" spans="1:2" x14ac:dyDescent="0.35">
      <c r="A1835" s="1" t="s">
        <v>3718</v>
      </c>
      <c r="B1835" s="1" t="s">
        <v>3719</v>
      </c>
    </row>
    <row r="1836" spans="1:2" x14ac:dyDescent="0.35">
      <c r="A1836" s="1" t="s">
        <v>3741</v>
      </c>
      <c r="B1836" s="1" t="s">
        <v>3742</v>
      </c>
    </row>
    <row r="1837" spans="1:2" x14ac:dyDescent="0.35">
      <c r="A1837" s="1" t="s">
        <v>3749</v>
      </c>
      <c r="B1837" s="1" t="s">
        <v>3750</v>
      </c>
    </row>
    <row r="1838" spans="1:2" x14ac:dyDescent="0.35">
      <c r="A1838" s="1" t="s">
        <v>3763</v>
      </c>
      <c r="B1838" s="1" t="s">
        <v>3764</v>
      </c>
    </row>
    <row r="1839" spans="1:2" x14ac:dyDescent="0.35">
      <c r="A1839" s="1" t="s">
        <v>3765</v>
      </c>
      <c r="B1839" s="1" t="s">
        <v>3766</v>
      </c>
    </row>
    <row r="1840" spans="1:2" x14ac:dyDescent="0.35">
      <c r="A1840" s="1" t="s">
        <v>3779</v>
      </c>
      <c r="B1840" s="1" t="s">
        <v>3780</v>
      </c>
    </row>
    <row r="1841" spans="1:2" x14ac:dyDescent="0.35">
      <c r="A1841" s="1" t="s">
        <v>3791</v>
      </c>
      <c r="B1841" s="1" t="s">
        <v>3792</v>
      </c>
    </row>
    <row r="1842" spans="1:2" x14ac:dyDescent="0.35">
      <c r="A1842" s="1" t="s">
        <v>3799</v>
      </c>
      <c r="B1842" s="1" t="s">
        <v>3800</v>
      </c>
    </row>
    <row r="1843" spans="1:2" x14ac:dyDescent="0.35">
      <c r="A1843" s="1" t="s">
        <v>3805</v>
      </c>
      <c r="B1843" s="1" t="s">
        <v>3806</v>
      </c>
    </row>
    <row r="1844" spans="1:2" x14ac:dyDescent="0.35">
      <c r="A1844" s="1" t="s">
        <v>3807</v>
      </c>
      <c r="B1844" s="1" t="s">
        <v>3808</v>
      </c>
    </row>
    <row r="1845" spans="1:2" x14ac:dyDescent="0.35">
      <c r="A1845" s="1" t="s">
        <v>3809</v>
      </c>
      <c r="B1845" s="1" t="s">
        <v>3810</v>
      </c>
    </row>
    <row r="1846" spans="1:2" x14ac:dyDescent="0.35">
      <c r="A1846" s="1" t="s">
        <v>3811</v>
      </c>
      <c r="B1846" s="1" t="s">
        <v>3812</v>
      </c>
    </row>
    <row r="1847" spans="1:2" x14ac:dyDescent="0.35">
      <c r="A1847" s="1" t="s">
        <v>3817</v>
      </c>
      <c r="B1847" s="1" t="s">
        <v>3818</v>
      </c>
    </row>
    <row r="1848" spans="1:2" x14ac:dyDescent="0.35">
      <c r="A1848" s="1" t="s">
        <v>3825</v>
      </c>
      <c r="B1848" s="1" t="s">
        <v>3826</v>
      </c>
    </row>
    <row r="1849" spans="1:2" x14ac:dyDescent="0.35">
      <c r="A1849" s="1" t="s">
        <v>3836</v>
      </c>
      <c r="B1849" s="1" t="s">
        <v>3837</v>
      </c>
    </row>
    <row r="1850" spans="1:2" x14ac:dyDescent="0.35">
      <c r="A1850" s="1" t="s">
        <v>3839</v>
      </c>
      <c r="B1850" s="1" t="s">
        <v>3840</v>
      </c>
    </row>
    <row r="1851" spans="1:2" x14ac:dyDescent="0.35">
      <c r="A1851" s="1" t="s">
        <v>3843</v>
      </c>
      <c r="B1851" s="1" t="s">
        <v>3844</v>
      </c>
    </row>
    <row r="1852" spans="1:2" x14ac:dyDescent="0.35">
      <c r="A1852" s="1" t="s">
        <v>3847</v>
      </c>
      <c r="B1852" s="1" t="s">
        <v>3848</v>
      </c>
    </row>
    <row r="1853" spans="1:2" x14ac:dyDescent="0.35">
      <c r="A1853" s="1" t="s">
        <v>3850</v>
      </c>
      <c r="B1853" s="1" t="s">
        <v>3851</v>
      </c>
    </row>
    <row r="1854" spans="1:2" x14ac:dyDescent="0.35">
      <c r="A1854" s="1" t="s">
        <v>3852</v>
      </c>
      <c r="B1854" s="1" t="s">
        <v>3853</v>
      </c>
    </row>
    <row r="1855" spans="1:2" x14ac:dyDescent="0.35">
      <c r="A1855" s="1" t="s">
        <v>3855</v>
      </c>
      <c r="B1855" s="1" t="s">
        <v>3856</v>
      </c>
    </row>
    <row r="1856" spans="1:2" x14ac:dyDescent="0.35">
      <c r="A1856" s="1" t="s">
        <v>3858</v>
      </c>
      <c r="B1856" s="1" t="s">
        <v>3859</v>
      </c>
    </row>
    <row r="1857" spans="1:2" x14ac:dyDescent="0.35">
      <c r="A1857" s="1" t="s">
        <v>3873</v>
      </c>
      <c r="B1857" s="1" t="s">
        <v>3874</v>
      </c>
    </row>
    <row r="1858" spans="1:2" x14ac:dyDescent="0.35">
      <c r="A1858" s="1" t="s">
        <v>3875</v>
      </c>
      <c r="B1858" s="1" t="s">
        <v>3876</v>
      </c>
    </row>
    <row r="1859" spans="1:2" x14ac:dyDescent="0.35">
      <c r="A1859" s="1" t="s">
        <v>3881</v>
      </c>
      <c r="B1859" s="1" t="s">
        <v>3882</v>
      </c>
    </row>
    <row r="1860" spans="1:2" x14ac:dyDescent="0.35">
      <c r="A1860" s="1" t="s">
        <v>3883</v>
      </c>
      <c r="B1860" s="1" t="s">
        <v>3884</v>
      </c>
    </row>
    <row r="1861" spans="1:2" x14ac:dyDescent="0.35">
      <c r="A1861" s="1" t="s">
        <v>3885</v>
      </c>
      <c r="B1861" s="1" t="s">
        <v>3886</v>
      </c>
    </row>
    <row r="1862" spans="1:2" x14ac:dyDescent="0.35">
      <c r="A1862" s="1" t="s">
        <v>3890</v>
      </c>
      <c r="B1862" s="1" t="s">
        <v>3891</v>
      </c>
    </row>
    <row r="1863" spans="1:2" x14ac:dyDescent="0.35">
      <c r="A1863" s="1" t="s">
        <v>3896</v>
      </c>
      <c r="B1863" s="1" t="s">
        <v>3897</v>
      </c>
    </row>
    <row r="1864" spans="1:2" x14ac:dyDescent="0.35">
      <c r="A1864" s="1" t="s">
        <v>3902</v>
      </c>
      <c r="B1864" s="1" t="s">
        <v>3903</v>
      </c>
    </row>
    <row r="1865" spans="1:2" x14ac:dyDescent="0.35">
      <c r="A1865" s="1" t="s">
        <v>3904</v>
      </c>
      <c r="B1865" s="1" t="s">
        <v>3905</v>
      </c>
    </row>
    <row r="1866" spans="1:2" x14ac:dyDescent="0.35">
      <c r="A1866" s="1" t="s">
        <v>3908</v>
      </c>
      <c r="B1866" s="1" t="s">
        <v>3909</v>
      </c>
    </row>
    <row r="1867" spans="1:2" x14ac:dyDescent="0.35">
      <c r="A1867" s="1" t="s">
        <v>3922</v>
      </c>
      <c r="B1867" s="1" t="s">
        <v>3923</v>
      </c>
    </row>
    <row r="1868" spans="1:2" x14ac:dyDescent="0.35">
      <c r="A1868" s="1" t="s">
        <v>3934</v>
      </c>
      <c r="B1868" s="1" t="s">
        <v>3935</v>
      </c>
    </row>
    <row r="1869" spans="1:2" x14ac:dyDescent="0.35">
      <c r="A1869" s="1" t="s">
        <v>3938</v>
      </c>
      <c r="B1869" s="1" t="s">
        <v>3939</v>
      </c>
    </row>
    <row r="1870" spans="1:2" x14ac:dyDescent="0.35">
      <c r="A1870" s="1" t="s">
        <v>3940</v>
      </c>
      <c r="B1870" s="1" t="s">
        <v>3941</v>
      </c>
    </row>
    <row r="1871" spans="1:2" x14ac:dyDescent="0.35">
      <c r="A1871" s="1" t="s">
        <v>3944</v>
      </c>
      <c r="B1871" s="1" t="s">
        <v>3945</v>
      </c>
    </row>
    <row r="1872" spans="1:2" x14ac:dyDescent="0.35">
      <c r="A1872" s="1" t="s">
        <v>3947</v>
      </c>
      <c r="B1872" s="1" t="s">
        <v>3948</v>
      </c>
    </row>
    <row r="1873" spans="1:2" x14ac:dyDescent="0.35">
      <c r="A1873" s="1" t="s">
        <v>3960</v>
      </c>
      <c r="B1873" s="1" t="s">
        <v>3961</v>
      </c>
    </row>
    <row r="1874" spans="1:2" x14ac:dyDescent="0.35">
      <c r="A1874" s="1" t="s">
        <v>3964</v>
      </c>
      <c r="B1874" s="1" t="s">
        <v>3965</v>
      </c>
    </row>
    <row r="1875" spans="1:2" x14ac:dyDescent="0.35">
      <c r="A1875" s="1" t="s">
        <v>3966</v>
      </c>
      <c r="B1875" s="1" t="s">
        <v>3967</v>
      </c>
    </row>
    <row r="1876" spans="1:2" x14ac:dyDescent="0.35">
      <c r="A1876" s="1" t="s">
        <v>3968</v>
      </c>
      <c r="B1876" s="1" t="s">
        <v>3969</v>
      </c>
    </row>
    <row r="1877" spans="1:2" x14ac:dyDescent="0.35">
      <c r="A1877" s="1" t="s">
        <v>3973</v>
      </c>
      <c r="B1877" s="1" t="s">
        <v>3974</v>
      </c>
    </row>
    <row r="1878" spans="1:2" x14ac:dyDescent="0.35">
      <c r="A1878" s="1" t="s">
        <v>3975</v>
      </c>
      <c r="B1878" s="1" t="s">
        <v>3976</v>
      </c>
    </row>
    <row r="1879" spans="1:2" x14ac:dyDescent="0.35">
      <c r="A1879" s="1" t="s">
        <v>3979</v>
      </c>
      <c r="B1879" s="1" t="s">
        <v>3980</v>
      </c>
    </row>
    <row r="1880" spans="1:2" x14ac:dyDescent="0.35">
      <c r="A1880" s="1" t="s">
        <v>3981</v>
      </c>
      <c r="B1880" s="1" t="s">
        <v>3982</v>
      </c>
    </row>
    <row r="1881" spans="1:2" x14ac:dyDescent="0.35">
      <c r="A1881" s="1" t="s">
        <v>3983</v>
      </c>
      <c r="B1881" s="1" t="s">
        <v>3984</v>
      </c>
    </row>
    <row r="1882" spans="1:2" x14ac:dyDescent="0.35">
      <c r="A1882" s="1" t="s">
        <v>3985</v>
      </c>
      <c r="B1882" s="1" t="s">
        <v>3986</v>
      </c>
    </row>
    <row r="1883" spans="1:2" x14ac:dyDescent="0.35">
      <c r="A1883" s="1" t="s">
        <v>3987</v>
      </c>
      <c r="B1883" s="1" t="s">
        <v>3988</v>
      </c>
    </row>
    <row r="1884" spans="1:2" x14ac:dyDescent="0.35">
      <c r="A1884" s="1" t="s">
        <v>3989</v>
      </c>
      <c r="B1884" s="1" t="s">
        <v>3990</v>
      </c>
    </row>
    <row r="1885" spans="1:2" x14ac:dyDescent="0.35">
      <c r="A1885" s="1" t="s">
        <v>3992</v>
      </c>
      <c r="B1885" s="1" t="s">
        <v>3993</v>
      </c>
    </row>
    <row r="1886" spans="1:2" x14ac:dyDescent="0.35">
      <c r="A1886" s="1" t="s">
        <v>3994</v>
      </c>
      <c r="B1886" s="1" t="s">
        <v>3995</v>
      </c>
    </row>
    <row r="1887" spans="1:2" x14ac:dyDescent="0.35">
      <c r="A1887" s="1" t="s">
        <v>3997</v>
      </c>
      <c r="B1887" s="1" t="s">
        <v>3998</v>
      </c>
    </row>
    <row r="1888" spans="1:2" x14ac:dyDescent="0.35">
      <c r="A1888" s="1" t="s">
        <v>3999</v>
      </c>
      <c r="B1888" s="1" t="s">
        <v>4000</v>
      </c>
    </row>
    <row r="1889" spans="1:2" x14ac:dyDescent="0.35">
      <c r="A1889" s="1" t="s">
        <v>4002</v>
      </c>
      <c r="B1889" s="1" t="s">
        <v>4003</v>
      </c>
    </row>
    <row r="1890" spans="1:2" x14ac:dyDescent="0.35">
      <c r="A1890" s="1" t="s">
        <v>4009</v>
      </c>
      <c r="B1890" s="1" t="s">
        <v>4010</v>
      </c>
    </row>
    <row r="1891" spans="1:2" x14ac:dyDescent="0.35">
      <c r="A1891" s="1" t="s">
        <v>4011</v>
      </c>
      <c r="B1891" s="1" t="s">
        <v>4012</v>
      </c>
    </row>
    <row r="1892" spans="1:2" x14ac:dyDescent="0.35">
      <c r="A1892" s="1" t="s">
        <v>4013</v>
      </c>
      <c r="B1892" s="1" t="s">
        <v>4014</v>
      </c>
    </row>
    <row r="1893" spans="1:2" x14ac:dyDescent="0.35">
      <c r="A1893" s="1" t="s">
        <v>4015</v>
      </c>
      <c r="B1893" s="1" t="s">
        <v>4016</v>
      </c>
    </row>
    <row r="1894" spans="1:2" x14ac:dyDescent="0.35">
      <c r="A1894" s="1" t="s">
        <v>4019</v>
      </c>
      <c r="B1894" s="1" t="s">
        <v>4020</v>
      </c>
    </row>
    <row r="1895" spans="1:2" x14ac:dyDescent="0.35">
      <c r="A1895" s="1" t="s">
        <v>4039</v>
      </c>
      <c r="B1895" s="1" t="s">
        <v>4040</v>
      </c>
    </row>
    <row r="1896" spans="1:2" x14ac:dyDescent="0.35">
      <c r="A1896" s="1" t="s">
        <v>4045</v>
      </c>
      <c r="B1896" s="1" t="s">
        <v>4046</v>
      </c>
    </row>
    <row r="1897" spans="1:2" x14ac:dyDescent="0.35">
      <c r="A1897" s="1" t="s">
        <v>4047</v>
      </c>
      <c r="B1897" s="1" t="s">
        <v>4048</v>
      </c>
    </row>
    <row r="1898" spans="1:2" x14ac:dyDescent="0.35">
      <c r="A1898" s="1" t="s">
        <v>4051</v>
      </c>
      <c r="B1898" s="1" t="s">
        <v>4052</v>
      </c>
    </row>
    <row r="1899" spans="1:2" x14ac:dyDescent="0.35">
      <c r="A1899" s="1" t="s">
        <v>4054</v>
      </c>
      <c r="B1899" s="1" t="s">
        <v>4055</v>
      </c>
    </row>
    <row r="1900" spans="1:2" x14ac:dyDescent="0.35">
      <c r="A1900" s="1" t="s">
        <v>4057</v>
      </c>
      <c r="B1900" s="1" t="s">
        <v>4058</v>
      </c>
    </row>
    <row r="1901" spans="1:2" x14ac:dyDescent="0.35">
      <c r="A1901" s="1" t="s">
        <v>4059</v>
      </c>
      <c r="B1901" s="1" t="s">
        <v>4060</v>
      </c>
    </row>
    <row r="1902" spans="1:2" x14ac:dyDescent="0.35">
      <c r="A1902" s="1" t="s">
        <v>4063</v>
      </c>
      <c r="B1902" s="1" t="s">
        <v>4064</v>
      </c>
    </row>
    <row r="1903" spans="1:2" x14ac:dyDescent="0.35">
      <c r="A1903" s="1" t="s">
        <v>4065</v>
      </c>
      <c r="B1903" s="1" t="s">
        <v>4066</v>
      </c>
    </row>
    <row r="1904" spans="1:2" x14ac:dyDescent="0.35">
      <c r="A1904" s="1" t="s">
        <v>4068</v>
      </c>
      <c r="B1904" s="1" t="s">
        <v>4069</v>
      </c>
    </row>
    <row r="1905" spans="1:2" x14ac:dyDescent="0.35">
      <c r="A1905" s="1" t="s">
        <v>4071</v>
      </c>
      <c r="B1905" s="1" t="s">
        <v>4072</v>
      </c>
    </row>
    <row r="1906" spans="1:2" x14ac:dyDescent="0.35">
      <c r="A1906" s="1" t="s">
        <v>4080</v>
      </c>
      <c r="B1906" s="1" t="s">
        <v>4081</v>
      </c>
    </row>
    <row r="1907" spans="1:2" x14ac:dyDescent="0.35">
      <c r="A1907" s="1" t="s">
        <v>4088</v>
      </c>
      <c r="B1907" s="1" t="s">
        <v>4089</v>
      </c>
    </row>
    <row r="1908" spans="1:2" x14ac:dyDescent="0.35">
      <c r="A1908" s="1" t="s">
        <v>4090</v>
      </c>
      <c r="B1908" s="1" t="s">
        <v>4091</v>
      </c>
    </row>
    <row r="1909" spans="1:2" x14ac:dyDescent="0.35">
      <c r="A1909" s="1" t="s">
        <v>4092</v>
      </c>
      <c r="B1909" s="1" t="s">
        <v>4093</v>
      </c>
    </row>
    <row r="1910" spans="1:2" x14ac:dyDescent="0.35">
      <c r="A1910" s="1" t="s">
        <v>4094</v>
      </c>
      <c r="B1910" s="1" t="s">
        <v>4095</v>
      </c>
    </row>
    <row r="1911" spans="1:2" x14ac:dyDescent="0.35">
      <c r="A1911" s="1" t="s">
        <v>4097</v>
      </c>
      <c r="B1911" s="1" t="s">
        <v>4098</v>
      </c>
    </row>
    <row r="1912" spans="1:2" x14ac:dyDescent="0.35">
      <c r="A1912" s="1" t="s">
        <v>4099</v>
      </c>
      <c r="B1912" s="1" t="s">
        <v>4100</v>
      </c>
    </row>
    <row r="1913" spans="1:2" x14ac:dyDescent="0.35">
      <c r="A1913" s="1" t="s">
        <v>4107</v>
      </c>
      <c r="B1913" s="1" t="s">
        <v>4108</v>
      </c>
    </row>
    <row r="1914" spans="1:2" x14ac:dyDescent="0.35">
      <c r="A1914" s="1" t="s">
        <v>4113</v>
      </c>
      <c r="B1914" s="1" t="s">
        <v>4114</v>
      </c>
    </row>
    <row r="1915" spans="1:2" x14ac:dyDescent="0.35">
      <c r="A1915" s="1" t="s">
        <v>4115</v>
      </c>
      <c r="B1915" s="1" t="s">
        <v>4116</v>
      </c>
    </row>
    <row r="1916" spans="1:2" x14ac:dyDescent="0.35">
      <c r="A1916" s="1" t="s">
        <v>4117</v>
      </c>
      <c r="B1916" s="1" t="s">
        <v>4118</v>
      </c>
    </row>
    <row r="1917" spans="1:2" x14ac:dyDescent="0.35">
      <c r="A1917" s="1" t="s">
        <v>4119</v>
      </c>
      <c r="B1917" s="1" t="s">
        <v>4120</v>
      </c>
    </row>
    <row r="1918" spans="1:2" x14ac:dyDescent="0.35">
      <c r="A1918" s="1" t="s">
        <v>4121</v>
      </c>
      <c r="B1918" s="1" t="s">
        <v>4122</v>
      </c>
    </row>
    <row r="1919" spans="1:2" x14ac:dyDescent="0.35">
      <c r="A1919" s="1" t="s">
        <v>4124</v>
      </c>
      <c r="B1919" s="1" t="s">
        <v>4125</v>
      </c>
    </row>
    <row r="1920" spans="1:2" x14ac:dyDescent="0.35">
      <c r="A1920" s="1" t="s">
        <v>4126</v>
      </c>
      <c r="B1920" s="1" t="s">
        <v>4127</v>
      </c>
    </row>
    <row r="1921" spans="1:2" x14ac:dyDescent="0.35">
      <c r="A1921" s="1" t="s">
        <v>4132</v>
      </c>
      <c r="B1921" s="1" t="s">
        <v>4133</v>
      </c>
    </row>
    <row r="1922" spans="1:2" x14ac:dyDescent="0.35">
      <c r="A1922" s="1" t="s">
        <v>4134</v>
      </c>
      <c r="B1922" s="1" t="s">
        <v>4135</v>
      </c>
    </row>
    <row r="1923" spans="1:2" x14ac:dyDescent="0.35">
      <c r="A1923" s="1" t="s">
        <v>4138</v>
      </c>
      <c r="B1923" s="1" t="s">
        <v>4139</v>
      </c>
    </row>
    <row r="1924" spans="1:2" x14ac:dyDescent="0.35">
      <c r="A1924" s="1" t="s">
        <v>4144</v>
      </c>
      <c r="B1924" s="1" t="s">
        <v>4145</v>
      </c>
    </row>
    <row r="1925" spans="1:2" x14ac:dyDescent="0.35">
      <c r="A1925" s="1" t="s">
        <v>4146</v>
      </c>
      <c r="B1925" s="1" t="s">
        <v>4147</v>
      </c>
    </row>
    <row r="1926" spans="1:2" x14ac:dyDescent="0.35">
      <c r="A1926" s="1" t="s">
        <v>4148</v>
      </c>
      <c r="B1926" s="1" t="s">
        <v>4149</v>
      </c>
    </row>
    <row r="1927" spans="1:2" x14ac:dyDescent="0.35">
      <c r="A1927" s="1" t="s">
        <v>4150</v>
      </c>
      <c r="B1927" s="1" t="s">
        <v>4151</v>
      </c>
    </row>
    <row r="1928" spans="1:2" x14ac:dyDescent="0.35">
      <c r="A1928" s="1" t="s">
        <v>4153</v>
      </c>
      <c r="B1928" s="1" t="s">
        <v>4154</v>
      </c>
    </row>
    <row r="1929" spans="1:2" x14ac:dyDescent="0.35">
      <c r="A1929" s="1" t="s">
        <v>4156</v>
      </c>
      <c r="B1929" s="1" t="s">
        <v>4157</v>
      </c>
    </row>
    <row r="1930" spans="1:2" x14ac:dyDescent="0.35">
      <c r="A1930" s="1" t="s">
        <v>4159</v>
      </c>
      <c r="B1930" s="1" t="s">
        <v>4160</v>
      </c>
    </row>
    <row r="1931" spans="1:2" x14ac:dyDescent="0.35">
      <c r="A1931" s="1" t="s">
        <v>4167</v>
      </c>
      <c r="B1931" s="1" t="s">
        <v>4168</v>
      </c>
    </row>
    <row r="1932" spans="1:2" x14ac:dyDescent="0.35">
      <c r="A1932" s="1" t="s">
        <v>4169</v>
      </c>
      <c r="B1932" s="1" t="s">
        <v>4170</v>
      </c>
    </row>
    <row r="1933" spans="1:2" x14ac:dyDescent="0.35">
      <c r="A1933" s="1" t="s">
        <v>4171</v>
      </c>
      <c r="B1933" s="1" t="s">
        <v>4172</v>
      </c>
    </row>
    <row r="1934" spans="1:2" x14ac:dyDescent="0.35">
      <c r="A1934" s="1" t="s">
        <v>4174</v>
      </c>
      <c r="B1934" s="1" t="s">
        <v>4175</v>
      </c>
    </row>
    <row r="1935" spans="1:2" x14ac:dyDescent="0.35">
      <c r="A1935" s="1" t="s">
        <v>4176</v>
      </c>
      <c r="B1935" s="1" t="s">
        <v>4177</v>
      </c>
    </row>
    <row r="1936" spans="1:2" x14ac:dyDescent="0.35">
      <c r="A1936" s="1" t="s">
        <v>4178</v>
      </c>
      <c r="B1936" s="1" t="s">
        <v>4179</v>
      </c>
    </row>
    <row r="1937" spans="1:2" x14ac:dyDescent="0.35">
      <c r="A1937" s="1" t="s">
        <v>4183</v>
      </c>
      <c r="B1937" s="1" t="s">
        <v>4184</v>
      </c>
    </row>
    <row r="1938" spans="1:2" x14ac:dyDescent="0.35">
      <c r="A1938" s="1" t="s">
        <v>4189</v>
      </c>
      <c r="B1938" s="1" t="s">
        <v>4190</v>
      </c>
    </row>
    <row r="1939" spans="1:2" x14ac:dyDescent="0.35">
      <c r="A1939" s="1" t="s">
        <v>4192</v>
      </c>
      <c r="B1939" s="1" t="s">
        <v>4193</v>
      </c>
    </row>
    <row r="1940" spans="1:2" x14ac:dyDescent="0.35">
      <c r="A1940" s="1" t="s">
        <v>4195</v>
      </c>
      <c r="B1940" s="1" t="s">
        <v>4196</v>
      </c>
    </row>
    <row r="1941" spans="1:2" x14ac:dyDescent="0.35">
      <c r="A1941" s="1" t="s">
        <v>4199</v>
      </c>
      <c r="B1941" s="1" t="s">
        <v>4200</v>
      </c>
    </row>
    <row r="1942" spans="1:2" x14ac:dyDescent="0.35">
      <c r="A1942" s="1" t="s">
        <v>4225</v>
      </c>
      <c r="B1942" s="1" t="s">
        <v>4226</v>
      </c>
    </row>
    <row r="1943" spans="1:2" x14ac:dyDescent="0.35">
      <c r="A1943" s="1" t="s">
        <v>4237</v>
      </c>
      <c r="B1943" s="1" t="s">
        <v>4238</v>
      </c>
    </row>
    <row r="1944" spans="1:2" x14ac:dyDescent="0.35">
      <c r="A1944" s="1" t="s">
        <v>4241</v>
      </c>
      <c r="B1944" s="1" t="s">
        <v>4242</v>
      </c>
    </row>
    <row r="1945" spans="1:2" x14ac:dyDescent="0.35">
      <c r="A1945" s="1" t="s">
        <v>4246</v>
      </c>
      <c r="B1945" s="1" t="s">
        <v>4247</v>
      </c>
    </row>
    <row r="1946" spans="1:2" x14ac:dyDescent="0.35">
      <c r="A1946" s="1" t="s">
        <v>4249</v>
      </c>
      <c r="B1946" s="1" t="s">
        <v>4250</v>
      </c>
    </row>
    <row r="1947" spans="1:2" x14ac:dyDescent="0.35">
      <c r="A1947" s="1" t="s">
        <v>4251</v>
      </c>
      <c r="B1947" s="1" t="s">
        <v>4252</v>
      </c>
    </row>
    <row r="1948" spans="1:2" x14ac:dyDescent="0.35">
      <c r="A1948" s="1" t="s">
        <v>4273</v>
      </c>
      <c r="B1948" s="1" t="s">
        <v>4274</v>
      </c>
    </row>
    <row r="1949" spans="1:2" x14ac:dyDescent="0.35">
      <c r="A1949" s="1" t="s">
        <v>4278</v>
      </c>
      <c r="B1949" s="1" t="s">
        <v>4279</v>
      </c>
    </row>
    <row r="1950" spans="1:2" x14ac:dyDescent="0.35">
      <c r="A1950" s="1" t="s">
        <v>4284</v>
      </c>
      <c r="B1950" s="1" t="s">
        <v>4285</v>
      </c>
    </row>
    <row r="1951" spans="1:2" x14ac:dyDescent="0.35">
      <c r="A1951" s="1" t="s">
        <v>4287</v>
      </c>
      <c r="B1951" s="1" t="s">
        <v>4288</v>
      </c>
    </row>
    <row r="1952" spans="1:2" x14ac:dyDescent="0.35">
      <c r="A1952" s="1" t="s">
        <v>4290</v>
      </c>
      <c r="B1952" s="1" t="s">
        <v>4291</v>
      </c>
    </row>
    <row r="1953" spans="1:2" x14ac:dyDescent="0.35">
      <c r="A1953" s="1" t="s">
        <v>4292</v>
      </c>
      <c r="B1953" s="1" t="s">
        <v>4293</v>
      </c>
    </row>
    <row r="1954" spans="1:2" x14ac:dyDescent="0.35">
      <c r="A1954" s="1" t="s">
        <v>4294</v>
      </c>
      <c r="B1954" s="1" t="s">
        <v>4295</v>
      </c>
    </row>
    <row r="1955" spans="1:2" x14ac:dyDescent="0.35">
      <c r="A1955" s="1" t="s">
        <v>4298</v>
      </c>
      <c r="B1955" s="1" t="s">
        <v>4299</v>
      </c>
    </row>
    <row r="1956" spans="1:2" x14ac:dyDescent="0.35">
      <c r="A1956" s="1" t="s">
        <v>4300</v>
      </c>
      <c r="B1956" s="1" t="s">
        <v>4301</v>
      </c>
    </row>
    <row r="1957" spans="1:2" x14ac:dyDescent="0.35">
      <c r="A1957" s="1" t="s">
        <v>4304</v>
      </c>
      <c r="B1957" s="1" t="s">
        <v>4305</v>
      </c>
    </row>
    <row r="1958" spans="1:2" x14ac:dyDescent="0.35">
      <c r="A1958" s="1" t="s">
        <v>4306</v>
      </c>
      <c r="B1958" s="1" t="s">
        <v>4307</v>
      </c>
    </row>
    <row r="1959" spans="1:2" x14ac:dyDescent="0.35">
      <c r="A1959" s="1" t="s">
        <v>4308</v>
      </c>
      <c r="B1959" s="1" t="s">
        <v>4309</v>
      </c>
    </row>
    <row r="1960" spans="1:2" x14ac:dyDescent="0.35">
      <c r="A1960" s="1" t="s">
        <v>4312</v>
      </c>
      <c r="B1960" s="1" t="s">
        <v>4313</v>
      </c>
    </row>
    <row r="1961" spans="1:2" x14ac:dyDescent="0.35">
      <c r="A1961" s="1" t="s">
        <v>4314</v>
      </c>
      <c r="B1961" s="1" t="s">
        <v>4315</v>
      </c>
    </row>
    <row r="1962" spans="1:2" x14ac:dyDescent="0.35">
      <c r="A1962" s="1" t="s">
        <v>4324</v>
      </c>
      <c r="B1962" s="1" t="s">
        <v>4325</v>
      </c>
    </row>
    <row r="1963" spans="1:2" x14ac:dyDescent="0.35">
      <c r="A1963" s="1" t="s">
        <v>4326</v>
      </c>
      <c r="B1963" s="1" t="s">
        <v>4327</v>
      </c>
    </row>
    <row r="1964" spans="1:2" x14ac:dyDescent="0.35">
      <c r="A1964" s="1" t="s">
        <v>4328</v>
      </c>
      <c r="B1964" s="1" t="s">
        <v>4329</v>
      </c>
    </row>
    <row r="1965" spans="1:2" x14ac:dyDescent="0.35">
      <c r="A1965" s="1" t="s">
        <v>4330</v>
      </c>
      <c r="B1965" s="1" t="s">
        <v>4331</v>
      </c>
    </row>
    <row r="1966" spans="1:2" x14ac:dyDescent="0.35">
      <c r="A1966" s="1" t="s">
        <v>4332</v>
      </c>
      <c r="B1966" s="1" t="s">
        <v>4333</v>
      </c>
    </row>
    <row r="1967" spans="1:2" x14ac:dyDescent="0.35">
      <c r="A1967" s="1" t="s">
        <v>4334</v>
      </c>
      <c r="B1967" s="1" t="s">
        <v>4335</v>
      </c>
    </row>
    <row r="1968" spans="1:2" x14ac:dyDescent="0.35">
      <c r="A1968" s="1" t="s">
        <v>4336</v>
      </c>
      <c r="B1968" s="1" t="s">
        <v>4337</v>
      </c>
    </row>
    <row r="1969" spans="1:2" x14ac:dyDescent="0.35">
      <c r="A1969" s="1" t="s">
        <v>4338</v>
      </c>
      <c r="B1969" s="1" t="s">
        <v>4339</v>
      </c>
    </row>
    <row r="1970" spans="1:2" x14ac:dyDescent="0.35">
      <c r="A1970" s="1" t="s">
        <v>4341</v>
      </c>
      <c r="B1970" s="1" t="s">
        <v>4342</v>
      </c>
    </row>
    <row r="1971" spans="1:2" x14ac:dyDescent="0.35">
      <c r="A1971" s="1" t="s">
        <v>4345</v>
      </c>
      <c r="B1971" s="1" t="s">
        <v>4346</v>
      </c>
    </row>
    <row r="1972" spans="1:2" x14ac:dyDescent="0.35">
      <c r="A1972" s="1" t="s">
        <v>4347</v>
      </c>
      <c r="B1972" s="1" t="s">
        <v>4348</v>
      </c>
    </row>
    <row r="1973" spans="1:2" x14ac:dyDescent="0.35">
      <c r="A1973" s="1" t="s">
        <v>4355</v>
      </c>
      <c r="B1973" s="1" t="s">
        <v>4356</v>
      </c>
    </row>
    <row r="1974" spans="1:2" x14ac:dyDescent="0.35">
      <c r="A1974" s="1" t="s">
        <v>4357</v>
      </c>
      <c r="B1974" s="1" t="s">
        <v>4358</v>
      </c>
    </row>
    <row r="1975" spans="1:2" x14ac:dyDescent="0.35">
      <c r="A1975" s="1" t="s">
        <v>4361</v>
      </c>
      <c r="B1975" s="1" t="s">
        <v>4362</v>
      </c>
    </row>
    <row r="1976" spans="1:2" x14ac:dyDescent="0.35">
      <c r="A1976" s="1" t="s">
        <v>4363</v>
      </c>
      <c r="B1976" s="1" t="s">
        <v>4364</v>
      </c>
    </row>
    <row r="1977" spans="1:2" x14ac:dyDescent="0.35">
      <c r="A1977" s="1" t="s">
        <v>4365</v>
      </c>
      <c r="B1977" s="1" t="s">
        <v>4366</v>
      </c>
    </row>
    <row r="1978" spans="1:2" x14ac:dyDescent="0.35">
      <c r="A1978" s="1" t="s">
        <v>4367</v>
      </c>
      <c r="B1978" s="1" t="s">
        <v>4368</v>
      </c>
    </row>
    <row r="1979" spans="1:2" x14ac:dyDescent="0.35">
      <c r="A1979" s="1" t="s">
        <v>4371</v>
      </c>
      <c r="B1979" s="1" t="s">
        <v>4372</v>
      </c>
    </row>
    <row r="1980" spans="1:2" x14ac:dyDescent="0.35">
      <c r="A1980" s="1" t="s">
        <v>4373</v>
      </c>
      <c r="B1980" s="1" t="s">
        <v>4374</v>
      </c>
    </row>
    <row r="1981" spans="1:2" x14ac:dyDescent="0.35">
      <c r="A1981" s="1" t="s">
        <v>4375</v>
      </c>
      <c r="B1981" s="1" t="s">
        <v>4376</v>
      </c>
    </row>
    <row r="1982" spans="1:2" x14ac:dyDescent="0.35">
      <c r="A1982" s="1" t="s">
        <v>4377</v>
      </c>
      <c r="B1982" s="1" t="s">
        <v>4378</v>
      </c>
    </row>
    <row r="1983" spans="1:2" x14ac:dyDescent="0.35">
      <c r="A1983" s="1" t="s">
        <v>4379</v>
      </c>
      <c r="B1983" s="1" t="s">
        <v>4380</v>
      </c>
    </row>
    <row r="1984" spans="1:2" x14ac:dyDescent="0.35">
      <c r="A1984" s="1" t="s">
        <v>4383</v>
      </c>
      <c r="B1984" s="1" t="s">
        <v>4384</v>
      </c>
    </row>
    <row r="1985" spans="1:2" x14ac:dyDescent="0.35">
      <c r="A1985" s="1" t="s">
        <v>4385</v>
      </c>
      <c r="B1985" s="1" t="s">
        <v>4386</v>
      </c>
    </row>
    <row r="1986" spans="1:2" x14ac:dyDescent="0.35">
      <c r="A1986" s="1" t="s">
        <v>4387</v>
      </c>
      <c r="B1986" s="1" t="s">
        <v>4388</v>
      </c>
    </row>
    <row r="1987" spans="1:2" x14ac:dyDescent="0.35">
      <c r="A1987" s="1" t="s">
        <v>4391</v>
      </c>
      <c r="B1987" s="1" t="s">
        <v>4392</v>
      </c>
    </row>
    <row r="1988" spans="1:2" x14ac:dyDescent="0.35">
      <c r="A1988" s="1" t="s">
        <v>4395</v>
      </c>
      <c r="B1988" s="1" t="s">
        <v>4396</v>
      </c>
    </row>
    <row r="1989" spans="1:2" x14ac:dyDescent="0.35">
      <c r="A1989" s="1" t="s">
        <v>4397</v>
      </c>
      <c r="B1989" s="1" t="s">
        <v>4398</v>
      </c>
    </row>
    <row r="1990" spans="1:2" x14ac:dyDescent="0.35">
      <c r="A1990" s="1" t="s">
        <v>4406</v>
      </c>
      <c r="B1990" s="1" t="s">
        <v>4407</v>
      </c>
    </row>
    <row r="1991" spans="1:2" x14ac:dyDescent="0.35">
      <c r="A1991" s="1" t="s">
        <v>4412</v>
      </c>
      <c r="B1991" s="1" t="s">
        <v>4413</v>
      </c>
    </row>
    <row r="1992" spans="1:2" x14ac:dyDescent="0.35">
      <c r="A1992" s="1" t="s">
        <v>4414</v>
      </c>
      <c r="B1992" s="1" t="s">
        <v>4415</v>
      </c>
    </row>
    <row r="1993" spans="1:2" x14ac:dyDescent="0.35">
      <c r="A1993" s="1" t="s">
        <v>4416</v>
      </c>
      <c r="B1993" s="1" t="s">
        <v>4417</v>
      </c>
    </row>
    <row r="1994" spans="1:2" x14ac:dyDescent="0.35">
      <c r="A1994" s="1" t="s">
        <v>4419</v>
      </c>
      <c r="B1994" s="1" t="s">
        <v>4420</v>
      </c>
    </row>
    <row r="1995" spans="1:2" x14ac:dyDescent="0.35">
      <c r="A1995" s="1" t="s">
        <v>4422</v>
      </c>
      <c r="B1995" s="1" t="s">
        <v>4423</v>
      </c>
    </row>
    <row r="1996" spans="1:2" x14ac:dyDescent="0.35">
      <c r="A1996" s="1" t="s">
        <v>4426</v>
      </c>
      <c r="B1996" s="1" t="s">
        <v>4427</v>
      </c>
    </row>
    <row r="1997" spans="1:2" x14ac:dyDescent="0.35">
      <c r="A1997" s="1" t="s">
        <v>4432</v>
      </c>
      <c r="B1997" s="1" t="s">
        <v>4433</v>
      </c>
    </row>
    <row r="1998" spans="1:2" x14ac:dyDescent="0.35">
      <c r="A1998" s="1" t="s">
        <v>4434</v>
      </c>
      <c r="B1998" s="1" t="s">
        <v>4435</v>
      </c>
    </row>
    <row r="1999" spans="1:2" x14ac:dyDescent="0.35">
      <c r="A1999" s="1" t="s">
        <v>4438</v>
      </c>
      <c r="B1999" s="1" t="s">
        <v>4439</v>
      </c>
    </row>
    <row r="2000" spans="1:2" x14ac:dyDescent="0.35">
      <c r="A2000" s="1" t="s">
        <v>4461</v>
      </c>
      <c r="B2000" s="1" t="s">
        <v>4462</v>
      </c>
    </row>
    <row r="2001" spans="1:2" x14ac:dyDescent="0.35">
      <c r="A2001" s="1" t="s">
        <v>4473</v>
      </c>
      <c r="B2001" s="1" t="s">
        <v>4474</v>
      </c>
    </row>
    <row r="2002" spans="1:2" x14ac:dyDescent="0.35">
      <c r="B2002" s="1" t="s">
        <v>4475</v>
      </c>
    </row>
    <row r="2003" spans="1:2" x14ac:dyDescent="0.35">
      <c r="B2003" s="1" t="s">
        <v>4476</v>
      </c>
    </row>
    <row r="2004" spans="1:2" x14ac:dyDescent="0.35">
      <c r="A2004" s="1" t="s">
        <v>4477</v>
      </c>
      <c r="B2004" s="1" t="s">
        <v>4478</v>
      </c>
    </row>
    <row r="2005" spans="1:2" x14ac:dyDescent="0.35">
      <c r="A2005" s="1" t="s">
        <v>4483</v>
      </c>
      <c r="B2005" s="1" t="s">
        <v>4484</v>
      </c>
    </row>
    <row r="2006" spans="1:2" x14ac:dyDescent="0.35">
      <c r="A2006" s="1" t="s">
        <v>4486</v>
      </c>
      <c r="B2006" s="1" t="s">
        <v>4487</v>
      </c>
    </row>
    <row r="2007" spans="1:2" x14ac:dyDescent="0.35">
      <c r="A2007" s="1" t="s">
        <v>4518</v>
      </c>
      <c r="B2007" s="1" t="s">
        <v>4519</v>
      </c>
    </row>
    <row r="2008" spans="1:2" x14ac:dyDescent="0.35">
      <c r="A2008" s="1" t="s">
        <v>4524</v>
      </c>
      <c r="B2008" s="1" t="s">
        <v>4525</v>
      </c>
    </row>
    <row r="2009" spans="1:2" x14ac:dyDescent="0.35">
      <c r="A2009" s="1" t="s">
        <v>4526</v>
      </c>
      <c r="B2009" s="1" t="s">
        <v>4527</v>
      </c>
    </row>
    <row r="2010" spans="1:2" x14ac:dyDescent="0.35">
      <c r="A2010" s="1" t="s">
        <v>4528</v>
      </c>
      <c r="B2010" s="1" t="s">
        <v>4529</v>
      </c>
    </row>
    <row r="2011" spans="1:2" x14ac:dyDescent="0.35">
      <c r="A2011" s="1" t="s">
        <v>4532</v>
      </c>
      <c r="B2011" s="1" t="s">
        <v>4533</v>
      </c>
    </row>
    <row r="2012" spans="1:2" x14ac:dyDescent="0.35">
      <c r="A2012" s="1" t="s">
        <v>4535</v>
      </c>
      <c r="B2012" s="1" t="s">
        <v>4536</v>
      </c>
    </row>
    <row r="2013" spans="1:2" x14ac:dyDescent="0.35">
      <c r="A2013" s="1" t="s">
        <v>4539</v>
      </c>
      <c r="B2013" s="1" t="s">
        <v>4540</v>
      </c>
    </row>
    <row r="2014" spans="1:2" x14ac:dyDescent="0.35">
      <c r="A2014" s="1" t="s">
        <v>4543</v>
      </c>
      <c r="B2014" s="1" t="s">
        <v>4544</v>
      </c>
    </row>
    <row r="2015" spans="1:2" x14ac:dyDescent="0.35">
      <c r="A2015" s="1" t="s">
        <v>4547</v>
      </c>
      <c r="B2015" s="1" t="s">
        <v>4548</v>
      </c>
    </row>
    <row r="2016" spans="1:2" x14ac:dyDescent="0.35">
      <c r="A2016" s="1" t="s">
        <v>4550</v>
      </c>
      <c r="B2016" s="1" t="s">
        <v>4551</v>
      </c>
    </row>
    <row r="2017" spans="1:2" x14ac:dyDescent="0.35">
      <c r="A2017" s="1" t="s">
        <v>4567</v>
      </c>
      <c r="B2017" s="1" t="s">
        <v>4568</v>
      </c>
    </row>
    <row r="2018" spans="1:2" x14ac:dyDescent="0.35">
      <c r="A2018" s="1" t="s">
        <v>4575</v>
      </c>
      <c r="B2018" s="1" t="s">
        <v>4576</v>
      </c>
    </row>
    <row r="2019" spans="1:2" x14ac:dyDescent="0.35">
      <c r="A2019" s="1" t="s">
        <v>4579</v>
      </c>
      <c r="B2019" s="1" t="s">
        <v>4580</v>
      </c>
    </row>
    <row r="2020" spans="1:2" x14ac:dyDescent="0.35">
      <c r="A2020" s="1" t="s">
        <v>4582</v>
      </c>
      <c r="B2020" s="1" t="s">
        <v>4583</v>
      </c>
    </row>
    <row r="2021" spans="1:2" x14ac:dyDescent="0.35">
      <c r="A2021" s="1" t="s">
        <v>4586</v>
      </c>
      <c r="B2021" s="1" t="s">
        <v>4587</v>
      </c>
    </row>
    <row r="2022" spans="1:2" x14ac:dyDescent="0.35">
      <c r="A2022" s="1" t="s">
        <v>4588</v>
      </c>
      <c r="B2022" s="1" t="s">
        <v>4589</v>
      </c>
    </row>
    <row r="2023" spans="1:2" x14ac:dyDescent="0.35">
      <c r="A2023" s="1" t="s">
        <v>4591</v>
      </c>
      <c r="B2023" s="1" t="s">
        <v>4592</v>
      </c>
    </row>
    <row r="2024" spans="1:2" x14ac:dyDescent="0.35">
      <c r="A2024" s="1" t="s">
        <v>4593</v>
      </c>
      <c r="B2024" s="1" t="s">
        <v>4594</v>
      </c>
    </row>
    <row r="2025" spans="1:2" x14ac:dyDescent="0.35">
      <c r="A2025" s="1" t="s">
        <v>4609</v>
      </c>
      <c r="B2025" s="1" t="s">
        <v>4610</v>
      </c>
    </row>
    <row r="2026" spans="1:2" x14ac:dyDescent="0.35">
      <c r="A2026" s="1" t="s">
        <v>4628</v>
      </c>
      <c r="B2026" s="1" t="s">
        <v>4629</v>
      </c>
    </row>
    <row r="2027" spans="1:2" x14ac:dyDescent="0.35">
      <c r="A2027" s="1" t="s">
        <v>4632</v>
      </c>
      <c r="B2027" s="1" t="s">
        <v>4633</v>
      </c>
    </row>
    <row r="2028" spans="1:2" x14ac:dyDescent="0.35">
      <c r="A2028" s="1" t="s">
        <v>4640</v>
      </c>
      <c r="B2028" s="1" t="s">
        <v>4641</v>
      </c>
    </row>
    <row r="2029" spans="1:2" x14ac:dyDescent="0.35">
      <c r="A2029" s="1" t="s">
        <v>4644</v>
      </c>
      <c r="B2029" s="1" t="s">
        <v>4645</v>
      </c>
    </row>
    <row r="2030" spans="1:2" x14ac:dyDescent="0.35">
      <c r="A2030" s="1" t="s">
        <v>4646</v>
      </c>
      <c r="B2030" s="1" t="s">
        <v>4647</v>
      </c>
    </row>
    <row r="2031" spans="1:2" x14ac:dyDescent="0.35">
      <c r="A2031" s="1" t="s">
        <v>4652</v>
      </c>
      <c r="B2031" s="1" t="s">
        <v>4653</v>
      </c>
    </row>
    <row r="2032" spans="1:2" x14ac:dyDescent="0.35">
      <c r="A2032" s="1" t="s">
        <v>4654</v>
      </c>
      <c r="B2032" s="1" t="s">
        <v>4655</v>
      </c>
    </row>
    <row r="2033" spans="1:2" x14ac:dyDescent="0.35">
      <c r="A2033" s="1" t="s">
        <v>4660</v>
      </c>
      <c r="B2033" s="1" t="s">
        <v>4661</v>
      </c>
    </row>
    <row r="2034" spans="1:2" x14ac:dyDescent="0.35">
      <c r="A2034" s="1" t="s">
        <v>4662</v>
      </c>
      <c r="B2034" s="1" t="s">
        <v>4663</v>
      </c>
    </row>
    <row r="2035" spans="1:2" x14ac:dyDescent="0.35">
      <c r="A2035" s="1" t="s">
        <v>4665</v>
      </c>
      <c r="B2035" s="1" t="s">
        <v>4666</v>
      </c>
    </row>
    <row r="2036" spans="1:2" x14ac:dyDescent="0.35">
      <c r="A2036" s="1" t="s">
        <v>4673</v>
      </c>
      <c r="B2036" s="1" t="s">
        <v>4674</v>
      </c>
    </row>
    <row r="2037" spans="1:2" x14ac:dyDescent="0.35">
      <c r="A2037" s="1" t="s">
        <v>4675</v>
      </c>
      <c r="B2037" s="1" t="s">
        <v>4676</v>
      </c>
    </row>
    <row r="2038" spans="1:2" x14ac:dyDescent="0.35">
      <c r="A2038" s="1" t="s">
        <v>4679</v>
      </c>
      <c r="B2038" s="1" t="s">
        <v>4680</v>
      </c>
    </row>
    <row r="2039" spans="1:2" x14ac:dyDescent="0.35">
      <c r="A2039" s="1" t="s">
        <v>4681</v>
      </c>
      <c r="B2039" s="1" t="s">
        <v>4682</v>
      </c>
    </row>
    <row r="2040" spans="1:2" x14ac:dyDescent="0.35">
      <c r="A2040" s="1" t="s">
        <v>4686</v>
      </c>
      <c r="B2040" s="1" t="s">
        <v>4687</v>
      </c>
    </row>
    <row r="2041" spans="1:2" x14ac:dyDescent="0.35">
      <c r="A2041" s="1" t="s">
        <v>4688</v>
      </c>
      <c r="B2041" s="1" t="s">
        <v>4689</v>
      </c>
    </row>
    <row r="2042" spans="1:2" x14ac:dyDescent="0.35">
      <c r="A2042" s="1" t="s">
        <v>4691</v>
      </c>
      <c r="B2042" s="1" t="s">
        <v>4692</v>
      </c>
    </row>
    <row r="2043" spans="1:2" x14ac:dyDescent="0.35">
      <c r="A2043" s="1" t="s">
        <v>4693</v>
      </c>
      <c r="B2043" s="1" t="s">
        <v>4694</v>
      </c>
    </row>
    <row r="2044" spans="1:2" x14ac:dyDescent="0.35">
      <c r="A2044" s="1" t="s">
        <v>4696</v>
      </c>
      <c r="B2044" s="1" t="s">
        <v>4697</v>
      </c>
    </row>
    <row r="2045" spans="1:2" x14ac:dyDescent="0.35">
      <c r="A2045" s="1" t="s">
        <v>4698</v>
      </c>
      <c r="B2045" s="1" t="s">
        <v>4699</v>
      </c>
    </row>
    <row r="2046" spans="1:2" x14ac:dyDescent="0.35">
      <c r="A2046" s="1" t="s">
        <v>4706</v>
      </c>
      <c r="B2046" s="1" t="s">
        <v>4707</v>
      </c>
    </row>
    <row r="2047" spans="1:2" x14ac:dyDescent="0.35">
      <c r="A2047" s="1" t="s">
        <v>4713</v>
      </c>
      <c r="B2047" s="1" t="s">
        <v>4714</v>
      </c>
    </row>
    <row r="2048" spans="1:2" x14ac:dyDescent="0.35">
      <c r="A2048" s="1" t="s">
        <v>4716</v>
      </c>
      <c r="B2048" s="1" t="s">
        <v>4717</v>
      </c>
    </row>
    <row r="2049" spans="1:2" x14ac:dyDescent="0.35">
      <c r="A2049" s="1" t="s">
        <v>4719</v>
      </c>
      <c r="B2049" s="1" t="s">
        <v>4720</v>
      </c>
    </row>
    <row r="2050" spans="1:2" x14ac:dyDescent="0.35">
      <c r="B2050" s="1" t="s">
        <v>4721</v>
      </c>
    </row>
    <row r="2051" spans="1:2" x14ac:dyDescent="0.35">
      <c r="A2051" s="1" t="s">
        <v>4723</v>
      </c>
      <c r="B2051" s="1" t="s">
        <v>4724</v>
      </c>
    </row>
    <row r="2052" spans="1:2" x14ac:dyDescent="0.35">
      <c r="A2052" s="1" t="s">
        <v>4733</v>
      </c>
      <c r="B2052" s="1" t="s">
        <v>4734</v>
      </c>
    </row>
    <row r="2053" spans="1:2" x14ac:dyDescent="0.35">
      <c r="A2053" s="1" t="s">
        <v>4740</v>
      </c>
      <c r="B2053" s="1" t="s">
        <v>4741</v>
      </c>
    </row>
    <row r="2054" spans="1:2" x14ac:dyDescent="0.35">
      <c r="A2054" s="1" t="s">
        <v>4747</v>
      </c>
      <c r="B2054" s="1" t="s">
        <v>4748</v>
      </c>
    </row>
    <row r="2055" spans="1:2" x14ac:dyDescent="0.35">
      <c r="A2055" s="1" t="s">
        <v>4751</v>
      </c>
      <c r="B2055" s="1" t="s">
        <v>4752</v>
      </c>
    </row>
    <row r="2056" spans="1:2" x14ac:dyDescent="0.35">
      <c r="A2056" s="1" t="s">
        <v>4755</v>
      </c>
      <c r="B2056" s="1" t="s">
        <v>4756</v>
      </c>
    </row>
    <row r="2057" spans="1:2" x14ac:dyDescent="0.35">
      <c r="A2057" s="1" t="s">
        <v>4758</v>
      </c>
      <c r="B2057" s="1" t="s">
        <v>4759</v>
      </c>
    </row>
    <row r="2058" spans="1:2" x14ac:dyDescent="0.35">
      <c r="A2058" s="1" t="s">
        <v>4789</v>
      </c>
      <c r="B2058" s="1" t="s">
        <v>4790</v>
      </c>
    </row>
    <row r="2059" spans="1:2" x14ac:dyDescent="0.35">
      <c r="A2059" s="1" t="s">
        <v>4796</v>
      </c>
      <c r="B2059" s="1" t="s">
        <v>4797</v>
      </c>
    </row>
    <row r="2060" spans="1:2" x14ac:dyDescent="0.35">
      <c r="A2060" s="1" t="s">
        <v>4800</v>
      </c>
      <c r="B2060" s="1" t="s">
        <v>4801</v>
      </c>
    </row>
    <row r="2061" spans="1:2" x14ac:dyDescent="0.35">
      <c r="A2061" s="1" t="s">
        <v>4802</v>
      </c>
      <c r="B2061" s="1" t="s">
        <v>4803</v>
      </c>
    </row>
    <row r="2062" spans="1:2" x14ac:dyDescent="0.35">
      <c r="A2062" s="1" t="s">
        <v>4809</v>
      </c>
      <c r="B2062" s="1" t="s">
        <v>4810</v>
      </c>
    </row>
    <row r="2063" spans="1:2" x14ac:dyDescent="0.35">
      <c r="A2063" s="1" t="s">
        <v>4811</v>
      </c>
      <c r="B2063" s="1" t="s">
        <v>4812</v>
      </c>
    </row>
    <row r="2064" spans="1:2" x14ac:dyDescent="0.35">
      <c r="A2064" s="1" t="s">
        <v>4815</v>
      </c>
      <c r="B2064" s="1" t="s">
        <v>4816</v>
      </c>
    </row>
    <row r="2065" spans="1:2" x14ac:dyDescent="0.35">
      <c r="A2065" s="1" t="s">
        <v>4817</v>
      </c>
      <c r="B2065" s="1" t="s">
        <v>4818</v>
      </c>
    </row>
    <row r="2066" spans="1:2" x14ac:dyDescent="0.35">
      <c r="A2066" s="1" t="s">
        <v>4819</v>
      </c>
      <c r="B2066" s="1" t="s">
        <v>4820</v>
      </c>
    </row>
    <row r="2067" spans="1:2" x14ac:dyDescent="0.35">
      <c r="A2067" s="1" t="s">
        <v>4821</v>
      </c>
      <c r="B2067" s="1" t="s">
        <v>4822</v>
      </c>
    </row>
    <row r="2068" spans="1:2" x14ac:dyDescent="0.35">
      <c r="A2068" s="1" t="s">
        <v>4827</v>
      </c>
      <c r="B2068" s="1" t="s">
        <v>4828</v>
      </c>
    </row>
    <row r="2069" spans="1:2" x14ac:dyDescent="0.35">
      <c r="A2069" s="1" t="s">
        <v>4829</v>
      </c>
      <c r="B2069" s="1" t="s">
        <v>4830</v>
      </c>
    </row>
    <row r="2070" spans="1:2" x14ac:dyDescent="0.35">
      <c r="A2070" s="1" t="s">
        <v>4831</v>
      </c>
      <c r="B2070" s="1" t="s">
        <v>4832</v>
      </c>
    </row>
    <row r="2071" spans="1:2" x14ac:dyDescent="0.35">
      <c r="A2071" s="1" t="s">
        <v>4833</v>
      </c>
      <c r="B2071" s="1" t="s">
        <v>4834</v>
      </c>
    </row>
    <row r="2072" spans="1:2" x14ac:dyDescent="0.35">
      <c r="A2072" s="1" t="s">
        <v>4841</v>
      </c>
      <c r="B2072" s="1" t="s">
        <v>4842</v>
      </c>
    </row>
    <row r="2073" spans="1:2" x14ac:dyDescent="0.35">
      <c r="A2073" s="1" t="s">
        <v>4845</v>
      </c>
      <c r="B2073" s="1" t="s">
        <v>4846</v>
      </c>
    </row>
    <row r="2074" spans="1:2" x14ac:dyDescent="0.35">
      <c r="A2074" s="1" t="s">
        <v>4852</v>
      </c>
      <c r="B2074" s="1" t="s">
        <v>4853</v>
      </c>
    </row>
    <row r="2075" spans="1:2" x14ac:dyDescent="0.35">
      <c r="A2075" s="1" t="s">
        <v>4863</v>
      </c>
      <c r="B2075" s="1" t="s">
        <v>4864</v>
      </c>
    </row>
    <row r="2076" spans="1:2" x14ac:dyDescent="0.35">
      <c r="A2076" s="1" t="s">
        <v>4867</v>
      </c>
      <c r="B2076" s="1" t="s">
        <v>4868</v>
      </c>
    </row>
    <row r="2077" spans="1:2" x14ac:dyDescent="0.35">
      <c r="A2077" s="1" t="s">
        <v>4872</v>
      </c>
      <c r="B2077" s="1" t="s">
        <v>4873</v>
      </c>
    </row>
    <row r="2078" spans="1:2" x14ac:dyDescent="0.35">
      <c r="A2078" s="1" t="s">
        <v>4878</v>
      </c>
      <c r="B2078" s="1" t="s">
        <v>4879</v>
      </c>
    </row>
    <row r="2079" spans="1:2" x14ac:dyDescent="0.35">
      <c r="A2079" s="1" t="s">
        <v>4881</v>
      </c>
      <c r="B2079" s="1" t="s">
        <v>4882</v>
      </c>
    </row>
    <row r="2080" spans="1:2" x14ac:dyDescent="0.35">
      <c r="A2080" s="1" t="s">
        <v>4888</v>
      </c>
      <c r="B2080" s="1" t="s">
        <v>4889</v>
      </c>
    </row>
    <row r="2081" spans="1:2" x14ac:dyDescent="0.35">
      <c r="A2081" s="1" t="s">
        <v>4890</v>
      </c>
      <c r="B2081" s="1" t="s">
        <v>4891</v>
      </c>
    </row>
    <row r="2082" spans="1:2" x14ac:dyDescent="0.35">
      <c r="A2082" s="1" t="s">
        <v>4893</v>
      </c>
      <c r="B2082" s="1" t="s">
        <v>4894</v>
      </c>
    </row>
    <row r="2083" spans="1:2" x14ac:dyDescent="0.35">
      <c r="A2083" s="1" t="s">
        <v>4897</v>
      </c>
      <c r="B2083" s="1" t="s">
        <v>4898</v>
      </c>
    </row>
    <row r="2084" spans="1:2" x14ac:dyDescent="0.35">
      <c r="A2084" s="1" t="s">
        <v>4899</v>
      </c>
      <c r="B2084" s="1" t="s">
        <v>4900</v>
      </c>
    </row>
    <row r="2085" spans="1:2" x14ac:dyDescent="0.35">
      <c r="A2085" s="1" t="s">
        <v>4905</v>
      </c>
      <c r="B2085" s="1" t="s">
        <v>4906</v>
      </c>
    </row>
    <row r="2086" spans="1:2" x14ac:dyDescent="0.35">
      <c r="A2086" s="1" t="s">
        <v>4907</v>
      </c>
      <c r="B2086" s="1" t="s">
        <v>4908</v>
      </c>
    </row>
    <row r="2087" spans="1:2" x14ac:dyDescent="0.35">
      <c r="A2087" s="1" t="s">
        <v>4909</v>
      </c>
      <c r="B2087" s="1" t="s">
        <v>4910</v>
      </c>
    </row>
    <row r="2088" spans="1:2" x14ac:dyDescent="0.35">
      <c r="A2088" s="1" t="s">
        <v>4911</v>
      </c>
      <c r="B2088" s="1" t="s">
        <v>4912</v>
      </c>
    </row>
    <row r="2089" spans="1:2" x14ac:dyDescent="0.35">
      <c r="A2089" s="1" t="s">
        <v>4913</v>
      </c>
      <c r="B2089" s="1" t="s">
        <v>4914</v>
      </c>
    </row>
    <row r="2090" spans="1:2" x14ac:dyDescent="0.35">
      <c r="A2090" s="1" t="s">
        <v>4915</v>
      </c>
      <c r="B2090" s="1" t="s">
        <v>4916</v>
      </c>
    </row>
    <row r="2091" spans="1:2" x14ac:dyDescent="0.35">
      <c r="A2091" s="1" t="s">
        <v>4917</v>
      </c>
      <c r="B2091" s="1" t="s">
        <v>4918</v>
      </c>
    </row>
    <row r="2092" spans="1:2" x14ac:dyDescent="0.35">
      <c r="A2092" s="1" t="s">
        <v>4925</v>
      </c>
      <c r="B2092" s="1" t="s">
        <v>4926</v>
      </c>
    </row>
    <row r="2093" spans="1:2" x14ac:dyDescent="0.35">
      <c r="A2093" s="1" t="s">
        <v>4932</v>
      </c>
      <c r="B2093" s="1" t="s">
        <v>4933</v>
      </c>
    </row>
    <row r="2094" spans="1:2" x14ac:dyDescent="0.35">
      <c r="A2094" s="1" t="s">
        <v>4934</v>
      </c>
      <c r="B2094" s="1" t="s">
        <v>4935</v>
      </c>
    </row>
    <row r="2095" spans="1:2" x14ac:dyDescent="0.35">
      <c r="A2095" s="1" t="s">
        <v>4936</v>
      </c>
      <c r="B2095" s="1" t="s">
        <v>4937</v>
      </c>
    </row>
    <row r="2096" spans="1:2" x14ac:dyDescent="0.35">
      <c r="A2096" s="1" t="s">
        <v>4967</v>
      </c>
      <c r="B2096" s="1" t="s">
        <v>4968</v>
      </c>
    </row>
    <row r="2097" spans="1:2" x14ac:dyDescent="0.35">
      <c r="A2097" s="1" t="s">
        <v>4969</v>
      </c>
      <c r="B2097" s="1" t="s">
        <v>4970</v>
      </c>
    </row>
    <row r="2098" spans="1:2" x14ac:dyDescent="0.35">
      <c r="A2098" s="1" t="s">
        <v>4975</v>
      </c>
      <c r="B2098" s="1" t="s">
        <v>4976</v>
      </c>
    </row>
    <row r="2099" spans="1:2" x14ac:dyDescent="0.35">
      <c r="A2099" s="1" t="s">
        <v>4977</v>
      </c>
      <c r="B2099" s="1" t="s">
        <v>4978</v>
      </c>
    </row>
    <row r="2100" spans="1:2" x14ac:dyDescent="0.35">
      <c r="A2100" s="1" t="s">
        <v>4979</v>
      </c>
      <c r="B2100" s="1" t="s">
        <v>4980</v>
      </c>
    </row>
    <row r="2101" spans="1:2" x14ac:dyDescent="0.35">
      <c r="A2101" s="1" t="s">
        <v>4981</v>
      </c>
      <c r="B2101" s="1" t="s">
        <v>4982</v>
      </c>
    </row>
    <row r="2102" spans="1:2" x14ac:dyDescent="0.35">
      <c r="A2102" s="1" t="s">
        <v>4985</v>
      </c>
      <c r="B2102" s="1" t="s">
        <v>4986</v>
      </c>
    </row>
    <row r="2103" spans="1:2" x14ac:dyDescent="0.35">
      <c r="A2103" s="1" t="s">
        <v>4988</v>
      </c>
      <c r="B2103" s="1" t="s">
        <v>4989</v>
      </c>
    </row>
    <row r="2104" spans="1:2" x14ac:dyDescent="0.35">
      <c r="A2104" s="1" t="s">
        <v>4995</v>
      </c>
      <c r="B2104" s="1" t="s">
        <v>4996</v>
      </c>
    </row>
    <row r="2105" spans="1:2" x14ac:dyDescent="0.35">
      <c r="A2105" s="1" t="s">
        <v>4997</v>
      </c>
      <c r="B2105" s="1" t="s">
        <v>4998</v>
      </c>
    </row>
    <row r="2106" spans="1:2" x14ac:dyDescent="0.35">
      <c r="A2106" s="1" t="s">
        <v>4999</v>
      </c>
      <c r="B2106" s="1" t="s">
        <v>5000</v>
      </c>
    </row>
    <row r="2107" spans="1:2" x14ac:dyDescent="0.35">
      <c r="A2107" s="1" t="s">
        <v>5001</v>
      </c>
      <c r="B2107" s="1" t="s">
        <v>5002</v>
      </c>
    </row>
    <row r="2108" spans="1:2" x14ac:dyDescent="0.35">
      <c r="A2108" s="1" t="s">
        <v>5004</v>
      </c>
      <c r="B2108" s="1" t="s">
        <v>5005</v>
      </c>
    </row>
    <row r="2109" spans="1:2" x14ac:dyDescent="0.35">
      <c r="A2109" s="1" t="s">
        <v>5011</v>
      </c>
      <c r="B2109" s="1" t="s">
        <v>5012</v>
      </c>
    </row>
    <row r="2110" spans="1:2" x14ac:dyDescent="0.35">
      <c r="B2110" s="1" t="s">
        <v>5013</v>
      </c>
    </row>
    <row r="2111" spans="1:2" x14ac:dyDescent="0.35">
      <c r="A2111" s="1" t="s">
        <v>5019</v>
      </c>
      <c r="B2111" s="1" t="s">
        <v>5020</v>
      </c>
    </row>
    <row r="2112" spans="1:2" x14ac:dyDescent="0.35">
      <c r="A2112" s="1" t="s">
        <v>5022</v>
      </c>
      <c r="B2112" s="1" t="s">
        <v>5023</v>
      </c>
    </row>
    <row r="2113" spans="1:2" x14ac:dyDescent="0.35">
      <c r="A2113" s="1" t="s">
        <v>5024</v>
      </c>
      <c r="B2113" s="1" t="s">
        <v>5025</v>
      </c>
    </row>
    <row r="2114" spans="1:2" x14ac:dyDescent="0.35">
      <c r="A2114" s="1" t="s">
        <v>5030</v>
      </c>
      <c r="B2114" s="1" t="s">
        <v>5031</v>
      </c>
    </row>
    <row r="2115" spans="1:2" x14ac:dyDescent="0.35">
      <c r="A2115" s="1" t="s">
        <v>5032</v>
      </c>
      <c r="B2115" s="1" t="s">
        <v>5033</v>
      </c>
    </row>
    <row r="2116" spans="1:2" x14ac:dyDescent="0.35">
      <c r="A2116" s="1" t="s">
        <v>5034</v>
      </c>
      <c r="B2116" s="1" t="s">
        <v>5035</v>
      </c>
    </row>
    <row r="2117" spans="1:2" x14ac:dyDescent="0.35">
      <c r="A2117" s="1" t="s">
        <v>5036</v>
      </c>
      <c r="B2117" s="1" t="s">
        <v>5037</v>
      </c>
    </row>
    <row r="2118" spans="1:2" x14ac:dyDescent="0.35">
      <c r="A2118" s="1" t="s">
        <v>5046</v>
      </c>
      <c r="B2118" s="1" t="s">
        <v>5047</v>
      </c>
    </row>
    <row r="2119" spans="1:2" x14ac:dyDescent="0.35">
      <c r="A2119" s="1" t="s">
        <v>5048</v>
      </c>
      <c r="B2119" s="1" t="s">
        <v>5049</v>
      </c>
    </row>
    <row r="2120" spans="1:2" x14ac:dyDescent="0.35">
      <c r="A2120" s="1" t="s">
        <v>5051</v>
      </c>
      <c r="B2120" s="1" t="s">
        <v>5052</v>
      </c>
    </row>
    <row r="2121" spans="1:2" x14ac:dyDescent="0.35">
      <c r="A2121" s="1" t="s">
        <v>5053</v>
      </c>
      <c r="B2121" s="1" t="s">
        <v>5054</v>
      </c>
    </row>
    <row r="2122" spans="1:2" x14ac:dyDescent="0.35">
      <c r="A2122" s="1" t="s">
        <v>5056</v>
      </c>
      <c r="B2122" s="1" t="s">
        <v>5057</v>
      </c>
    </row>
    <row r="2123" spans="1:2" x14ac:dyDescent="0.35">
      <c r="A2123" s="1" t="s">
        <v>5062</v>
      </c>
      <c r="B2123" s="1" t="s">
        <v>5063</v>
      </c>
    </row>
    <row r="2124" spans="1:2" x14ac:dyDescent="0.35">
      <c r="A2124" s="1" t="s">
        <v>5065</v>
      </c>
      <c r="B2124" s="1" t="s">
        <v>5066</v>
      </c>
    </row>
    <row r="2125" spans="1:2" x14ac:dyDescent="0.35">
      <c r="A2125" s="1" t="s">
        <v>5068</v>
      </c>
      <c r="B2125" s="1" t="s">
        <v>5069</v>
      </c>
    </row>
    <row r="2126" spans="1:2" x14ac:dyDescent="0.35">
      <c r="A2126" s="1" t="s">
        <v>5071</v>
      </c>
      <c r="B2126" s="1" t="s">
        <v>5072</v>
      </c>
    </row>
    <row r="2127" spans="1:2" x14ac:dyDescent="0.35">
      <c r="A2127" s="1" t="s">
        <v>5077</v>
      </c>
      <c r="B2127" s="1" t="s">
        <v>5078</v>
      </c>
    </row>
    <row r="2128" spans="1:2" x14ac:dyDescent="0.35">
      <c r="A2128" s="1" t="s">
        <v>5079</v>
      </c>
      <c r="B2128" s="1" t="s">
        <v>5080</v>
      </c>
    </row>
    <row r="2129" spans="1:2" x14ac:dyDescent="0.35">
      <c r="A2129" s="1" t="s">
        <v>5093</v>
      </c>
      <c r="B2129" s="1" t="s">
        <v>5094</v>
      </c>
    </row>
    <row r="2130" spans="1:2" x14ac:dyDescent="0.35">
      <c r="A2130" s="1" t="s">
        <v>5095</v>
      </c>
      <c r="B2130" s="1" t="s">
        <v>5096</v>
      </c>
    </row>
    <row r="2131" spans="1:2" x14ac:dyDescent="0.35">
      <c r="A2131" s="1" t="s">
        <v>5098</v>
      </c>
      <c r="B2131" s="1" t="s">
        <v>5099</v>
      </c>
    </row>
    <row r="2132" spans="1:2" x14ac:dyDescent="0.35">
      <c r="A2132" s="1" t="s">
        <v>5101</v>
      </c>
      <c r="B2132" s="1" t="s">
        <v>5102</v>
      </c>
    </row>
    <row r="2133" spans="1:2" x14ac:dyDescent="0.35">
      <c r="A2133" s="1" t="s">
        <v>5112</v>
      </c>
      <c r="B2133" s="1" t="s">
        <v>5113</v>
      </c>
    </row>
    <row r="2134" spans="1:2" x14ac:dyDescent="0.35">
      <c r="A2134" s="1" t="s">
        <v>5119</v>
      </c>
      <c r="B2134" s="1" t="s">
        <v>5120</v>
      </c>
    </row>
    <row r="2135" spans="1:2" x14ac:dyDescent="0.35">
      <c r="A2135" s="1" t="s">
        <v>5121</v>
      </c>
      <c r="B2135" s="1" t="s">
        <v>5122</v>
      </c>
    </row>
    <row r="2136" spans="1:2" x14ac:dyDescent="0.35">
      <c r="A2136" s="1" t="s">
        <v>5127</v>
      </c>
      <c r="B2136" s="1" t="s">
        <v>5128</v>
      </c>
    </row>
    <row r="2137" spans="1:2" x14ac:dyDescent="0.35">
      <c r="A2137" s="1" t="s">
        <v>5130</v>
      </c>
      <c r="B2137" s="1" t="s">
        <v>5131</v>
      </c>
    </row>
    <row r="2138" spans="1:2" x14ac:dyDescent="0.35">
      <c r="A2138" s="1" t="s">
        <v>5133</v>
      </c>
      <c r="B2138" s="1" t="s">
        <v>5134</v>
      </c>
    </row>
    <row r="2139" spans="1:2" x14ac:dyDescent="0.35">
      <c r="A2139" s="1" t="s">
        <v>5137</v>
      </c>
      <c r="B2139" s="1" t="s">
        <v>5138</v>
      </c>
    </row>
    <row r="2140" spans="1:2" x14ac:dyDescent="0.35">
      <c r="A2140" s="1" t="s">
        <v>5139</v>
      </c>
      <c r="B2140" s="1" t="s">
        <v>5140</v>
      </c>
    </row>
    <row r="2141" spans="1:2" x14ac:dyDescent="0.35">
      <c r="A2141" s="1" t="s">
        <v>5163</v>
      </c>
      <c r="B2141" s="1" t="s">
        <v>5164</v>
      </c>
    </row>
    <row r="2142" spans="1:2" x14ac:dyDescent="0.35">
      <c r="A2142" s="1" t="s">
        <v>5171</v>
      </c>
      <c r="B2142" s="1" t="s">
        <v>5172</v>
      </c>
    </row>
    <row r="2143" spans="1:2" x14ac:dyDescent="0.35">
      <c r="A2143" s="1" t="s">
        <v>5175</v>
      </c>
      <c r="B2143" s="1" t="s">
        <v>5176</v>
      </c>
    </row>
    <row r="2144" spans="1:2" x14ac:dyDescent="0.35">
      <c r="A2144" s="1" t="s">
        <v>5178</v>
      </c>
      <c r="B2144" s="1" t="s">
        <v>5179</v>
      </c>
    </row>
    <row r="2145" spans="1:2" x14ac:dyDescent="0.35">
      <c r="A2145" s="1" t="s">
        <v>5194</v>
      </c>
      <c r="B2145" s="1" t="s">
        <v>5195</v>
      </c>
    </row>
    <row r="2146" spans="1:2" x14ac:dyDescent="0.35">
      <c r="A2146" s="1" t="s">
        <v>5196</v>
      </c>
      <c r="B2146" s="1" t="s">
        <v>5197</v>
      </c>
    </row>
    <row r="2147" spans="1:2" x14ac:dyDescent="0.35">
      <c r="A2147" s="1" t="s">
        <v>5199</v>
      </c>
      <c r="B2147" s="1" t="s">
        <v>5200</v>
      </c>
    </row>
    <row r="2148" spans="1:2" x14ac:dyDescent="0.35">
      <c r="A2148" s="1" t="s">
        <v>5203</v>
      </c>
      <c r="B2148" s="1" t="s">
        <v>5204</v>
      </c>
    </row>
    <row r="2149" spans="1:2" x14ac:dyDescent="0.35">
      <c r="A2149" s="1" t="s">
        <v>5206</v>
      </c>
      <c r="B2149" s="1" t="s">
        <v>5207</v>
      </c>
    </row>
    <row r="2150" spans="1:2" x14ac:dyDescent="0.35">
      <c r="A2150" s="1" t="s">
        <v>5210</v>
      </c>
      <c r="B2150" s="1" t="s">
        <v>5211</v>
      </c>
    </row>
    <row r="2151" spans="1:2" x14ac:dyDescent="0.35">
      <c r="A2151" s="1" t="s">
        <v>5218</v>
      </c>
      <c r="B2151" s="1" t="s">
        <v>5219</v>
      </c>
    </row>
    <row r="2152" spans="1:2" x14ac:dyDescent="0.35">
      <c r="A2152" s="1" t="s">
        <v>5220</v>
      </c>
      <c r="B2152" s="1" t="s">
        <v>5221</v>
      </c>
    </row>
    <row r="2153" spans="1:2" x14ac:dyDescent="0.35">
      <c r="A2153" s="1" t="s">
        <v>5223</v>
      </c>
      <c r="B2153" s="1" t="s">
        <v>5224</v>
      </c>
    </row>
    <row r="2154" spans="1:2" x14ac:dyDescent="0.35">
      <c r="A2154" s="1" t="s">
        <v>5225</v>
      </c>
      <c r="B2154" s="1" t="s">
        <v>5226</v>
      </c>
    </row>
    <row r="2155" spans="1:2" x14ac:dyDescent="0.35">
      <c r="A2155" s="1" t="s">
        <v>5227</v>
      </c>
      <c r="B2155" s="1" t="s">
        <v>5228</v>
      </c>
    </row>
    <row r="2156" spans="1:2" x14ac:dyDescent="0.35">
      <c r="A2156" s="1" t="s">
        <v>5230</v>
      </c>
      <c r="B2156" s="1" t="s">
        <v>5231</v>
      </c>
    </row>
    <row r="2157" spans="1:2" x14ac:dyDescent="0.35">
      <c r="A2157" s="1" t="s">
        <v>5232</v>
      </c>
      <c r="B2157" s="1" t="s">
        <v>5233</v>
      </c>
    </row>
    <row r="2158" spans="1:2" x14ac:dyDescent="0.35">
      <c r="A2158" s="1" t="s">
        <v>5234</v>
      </c>
      <c r="B2158" s="1" t="s">
        <v>5235</v>
      </c>
    </row>
    <row r="2159" spans="1:2" x14ac:dyDescent="0.35">
      <c r="A2159" s="1" t="s">
        <v>5236</v>
      </c>
      <c r="B2159" s="1" t="s">
        <v>5237</v>
      </c>
    </row>
    <row r="2160" spans="1:2" x14ac:dyDescent="0.35">
      <c r="A2160" s="1" t="s">
        <v>5238</v>
      </c>
      <c r="B2160" s="1" t="s">
        <v>5239</v>
      </c>
    </row>
    <row r="2161" spans="1:2" x14ac:dyDescent="0.35">
      <c r="A2161" s="1" t="s">
        <v>5240</v>
      </c>
      <c r="B2161" s="1" t="s">
        <v>5241</v>
      </c>
    </row>
    <row r="2162" spans="1:2" x14ac:dyDescent="0.35">
      <c r="A2162" s="1" t="s">
        <v>5244</v>
      </c>
      <c r="B2162" s="1" t="s">
        <v>5245</v>
      </c>
    </row>
    <row r="2163" spans="1:2" x14ac:dyDescent="0.35">
      <c r="A2163" s="1" t="s">
        <v>5254</v>
      </c>
      <c r="B2163" s="1" t="s">
        <v>5255</v>
      </c>
    </row>
    <row r="2164" spans="1:2" x14ac:dyDescent="0.35">
      <c r="A2164" s="1" t="s">
        <v>5257</v>
      </c>
      <c r="B2164" s="1" t="s">
        <v>5258</v>
      </c>
    </row>
    <row r="2165" spans="1:2" x14ac:dyDescent="0.35">
      <c r="A2165" s="1" t="s">
        <v>5260</v>
      </c>
      <c r="B2165" s="1" t="s">
        <v>5261</v>
      </c>
    </row>
    <row r="2166" spans="1:2" x14ac:dyDescent="0.35">
      <c r="A2166" s="1" t="s">
        <v>5262</v>
      </c>
      <c r="B2166" s="1" t="s">
        <v>5263</v>
      </c>
    </row>
    <row r="2167" spans="1:2" x14ac:dyDescent="0.35">
      <c r="A2167" s="1" t="s">
        <v>5267</v>
      </c>
      <c r="B2167" s="1" t="s">
        <v>5268</v>
      </c>
    </row>
    <row r="2168" spans="1:2" x14ac:dyDescent="0.35">
      <c r="A2168" s="1" t="s">
        <v>5282</v>
      </c>
      <c r="B2168" s="1" t="s">
        <v>5283</v>
      </c>
    </row>
    <row r="2169" spans="1:2" x14ac:dyDescent="0.35">
      <c r="A2169" s="1" t="s">
        <v>5290</v>
      </c>
      <c r="B2169" s="1" t="s">
        <v>5291</v>
      </c>
    </row>
    <row r="2170" spans="1:2" x14ac:dyDescent="0.35">
      <c r="A2170" s="1" t="s">
        <v>5292</v>
      </c>
      <c r="B2170" s="1" t="s">
        <v>5293</v>
      </c>
    </row>
    <row r="2171" spans="1:2" x14ac:dyDescent="0.35">
      <c r="A2171" s="1" t="s">
        <v>5294</v>
      </c>
      <c r="B2171" s="1" t="s">
        <v>5295</v>
      </c>
    </row>
    <row r="2172" spans="1:2" x14ac:dyDescent="0.35">
      <c r="A2172" s="1" t="s">
        <v>5296</v>
      </c>
      <c r="B2172" s="1" t="s">
        <v>5297</v>
      </c>
    </row>
    <row r="2173" spans="1:2" x14ac:dyDescent="0.35">
      <c r="A2173" s="1" t="s">
        <v>5298</v>
      </c>
      <c r="B2173" s="1" t="s">
        <v>5299</v>
      </c>
    </row>
    <row r="2174" spans="1:2" x14ac:dyDescent="0.35">
      <c r="A2174" s="1" t="s">
        <v>5300</v>
      </c>
      <c r="B2174" s="1" t="s">
        <v>5301</v>
      </c>
    </row>
    <row r="2175" spans="1:2" x14ac:dyDescent="0.35">
      <c r="A2175" s="1" t="s">
        <v>5311</v>
      </c>
      <c r="B2175" s="1" t="s">
        <v>5312</v>
      </c>
    </row>
    <row r="2176" spans="1:2" x14ac:dyDescent="0.35">
      <c r="A2176" s="1" t="s">
        <v>5313</v>
      </c>
      <c r="B2176" s="1" t="s">
        <v>5314</v>
      </c>
    </row>
    <row r="2177" spans="1:2" x14ac:dyDescent="0.35">
      <c r="A2177" s="1" t="s">
        <v>5315</v>
      </c>
      <c r="B2177" s="1" t="s">
        <v>5316</v>
      </c>
    </row>
    <row r="2178" spans="1:2" x14ac:dyDescent="0.35">
      <c r="A2178" s="1" t="s">
        <v>5331</v>
      </c>
      <c r="B2178" s="1" t="s">
        <v>5332</v>
      </c>
    </row>
    <row r="2179" spans="1:2" x14ac:dyDescent="0.35">
      <c r="A2179" s="1" t="s">
        <v>5333</v>
      </c>
      <c r="B2179" s="1" t="s">
        <v>5334</v>
      </c>
    </row>
    <row r="2180" spans="1:2" x14ac:dyDescent="0.35">
      <c r="A2180" s="1" t="s">
        <v>5335</v>
      </c>
      <c r="B2180" s="1" t="s">
        <v>5336</v>
      </c>
    </row>
    <row r="2181" spans="1:2" x14ac:dyDescent="0.35">
      <c r="A2181" s="1" t="s">
        <v>5338</v>
      </c>
      <c r="B2181" s="1" t="s">
        <v>5339</v>
      </c>
    </row>
    <row r="2182" spans="1:2" x14ac:dyDescent="0.35">
      <c r="A2182" s="1" t="s">
        <v>5340</v>
      </c>
      <c r="B2182" s="1" t="s">
        <v>5341</v>
      </c>
    </row>
    <row r="2183" spans="1:2" x14ac:dyDescent="0.35">
      <c r="A2183" s="1" t="s">
        <v>5344</v>
      </c>
      <c r="B2183" s="1" t="s">
        <v>5345</v>
      </c>
    </row>
    <row r="2184" spans="1:2" x14ac:dyDescent="0.35">
      <c r="A2184" s="1" t="s">
        <v>5346</v>
      </c>
      <c r="B2184" s="1" t="s">
        <v>5347</v>
      </c>
    </row>
    <row r="2185" spans="1:2" x14ac:dyDescent="0.35">
      <c r="A2185" s="1" t="s">
        <v>5348</v>
      </c>
      <c r="B2185" s="1" t="s">
        <v>5349</v>
      </c>
    </row>
    <row r="2186" spans="1:2" x14ac:dyDescent="0.35">
      <c r="A2186" s="1" t="s">
        <v>5350</v>
      </c>
      <c r="B2186" s="1" t="s">
        <v>5351</v>
      </c>
    </row>
    <row r="2187" spans="1:2" x14ac:dyDescent="0.35">
      <c r="A2187" s="1" t="s">
        <v>5352</v>
      </c>
      <c r="B2187" s="1" t="s">
        <v>5353</v>
      </c>
    </row>
    <row r="2188" spans="1:2" x14ac:dyDescent="0.35">
      <c r="A2188" s="1" t="s">
        <v>5361</v>
      </c>
      <c r="B2188" s="1" t="s">
        <v>5362</v>
      </c>
    </row>
    <row r="2189" spans="1:2" x14ac:dyDescent="0.35">
      <c r="A2189" s="1" t="s">
        <v>5363</v>
      </c>
      <c r="B2189" s="1" t="s">
        <v>5364</v>
      </c>
    </row>
    <row r="2190" spans="1:2" x14ac:dyDescent="0.35">
      <c r="A2190" s="1" t="s">
        <v>5365</v>
      </c>
      <c r="B2190" s="1" t="s">
        <v>5366</v>
      </c>
    </row>
    <row r="2191" spans="1:2" x14ac:dyDescent="0.35">
      <c r="A2191" s="1" t="s">
        <v>5367</v>
      </c>
      <c r="B2191" s="1" t="s">
        <v>5368</v>
      </c>
    </row>
    <row r="2192" spans="1:2" x14ac:dyDescent="0.35">
      <c r="A2192" s="1" t="s">
        <v>5369</v>
      </c>
      <c r="B2192" s="1" t="s">
        <v>5370</v>
      </c>
    </row>
    <row r="2193" spans="1:2" x14ac:dyDescent="0.35">
      <c r="A2193" s="1" t="s">
        <v>5389</v>
      </c>
      <c r="B2193" s="1" t="s">
        <v>5390</v>
      </c>
    </row>
    <row r="2194" spans="1:2" x14ac:dyDescent="0.35">
      <c r="A2194" s="1" t="s">
        <v>5391</v>
      </c>
      <c r="B2194" s="1" t="s">
        <v>5392</v>
      </c>
    </row>
    <row r="2195" spans="1:2" x14ac:dyDescent="0.35">
      <c r="A2195" s="1" t="s">
        <v>5408</v>
      </c>
      <c r="B2195" s="1" t="s">
        <v>5409</v>
      </c>
    </row>
    <row r="2196" spans="1:2" x14ac:dyDescent="0.35">
      <c r="A2196" s="1" t="s">
        <v>5412</v>
      </c>
      <c r="B2196" s="1" t="s">
        <v>5413</v>
      </c>
    </row>
    <row r="2197" spans="1:2" x14ac:dyDescent="0.35">
      <c r="A2197" s="1" t="s">
        <v>5414</v>
      </c>
      <c r="B2197" s="1" t="s">
        <v>5415</v>
      </c>
    </row>
    <row r="2198" spans="1:2" x14ac:dyDescent="0.35">
      <c r="A2198" s="1" t="s">
        <v>5418</v>
      </c>
      <c r="B2198" s="1" t="s">
        <v>5419</v>
      </c>
    </row>
    <row r="2199" spans="1:2" x14ac:dyDescent="0.35">
      <c r="A2199" s="1" t="s">
        <v>5421</v>
      </c>
      <c r="B2199" s="1" t="s">
        <v>5422</v>
      </c>
    </row>
    <row r="2200" spans="1:2" x14ac:dyDescent="0.35">
      <c r="A2200" s="1" t="s">
        <v>5428</v>
      </c>
      <c r="B2200" s="1" t="s">
        <v>5429</v>
      </c>
    </row>
    <row r="2201" spans="1:2" x14ac:dyDescent="0.35">
      <c r="A2201" s="1" t="s">
        <v>5430</v>
      </c>
      <c r="B2201" s="1" t="s">
        <v>5431</v>
      </c>
    </row>
    <row r="2202" spans="1:2" x14ac:dyDescent="0.35">
      <c r="A2202" s="1" t="s">
        <v>5432</v>
      </c>
      <c r="B2202" s="1" t="s">
        <v>5433</v>
      </c>
    </row>
    <row r="2203" spans="1:2" x14ac:dyDescent="0.35">
      <c r="A2203" s="1" t="s">
        <v>5434</v>
      </c>
      <c r="B2203" s="1" t="s">
        <v>5435</v>
      </c>
    </row>
    <row r="2204" spans="1:2" x14ac:dyDescent="0.35">
      <c r="A2204" s="1" t="s">
        <v>5438</v>
      </c>
      <c r="B2204" s="1" t="s">
        <v>5439</v>
      </c>
    </row>
    <row r="2205" spans="1:2" x14ac:dyDescent="0.35">
      <c r="A2205" s="1" t="s">
        <v>5442</v>
      </c>
      <c r="B2205" s="1" t="s">
        <v>5443</v>
      </c>
    </row>
    <row r="2206" spans="1:2" x14ac:dyDescent="0.35">
      <c r="A2206" s="1" t="s">
        <v>5444</v>
      </c>
      <c r="B2206" s="1" t="s">
        <v>5445</v>
      </c>
    </row>
    <row r="2207" spans="1:2" x14ac:dyDescent="0.35">
      <c r="A2207" s="1" t="s">
        <v>5446</v>
      </c>
      <c r="B2207" s="1" t="s">
        <v>5447</v>
      </c>
    </row>
    <row r="2208" spans="1:2" x14ac:dyDescent="0.35">
      <c r="A2208" s="1" t="s">
        <v>5450</v>
      </c>
      <c r="B2208" s="1" t="s">
        <v>5451</v>
      </c>
    </row>
    <row r="2209" spans="1:2" x14ac:dyDescent="0.35">
      <c r="A2209" s="1" t="s">
        <v>5452</v>
      </c>
      <c r="B2209" s="1" t="s">
        <v>5453</v>
      </c>
    </row>
    <row r="2210" spans="1:2" x14ac:dyDescent="0.35">
      <c r="A2210" s="1" t="s">
        <v>5456</v>
      </c>
      <c r="B2210" s="1" t="s">
        <v>5457</v>
      </c>
    </row>
    <row r="2211" spans="1:2" x14ac:dyDescent="0.35">
      <c r="A2211" s="1" t="s">
        <v>5458</v>
      </c>
      <c r="B2211" s="1" t="s">
        <v>5459</v>
      </c>
    </row>
    <row r="2212" spans="1:2" x14ac:dyDescent="0.35">
      <c r="A2212" s="1" t="s">
        <v>5464</v>
      </c>
      <c r="B2212" s="1" t="s">
        <v>5465</v>
      </c>
    </row>
    <row r="2213" spans="1:2" x14ac:dyDescent="0.35">
      <c r="A2213" s="1" t="s">
        <v>5466</v>
      </c>
      <c r="B2213" s="1" t="s">
        <v>5467</v>
      </c>
    </row>
    <row r="2214" spans="1:2" x14ac:dyDescent="0.35">
      <c r="A2214" s="1" t="s">
        <v>5468</v>
      </c>
      <c r="B2214" s="1" t="s">
        <v>5469</v>
      </c>
    </row>
    <row r="2215" spans="1:2" x14ac:dyDescent="0.35">
      <c r="A2215" s="1" t="s">
        <v>5476</v>
      </c>
      <c r="B2215" s="1" t="s">
        <v>5477</v>
      </c>
    </row>
    <row r="2216" spans="1:2" x14ac:dyDescent="0.35">
      <c r="A2216" s="1" t="s">
        <v>5479</v>
      </c>
      <c r="B2216" s="1" t="s">
        <v>5480</v>
      </c>
    </row>
    <row r="2217" spans="1:2" x14ac:dyDescent="0.35">
      <c r="A2217" s="1" t="s">
        <v>5481</v>
      </c>
      <c r="B2217" s="1" t="s">
        <v>5482</v>
      </c>
    </row>
    <row r="2218" spans="1:2" x14ac:dyDescent="0.35">
      <c r="A2218" s="1" t="s">
        <v>5494</v>
      </c>
      <c r="B2218" s="1" t="s">
        <v>5495</v>
      </c>
    </row>
    <row r="2219" spans="1:2" x14ac:dyDescent="0.35">
      <c r="A2219" s="1" t="s">
        <v>5498</v>
      </c>
      <c r="B2219" s="1" t="s">
        <v>5499</v>
      </c>
    </row>
    <row r="2220" spans="1:2" x14ac:dyDescent="0.35">
      <c r="A2220" s="1" t="s">
        <v>5511</v>
      </c>
      <c r="B2220" s="1" t="s">
        <v>5512</v>
      </c>
    </row>
    <row r="2221" spans="1:2" x14ac:dyDescent="0.35">
      <c r="A2221" s="1" t="s">
        <v>5517</v>
      </c>
      <c r="B2221" s="1" t="s">
        <v>5518</v>
      </c>
    </row>
    <row r="2222" spans="1:2" x14ac:dyDescent="0.35">
      <c r="A2222" s="1" t="s">
        <v>5519</v>
      </c>
      <c r="B2222" s="1" t="s">
        <v>5520</v>
      </c>
    </row>
    <row r="2223" spans="1:2" x14ac:dyDescent="0.35">
      <c r="A2223" s="1" t="s">
        <v>5526</v>
      </c>
      <c r="B2223" s="1" t="s">
        <v>5527</v>
      </c>
    </row>
    <row r="2224" spans="1:2" x14ac:dyDescent="0.35">
      <c r="A2224" s="1" t="s">
        <v>5528</v>
      </c>
      <c r="B2224" s="1" t="s">
        <v>5529</v>
      </c>
    </row>
    <row r="2225" spans="1:2" x14ac:dyDescent="0.35">
      <c r="A2225" s="1" t="s">
        <v>5533</v>
      </c>
      <c r="B2225" s="1" t="s">
        <v>5534</v>
      </c>
    </row>
    <row r="2226" spans="1:2" x14ac:dyDescent="0.35">
      <c r="A2226" s="1" t="s">
        <v>5541</v>
      </c>
      <c r="B2226" s="1" t="s">
        <v>5542</v>
      </c>
    </row>
    <row r="2227" spans="1:2" x14ac:dyDescent="0.35">
      <c r="A2227" s="1" t="s">
        <v>5545</v>
      </c>
      <c r="B2227" s="1" t="s">
        <v>5546</v>
      </c>
    </row>
    <row r="2228" spans="1:2" x14ac:dyDescent="0.35">
      <c r="A2228" s="1" t="s">
        <v>5549</v>
      </c>
      <c r="B2228" s="1" t="s">
        <v>5550</v>
      </c>
    </row>
    <row r="2229" spans="1:2" x14ac:dyDescent="0.35">
      <c r="A2229" s="1" t="s">
        <v>5553</v>
      </c>
      <c r="B2229" s="1" t="s">
        <v>5554</v>
      </c>
    </row>
    <row r="2230" spans="1:2" x14ac:dyDescent="0.35">
      <c r="A2230" s="1" t="s">
        <v>5560</v>
      </c>
      <c r="B2230" s="1" t="s">
        <v>5561</v>
      </c>
    </row>
    <row r="2231" spans="1:2" x14ac:dyDescent="0.35">
      <c r="B2231" s="1" t="s">
        <v>5574</v>
      </c>
    </row>
    <row r="2232" spans="1:2" x14ac:dyDescent="0.35">
      <c r="A2232" s="1" t="s">
        <v>5580</v>
      </c>
      <c r="B2232" s="1" t="s">
        <v>5581</v>
      </c>
    </row>
    <row r="2233" spans="1:2" x14ac:dyDescent="0.35">
      <c r="A2233" s="1" t="s">
        <v>5584</v>
      </c>
      <c r="B2233" s="1" t="s">
        <v>5585</v>
      </c>
    </row>
    <row r="2234" spans="1:2" x14ac:dyDescent="0.35">
      <c r="A2234" s="1" t="s">
        <v>5587</v>
      </c>
      <c r="B2234" s="1" t="s">
        <v>5588</v>
      </c>
    </row>
    <row r="2235" spans="1:2" x14ac:dyDescent="0.35">
      <c r="A2235" s="1" t="s">
        <v>5590</v>
      </c>
      <c r="B2235" s="1" t="s">
        <v>5591</v>
      </c>
    </row>
    <row r="2236" spans="1:2" x14ac:dyDescent="0.35">
      <c r="A2236" s="1" t="s">
        <v>5593</v>
      </c>
      <c r="B2236" s="1" t="s">
        <v>5594</v>
      </c>
    </row>
    <row r="2237" spans="1:2" x14ac:dyDescent="0.35">
      <c r="A2237" s="1" t="s">
        <v>5596</v>
      </c>
      <c r="B2237" s="1" t="s">
        <v>5597</v>
      </c>
    </row>
    <row r="2238" spans="1:2" x14ac:dyDescent="0.35">
      <c r="A2238" s="1" t="s">
        <v>5599</v>
      </c>
      <c r="B2238" s="1" t="s">
        <v>5600</v>
      </c>
    </row>
    <row r="2239" spans="1:2" x14ac:dyDescent="0.35">
      <c r="B2239" s="1" t="s">
        <v>5601</v>
      </c>
    </row>
    <row r="2240" spans="1:2" x14ac:dyDescent="0.35">
      <c r="B2240" s="1" t="s">
        <v>5602</v>
      </c>
    </row>
    <row r="2241" spans="1:2" x14ac:dyDescent="0.35">
      <c r="B2241" s="1" t="s">
        <v>5603</v>
      </c>
    </row>
    <row r="2242" spans="1:2" x14ac:dyDescent="0.35">
      <c r="B2242" s="1" t="s">
        <v>5604</v>
      </c>
    </row>
    <row r="2243" spans="1:2" x14ac:dyDescent="0.35">
      <c r="B2243" s="1" t="s">
        <v>5605</v>
      </c>
    </row>
    <row r="2244" spans="1:2" x14ac:dyDescent="0.35">
      <c r="A2244" s="1" t="s">
        <v>5610</v>
      </c>
      <c r="B2244" s="1" t="s">
        <v>5611</v>
      </c>
    </row>
    <row r="2245" spans="1:2" x14ac:dyDescent="0.35">
      <c r="A2245" s="1" t="s">
        <v>5613</v>
      </c>
      <c r="B2245" s="1" t="s">
        <v>5614</v>
      </c>
    </row>
    <row r="2246" spans="1:2" x14ac:dyDescent="0.35">
      <c r="A2246" s="1" t="s">
        <v>5615</v>
      </c>
      <c r="B2246" s="1" t="s">
        <v>5616</v>
      </c>
    </row>
    <row r="2247" spans="1:2" x14ac:dyDescent="0.35">
      <c r="A2247" s="1" t="s">
        <v>5619</v>
      </c>
      <c r="B2247" s="1" t="s">
        <v>5620</v>
      </c>
    </row>
    <row r="2248" spans="1:2" x14ac:dyDescent="0.35">
      <c r="A2248" s="1" t="s">
        <v>5622</v>
      </c>
      <c r="B2248" s="1" t="s">
        <v>5623</v>
      </c>
    </row>
    <row r="2249" spans="1:2" x14ac:dyDescent="0.35">
      <c r="A2249" s="1" t="s">
        <v>5636</v>
      </c>
      <c r="B2249" s="1" t="s">
        <v>5637</v>
      </c>
    </row>
    <row r="2250" spans="1:2" x14ac:dyDescent="0.35">
      <c r="A2250" s="1" t="s">
        <v>5642</v>
      </c>
      <c r="B2250" s="1" t="s">
        <v>5643</v>
      </c>
    </row>
    <row r="2251" spans="1:2" x14ac:dyDescent="0.35">
      <c r="A2251" s="1" t="s">
        <v>5651</v>
      </c>
      <c r="B2251" s="1" t="s">
        <v>5652</v>
      </c>
    </row>
    <row r="2252" spans="1:2" x14ac:dyDescent="0.35">
      <c r="A2252" s="1" t="s">
        <v>5655</v>
      </c>
      <c r="B2252" s="1" t="s">
        <v>5656</v>
      </c>
    </row>
    <row r="2253" spans="1:2" x14ac:dyDescent="0.35">
      <c r="A2253" s="1" t="s">
        <v>5659</v>
      </c>
      <c r="B2253" s="1" t="s">
        <v>5660</v>
      </c>
    </row>
    <row r="2254" spans="1:2" x14ac:dyDescent="0.35">
      <c r="A2254" s="1" t="s">
        <v>5661</v>
      </c>
      <c r="B2254" s="1" t="s">
        <v>5662</v>
      </c>
    </row>
    <row r="2255" spans="1:2" x14ac:dyDescent="0.35">
      <c r="A2255" s="1" t="s">
        <v>5666</v>
      </c>
      <c r="B2255" s="1" t="s">
        <v>5667</v>
      </c>
    </row>
    <row r="2256" spans="1:2" x14ac:dyDescent="0.35">
      <c r="A2256" s="1" t="s">
        <v>5670</v>
      </c>
      <c r="B2256" s="1" t="s">
        <v>5671</v>
      </c>
    </row>
    <row r="2257" spans="1:2" x14ac:dyDescent="0.35">
      <c r="A2257" s="1" t="s">
        <v>5673</v>
      </c>
      <c r="B2257" s="1" t="s">
        <v>5674</v>
      </c>
    </row>
    <row r="2258" spans="1:2" x14ac:dyDescent="0.35">
      <c r="A2258" s="1" t="s">
        <v>5680</v>
      </c>
      <c r="B2258" s="1" t="s">
        <v>5681</v>
      </c>
    </row>
    <row r="2259" spans="1:2" x14ac:dyDescent="0.35">
      <c r="A2259" s="1" t="s">
        <v>5685</v>
      </c>
      <c r="B2259" s="1" t="s">
        <v>5686</v>
      </c>
    </row>
    <row r="2260" spans="1:2" x14ac:dyDescent="0.35">
      <c r="A2260" s="1" t="s">
        <v>5687</v>
      </c>
      <c r="B2260" s="1" t="s">
        <v>5688</v>
      </c>
    </row>
    <row r="2261" spans="1:2" x14ac:dyDescent="0.35">
      <c r="A2261" s="1" t="s">
        <v>5698</v>
      </c>
      <c r="B2261" s="1" t="s">
        <v>5699</v>
      </c>
    </row>
    <row r="2262" spans="1:2" x14ac:dyDescent="0.35">
      <c r="A2262" s="1" t="s">
        <v>5712</v>
      </c>
      <c r="B2262" s="1" t="s">
        <v>5713</v>
      </c>
    </row>
    <row r="2263" spans="1:2" x14ac:dyDescent="0.35">
      <c r="A2263" s="1" t="s">
        <v>5716</v>
      </c>
      <c r="B2263" s="1" t="s">
        <v>5717</v>
      </c>
    </row>
    <row r="2264" spans="1:2" x14ac:dyDescent="0.35">
      <c r="A2264" s="1" t="s">
        <v>5718</v>
      </c>
      <c r="B2264" s="1" t="s">
        <v>5719</v>
      </c>
    </row>
    <row r="2265" spans="1:2" x14ac:dyDescent="0.35">
      <c r="A2265" s="1" t="s">
        <v>5720</v>
      </c>
      <c r="B2265" s="1" t="s">
        <v>5721</v>
      </c>
    </row>
    <row r="2266" spans="1:2" x14ac:dyDescent="0.35">
      <c r="A2266" s="1" t="s">
        <v>5722</v>
      </c>
      <c r="B2266" s="1" t="s">
        <v>5723</v>
      </c>
    </row>
    <row r="2267" spans="1:2" x14ac:dyDescent="0.35">
      <c r="A2267" s="1" t="s">
        <v>5726</v>
      </c>
      <c r="B2267" s="1" t="s">
        <v>5727</v>
      </c>
    </row>
    <row r="2268" spans="1:2" x14ac:dyDescent="0.35">
      <c r="A2268" s="1" t="s">
        <v>5729</v>
      </c>
      <c r="B2268" s="1" t="s">
        <v>5730</v>
      </c>
    </row>
    <row r="2269" spans="1:2" x14ac:dyDescent="0.35">
      <c r="A2269" s="1" t="s">
        <v>5734</v>
      </c>
      <c r="B2269" s="1" t="s">
        <v>5735</v>
      </c>
    </row>
    <row r="2270" spans="1:2" x14ac:dyDescent="0.35">
      <c r="A2270" s="1" t="s">
        <v>5738</v>
      </c>
      <c r="B2270" s="1" t="s">
        <v>5739</v>
      </c>
    </row>
    <row r="2271" spans="1:2" x14ac:dyDescent="0.35">
      <c r="A2271" s="1" t="s">
        <v>5740</v>
      </c>
      <c r="B2271" s="1" t="s">
        <v>5741</v>
      </c>
    </row>
    <row r="2272" spans="1:2" x14ac:dyDescent="0.35">
      <c r="A2272" s="1" t="s">
        <v>5750</v>
      </c>
      <c r="B2272" s="1" t="s">
        <v>5751</v>
      </c>
    </row>
    <row r="2273" spans="1:2" x14ac:dyDescent="0.35">
      <c r="A2273" s="1" t="s">
        <v>5752</v>
      </c>
      <c r="B2273" s="1" t="s">
        <v>5753</v>
      </c>
    </row>
    <row r="2274" spans="1:2" x14ac:dyDescent="0.35">
      <c r="A2274" s="1" t="s">
        <v>5755</v>
      </c>
      <c r="B2274" s="1" t="s">
        <v>5756</v>
      </c>
    </row>
    <row r="2275" spans="1:2" x14ac:dyDescent="0.35">
      <c r="A2275" s="1" t="s">
        <v>5757</v>
      </c>
      <c r="B2275" s="1" t="s">
        <v>5758</v>
      </c>
    </row>
    <row r="2276" spans="1:2" x14ac:dyDescent="0.35">
      <c r="A2276" s="1" t="s">
        <v>5766</v>
      </c>
      <c r="B2276" s="1" t="s">
        <v>5767</v>
      </c>
    </row>
    <row r="2277" spans="1:2" x14ac:dyDescent="0.35">
      <c r="A2277" s="1" t="s">
        <v>5770</v>
      </c>
      <c r="B2277" s="1" t="s">
        <v>5771</v>
      </c>
    </row>
    <row r="2278" spans="1:2" x14ac:dyDescent="0.35">
      <c r="A2278" s="1" t="s">
        <v>5772</v>
      </c>
      <c r="B2278" s="1" t="s">
        <v>5773</v>
      </c>
    </row>
    <row r="2279" spans="1:2" x14ac:dyDescent="0.35">
      <c r="A2279" s="1" t="s">
        <v>5776</v>
      </c>
      <c r="B2279" s="1" t="s">
        <v>5777</v>
      </c>
    </row>
    <row r="2280" spans="1:2" x14ac:dyDescent="0.35">
      <c r="A2280" s="1" t="s">
        <v>5780</v>
      </c>
      <c r="B2280" s="1" t="s">
        <v>5781</v>
      </c>
    </row>
    <row r="2281" spans="1:2" x14ac:dyDescent="0.35">
      <c r="A2281" s="1" t="s">
        <v>5784</v>
      </c>
      <c r="B2281" s="1" t="s">
        <v>5785</v>
      </c>
    </row>
    <row r="2282" spans="1:2" x14ac:dyDescent="0.35">
      <c r="A2282" s="1" t="s">
        <v>5787</v>
      </c>
      <c r="B2282" s="1" t="s">
        <v>5788</v>
      </c>
    </row>
    <row r="2283" spans="1:2" x14ac:dyDescent="0.35">
      <c r="A2283" s="1" t="s">
        <v>5790</v>
      </c>
      <c r="B2283" s="1" t="s">
        <v>5791</v>
      </c>
    </row>
    <row r="2284" spans="1:2" x14ac:dyDescent="0.35">
      <c r="A2284" s="1" t="s">
        <v>5821</v>
      </c>
      <c r="B2284" s="1" t="s">
        <v>5822</v>
      </c>
    </row>
    <row r="2285" spans="1:2" x14ac:dyDescent="0.35">
      <c r="A2285" s="1" t="s">
        <v>5825</v>
      </c>
      <c r="B2285" s="1" t="s">
        <v>5826</v>
      </c>
    </row>
    <row r="2286" spans="1:2" x14ac:dyDescent="0.35">
      <c r="A2286" s="1" t="s">
        <v>5828</v>
      </c>
      <c r="B2286" s="1" t="s">
        <v>5829</v>
      </c>
    </row>
    <row r="2287" spans="1:2" x14ac:dyDescent="0.35">
      <c r="A2287" s="1" t="s">
        <v>5834</v>
      </c>
      <c r="B2287" s="1" t="s">
        <v>5835</v>
      </c>
    </row>
    <row r="2288" spans="1:2" x14ac:dyDescent="0.35">
      <c r="A2288" s="1" t="s">
        <v>5836</v>
      </c>
      <c r="B2288" s="1" t="s">
        <v>5837</v>
      </c>
    </row>
    <row r="2289" spans="1:2" x14ac:dyDescent="0.35">
      <c r="A2289" s="1" t="s">
        <v>5849</v>
      </c>
      <c r="B2289" s="1" t="s">
        <v>5850</v>
      </c>
    </row>
    <row r="2290" spans="1:2" x14ac:dyDescent="0.35">
      <c r="A2290" s="1" t="s">
        <v>5857</v>
      </c>
      <c r="B2290" s="1" t="s">
        <v>5858</v>
      </c>
    </row>
    <row r="2291" spans="1:2" x14ac:dyDescent="0.35">
      <c r="A2291" s="1" t="s">
        <v>5859</v>
      </c>
      <c r="B2291" s="1" t="s">
        <v>5860</v>
      </c>
    </row>
    <row r="2292" spans="1:2" x14ac:dyDescent="0.35">
      <c r="A2292" s="1" t="s">
        <v>5861</v>
      </c>
      <c r="B2292" s="1" t="s">
        <v>5862</v>
      </c>
    </row>
    <row r="2293" spans="1:2" x14ac:dyDescent="0.35">
      <c r="A2293" s="1" t="s">
        <v>5863</v>
      </c>
      <c r="B2293" s="1" t="s">
        <v>5864</v>
      </c>
    </row>
    <row r="2294" spans="1:2" x14ac:dyDescent="0.35">
      <c r="A2294" s="1">
        <v>0</v>
      </c>
      <c r="B2294" s="1" t="s">
        <v>5869</v>
      </c>
    </row>
    <row r="2295" spans="1:2" x14ac:dyDescent="0.35">
      <c r="A2295" s="1" t="s">
        <v>5871</v>
      </c>
      <c r="B2295" s="1" t="s">
        <v>5872</v>
      </c>
    </row>
    <row r="2296" spans="1:2" x14ac:dyDescent="0.35">
      <c r="A2296" s="1" t="s">
        <v>5875</v>
      </c>
      <c r="B2296" s="1" t="s">
        <v>5876</v>
      </c>
    </row>
    <row r="2297" spans="1:2" x14ac:dyDescent="0.35">
      <c r="A2297" s="1" t="s">
        <v>5883</v>
      </c>
      <c r="B2297" s="1" t="s">
        <v>5884</v>
      </c>
    </row>
    <row r="2298" spans="1:2" x14ac:dyDescent="0.35">
      <c r="A2298" s="1" t="s">
        <v>5887</v>
      </c>
      <c r="B2298" s="1" t="s">
        <v>5888</v>
      </c>
    </row>
    <row r="2299" spans="1:2" x14ac:dyDescent="0.35">
      <c r="A2299" s="1" t="s">
        <v>5891</v>
      </c>
      <c r="B2299" s="1" t="s">
        <v>5892</v>
      </c>
    </row>
    <row r="2300" spans="1:2" x14ac:dyDescent="0.35">
      <c r="A2300" s="1" t="s">
        <v>5895</v>
      </c>
      <c r="B2300" s="1" t="s">
        <v>5896</v>
      </c>
    </row>
    <row r="2301" spans="1:2" x14ac:dyDescent="0.35">
      <c r="A2301" s="1" t="s">
        <v>5902</v>
      </c>
      <c r="B2301" s="1" t="s">
        <v>5903</v>
      </c>
    </row>
    <row r="2302" spans="1:2" x14ac:dyDescent="0.35">
      <c r="A2302" s="1" t="s">
        <v>5906</v>
      </c>
      <c r="B2302" s="1" t="s">
        <v>5907</v>
      </c>
    </row>
    <row r="2303" spans="1:2" x14ac:dyDescent="0.35">
      <c r="A2303" s="1" t="s">
        <v>5910</v>
      </c>
      <c r="B2303" s="1" t="s">
        <v>5911</v>
      </c>
    </row>
    <row r="2304" spans="1:2" x14ac:dyDescent="0.35">
      <c r="A2304" s="1" t="s">
        <v>5914</v>
      </c>
      <c r="B2304" s="1" t="s">
        <v>5915</v>
      </c>
    </row>
    <row r="2305" spans="1:2" x14ac:dyDescent="0.35">
      <c r="A2305" s="1" t="s">
        <v>5918</v>
      </c>
      <c r="B2305" s="1" t="s">
        <v>5919</v>
      </c>
    </row>
    <row r="2306" spans="1:2" x14ac:dyDescent="0.35">
      <c r="A2306" s="1" t="s">
        <v>5922</v>
      </c>
      <c r="B2306" s="1" t="s">
        <v>5923</v>
      </c>
    </row>
    <row r="2307" spans="1:2" x14ac:dyDescent="0.35">
      <c r="A2307" s="1" t="s">
        <v>5926</v>
      </c>
      <c r="B2307" s="1" t="s">
        <v>5927</v>
      </c>
    </row>
    <row r="2308" spans="1:2" x14ac:dyDescent="0.35">
      <c r="A2308" s="1" t="s">
        <v>5930</v>
      </c>
      <c r="B2308" s="1" t="s">
        <v>5931</v>
      </c>
    </row>
    <row r="2309" spans="1:2" x14ac:dyDescent="0.35">
      <c r="A2309" s="1" t="s">
        <v>5934</v>
      </c>
      <c r="B2309" s="1" t="s">
        <v>5935</v>
      </c>
    </row>
    <row r="2310" spans="1:2" x14ac:dyDescent="0.35">
      <c r="A2310" s="1" t="s">
        <v>5938</v>
      </c>
      <c r="B2310" s="1" t="s">
        <v>5939</v>
      </c>
    </row>
    <row r="2311" spans="1:2" x14ac:dyDescent="0.35">
      <c r="A2311" s="1" t="s">
        <v>5942</v>
      </c>
      <c r="B2311" s="1" t="s">
        <v>5943</v>
      </c>
    </row>
    <row r="2312" spans="1:2" x14ac:dyDescent="0.35">
      <c r="A2312" s="1" t="s">
        <v>5946</v>
      </c>
      <c r="B2312" s="1" t="s">
        <v>5947</v>
      </c>
    </row>
    <row r="2313" spans="1:2" x14ac:dyDescent="0.35">
      <c r="A2313" s="1" t="s">
        <v>5950</v>
      </c>
      <c r="B2313" s="1" t="s">
        <v>5951</v>
      </c>
    </row>
    <row r="2314" spans="1:2" x14ac:dyDescent="0.35">
      <c r="A2314" s="1" t="s">
        <v>5954</v>
      </c>
      <c r="B2314" s="1" t="s">
        <v>5955</v>
      </c>
    </row>
    <row r="2315" spans="1:2" x14ac:dyDescent="0.35">
      <c r="A2315" s="1" t="s">
        <v>5958</v>
      </c>
      <c r="B2315" s="1" t="s">
        <v>5959</v>
      </c>
    </row>
    <row r="2316" spans="1:2" x14ac:dyDescent="0.35">
      <c r="A2316" s="1" t="s">
        <v>5962</v>
      </c>
      <c r="B2316" s="1" t="s">
        <v>5963</v>
      </c>
    </row>
    <row r="2317" spans="1:2" x14ac:dyDescent="0.35">
      <c r="A2317" s="1" t="s">
        <v>5966</v>
      </c>
      <c r="B2317" s="1" t="s">
        <v>5967</v>
      </c>
    </row>
    <row r="2318" spans="1:2" x14ac:dyDescent="0.35">
      <c r="A2318" s="1" t="s">
        <v>5970</v>
      </c>
      <c r="B2318" s="1" t="s">
        <v>5971</v>
      </c>
    </row>
    <row r="2319" spans="1:2" x14ac:dyDescent="0.35">
      <c r="A2319" s="1" t="s">
        <v>5974</v>
      </c>
      <c r="B2319" s="1" t="s">
        <v>5975</v>
      </c>
    </row>
    <row r="2320" spans="1:2" x14ac:dyDescent="0.35">
      <c r="A2320" s="1" t="s">
        <v>5978</v>
      </c>
      <c r="B2320" s="1" t="s">
        <v>5979</v>
      </c>
    </row>
    <row r="2321" spans="1:2" x14ac:dyDescent="0.35">
      <c r="A2321" s="1" t="s">
        <v>5982</v>
      </c>
      <c r="B2321" s="1" t="s">
        <v>5983</v>
      </c>
    </row>
    <row r="2322" spans="1:2" x14ac:dyDescent="0.35">
      <c r="A2322" s="1" t="s">
        <v>5986</v>
      </c>
      <c r="B2322" s="1" t="s">
        <v>5987</v>
      </c>
    </row>
    <row r="2323" spans="1:2" x14ac:dyDescent="0.35">
      <c r="A2323" s="1" t="s">
        <v>5997</v>
      </c>
      <c r="B2323" s="1" t="s">
        <v>5998</v>
      </c>
    </row>
    <row r="2324" spans="1:2" x14ac:dyDescent="0.35">
      <c r="A2324" s="1" t="s">
        <v>6000</v>
      </c>
      <c r="B2324" s="1" t="s">
        <v>6001</v>
      </c>
    </row>
    <row r="2325" spans="1:2" x14ac:dyDescent="0.35">
      <c r="A2325" s="1" t="s">
        <v>6008</v>
      </c>
      <c r="B2325" s="1" t="s">
        <v>6009</v>
      </c>
    </row>
    <row r="2326" spans="1:2" x14ac:dyDescent="0.35">
      <c r="A2326" s="1" t="s">
        <v>6010</v>
      </c>
      <c r="B2326" s="1" t="s">
        <v>6011</v>
      </c>
    </row>
    <row r="2327" spans="1:2" x14ac:dyDescent="0.35">
      <c r="A2327" s="1" t="s">
        <v>6012</v>
      </c>
      <c r="B2327" s="1" t="s">
        <v>6013</v>
      </c>
    </row>
    <row r="2328" spans="1:2" x14ac:dyDescent="0.35">
      <c r="A2328" s="1" t="s">
        <v>6016</v>
      </c>
      <c r="B2328" s="1" t="s">
        <v>6017</v>
      </c>
    </row>
    <row r="2329" spans="1:2" x14ac:dyDescent="0.35">
      <c r="A2329" s="1" t="s">
        <v>6020</v>
      </c>
      <c r="B2329" s="1" t="s">
        <v>6021</v>
      </c>
    </row>
    <row r="2330" spans="1:2" x14ac:dyDescent="0.35">
      <c r="A2330" s="1" t="s">
        <v>6022</v>
      </c>
      <c r="B2330" s="1" t="s">
        <v>6023</v>
      </c>
    </row>
    <row r="2331" spans="1:2" x14ac:dyDescent="0.35">
      <c r="A2331" s="1" t="s">
        <v>6026</v>
      </c>
      <c r="B2331" s="1" t="s">
        <v>6027</v>
      </c>
    </row>
    <row r="2332" spans="1:2" x14ac:dyDescent="0.35">
      <c r="B2332" s="1" t="s">
        <v>6028</v>
      </c>
    </row>
    <row r="2333" spans="1:2" x14ac:dyDescent="0.35">
      <c r="A2333" s="1" t="s">
        <v>6031</v>
      </c>
      <c r="B2333" s="1" t="s">
        <v>6032</v>
      </c>
    </row>
    <row r="2334" spans="1:2" x14ac:dyDescent="0.35">
      <c r="A2334" s="1" t="s">
        <v>6035</v>
      </c>
      <c r="B2334" s="1" t="s">
        <v>6036</v>
      </c>
    </row>
    <row r="2335" spans="1:2" x14ac:dyDescent="0.35">
      <c r="A2335" s="1" t="s">
        <v>6037</v>
      </c>
      <c r="B2335" s="1" t="s">
        <v>6038</v>
      </c>
    </row>
    <row r="2336" spans="1:2" x14ac:dyDescent="0.35">
      <c r="A2336" s="1" t="s">
        <v>6044</v>
      </c>
      <c r="B2336" s="1" t="s">
        <v>6045</v>
      </c>
    </row>
    <row r="2337" spans="1:2" x14ac:dyDescent="0.35">
      <c r="A2337" s="1" t="s">
        <v>6046</v>
      </c>
      <c r="B2337" s="1" t="s">
        <v>6047</v>
      </c>
    </row>
    <row r="2338" spans="1:2" x14ac:dyDescent="0.35">
      <c r="A2338" s="1" t="s">
        <v>6052</v>
      </c>
      <c r="B2338" s="1" t="s">
        <v>6053</v>
      </c>
    </row>
    <row r="2339" spans="1:2" x14ac:dyDescent="0.35">
      <c r="A2339" s="1" t="s">
        <v>6060</v>
      </c>
      <c r="B2339" s="1" t="s">
        <v>6061</v>
      </c>
    </row>
    <row r="2340" spans="1:2" x14ac:dyDescent="0.35">
      <c r="A2340" s="1" t="s">
        <v>6062</v>
      </c>
      <c r="B2340" s="1" t="s">
        <v>6063</v>
      </c>
    </row>
    <row r="2341" spans="1:2" x14ac:dyDescent="0.35">
      <c r="A2341" s="1" t="s">
        <v>6068</v>
      </c>
      <c r="B2341" s="1" t="s">
        <v>6069</v>
      </c>
    </row>
    <row r="2342" spans="1:2" x14ac:dyDescent="0.35">
      <c r="A2342" s="1" t="s">
        <v>6083</v>
      </c>
      <c r="B2342" s="1" t="s">
        <v>6084</v>
      </c>
    </row>
    <row r="2343" spans="1:2" x14ac:dyDescent="0.35">
      <c r="A2343" s="1" t="s">
        <v>6087</v>
      </c>
      <c r="B2343" s="1" t="s">
        <v>6088</v>
      </c>
    </row>
    <row r="2344" spans="1:2" x14ac:dyDescent="0.35">
      <c r="A2344" s="1" t="s">
        <v>6089</v>
      </c>
      <c r="B2344" s="1" t="s">
        <v>6090</v>
      </c>
    </row>
    <row r="2345" spans="1:2" x14ac:dyDescent="0.35">
      <c r="A2345" s="1" t="s">
        <v>6091</v>
      </c>
      <c r="B2345" s="1" t="s">
        <v>6092</v>
      </c>
    </row>
    <row r="2346" spans="1:2" x14ac:dyDescent="0.35">
      <c r="A2346" s="1" t="s">
        <v>6093</v>
      </c>
      <c r="B2346" s="1" t="s">
        <v>6094</v>
      </c>
    </row>
    <row r="2347" spans="1:2" x14ac:dyDescent="0.35">
      <c r="A2347" s="1" t="s">
        <v>6095</v>
      </c>
      <c r="B2347" s="1" t="s">
        <v>6096</v>
      </c>
    </row>
    <row r="2348" spans="1:2" x14ac:dyDescent="0.35">
      <c r="A2348" s="1" t="s">
        <v>6098</v>
      </c>
      <c r="B2348" s="1" t="s">
        <v>6099</v>
      </c>
    </row>
    <row r="2349" spans="1:2" x14ac:dyDescent="0.35">
      <c r="A2349" s="1" t="s">
        <v>6102</v>
      </c>
      <c r="B2349" s="1" t="s">
        <v>6103</v>
      </c>
    </row>
    <row r="2350" spans="1:2" x14ac:dyDescent="0.35">
      <c r="A2350" s="1" t="s">
        <v>6104</v>
      </c>
      <c r="B2350" s="1" t="s">
        <v>6105</v>
      </c>
    </row>
    <row r="2351" spans="1:2" x14ac:dyDescent="0.35">
      <c r="A2351" s="1" t="s">
        <v>6108</v>
      </c>
      <c r="B2351" s="1" t="s">
        <v>6109</v>
      </c>
    </row>
    <row r="2352" spans="1:2" x14ac:dyDescent="0.35">
      <c r="A2352" s="1" t="s">
        <v>6110</v>
      </c>
      <c r="B2352" s="1" t="s">
        <v>6111</v>
      </c>
    </row>
    <row r="2353" spans="1:2" x14ac:dyDescent="0.35">
      <c r="A2353" s="1" t="s">
        <v>6120</v>
      </c>
      <c r="B2353" s="1" t="s">
        <v>6121</v>
      </c>
    </row>
    <row r="2354" spans="1:2" x14ac:dyDescent="0.35">
      <c r="A2354" s="1" t="s">
        <v>6123</v>
      </c>
      <c r="B2354" s="1" t="s">
        <v>6124</v>
      </c>
    </row>
    <row r="2355" spans="1:2" x14ac:dyDescent="0.35">
      <c r="A2355" s="1" t="s">
        <v>6126</v>
      </c>
      <c r="B2355" s="1" t="s">
        <v>6127</v>
      </c>
    </row>
    <row r="2356" spans="1:2" x14ac:dyDescent="0.35">
      <c r="A2356" s="1" t="s">
        <v>6129</v>
      </c>
      <c r="B2356" s="1" t="s">
        <v>6130</v>
      </c>
    </row>
    <row r="2357" spans="1:2" x14ac:dyDescent="0.35">
      <c r="A2357" s="1" t="s">
        <v>6132</v>
      </c>
      <c r="B2357" s="1" t="s">
        <v>6133</v>
      </c>
    </row>
    <row r="2358" spans="1:2" x14ac:dyDescent="0.35">
      <c r="A2358" s="1" t="s">
        <v>6134</v>
      </c>
      <c r="B2358" s="1" t="s">
        <v>6135</v>
      </c>
    </row>
    <row r="2359" spans="1:2" x14ac:dyDescent="0.35">
      <c r="A2359" s="1" t="s">
        <v>6136</v>
      </c>
      <c r="B2359" s="1" t="s">
        <v>6137</v>
      </c>
    </row>
    <row r="2360" spans="1:2" x14ac:dyDescent="0.35">
      <c r="A2360" s="1" t="s">
        <v>6145</v>
      </c>
      <c r="B2360" s="1" t="s">
        <v>6146</v>
      </c>
    </row>
    <row r="2361" spans="1:2" x14ac:dyDescent="0.35">
      <c r="A2361" s="1" t="s">
        <v>6148</v>
      </c>
      <c r="B2361" s="1" t="s">
        <v>6149</v>
      </c>
    </row>
    <row r="2362" spans="1:2" x14ac:dyDescent="0.35">
      <c r="A2362" s="1" t="s">
        <v>6150</v>
      </c>
      <c r="B2362" s="1" t="s">
        <v>6151</v>
      </c>
    </row>
    <row r="2363" spans="1:2" x14ac:dyDescent="0.35">
      <c r="A2363" s="1" t="s">
        <v>6152</v>
      </c>
      <c r="B2363" s="1" t="s">
        <v>6153</v>
      </c>
    </row>
    <row r="2364" spans="1:2" x14ac:dyDescent="0.35">
      <c r="A2364" s="1" t="s">
        <v>6154</v>
      </c>
      <c r="B2364" s="1" t="s">
        <v>6155</v>
      </c>
    </row>
    <row r="2365" spans="1:2" x14ac:dyDescent="0.35">
      <c r="A2365" s="1" t="s">
        <v>6161</v>
      </c>
      <c r="B2365" s="1" t="s">
        <v>6162</v>
      </c>
    </row>
    <row r="2366" spans="1:2" x14ac:dyDescent="0.35">
      <c r="A2366" s="1" t="s">
        <v>6163</v>
      </c>
      <c r="B2366" s="1" t="s">
        <v>6164</v>
      </c>
    </row>
    <row r="2367" spans="1:2" x14ac:dyDescent="0.35">
      <c r="A2367" s="1" t="s">
        <v>6165</v>
      </c>
      <c r="B2367" s="1" t="s">
        <v>6166</v>
      </c>
    </row>
    <row r="2368" spans="1:2" x14ac:dyDescent="0.35">
      <c r="A2368" s="1" t="s">
        <v>6167</v>
      </c>
      <c r="B2368" s="1" t="s">
        <v>6168</v>
      </c>
    </row>
    <row r="2369" spans="1:2" x14ac:dyDescent="0.35">
      <c r="A2369" s="1" t="s">
        <v>6169</v>
      </c>
      <c r="B2369" s="1" t="s">
        <v>6170</v>
      </c>
    </row>
    <row r="2370" spans="1:2" x14ac:dyDescent="0.35">
      <c r="A2370" s="1" t="s">
        <v>6171</v>
      </c>
      <c r="B2370" s="1" t="s">
        <v>6172</v>
      </c>
    </row>
    <row r="2371" spans="1:2" x14ac:dyDescent="0.35">
      <c r="A2371" s="1" t="s">
        <v>6173</v>
      </c>
      <c r="B2371" s="1" t="s">
        <v>6174</v>
      </c>
    </row>
    <row r="2372" spans="1:2" x14ac:dyDescent="0.35">
      <c r="A2372" s="1" t="s">
        <v>6177</v>
      </c>
      <c r="B2372" s="1" t="s">
        <v>6178</v>
      </c>
    </row>
    <row r="2373" spans="1:2" x14ac:dyDescent="0.35">
      <c r="A2373" s="1" t="s">
        <v>6179</v>
      </c>
      <c r="B2373" s="1" t="s">
        <v>6180</v>
      </c>
    </row>
    <row r="2374" spans="1:2" x14ac:dyDescent="0.35">
      <c r="A2374" s="1" t="s">
        <v>6187</v>
      </c>
      <c r="B2374" s="1" t="s">
        <v>6188</v>
      </c>
    </row>
    <row r="2375" spans="1:2" x14ac:dyDescent="0.35">
      <c r="A2375" s="1" t="s">
        <v>6190</v>
      </c>
      <c r="B2375" s="1" t="s">
        <v>6191</v>
      </c>
    </row>
    <row r="2376" spans="1:2" x14ac:dyDescent="0.35">
      <c r="A2376" s="1" t="s">
        <v>6194</v>
      </c>
      <c r="B2376" s="1" t="s">
        <v>6195</v>
      </c>
    </row>
    <row r="2377" spans="1:2" x14ac:dyDescent="0.35">
      <c r="A2377" s="1" t="s">
        <v>6197</v>
      </c>
      <c r="B2377" s="1" t="s">
        <v>6198</v>
      </c>
    </row>
    <row r="2378" spans="1:2" x14ac:dyDescent="0.35">
      <c r="A2378" s="1" t="s">
        <v>6203</v>
      </c>
      <c r="B2378" s="1" t="s">
        <v>6204</v>
      </c>
    </row>
    <row r="2379" spans="1:2" x14ac:dyDescent="0.35">
      <c r="A2379" s="1" t="s">
        <v>6206</v>
      </c>
      <c r="B2379" s="1" t="s">
        <v>6207</v>
      </c>
    </row>
    <row r="2380" spans="1:2" x14ac:dyDescent="0.35">
      <c r="A2380" s="1" t="s">
        <v>6209</v>
      </c>
      <c r="B2380" s="1" t="s">
        <v>6210</v>
      </c>
    </row>
    <row r="2381" spans="1:2" x14ac:dyDescent="0.35">
      <c r="A2381" s="1" t="s">
        <v>6211</v>
      </c>
      <c r="B2381" s="1" t="s">
        <v>6212</v>
      </c>
    </row>
    <row r="2382" spans="1:2" x14ac:dyDescent="0.35">
      <c r="A2382" s="1" t="s">
        <v>6223</v>
      </c>
      <c r="B2382" s="1" t="s">
        <v>6224</v>
      </c>
    </row>
    <row r="2383" spans="1:2" x14ac:dyDescent="0.35">
      <c r="A2383" s="1" t="s">
        <v>6233</v>
      </c>
      <c r="B2383" s="1" t="s">
        <v>6234</v>
      </c>
    </row>
    <row r="2384" spans="1:2" x14ac:dyDescent="0.35">
      <c r="A2384" s="1" t="s">
        <v>6237</v>
      </c>
      <c r="B2384" s="1" t="s">
        <v>6238</v>
      </c>
    </row>
    <row r="2385" spans="1:2" x14ac:dyDescent="0.35">
      <c r="A2385" s="1" t="s">
        <v>6247</v>
      </c>
      <c r="B2385" s="1" t="s">
        <v>6248</v>
      </c>
    </row>
    <row r="2386" spans="1:2" x14ac:dyDescent="0.35">
      <c r="A2386" s="1" t="s">
        <v>6250</v>
      </c>
      <c r="B2386" s="1" t="s">
        <v>6251</v>
      </c>
    </row>
    <row r="2387" spans="1:2" x14ac:dyDescent="0.35">
      <c r="A2387" s="1" t="s">
        <v>6252</v>
      </c>
      <c r="B2387" s="1" t="s">
        <v>6253</v>
      </c>
    </row>
    <row r="2388" spans="1:2" x14ac:dyDescent="0.35">
      <c r="B2388" s="1" t="s">
        <v>6254</v>
      </c>
    </row>
    <row r="2389" spans="1:2" x14ac:dyDescent="0.35">
      <c r="B2389" s="1" t="s">
        <v>6255</v>
      </c>
    </row>
    <row r="2390" spans="1:2" x14ac:dyDescent="0.35">
      <c r="B2390" s="1" t="s">
        <v>6256</v>
      </c>
    </row>
    <row r="2391" spans="1:2" x14ac:dyDescent="0.35">
      <c r="A2391" s="1" t="s">
        <v>6258</v>
      </c>
      <c r="B2391" s="1" t="s">
        <v>6259</v>
      </c>
    </row>
    <row r="2392" spans="1:2" x14ac:dyDescent="0.35">
      <c r="A2392" s="1" t="s">
        <v>6260</v>
      </c>
      <c r="B2392" s="1" t="s">
        <v>6261</v>
      </c>
    </row>
    <row r="2393" spans="1:2" x14ac:dyDescent="0.35">
      <c r="A2393" s="1" t="s">
        <v>6267</v>
      </c>
      <c r="B2393" s="1" t="s">
        <v>6268</v>
      </c>
    </row>
  </sheetData>
  <phoneticPr fontId="19" type="noConversion"/>
  <hyperlinks>
    <hyperlink ref="E17" r:id="rId1" xr:uid="{1560999E-5198-4311-954A-0A9C533A1D32}"/>
    <hyperlink ref="E18:E34" r:id="rId2" display="https://www.genome.jp/entry/R00623 " xr:uid="{853A884A-5A6C-4C33-BBFD-7EB850F0CC73}"/>
    <hyperlink ref="E18" r:id="rId3" xr:uid="{70A84CC1-E3F6-451C-ADFB-10898E561549}"/>
    <hyperlink ref="E20" r:id="rId4" xr:uid="{75D5227A-C20A-4C4F-B660-40E57DE82E0F}"/>
    <hyperlink ref="E21" r:id="rId5" xr:uid="{3265C081-9852-49F4-B6B8-EBF8FA0EA307}"/>
    <hyperlink ref="E22" r:id="rId6" xr:uid="{0EEDBC3A-8779-4581-9892-D414C8FEF00C}"/>
    <hyperlink ref="E23" r:id="rId7" xr:uid="{D9865A3C-8175-4351-9487-333077E9E7B7}"/>
    <hyperlink ref="E24" r:id="rId8" xr:uid="{96219D69-CD46-4632-BF26-23E204E0D97D}"/>
    <hyperlink ref="E25" r:id="rId9" xr:uid="{A9F6C613-F26E-4230-87C8-6DE839ED1FEA}"/>
    <hyperlink ref="E26" r:id="rId10" xr:uid="{AEAA4752-8071-47B6-9528-1126DDEF2714}"/>
    <hyperlink ref="E27" r:id="rId11" xr:uid="{A3B2F9B9-FF6C-43C8-97C3-33F336D157DB}"/>
    <hyperlink ref="E28" r:id="rId12" xr:uid="{008544A7-266E-4086-9844-1CDC646CD2A7}"/>
    <hyperlink ref="E29" r:id="rId13" xr:uid="{975FAFD0-EE07-4611-9828-78A28EE9BB37}"/>
    <hyperlink ref="E30" r:id="rId14" xr:uid="{EC2C6123-40B0-4022-8443-2FFA6D1E9945}"/>
    <hyperlink ref="E31" r:id="rId15" xr:uid="{BE18EAD7-8363-49B9-84D5-CB8DE4C30238}"/>
    <hyperlink ref="E32" r:id="rId16" xr:uid="{CD7230F8-1F63-4BF4-9E7A-407A71FE300B}"/>
    <hyperlink ref="E33" r:id="rId17" xr:uid="{01F5DA99-5CF6-414F-8988-BBF0B958F1F7}"/>
    <hyperlink ref="E34" r:id="rId18" xr:uid="{26144730-FFA1-4C1D-ACB8-CF3B8EF7C3ED}"/>
    <hyperlink ref="D18" r:id="rId19" xr:uid="{4AB68E35-47BC-418B-BDE3-96868EDB9EB3}"/>
    <hyperlink ref="D19" r:id="rId20" xr:uid="{CA8C6531-5AF4-41A6-9FC8-164DCDD856DD}"/>
    <hyperlink ref="D20" r:id="rId21" xr:uid="{FB351341-B3C6-45BA-AC58-1723B5B57703}"/>
    <hyperlink ref="D21" r:id="rId22" xr:uid="{C0493661-9848-4EBD-A5EF-C1679D6A027D}"/>
    <hyperlink ref="D22" r:id="rId23" xr:uid="{82FE1812-BC6D-4FCD-9690-79FCCF2B67BD}"/>
    <hyperlink ref="D23" r:id="rId24" xr:uid="{E6DEC785-56FD-41E9-8211-8CC8BA0095CC}"/>
    <hyperlink ref="D24" r:id="rId25" xr:uid="{387CD01F-0D5C-447A-AB30-342AD39A2C15}"/>
    <hyperlink ref="D26" r:id="rId26" xr:uid="{55CBA85B-626E-4F36-83FE-C03464BACF91}"/>
    <hyperlink ref="D27" r:id="rId27" xr:uid="{B045B173-B1D0-49CA-982F-7E9835C006F1}"/>
    <hyperlink ref="D28" r:id="rId28" xr:uid="{F0DD3F75-C92B-42CB-ACF9-32E556BA2D5F}"/>
    <hyperlink ref="D29" r:id="rId29" xr:uid="{48336B85-EE06-4779-A7E8-3DE5ED89F73E}"/>
    <hyperlink ref="D30" r:id="rId30" xr:uid="{A65F6D48-2C59-4409-B96C-008AAAD991DA}"/>
    <hyperlink ref="D31" r:id="rId31" xr:uid="{83BCF7D8-427E-48F6-9B8D-2D3B71F49BF7}"/>
    <hyperlink ref="D32" r:id="rId32" xr:uid="{0EF79D5A-5361-427C-94EF-6616397F001F}"/>
    <hyperlink ref="D33" r:id="rId33" xr:uid="{F1F40760-7E7F-4131-ADC2-9D7A30D19E08}"/>
    <hyperlink ref="D34" r:id="rId34" xr:uid="{2F1E0070-9A36-40FF-B574-23871A806AE5}"/>
    <hyperlink ref="E19" r:id="rId35" xr:uid="{A5C38427-1C09-4CFE-A511-B413F4AAAB0D}"/>
    <hyperlink ref="D35" r:id="rId36" xr:uid="{32ADB445-6F53-4FA0-92DE-B2FEC95A4824}"/>
    <hyperlink ref="D36" r:id="rId37" xr:uid="{125C896C-F414-4F1E-9C51-2545887ED088}"/>
    <hyperlink ref="D37:D45" r:id="rId38" display="https://www.genome.jp/entry/ec:1.1.1.100 " xr:uid="{28C7EC7D-4FEC-43EF-8FAF-86F6AC25DE50}"/>
    <hyperlink ref="E35" r:id="rId39" xr:uid="{FDD93F4B-B7DE-4041-BC0C-199992B8C606}"/>
    <hyperlink ref="E38" r:id="rId40" xr:uid="{116580A7-5A68-4124-A679-92F1DBC8BF84}"/>
    <hyperlink ref="E39" r:id="rId41" xr:uid="{2116E67E-A3CB-43EC-ABF8-19F430D198DC}"/>
    <hyperlink ref="E40" r:id="rId42" xr:uid="{127DDAF2-FA4C-48E8-BEE1-8DE4859400F9}"/>
    <hyperlink ref="E41" r:id="rId43" xr:uid="{9C0560BE-BD4D-442C-BDF5-500AD98AF3DC}"/>
    <hyperlink ref="E42" r:id="rId44" xr:uid="{A333925D-73F5-4195-A7FC-66D2F92F1D6F}"/>
    <hyperlink ref="E43" r:id="rId45" xr:uid="{4B6CF96D-7294-4B3A-BB14-5D54BCADED8F}"/>
    <hyperlink ref="E44" r:id="rId46" xr:uid="{3DEA1B10-9291-4481-8836-4F0197361AEB}"/>
    <hyperlink ref="E45" r:id="rId47" xr:uid="{79D6CCA9-3B93-4B16-9889-5544CB9D1325}"/>
    <hyperlink ref="E46" r:id="rId48" xr:uid="{7E18F039-D5D8-43A2-86C5-BA8E7FE7BA44}"/>
    <hyperlink ref="D46" r:id="rId49" xr:uid="{DCDFB96E-2937-460B-B1FD-0C1EBF8251AE}"/>
    <hyperlink ref="D45" r:id="rId50" xr:uid="{FEC71836-8C19-403F-BF7D-0C9E45D83C3F}"/>
    <hyperlink ref="D47" r:id="rId51" xr:uid="{E2C74604-CD46-463C-9553-63DFE4BDA3AE}"/>
    <hyperlink ref="E47" r:id="rId52" xr:uid="{1B417B30-EF9F-468A-A8BB-6F547C76776C}"/>
    <hyperlink ref="D48" r:id="rId53" xr:uid="{30BD913A-050D-449A-BDC1-985453F218D4}"/>
    <hyperlink ref="E48" r:id="rId54" xr:uid="{68E8D9E5-B6D3-43D7-9243-67A0659814BE}"/>
    <hyperlink ref="E49" r:id="rId55" xr:uid="{6267AD4C-88D4-4722-94EE-899D982783F6}"/>
    <hyperlink ref="E51" r:id="rId56" xr:uid="{2A9DA7B6-92D2-4026-9364-BA44825E0B20}"/>
    <hyperlink ref="E52" r:id="rId57" xr:uid="{7852453A-7372-47BF-934E-CB93D69819C1}"/>
    <hyperlink ref="E53" r:id="rId58" xr:uid="{1442D58C-A959-4D38-90A5-F561C5A637BA}"/>
    <hyperlink ref="E54" r:id="rId59" xr:uid="{9DC27A0C-9D28-472A-B3AC-93D861FACB53}"/>
    <hyperlink ref="D55" r:id="rId60" xr:uid="{7FA5D57B-FD6D-4AD5-B4F5-FBD7DF8A12D5}"/>
    <hyperlink ref="E55" r:id="rId61" xr:uid="{339E726A-C811-4907-9E6F-10EEBCE1104A}"/>
    <hyperlink ref="D56" r:id="rId62" xr:uid="{41EA9497-A77B-4534-93E7-26A782727C58}"/>
    <hyperlink ref="E56" r:id="rId63" xr:uid="{D7ACADBD-E34B-4656-AB13-0AE134252670}"/>
    <hyperlink ref="D57" r:id="rId64" xr:uid="{8333A94A-E705-4598-917A-BDF60C2651AB}"/>
    <hyperlink ref="D58" r:id="rId65" xr:uid="{90543FA5-0749-422E-900D-52D6E7DE267D}"/>
    <hyperlink ref="E58" r:id="rId66" xr:uid="{4B14B7B3-FD80-43CD-8D35-F82D7D77F3F1}"/>
    <hyperlink ref="D59" r:id="rId67" xr:uid="{625251BF-594B-494F-BCFD-806121A539AE}"/>
    <hyperlink ref="E59" r:id="rId68" xr:uid="{9C73B1E8-25AB-4B01-9003-CBD3BF034FBD}"/>
    <hyperlink ref="D60" r:id="rId69" xr:uid="{9FC733BD-3C07-4EA1-B848-73E3FF87DA80}"/>
    <hyperlink ref="D61" r:id="rId70" xr:uid="{EE790FDD-1957-482F-97AE-DC339D8EF268}"/>
    <hyperlink ref="E60" r:id="rId71" xr:uid="{7962C0A3-A216-4677-9F05-E95236BC8CBA}"/>
    <hyperlink ref="E61" r:id="rId72" xr:uid="{D3271D81-B27A-476A-82E3-9C7A20C2461A}"/>
    <hyperlink ref="E63" r:id="rId73" xr:uid="{D03458A6-E8F0-47A1-AF80-D66B1C4F1DBE}"/>
    <hyperlink ref="E64" r:id="rId74" xr:uid="{4CEE0359-E84B-492F-BC22-583EE49E1A9F}"/>
    <hyperlink ref="F64" r:id="rId75" display="https://www.genome.jp/entry/C05379" xr:uid="{D8CC521B-FDC8-40E4-939D-91F51A51DB90}"/>
    <hyperlink ref="D63" r:id="rId76" xr:uid="{99BE14E9-6928-42A2-8607-BA90ED41D6FD}"/>
    <hyperlink ref="D66" r:id="rId77" xr:uid="{6486BE0A-AA33-4F28-A11D-B0558FF48D75}"/>
    <hyperlink ref="E66" r:id="rId78" xr:uid="{FA37F9DF-76F6-41B5-9FFB-D97F6D626F43}"/>
    <hyperlink ref="G67" r:id="rId79" display="https://www.genome.jp/entry/C04236" xr:uid="{174ACE6B-7745-4663-870F-DD858F1CE413}"/>
    <hyperlink ref="E68" r:id="rId80" xr:uid="{215CF918-8EDE-4BB8-ACD9-2F67F5590B2E}"/>
    <hyperlink ref="E69" r:id="rId81" xr:uid="{61F860ED-E0BA-43A0-9AAC-D4BC611DBFC3}"/>
    <hyperlink ref="E70" r:id="rId82" xr:uid="{7D7B9356-04CA-46CB-BD11-1E0E1F5C0FCD}"/>
    <hyperlink ref="D67" r:id="rId83" xr:uid="{C3A81CF4-D362-4CBF-AD10-E4918AE9B727}"/>
    <hyperlink ref="D71" r:id="rId84" xr:uid="{9D3B12F1-525E-4DD3-A9D3-56BBB0A14479}"/>
    <hyperlink ref="E71" r:id="rId85" xr:uid="{BF10C5A8-7A29-4700-9140-519E77DB1031}"/>
    <hyperlink ref="E74" r:id="rId86" xr:uid="{9274BDC5-9AFC-4BB7-AAF1-1E1C324D0D0B}"/>
    <hyperlink ref="G75" r:id="rId87" display="https://www.genome.jp/entry/C14463" xr:uid="{3B216FA9-62C6-4E59-AC6C-C348A4E15C9B}"/>
    <hyperlink ref="F76" r:id="rId88" display="https://www.genome.jp/entry/C06010" xr:uid="{47FA1A29-062C-45A5-A240-2FFB11FAECC4}"/>
    <hyperlink ref="G76" r:id="rId89" display="https://www.genome.jp/entry/C04181" xr:uid="{35F1C793-BD44-4BF1-8761-5B319E2279CC}"/>
    <hyperlink ref="F75" r:id="rId90" display="https://www.genome.jp/entry/C06006" xr:uid="{8788E4D7-87C7-43D7-AEF6-64F132B46765}"/>
    <hyperlink ref="D79" r:id="rId91" xr:uid="{42121D7B-D3AC-4A82-B378-F0B1A28A8899}"/>
    <hyperlink ref="E78" r:id="rId92" xr:uid="{973581AE-191F-4C85-8766-328299E4F1FB}"/>
    <hyperlink ref="E79" r:id="rId93" xr:uid="{C12433EB-4968-4B55-B52E-D3D75369C47C}"/>
    <hyperlink ref="E80" r:id="rId94" xr:uid="{4BB12BDF-2A88-4C5A-8FB4-E8EFBDC97675}"/>
    <hyperlink ref="E81" r:id="rId95" xr:uid="{C6BC9DDC-E99F-43AB-BF32-989801F036E8}"/>
    <hyperlink ref="D86" r:id="rId96" xr:uid="{73A61FDB-460B-4A17-A968-F093442DBEA3}"/>
    <hyperlink ref="E86" r:id="rId97" xr:uid="{CBE1A592-1490-41AE-B84F-75DBD24D7BAE}"/>
    <hyperlink ref="D89" r:id="rId98" xr:uid="{A95CD705-5388-42EE-9931-CE8D10C77C82}"/>
    <hyperlink ref="E88" r:id="rId99" xr:uid="{36E638D8-0A1F-4E46-B128-4A035614DB22}"/>
    <hyperlink ref="E89" r:id="rId100" xr:uid="{D9816794-37E1-495C-85FC-126125938823}"/>
    <hyperlink ref="E93" r:id="rId101" xr:uid="{AD708B93-D580-415A-803D-91CDDFD3EA98}"/>
    <hyperlink ref="E95" r:id="rId102" xr:uid="{BD88DFA0-A1E6-479B-9AE5-5B9064EB33D1}"/>
    <hyperlink ref="E96" r:id="rId103" xr:uid="{255DE31E-8ADB-4071-AEB0-FD419BDAB0EC}"/>
    <hyperlink ref="E97" r:id="rId104" xr:uid="{CDCA34A7-A9B2-4C49-966F-8510AFC7901F}"/>
    <hyperlink ref="D90" r:id="rId105" xr:uid="{6C30E701-BCB1-4981-B621-FB3644873378}"/>
    <hyperlink ref="D93" r:id="rId106" xr:uid="{FDA8DCD1-F055-40B8-A0BF-E932C0B813EA}"/>
    <hyperlink ref="E99" r:id="rId107" xr:uid="{289EDDB5-72CF-42A7-827D-168635FE5F68}"/>
    <hyperlink ref="E101" r:id="rId108" xr:uid="{1925CD37-8FF2-43EA-91C5-FA91BCAA0A39}"/>
    <hyperlink ref="D98" r:id="rId109" xr:uid="{8CC18AF4-6E8B-47FD-9F5D-42BB54E6EA5F}"/>
    <hyperlink ref="D104" r:id="rId110" xr:uid="{572B91C3-56F2-4173-8014-1FABDA96EE52}"/>
    <hyperlink ref="E104" r:id="rId111" xr:uid="{18BABCFD-411B-4BD5-906B-FE083EED5546}"/>
    <hyperlink ref="D105" r:id="rId112" xr:uid="{3880B610-7131-4767-AC08-BED7308C8B96}"/>
    <hyperlink ref="E105" r:id="rId113" xr:uid="{74F01A31-B418-43AA-BC13-DE7032A457F3}"/>
    <hyperlink ref="E106" r:id="rId114" xr:uid="{8BEBCA86-38CC-4739-91C8-93149BA8C5A0}"/>
    <hyperlink ref="D107" r:id="rId115" xr:uid="{3C60CB63-7589-48E0-998C-ACA3DC02CDDD}"/>
    <hyperlink ref="E108" r:id="rId116" xr:uid="{993CFC20-71CE-4F12-9F2E-66E90DEFB343}"/>
    <hyperlink ref="D109" r:id="rId117" xr:uid="{CDB8D2D8-353C-4F99-AF2C-D6E81F53434A}"/>
    <hyperlink ref="D112" r:id="rId118" xr:uid="{F163105E-9810-4202-8E06-F204FAA52C9F}"/>
    <hyperlink ref="E110" r:id="rId119" xr:uid="{3D2F96B9-84A1-47C6-8391-626F30CA6F8B}"/>
    <hyperlink ref="D114" r:id="rId120" xr:uid="{A3CEB5F5-CA24-4C45-97E8-6A16841EE1FD}"/>
    <hyperlink ref="E114" r:id="rId121" xr:uid="{AB722B96-AD2A-43AB-A074-CBF74BD4A7D6}"/>
    <hyperlink ref="E115" r:id="rId122" xr:uid="{BD226ADB-077D-436C-A0B3-CBE7408846BF}"/>
    <hyperlink ref="E117" r:id="rId123" xr:uid="{C6117DE3-9324-494B-B9CA-00BEACD7E091}"/>
    <hyperlink ref="E119" r:id="rId124" xr:uid="{BE762EBC-F6CC-48CD-B50D-752607B19466}"/>
    <hyperlink ref="E120" r:id="rId125" xr:uid="{D632A034-CF99-4259-BD38-A3CEA55B7DEF}"/>
    <hyperlink ref="E121" r:id="rId126" xr:uid="{0674B4A9-BBD7-4C77-BEA0-5771F2094111}"/>
    <hyperlink ref="E122" r:id="rId127" xr:uid="{4EA8AB57-7B30-4229-B0E8-8B8B0C2B48C6}"/>
    <hyperlink ref="E123" r:id="rId128" xr:uid="{5F2F3CD8-6C1F-431D-8BCA-1C38CA556FA4}"/>
    <hyperlink ref="D115" r:id="rId129" xr:uid="{B4D72355-5E85-4A03-B070-E6520BD0E10A}"/>
    <hyperlink ref="D126" r:id="rId130" xr:uid="{4E1FC127-D55C-4B91-8569-010E1E2A8C86}"/>
    <hyperlink ref="E126" r:id="rId131" xr:uid="{5FE3BE9D-1863-42F5-8DDF-CC76093E9533}"/>
    <hyperlink ref="E128" r:id="rId132" xr:uid="{CD4CDEF3-1F80-439B-86BD-C5A4192BC4DC}"/>
    <hyperlink ref="E130" r:id="rId133" xr:uid="{6B142117-C082-4290-871C-ED3006880A55}"/>
    <hyperlink ref="E131" r:id="rId134" xr:uid="{69F7CFA8-3190-4D95-8205-2BF206484E62}"/>
    <hyperlink ref="D125" r:id="rId135" xr:uid="{46B65CF3-AB34-412A-B0D6-01C1A259724D}"/>
    <hyperlink ref="E136" r:id="rId136" xr:uid="{F6742BD3-5E5B-450D-8315-DF6F6C2FD1DC}"/>
    <hyperlink ref="E137" r:id="rId137" xr:uid="{4E3AC0A9-58EE-4447-8BFB-516540813D97}"/>
    <hyperlink ref="E138" r:id="rId138" xr:uid="{9715C544-4F90-42BF-AAF6-86EC731E2A5D}"/>
    <hyperlink ref="D140" r:id="rId139" xr:uid="{000EEBB3-6471-4CFA-A88D-AE786BEA5B88}"/>
    <hyperlink ref="E140" r:id="rId140" xr:uid="{5E2455F6-7296-410D-B41B-10139E82CB40}"/>
    <hyperlink ref="D147" r:id="rId141" xr:uid="{5ED62845-1140-407D-B291-442DDCAC3B50}"/>
    <hyperlink ref="D141" r:id="rId142" xr:uid="{409F6C23-BB80-458F-B3F6-D598C236AD06}"/>
    <hyperlink ref="E141" r:id="rId143" xr:uid="{A2CE14F1-5F72-4067-9419-982C1AEE5600}"/>
    <hyperlink ref="E143" r:id="rId144" xr:uid="{F51B8BC2-4DCC-49C7-93CC-DA345A93ECBE}"/>
    <hyperlink ref="E146" r:id="rId145" xr:uid="{260B15B6-AED1-4C41-B517-2B284335A692}"/>
    <hyperlink ref="E147" r:id="rId146" xr:uid="{DA91D7A3-8A3C-47EC-981B-E8D14BBAC19D}"/>
    <hyperlink ref="D150" r:id="rId147" xr:uid="{1592F2E0-8A12-49F0-9FB6-9E14D33BC88F}"/>
    <hyperlink ref="E150" r:id="rId148" xr:uid="{F18CD043-6518-45AF-8297-3D1AF012C82E}"/>
    <hyperlink ref="E153" r:id="rId149" xr:uid="{955CD328-96EF-414C-80A8-3C314399563D}"/>
    <hyperlink ref="E154" r:id="rId150" xr:uid="{A66B5147-FB47-4937-99FB-E4D10C03B498}"/>
    <hyperlink ref="D157" r:id="rId151" xr:uid="{33EC93FB-92CC-478A-8CAB-EC35DFE5B241}"/>
    <hyperlink ref="E157" r:id="rId152" xr:uid="{F50943B4-A809-4CF7-B990-032D9E601E9F}"/>
    <hyperlink ref="D162" r:id="rId153" xr:uid="{9604E3E8-D3AE-42A1-8AD8-E4E41B247642}"/>
    <hyperlink ref="D184" r:id="rId154" xr:uid="{DB004E7C-F1C8-4275-86E0-5708A3AA156E}"/>
    <hyperlink ref="E183" r:id="rId155" xr:uid="{3653AB4D-AD0E-45B8-B24A-7100582E18CE}"/>
    <hyperlink ref="G183" r:id="rId156" display="https://www.genome.jp/entry/C00073" xr:uid="{0208939A-62CB-476E-A7AD-F1BF2AA1ABF3}"/>
    <hyperlink ref="E184" r:id="rId157" xr:uid="{42015BAA-0F7B-4721-BF5A-D24925C687B1}"/>
    <hyperlink ref="E185" r:id="rId158" xr:uid="{A43EEAE8-B56B-4050-8EA9-96C620373515}"/>
    <hyperlink ref="E189" r:id="rId159" xr:uid="{4D8C42C4-343D-4F0F-B54A-579CD790B9F4}"/>
    <hyperlink ref="D191" r:id="rId160" xr:uid="{C6C611CF-6958-471A-8BC0-4DE72AA0A583}"/>
    <hyperlink ref="D192" r:id="rId161" xr:uid="{3CBD78A4-75DA-4992-93E6-381E45667274}"/>
    <hyperlink ref="E192" r:id="rId162" xr:uid="{0028A8A8-376F-4687-823B-1EDEC7588236}"/>
    <hyperlink ref="D193" r:id="rId163" xr:uid="{31EE3CEF-C56C-4C27-ACBF-57B8499D0C81}"/>
    <hyperlink ref="E193" r:id="rId164" xr:uid="{28F97BDB-A7B3-4637-ADDC-708532FA3A3E}"/>
    <hyperlink ref="D194" r:id="rId165" xr:uid="{7481CD8E-29C5-4052-BE44-D83E8167CE0E}"/>
    <hyperlink ref="E194" r:id="rId166" xr:uid="{95912980-CD3C-4BEE-A577-90A09B6AB65C}"/>
    <hyperlink ref="D195" r:id="rId167" xr:uid="{58192CC0-844E-4411-BD7F-AAFF93ACEA0F}"/>
    <hyperlink ref="E197" r:id="rId168" xr:uid="{3E83EDAF-70FA-4231-B812-7369047AB597}"/>
    <hyperlink ref="E198" r:id="rId169" xr:uid="{8C4E6B0F-3A50-4A82-9C41-6064F3BBBB51}"/>
    <hyperlink ref="E199" r:id="rId170" xr:uid="{8A6690E9-C05A-41E9-A662-7E62CD89A175}"/>
    <hyperlink ref="E201" r:id="rId171" xr:uid="{D9884E7B-639B-4D92-BE9E-60AC28691FCE}"/>
    <hyperlink ref="E202" r:id="rId172" xr:uid="{9754ADDC-DB95-46C8-BA88-96572F2556B6}"/>
    <hyperlink ref="E203" r:id="rId173" xr:uid="{98CB68D4-686B-4CC2-BE26-33DA76331A00}"/>
    <hyperlink ref="E204" r:id="rId174" xr:uid="{F08842E9-E93B-4DA6-8544-EC2714CCBE31}"/>
    <hyperlink ref="E205" r:id="rId175" xr:uid="{8C1995FA-573E-4AD3-A18D-AD488F4A55A3}"/>
    <hyperlink ref="E207" r:id="rId176" xr:uid="{3DA4D0C5-3E6E-4F5B-B131-FAF603C39DB3}"/>
    <hyperlink ref="E209" r:id="rId177" xr:uid="{A42E39B0-175C-4B89-B9B1-2C0B17C0BF97}"/>
    <hyperlink ref="G209" r:id="rId178" display="https://www.genome.jp/entry/C00022" xr:uid="{F816D840-3669-4040-B12F-B4EF8CBE9E2B}"/>
    <hyperlink ref="E210" r:id="rId179" xr:uid="{B9E3F579-F349-4E51-92E6-289BBC2815DC}"/>
    <hyperlink ref="D224" r:id="rId180" xr:uid="{8975910C-545C-4C28-9A5C-66491E940E8F}"/>
    <hyperlink ref="E224" r:id="rId181" xr:uid="{2CF4EC6B-C292-4DF1-AE04-904BE6547B57}"/>
    <hyperlink ref="E226" r:id="rId182" xr:uid="{FB0C192E-9250-4FF0-B6E7-A572B7052A10}"/>
    <hyperlink ref="E233" r:id="rId183" xr:uid="{2700E61E-E30A-4708-9DD4-6D100C54B3AB}"/>
    <hyperlink ref="E234" r:id="rId184" xr:uid="{FFB9CC24-50EB-4744-AF2D-1632D03EF023}"/>
    <hyperlink ref="D236" r:id="rId185" xr:uid="{823D6743-4531-45E8-A0CA-708F0A05C610}"/>
    <hyperlink ref="D239" r:id="rId186" xr:uid="{EB575221-0F6E-47EB-93C0-4061B7800A64}"/>
    <hyperlink ref="D243" r:id="rId187" xr:uid="{820DDCBF-E9FF-4C42-A259-05C186E70639}"/>
    <hyperlink ref="E244" r:id="rId188" xr:uid="{71A68826-1769-47C5-95B1-9BDDF8C2D8E0}"/>
    <hyperlink ref="E245" r:id="rId189" xr:uid="{A63D1A59-AAE2-4592-B6B3-39C711B0A644}"/>
    <hyperlink ref="E248" r:id="rId190" xr:uid="{E9BF37A1-B031-442E-BB19-CDA5ADEBFEED}"/>
    <hyperlink ref="E251" r:id="rId191" xr:uid="{A4D970F6-4E59-49B7-B020-1C4F2228B07F}"/>
    <hyperlink ref="E252" r:id="rId192" xr:uid="{AA49093E-1D8E-4D92-A115-7DB2BBD97CD2}"/>
    <hyperlink ref="E254" r:id="rId193" xr:uid="{B3E5472C-919B-4ED6-AE59-F5EA11A5875B}"/>
    <hyperlink ref="E256" r:id="rId194" xr:uid="{023712D9-C819-4686-9609-793CD7C0727A}"/>
    <hyperlink ref="E259" r:id="rId195" xr:uid="{22E3FE1D-70E7-4408-9872-29C557801350}"/>
    <hyperlink ref="E261" r:id="rId196" xr:uid="{9FE7C08F-109B-4FA6-B2F2-B18BEB6247B1}"/>
    <hyperlink ref="D262" r:id="rId197" xr:uid="{DC0A82FA-611C-4C5C-B762-882174F55D1E}"/>
    <hyperlink ref="D263" r:id="rId198" xr:uid="{D20E1C51-FBA1-46E5-8C77-DE57AFF219AA}"/>
    <hyperlink ref="D266" r:id="rId199" xr:uid="{A591D7CC-279D-4E26-9904-8844F57365BE}"/>
    <hyperlink ref="E266" r:id="rId200" xr:uid="{03FC566A-B1D1-4EFC-9F30-924C937F464C}"/>
    <hyperlink ref="D268" r:id="rId201" xr:uid="{1BE9F905-599E-46CD-83C5-FC7A86219588}"/>
    <hyperlink ref="E284" r:id="rId202" xr:uid="{0302D8AB-B67D-4F7B-827F-0E35908BC812}"/>
    <hyperlink ref="E285" r:id="rId203" xr:uid="{93F4736E-7189-44CA-B3C5-6517E43FF265}"/>
    <hyperlink ref="E287" r:id="rId204" xr:uid="{12CF2841-23F8-4BC8-8583-7EA1CA1B7B83}"/>
    <hyperlink ref="E289" r:id="rId205" xr:uid="{B2D69178-86D0-4E62-B412-5CB8E3669288}"/>
    <hyperlink ref="F291" r:id="rId206" display="https://www.genome.jp/entry/C00718" xr:uid="{C8E252A0-3B43-418A-B168-77E4E529B7D9}"/>
    <hyperlink ref="G291" r:id="rId207" display="https://www.genome.jp/entry/C00369" xr:uid="{A34AF986-979D-42F6-B6B3-26B7BD541294}"/>
    <hyperlink ref="G292" r:id="rId208" display="https://www.genome.jp/entry/G10545" xr:uid="{3BDFFC2F-4251-42B4-926C-ECC9115FE685}"/>
    <hyperlink ref="F292" r:id="rId209" display="https://www.genome.jp/entry/G10495" xr:uid="{1176E644-A764-4D62-8EB9-D8CC4717CAD7}"/>
    <hyperlink ref="E294" r:id="rId210" xr:uid="{FCC4F82B-A2BC-440F-8D29-9B641676DBA4}"/>
    <hyperlink ref="E297" r:id="rId211" xr:uid="{A88FB300-8A52-4D97-B97B-84412F6E6649}"/>
    <hyperlink ref="E298" r:id="rId212" xr:uid="{4D70DC28-573F-4E3A-B9C9-DF0114CF36F5}"/>
    <hyperlink ref="G300" r:id="rId213" display="https://www.genome.jp/entry/C00208" xr:uid="{FC9BD647-BE75-472D-BA18-63B08A38B066}"/>
    <hyperlink ref="G301" r:id="rId214" display="https://www.genome.jp/entry/G00275" xr:uid="{DE14A0FD-9C33-4129-A331-7E07C69F5D07}"/>
    <hyperlink ref="E303" r:id="rId215" xr:uid="{E1DED92F-A2CE-4F09-8527-3E762112A66E}"/>
    <hyperlink ref="E306" r:id="rId216" xr:uid="{61378DE9-1F79-491D-B693-42C686BA1A79}"/>
    <hyperlink ref="E317" r:id="rId217" xr:uid="{90B48217-05D1-4637-B9E9-DAF927537B40}"/>
    <hyperlink ref="E319" r:id="rId218" xr:uid="{6BE26540-1637-4474-9033-89AD9EFB9482}"/>
    <hyperlink ref="D324" r:id="rId219" xr:uid="{90597497-98DE-4092-A8AC-06DC0BDFC7F4}"/>
    <hyperlink ref="E329" r:id="rId220" xr:uid="{69785163-614D-46EE-9F4F-08D7AE8ADA7D}"/>
    <hyperlink ref="E330" r:id="rId221" xr:uid="{CA73C6A7-0216-4D81-947C-3A28055F656E}"/>
    <hyperlink ref="E332" r:id="rId222" xr:uid="{50BDCA7B-14B3-4026-9F17-026F2F603CDC}"/>
    <hyperlink ref="E333" r:id="rId223" xr:uid="{C29753D8-D67C-4CED-BA50-73DFD9792ECF}"/>
    <hyperlink ref="E335" r:id="rId224" xr:uid="{CA53DCBA-6A58-4548-ADF0-AD8BC366DEDD}"/>
    <hyperlink ref="E337" r:id="rId225" xr:uid="{202EBA56-9A1A-4F61-8696-0E4F28E95084}"/>
    <hyperlink ref="E339" r:id="rId226" xr:uid="{0E4E165F-7D7E-4477-827C-0B420077EA75}"/>
    <hyperlink ref="D340" r:id="rId227" xr:uid="{BE405F9D-2228-496F-964D-1804C7CDE326}"/>
    <hyperlink ref="E340" r:id="rId228" xr:uid="{1BA23F45-FF97-4F7A-93F7-BBC45693BEC0}"/>
    <hyperlink ref="D342" r:id="rId229" xr:uid="{FA29D781-5B94-45E6-A762-8DA0772076EB}"/>
    <hyperlink ref="E342" r:id="rId230" xr:uid="{C1D68E12-4CEE-4BBD-B8AD-C4A1B9E4BB5C}"/>
    <hyperlink ref="E344" r:id="rId231" xr:uid="{E776622F-DD14-463D-9086-38DCB81914E5}"/>
    <hyperlink ref="D345" r:id="rId232" xr:uid="{FA782C60-BFB9-4B7A-BA9F-3E4D01C4C355}"/>
    <hyperlink ref="D355" r:id="rId233" xr:uid="{A9D559B7-46E6-456B-A3F3-FC70B4DC5CB6}"/>
    <hyperlink ref="E355" r:id="rId234" xr:uid="{01D797C4-AADB-44D7-98B1-C150E86B5FED}"/>
    <hyperlink ref="E357" r:id="rId235" xr:uid="{764BFA49-5589-4FFF-9EF4-E954F06FAEB7}"/>
    <hyperlink ref="E358" r:id="rId236" xr:uid="{0913B178-34E9-44DE-A6E2-BA7C5A6E1DB0}"/>
    <hyperlink ref="E361" r:id="rId237" xr:uid="{CD1A209D-8056-4543-9CA8-2B78630D42CE}"/>
    <hyperlink ref="E366" r:id="rId238" xr:uid="{C1ED3F85-B180-4A02-BBF5-59B2348CD42B}"/>
    <hyperlink ref="E374" r:id="rId239" xr:uid="{81A50CCE-C80F-46F3-A139-874D481BF07A}"/>
    <hyperlink ref="D379" r:id="rId240" xr:uid="{7DD3BB05-5E65-412A-AB96-334C8DA18088}"/>
    <hyperlink ref="E383" r:id="rId241" xr:uid="{C9AB8490-0B7C-462C-B9FC-D90ED4D1F42F}"/>
    <hyperlink ref="E386" r:id="rId242" xr:uid="{0BB7DED5-1F72-4AF5-84E1-DCB7C2772BD5}"/>
    <hyperlink ref="D406" r:id="rId243" xr:uid="{5CF0A804-CC8F-47AE-A268-881553BB6D4E}"/>
    <hyperlink ref="E408" r:id="rId244" xr:uid="{F8E40486-ABC0-4514-A5FD-AB391C1D4C1E}"/>
    <hyperlink ref="E412" r:id="rId245" xr:uid="{732854E3-49FA-4096-92DB-6F1DE28C65A6}"/>
    <hyperlink ref="E416" r:id="rId246" xr:uid="{55FCA3CB-7DE1-499B-811A-B9A85C14E51C}"/>
    <hyperlink ref="E420" r:id="rId247" xr:uid="{3FC2C7BC-DFAE-41AB-90F4-6CA05A2264AB}"/>
    <hyperlink ref="E422" r:id="rId248" xr:uid="{9A8F6C96-9F04-4FC0-A363-98B1AE6E3E9B}"/>
    <hyperlink ref="D424" r:id="rId249" xr:uid="{5D7264D7-F08D-4788-87ED-58360A8C7E8B}"/>
    <hyperlink ref="E427" r:id="rId250" xr:uid="{685E8A60-10C2-41F1-BA0C-9FD30A956F1E}"/>
    <hyperlink ref="E428" r:id="rId251" xr:uid="{481C7169-7E51-40E2-9344-32797C733D40}"/>
    <hyperlink ref="D429" r:id="rId252" xr:uid="{0D5C1DFB-C2ED-423A-B749-8E90826C933F}"/>
    <hyperlink ref="E430" r:id="rId253" xr:uid="{D7D2390C-5DF8-4DCE-8750-0919F5E84FA3}"/>
    <hyperlink ref="D433" r:id="rId254" xr:uid="{63979992-A35B-4171-A64D-EEE19890A46B}"/>
    <hyperlink ref="E437" r:id="rId255" xr:uid="{2946D603-17E3-44DB-82AB-1F47178FC0E0}"/>
    <hyperlink ref="E439" r:id="rId256" xr:uid="{EC20DC27-0DB7-4309-823F-5C034CD71B6F}"/>
    <hyperlink ref="E443" r:id="rId257" xr:uid="{CEFD84E5-72D9-4B7A-A465-AC2F5B273C47}"/>
    <hyperlink ref="E447" r:id="rId258" xr:uid="{88E4BB28-88CD-4B7E-87C6-96CF2019647B}"/>
    <hyperlink ref="E448" r:id="rId259" xr:uid="{A1745F34-442F-4834-94A8-9078E9BD51A8}"/>
    <hyperlink ref="D453" r:id="rId260" xr:uid="{9DE40E43-49B5-4E6F-8DB1-3A60B466680C}"/>
    <hyperlink ref="E455" r:id="rId261" xr:uid="{5D81214A-CD5A-4995-8054-633156644D17}"/>
    <hyperlink ref="E458" r:id="rId262" xr:uid="{A0D5A5F1-008A-4E6B-997F-26C718A4AFA7}"/>
    <hyperlink ref="D462" r:id="rId263" xr:uid="{AC9EE7B6-2F73-4611-AF4A-CA99E430E183}"/>
    <hyperlink ref="E463" r:id="rId264" xr:uid="{82AAA590-CD4F-4701-A69B-68A26D5295B0}"/>
    <hyperlink ref="D464" r:id="rId265" xr:uid="{AF7F24E1-679F-41E4-971C-5BB184870AE2}"/>
    <hyperlink ref="D466" r:id="rId266" xr:uid="{091B6286-DD2E-4BB6-8598-A04EA17C0923}"/>
    <hyperlink ref="E486" r:id="rId267" xr:uid="{07B629FE-D6BF-451B-862D-B32DE647C14C}"/>
    <hyperlink ref="G486" r:id="rId268" display="https://www.genome.jp/entry/C00008" xr:uid="{B93E5D3B-EDE4-4650-B348-4ED63685D473}"/>
    <hyperlink ref="E489" r:id="rId269" xr:uid="{3D567B31-34C4-4788-B639-ECB7D98C3F96}"/>
    <hyperlink ref="E499" r:id="rId270" xr:uid="{14297F4D-624F-4A1A-84E0-3993CC3071CD}"/>
    <hyperlink ref="E508" r:id="rId271" xr:uid="{C6334F03-6191-4F0F-A976-35038B3A5001}"/>
    <hyperlink ref="D520" r:id="rId272" xr:uid="{05AD6501-CC9E-4310-98B1-6FEBB6A9BCEE}"/>
    <hyperlink ref="E519" r:id="rId273" xr:uid="{4ABE35C5-8306-457C-8569-79F33F84C9B5}"/>
    <hyperlink ref="F532" r:id="rId274" display="https://www.genome.jp/entry/C00201" xr:uid="{E6198839-1251-4FE3-BAF0-6746B1590611}"/>
    <hyperlink ref="D539" r:id="rId275" xr:uid="{89BB6B4F-365C-47BF-83B4-C71067DB4818}"/>
    <hyperlink ref="F539" r:id="rId276" display="https://www.genome.jp/entry/C11039" xr:uid="{DDBE1096-9CAA-4CC3-9DA8-603C64518AD8}"/>
    <hyperlink ref="G539" r:id="rId277" display="https://www.genome.jp/entry/C21031" xr:uid="{F4E59053-10FB-4447-8267-59CC9AD6B1FD}"/>
    <hyperlink ref="D545" r:id="rId278" xr:uid="{B7933B97-1ACC-4709-B841-F398837341CA}"/>
    <hyperlink ref="E545" r:id="rId279" xr:uid="{B9CCD60D-2F43-4641-A173-E466BAA7D71C}"/>
    <hyperlink ref="E549" r:id="rId280" xr:uid="{0349EE77-6BA9-4404-B3E1-89CF08407651}"/>
    <hyperlink ref="D552" r:id="rId281" xr:uid="{6FD3AF35-CD5D-4565-AFC3-DF0D5C375DF5}"/>
    <hyperlink ref="D553" r:id="rId282" xr:uid="{E42CC7BC-394B-4E04-A46F-B178B6DED190}"/>
    <hyperlink ref="E555" r:id="rId283" xr:uid="{830F96BA-3130-4914-8B04-C3ADC5D9A295}"/>
    <hyperlink ref="G571" r:id="rId284" display="https://www.genome.jp/entry/C00846" xr:uid="{D554EF47-F07D-4954-B318-02B644FD1A1E}"/>
    <hyperlink ref="E581" r:id="rId285" xr:uid="{0676B7B1-C972-4594-9941-DC00E31AC82A}"/>
    <hyperlink ref="E584" r:id="rId286" xr:uid="{D26A7689-25FC-4E50-B9E0-0A322E93DCBF}"/>
    <hyperlink ref="D593" r:id="rId287" xr:uid="{6FEEADC9-B2BE-4335-9CAF-F527658A41D9}"/>
    <hyperlink ref="D596" r:id="rId288" xr:uid="{7B0F2021-7E30-419C-9AF9-32B49D5E31D8}"/>
    <hyperlink ref="D585" r:id="rId289" xr:uid="{D6D4C391-75C6-4DDE-AF6E-4B43C38A75C9}"/>
    <hyperlink ref="E585" r:id="rId290" xr:uid="{3338F339-4EAA-40C0-BF85-751A0083921B}"/>
    <hyperlink ref="E595" r:id="rId291" xr:uid="{3D85DA00-2D93-4EFB-84AC-4B7436937928}"/>
    <hyperlink ref="E611" r:id="rId292" xr:uid="{15302EEE-8D8D-4B3F-AC15-022565241BE9}"/>
    <hyperlink ref="D617" r:id="rId293" xr:uid="{D5F64E79-50C6-4187-81E3-D076F1FC66EF}"/>
    <hyperlink ref="E618" r:id="rId294" xr:uid="{AEB02CDE-9E0E-4CCC-8914-201E0F481BB4}"/>
    <hyperlink ref="E621" r:id="rId295" xr:uid="{F8F6745C-B10A-481B-8236-681DD78ABA9F}"/>
    <hyperlink ref="D638" r:id="rId296" xr:uid="{639965F6-C1CB-4C78-89D3-C65EC77AA42C}"/>
    <hyperlink ref="F636" r:id="rId297" display="https://www.genome.jp/entry/C00369" xr:uid="{0AD63B7D-E98F-4429-AAF9-590205B191B1}"/>
    <hyperlink ref="G638" r:id="rId298" display="https://www.genome.jp/entry/C00208" xr:uid="{FC3BB5EF-C309-4DAC-902F-5E0905F63EF7}"/>
    <hyperlink ref="E648" r:id="rId299" xr:uid="{ED953D32-A9A4-43D1-8B9E-771C16D936D8}"/>
    <hyperlink ref="E668" r:id="rId300" xr:uid="{E2C5FDB5-D68B-4F6E-8B24-91CA9A4DA535}"/>
    <hyperlink ref="E670" r:id="rId301" xr:uid="{48F5BCAC-5EE9-41A6-B1A3-83DD6857879B}"/>
    <hyperlink ref="E686" r:id="rId302" xr:uid="{37A25A68-C2FB-4109-A92A-05C6287D03F7}"/>
    <hyperlink ref="D719" r:id="rId303" xr:uid="{28D2232D-D41D-438B-868B-57BA7B041813}"/>
    <hyperlink ref="E720" r:id="rId304" xr:uid="{F46DDD6A-2C3C-49C7-BE53-3C43B072335C}"/>
    <hyperlink ref="E721" r:id="rId305" xr:uid="{396DBE7F-7D31-45F8-8E03-86B4033C97EF}"/>
    <hyperlink ref="G730" r:id="rId306" display="https://www.genome.jp/entry/C01255" xr:uid="{D02B9DBC-4174-40A8-8CC9-35806F014D46}"/>
    <hyperlink ref="G731" r:id="rId307" display="https://www.genome.jp/entry/C00438" xr:uid="{1001082A-3803-4E22-B97E-2FAEA810933F}"/>
    <hyperlink ref="G732" r:id="rId308" display="https://www.genome.jp/entry/C04734" xr:uid="{53C10719-4D59-4B79-A620-4D98E8811114}"/>
    <hyperlink ref="D733" r:id="rId309" xr:uid="{C81B0D1C-EA54-465C-A594-F41FC994EA84}"/>
    <hyperlink ref="G734" r:id="rId310" display="https://www.genome.jp/entry/C05922" xr:uid="{D06A781A-F47E-4802-865C-A040B5D13CE0}"/>
    <hyperlink ref="G735" r:id="rId311" display="https://www.genome.jp/entry/C06148" xr:uid="{40B339D5-9D85-4669-B76A-C144460B87F4}"/>
    <hyperlink ref="F737" r:id="rId312" display="https://www.genome.jp/entry/C05923" xr:uid="{82A7421F-0C07-49CD-859E-7DDEFF64202B}"/>
    <hyperlink ref="G737" r:id="rId313" display="https://www.genome.jp/entry/C06148" xr:uid="{BB67FCD7-3DC5-4BB2-8E28-DFF2346141C8}"/>
    <hyperlink ref="G738" r:id="rId314" display="https://www.genome.jp/entry/C04896" xr:uid="{0B297FD7-F977-4121-A762-9F2EF47E738B}"/>
    <hyperlink ref="G766" r:id="rId315" display="https://www.genome.jp/entry/C00009" xr:uid="{1247509F-FE00-4D13-9391-7BB9114ED1FB}"/>
    <hyperlink ref="E775" r:id="rId316" xr:uid="{31C5DF9C-E960-40AD-A641-7BC3178AFAAF}"/>
    <hyperlink ref="D819" r:id="rId317" xr:uid="{10843F5A-B5F3-450A-981A-77BD5AF9C3E3}"/>
    <hyperlink ref="F819" r:id="rId318" display="https://www.genome.jp/entry/C00680" xr:uid="{13C60720-E8A4-4FD5-86DE-D809CF8D14B9}"/>
    <hyperlink ref="F820" r:id="rId319" display="https://www.genome.jp/entry/C04751" xr:uid="{A0BE4689-1946-4707-847F-312031D780CA}"/>
    <hyperlink ref="F821" r:id="rId320" display="https://www.genome.jp/entry/C01103" xr:uid="{777F3BCD-64F5-4992-8859-76B7D8F18773}"/>
    <hyperlink ref="F824" r:id="rId321" display="https://www.genome.jp/entry/C04352" xr:uid="{8CF1E8CE-8C77-43E7-B357-40AC064D9BB9}"/>
    <hyperlink ref="F825" r:id="rId322" display="https://www.genome.jp/entry/C01302" xr:uid="{FEFFD08D-D4F5-459F-8CCE-E4F75AB6EAC4}"/>
    <hyperlink ref="F826" r:id="rId323" display="https://www.genome.jp/entry/C06010" xr:uid="{A297C43A-DFA8-4C17-B41C-9527C6AB4921}"/>
    <hyperlink ref="F827" r:id="rId324" display="https://www.genome.jp/entry/C00354" xr:uid="{0807A7AC-CE25-479B-953A-334A10E4E34F}"/>
    <hyperlink ref="F828" r:id="rId325" display="https://www.genome.jp/entry/C05378" xr:uid="{526B4C6D-F9C4-4D42-AD34-C39857938F31}"/>
    <hyperlink ref="F829" r:id="rId326" display="https://www.genome.jp/entry/C00447" xr:uid="{20575AE9-C4F5-4E9E-8B1B-144311C98406}"/>
    <hyperlink ref="F830" r:id="rId327" display="https://www.genome.jp/entry/C01094" xr:uid="{32B81403-9B09-4B0D-A7E7-F416312BED43}"/>
    <hyperlink ref="F831" r:id="rId328" display="https://www.genome.jp/entry/C04874" xr:uid="{1E46C3CC-6C8A-4489-910A-7A966BEE8B7F}"/>
    <hyperlink ref="F832" r:id="rId329" display="https://www.genome.jp/entry/C00673" xr:uid="{521B77E6-7B0E-4F9B-9C55-4D2B03CB1953}"/>
    <hyperlink ref="F838" r:id="rId330" display="https://www.genome.jp/entry/C01353" xr:uid="{4A6A50E2-FEEC-4CC0-84E0-EB0BE52DF8E1}"/>
    <hyperlink ref="F840" r:id="rId331" display="https://www.genome.jp/entry/C00944" xr:uid="{BC25618A-BC96-4028-8A55-0FDAAC3024E8}"/>
    <hyperlink ref="F841" r:id="rId332" display="https://www.genome.jp/entry/C00631" xr:uid="{C3BB373B-19C2-4B17-A58E-7B7B54503DAE}"/>
    <hyperlink ref="F842" r:id="rId333" display="https://www.genome.jp/entry/C03356" xr:uid="{E7EBA6A7-F17F-4409-BB58-1BACE923CF52}"/>
    <hyperlink ref="E843" r:id="rId334" xr:uid="{4D158F6E-34A4-4C4A-9214-4B003BC68B92}"/>
    <hyperlink ref="F843" r:id="rId335" display="https://www.genome.jp/entry/C00640" xr:uid="{5C932D75-A82C-4C37-B102-D99469B16AA2}"/>
    <hyperlink ref="F844" r:id="rId336" display="https://www.genome.jp/entry/C01144" xr:uid="{86513787-A29D-4F58-9B73-3BC573B50745}"/>
    <hyperlink ref="F845" r:id="rId337" display="https://www.genome.jp/entry/C05668" xr:uid="{3A741FF8-C5EB-4F75-BFC8-995056F01C3D}"/>
    <hyperlink ref="F846" r:id="rId338" display="https://www.genome.jp/entry/C05262" xr:uid="{03326AB3-F12B-4C64-8457-B7AB30BA571C}"/>
    <hyperlink ref="F847" r:id="rId339" display="https://www.genome.jp/entry/C04405" xr:uid="{6B2F130E-9F27-4CF5-9823-0E40616D7345}"/>
    <hyperlink ref="G848" r:id="rId340" display="https://www.genome.jp/entry/C06000" xr:uid="{D81661C3-1FDE-4469-8B2D-77F7099EA4D5}"/>
    <hyperlink ref="F849" r:id="rId341" display="https://www.genome.jp/entry/C05258" xr:uid="{A7585CE5-7AD3-43BB-9EC0-E400D844EB74}"/>
    <hyperlink ref="F850" r:id="rId342" display="https://www.genome.jp/entry/C05260" xr:uid="{415EBA42-8B02-4CE7-9B91-2728F9E91606}"/>
    <hyperlink ref="G850" r:id="rId343" display="https://www.genome.jp/entry/C05260" xr:uid="{E4EAD4D9-E251-42FB-920C-2FE4FAE74095}"/>
    <hyperlink ref="F851" r:id="rId344" display="https://www.genome.jp/entry/C05264" xr:uid="{64D0CAD0-9FDD-4B55-AF97-FE45C6FBC6E1}"/>
    <hyperlink ref="E852" r:id="rId345" xr:uid="{FB231259-D87F-48EC-BAA5-C7C06F8C5649}"/>
    <hyperlink ref="F852" r:id="rId346" display="https://www.genome.jp/entry/C05266" xr:uid="{26CC50A3-70A2-40EF-B887-0731E9EC56CC}"/>
    <hyperlink ref="F853" r:id="rId347" display="https://www.genome.jp/entry/C05268" xr:uid="{891DFBD4-9637-4925-87E4-7746CAD44041}"/>
    <hyperlink ref="F854" r:id="rId348" display="https://www.genome.jp/entry/C16329" xr:uid="{462136EF-6C97-4CAA-A056-C9E16858568B}"/>
    <hyperlink ref="F855" r:id="rId349" display="https://www.genome.jp/entry/C16333" xr:uid="{ECA6E064-F13D-4A3B-A17A-5B2F2599B9D1}"/>
    <hyperlink ref="F856" r:id="rId350" display="https://www.genome.jp/entry/C16337" xr:uid="{728B81FF-F72F-4B8B-9512-4F968C7C3689}"/>
    <hyperlink ref="F857" r:id="rId351" display="https://www.genome.jp/entry/C00640" xr:uid="{2A902E94-F2F8-461C-B9B1-7DEB5F2C16FE}"/>
    <hyperlink ref="F858" r:id="rId352" display="https://www.genome.jp/entry/C01086" xr:uid="{2155D2C5-73EB-4953-B464-722EB2D8CDBA}"/>
    <hyperlink ref="F859" r:id="rId353" display="https://www.genome.jp/entry/C05998" xr:uid="{E6721D63-FA70-4565-A940-8FB152C23779}"/>
    <hyperlink ref="G860" r:id="rId354" display="https://www.genome.jp/entry/C05116" xr:uid="{FBFE4A35-9CA8-4E53-9440-8E6718C4EE6E}"/>
    <hyperlink ref="G861" r:id="rId355" display="https://www.genome.jp/entry/C11947" xr:uid="{BF5339D1-F7A1-411F-A648-BD808B9D698D}"/>
    <hyperlink ref="G862" r:id="rId356" display="https://www.genome.jp/entry/C11947" xr:uid="{FC816BA5-725D-4032-BF57-C429FB9FB425}"/>
    <hyperlink ref="G863" r:id="rId357" display="https://www.genome.jp/entry/C14145" xr:uid="{4C3BFD8B-ADB5-47F4-BB6E-C796704369C4}"/>
    <hyperlink ref="G864" r:id="rId358" display="https://www.genome.jp/entry/C16469" xr:uid="{7F4A7C9F-0EE5-497E-8DB9-0DB05986887E}"/>
    <hyperlink ref="F865" r:id="rId359" display="https://www.genome.jp/entry/C04666" xr:uid="{7F537610-3385-494A-9859-6F77C57F6D70}"/>
    <hyperlink ref="D866" r:id="rId360" xr:uid="{F7EDA478-28FB-4678-A759-2AA7FF4DBB44}"/>
    <hyperlink ref="F867" r:id="rId361" display="https://www.genome.jp/entry/C03506" xr:uid="{982AD374-32EE-4D4F-987F-89B65B05A0E8}"/>
    <hyperlink ref="F869" r:id="rId362" display="https://www.genome.jp/entry/C00158" xr:uid="{C64548FC-7ACB-47B9-8BC8-73BE75EB2D7F}"/>
    <hyperlink ref="G869" r:id="rId363" display="https://www.genome.jp/entry/C00311" xr:uid="{24006FF4-E168-4106-B50E-C6F158AB09EB}"/>
    <hyperlink ref="F870" r:id="rId364" display="https://www.genome.jp/entry/C00158" xr:uid="{39C99CCF-3490-4BD1-9623-C1A50B401284}"/>
    <hyperlink ref="F871" r:id="rId365" display="https://www.genome.jp/entry/C00311" xr:uid="{C450CCCC-D0F0-48C5-BB29-A4523A0340C5}"/>
    <hyperlink ref="F872" r:id="rId366" display="https://www.genome.jp/entry/C02504" xr:uid="{90597B92-770F-4908-BE01-819EA9671444}"/>
    <hyperlink ref="F873" r:id="rId367" display="https://www.genome.jp/entry/C04411" xr:uid="{692C608D-CD9D-4851-847B-9AE9037DA80C}"/>
    <hyperlink ref="F874" r:id="rId368" display="https://www.genome.jp/entry/C04411" xr:uid="{AC407F77-857C-43AF-94F0-54B3E096C684}"/>
    <hyperlink ref="G874" r:id="rId369" display="https://www.genome.jp/entry/C02504" xr:uid="{A054E1D2-5AE6-4DDA-AE11-E21E2706CFB1}"/>
    <hyperlink ref="F875" r:id="rId370" display="https://www.genome.jp/entry/C00842" xr:uid="{3016C973-76B5-4B1D-A2A0-8A8426079BF3}"/>
    <hyperlink ref="F876" r:id="rId371" display="https://www.genome.jp/entry/C00254" xr:uid="{700D791E-F188-459E-BCF1-C9E279E45F76}"/>
    <hyperlink ref="F877" r:id="rId372" display="https://www.genome.jp/entry/C00826" xr:uid="{6F8203CA-16B2-4C7A-95A8-2873F8F53EEC}"/>
    <hyperlink ref="F878" r:id="rId373" display="https://www.genome.jp/entry/C04039" xr:uid="{5A954DE3-8FD0-4049-8F80-3B249DD4A174}"/>
    <hyperlink ref="F879" r:id="rId374" display="https://www.genome.jp/entry/C04272" xr:uid="{E862C6D8-F48F-4AD0-BE9B-32B881B2E31F}"/>
    <hyperlink ref="F880" r:id="rId375" display="https://www.genome.jp/entry/C06007" xr:uid="{06C9CE7D-7754-418F-A489-1118189D3DA1}"/>
    <hyperlink ref="E881" r:id="rId376" xr:uid="{3DAF59DA-0487-4BF5-B174-67A4BB36290E}"/>
    <hyperlink ref="F883" r:id="rId377" display="https://www.genome.jp/entry/C04895" xr:uid="{BE93C42C-0935-4FA4-8ABC-8CF24182B7BA}"/>
    <hyperlink ref="F884" r:id="rId378" display="https://www.genome.jp/entry/C04691" xr:uid="{47C195CB-0637-4613-846C-011769140B47}"/>
    <hyperlink ref="F885" r:id="rId379" display="https://www.genome.jp/entry/C01269" xr:uid="{A7BD4672-C1EF-46EB-ADFF-40B51544DD75}"/>
    <hyperlink ref="F886" r:id="rId380" display="https://www.genome.jp/entry/C00065" xr:uid="{E591F6C8-D1F9-446D-A47A-B41DED0C0A9D}"/>
    <hyperlink ref="F887" r:id="rId381" display="https://www.genome.jp/entry/C00065" xr:uid="{2336E5D2-E151-4305-A551-3FC916FAA1E9}"/>
    <hyperlink ref="F889" r:id="rId382" display="https://www.genome.jp/entry/C02218" xr:uid="{DB99C14B-266D-44D8-8599-A224A3B499C6}"/>
    <hyperlink ref="G889" r:id="rId383" display="https://www.genome.jp/entry/C20904" xr:uid="{07670501-EEEB-4715-86BE-6BFE0D151E38}"/>
    <hyperlink ref="F890" r:id="rId384" display="https://www.genome.jp/entry/C05167" xr:uid="{87129D55-C8AB-4F87-A87E-9025323081EF}"/>
    <hyperlink ref="F891" r:id="rId385" display="https://www.genome.jp/entry/C00188" xr:uid="{C74E253C-B715-4A78-A03F-E56CFC28A16C}"/>
    <hyperlink ref="F893" r:id="rId386" display="https://www.genome.jp/entry/C17234" xr:uid="{75E7665E-9C8F-4179-A7C2-E8F52D083D6C}"/>
    <hyperlink ref="G893" r:id="rId387" display="https://www.genome.jp/entry/C20905" xr:uid="{3B2EEA8C-5B4F-457B-B425-FD506A22AA23}"/>
    <hyperlink ref="F894" r:id="rId388" display="https://www.genome.jp/entry/C00065" xr:uid="{C31625CF-B4E1-441A-8B88-20F680D67683}"/>
    <hyperlink ref="F895" r:id="rId389" display="https://www.genome.jp/entry/C05167" xr:uid="{B2605781-E5B1-4B22-8A23-861214406869}"/>
    <hyperlink ref="E896" r:id="rId390" xr:uid="{D5A525F7-3D18-4253-9487-E046D7CDC81B}"/>
    <hyperlink ref="F896" r:id="rId391" display="https://www.genome.jp/entry/C03406" xr:uid="{8D4ADB17-E786-46F4-9AE4-C67A20F1938C}"/>
    <hyperlink ref="F897" r:id="rId392" display="https://www.genome.jp/entry/C03794" xr:uid="{CBDA34C9-2259-4DD1-996A-409879862B8A}"/>
    <hyperlink ref="F898" r:id="rId393" display="https://www.genome.jp/entry/C04823" xr:uid="{3DEB9ACB-9537-4533-90FB-82155F6FD786}"/>
    <hyperlink ref="E899" r:id="rId394" xr:uid="{5C123FA0-CD83-429A-8071-42D395EC51CF}"/>
    <hyperlink ref="F899" r:id="rId395" display="https://www.genome.jp/entry/C22395" xr:uid="{7A63DAC0-E14B-4691-A5B6-2F88C56794A0}"/>
    <hyperlink ref="F901" r:id="rId396" display="https://www.genome.jp/entry/C03539" xr:uid="{4E5CDC05-B9FA-46AE-B32C-4BF6EEB688AE}"/>
    <hyperlink ref="F902" r:id="rId397" display="https://www.genome.jp/entry/C03451" xr:uid="{71CD3604-2CE8-4A47-893F-5745C70A529E}"/>
    <hyperlink ref="F906" r:id="rId398" display="https://www.genome.jp/entry/C00041" xr:uid="{84C25ED9-6E0E-411B-BB05-BC215FB5BFE9}"/>
    <hyperlink ref="G906" r:id="rId399" display="https://www.genome.jp/entry/C00133" xr:uid="{E9AC2E1C-CB49-4574-9DF9-35545F997A01}"/>
    <hyperlink ref="F907" r:id="rId400" display="https://www.genome.jp/entry/C00025" xr:uid="{D0C47F36-1FEF-4D9D-B96E-C526625C974C}"/>
    <hyperlink ref="G907" r:id="rId401" display="https://www.genome.jp/entry/C00217" xr:uid="{8C97BBA4-ACD5-47B6-94DD-C9C377145FC6}"/>
    <hyperlink ref="F908" r:id="rId402" display="https://www.genome.jp/entry/C00199" xr:uid="{4D892638-9E84-429C-B91B-5B55E933B290}"/>
    <hyperlink ref="G908" r:id="rId403" display="https://www.genome.jp/entry/C00231" xr:uid="{0C000C65-20E9-4969-9DBE-4F10310678E4}"/>
    <hyperlink ref="F909" r:id="rId404" display="https://www.genome.jp/entry/C11907" xr:uid="{99D68BA7-37FD-4F79-BC7C-44781C1734B3}"/>
    <hyperlink ref="G909" r:id="rId405" display="https://www.genome.jp/entry/C00688" xr:uid="{6818B2EF-5581-4510-81CC-834FE3BF4DAB}"/>
    <hyperlink ref="F910" r:id="rId406" display="https://www.genome.jp/entry/C00029" xr:uid="{AA79E0AD-6F4E-489E-A55B-1D3DAB390D37}"/>
    <hyperlink ref="G910" r:id="rId407" display="https://www.genome.jp/entry/C00029" xr:uid="{0216A508-2F7E-4FE9-AF76-D985A352EA10}"/>
    <hyperlink ref="F911" r:id="rId408" display="https://www.genome.jp/entry/C00043" xr:uid="{F65D1433-F384-4A56-B4D2-C364B80310E7}"/>
    <hyperlink ref="G911" r:id="rId409" display="https://www.genome.jp/entry/C00203" xr:uid="{6C44DEAB-4B89-4095-B4DC-0049B614292E}"/>
    <hyperlink ref="F912" r:id="rId410" display="https://www.genome.jp/entry/C00842" xr:uid="{FDDAA0CD-8767-4FE3-94F8-9C5A7FA14836}"/>
    <hyperlink ref="G912" r:id="rId411" display="https://www.genome.jp/entry/C02097" xr:uid="{F1E54854-3FE4-4D26-B998-A7469692A496}"/>
    <hyperlink ref="D914" r:id="rId412" xr:uid="{78100195-523F-425A-B7C2-EA7232065E17}"/>
    <hyperlink ref="F913" r:id="rId413" display="https://www.genome.jp/entry/C00267" xr:uid="{F6C0C79A-9A89-48F3-B6D9-22F4CCB637A0}"/>
    <hyperlink ref="G913" r:id="rId414" display="https://www.genome.jp/entry/C00221" xr:uid="{AD325024-E24F-4930-BA26-0E2AEB9602AE}"/>
    <hyperlink ref="F914" r:id="rId415" display="https://www.genome.jp/entry/C00124" xr:uid="{158BEF29-E5CB-4241-A713-0EE542CE03CF}"/>
    <hyperlink ref="G914" r:id="rId416" display="https://www.genome.jp/entry/C00984" xr:uid="{5943C0B2-2209-4BCF-A95A-9792C54B1EC5}"/>
    <hyperlink ref="F915" r:id="rId417" display="https://www.genome.jp/entry/C03798" xr:uid="{ABD4E37A-F6C3-417C-BCD3-49B4287D4C90}"/>
    <hyperlink ref="G915" r:id="rId418" display="https://www.genome.jp/entry/C03633" xr:uid="{A3F316A1-888E-4D77-BA0D-C84D74648C3C}"/>
    <hyperlink ref="F916" r:id="rId419" display="https://www.genome.jp/entry/C00118" xr:uid="{A977DF19-F158-4F41-AA86-BF5BE22082B8}"/>
    <hyperlink ref="G916" r:id="rId420" display="https://www.genome.jp/entry/C00111" xr:uid="{727645E2-56AB-414C-894F-D20B114BF9EC}"/>
    <hyperlink ref="D917" r:id="rId421" xr:uid="{ABDF2FBE-CBC0-4D65-AAAC-2384E3BB8E1F}"/>
    <hyperlink ref="F917" r:id="rId422" display="https://www.genome.jp/entry/C04896" xr:uid="{7B4C5AD6-AD5C-43CC-A82B-7C850D616120}"/>
    <hyperlink ref="G917" r:id="rId423" display="https://www.genome.jp/entry/C04916" xr:uid="{058AE2AB-6D20-4286-A34C-56C2ACE0137C}"/>
    <hyperlink ref="F918" r:id="rId424" display="https://www.genome.jp/entry/C04302" xr:uid="{627E7715-DF9C-4286-B7A2-7B22B4773AB8}"/>
    <hyperlink ref="G918" r:id="rId425" display="https://www.genome.jp/entry/C01302" xr:uid="{C61F819D-687B-439F-8E71-4C69FC9EFB8D}"/>
    <hyperlink ref="F919" r:id="rId426" display="https://www.genome.jp/entry/C00117" xr:uid="{4F606BF7-CEC7-4077-809D-506E2E275097}"/>
    <hyperlink ref="G919" r:id="rId427" display="https://www.genome.jp/entry/C00199" xr:uid="{814A8216-4639-4796-B6B9-228C2BD0A60C}"/>
    <hyperlink ref="E920" r:id="rId428" xr:uid="{C88C652C-3BE1-4FFB-8EB9-72659B3EBED7}"/>
    <hyperlink ref="F920" r:id="rId429" display="https://www.genome.jp/entry/C02962" xr:uid="{60D57842-1EC5-4DDF-BC95-9362D9C168FE}"/>
    <hyperlink ref="G920" r:id="rId430" display="https://www.genome.jp/entry/C18096" xr:uid="{23AC9311-D847-43FC-9B5B-D271EA1EBD7D}"/>
    <hyperlink ref="F921" r:id="rId431" display="https://www.genome.jp/entry/C00275" xr:uid="{A3319531-DDB4-45AB-8CA4-148976C57974}"/>
    <hyperlink ref="G921" r:id="rId432" display="https://www.genome.jp/entry/C00085" xr:uid="{98ABBF5F-4A76-4B38-B768-5907037C78F8}"/>
    <hyperlink ref="E922" r:id="rId433" xr:uid="{348905B2-9E9B-4E5E-A571-27829107B0DE}"/>
    <hyperlink ref="F922" r:id="rId434" display="https://www.genome.jp/entry/C00275" xr:uid="{F74B27E2-53F3-4017-89A5-E89750345516}"/>
    <hyperlink ref="G922" r:id="rId435" display="https://www.genome.jp/entry/C05345" xr:uid="{703AFE36-D7EB-477B-9B17-33C4780A70D9}"/>
    <hyperlink ref="F923" r:id="rId436" display="https://www.genome.jp/entry/C00668" xr:uid="{E62AE48C-B7B6-4899-A0EE-364A7BA085A4}"/>
    <hyperlink ref="G923" r:id="rId437" display="https://www.genome.jp/entry/C05345" xr:uid="{9542F737-EB65-41D0-9527-0BAC290B5629}"/>
    <hyperlink ref="F924" r:id="rId438" display="https://www.genome.jp/entry/C00092" xr:uid="{AAB6F2FB-56B8-438F-859A-E1580C2D58A5}"/>
    <hyperlink ref="G924" r:id="rId439" display="https://www.genome.jp/entry/C00085" xr:uid="{7B3A0931-C4F5-4981-A439-370EB47A78E3}"/>
    <hyperlink ref="F925" r:id="rId440" display="https://www.genome.jp/entry/C00668" xr:uid="{B927D561-F404-4601-976B-1D1BE230133E}"/>
    <hyperlink ref="G925" r:id="rId441" display="https://www.genome.jp/entry/C01172" xr:uid="{75A15AA8-2C14-409F-B030-3C5939AA9065}"/>
    <hyperlink ref="F926" r:id="rId442" display="https://www.genome.jp/entry/C01172" xr:uid="{D970A88C-AAC8-4E84-9651-131D920924E1}"/>
    <hyperlink ref="G926" r:id="rId443" display="https://www.genome.jp/entry/C05345" xr:uid="{A98BB6E4-5CBF-4BF0-B0A2-E344DCE1191A}"/>
    <hyperlink ref="F927" r:id="rId444" display="https://www.genome.jp/entry/C00668" xr:uid="{BA24C11A-1F1A-49AD-B584-BA9FCCDC41E5}"/>
    <hyperlink ref="G927" r:id="rId445" display="https://www.genome.jp/entry/C00085" xr:uid="{FDC3641A-8227-4190-95DE-29C6A1C07A65}"/>
    <hyperlink ref="F929" r:id="rId446" display="https://www.genome.jp/entry/C00129" xr:uid="{5D9F1C19-AA2C-4521-87F2-541BBACC3E98}"/>
    <hyperlink ref="G929" r:id="rId447" display="https://www.genome.jp/entry/C00235" xr:uid="{120F37E5-D650-4C4C-9CF3-C611892C4AA6}"/>
    <hyperlink ref="F931" r:id="rId448" display="https://www.genome.jp/entry/C06156" xr:uid="{667032EF-8821-45EC-93C2-6E12833BE5B4}"/>
    <hyperlink ref="G931" r:id="rId449" display="https://www.genome.jp/entry/C00352" xr:uid="{DAFA1B08-0360-4BB5-8751-D394714678DF}"/>
    <hyperlink ref="F932" r:id="rId450" display="https://www.genome.jp/entry/C00103" xr:uid="{D844C7C1-775C-4273-809E-F9225227510D}"/>
    <hyperlink ref="G932" r:id="rId451" display="https://www.genome.jp/entry/C00092" xr:uid="{98DA3DB6-F453-40B9-999C-F70CCE441462}"/>
    <hyperlink ref="G933" r:id="rId452" display="https://www.genome.jp/entry/C00668" xr:uid="{7461EE2B-16E7-4B82-B685-0BD3186D79E6}"/>
    <hyperlink ref="F934" r:id="rId453" display="https://www.genome.jp/entry/C00620" xr:uid="{FBA98E6B-A08D-407F-86BC-41FFE574B9FA}"/>
    <hyperlink ref="G934" r:id="rId454" display="https://www.genome.jp/entry/C00117" xr:uid="{65DBA746-3283-4EDB-BA4A-739308F4FE39}"/>
    <hyperlink ref="E935" r:id="rId455" xr:uid="{9FDF2FE6-9400-4A55-A88D-B0356DF47C9D}"/>
    <hyperlink ref="F935" r:id="rId456" display="https://www.genome.jp/entry/C01171" xr:uid="{A9CE6BE2-E884-4A7A-A90B-2971988A314E}"/>
    <hyperlink ref="G935" r:id="rId457" display="https://www.genome.jp/entry/C03735" xr:uid="{2629D8B9-F8EE-4FE8-9EC7-8AA8D6F6987C}"/>
    <hyperlink ref="E936" r:id="rId458" xr:uid="{D8BEDDFC-B95D-444E-B40F-94E9E9DDE33B}"/>
    <hyperlink ref="F936" r:id="rId459" display="https://www.genome.jp/entry/C00620" xr:uid="{9236B9BE-407B-44A9-BBC7-423745745250}"/>
    <hyperlink ref="G936" r:id="rId460" display="https://www.genome.jp/entry/C00117" xr:uid="{DBC8A214-551A-4E04-BAA2-C31CAB9EE760}"/>
    <hyperlink ref="F937" r:id="rId461" display="https://www.genome.jp/entry/C00672" xr:uid="{97C258F2-02BC-487C-8812-DC03AB221A07}"/>
    <hyperlink ref="G937" r:id="rId462" display="https://www.genome.jp/entry/C00673" xr:uid="{D0E86D2A-7037-46EA-BDC9-98D2EEBBAB70}"/>
    <hyperlink ref="F945" r:id="rId463" display="https://www.genome.jp/entry/C00868" xr:uid="{30D8FF94-7FC1-4C10-8559-8C88FD7A3D7F}"/>
    <hyperlink ref="G945" r:id="rId464" display="https://www.genome.jp/entry/C02764" xr:uid="{2B1B9C3B-903A-471A-BFA6-157C52498E6B}"/>
    <hyperlink ref="D946" r:id="rId465" xr:uid="{28188CA8-FB2B-40B1-9F01-B1559409640F}"/>
    <hyperlink ref="E946" r:id="rId466" xr:uid="{2132776B-37B7-4788-B3C0-B3AAAE51C298}"/>
    <hyperlink ref="F946" r:id="rId467" display="https://www.genome.jp/entry/C00251" xr:uid="{117CED19-C763-47A4-B9AB-67C8B5D4792C}"/>
    <hyperlink ref="G946" r:id="rId468" display="https://www.genome.jp/entry/C00254" xr:uid="{5E8289D3-27F0-4C81-8C82-A33B98DEA04B}"/>
    <hyperlink ref="F947" r:id="rId469" display="https://www.genome.jp/entry/C00052" xr:uid="{6107E39A-51D9-4B54-B042-381B7A29555F}"/>
    <hyperlink ref="G947" r:id="rId470" display="https://www.genome.jp/entry/C03733" xr:uid="{F5913980-00BC-4CF8-BCC7-134F742EDC38}"/>
    <hyperlink ref="F948" r:id="rId471" display="https://www.genome.jp/entry/C00935" xr:uid="{9EEC3BED-205C-4591-A061-13B37DC55EB7}"/>
    <hyperlink ref="G948" r:id="rId472" display="https://www.genome.jp/entry/C18094" xr:uid="{2F759FBE-C276-407A-868A-655861A88029}"/>
    <hyperlink ref="E962" r:id="rId473" xr:uid="{322B873E-5AF4-46CF-9395-BAA8C1C5BECB}"/>
    <hyperlink ref="D982" r:id="rId474" xr:uid="{C0246B19-ACC6-4223-B647-5651B47E0CD1}"/>
    <hyperlink ref="D987" r:id="rId475" xr:uid="{5C7908BF-3A19-4B2C-BDF1-4A7E42AA14F8}"/>
    <hyperlink ref="E1000" r:id="rId476" xr:uid="{2594B163-EC1E-4786-A43A-B64734FFB3AA}"/>
    <hyperlink ref="D1010" r:id="rId477" xr:uid="{6622494A-E91C-45A3-A766-738000355C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05A4-EDA1-4E23-A08C-DE95A4CE1A64}">
  <dimension ref="A1:D843"/>
  <sheetViews>
    <sheetView workbookViewId="0"/>
  </sheetViews>
  <sheetFormatPr defaultRowHeight="14.5" x14ac:dyDescent="0.35"/>
  <cols>
    <col min="1" max="1" width="22.54296875" style="1" customWidth="1"/>
    <col min="2" max="2" width="33" style="1" customWidth="1"/>
    <col min="3" max="3" width="23.81640625" style="38" customWidth="1"/>
    <col min="4" max="4" width="52.90625" style="37" customWidth="1"/>
    <col min="5" max="6" width="8.7265625" style="1"/>
    <col min="7" max="7" width="8.6328125" style="1" customWidth="1"/>
    <col min="8" max="10" width="8.7265625" style="1"/>
    <col min="11" max="11" width="8.6328125" style="1" customWidth="1"/>
    <col min="12" max="16384" width="8.7265625" style="1"/>
  </cols>
  <sheetData>
    <row r="1" spans="1:4" s="8" customFormat="1" x14ac:dyDescent="0.35">
      <c r="A1" s="8" t="s">
        <v>10175</v>
      </c>
      <c r="B1" s="8" t="s">
        <v>5</v>
      </c>
      <c r="C1" s="39" t="s">
        <v>9747</v>
      </c>
      <c r="D1" s="40" t="s">
        <v>9748</v>
      </c>
    </row>
    <row r="2" spans="1:4" x14ac:dyDescent="0.35">
      <c r="A2" s="1" t="s">
        <v>9125</v>
      </c>
      <c r="B2" s="1" t="s">
        <v>10176</v>
      </c>
      <c r="C2" s="38" t="str">
        <f>CONCATENATE(A2,":","1000")</f>
        <v>C00001:1000</v>
      </c>
      <c r="D2" s="37" t="str">
        <f>CONCATENATE(A2," : ",B2)</f>
        <v>C00001 : H2O</v>
      </c>
    </row>
    <row r="3" spans="1:4" x14ac:dyDescent="0.35">
      <c r="A3" s="1" t="s">
        <v>9304</v>
      </c>
      <c r="B3" s="1" t="s">
        <v>9749</v>
      </c>
      <c r="C3" s="38" t="str">
        <f t="shared" ref="C3:C12" si="0">CONCATENATE(A3,":","1000")</f>
        <v>C00002:1000</v>
      </c>
      <c r="D3" s="37" t="str">
        <f t="shared" ref="D3:D66" si="1">CONCATENATE(A3," : ",B3)</f>
        <v>C00002 : ATP</v>
      </c>
    </row>
    <row r="4" spans="1:4" x14ac:dyDescent="0.35">
      <c r="A4" s="1" t="s">
        <v>9085</v>
      </c>
      <c r="B4" s="1" t="s">
        <v>9750</v>
      </c>
      <c r="C4" s="38" t="str">
        <f t="shared" si="0"/>
        <v>C00003:1000</v>
      </c>
      <c r="D4" s="37" t="str">
        <f t="shared" si="1"/>
        <v>C00003 : NAD+</v>
      </c>
    </row>
    <row r="5" spans="1:4" x14ac:dyDescent="0.35">
      <c r="A5" s="1" t="s">
        <v>9099</v>
      </c>
      <c r="B5" s="1" t="s">
        <v>9751</v>
      </c>
      <c r="C5" s="38" t="str">
        <f t="shared" si="0"/>
        <v>C00004:1000</v>
      </c>
      <c r="D5" s="37" t="str">
        <f t="shared" si="1"/>
        <v>C00004 : NADH</v>
      </c>
    </row>
    <row r="6" spans="1:4" x14ac:dyDescent="0.35">
      <c r="A6" s="1" t="s">
        <v>9114</v>
      </c>
      <c r="B6" s="1" t="s">
        <v>9752</v>
      </c>
      <c r="C6" s="38" t="str">
        <f t="shared" si="0"/>
        <v>C00005:1000</v>
      </c>
      <c r="D6" s="37" t="str">
        <f t="shared" si="1"/>
        <v>C00005 : NADPH</v>
      </c>
    </row>
    <row r="7" spans="1:4" x14ac:dyDescent="0.35">
      <c r="A7" s="1" t="s">
        <v>9097</v>
      </c>
      <c r="B7" s="1" t="s">
        <v>9753</v>
      </c>
      <c r="C7" s="38" t="str">
        <f t="shared" si="0"/>
        <v>C00006:1000</v>
      </c>
      <c r="D7" s="37" t="str">
        <f t="shared" si="1"/>
        <v>C00006 : NADP+</v>
      </c>
    </row>
    <row r="8" spans="1:4" x14ac:dyDescent="0.35">
      <c r="A8" s="1" t="s">
        <v>9545</v>
      </c>
      <c r="B8" s="1" t="s">
        <v>9754</v>
      </c>
      <c r="C8" s="38" t="str">
        <f t="shared" si="0"/>
        <v>C00007:1000</v>
      </c>
      <c r="D8" s="37" t="str">
        <f t="shared" si="1"/>
        <v>C00007 : Oxygen</v>
      </c>
    </row>
    <row r="9" spans="1:4" x14ac:dyDescent="0.35">
      <c r="A9" s="1" t="s">
        <v>9066</v>
      </c>
      <c r="B9" s="1" t="s">
        <v>9755</v>
      </c>
      <c r="C9" s="38" t="str">
        <f t="shared" si="0"/>
        <v>C00008:1000</v>
      </c>
      <c r="D9" s="37" t="str">
        <f t="shared" si="1"/>
        <v>C00008 : ADP</v>
      </c>
    </row>
    <row r="10" spans="1:4" x14ac:dyDescent="0.35">
      <c r="A10" s="1" t="s">
        <v>9075</v>
      </c>
      <c r="B10" s="1" t="s">
        <v>9756</v>
      </c>
      <c r="C10" s="38" t="str">
        <f t="shared" si="0"/>
        <v>C00009:1000</v>
      </c>
      <c r="D10" s="37" t="str">
        <f t="shared" si="1"/>
        <v>C00009 : Orthophosphate</v>
      </c>
    </row>
    <row r="11" spans="1:4" x14ac:dyDescent="0.35">
      <c r="A11" s="1" t="s">
        <v>9137</v>
      </c>
      <c r="B11" s="1" t="s">
        <v>9757</v>
      </c>
      <c r="C11" s="38" t="str">
        <f t="shared" si="0"/>
        <v>C00010:1000</v>
      </c>
      <c r="D11" s="37" t="str">
        <f t="shared" si="1"/>
        <v>C00010 : CoA</v>
      </c>
    </row>
    <row r="12" spans="1:4" x14ac:dyDescent="0.35">
      <c r="A12" s="1" t="s">
        <v>9124</v>
      </c>
      <c r="B12" s="1" t="s">
        <v>9758</v>
      </c>
      <c r="C12" s="38" t="str">
        <f t="shared" si="0"/>
        <v>C00011:1000</v>
      </c>
      <c r="D12" s="37" t="str">
        <f t="shared" si="1"/>
        <v>C00011 : CO2</v>
      </c>
    </row>
    <row r="13" spans="1:4" x14ac:dyDescent="0.35">
      <c r="A13" s="1" t="s">
        <v>9267</v>
      </c>
      <c r="B13" s="1" t="s">
        <v>9759</v>
      </c>
      <c r="C13" s="38" t="str">
        <f>CONCATENATE(A13,":","1000")</f>
        <v>C00013:1000</v>
      </c>
      <c r="D13" s="37" t="str">
        <f t="shared" si="1"/>
        <v>C00013 : Diphosphate</v>
      </c>
    </row>
    <row r="14" spans="1:4" x14ac:dyDescent="0.35">
      <c r="A14" s="1" t="s">
        <v>9456</v>
      </c>
      <c r="B14" s="1" t="s">
        <v>9760</v>
      </c>
      <c r="C14" s="38" t="str">
        <f>CONCATENATE(A14,":","1000")</f>
        <v>C00014:1000</v>
      </c>
      <c r="D14" s="37" t="str">
        <f t="shared" si="1"/>
        <v>C00014 : Ammonia</v>
      </c>
    </row>
    <row r="15" spans="1:4" x14ac:dyDescent="0.35">
      <c r="A15" s="1" t="s">
        <v>9360</v>
      </c>
      <c r="B15" s="1" t="s">
        <v>10177</v>
      </c>
      <c r="C15" s="38" t="str">
        <f t="shared" ref="C15" si="2">CONCATENATE(A15,":","1000")</f>
        <v>C00015:1000</v>
      </c>
      <c r="D15" s="37" t="str">
        <f t="shared" si="1"/>
        <v>C00015 : UDP</v>
      </c>
    </row>
    <row r="16" spans="1:4" x14ac:dyDescent="0.35">
      <c r="A16" s="1" t="s">
        <v>9666</v>
      </c>
      <c r="B16" s="1" t="s">
        <v>10178</v>
      </c>
      <c r="C16" s="38" t="str">
        <f>CONCATENATE(A16,":","1000")</f>
        <v>C00016:1000</v>
      </c>
      <c r="D16" s="37" t="str">
        <f t="shared" si="1"/>
        <v>C00016 : FAD</v>
      </c>
    </row>
    <row r="17" spans="1:4" x14ac:dyDescent="0.35">
      <c r="A17" s="1" t="s">
        <v>9346</v>
      </c>
      <c r="B17" s="1" t="s">
        <v>10179</v>
      </c>
      <c r="C17" s="38" t="str">
        <f t="shared" ref="C17:C66" si="3">CONCATENATE(A17,":","1")</f>
        <v>C00017:1</v>
      </c>
      <c r="D17" s="37" t="str">
        <f t="shared" si="1"/>
        <v>C00017 : Protein</v>
      </c>
    </row>
    <row r="18" spans="1:4" x14ac:dyDescent="0.35">
      <c r="A18" s="1" t="s">
        <v>9654</v>
      </c>
      <c r="B18" s="1" t="s">
        <v>10180</v>
      </c>
      <c r="C18" s="38" t="str">
        <f t="shared" si="3"/>
        <v>C00018:1</v>
      </c>
      <c r="D18" s="37" t="str">
        <f t="shared" si="1"/>
        <v>C00018 : Pyridoxal phosphate</v>
      </c>
    </row>
    <row r="19" spans="1:4" x14ac:dyDescent="0.35">
      <c r="A19" s="1" t="s">
        <v>9196</v>
      </c>
      <c r="B19" s="1" t="s">
        <v>10181</v>
      </c>
      <c r="C19" s="38" t="str">
        <f>CONCATENATE(A19,":","1000")</f>
        <v>C00019:1000</v>
      </c>
      <c r="D19" s="37" t="str">
        <f t="shared" si="1"/>
        <v>C00019 : S-Adenosyl-L-methionine</v>
      </c>
    </row>
    <row r="20" spans="1:4" x14ac:dyDescent="0.35">
      <c r="A20" s="1" t="s">
        <v>9279</v>
      </c>
      <c r="B20" s="1" t="s">
        <v>10182</v>
      </c>
      <c r="C20" s="38" t="str">
        <f t="shared" ref="C20:C24" si="4">CONCATENATE(A20,":","1000")</f>
        <v>C00020:1000</v>
      </c>
      <c r="D20" s="37" t="str">
        <f t="shared" si="1"/>
        <v>C00020 : AMP</v>
      </c>
    </row>
    <row r="21" spans="1:4" x14ac:dyDescent="0.35">
      <c r="A21" s="1" t="s">
        <v>9445</v>
      </c>
      <c r="B21" s="1" t="s">
        <v>10183</v>
      </c>
      <c r="C21" s="38" t="str">
        <f t="shared" si="4"/>
        <v>C00021:1000</v>
      </c>
      <c r="D21" s="37" t="str">
        <f t="shared" si="1"/>
        <v>C00021 : S-Adenosyl-L-homocysteine</v>
      </c>
    </row>
    <row r="22" spans="1:4" x14ac:dyDescent="0.35">
      <c r="A22" s="1" t="s">
        <v>9059</v>
      </c>
      <c r="B22" s="1" t="s">
        <v>10184</v>
      </c>
      <c r="C22" s="38" t="str">
        <f t="shared" si="4"/>
        <v>C00022:1000</v>
      </c>
      <c r="D22" s="37" t="str">
        <f t="shared" si="1"/>
        <v>C00022 : Pyruvate</v>
      </c>
    </row>
    <row r="23" spans="1:4" x14ac:dyDescent="0.35">
      <c r="A23" s="1" t="s">
        <v>9220</v>
      </c>
      <c r="B23" s="1" t="s">
        <v>10185</v>
      </c>
      <c r="C23" s="38" t="str">
        <f t="shared" si="4"/>
        <v>C00024:1000</v>
      </c>
      <c r="D23" s="37" t="str">
        <f t="shared" si="1"/>
        <v>C00024 : Acetyl-CoA</v>
      </c>
    </row>
    <row r="24" spans="1:4" x14ac:dyDescent="0.35">
      <c r="A24" s="1" t="s">
        <v>9221</v>
      </c>
      <c r="B24" s="1" t="s">
        <v>10186</v>
      </c>
      <c r="C24" s="38" t="str">
        <f t="shared" si="4"/>
        <v>C00025 :1000</v>
      </c>
      <c r="D24" s="37" t="str">
        <f t="shared" si="1"/>
        <v>C00025  : L-Glutamate</v>
      </c>
    </row>
    <row r="25" spans="1:4" x14ac:dyDescent="0.35">
      <c r="A25" s="1" t="s">
        <v>9308</v>
      </c>
      <c r="B25" s="1" t="s">
        <v>10187</v>
      </c>
      <c r="C25" s="38" t="str">
        <f t="shared" si="3"/>
        <v>C00026:1</v>
      </c>
      <c r="D25" s="37" t="str">
        <f t="shared" si="1"/>
        <v>C00026 : 2-Oxoglutarate</v>
      </c>
    </row>
    <row r="26" spans="1:4" x14ac:dyDescent="0.35">
      <c r="A26" s="1" t="s">
        <v>9141</v>
      </c>
      <c r="B26" s="1" t="s">
        <v>10188</v>
      </c>
      <c r="C26" s="38" t="str">
        <f t="shared" si="3"/>
        <v>C00027:1</v>
      </c>
      <c r="D26" s="37" t="str">
        <f t="shared" si="1"/>
        <v>C00027 : Hydrogen peroxide</v>
      </c>
    </row>
    <row r="27" spans="1:4" x14ac:dyDescent="0.35">
      <c r="A27" s="1" t="s">
        <v>9238</v>
      </c>
      <c r="B27" s="1" t="s">
        <v>10189</v>
      </c>
      <c r="C27" s="38" t="str">
        <f>CONCATENATE(A27,":","1000")</f>
        <v>C00029:1000</v>
      </c>
      <c r="D27" s="37" t="str">
        <f t="shared" si="1"/>
        <v>C00029 : UDP-glucose</v>
      </c>
    </row>
    <row r="28" spans="1:4" x14ac:dyDescent="0.35">
      <c r="A28" s="1" t="s">
        <v>9246</v>
      </c>
      <c r="B28" s="1" t="s">
        <v>10190</v>
      </c>
      <c r="C28" s="38" t="str">
        <f>CONCATENATE(A28,":","1000")</f>
        <v>C00031 :1000</v>
      </c>
      <c r="D28" s="37" t="str">
        <f t="shared" si="1"/>
        <v>C00031  : D-Glucose</v>
      </c>
    </row>
    <row r="29" spans="1:4" x14ac:dyDescent="0.35">
      <c r="A29" s="1" t="s">
        <v>9348</v>
      </c>
      <c r="B29" s="1" t="s">
        <v>10191</v>
      </c>
      <c r="C29" s="38" t="str">
        <f t="shared" si="3"/>
        <v>C00033:1</v>
      </c>
      <c r="D29" s="37" t="str">
        <f t="shared" si="1"/>
        <v>C00033 : Acetate</v>
      </c>
    </row>
    <row r="30" spans="1:4" x14ac:dyDescent="0.35">
      <c r="A30" s="1" t="s">
        <v>9361</v>
      </c>
      <c r="B30" s="1" t="s">
        <v>10192</v>
      </c>
      <c r="C30" s="38" t="str">
        <f>CONCATENATE(A30,":","1000")</f>
        <v>C00035:1000</v>
      </c>
      <c r="D30" s="37" t="str">
        <f t="shared" si="1"/>
        <v>C00035 : GDP</v>
      </c>
    </row>
    <row r="31" spans="1:4" x14ac:dyDescent="0.35">
      <c r="A31" s="1" t="s">
        <v>9323</v>
      </c>
      <c r="B31" s="1" t="s">
        <v>10193</v>
      </c>
      <c r="C31" s="38" t="str">
        <f t="shared" si="3"/>
        <v>C00036:1</v>
      </c>
      <c r="D31" s="37" t="str">
        <f t="shared" si="1"/>
        <v>C00036 : Oxaloacetate</v>
      </c>
    </row>
    <row r="32" spans="1:4" x14ac:dyDescent="0.35">
      <c r="A32" s="1" t="s">
        <v>9179</v>
      </c>
      <c r="B32" s="1" t="s">
        <v>10194</v>
      </c>
      <c r="C32" s="38" t="str">
        <f>CONCATENATE(A32,":","1000")</f>
        <v>C00037:1000</v>
      </c>
      <c r="D32" s="37" t="str">
        <f t="shared" si="1"/>
        <v>C00037 : Glycine</v>
      </c>
    </row>
    <row r="33" spans="1:4" x14ac:dyDescent="0.35">
      <c r="A33" s="1" t="s">
        <v>9379</v>
      </c>
      <c r="B33" s="1" t="s">
        <v>10195</v>
      </c>
      <c r="C33" s="38" t="str">
        <f t="shared" si="3"/>
        <v>C00039:1</v>
      </c>
      <c r="D33" s="37" t="str">
        <f t="shared" si="1"/>
        <v>C00039 : DNA</v>
      </c>
    </row>
    <row r="34" spans="1:4" x14ac:dyDescent="0.35">
      <c r="A34" s="1" t="s">
        <v>9608</v>
      </c>
      <c r="B34" s="1" t="s">
        <v>10196</v>
      </c>
      <c r="C34" s="38" t="str">
        <f t="shared" si="3"/>
        <v>C00040:1</v>
      </c>
      <c r="D34" s="37" t="str">
        <f t="shared" si="1"/>
        <v>C00040 : Acyl-CoA</v>
      </c>
    </row>
    <row r="35" spans="1:4" x14ac:dyDescent="0.35">
      <c r="A35" s="1" t="s">
        <v>8683</v>
      </c>
      <c r="B35" s="1" t="s">
        <v>10197</v>
      </c>
      <c r="C35" s="38" t="str">
        <f>CONCATENATE(A35,":","1000")</f>
        <v>C00041:1000</v>
      </c>
      <c r="D35" s="37" t="str">
        <f t="shared" si="1"/>
        <v>C00041 : L-Alanine</v>
      </c>
    </row>
    <row r="36" spans="1:4" x14ac:dyDescent="0.35">
      <c r="A36" s="1" t="s">
        <v>9299</v>
      </c>
      <c r="B36" s="1" t="s">
        <v>10198</v>
      </c>
      <c r="C36" s="38" t="str">
        <f t="shared" si="3"/>
        <v>C00042:1</v>
      </c>
      <c r="D36" s="37" t="str">
        <f t="shared" si="1"/>
        <v>C00042 : Succinate</v>
      </c>
    </row>
    <row r="37" spans="1:4" x14ac:dyDescent="0.35">
      <c r="A37" s="1" t="s">
        <v>8701</v>
      </c>
      <c r="B37" s="1" t="s">
        <v>10199</v>
      </c>
      <c r="C37" s="38" t="str">
        <f t="shared" si="3"/>
        <v>C00043:1</v>
      </c>
      <c r="D37" s="37" t="str">
        <f t="shared" si="1"/>
        <v>C00043 : UDP-N-acetyl-alpha-D-glucosamine</v>
      </c>
    </row>
    <row r="38" spans="1:4" x14ac:dyDescent="0.35">
      <c r="A38" s="1" t="s">
        <v>9342</v>
      </c>
      <c r="B38" s="1" t="s">
        <v>10200</v>
      </c>
      <c r="C38" s="38" t="str">
        <f t="shared" si="3"/>
        <v>C00044:1</v>
      </c>
      <c r="D38" s="37" t="str">
        <f t="shared" si="1"/>
        <v>C00044 : GTP</v>
      </c>
    </row>
    <row r="39" spans="1:4" x14ac:dyDescent="0.35">
      <c r="A39" s="1" t="s">
        <v>9380</v>
      </c>
      <c r="B39" s="1" t="s">
        <v>10201</v>
      </c>
      <c r="C39" s="38" t="str">
        <f t="shared" si="3"/>
        <v>C00046:1</v>
      </c>
      <c r="D39" s="37" t="str">
        <f t="shared" si="1"/>
        <v>C00046 : RNA</v>
      </c>
    </row>
    <row r="40" spans="1:4" x14ac:dyDescent="0.35">
      <c r="A40" s="1" t="s">
        <v>9490</v>
      </c>
      <c r="B40" s="1" t="s">
        <v>10202</v>
      </c>
      <c r="C40" s="38" t="str">
        <f>CONCATENATE(A40,":","1000")</f>
        <v>C00047:1000</v>
      </c>
      <c r="D40" s="37" t="str">
        <f t="shared" si="1"/>
        <v>C00047 : L-Lysine</v>
      </c>
    </row>
    <row r="41" spans="1:4" x14ac:dyDescent="0.35">
      <c r="A41" s="1" t="s">
        <v>9574</v>
      </c>
      <c r="B41" s="1" t="s">
        <v>10203</v>
      </c>
      <c r="C41" s="38" t="str">
        <f t="shared" si="3"/>
        <v>C00048:1</v>
      </c>
      <c r="D41" s="37" t="str">
        <f t="shared" si="1"/>
        <v>C00048 : Glyoxylate</v>
      </c>
    </row>
    <row r="42" spans="1:4" x14ac:dyDescent="0.35">
      <c r="A42" s="1" t="s">
        <v>9307</v>
      </c>
      <c r="B42" s="1" t="s">
        <v>10204</v>
      </c>
      <c r="C42" s="38" t="str">
        <f>CONCATENATE(A42,":","1000")</f>
        <v>C00049:1000</v>
      </c>
      <c r="D42" s="37" t="str">
        <f t="shared" si="1"/>
        <v>C00049 : L-Aspartate</v>
      </c>
    </row>
    <row r="43" spans="1:4" x14ac:dyDescent="0.35">
      <c r="A43" s="1" t="s">
        <v>9142</v>
      </c>
      <c r="B43" s="1" t="s">
        <v>10205</v>
      </c>
      <c r="C43" s="38" t="str">
        <f t="shared" si="3"/>
        <v>C00051:1</v>
      </c>
      <c r="D43" s="37" t="str">
        <f t="shared" si="1"/>
        <v>C00051 : Glutathione</v>
      </c>
    </row>
    <row r="44" spans="1:4" x14ac:dyDescent="0.35">
      <c r="A44" s="1" t="s">
        <v>9665</v>
      </c>
      <c r="B44" s="1" t="s">
        <v>10206</v>
      </c>
      <c r="C44" s="38" t="str">
        <f t="shared" si="3"/>
        <v>C00052:1</v>
      </c>
      <c r="D44" s="37" t="str">
        <f t="shared" si="1"/>
        <v>C00052 : UDP-alpha-D-galactose</v>
      </c>
    </row>
    <row r="45" spans="1:4" x14ac:dyDescent="0.35">
      <c r="A45" s="1" t="s">
        <v>9668</v>
      </c>
      <c r="B45" s="1" t="s">
        <v>10207</v>
      </c>
      <c r="C45" s="38" t="str">
        <f t="shared" si="3"/>
        <v>C00054:1</v>
      </c>
      <c r="D45" s="37" t="str">
        <f t="shared" si="1"/>
        <v>C00054 : Adenosine 3',5'-bisphosphate</v>
      </c>
    </row>
    <row r="46" spans="1:4" x14ac:dyDescent="0.35">
      <c r="A46" s="1" t="s">
        <v>9352</v>
      </c>
      <c r="B46" s="1" t="s">
        <v>10208</v>
      </c>
      <c r="C46" s="38" t="str">
        <f t="shared" si="3"/>
        <v>C00055:1</v>
      </c>
      <c r="D46" s="37" t="str">
        <f t="shared" si="1"/>
        <v>C00055 : Cytidine-5'-monophosphate</v>
      </c>
    </row>
    <row r="47" spans="1:4" x14ac:dyDescent="0.35">
      <c r="A47" s="1" t="s">
        <v>9233</v>
      </c>
      <c r="B47" s="1" t="s">
        <v>10209</v>
      </c>
      <c r="C47" s="38" t="str">
        <f t="shared" si="3"/>
        <v>C00058:1</v>
      </c>
      <c r="D47" s="37" t="str">
        <f t="shared" si="1"/>
        <v>C00058 : Formate</v>
      </c>
    </row>
    <row r="48" spans="1:4" x14ac:dyDescent="0.35">
      <c r="A48" s="1" t="s">
        <v>9708</v>
      </c>
      <c r="B48" s="1" t="s">
        <v>10210</v>
      </c>
      <c r="C48" s="38" t="str">
        <f t="shared" si="3"/>
        <v>C00060:1</v>
      </c>
      <c r="D48" s="37" t="str">
        <f t="shared" si="1"/>
        <v>C00060 : Carboxylate</v>
      </c>
    </row>
    <row r="49" spans="1:4" x14ac:dyDescent="0.35">
      <c r="A49" s="1" t="s">
        <v>9376</v>
      </c>
      <c r="B49" s="1" t="s">
        <v>10211</v>
      </c>
      <c r="C49" s="38" t="str">
        <f t="shared" si="3"/>
        <v>C00061:1</v>
      </c>
      <c r="D49" s="37" t="str">
        <f t="shared" si="1"/>
        <v>C00061 : FMN</v>
      </c>
    </row>
    <row r="50" spans="1:4" x14ac:dyDescent="0.35">
      <c r="A50" s="1" t="s">
        <v>9486</v>
      </c>
      <c r="B50" s="1" t="s">
        <v>10212</v>
      </c>
      <c r="C50" s="38" t="str">
        <f>CONCATENATE(A50,":","1000")</f>
        <v>C00062:1000</v>
      </c>
      <c r="D50" s="37" t="str">
        <f t="shared" si="1"/>
        <v>C00062 : L-Arginine</v>
      </c>
    </row>
    <row r="51" spans="1:4" x14ac:dyDescent="0.35">
      <c r="A51" s="1" t="s">
        <v>9327</v>
      </c>
      <c r="B51" s="1" t="s">
        <v>10213</v>
      </c>
      <c r="C51" s="38" t="str">
        <f t="shared" si="3"/>
        <v>C00063:1</v>
      </c>
      <c r="D51" s="37" t="str">
        <f t="shared" si="1"/>
        <v>C00063 : CTP</v>
      </c>
    </row>
    <row r="52" spans="1:4" x14ac:dyDescent="0.35">
      <c r="A52" s="1" t="s">
        <v>9315</v>
      </c>
      <c r="B52" s="1" t="s">
        <v>10214</v>
      </c>
      <c r="C52" s="38" t="str">
        <f>CONCATENATE(A52,":","1000")</f>
        <v>C00064:1000</v>
      </c>
      <c r="D52" s="37" t="str">
        <f t="shared" si="1"/>
        <v>C00064 : L-Glutamine</v>
      </c>
    </row>
    <row r="53" spans="1:4" x14ac:dyDescent="0.35">
      <c r="A53" s="1" t="s">
        <v>8636</v>
      </c>
      <c r="B53" s="1" t="s">
        <v>10215</v>
      </c>
      <c r="C53" s="38" t="str">
        <f>CONCATENATE(A53,":","1000")</f>
        <v>C00065:1000</v>
      </c>
      <c r="D53" s="37" t="str">
        <f t="shared" si="1"/>
        <v>C00065 : L-Serine</v>
      </c>
    </row>
    <row r="54" spans="1:4" x14ac:dyDescent="0.35">
      <c r="A54" s="1" t="s">
        <v>9671</v>
      </c>
      <c r="B54" s="1" t="s">
        <v>75</v>
      </c>
      <c r="C54" s="38" t="str">
        <f t="shared" si="3"/>
        <v>C00066:1</v>
      </c>
      <c r="D54" s="37" t="str">
        <f t="shared" si="1"/>
        <v>C00066 : tRNA</v>
      </c>
    </row>
    <row r="55" spans="1:4" x14ac:dyDescent="0.35">
      <c r="A55" s="1" t="s">
        <v>9165</v>
      </c>
      <c r="B55" s="1" t="s">
        <v>10216</v>
      </c>
      <c r="C55" s="38" t="str">
        <f t="shared" si="3"/>
        <v>C00068:1</v>
      </c>
      <c r="D55" s="37" t="str">
        <f t="shared" si="1"/>
        <v>C00068 : Thiamin diphosphate</v>
      </c>
    </row>
    <row r="56" spans="1:4" x14ac:dyDescent="0.35">
      <c r="A56" s="1" t="s">
        <v>9512</v>
      </c>
      <c r="B56" s="1" t="s">
        <v>10217</v>
      </c>
      <c r="C56" s="38" t="str">
        <f t="shared" si="3"/>
        <v>C00071:1</v>
      </c>
      <c r="D56" s="37" t="str">
        <f t="shared" si="1"/>
        <v>C00071 : Aldehyde</v>
      </c>
    </row>
    <row r="57" spans="1:4" x14ac:dyDescent="0.35">
      <c r="A57" s="1" t="s">
        <v>9058</v>
      </c>
      <c r="B57" s="1" t="s">
        <v>10218</v>
      </c>
      <c r="C57" s="38" t="str">
        <f t="shared" si="3"/>
        <v>C00073:1</v>
      </c>
      <c r="D57" s="37" t="str">
        <f t="shared" si="1"/>
        <v>C00073 : L-Methionine</v>
      </c>
    </row>
    <row r="58" spans="1:4" x14ac:dyDescent="0.35">
      <c r="A58" s="1" t="s">
        <v>9290</v>
      </c>
      <c r="B58" s="1" t="s">
        <v>10219</v>
      </c>
      <c r="C58" s="38" t="str">
        <f t="shared" si="3"/>
        <v>C00074:1</v>
      </c>
      <c r="D58" s="37" t="str">
        <f t="shared" si="1"/>
        <v>C00074 : Phosphoenolpyruvate</v>
      </c>
    </row>
    <row r="59" spans="1:4" x14ac:dyDescent="0.35">
      <c r="A59" s="1" t="s">
        <v>9328</v>
      </c>
      <c r="B59" s="1" t="s">
        <v>10220</v>
      </c>
      <c r="C59" s="38" t="str">
        <f t="shared" si="3"/>
        <v>C00075:1</v>
      </c>
      <c r="D59" s="37" t="str">
        <f t="shared" si="1"/>
        <v>C00075 : UTP</v>
      </c>
    </row>
    <row r="60" spans="1:4" x14ac:dyDescent="0.35">
      <c r="A60" s="1" t="s">
        <v>13679</v>
      </c>
      <c r="B60" s="1" t="s">
        <v>10221</v>
      </c>
      <c r="C60" s="38" t="str">
        <f t="shared" si="3"/>
        <v>C00077:1</v>
      </c>
      <c r="D60" s="37" t="str">
        <f t="shared" si="1"/>
        <v>C00077 : L-Ornithine</v>
      </c>
    </row>
    <row r="61" spans="1:4" x14ac:dyDescent="0.35">
      <c r="A61" s="1" t="s">
        <v>9487</v>
      </c>
      <c r="B61" s="1" t="s">
        <v>10222</v>
      </c>
      <c r="C61" s="38" t="str">
        <f>CONCATENATE(A61,":","1000")</f>
        <v>C00078:1000</v>
      </c>
      <c r="D61" s="37" t="str">
        <f t="shared" si="1"/>
        <v>C00078 : L-Tryptophan</v>
      </c>
    </row>
    <row r="62" spans="1:4" x14ac:dyDescent="0.35">
      <c r="A62" s="1" t="s">
        <v>9309</v>
      </c>
      <c r="B62" s="1" t="s">
        <v>10223</v>
      </c>
      <c r="C62" s="38" t="str">
        <f t="shared" ref="C62:C63" si="5">CONCATENATE(A62,":","1000")</f>
        <v>C00079:1000</v>
      </c>
      <c r="D62" s="37" t="str">
        <f t="shared" si="1"/>
        <v>C00079 : L-Phenylalanine</v>
      </c>
    </row>
    <row r="63" spans="1:4" x14ac:dyDescent="0.35">
      <c r="A63" s="1" t="s">
        <v>9100</v>
      </c>
      <c r="B63" s="1" t="s">
        <v>10224</v>
      </c>
      <c r="C63" s="38" t="str">
        <f t="shared" si="5"/>
        <v>C00080:1000</v>
      </c>
      <c r="D63" s="37" t="str">
        <f t="shared" si="1"/>
        <v>C00080 : H+</v>
      </c>
    </row>
    <row r="64" spans="1:4" x14ac:dyDescent="0.35">
      <c r="A64" s="1" t="s">
        <v>9329</v>
      </c>
      <c r="B64" s="1" t="s">
        <v>10225</v>
      </c>
      <c r="C64" s="38" t="str">
        <f t="shared" si="3"/>
        <v>C00081:1</v>
      </c>
      <c r="D64" s="37" t="str">
        <f t="shared" si="1"/>
        <v>C00081 : ITP</v>
      </c>
    </row>
    <row r="65" spans="1:4" x14ac:dyDescent="0.35">
      <c r="A65" s="1" t="s">
        <v>9310</v>
      </c>
      <c r="B65" s="1" t="s">
        <v>10226</v>
      </c>
      <c r="C65" s="38" t="str">
        <f>CONCATENATE(A65,":","1000")</f>
        <v>C00082:1000</v>
      </c>
      <c r="D65" s="37" t="str">
        <f t="shared" si="1"/>
        <v>C00082 : L-Tyrosine</v>
      </c>
    </row>
    <row r="66" spans="1:4" x14ac:dyDescent="0.35">
      <c r="A66" s="1" t="s">
        <v>9229</v>
      </c>
      <c r="B66" s="1" t="s">
        <v>10227</v>
      </c>
      <c r="C66" s="38" t="str">
        <f t="shared" si="3"/>
        <v>C00083:1</v>
      </c>
      <c r="D66" s="37" t="str">
        <f t="shared" si="1"/>
        <v>C00083 : Malonyl-CoA</v>
      </c>
    </row>
    <row r="67" spans="1:4" x14ac:dyDescent="0.35">
      <c r="A67" s="1" t="s">
        <v>9159</v>
      </c>
      <c r="B67" s="1" t="s">
        <v>10228</v>
      </c>
      <c r="C67" s="38" t="str">
        <f t="shared" ref="C67:C130" si="6">CONCATENATE(A67,":","1")</f>
        <v>C00084:1</v>
      </c>
      <c r="D67" s="37" t="str">
        <f t="shared" ref="D67:D130" si="7">CONCATENATE(A67," : ",B67)</f>
        <v>C00084 : Acetaldehyde</v>
      </c>
    </row>
    <row r="68" spans="1:4" x14ac:dyDescent="0.35">
      <c r="A68" s="1" t="s">
        <v>8735</v>
      </c>
      <c r="B68" s="1" t="s">
        <v>10229</v>
      </c>
      <c r="C68" s="38" t="str">
        <f t="shared" si="6"/>
        <v>C00085:1</v>
      </c>
      <c r="D68" s="37" t="str">
        <f t="shared" si="7"/>
        <v>C00085 : D-Fructose 6-phosphate</v>
      </c>
    </row>
    <row r="69" spans="1:4" x14ac:dyDescent="0.35">
      <c r="A69" s="1" t="s">
        <v>9457</v>
      </c>
      <c r="B69" s="1" t="s">
        <v>10230</v>
      </c>
      <c r="C69" s="38" t="str">
        <f t="shared" si="6"/>
        <v>C00086:1</v>
      </c>
      <c r="D69" s="37" t="str">
        <f t="shared" si="7"/>
        <v>C00086 : Urea</v>
      </c>
    </row>
    <row r="70" spans="1:4" x14ac:dyDescent="0.35">
      <c r="A70" s="1" t="s">
        <v>9247</v>
      </c>
      <c r="B70" s="1" t="s">
        <v>10231</v>
      </c>
      <c r="C70" s="38" t="str">
        <f t="shared" si="6"/>
        <v>C00089:1</v>
      </c>
      <c r="D70" s="37" t="str">
        <f t="shared" si="7"/>
        <v>C00089 : Sucrose</v>
      </c>
    </row>
    <row r="71" spans="1:4" x14ac:dyDescent="0.35">
      <c r="A71" s="1" t="s">
        <v>9222</v>
      </c>
      <c r="B71" s="1" t="s">
        <v>10232</v>
      </c>
      <c r="C71" s="38" t="str">
        <f t="shared" si="6"/>
        <v>C00091:1</v>
      </c>
      <c r="D71" s="37" t="str">
        <f t="shared" si="7"/>
        <v>C00091 : Succinyl-CoA</v>
      </c>
    </row>
    <row r="72" spans="1:4" x14ac:dyDescent="0.35">
      <c r="A72" s="1" t="s">
        <v>8743</v>
      </c>
      <c r="B72" s="1" t="s">
        <v>10233</v>
      </c>
      <c r="C72" s="38" t="str">
        <f t="shared" si="6"/>
        <v>C00092:1</v>
      </c>
      <c r="D72" s="37" t="str">
        <f t="shared" si="7"/>
        <v>C00092 : D-Glucose 6-phosphate</v>
      </c>
    </row>
    <row r="73" spans="1:4" x14ac:dyDescent="0.35">
      <c r="A73" s="1" t="s">
        <v>9138</v>
      </c>
      <c r="B73" s="1" t="s">
        <v>10234</v>
      </c>
      <c r="C73" s="38" t="str">
        <f t="shared" si="6"/>
        <v>C00093:1</v>
      </c>
      <c r="D73" s="37" t="str">
        <f t="shared" si="7"/>
        <v>C00093 : sn-Glycerol 3-phosphate</v>
      </c>
    </row>
    <row r="74" spans="1:4" x14ac:dyDescent="0.35">
      <c r="A74" s="1" t="s">
        <v>9637</v>
      </c>
      <c r="B74" s="1" t="s">
        <v>10235</v>
      </c>
      <c r="C74" s="38" t="str">
        <f t="shared" si="6"/>
        <v>C00094:1</v>
      </c>
      <c r="D74" s="37" t="str">
        <f t="shared" si="7"/>
        <v>C00094 : Sulfite</v>
      </c>
    </row>
    <row r="75" spans="1:4" x14ac:dyDescent="0.35">
      <c r="A75" s="1" t="s">
        <v>9340</v>
      </c>
      <c r="B75" s="1" t="s">
        <v>10236</v>
      </c>
      <c r="C75" s="38" t="str">
        <f t="shared" si="6"/>
        <v>C00095:1</v>
      </c>
      <c r="D75" s="37" t="str">
        <f t="shared" si="7"/>
        <v>C00095 : D-Fructose</v>
      </c>
    </row>
    <row r="76" spans="1:4" x14ac:dyDescent="0.35">
      <c r="A76" s="1" t="s">
        <v>9253</v>
      </c>
      <c r="B76" s="1" t="s">
        <v>10237</v>
      </c>
      <c r="C76" s="38" t="str">
        <f t="shared" si="6"/>
        <v>C00096:1</v>
      </c>
      <c r="D76" s="37" t="str">
        <f t="shared" si="7"/>
        <v>C00096 : GDP-mannose</v>
      </c>
    </row>
    <row r="77" spans="1:4" x14ac:dyDescent="0.35">
      <c r="A77" s="1" t="s">
        <v>9192</v>
      </c>
      <c r="B77" s="1" t="s">
        <v>10238</v>
      </c>
      <c r="C77" s="38" t="str">
        <f>CONCATENATE(A77,":","1000")</f>
        <v>C00097:1000</v>
      </c>
      <c r="D77" s="37" t="str">
        <f t="shared" si="7"/>
        <v>C00097 : L-Cysteine</v>
      </c>
    </row>
    <row r="78" spans="1:4" x14ac:dyDescent="0.35">
      <c r="A78" s="1" t="s">
        <v>9234</v>
      </c>
      <c r="B78" s="1" t="s">
        <v>10239</v>
      </c>
      <c r="C78" s="38" t="str">
        <f t="shared" si="6"/>
        <v>C00100:1</v>
      </c>
      <c r="D78" s="37" t="str">
        <f t="shared" si="7"/>
        <v>C00100 : Propanoyl-CoA</v>
      </c>
    </row>
    <row r="79" spans="1:4" x14ac:dyDescent="0.35">
      <c r="A79" s="1" t="s">
        <v>9183</v>
      </c>
      <c r="B79" s="1" t="s">
        <v>10240</v>
      </c>
      <c r="C79" s="38" t="str">
        <f t="shared" si="6"/>
        <v>C00101:1</v>
      </c>
      <c r="D79" s="37" t="str">
        <f t="shared" si="7"/>
        <v>C00101 : Tetrahydrofolate</v>
      </c>
    </row>
    <row r="80" spans="1:4" x14ac:dyDescent="0.35">
      <c r="A80" s="1" t="s">
        <v>9082</v>
      </c>
      <c r="B80" s="1" t="s">
        <v>10241</v>
      </c>
      <c r="C80" s="38" t="str">
        <f t="shared" si="6"/>
        <v>C00103:1</v>
      </c>
      <c r="D80" s="37" t="str">
        <f t="shared" si="7"/>
        <v>C00103 : D-Glucose 1-phosphate</v>
      </c>
    </row>
    <row r="81" spans="1:4" x14ac:dyDescent="0.35">
      <c r="A81" s="1" t="s">
        <v>9363</v>
      </c>
      <c r="B81" s="1" t="s">
        <v>10242</v>
      </c>
      <c r="C81" s="38" t="str">
        <f t="shared" si="6"/>
        <v>C00104:1</v>
      </c>
      <c r="D81" s="37" t="str">
        <f t="shared" si="7"/>
        <v>C00104 : IDP</v>
      </c>
    </row>
    <row r="82" spans="1:4" x14ac:dyDescent="0.35">
      <c r="A82" s="1" t="s">
        <v>9285</v>
      </c>
      <c r="B82" s="1" t="s">
        <v>10243</v>
      </c>
      <c r="C82" s="38" t="str">
        <f t="shared" si="6"/>
        <v>C00105:1</v>
      </c>
      <c r="D82" s="37" t="str">
        <f t="shared" si="7"/>
        <v>C00105 : UMP</v>
      </c>
    </row>
    <row r="83" spans="1:4" x14ac:dyDescent="0.35">
      <c r="A83" s="1" t="s">
        <v>9629</v>
      </c>
      <c r="B83" s="1" t="s">
        <v>10244</v>
      </c>
      <c r="C83" s="38" t="str">
        <f t="shared" si="6"/>
        <v>C00106:1</v>
      </c>
      <c r="D83" s="37" t="str">
        <f t="shared" si="7"/>
        <v>C00106 : Uracil</v>
      </c>
    </row>
    <row r="84" spans="1:4" x14ac:dyDescent="0.35">
      <c r="A84" s="1" t="s">
        <v>9627</v>
      </c>
      <c r="B84" s="1" t="s">
        <v>10245</v>
      </c>
      <c r="C84" s="38" t="str">
        <f t="shared" si="6"/>
        <v>C00108:1</v>
      </c>
      <c r="D84" s="37" t="str">
        <f t="shared" si="7"/>
        <v>C00108 : Anthranilate</v>
      </c>
    </row>
    <row r="85" spans="1:4" x14ac:dyDescent="0.35">
      <c r="A85" s="1" t="s">
        <v>9135</v>
      </c>
      <c r="B85" s="1" t="s">
        <v>10246</v>
      </c>
      <c r="C85" s="38" t="str">
        <f t="shared" si="6"/>
        <v>C00109:1</v>
      </c>
      <c r="D85" s="37" t="str">
        <f t="shared" si="7"/>
        <v>C00109 : 2-Oxobutanoate</v>
      </c>
    </row>
    <row r="86" spans="1:4" x14ac:dyDescent="0.35">
      <c r="A86" s="1" t="s">
        <v>9254</v>
      </c>
      <c r="B86" s="1" t="s">
        <v>10247</v>
      </c>
      <c r="C86" s="38" t="str">
        <f t="shared" si="6"/>
        <v>C00110 :1</v>
      </c>
      <c r="D86" s="37" t="str">
        <f t="shared" si="7"/>
        <v>C00110  : Dolichyl phosphate</v>
      </c>
    </row>
    <row r="87" spans="1:4" x14ac:dyDescent="0.35">
      <c r="A87" s="1" t="s">
        <v>8719</v>
      </c>
      <c r="B87" s="1" t="s">
        <v>10248</v>
      </c>
      <c r="C87" s="38" t="str">
        <f t="shared" si="6"/>
        <v>C00111:1</v>
      </c>
      <c r="D87" s="37" t="str">
        <f t="shared" si="7"/>
        <v>C00111 : Glycerone phosphate</v>
      </c>
    </row>
    <row r="88" spans="1:4" x14ac:dyDescent="0.35">
      <c r="A88" s="1" t="s">
        <v>9362</v>
      </c>
      <c r="B88" s="1" t="s">
        <v>10249</v>
      </c>
      <c r="C88" s="38" t="str">
        <f t="shared" si="6"/>
        <v>C00112:1</v>
      </c>
      <c r="D88" s="37" t="str">
        <f t="shared" si="7"/>
        <v>C00112 : CDP</v>
      </c>
    </row>
    <row r="89" spans="1:4" x14ac:dyDescent="0.35">
      <c r="A89" s="1" t="s">
        <v>9096</v>
      </c>
      <c r="B89" s="1" t="s">
        <v>10250</v>
      </c>
      <c r="C89" s="38" t="str">
        <f t="shared" si="6"/>
        <v>C00114:1</v>
      </c>
      <c r="D89" s="37" t="str">
        <f t="shared" si="7"/>
        <v>C00114 : Choline</v>
      </c>
    </row>
    <row r="90" spans="1:4" x14ac:dyDescent="0.35">
      <c r="A90" s="1" t="s">
        <v>9133</v>
      </c>
      <c r="B90" s="1" t="s">
        <v>10251</v>
      </c>
      <c r="C90" s="38" t="str">
        <f t="shared" si="6"/>
        <v>C00116:1</v>
      </c>
      <c r="D90" s="37" t="str">
        <f t="shared" si="7"/>
        <v>C00116 : Glycerol</v>
      </c>
    </row>
    <row r="91" spans="1:4" x14ac:dyDescent="0.35">
      <c r="A91" s="1" t="s">
        <v>8763</v>
      </c>
      <c r="B91" s="1" t="s">
        <v>10252</v>
      </c>
      <c r="C91" s="38" t="str">
        <f t="shared" si="6"/>
        <v>C00117:1</v>
      </c>
      <c r="D91" s="37" t="str">
        <f t="shared" si="7"/>
        <v>C00117 : D-Ribose 5-phosphate</v>
      </c>
    </row>
    <row r="92" spans="1:4" x14ac:dyDescent="0.35">
      <c r="A92" s="1" t="s">
        <v>9218</v>
      </c>
      <c r="B92" s="1" t="s">
        <v>10253</v>
      </c>
      <c r="C92" s="38" t="str">
        <f t="shared" si="6"/>
        <v>C00118 :1</v>
      </c>
      <c r="D92" s="37" t="str">
        <f t="shared" si="7"/>
        <v>C00118  : D-Glyceraldehyde 3-phosphate</v>
      </c>
    </row>
    <row r="93" spans="1:4" x14ac:dyDescent="0.35">
      <c r="A93" s="1" t="s">
        <v>9282</v>
      </c>
      <c r="B93" s="1" t="s">
        <v>10254</v>
      </c>
      <c r="C93" s="38" t="str">
        <f t="shared" si="6"/>
        <v>C00119:1</v>
      </c>
      <c r="D93" s="37" t="str">
        <f t="shared" si="7"/>
        <v>C00119 : 5-Phospho-alpha-D-ribose 1-diphosphate</v>
      </c>
    </row>
    <row r="94" spans="1:4" x14ac:dyDescent="0.35">
      <c r="A94" s="1" t="s">
        <v>9504</v>
      </c>
      <c r="B94" s="1" t="s">
        <v>10255</v>
      </c>
      <c r="C94" s="38" t="str">
        <f t="shared" si="6"/>
        <v>C00120:1</v>
      </c>
      <c r="D94" s="37" t="str">
        <f t="shared" si="7"/>
        <v>C00120 : Biotin</v>
      </c>
    </row>
    <row r="95" spans="1:4" x14ac:dyDescent="0.35">
      <c r="A95" s="1" t="s">
        <v>9178</v>
      </c>
      <c r="B95" s="1" t="s">
        <v>10256</v>
      </c>
      <c r="C95" s="38" t="str">
        <f t="shared" si="6"/>
        <v>C00122 :1</v>
      </c>
      <c r="D95" s="37" t="str">
        <f t="shared" si="7"/>
        <v>C00122  : Fumarate</v>
      </c>
    </row>
    <row r="96" spans="1:4" x14ac:dyDescent="0.35">
      <c r="A96" s="1" t="s">
        <v>9316</v>
      </c>
      <c r="B96" s="1" t="s">
        <v>10257</v>
      </c>
      <c r="C96" s="38" t="str">
        <f t="shared" si="6"/>
        <v>C00123:1</v>
      </c>
      <c r="D96" s="37" t="str">
        <f t="shared" si="7"/>
        <v>C00123 : L-Leucine</v>
      </c>
    </row>
    <row r="97" spans="1:4" x14ac:dyDescent="0.35">
      <c r="A97" s="1" t="s">
        <v>8710</v>
      </c>
      <c r="B97" s="1" t="s">
        <v>10258</v>
      </c>
      <c r="C97" s="38" t="str">
        <f t="shared" si="6"/>
        <v>C00124:1</v>
      </c>
      <c r="D97" s="37" t="str">
        <f t="shared" si="7"/>
        <v>C00124 : D-Galactose</v>
      </c>
    </row>
    <row r="98" spans="1:4" x14ac:dyDescent="0.35">
      <c r="A98" s="1" t="s">
        <v>9551</v>
      </c>
      <c r="B98" s="1" t="s">
        <v>10259</v>
      </c>
      <c r="C98" s="38" t="str">
        <f t="shared" si="6"/>
        <v>C00127:1</v>
      </c>
      <c r="D98" s="37" t="str">
        <f t="shared" si="7"/>
        <v>C00127 : Glutathione disulfide</v>
      </c>
    </row>
    <row r="99" spans="1:4" x14ac:dyDescent="0.35">
      <c r="A99" s="1" t="s">
        <v>8750</v>
      </c>
      <c r="B99" s="1" t="s">
        <v>10260</v>
      </c>
      <c r="C99" s="38" t="str">
        <f t="shared" si="6"/>
        <v>C00129 :1</v>
      </c>
      <c r="D99" s="37" t="str">
        <f t="shared" si="7"/>
        <v>C00129  : Isopentenyl diphosphate</v>
      </c>
    </row>
    <row r="100" spans="1:4" x14ac:dyDescent="0.35">
      <c r="A100" s="1" t="s">
        <v>9126</v>
      </c>
      <c r="B100" s="1" t="s">
        <v>10261</v>
      </c>
      <c r="C100" s="38" t="str">
        <f t="shared" si="6"/>
        <v>C00130:1</v>
      </c>
      <c r="D100" s="37" t="str">
        <f t="shared" si="7"/>
        <v>C00130 : IMP</v>
      </c>
    </row>
    <row r="101" spans="1:4" x14ac:dyDescent="0.35">
      <c r="A101" s="1" t="s">
        <v>9155</v>
      </c>
      <c r="B101" s="1" t="s">
        <v>10262</v>
      </c>
      <c r="C101" s="38" t="str">
        <f t="shared" si="6"/>
        <v>C00131:1</v>
      </c>
      <c r="D101" s="37" t="str">
        <f t="shared" si="7"/>
        <v>C00131 : dATP</v>
      </c>
    </row>
    <row r="102" spans="1:4" x14ac:dyDescent="0.35">
      <c r="A102" s="1" t="s">
        <v>8684</v>
      </c>
      <c r="B102" s="1" t="s">
        <v>10263</v>
      </c>
      <c r="C102" s="38" t="str">
        <f t="shared" si="6"/>
        <v>C00133:1</v>
      </c>
      <c r="D102" s="37" t="str">
        <f t="shared" si="7"/>
        <v>C00133 : D-Alanine</v>
      </c>
    </row>
    <row r="103" spans="1:4" x14ac:dyDescent="0.35">
      <c r="A103" s="1" t="s">
        <v>9488</v>
      </c>
      <c r="B103" s="1" t="s">
        <v>10264</v>
      </c>
      <c r="C103" s="38" t="str">
        <f t="shared" si="6"/>
        <v>C00135:1</v>
      </c>
      <c r="D103" s="37" t="str">
        <f t="shared" si="7"/>
        <v>C00135 : L-Histidine</v>
      </c>
    </row>
    <row r="104" spans="1:4" x14ac:dyDescent="0.35">
      <c r="A104" s="1" t="s">
        <v>9557</v>
      </c>
      <c r="B104" s="1" t="s">
        <v>10265</v>
      </c>
      <c r="C104" s="38" t="str">
        <f t="shared" si="6"/>
        <v>C00136:1</v>
      </c>
      <c r="D104" s="37" t="str">
        <f t="shared" si="7"/>
        <v>C00136 : Butanoyl-CoA</v>
      </c>
    </row>
    <row r="105" spans="1:4" x14ac:dyDescent="0.35">
      <c r="A105" s="1" t="s">
        <v>9687</v>
      </c>
      <c r="B105" s="1" t="s">
        <v>10266</v>
      </c>
      <c r="C105" s="38" t="str">
        <f t="shared" si="6"/>
        <v>C00137:1</v>
      </c>
      <c r="D105" s="37" t="str">
        <f t="shared" si="7"/>
        <v>C00137 : myo-Inositol</v>
      </c>
    </row>
    <row r="106" spans="1:4" x14ac:dyDescent="0.35">
      <c r="A106" s="1" t="s">
        <v>9613</v>
      </c>
      <c r="B106" s="1" t="s">
        <v>10267</v>
      </c>
      <c r="C106" s="38" t="str">
        <f t="shared" si="6"/>
        <v>C00141:1</v>
      </c>
      <c r="D106" s="37" t="str">
        <f t="shared" si="7"/>
        <v>C00141 : 3-Methyl-2-oxobutanoic acid</v>
      </c>
    </row>
    <row r="107" spans="1:4" x14ac:dyDescent="0.35">
      <c r="A107" s="1" t="s">
        <v>9207</v>
      </c>
      <c r="B107" s="1" t="s">
        <v>10268</v>
      </c>
      <c r="C107" s="38" t="str">
        <f t="shared" si="6"/>
        <v>C00143 :1</v>
      </c>
      <c r="D107" s="37" t="str">
        <f t="shared" si="7"/>
        <v>C00143  : 5,10-Methylenetetrahydrofolate</v>
      </c>
    </row>
    <row r="108" spans="1:4" x14ac:dyDescent="0.35">
      <c r="A108" s="1" t="s">
        <v>9277</v>
      </c>
      <c r="B108" s="1" t="s">
        <v>10269</v>
      </c>
      <c r="C108" s="38" t="str">
        <f t="shared" si="6"/>
        <v>C00144:1</v>
      </c>
      <c r="D108" s="37" t="str">
        <f t="shared" si="7"/>
        <v>C00144 : GMP</v>
      </c>
    </row>
    <row r="109" spans="1:4" x14ac:dyDescent="0.35">
      <c r="A109" s="1" t="s">
        <v>9622</v>
      </c>
      <c r="B109" s="1" t="s">
        <v>10270</v>
      </c>
      <c r="C109" s="38" t="str">
        <f>CONCATENATE(A109,":","1000")</f>
        <v>C00147:1000</v>
      </c>
      <c r="D109" s="37" t="str">
        <f t="shared" si="7"/>
        <v>C00147 : Adenine</v>
      </c>
    </row>
    <row r="110" spans="1:4" x14ac:dyDescent="0.35">
      <c r="A110" s="1" t="s">
        <v>9180</v>
      </c>
      <c r="B110" s="1" t="s">
        <v>10271</v>
      </c>
      <c r="C110" s="38" t="str">
        <f>CONCATENATE(A110,":","1000")</f>
        <v>C00148:1000</v>
      </c>
      <c r="D110" s="37" t="str">
        <f t="shared" si="7"/>
        <v>C00148 : L-Proline</v>
      </c>
    </row>
    <row r="111" spans="1:4" x14ac:dyDescent="0.35">
      <c r="A111" s="1" t="s">
        <v>9450</v>
      </c>
      <c r="B111" s="1" t="s">
        <v>10272</v>
      </c>
      <c r="C111" s="38" t="str">
        <f t="shared" si="6"/>
        <v>C00152:1</v>
      </c>
      <c r="D111" s="37" t="str">
        <f t="shared" si="7"/>
        <v>C00152 : L-Asparagine</v>
      </c>
    </row>
    <row r="112" spans="1:4" x14ac:dyDescent="0.35">
      <c r="A112" s="1" t="s">
        <v>9453</v>
      </c>
      <c r="B112" s="1" t="s">
        <v>10273</v>
      </c>
      <c r="C112" s="38" t="str">
        <f t="shared" si="6"/>
        <v>C00153:1</v>
      </c>
      <c r="D112" s="37" t="str">
        <f t="shared" si="7"/>
        <v>C00153 : Nicotinamide</v>
      </c>
    </row>
    <row r="113" spans="1:4" x14ac:dyDescent="0.35">
      <c r="A113" s="1" t="s">
        <v>9398</v>
      </c>
      <c r="B113" s="1" t="s">
        <v>10274</v>
      </c>
      <c r="C113" s="38" t="str">
        <f t="shared" si="6"/>
        <v>C00154:1</v>
      </c>
      <c r="D113" s="37" t="str">
        <f t="shared" si="7"/>
        <v>C00154 : Palmitoyl-CoA</v>
      </c>
    </row>
    <row r="114" spans="1:4" x14ac:dyDescent="0.35">
      <c r="A114" s="1" t="s">
        <v>9200</v>
      </c>
      <c r="B114" s="1" t="s">
        <v>10275</v>
      </c>
      <c r="C114" s="38" t="str">
        <f t="shared" si="6"/>
        <v>C00155 :1</v>
      </c>
      <c r="D114" s="37" t="str">
        <f t="shared" si="7"/>
        <v>C00155  : L-Homocysteine</v>
      </c>
    </row>
    <row r="115" spans="1:4" x14ac:dyDescent="0.35">
      <c r="A115" s="1" t="s">
        <v>8582</v>
      </c>
      <c r="B115" s="1" t="s">
        <v>10276</v>
      </c>
      <c r="C115" s="38" t="str">
        <f t="shared" si="6"/>
        <v>C00158:1</v>
      </c>
      <c r="D115" s="37" t="str">
        <f t="shared" si="7"/>
        <v>C00158 : Citrate</v>
      </c>
    </row>
    <row r="116" spans="1:4" x14ac:dyDescent="0.35">
      <c r="A116" s="1" t="s">
        <v>9573</v>
      </c>
      <c r="B116" s="1" t="s">
        <v>10277</v>
      </c>
      <c r="C116" s="38" t="str">
        <f t="shared" si="6"/>
        <v>C00161:1</v>
      </c>
      <c r="D116" s="37" t="str">
        <f t="shared" si="7"/>
        <v>C00161 : 2-Oxo acid</v>
      </c>
    </row>
    <row r="117" spans="1:4" x14ac:dyDescent="0.35">
      <c r="A117" s="1" t="s">
        <v>9349</v>
      </c>
      <c r="B117" s="1" t="s">
        <v>10278</v>
      </c>
      <c r="C117" s="38" t="str">
        <f t="shared" si="6"/>
        <v>C00163:1</v>
      </c>
      <c r="D117" s="37" t="str">
        <f t="shared" si="7"/>
        <v>C00163 : Propanoate</v>
      </c>
    </row>
    <row r="118" spans="1:4" x14ac:dyDescent="0.35">
      <c r="A118" s="1" t="s">
        <v>9642</v>
      </c>
      <c r="B118" s="1" t="s">
        <v>10279</v>
      </c>
      <c r="C118" s="38" t="str">
        <f t="shared" si="6"/>
        <v>C00166:1</v>
      </c>
      <c r="D118" s="37" t="str">
        <f t="shared" si="7"/>
        <v>C00166 : Phenylpyruvate</v>
      </c>
    </row>
    <row r="119" spans="1:4" x14ac:dyDescent="0.35">
      <c r="A119" s="1" t="s">
        <v>9216</v>
      </c>
      <c r="B119" s="1" t="s">
        <v>10280</v>
      </c>
      <c r="C119" s="38" t="str">
        <f t="shared" si="6"/>
        <v>C00169:1</v>
      </c>
      <c r="D119" s="37" t="str">
        <f t="shared" si="7"/>
        <v>C00169 : Carbamoyl phosphate</v>
      </c>
    </row>
    <row r="120" spans="1:4" x14ac:dyDescent="0.35">
      <c r="A120" s="1" t="s">
        <v>9446</v>
      </c>
      <c r="B120" s="1" t="s">
        <v>10281</v>
      </c>
      <c r="C120" s="38" t="str">
        <f t="shared" si="6"/>
        <v>C00170:1</v>
      </c>
      <c r="D120" s="37" t="str">
        <f t="shared" si="7"/>
        <v>C00170 : 5'-Methylthioadenosine</v>
      </c>
    </row>
    <row r="121" spans="1:4" x14ac:dyDescent="0.35">
      <c r="A121" s="1" t="s">
        <v>9167</v>
      </c>
      <c r="B121" s="1" t="s">
        <v>10282</v>
      </c>
      <c r="C121" s="38" t="str">
        <f t="shared" si="6"/>
        <v>C00173:1</v>
      </c>
      <c r="D121" s="37" t="str">
        <f t="shared" si="7"/>
        <v>C00173 : Acyl-[acyl-carrier protein]</v>
      </c>
    </row>
    <row r="122" spans="1:4" x14ac:dyDescent="0.35">
      <c r="A122" s="1" t="s">
        <v>9628</v>
      </c>
      <c r="B122" s="1" t="s">
        <v>10283</v>
      </c>
      <c r="C122" s="38" t="str">
        <f t="shared" si="6"/>
        <v>C00178:1</v>
      </c>
      <c r="D122" s="37" t="str">
        <f t="shared" si="7"/>
        <v>C00178 : Thymine</v>
      </c>
    </row>
    <row r="123" spans="1:4" x14ac:dyDescent="0.35">
      <c r="A123" s="1" t="s">
        <v>9715</v>
      </c>
      <c r="B123" s="1" t="s">
        <v>10284</v>
      </c>
      <c r="C123" s="38" t="str">
        <f t="shared" si="6"/>
        <v>C00180:1</v>
      </c>
      <c r="D123" s="37" t="str">
        <f t="shared" si="7"/>
        <v>C00180 : Benzoate</v>
      </c>
    </row>
    <row r="124" spans="1:4" x14ac:dyDescent="0.35">
      <c r="A124" s="1" t="s">
        <v>9317</v>
      </c>
      <c r="B124" s="1" t="s">
        <v>10285</v>
      </c>
      <c r="C124" s="38" t="str">
        <f>CONCATENATE(A124,":","1000")</f>
        <v>C00183:1000</v>
      </c>
      <c r="D124" s="37" t="str">
        <f t="shared" si="7"/>
        <v>C00183 : L-Valine</v>
      </c>
    </row>
    <row r="125" spans="1:4" x14ac:dyDescent="0.35">
      <c r="A125" s="1" t="s">
        <v>9548</v>
      </c>
      <c r="B125" s="1" t="s">
        <v>10286</v>
      </c>
      <c r="C125" s="38" t="str">
        <f t="shared" si="6"/>
        <v>C00184:1</v>
      </c>
      <c r="D125" s="37" t="str">
        <f t="shared" si="7"/>
        <v>C00184 : Glycerone</v>
      </c>
    </row>
    <row r="126" spans="1:4" x14ac:dyDescent="0.35">
      <c r="A126" s="1" t="s">
        <v>9130</v>
      </c>
      <c r="B126" s="1" t="s">
        <v>10287</v>
      </c>
      <c r="C126" s="38" t="str">
        <f t="shared" si="6"/>
        <v>C00186:1</v>
      </c>
      <c r="D126" s="37" t="str">
        <f t="shared" si="7"/>
        <v>C00186 : (S)-Lactate</v>
      </c>
    </row>
    <row r="127" spans="1:4" x14ac:dyDescent="0.35">
      <c r="A127" s="1" t="s">
        <v>9489</v>
      </c>
      <c r="B127" s="1" t="s">
        <v>10288</v>
      </c>
      <c r="C127" s="38" t="str">
        <f t="shared" si="6"/>
        <v>C00188:1</v>
      </c>
      <c r="D127" s="37" t="str">
        <f t="shared" si="7"/>
        <v>C00188 : L-Threonine</v>
      </c>
    </row>
    <row r="128" spans="1:4" x14ac:dyDescent="0.35">
      <c r="A128" s="1" t="s">
        <v>9251</v>
      </c>
      <c r="B128" s="1" t="s">
        <v>10289</v>
      </c>
      <c r="C128" s="38" t="str">
        <f t="shared" si="6"/>
        <v>C00195:1</v>
      </c>
      <c r="D128" s="37" t="str">
        <f t="shared" si="7"/>
        <v>C00195 : N-Acylsphingosine</v>
      </c>
    </row>
    <row r="129" spans="1:4" x14ac:dyDescent="0.35">
      <c r="A129" s="1" t="s">
        <v>9139</v>
      </c>
      <c r="B129" s="1" t="s">
        <v>10290</v>
      </c>
      <c r="C129" s="38" t="str">
        <f t="shared" si="6"/>
        <v>C00197:1</v>
      </c>
      <c r="D129" s="37" t="str">
        <f t="shared" si="7"/>
        <v>C00197 : 3-Phospho-D-glycerate</v>
      </c>
    </row>
    <row r="130" spans="1:4" x14ac:dyDescent="0.35">
      <c r="A130" s="1" t="s">
        <v>8691</v>
      </c>
      <c r="B130" s="1" t="s">
        <v>10291</v>
      </c>
      <c r="C130" s="38" t="str">
        <f t="shared" si="6"/>
        <v>C00199:1</v>
      </c>
      <c r="D130" s="37" t="str">
        <f t="shared" si="7"/>
        <v>C00199 : D-Ribulose 5-phosphate</v>
      </c>
    </row>
    <row r="131" spans="1:4" x14ac:dyDescent="0.35">
      <c r="A131" s="1" t="s">
        <v>9343</v>
      </c>
      <c r="B131" s="1" t="s">
        <v>10292</v>
      </c>
      <c r="C131" s="38" t="str">
        <f t="shared" ref="C131:C194" si="8">CONCATENATE(A131,":","1")</f>
        <v>C00201:1</v>
      </c>
      <c r="D131" s="37" t="str">
        <f t="shared" ref="D131:D194" si="9">CONCATENATE(A131," : ",B131)</f>
        <v>C00201 : Nucleoside triphosphate</v>
      </c>
    </row>
    <row r="132" spans="1:4" x14ac:dyDescent="0.35">
      <c r="A132" s="1" t="s">
        <v>8702</v>
      </c>
      <c r="B132" s="1" t="s">
        <v>10293</v>
      </c>
      <c r="C132" s="38" t="str">
        <f t="shared" si="8"/>
        <v>C00203:1</v>
      </c>
      <c r="D132" s="37" t="str">
        <f t="shared" si="9"/>
        <v>C00203 : UDP-N-acetyl-D-galactosamine</v>
      </c>
    </row>
    <row r="133" spans="1:4" x14ac:dyDescent="0.35">
      <c r="A133" s="1" t="s">
        <v>9147</v>
      </c>
      <c r="B133" s="1" t="s">
        <v>10294</v>
      </c>
      <c r="C133" s="38" t="str">
        <f t="shared" si="8"/>
        <v>C00206:1</v>
      </c>
      <c r="D133" s="37" t="str">
        <f t="shared" si="9"/>
        <v>C00206 : dADP</v>
      </c>
    </row>
    <row r="134" spans="1:4" x14ac:dyDescent="0.35">
      <c r="A134" s="1" t="s">
        <v>8186</v>
      </c>
      <c r="B134" s="1" t="s">
        <v>10295</v>
      </c>
      <c r="C134" s="38" t="str">
        <f t="shared" si="8"/>
        <v>C00208:1</v>
      </c>
      <c r="D134" s="37" t="str">
        <f t="shared" si="9"/>
        <v>C00208 : Maltose</v>
      </c>
    </row>
    <row r="135" spans="1:4" x14ac:dyDescent="0.35">
      <c r="A135" s="1" t="s">
        <v>9256</v>
      </c>
      <c r="B135" s="1" t="s">
        <v>10296</v>
      </c>
      <c r="C135" s="38" t="str">
        <f t="shared" si="8"/>
        <v>C00212:1</v>
      </c>
      <c r="D135" s="37" t="str">
        <f t="shared" si="9"/>
        <v>C00212 : Adenosine</v>
      </c>
    </row>
    <row r="136" spans="1:4" x14ac:dyDescent="0.35">
      <c r="A136" s="1" t="s">
        <v>9271</v>
      </c>
      <c r="B136" s="1" t="s">
        <v>10297</v>
      </c>
      <c r="C136" s="38" t="str">
        <f t="shared" si="8"/>
        <v>C00214:1</v>
      </c>
      <c r="D136" s="37" t="str">
        <f t="shared" si="9"/>
        <v>C00214 : Thymidine</v>
      </c>
    </row>
    <row r="137" spans="1:4" x14ac:dyDescent="0.35">
      <c r="A137" s="1" t="s">
        <v>8688</v>
      </c>
      <c r="B137" s="1" t="s">
        <v>10298</v>
      </c>
      <c r="C137" s="38" t="str">
        <f t="shared" si="8"/>
        <v>C00217:1</v>
      </c>
      <c r="D137" s="37" t="str">
        <f t="shared" si="9"/>
        <v>C00217 : D-Glutamate</v>
      </c>
    </row>
    <row r="138" spans="1:4" x14ac:dyDescent="0.35">
      <c r="A138" s="1" t="s">
        <v>9686</v>
      </c>
      <c r="B138" s="1" t="s">
        <v>10299</v>
      </c>
      <c r="C138" s="38" t="str">
        <f t="shared" si="8"/>
        <v>C00219:1</v>
      </c>
      <c r="D138" s="37" t="str">
        <f t="shared" si="9"/>
        <v>C00219 : Arachidonate</v>
      </c>
    </row>
    <row r="139" spans="1:4" x14ac:dyDescent="0.35">
      <c r="A139" s="1" t="s">
        <v>8708</v>
      </c>
      <c r="B139" s="1" t="s">
        <v>10300</v>
      </c>
      <c r="C139" s="38" t="str">
        <f t="shared" si="8"/>
        <v>C00221:1</v>
      </c>
      <c r="D139" s="37" t="str">
        <f t="shared" si="9"/>
        <v>C00221 : beta-D-Glucose</v>
      </c>
    </row>
    <row r="140" spans="1:4" x14ac:dyDescent="0.35">
      <c r="A140" s="1" t="s">
        <v>9084</v>
      </c>
      <c r="B140" s="1" t="s">
        <v>10301</v>
      </c>
      <c r="C140" s="38" t="str">
        <f t="shared" si="8"/>
        <v>C00226:1</v>
      </c>
      <c r="D140" s="37" t="str">
        <f t="shared" si="9"/>
        <v>C00226 : Primary alcohol</v>
      </c>
    </row>
    <row r="141" spans="1:4" x14ac:dyDescent="0.35">
      <c r="A141" s="1" t="s">
        <v>9472</v>
      </c>
      <c r="B141" s="1" t="s">
        <v>10302</v>
      </c>
      <c r="C141" s="38" t="str">
        <f t="shared" si="8"/>
        <v>C00227:1</v>
      </c>
      <c r="D141" s="37" t="str">
        <f t="shared" si="9"/>
        <v>C00227 : Acetyl phosphate</v>
      </c>
    </row>
    <row r="142" spans="1:4" x14ac:dyDescent="0.35">
      <c r="A142" s="1" t="s">
        <v>9605</v>
      </c>
      <c r="B142" s="1" t="s">
        <v>10303</v>
      </c>
      <c r="C142" s="38" t="str">
        <f t="shared" si="8"/>
        <v>C00229:1</v>
      </c>
      <c r="D142" s="37" t="str">
        <f t="shared" si="9"/>
        <v>C00229 : Acyl-carrier protein</v>
      </c>
    </row>
    <row r="143" spans="1:4" x14ac:dyDescent="0.35">
      <c r="A143" s="1" t="s">
        <v>8692</v>
      </c>
      <c r="B143" s="1" t="s">
        <v>10304</v>
      </c>
      <c r="C143" s="38" t="str">
        <f t="shared" si="8"/>
        <v>C00231:1</v>
      </c>
      <c r="D143" s="37" t="str">
        <f t="shared" si="9"/>
        <v>C00231 : D-Xylulose 5-phosphate</v>
      </c>
    </row>
    <row r="144" spans="1:4" x14ac:dyDescent="0.35">
      <c r="A144" s="1" t="s">
        <v>9134</v>
      </c>
      <c r="B144" s="1" t="s">
        <v>10305</v>
      </c>
      <c r="C144" s="38" t="str">
        <f t="shared" si="8"/>
        <v>C00233:1</v>
      </c>
      <c r="D144" s="37" t="str">
        <f t="shared" si="9"/>
        <v>C00233 : 4-Methyl-2-oxopentanoate</v>
      </c>
    </row>
    <row r="145" spans="1:4" x14ac:dyDescent="0.35">
      <c r="A145" s="1" t="s">
        <v>9212</v>
      </c>
      <c r="B145" s="1" t="s">
        <v>10306</v>
      </c>
      <c r="C145" s="38" t="str">
        <f t="shared" si="8"/>
        <v>C00234:1</v>
      </c>
      <c r="D145" s="37" t="str">
        <f t="shared" si="9"/>
        <v>C00234 : 10-Formyltetrahydrofolate</v>
      </c>
    </row>
    <row r="146" spans="1:4" x14ac:dyDescent="0.35">
      <c r="A146" s="1" t="s">
        <v>8751</v>
      </c>
      <c r="B146" s="1" t="s">
        <v>10307</v>
      </c>
      <c r="C146" s="38" t="str">
        <f t="shared" si="8"/>
        <v>C00235:1</v>
      </c>
      <c r="D146" s="37" t="str">
        <f t="shared" si="9"/>
        <v>C00235 : Dimethylallyl diphosphate</v>
      </c>
    </row>
    <row r="147" spans="1:4" x14ac:dyDescent="0.35">
      <c r="A147" s="1" t="s">
        <v>9474</v>
      </c>
      <c r="B147" s="1" t="s">
        <v>10308</v>
      </c>
      <c r="C147" s="38" t="str">
        <f t="shared" si="8"/>
        <v>C00236:1</v>
      </c>
      <c r="D147" s="37" t="str">
        <f t="shared" si="9"/>
        <v>C00236 : 3-Phospho-D-glyceroyl phosphate</v>
      </c>
    </row>
    <row r="148" spans="1:4" x14ac:dyDescent="0.35">
      <c r="A148" s="1" t="s">
        <v>9353</v>
      </c>
      <c r="B148" s="1" t="s">
        <v>10309</v>
      </c>
      <c r="C148" s="38" t="str">
        <f t="shared" si="8"/>
        <v>C00239:1</v>
      </c>
      <c r="D148" s="37" t="str">
        <f t="shared" si="9"/>
        <v>C00239 : dCMP</v>
      </c>
    </row>
    <row r="149" spans="1:4" x14ac:dyDescent="0.35">
      <c r="A149" s="1" t="s">
        <v>9205</v>
      </c>
      <c r="B149" s="1" t="s">
        <v>72</v>
      </c>
      <c r="C149" s="38" t="str">
        <f t="shared" si="8"/>
        <v>C00240 :1</v>
      </c>
      <c r="D149" s="37" t="str">
        <f t="shared" si="9"/>
        <v>C00240  : rRNA</v>
      </c>
    </row>
    <row r="150" spans="1:4" x14ac:dyDescent="0.35">
      <c r="A150" s="1" t="s">
        <v>9451</v>
      </c>
      <c r="B150" s="1" t="s">
        <v>10310</v>
      </c>
      <c r="C150" s="38" t="str">
        <f t="shared" si="8"/>
        <v>C00241:1</v>
      </c>
      <c r="D150" s="37" t="str">
        <f t="shared" si="9"/>
        <v>C00241 : Amide</v>
      </c>
    </row>
    <row r="151" spans="1:4" x14ac:dyDescent="0.35">
      <c r="A151" s="1" t="s">
        <v>9624</v>
      </c>
      <c r="B151" s="1" t="s">
        <v>10311</v>
      </c>
      <c r="C151" s="38" t="str">
        <f t="shared" si="8"/>
        <v>C00242:1</v>
      </c>
      <c r="D151" s="37" t="str">
        <f t="shared" si="9"/>
        <v>C00242 : Guanine</v>
      </c>
    </row>
    <row r="152" spans="1:4" x14ac:dyDescent="0.35">
      <c r="A152" s="1" t="s">
        <v>9422</v>
      </c>
      <c r="B152" s="1" t="s">
        <v>10312</v>
      </c>
      <c r="C152" s="38" t="str">
        <f t="shared" si="8"/>
        <v>C00243:1</v>
      </c>
      <c r="D152" s="37" t="str">
        <f t="shared" si="9"/>
        <v>C00243 : Lactose</v>
      </c>
    </row>
    <row r="153" spans="1:4" x14ac:dyDescent="0.35">
      <c r="A153" s="1" t="s">
        <v>9539</v>
      </c>
      <c r="B153" s="1" t="s">
        <v>10313</v>
      </c>
      <c r="C153" s="38" t="str">
        <f t="shared" si="8"/>
        <v>C00247:1</v>
      </c>
      <c r="D153" s="37" t="str">
        <f t="shared" si="9"/>
        <v>C00247 : L-Sorbose</v>
      </c>
    </row>
    <row r="154" spans="1:4" x14ac:dyDescent="0.35">
      <c r="A154" s="1" t="s">
        <v>9583</v>
      </c>
      <c r="B154" s="1" t="s">
        <v>10314</v>
      </c>
      <c r="C154" s="38" t="str">
        <f t="shared" si="8"/>
        <v>C00248:1</v>
      </c>
      <c r="D154" s="37" t="str">
        <f t="shared" si="9"/>
        <v>C00248 : Lipoamide</v>
      </c>
    </row>
    <row r="155" spans="1:4" x14ac:dyDescent="0.35">
      <c r="A155" s="1" t="s">
        <v>9673</v>
      </c>
      <c r="B155" s="1" t="s">
        <v>10315</v>
      </c>
      <c r="C155" s="38" t="str">
        <f t="shared" si="8"/>
        <v>C00249:1</v>
      </c>
      <c r="D155" s="37" t="str">
        <f t="shared" si="9"/>
        <v>C00249 : Hexadecanoic acid</v>
      </c>
    </row>
    <row r="156" spans="1:4" x14ac:dyDescent="0.35">
      <c r="A156" s="1" t="s">
        <v>9337</v>
      </c>
      <c r="B156" s="1" t="s">
        <v>10316</v>
      </c>
      <c r="C156" s="38" t="str">
        <f t="shared" si="8"/>
        <v>C00250:1</v>
      </c>
      <c r="D156" s="37" t="str">
        <f t="shared" si="9"/>
        <v>C00250 : Pyridoxal</v>
      </c>
    </row>
    <row r="157" spans="1:4" x14ac:dyDescent="0.35">
      <c r="A157" s="1" t="s">
        <v>8776</v>
      </c>
      <c r="B157" s="1" t="s">
        <v>10317</v>
      </c>
      <c r="C157" s="38" t="str">
        <f t="shared" si="8"/>
        <v>C00251:1</v>
      </c>
      <c r="D157" s="37" t="str">
        <f t="shared" si="9"/>
        <v>C00251 : Chorismate</v>
      </c>
    </row>
    <row r="158" spans="1:4" x14ac:dyDescent="0.35">
      <c r="A158" s="1" t="s">
        <v>9626</v>
      </c>
      <c r="B158" s="1" t="s">
        <v>10318</v>
      </c>
      <c r="C158" s="38" t="str">
        <f t="shared" si="8"/>
        <v>C00253:1</v>
      </c>
      <c r="D158" s="37" t="str">
        <f t="shared" si="9"/>
        <v>C00253 : Nicotinate</v>
      </c>
    </row>
    <row r="159" spans="1:4" x14ac:dyDescent="0.35">
      <c r="A159" s="1" t="s">
        <v>8777</v>
      </c>
      <c r="B159" s="1" t="s">
        <v>10319</v>
      </c>
      <c r="C159" s="38" t="str">
        <f t="shared" si="8"/>
        <v>C00254:1</v>
      </c>
      <c r="D159" s="37" t="str">
        <f t="shared" si="9"/>
        <v>C00254 : Prephenate</v>
      </c>
    </row>
    <row r="160" spans="1:4" x14ac:dyDescent="0.35">
      <c r="A160" s="1" t="s">
        <v>9333</v>
      </c>
      <c r="B160" s="1" t="s">
        <v>10320</v>
      </c>
      <c r="C160" s="38" t="str">
        <f t="shared" si="8"/>
        <v>C00258:1</v>
      </c>
      <c r="D160" s="37" t="str">
        <f t="shared" si="9"/>
        <v>C00258 : D-Glycerate</v>
      </c>
    </row>
    <row r="161" spans="1:4" x14ac:dyDescent="0.35">
      <c r="A161" s="1" t="s">
        <v>9623</v>
      </c>
      <c r="B161" s="1" t="s">
        <v>10321</v>
      </c>
      <c r="C161" s="38" t="str">
        <f t="shared" si="8"/>
        <v>C00262:1</v>
      </c>
      <c r="D161" s="37" t="str">
        <f t="shared" si="9"/>
        <v>C00262 : Hypoxanthine</v>
      </c>
    </row>
    <row r="162" spans="1:4" x14ac:dyDescent="0.35">
      <c r="A162" s="1" t="s">
        <v>9131</v>
      </c>
      <c r="B162" s="1" t="s">
        <v>10322</v>
      </c>
      <c r="C162" s="38" t="str">
        <f t="shared" si="8"/>
        <v>C00263:1</v>
      </c>
      <c r="D162" s="37" t="str">
        <f t="shared" si="9"/>
        <v>C00263 : L-Homoserine</v>
      </c>
    </row>
    <row r="163" spans="1:4" x14ac:dyDescent="0.35">
      <c r="A163" s="1" t="s">
        <v>9719</v>
      </c>
      <c r="B163" s="1" t="s">
        <v>10323</v>
      </c>
      <c r="C163" s="38" t="str">
        <f t="shared" si="8"/>
        <v>C00266:1</v>
      </c>
      <c r="D163" s="37" t="str">
        <f t="shared" si="9"/>
        <v>C00266 : Glycolaldehyde</v>
      </c>
    </row>
    <row r="164" spans="1:4" x14ac:dyDescent="0.35">
      <c r="A164" s="1" t="s">
        <v>8707</v>
      </c>
      <c r="B164" s="1" t="s">
        <v>10324</v>
      </c>
      <c r="C164" s="38" t="str">
        <f t="shared" si="8"/>
        <v>C00267 :1</v>
      </c>
      <c r="D164" s="37" t="str">
        <f t="shared" si="9"/>
        <v>C00267  : alpha-D-Glucose</v>
      </c>
    </row>
    <row r="165" spans="1:4" x14ac:dyDescent="0.35">
      <c r="A165" s="1" t="s">
        <v>9384</v>
      </c>
      <c r="B165" s="1" t="s">
        <v>10325</v>
      </c>
      <c r="C165" s="38" t="str">
        <f t="shared" si="8"/>
        <v>C00269:1</v>
      </c>
      <c r="D165" s="37" t="str">
        <f t="shared" si="9"/>
        <v>C00269 : CDP-diacylglycerol</v>
      </c>
    </row>
    <row r="166" spans="1:4" x14ac:dyDescent="0.35">
      <c r="A166" s="1" t="s">
        <v>9185</v>
      </c>
      <c r="B166" s="1" t="s">
        <v>10326</v>
      </c>
      <c r="C166" s="38" t="str">
        <f t="shared" si="8"/>
        <v>C00272:1</v>
      </c>
      <c r="D166" s="37" t="str">
        <f t="shared" si="9"/>
        <v>C00272 : Tetrahydrobiopterin</v>
      </c>
    </row>
    <row r="167" spans="1:4" x14ac:dyDescent="0.35">
      <c r="A167" s="1" t="s">
        <v>8737</v>
      </c>
      <c r="B167" s="1" t="s">
        <v>10327</v>
      </c>
      <c r="C167" s="38" t="str">
        <f t="shared" si="8"/>
        <v>C00275 :1</v>
      </c>
      <c r="D167" s="37" t="str">
        <f t="shared" si="9"/>
        <v>C00275  : D-Mannose 6-phosphate</v>
      </c>
    </row>
    <row r="168" spans="1:4" x14ac:dyDescent="0.35">
      <c r="A168" s="1" t="s">
        <v>9303</v>
      </c>
      <c r="B168" s="1" t="s">
        <v>10328</v>
      </c>
      <c r="C168" s="38" t="str">
        <f t="shared" si="8"/>
        <v>C00279:1</v>
      </c>
      <c r="D168" s="37" t="str">
        <f t="shared" si="9"/>
        <v>C00279 : D-Erythrose 4-phosphate</v>
      </c>
    </row>
    <row r="169" spans="1:4" x14ac:dyDescent="0.35">
      <c r="A169" s="1" t="s">
        <v>9294</v>
      </c>
      <c r="B169" s="1" t="s">
        <v>10329</v>
      </c>
      <c r="C169" s="38" t="str">
        <f t="shared" si="8"/>
        <v>C00283:1</v>
      </c>
      <c r="D169" s="37" t="str">
        <f t="shared" si="9"/>
        <v>C00283 : Hydrogen sulfide</v>
      </c>
    </row>
    <row r="170" spans="1:4" x14ac:dyDescent="0.35">
      <c r="A170" s="1" t="s">
        <v>9156</v>
      </c>
      <c r="B170" s="1" t="s">
        <v>10330</v>
      </c>
      <c r="C170" s="38" t="str">
        <f t="shared" si="8"/>
        <v>C00286:1</v>
      </c>
      <c r="D170" s="37" t="str">
        <f t="shared" si="9"/>
        <v>C00286 : dGTP</v>
      </c>
    </row>
    <row r="171" spans="1:4" x14ac:dyDescent="0.35">
      <c r="A171" s="1" t="s">
        <v>9476</v>
      </c>
      <c r="B171" s="1" t="s">
        <v>10331</v>
      </c>
      <c r="C171" s="38" t="str">
        <f t="shared" si="8"/>
        <v>C00288:1</v>
      </c>
      <c r="D171" s="37" t="str">
        <f t="shared" si="9"/>
        <v>C00288 : HCO3-</v>
      </c>
    </row>
    <row r="172" spans="1:4" x14ac:dyDescent="0.35">
      <c r="A172" s="1" t="s">
        <v>9257</v>
      </c>
      <c r="B172" s="1" t="s">
        <v>10332</v>
      </c>
      <c r="C172" s="38" t="str">
        <f t="shared" si="8"/>
        <v>C00294:1</v>
      </c>
      <c r="D172" s="37" t="str">
        <f t="shared" si="9"/>
        <v>C00294 : Inosine</v>
      </c>
    </row>
    <row r="173" spans="1:4" x14ac:dyDescent="0.35">
      <c r="A173" s="1" t="s">
        <v>9572</v>
      </c>
      <c r="B173" s="1" t="s">
        <v>10333</v>
      </c>
      <c r="C173" s="38" t="str">
        <f t="shared" si="8"/>
        <v>C00295:1</v>
      </c>
      <c r="D173" s="37" t="str">
        <f t="shared" si="9"/>
        <v>C00295 : Orotic acid</v>
      </c>
    </row>
    <row r="174" spans="1:4" x14ac:dyDescent="0.35">
      <c r="A174" s="1" t="s">
        <v>9272</v>
      </c>
      <c r="B174" s="1" t="s">
        <v>10334</v>
      </c>
      <c r="C174" s="38" t="str">
        <f t="shared" si="8"/>
        <v>C00299:1</v>
      </c>
      <c r="D174" s="37" t="str">
        <f t="shared" si="9"/>
        <v>C00299 : Uridine</v>
      </c>
    </row>
    <row r="175" spans="1:4" x14ac:dyDescent="0.35">
      <c r="A175" s="1" t="s">
        <v>9464</v>
      </c>
      <c r="B175" s="1" t="s">
        <v>10335</v>
      </c>
      <c r="C175" s="38" t="str">
        <f t="shared" si="8"/>
        <v>C00301:1</v>
      </c>
      <c r="D175" s="37" t="str">
        <f t="shared" si="9"/>
        <v>C00301 : ADP-ribose</v>
      </c>
    </row>
    <row r="176" spans="1:4" x14ac:dyDescent="0.35">
      <c r="A176" s="1" t="s">
        <v>9644</v>
      </c>
      <c r="B176" s="1" t="s">
        <v>10336</v>
      </c>
      <c r="C176" s="38" t="str">
        <f t="shared" si="8"/>
        <v>C00302:1</v>
      </c>
      <c r="D176" s="37" t="str">
        <f t="shared" si="9"/>
        <v>C00302 : Glutamate</v>
      </c>
    </row>
    <row r="177" spans="1:4" x14ac:dyDescent="0.35">
      <c r="A177" s="1" t="s">
        <v>8583</v>
      </c>
      <c r="B177" s="1" t="s">
        <v>10337</v>
      </c>
      <c r="C177" s="38" t="str">
        <f t="shared" si="8"/>
        <v>C00311:1</v>
      </c>
      <c r="D177" s="37" t="str">
        <f t="shared" si="9"/>
        <v>C00311 : Isocitrate</v>
      </c>
    </row>
    <row r="178" spans="1:4" x14ac:dyDescent="0.35">
      <c r="A178" s="1" t="s">
        <v>9338</v>
      </c>
      <c r="B178" s="1" t="s">
        <v>10338</v>
      </c>
      <c r="C178" s="38" t="str">
        <f t="shared" si="8"/>
        <v>C00314:1</v>
      </c>
      <c r="D178" s="37" t="str">
        <f t="shared" si="9"/>
        <v>C00314 : Pyridoxine</v>
      </c>
    </row>
    <row r="179" spans="1:4" x14ac:dyDescent="0.35">
      <c r="A179" s="1" t="s">
        <v>9295</v>
      </c>
      <c r="B179" s="1" t="s">
        <v>10339</v>
      </c>
      <c r="C179" s="38" t="str">
        <f t="shared" si="8"/>
        <v>C00320:1</v>
      </c>
      <c r="D179" s="37" t="str">
        <f t="shared" si="9"/>
        <v>C00320 : Thiosulfate</v>
      </c>
    </row>
    <row r="180" spans="1:4" x14ac:dyDescent="0.35">
      <c r="A180" s="1" t="s">
        <v>9201</v>
      </c>
      <c r="B180" s="1" t="s">
        <v>10340</v>
      </c>
      <c r="C180" s="38" t="str">
        <f t="shared" si="8"/>
        <v>C00323 :1</v>
      </c>
      <c r="D180" s="37" t="str">
        <f t="shared" si="9"/>
        <v>C00323  : Caffeoyl-CoA</v>
      </c>
    </row>
    <row r="181" spans="1:4" x14ac:dyDescent="0.35">
      <c r="A181" s="1" t="s">
        <v>9507</v>
      </c>
      <c r="B181" s="1" t="s">
        <v>10341</v>
      </c>
      <c r="C181" s="38" t="str">
        <f t="shared" si="8"/>
        <v>C00327:1</v>
      </c>
      <c r="D181" s="37" t="str">
        <f t="shared" si="9"/>
        <v>C00327 : L-Citrulline</v>
      </c>
    </row>
    <row r="182" spans="1:4" x14ac:dyDescent="0.35">
      <c r="A182" s="1" t="s">
        <v>9261</v>
      </c>
      <c r="B182" s="1" t="s">
        <v>10342</v>
      </c>
      <c r="C182" s="38" t="str">
        <f t="shared" si="8"/>
        <v>C00330:1</v>
      </c>
      <c r="D182" s="37" t="str">
        <f t="shared" si="9"/>
        <v>C00330 : Deoxyguanosine</v>
      </c>
    </row>
    <row r="183" spans="1:4" x14ac:dyDescent="0.35">
      <c r="A183" s="1" t="s">
        <v>9612</v>
      </c>
      <c r="B183" s="1" t="s">
        <v>10343</v>
      </c>
      <c r="C183" s="38" t="str">
        <f t="shared" si="8"/>
        <v>C00332:1</v>
      </c>
      <c r="D183" s="37" t="str">
        <f t="shared" si="9"/>
        <v>C00332 : Acetoacetyl-CoA</v>
      </c>
    </row>
    <row r="184" spans="1:4" x14ac:dyDescent="0.35">
      <c r="A184" s="1" t="s">
        <v>9177</v>
      </c>
      <c r="B184" s="1" t="s">
        <v>10344</v>
      </c>
      <c r="C184" s="38" t="str">
        <f t="shared" si="8"/>
        <v>C00337:1</v>
      </c>
      <c r="D184" s="37" t="str">
        <f t="shared" si="9"/>
        <v>C00337 : (S)-Dihydroorotate</v>
      </c>
    </row>
    <row r="185" spans="1:4" x14ac:dyDescent="0.35">
      <c r="A185" s="1" t="s">
        <v>9286</v>
      </c>
      <c r="B185" s="1" t="s">
        <v>10345</v>
      </c>
      <c r="C185" s="38" t="str">
        <f t="shared" si="8"/>
        <v>C00341:1</v>
      </c>
      <c r="D185" s="37" t="str">
        <f t="shared" si="9"/>
        <v>C00341 : Geranyl diphosphate</v>
      </c>
    </row>
    <row r="186" spans="1:4" x14ac:dyDescent="0.35">
      <c r="A186" s="1" t="s">
        <v>9191</v>
      </c>
      <c r="B186" s="1" t="s">
        <v>10346</v>
      </c>
      <c r="C186" s="38" t="str">
        <f t="shared" si="8"/>
        <v>C00342:1</v>
      </c>
      <c r="D186" s="37" t="str">
        <f t="shared" si="9"/>
        <v>C00342 : Thioredoxin</v>
      </c>
    </row>
    <row r="187" spans="1:4" x14ac:dyDescent="0.35">
      <c r="A187" s="1" t="s">
        <v>9146</v>
      </c>
      <c r="B187" s="1" t="s">
        <v>10347</v>
      </c>
      <c r="C187" s="38" t="str">
        <f t="shared" si="8"/>
        <v>C00343:1</v>
      </c>
      <c r="D187" s="37" t="str">
        <f t="shared" si="9"/>
        <v>C00343 : Thioredoxin disulfide</v>
      </c>
    </row>
    <row r="188" spans="1:4" x14ac:dyDescent="0.35">
      <c r="A188" s="1" t="s">
        <v>9688</v>
      </c>
      <c r="B188" s="1" t="s">
        <v>10348</v>
      </c>
      <c r="C188" s="38" t="str">
        <f t="shared" si="8"/>
        <v>C00344:1</v>
      </c>
      <c r="D188" s="37" t="str">
        <f t="shared" si="9"/>
        <v>C00344 : Phosphatidylglycerol</v>
      </c>
    </row>
    <row r="189" spans="1:4" x14ac:dyDescent="0.35">
      <c r="A189" s="1" t="s">
        <v>8755</v>
      </c>
      <c r="B189" s="1" t="s">
        <v>10349</v>
      </c>
      <c r="C189" s="38" t="str">
        <f t="shared" si="8"/>
        <v>C00352:1</v>
      </c>
      <c r="D189" s="37" t="str">
        <f t="shared" si="9"/>
        <v>C00352 : D-Glucosamine 6-phosphate</v>
      </c>
    </row>
    <row r="190" spans="1:4" x14ac:dyDescent="0.35">
      <c r="A190" s="1" t="s">
        <v>8458</v>
      </c>
      <c r="B190" s="1" t="s">
        <v>10350</v>
      </c>
      <c r="C190" s="38" t="str">
        <f t="shared" si="8"/>
        <v>C00354:1</v>
      </c>
      <c r="D190" s="37" t="str">
        <f t="shared" si="9"/>
        <v>C00354 : D-Fructose 1,6-bisphosphate</v>
      </c>
    </row>
    <row r="191" spans="1:4" x14ac:dyDescent="0.35">
      <c r="A191" s="1" t="s">
        <v>9235</v>
      </c>
      <c r="B191" s="1" t="s">
        <v>10351</v>
      </c>
      <c r="C191" s="38" t="str">
        <f t="shared" si="8"/>
        <v>C00356:1</v>
      </c>
      <c r="D191" s="37" t="str">
        <f t="shared" si="9"/>
        <v>C00356 : (S)-3-Hydroxy-3-methylglutaryl-CoA</v>
      </c>
    </row>
    <row r="192" spans="1:4" x14ac:dyDescent="0.35">
      <c r="A192" s="1" t="s">
        <v>9454</v>
      </c>
      <c r="B192" s="1" t="s">
        <v>10352</v>
      </c>
      <c r="C192" s="38" t="str">
        <f t="shared" si="8"/>
        <v>C00357:1</v>
      </c>
      <c r="D192" s="37" t="str">
        <f t="shared" si="9"/>
        <v>C00357 : N-Acetyl-D-glucosamine 6-phosphate</v>
      </c>
    </row>
    <row r="193" spans="1:4" x14ac:dyDescent="0.35">
      <c r="A193" s="1" t="s">
        <v>9357</v>
      </c>
      <c r="B193" s="1" t="s">
        <v>10353</v>
      </c>
      <c r="C193" s="38" t="str">
        <f t="shared" si="8"/>
        <v>C00360:1</v>
      </c>
      <c r="D193" s="37" t="str">
        <f t="shared" si="9"/>
        <v>C00360 : dAMP</v>
      </c>
    </row>
    <row r="194" spans="1:4" x14ac:dyDescent="0.35">
      <c r="A194" s="1" t="s">
        <v>9149</v>
      </c>
      <c r="B194" s="1" t="s">
        <v>10354</v>
      </c>
      <c r="C194" s="38" t="str">
        <f t="shared" si="8"/>
        <v>C00361:1</v>
      </c>
      <c r="D194" s="37" t="str">
        <f t="shared" si="9"/>
        <v>C00361 : dGDP</v>
      </c>
    </row>
    <row r="195" spans="1:4" x14ac:dyDescent="0.35">
      <c r="A195" s="1" t="s">
        <v>9369</v>
      </c>
      <c r="B195" s="1" t="s">
        <v>10355</v>
      </c>
      <c r="C195" s="38" t="str">
        <f t="shared" ref="C195:C258" si="10">CONCATENATE(A195,":","1")</f>
        <v>C00362:1</v>
      </c>
      <c r="D195" s="37" t="str">
        <f t="shared" ref="D195:D258" si="11">CONCATENATE(A195," : ",B195)</f>
        <v>C00362 : dGMP</v>
      </c>
    </row>
    <row r="196" spans="1:4" x14ac:dyDescent="0.35">
      <c r="A196" s="1" t="s">
        <v>9364</v>
      </c>
      <c r="B196" s="1" t="s">
        <v>10356</v>
      </c>
      <c r="C196" s="38" t="str">
        <f t="shared" si="10"/>
        <v>C00363:1</v>
      </c>
      <c r="D196" s="37" t="str">
        <f t="shared" si="11"/>
        <v>C00363 : dTDP</v>
      </c>
    </row>
    <row r="197" spans="1:4" x14ac:dyDescent="0.35">
      <c r="A197" s="1" t="s">
        <v>9371</v>
      </c>
      <c r="B197" s="1" t="s">
        <v>10357</v>
      </c>
      <c r="C197" s="38" t="str">
        <f t="shared" si="10"/>
        <v>C00364:1</v>
      </c>
      <c r="D197" s="37" t="str">
        <f t="shared" si="11"/>
        <v>C00364 : dTMP</v>
      </c>
    </row>
    <row r="198" spans="1:4" x14ac:dyDescent="0.35">
      <c r="A198" s="1" t="s">
        <v>9206</v>
      </c>
      <c r="B198" s="1" t="s">
        <v>10358</v>
      </c>
      <c r="C198" s="38" t="str">
        <f t="shared" si="10"/>
        <v>C00365:1</v>
      </c>
      <c r="D198" s="37" t="str">
        <f t="shared" si="11"/>
        <v>C00365 : dUMP</v>
      </c>
    </row>
    <row r="199" spans="1:4" x14ac:dyDescent="0.35">
      <c r="A199" s="1" t="s">
        <v>7344</v>
      </c>
      <c r="B199" s="1" t="s">
        <v>10359</v>
      </c>
      <c r="C199" s="38" t="str">
        <f t="shared" si="10"/>
        <v>C00369:1</v>
      </c>
      <c r="D199" s="37" t="str">
        <f t="shared" si="11"/>
        <v>C00369 : Starch</v>
      </c>
    </row>
    <row r="200" spans="1:4" x14ac:dyDescent="0.35">
      <c r="A200" s="1" t="s">
        <v>9248</v>
      </c>
      <c r="B200" s="1" t="s">
        <v>10360</v>
      </c>
      <c r="C200" s="38" t="str">
        <f t="shared" si="10"/>
        <v>C00372:1</v>
      </c>
      <c r="D200" s="37" t="str">
        <f t="shared" si="11"/>
        <v>C00372 : Dextran</v>
      </c>
    </row>
    <row r="201" spans="1:4" x14ac:dyDescent="0.35">
      <c r="A201" s="1" t="s">
        <v>9513</v>
      </c>
      <c r="B201" s="1" t="s">
        <v>10361</v>
      </c>
      <c r="C201" s="38" t="str">
        <f t="shared" si="10"/>
        <v>C00376:1</v>
      </c>
      <c r="D201" s="37" t="str">
        <f t="shared" si="11"/>
        <v>C00376 : Retinal</v>
      </c>
    </row>
    <row r="202" spans="1:4" x14ac:dyDescent="0.35">
      <c r="A202" s="1" t="s">
        <v>9372</v>
      </c>
      <c r="B202" s="1" t="s">
        <v>10362</v>
      </c>
      <c r="C202" s="38" t="str">
        <f t="shared" si="10"/>
        <v>C00378:1</v>
      </c>
      <c r="D202" s="37" t="str">
        <f t="shared" si="11"/>
        <v>C00378 : Thiamine</v>
      </c>
    </row>
    <row r="203" spans="1:4" x14ac:dyDescent="0.35">
      <c r="A203" s="1" t="s">
        <v>9630</v>
      </c>
      <c r="B203" s="1" t="s">
        <v>10363</v>
      </c>
      <c r="C203" s="38" t="str">
        <f t="shared" si="10"/>
        <v>C00380:1</v>
      </c>
      <c r="D203" s="37" t="str">
        <f t="shared" si="11"/>
        <v>C00380 : Cytosine</v>
      </c>
    </row>
    <row r="204" spans="1:4" x14ac:dyDescent="0.35">
      <c r="A204" s="1" t="s">
        <v>9625</v>
      </c>
      <c r="B204" s="1" t="s">
        <v>10364</v>
      </c>
      <c r="C204" s="38" t="str">
        <f t="shared" si="10"/>
        <v>C00385:1</v>
      </c>
      <c r="D204" s="37" t="str">
        <f t="shared" si="11"/>
        <v>C00385 : Xanthine</v>
      </c>
    </row>
    <row r="205" spans="1:4" x14ac:dyDescent="0.35">
      <c r="A205" s="1" t="s">
        <v>9258</v>
      </c>
      <c r="B205" s="1" t="s">
        <v>10365</v>
      </c>
      <c r="C205" s="38" t="str">
        <f t="shared" si="10"/>
        <v>C00387:1</v>
      </c>
      <c r="D205" s="37" t="str">
        <f t="shared" si="11"/>
        <v>C00387 : Guanosine</v>
      </c>
    </row>
    <row r="206" spans="1:4" x14ac:dyDescent="0.35">
      <c r="A206" s="1" t="s">
        <v>9631</v>
      </c>
      <c r="B206" s="1" t="s">
        <v>10366</v>
      </c>
      <c r="C206" s="38" t="str">
        <f t="shared" si="10"/>
        <v>C00396:1</v>
      </c>
      <c r="D206" s="37" t="str">
        <f t="shared" si="11"/>
        <v>C00396 : Pyrimidine</v>
      </c>
    </row>
    <row r="207" spans="1:4" x14ac:dyDescent="0.35">
      <c r="A207" s="1" t="s">
        <v>9590</v>
      </c>
      <c r="B207" s="1" t="s">
        <v>10367</v>
      </c>
      <c r="C207" s="38" t="str">
        <f t="shared" si="10"/>
        <v>C00406:1</v>
      </c>
      <c r="D207" s="37" t="str">
        <f t="shared" si="11"/>
        <v>C00406 : Feruloyl-CoA</v>
      </c>
    </row>
    <row r="208" spans="1:4" x14ac:dyDescent="0.35">
      <c r="A208" s="1" t="s">
        <v>9318</v>
      </c>
      <c r="B208" s="1" t="s">
        <v>10368</v>
      </c>
      <c r="C208" s="38" t="str">
        <f t="shared" si="10"/>
        <v>C00407:1</v>
      </c>
      <c r="D208" s="37" t="str">
        <f t="shared" si="11"/>
        <v>C00407 : L-Isoleucine</v>
      </c>
    </row>
    <row r="209" spans="1:4" x14ac:dyDescent="0.35">
      <c r="A209" s="1" t="s">
        <v>9302</v>
      </c>
      <c r="B209" s="1" t="s">
        <v>10369</v>
      </c>
      <c r="C209" s="38" t="str">
        <f t="shared" si="10"/>
        <v>C00409:1</v>
      </c>
      <c r="D209" s="37" t="str">
        <f t="shared" si="11"/>
        <v>C00409 : Methanethiol</v>
      </c>
    </row>
    <row r="210" spans="1:4" x14ac:dyDescent="0.35">
      <c r="A210" s="1" t="s">
        <v>9591</v>
      </c>
      <c r="B210" s="1" t="s">
        <v>10370</v>
      </c>
      <c r="C210" s="38" t="str">
        <f t="shared" si="10"/>
        <v>C00411:1</v>
      </c>
      <c r="D210" s="37" t="str">
        <f t="shared" si="11"/>
        <v>C00411 : Sinapoyl-CoA</v>
      </c>
    </row>
    <row r="211" spans="1:4" x14ac:dyDescent="0.35">
      <c r="A211" s="1" t="s">
        <v>9399</v>
      </c>
      <c r="B211" s="1" t="s">
        <v>10371</v>
      </c>
      <c r="C211" s="38" t="str">
        <f t="shared" si="10"/>
        <v>C00412:1</v>
      </c>
      <c r="D211" s="37" t="str">
        <f t="shared" si="11"/>
        <v>C00412 : Stearoyl-CoA</v>
      </c>
    </row>
    <row r="212" spans="1:4" x14ac:dyDescent="0.35">
      <c r="A212" s="1" t="s">
        <v>9184</v>
      </c>
      <c r="B212" s="1" t="s">
        <v>10372</v>
      </c>
      <c r="C212" s="38" t="str">
        <f t="shared" si="10"/>
        <v>C00415:1</v>
      </c>
      <c r="D212" s="37" t="str">
        <f t="shared" si="11"/>
        <v>C00415 : Dihydrofolate</v>
      </c>
    </row>
    <row r="213" spans="1:4" x14ac:dyDescent="0.35">
      <c r="A213" s="1" t="s">
        <v>9230</v>
      </c>
      <c r="B213" s="1" t="s">
        <v>10373</v>
      </c>
      <c r="C213" s="38" t="str">
        <f t="shared" si="10"/>
        <v>C00416:1</v>
      </c>
      <c r="D213" s="37" t="str">
        <f t="shared" si="11"/>
        <v>C00416 : Phosphatidate</v>
      </c>
    </row>
    <row r="214" spans="1:4" x14ac:dyDescent="0.35">
      <c r="A214" s="1" t="s">
        <v>9737</v>
      </c>
      <c r="B214" s="1" t="s">
        <v>10374</v>
      </c>
      <c r="C214" s="38" t="str">
        <f t="shared" si="10"/>
        <v>C00417:1</v>
      </c>
      <c r="D214" s="37" t="str">
        <f t="shared" si="11"/>
        <v>C00417 : cis-Aconitate</v>
      </c>
    </row>
    <row r="215" spans="1:4" x14ac:dyDescent="0.35">
      <c r="A215" s="1" t="s">
        <v>9103</v>
      </c>
      <c r="B215" s="1" t="s">
        <v>10375</v>
      </c>
      <c r="C215" s="38" t="str">
        <f t="shared" si="10"/>
        <v>C00418:1</v>
      </c>
      <c r="D215" s="37" t="str">
        <f t="shared" si="11"/>
        <v>C00418 : (R)-Mevalonate</v>
      </c>
    </row>
    <row r="216" spans="1:4" x14ac:dyDescent="0.35">
      <c r="A216" s="1" t="s">
        <v>9314</v>
      </c>
      <c r="B216" s="1" t="s">
        <v>10376</v>
      </c>
      <c r="C216" s="38" t="str">
        <f t="shared" si="10"/>
        <v>C00437:1</v>
      </c>
      <c r="D216" s="37" t="str">
        <f t="shared" si="11"/>
        <v>C00437 : N-Acetylornithine</v>
      </c>
    </row>
    <row r="217" spans="1:4" x14ac:dyDescent="0.35">
      <c r="A217" s="1" t="s">
        <v>8326</v>
      </c>
      <c r="B217" s="1" t="s">
        <v>10377</v>
      </c>
      <c r="C217" s="38" t="str">
        <f t="shared" si="10"/>
        <v>C00438:1</v>
      </c>
      <c r="D217" s="37" t="str">
        <f t="shared" si="11"/>
        <v>C00438 : N-Carbamoyl-L-aspartate</v>
      </c>
    </row>
    <row r="218" spans="1:4" x14ac:dyDescent="0.35">
      <c r="A218" s="1" t="s">
        <v>9182</v>
      </c>
      <c r="B218" s="1" t="s">
        <v>10378</v>
      </c>
      <c r="C218" s="38" t="str">
        <f t="shared" si="10"/>
        <v>C00440:1</v>
      </c>
      <c r="D218" s="37" t="str">
        <f t="shared" si="11"/>
        <v>C00440 : 5-Methyltetrahydrofolate</v>
      </c>
    </row>
    <row r="219" spans="1:4" x14ac:dyDescent="0.35">
      <c r="A219" s="1" t="s">
        <v>9161</v>
      </c>
      <c r="B219" s="1" t="s">
        <v>10379</v>
      </c>
      <c r="C219" s="38" t="str">
        <f t="shared" si="10"/>
        <v>C00441:1</v>
      </c>
      <c r="D219" s="37" t="str">
        <f t="shared" si="11"/>
        <v>C00441 : L-Aspartate 4-semialdehyde</v>
      </c>
    </row>
    <row r="220" spans="1:4" x14ac:dyDescent="0.35">
      <c r="A220" s="1" t="s">
        <v>9214</v>
      </c>
      <c r="B220" s="1" t="s">
        <v>10380</v>
      </c>
      <c r="C220" s="38" t="str">
        <f t="shared" si="10"/>
        <v>C00445:1</v>
      </c>
      <c r="D220" s="37" t="str">
        <f t="shared" si="11"/>
        <v>C00445 : 5,10-Methenyltetrahydrofolate</v>
      </c>
    </row>
    <row r="221" spans="1:4" x14ac:dyDescent="0.35">
      <c r="A221" s="1" t="s">
        <v>9375</v>
      </c>
      <c r="B221" s="1" t="s">
        <v>10381</v>
      </c>
      <c r="C221" s="38" t="str">
        <f t="shared" si="10"/>
        <v>C00446:1</v>
      </c>
      <c r="D221" s="37" t="str">
        <f t="shared" si="11"/>
        <v>C00446 : alpha-D-Galactose 1-phosphate</v>
      </c>
    </row>
    <row r="222" spans="1:4" x14ac:dyDescent="0.35">
      <c r="A222" s="1" t="s">
        <v>8462</v>
      </c>
      <c r="B222" s="1" t="s">
        <v>10382</v>
      </c>
      <c r="C222" s="38" t="str">
        <f t="shared" si="10"/>
        <v>C00447:1</v>
      </c>
      <c r="D222" s="37" t="str">
        <f t="shared" si="11"/>
        <v>C00447 : Sedoheptulose 1,7-bisphosphate</v>
      </c>
    </row>
    <row r="223" spans="1:4" x14ac:dyDescent="0.35">
      <c r="A223" s="1" t="s">
        <v>9292</v>
      </c>
      <c r="B223" s="1" t="s">
        <v>10383</v>
      </c>
      <c r="C223" s="38" t="str">
        <f t="shared" si="10"/>
        <v>C00448:1</v>
      </c>
      <c r="D223" s="37" t="str">
        <f t="shared" si="11"/>
        <v>C00448 : trans,trans-Farnesyl diphosphate</v>
      </c>
    </row>
    <row r="224" spans="1:4" x14ac:dyDescent="0.35">
      <c r="A224" s="1" t="s">
        <v>9358</v>
      </c>
      <c r="B224" s="1" t="s">
        <v>10384</v>
      </c>
      <c r="C224" s="38" t="str">
        <f t="shared" si="10"/>
        <v>C00454:1</v>
      </c>
      <c r="D224" s="37" t="str">
        <f t="shared" si="11"/>
        <v>C00454 : NDP</v>
      </c>
    </row>
    <row r="225" spans="1:4" x14ac:dyDescent="0.35">
      <c r="A225" s="1" t="s">
        <v>9373</v>
      </c>
      <c r="B225" s="1" t="s">
        <v>10385</v>
      </c>
      <c r="C225" s="38" t="str">
        <f t="shared" si="10"/>
        <v>C00455:1</v>
      </c>
      <c r="D225" s="37" t="str">
        <f t="shared" si="11"/>
        <v>C00455 : Nicotinamide D-ribonucleotide</v>
      </c>
    </row>
    <row r="226" spans="1:4" x14ac:dyDescent="0.35">
      <c r="A226" s="1" t="s">
        <v>9157</v>
      </c>
      <c r="B226" s="1" t="s">
        <v>10386</v>
      </c>
      <c r="C226" s="38" t="str">
        <f t="shared" si="10"/>
        <v>C00458:1</v>
      </c>
      <c r="D226" s="37" t="str">
        <f t="shared" si="11"/>
        <v>C00458 : dCTP</v>
      </c>
    </row>
    <row r="227" spans="1:4" x14ac:dyDescent="0.35">
      <c r="A227" s="1" t="s">
        <v>9377</v>
      </c>
      <c r="B227" s="1" t="s">
        <v>10387</v>
      </c>
      <c r="C227" s="38" t="str">
        <f t="shared" si="10"/>
        <v>C00459:1</v>
      </c>
      <c r="D227" s="37" t="str">
        <f t="shared" si="11"/>
        <v>C00459 : dTTP</v>
      </c>
    </row>
    <row r="228" spans="1:4" x14ac:dyDescent="0.35">
      <c r="A228" s="1" t="s">
        <v>9158</v>
      </c>
      <c r="B228" s="1" t="s">
        <v>10388</v>
      </c>
      <c r="C228" s="38" t="str">
        <f t="shared" si="10"/>
        <v>C00460:1</v>
      </c>
      <c r="D228" s="37" t="str">
        <f t="shared" si="11"/>
        <v>C00460 : dUTP</v>
      </c>
    </row>
    <row r="229" spans="1:4" x14ac:dyDescent="0.35">
      <c r="A229" s="1" t="s">
        <v>9736</v>
      </c>
      <c r="B229" s="1" t="s">
        <v>10389</v>
      </c>
      <c r="C229" s="38" t="str">
        <f t="shared" si="10"/>
        <v>C00463:1</v>
      </c>
      <c r="D229" s="37" t="str">
        <f t="shared" si="11"/>
        <v>C00463 : Indole</v>
      </c>
    </row>
    <row r="230" spans="1:4" x14ac:dyDescent="0.35">
      <c r="A230" s="1" t="s">
        <v>9086</v>
      </c>
      <c r="B230" s="1" t="s">
        <v>10390</v>
      </c>
      <c r="C230" s="38" t="str">
        <f t="shared" si="10"/>
        <v>C00469:1</v>
      </c>
      <c r="D230" s="37" t="str">
        <f t="shared" si="11"/>
        <v>C00469 : Ethanol</v>
      </c>
    </row>
    <row r="231" spans="1:4" x14ac:dyDescent="0.35">
      <c r="A231" s="1" t="s">
        <v>9087</v>
      </c>
      <c r="B231" s="1" t="s">
        <v>10391</v>
      </c>
      <c r="C231" s="38" t="str">
        <f t="shared" si="10"/>
        <v>C00473:1</v>
      </c>
      <c r="D231" s="37" t="str">
        <f t="shared" si="11"/>
        <v>C00473 : Retinol</v>
      </c>
    </row>
    <row r="232" spans="1:4" x14ac:dyDescent="0.35">
      <c r="A232" s="1" t="s">
        <v>9273</v>
      </c>
      <c r="B232" s="1" t="s">
        <v>10392</v>
      </c>
      <c r="C232" s="38" t="str">
        <f t="shared" si="10"/>
        <v>C00475:1</v>
      </c>
      <c r="D232" s="37" t="str">
        <f t="shared" si="11"/>
        <v>C00475 : Cytidine</v>
      </c>
    </row>
    <row r="233" spans="1:4" x14ac:dyDescent="0.35">
      <c r="A233" s="1" t="s">
        <v>9433</v>
      </c>
      <c r="B233" s="1" t="s">
        <v>10393</v>
      </c>
      <c r="C233" s="38" t="str">
        <f t="shared" si="10"/>
        <v>C00492:1</v>
      </c>
      <c r="D233" s="37" t="str">
        <f t="shared" si="11"/>
        <v>C00492 : Raffinose</v>
      </c>
    </row>
    <row r="234" spans="1:4" x14ac:dyDescent="0.35">
      <c r="A234" s="1" t="s">
        <v>9128</v>
      </c>
      <c r="B234" s="1" t="s">
        <v>10394</v>
      </c>
      <c r="C234" s="38" t="str">
        <f t="shared" si="10"/>
        <v>C00493:1</v>
      </c>
      <c r="D234" s="37" t="str">
        <f t="shared" si="11"/>
        <v>C00493 : Shikimate</v>
      </c>
    </row>
    <row r="235" spans="1:4" x14ac:dyDescent="0.35">
      <c r="A235" s="1" t="s">
        <v>9241</v>
      </c>
      <c r="B235" s="1" t="s">
        <v>10395</v>
      </c>
      <c r="C235" s="38" t="str">
        <f t="shared" si="10"/>
        <v>C00498:1</v>
      </c>
      <c r="D235" s="37" t="str">
        <f t="shared" si="11"/>
        <v>C00498 : ADP-glucose</v>
      </c>
    </row>
    <row r="236" spans="1:4" x14ac:dyDescent="0.35">
      <c r="A236" s="1" t="s">
        <v>9577</v>
      </c>
      <c r="B236" s="1" t="s">
        <v>10396</v>
      </c>
      <c r="C236" s="38" t="str">
        <f t="shared" si="10"/>
        <v>C00504:1</v>
      </c>
      <c r="D236" s="37" t="str">
        <f t="shared" si="11"/>
        <v>C00504 : Folate</v>
      </c>
    </row>
    <row r="237" spans="1:4" x14ac:dyDescent="0.35">
      <c r="A237" s="1" t="s">
        <v>9311</v>
      </c>
      <c r="B237" s="1" t="s">
        <v>10397</v>
      </c>
      <c r="C237" s="38" t="str">
        <f t="shared" si="10"/>
        <v>C00506:1</v>
      </c>
      <c r="D237" s="37" t="str">
        <f t="shared" si="11"/>
        <v>C00506 : L-Cysteate</v>
      </c>
    </row>
    <row r="238" spans="1:4" x14ac:dyDescent="0.35">
      <c r="A238" s="1" t="s">
        <v>9401</v>
      </c>
      <c r="B238" s="1" t="s">
        <v>10398</v>
      </c>
      <c r="C238" s="38" t="str">
        <f t="shared" si="10"/>
        <v>C00510:1</v>
      </c>
      <c r="D238" s="37" t="str">
        <f t="shared" si="11"/>
        <v>C00510 : Oleoyl-CoA</v>
      </c>
    </row>
    <row r="239" spans="1:4" x14ac:dyDescent="0.35">
      <c r="A239" s="1" t="s">
        <v>9274</v>
      </c>
      <c r="B239" s="1" t="s">
        <v>10399</v>
      </c>
      <c r="C239" s="38" t="str">
        <f t="shared" si="10"/>
        <v>C00526:1</v>
      </c>
      <c r="D239" s="37" t="str">
        <f t="shared" si="11"/>
        <v>C00526 : Deoxyuridine</v>
      </c>
    </row>
    <row r="240" spans="1:4" x14ac:dyDescent="0.35">
      <c r="A240" s="1" t="s">
        <v>9703</v>
      </c>
      <c r="B240" s="1" t="s">
        <v>10400</v>
      </c>
      <c r="C240" s="38" t="str">
        <f t="shared" si="10"/>
        <v>C00530:1</v>
      </c>
      <c r="D240" s="37" t="str">
        <f t="shared" si="11"/>
        <v>C00530 : Hydroquinone</v>
      </c>
    </row>
    <row r="241" spans="1:4" x14ac:dyDescent="0.35">
      <c r="A241" s="1" t="s">
        <v>9339</v>
      </c>
      <c r="B241" s="1" t="s">
        <v>10401</v>
      </c>
      <c r="C241" s="38" t="str">
        <f t="shared" si="10"/>
        <v>C00534:1</v>
      </c>
      <c r="D241" s="37" t="str">
        <f t="shared" si="11"/>
        <v>C00534 : Pyridoxamine</v>
      </c>
    </row>
    <row r="242" spans="1:4" x14ac:dyDescent="0.35">
      <c r="A242" s="1" t="s">
        <v>9741</v>
      </c>
      <c r="B242" s="1" t="s">
        <v>10402</v>
      </c>
      <c r="C242" s="38" t="str">
        <f t="shared" si="10"/>
        <v>C00536:1</v>
      </c>
      <c r="D242" s="37" t="str">
        <f t="shared" si="11"/>
        <v>C00536 : Triphosphate</v>
      </c>
    </row>
    <row r="243" spans="1:4" x14ac:dyDescent="0.35">
      <c r="A243" s="1" t="s">
        <v>9298</v>
      </c>
      <c r="B243" s="1" t="s">
        <v>10403</v>
      </c>
      <c r="C243" s="38" t="str">
        <f t="shared" si="10"/>
        <v>C00542:1</v>
      </c>
      <c r="D243" s="37" t="str">
        <f t="shared" si="11"/>
        <v>C00542 : Cystathionine</v>
      </c>
    </row>
    <row r="244" spans="1:4" x14ac:dyDescent="0.35">
      <c r="A244" s="1" t="s">
        <v>9743</v>
      </c>
      <c r="B244" s="1" t="s">
        <v>10404</v>
      </c>
      <c r="C244" s="38" t="str">
        <f t="shared" si="10"/>
        <v>C00546:1</v>
      </c>
      <c r="D244" s="37" t="str">
        <f t="shared" si="11"/>
        <v>C00546 : Methylglyoxal</v>
      </c>
    </row>
    <row r="245" spans="1:4" x14ac:dyDescent="0.35">
      <c r="A245" s="1" t="s">
        <v>9262</v>
      </c>
      <c r="B245" s="1" t="s">
        <v>10405</v>
      </c>
      <c r="C245" s="38" t="str">
        <f t="shared" si="10"/>
        <v>C00559:1</v>
      </c>
      <c r="D245" s="37" t="str">
        <f t="shared" si="11"/>
        <v>C00559 : Deoxyadenosine</v>
      </c>
    </row>
    <row r="246" spans="1:4" x14ac:dyDescent="0.35">
      <c r="A246" s="1" t="s">
        <v>9410</v>
      </c>
      <c r="B246" s="1" t="s">
        <v>10406</v>
      </c>
      <c r="C246" s="38" t="str">
        <f t="shared" si="10"/>
        <v>C00562:1</v>
      </c>
      <c r="D246" s="37" t="str">
        <f t="shared" si="11"/>
        <v>C00562 : Phosphoprotein</v>
      </c>
    </row>
    <row r="247" spans="1:4" x14ac:dyDescent="0.35">
      <c r="A247" s="1" t="s">
        <v>9288</v>
      </c>
      <c r="B247" s="1" t="s">
        <v>10407</v>
      </c>
      <c r="C247" s="38" t="str">
        <f t="shared" si="10"/>
        <v>C00568:1</v>
      </c>
      <c r="D247" s="37" t="str">
        <f t="shared" si="11"/>
        <v>C00568 : 4-Aminobenzoate</v>
      </c>
    </row>
    <row r="248" spans="1:4" x14ac:dyDescent="0.35">
      <c r="A248" s="1" t="s">
        <v>9522</v>
      </c>
      <c r="B248" s="1" t="s">
        <v>10408</v>
      </c>
      <c r="C248" s="38" t="str">
        <f t="shared" si="10"/>
        <v>C00576:1</v>
      </c>
      <c r="D248" s="37" t="str">
        <f t="shared" si="11"/>
        <v>C00576 : Betaine aldehyde</v>
      </c>
    </row>
    <row r="249" spans="1:4" x14ac:dyDescent="0.35">
      <c r="A249" s="1" t="s">
        <v>9718</v>
      </c>
      <c r="B249" s="1" t="s">
        <v>10409</v>
      </c>
      <c r="C249" s="38" t="str">
        <f t="shared" si="10"/>
        <v>C00577:1</v>
      </c>
      <c r="D249" s="37" t="str">
        <f t="shared" si="11"/>
        <v>C00577 : D-Glyceraldehyde</v>
      </c>
    </row>
    <row r="250" spans="1:4" x14ac:dyDescent="0.35">
      <c r="A250" s="1" t="s">
        <v>9190</v>
      </c>
      <c r="B250" s="1" t="s">
        <v>10410</v>
      </c>
      <c r="C250" s="38" t="str">
        <f t="shared" si="10"/>
        <v>C00579:1</v>
      </c>
      <c r="D250" s="37" t="str">
        <f t="shared" si="11"/>
        <v>C00579 : Dihydrolipoamide</v>
      </c>
    </row>
    <row r="251" spans="1:4" x14ac:dyDescent="0.35">
      <c r="A251" s="1" t="s">
        <v>9345</v>
      </c>
      <c r="B251" s="1" t="s">
        <v>10411</v>
      </c>
      <c r="C251" s="38" t="str">
        <f t="shared" si="10"/>
        <v>C00585:1</v>
      </c>
      <c r="D251" s="37" t="str">
        <f t="shared" si="11"/>
        <v>C00585 : Protein tyrosine</v>
      </c>
    </row>
    <row r="252" spans="1:4" x14ac:dyDescent="0.35">
      <c r="A252" s="1" t="s">
        <v>9231</v>
      </c>
      <c r="B252" s="1" t="s">
        <v>10412</v>
      </c>
      <c r="C252" s="38" t="str">
        <f t="shared" si="10"/>
        <v>C00605:1</v>
      </c>
      <c r="D252" s="37" t="str">
        <f t="shared" si="11"/>
        <v>C00605 : 2,3-Dehydroacyl-CoA</v>
      </c>
    </row>
    <row r="253" spans="1:4" x14ac:dyDescent="0.35">
      <c r="A253" s="1" t="s">
        <v>9312</v>
      </c>
      <c r="B253" s="1" t="s">
        <v>10413</v>
      </c>
      <c r="C253" s="38" t="str">
        <f t="shared" si="10"/>
        <v>C00606:1</v>
      </c>
      <c r="D253" s="37" t="str">
        <f t="shared" si="11"/>
        <v>C00606 : 3-Sulfino-L-alanine</v>
      </c>
    </row>
    <row r="254" spans="1:4" x14ac:dyDescent="0.35">
      <c r="A254" s="1" t="s">
        <v>9351</v>
      </c>
      <c r="B254" s="1" t="s">
        <v>10414</v>
      </c>
      <c r="C254" s="38" t="str">
        <f t="shared" si="10"/>
        <v>C00615:1</v>
      </c>
      <c r="D254" s="37" t="str">
        <f t="shared" si="11"/>
        <v>C00615 : Protein histidine</v>
      </c>
    </row>
    <row r="255" spans="1:4" x14ac:dyDescent="0.35">
      <c r="A255" s="1" t="s">
        <v>8762</v>
      </c>
      <c r="B255" s="1" t="s">
        <v>10415</v>
      </c>
      <c r="C255" s="38" t="str">
        <f t="shared" si="10"/>
        <v>C00620:1</v>
      </c>
      <c r="D255" s="37" t="str">
        <f t="shared" si="11"/>
        <v>C00620 : alpha-D-Ribose 1-phosphate</v>
      </c>
    </row>
    <row r="256" spans="1:4" x14ac:dyDescent="0.35">
      <c r="A256" s="1" t="s">
        <v>9350</v>
      </c>
      <c r="B256" s="1" t="s">
        <v>10416</v>
      </c>
      <c r="C256" s="38" t="str">
        <f t="shared" si="10"/>
        <v>C00624:1</v>
      </c>
      <c r="D256" s="37" t="str">
        <f t="shared" si="11"/>
        <v>C00624 : N-Acetyl-L-glutamate</v>
      </c>
    </row>
    <row r="257" spans="1:4" x14ac:dyDescent="0.35">
      <c r="A257" s="1" t="s">
        <v>9655</v>
      </c>
      <c r="B257" s="1" t="s">
        <v>10417</v>
      </c>
      <c r="C257" s="38" t="str">
        <f t="shared" si="10"/>
        <v>C00627:1</v>
      </c>
      <c r="D257" s="37" t="str">
        <f t="shared" si="11"/>
        <v>C00627 : Pyridoxine phosphate</v>
      </c>
    </row>
    <row r="258" spans="1:4" x14ac:dyDescent="0.35">
      <c r="A258" s="1" t="s">
        <v>8495</v>
      </c>
      <c r="B258" s="1" t="s">
        <v>10418</v>
      </c>
      <c r="C258" s="38" t="str">
        <f t="shared" si="10"/>
        <v>C00631:1</v>
      </c>
      <c r="D258" s="37" t="str">
        <f t="shared" si="11"/>
        <v>C00631 : 2-Phospho-D-glycerate</v>
      </c>
    </row>
    <row r="259" spans="1:4" x14ac:dyDescent="0.35">
      <c r="A259" s="1" t="s">
        <v>9678</v>
      </c>
      <c r="B259" s="1" t="s">
        <v>10419</v>
      </c>
      <c r="C259" s="38" t="str">
        <f t="shared" ref="C259:C322" si="12">CONCATENATE(A259,":","1")</f>
        <v>C00638:1</v>
      </c>
      <c r="D259" s="37" t="str">
        <f t="shared" ref="D259:D322" si="13">CONCATENATE(A259," : ",B259)</f>
        <v>C00638 : Long-chain fatty acid</v>
      </c>
    </row>
    <row r="260" spans="1:4" x14ac:dyDescent="0.35">
      <c r="A260" s="1" t="s">
        <v>8502</v>
      </c>
      <c r="B260" s="1" t="s">
        <v>10420</v>
      </c>
      <c r="C260" s="38" t="str">
        <f t="shared" si="12"/>
        <v>C00640:1</v>
      </c>
      <c r="D260" s="37" t="str">
        <f t="shared" si="13"/>
        <v>C00640 : (3S)-3-Hydroxyacyl-CoA</v>
      </c>
    </row>
    <row r="261" spans="1:4" x14ac:dyDescent="0.35">
      <c r="A261" s="1" t="s">
        <v>9326</v>
      </c>
      <c r="B261" s="1" t="s">
        <v>10421</v>
      </c>
      <c r="C261" s="38" t="str">
        <f t="shared" si="12"/>
        <v>C00641:1</v>
      </c>
      <c r="D261" s="37" t="str">
        <f t="shared" si="13"/>
        <v>C00641 : 1,2-Diacyl-sn-glycerol</v>
      </c>
    </row>
    <row r="262" spans="1:4" x14ac:dyDescent="0.35">
      <c r="A262" s="1" t="s">
        <v>9656</v>
      </c>
      <c r="B262" s="1" t="s">
        <v>10422</v>
      </c>
      <c r="C262" s="38" t="str">
        <f t="shared" si="12"/>
        <v>C00647:1</v>
      </c>
      <c r="D262" s="37" t="str">
        <f t="shared" si="13"/>
        <v>C00647 : Pyridoxamine phosphate</v>
      </c>
    </row>
    <row r="263" spans="1:4" x14ac:dyDescent="0.35">
      <c r="A263" s="1" t="s">
        <v>10129</v>
      </c>
      <c r="B263" s="1" t="s">
        <v>10423</v>
      </c>
      <c r="C263" s="38" t="str">
        <f t="shared" si="12"/>
        <v>C00653:1</v>
      </c>
      <c r="D263" s="37" t="str">
        <f t="shared" si="13"/>
        <v>C00653 : Poly(ribitol phosphate)</v>
      </c>
    </row>
    <row r="264" spans="1:4" x14ac:dyDescent="0.35">
      <c r="A264" s="1" t="s">
        <v>9276</v>
      </c>
      <c r="B264" s="1" t="s">
        <v>10424</v>
      </c>
      <c r="C264" s="38" t="str">
        <f t="shared" si="12"/>
        <v>C00655:1</v>
      </c>
      <c r="D264" s="37" t="str">
        <f t="shared" si="13"/>
        <v>C00655 : Xanthosine 5'-phosphate</v>
      </c>
    </row>
    <row r="265" spans="1:4" x14ac:dyDescent="0.35">
      <c r="A265" s="1" t="s">
        <v>9721</v>
      </c>
      <c r="B265" s="1" t="s">
        <v>10425</v>
      </c>
      <c r="C265" s="38" t="str">
        <f t="shared" si="12"/>
        <v>C00658:1</v>
      </c>
      <c r="D265" s="37" t="str">
        <f t="shared" si="13"/>
        <v>C00658 : trans-2,3-Dehydroacyl-CoA</v>
      </c>
    </row>
    <row r="266" spans="1:4" x14ac:dyDescent="0.35">
      <c r="A266" s="1" t="s">
        <v>9709</v>
      </c>
      <c r="B266" s="1" t="s">
        <v>10426</v>
      </c>
      <c r="C266" s="38" t="str">
        <f t="shared" si="12"/>
        <v>C00666:1</v>
      </c>
      <c r="D266" s="37" t="str">
        <f t="shared" si="13"/>
        <v>C00666 : LL-2,6-Diaminoheptanedioate</v>
      </c>
    </row>
    <row r="267" spans="1:4" x14ac:dyDescent="0.35">
      <c r="A267" s="1" t="s">
        <v>8741</v>
      </c>
      <c r="B267" s="1" t="s">
        <v>10427</v>
      </c>
      <c r="C267" s="38" t="str">
        <f t="shared" si="12"/>
        <v>C00668:1</v>
      </c>
      <c r="D267" s="37" t="str">
        <f t="shared" si="13"/>
        <v>C00668 : alpha-D-Glucose 6-phosphate</v>
      </c>
    </row>
    <row r="268" spans="1:4" x14ac:dyDescent="0.35">
      <c r="A268" s="1" t="s">
        <v>9498</v>
      </c>
      <c r="B268" s="1" t="s">
        <v>10428</v>
      </c>
      <c r="C268" s="38" t="str">
        <f t="shared" si="12"/>
        <v>C00669:1</v>
      </c>
      <c r="D268" s="37" t="str">
        <f t="shared" si="13"/>
        <v>C00669 : gamma-L-Glutamyl-L-cysteine</v>
      </c>
    </row>
    <row r="269" spans="1:4" x14ac:dyDescent="0.35">
      <c r="A269" s="1" t="s">
        <v>9648</v>
      </c>
      <c r="B269" s="1" t="s">
        <v>10429</v>
      </c>
      <c r="C269" s="38" t="str">
        <f t="shared" si="12"/>
        <v>C00671:1</v>
      </c>
      <c r="D269" s="37" t="str">
        <f t="shared" si="13"/>
        <v>C00671 : (S)-3-Methyl-2-oxopentanoic acid</v>
      </c>
    </row>
    <row r="270" spans="1:4" x14ac:dyDescent="0.35">
      <c r="A270" s="1" t="s">
        <v>8769</v>
      </c>
      <c r="B270" s="1" t="s">
        <v>10430</v>
      </c>
      <c r="C270" s="38" t="str">
        <f t="shared" si="12"/>
        <v>C00672:1</v>
      </c>
      <c r="D270" s="37" t="str">
        <f t="shared" si="13"/>
        <v>C00672 : 2-Deoxy-D-ribose 1-phosphate</v>
      </c>
    </row>
    <row r="271" spans="1:4" x14ac:dyDescent="0.35">
      <c r="A271" s="1" t="s">
        <v>8474</v>
      </c>
      <c r="B271" s="1" t="s">
        <v>10431</v>
      </c>
      <c r="C271" s="38" t="str">
        <f t="shared" si="12"/>
        <v>C00673:1</v>
      </c>
      <c r="D271" s="37" t="str">
        <f t="shared" si="13"/>
        <v>C00673 : 2-Deoxy-D-ribose 5-phosphate</v>
      </c>
    </row>
    <row r="272" spans="1:4" x14ac:dyDescent="0.35">
      <c r="A272" s="1" t="s">
        <v>9154</v>
      </c>
      <c r="B272" s="1" t="s">
        <v>10432</v>
      </c>
      <c r="C272" s="38" t="str">
        <f t="shared" si="12"/>
        <v>C00677:1</v>
      </c>
      <c r="D272" s="37" t="str">
        <f t="shared" si="13"/>
        <v>C00677 : Deoxynucleoside triphosphate</v>
      </c>
    </row>
    <row r="273" spans="1:4" x14ac:dyDescent="0.35">
      <c r="A273" s="1" t="s">
        <v>8427</v>
      </c>
      <c r="B273" s="1" t="s">
        <v>10433</v>
      </c>
      <c r="C273" s="38" t="str">
        <f t="shared" si="12"/>
        <v>C00680:1</v>
      </c>
      <c r="D273" s="37" t="str">
        <f t="shared" si="13"/>
        <v>C00680 : meso-2,6-Diaminoheptanedioate</v>
      </c>
    </row>
    <row r="274" spans="1:4" x14ac:dyDescent="0.35">
      <c r="A274" s="1" t="s">
        <v>9232</v>
      </c>
      <c r="B274" s="1" t="s">
        <v>10434</v>
      </c>
      <c r="C274" s="38" t="str">
        <f t="shared" si="12"/>
        <v>C00681:1</v>
      </c>
      <c r="D274" s="37" t="str">
        <f t="shared" si="13"/>
        <v>C00681 : 1-Acyl-sn-glycerol 3-phosphate</v>
      </c>
    </row>
    <row r="275" spans="1:4" x14ac:dyDescent="0.35">
      <c r="A275" s="1" t="s">
        <v>9528</v>
      </c>
      <c r="B275" s="1" t="s">
        <v>10435</v>
      </c>
      <c r="C275" s="38" t="str">
        <f t="shared" si="12"/>
        <v>C00685:1</v>
      </c>
      <c r="D275" s="37" t="str">
        <f t="shared" si="13"/>
        <v>C00685 : 3-Oxoacyl-[acyl-carrier protein]</v>
      </c>
    </row>
    <row r="276" spans="1:4" x14ac:dyDescent="0.35">
      <c r="A276" s="1" t="s">
        <v>8696</v>
      </c>
      <c r="B276" s="1" t="s">
        <v>10436</v>
      </c>
      <c r="C276" s="38" t="str">
        <f t="shared" si="12"/>
        <v>C00688:1</v>
      </c>
      <c r="D276" s="37" t="str">
        <f t="shared" si="13"/>
        <v>C00688 : dTDP-4-dehydro-beta-L-rhamnose</v>
      </c>
    </row>
    <row r="277" spans="1:4" x14ac:dyDescent="0.35">
      <c r="A277" s="1" t="s">
        <v>9443</v>
      </c>
      <c r="B277" s="1" t="s">
        <v>10437</v>
      </c>
      <c r="C277" s="38" t="str">
        <f t="shared" si="12"/>
        <v>C00689:1</v>
      </c>
      <c r="D277" s="37" t="str">
        <f t="shared" si="13"/>
        <v>C00689 : Trehalose 6-phosphate</v>
      </c>
    </row>
    <row r="278" spans="1:4" x14ac:dyDescent="0.35">
      <c r="A278" s="1" t="s">
        <v>9494</v>
      </c>
      <c r="B278" s="1" t="s">
        <v>10438</v>
      </c>
      <c r="C278" s="38" t="str">
        <f t="shared" si="12"/>
        <v>C00692:1</v>
      </c>
      <c r="D278" s="37" t="str">
        <f t="shared" si="13"/>
        <v>C00692 : UDP-N-acetylmuramoyl-L-alanyl-D-glutamate</v>
      </c>
    </row>
    <row r="279" spans="1:4" x14ac:dyDescent="0.35">
      <c r="A279" s="1" t="s">
        <v>9563</v>
      </c>
      <c r="B279" s="1" t="s">
        <v>10439</v>
      </c>
      <c r="C279" s="38" t="str">
        <f t="shared" si="12"/>
        <v>C00693:1</v>
      </c>
      <c r="D279" s="37" t="str">
        <f t="shared" si="13"/>
        <v>C00693 : trans-2,3-Dehydroacyl-[acyl-carrier protein]</v>
      </c>
    </row>
    <row r="280" spans="1:4" x14ac:dyDescent="0.35">
      <c r="A280" s="1" t="s">
        <v>9714</v>
      </c>
      <c r="B280" s="1" t="s">
        <v>10440</v>
      </c>
      <c r="C280" s="38" t="str">
        <f t="shared" si="12"/>
        <v>C00700:1</v>
      </c>
      <c r="D280" s="37" t="str">
        <f t="shared" si="13"/>
        <v>C00700 : XTP</v>
      </c>
    </row>
    <row r="281" spans="1:4" x14ac:dyDescent="0.35">
      <c r="A281" s="1" t="s">
        <v>9143</v>
      </c>
      <c r="B281" s="1" t="s">
        <v>10441</v>
      </c>
      <c r="C281" s="38" t="str">
        <f t="shared" si="12"/>
        <v>C00704:1</v>
      </c>
      <c r="D281" s="37" t="str">
        <f t="shared" si="13"/>
        <v>C00704 : Superoxide</v>
      </c>
    </row>
    <row r="282" spans="1:4" x14ac:dyDescent="0.35">
      <c r="A282" s="1" t="s">
        <v>9150</v>
      </c>
      <c r="B282" s="1" t="s">
        <v>10442</v>
      </c>
      <c r="C282" s="38" t="str">
        <f t="shared" si="12"/>
        <v>C00705:1</v>
      </c>
      <c r="D282" s="37" t="str">
        <f t="shared" si="13"/>
        <v>C00705 : dCDP</v>
      </c>
    </row>
    <row r="283" spans="1:4" x14ac:dyDescent="0.35">
      <c r="A283" s="1" t="s">
        <v>9672</v>
      </c>
      <c r="B283" s="1" t="s">
        <v>10443</v>
      </c>
      <c r="C283" s="38" t="str">
        <f t="shared" si="12"/>
        <v>C00712:1</v>
      </c>
      <c r="D283" s="37" t="str">
        <f t="shared" si="13"/>
        <v>C00712 : (9Z)-Octadecenoic acid</v>
      </c>
    </row>
    <row r="284" spans="1:4" x14ac:dyDescent="0.35">
      <c r="A284" s="1" t="s">
        <v>7343</v>
      </c>
      <c r="B284" s="1" t="s">
        <v>10444</v>
      </c>
      <c r="C284" s="38" t="str">
        <f t="shared" si="12"/>
        <v>C00718:1</v>
      </c>
      <c r="D284" s="37" t="str">
        <f t="shared" si="13"/>
        <v>C00718 : Amylose</v>
      </c>
    </row>
    <row r="285" spans="1:4" x14ac:dyDescent="0.35">
      <c r="A285" s="1" t="s">
        <v>9692</v>
      </c>
      <c r="B285" s="1" t="s">
        <v>10445</v>
      </c>
      <c r="C285" s="38" t="str">
        <f t="shared" si="12"/>
        <v>C00721:1</v>
      </c>
      <c r="D285" s="37" t="str">
        <f t="shared" si="13"/>
        <v>C00721 : Dextrin</v>
      </c>
    </row>
    <row r="286" spans="1:4" x14ac:dyDescent="0.35">
      <c r="A286" s="1" t="s">
        <v>9689</v>
      </c>
      <c r="B286" s="1" t="s">
        <v>10446</v>
      </c>
      <c r="C286" s="38" t="str">
        <f t="shared" si="12"/>
        <v>C00740:1</v>
      </c>
      <c r="D286" s="37" t="str">
        <f t="shared" si="13"/>
        <v>C00740 : D-Serine</v>
      </c>
    </row>
    <row r="287" spans="1:4" x14ac:dyDescent="0.35">
      <c r="A287" s="1" t="s">
        <v>9132</v>
      </c>
      <c r="B287" s="1" t="s">
        <v>10447</v>
      </c>
      <c r="C287" s="38" t="str">
        <f t="shared" si="12"/>
        <v>C00741:1</v>
      </c>
      <c r="D287" s="37" t="str">
        <f t="shared" si="13"/>
        <v>C00741 : Diacetyl</v>
      </c>
    </row>
    <row r="288" spans="1:4" x14ac:dyDescent="0.35">
      <c r="A288" s="1" t="s">
        <v>9088</v>
      </c>
      <c r="B288" s="1" t="s">
        <v>10448</v>
      </c>
      <c r="C288" s="38" t="str">
        <f t="shared" si="12"/>
        <v>C00756:1</v>
      </c>
      <c r="D288" s="37" t="str">
        <f t="shared" si="13"/>
        <v>C00756 : 1-Octanol</v>
      </c>
    </row>
    <row r="289" spans="1:4" x14ac:dyDescent="0.35">
      <c r="A289" s="1" t="s">
        <v>9239</v>
      </c>
      <c r="B289" s="1" t="s">
        <v>10449</v>
      </c>
      <c r="C289" s="38" t="str">
        <f t="shared" si="12"/>
        <v>C00760:1</v>
      </c>
      <c r="D289" s="37" t="str">
        <f t="shared" si="13"/>
        <v>C00760 : Cellulose</v>
      </c>
    </row>
    <row r="290" spans="1:4" x14ac:dyDescent="0.35">
      <c r="A290" s="1" t="s">
        <v>9526</v>
      </c>
      <c r="B290" s="1" t="s">
        <v>10450</v>
      </c>
      <c r="C290" s="38" t="str">
        <f t="shared" si="12"/>
        <v>C00772:1</v>
      </c>
      <c r="D290" s="37" t="str">
        <f t="shared" si="13"/>
        <v>C00772 : Mevaldate</v>
      </c>
    </row>
    <row r="291" spans="1:4" x14ac:dyDescent="0.35">
      <c r="A291" s="1" t="s">
        <v>10125</v>
      </c>
      <c r="B291" s="1" t="s">
        <v>10451</v>
      </c>
      <c r="C291" s="38" t="str">
        <f t="shared" si="12"/>
        <v>C00787:1</v>
      </c>
      <c r="D291" s="37" t="str">
        <f t="shared" si="13"/>
        <v>C00787 : tRNA(Tyr)</v>
      </c>
    </row>
    <row r="292" spans="1:4" x14ac:dyDescent="0.35">
      <c r="A292" s="1" t="s">
        <v>9717</v>
      </c>
      <c r="B292" s="1" t="s">
        <v>10452</v>
      </c>
      <c r="C292" s="38" t="str">
        <f t="shared" si="12"/>
        <v>C00810:1</v>
      </c>
      <c r="D292" s="37" t="str">
        <f t="shared" si="13"/>
        <v>C00810 : (R)-Acetoin</v>
      </c>
    </row>
    <row r="293" spans="1:4" x14ac:dyDescent="0.35">
      <c r="A293" s="1" t="s">
        <v>9210</v>
      </c>
      <c r="B293" s="1" t="s">
        <v>10453</v>
      </c>
      <c r="C293" s="38" t="str">
        <f t="shared" si="12"/>
        <v>C00821 :1</v>
      </c>
      <c r="D293" s="37" t="str">
        <f t="shared" si="13"/>
        <v>C00821  : DNA adenine</v>
      </c>
    </row>
    <row r="294" spans="1:4" x14ac:dyDescent="0.35">
      <c r="A294" s="1" t="s">
        <v>8604</v>
      </c>
      <c r="B294" s="1" t="s">
        <v>10454</v>
      </c>
      <c r="C294" s="38" t="str">
        <f t="shared" si="12"/>
        <v>C00826:1</v>
      </c>
      <c r="D294" s="37" t="str">
        <f t="shared" si="13"/>
        <v>C00826 : L-Arogenate</v>
      </c>
    </row>
    <row r="295" spans="1:4" x14ac:dyDescent="0.35">
      <c r="A295" s="1" t="s">
        <v>9335</v>
      </c>
      <c r="B295" s="1" t="s">
        <v>10455</v>
      </c>
      <c r="C295" s="38" t="str">
        <f t="shared" si="12"/>
        <v>C00831:1</v>
      </c>
      <c r="D295" s="37" t="str">
        <f t="shared" si="13"/>
        <v>C00831 : Pantetheine</v>
      </c>
    </row>
    <row r="296" spans="1:4" x14ac:dyDescent="0.35">
      <c r="A296" s="1" t="s">
        <v>8597</v>
      </c>
      <c r="B296" s="1" t="s">
        <v>10456</v>
      </c>
      <c r="C296" s="38" t="str">
        <f t="shared" si="12"/>
        <v>C00842:1</v>
      </c>
      <c r="D296" s="37" t="str">
        <f t="shared" si="13"/>
        <v>C00842 : dTDP-glucose</v>
      </c>
    </row>
    <row r="297" spans="1:4" x14ac:dyDescent="0.35">
      <c r="A297" s="1" t="s">
        <v>8034</v>
      </c>
      <c r="B297" s="1" t="s">
        <v>10457</v>
      </c>
      <c r="C297" s="38" t="str">
        <f t="shared" si="12"/>
        <v>C00846:1</v>
      </c>
      <c r="D297" s="37" t="str">
        <f t="shared" si="13"/>
        <v>C00846 : 3-Oxoadipate</v>
      </c>
    </row>
    <row r="298" spans="1:4" x14ac:dyDescent="0.35">
      <c r="A298" s="1" t="s">
        <v>9491</v>
      </c>
      <c r="B298" s="1" t="s">
        <v>10458</v>
      </c>
      <c r="C298" s="38" t="str">
        <f t="shared" si="12"/>
        <v>C00857:1</v>
      </c>
      <c r="D298" s="37" t="str">
        <f t="shared" si="13"/>
        <v>C00857 : Deamino-NAD+</v>
      </c>
    </row>
    <row r="299" spans="1:4" x14ac:dyDescent="0.35">
      <c r="A299" s="1" t="s">
        <v>9127</v>
      </c>
      <c r="B299" s="1" t="s">
        <v>10459</v>
      </c>
      <c r="C299" s="38" t="str">
        <f t="shared" si="12"/>
        <v>C00860:1</v>
      </c>
      <c r="D299" s="37" t="str">
        <f t="shared" si="13"/>
        <v>C00860 : L-Histidinol</v>
      </c>
    </row>
    <row r="300" spans="1:4" x14ac:dyDescent="0.35">
      <c r="A300" s="1" t="s">
        <v>9334</v>
      </c>
      <c r="B300" s="1" t="s">
        <v>10460</v>
      </c>
      <c r="C300" s="38" t="str">
        <f t="shared" si="12"/>
        <v>C00864:1</v>
      </c>
      <c r="D300" s="37" t="str">
        <f t="shared" si="13"/>
        <v>C00864 : Pantothenate</v>
      </c>
    </row>
    <row r="301" spans="1:4" x14ac:dyDescent="0.35">
      <c r="A301" s="1" t="s">
        <v>8772</v>
      </c>
      <c r="B301" s="1" t="s">
        <v>13154</v>
      </c>
      <c r="C301" s="38" t="str">
        <f t="shared" si="12"/>
        <v>C00868:1</v>
      </c>
      <c r="D301" s="37" t="str">
        <f t="shared" si="13"/>
        <v>C00868 : tRNA uridine</v>
      </c>
    </row>
    <row r="302" spans="1:4" x14ac:dyDescent="0.35">
      <c r="A302" s="1" t="s">
        <v>9690</v>
      </c>
      <c r="B302" s="1" t="s">
        <v>13155</v>
      </c>
      <c r="C302" s="38" t="str">
        <f t="shared" si="12"/>
        <v>C00870:1</v>
      </c>
      <c r="D302" s="37" t="str">
        <f t="shared" si="13"/>
        <v>C00870 : 4-Nitrophenol</v>
      </c>
    </row>
    <row r="303" spans="1:4" x14ac:dyDescent="0.35">
      <c r="A303" s="1" t="s">
        <v>9478</v>
      </c>
      <c r="B303" s="1" t="s">
        <v>13156</v>
      </c>
      <c r="C303" s="38" t="str">
        <f t="shared" si="12"/>
        <v>C00877:1</v>
      </c>
      <c r="D303" s="37" t="str">
        <f t="shared" si="13"/>
        <v>C00877 : Crotonoyl-CoA</v>
      </c>
    </row>
    <row r="304" spans="1:4" x14ac:dyDescent="0.35">
      <c r="A304" s="1" t="s">
        <v>9462</v>
      </c>
      <c r="B304" s="1" t="s">
        <v>13157</v>
      </c>
      <c r="C304" s="38" t="str">
        <f t="shared" si="12"/>
        <v>C00881:1</v>
      </c>
      <c r="D304" s="37" t="str">
        <f t="shared" si="13"/>
        <v>C00881 : Deoxycytidine</v>
      </c>
    </row>
    <row r="305" spans="1:4" x14ac:dyDescent="0.35">
      <c r="A305" s="1" t="s">
        <v>9332</v>
      </c>
      <c r="B305" s="1" t="s">
        <v>13158</v>
      </c>
      <c r="C305" s="38" t="str">
        <f t="shared" si="12"/>
        <v>C00882:1</v>
      </c>
      <c r="D305" s="37" t="str">
        <f t="shared" si="13"/>
        <v>C00882 : Dephospho-CoA</v>
      </c>
    </row>
    <row r="306" spans="1:4" x14ac:dyDescent="0.35">
      <c r="A306" s="1" t="s">
        <v>10167</v>
      </c>
      <c r="B306" s="1" t="s">
        <v>13159</v>
      </c>
      <c r="C306" s="38" t="str">
        <f t="shared" si="12"/>
        <v>C00886:1</v>
      </c>
      <c r="D306" s="37" t="str">
        <f t="shared" si="13"/>
        <v>C00886 : L-Alanyl-tRNA</v>
      </c>
    </row>
    <row r="307" spans="1:4" x14ac:dyDescent="0.35">
      <c r="A307" s="1" t="s">
        <v>9722</v>
      </c>
      <c r="B307" s="1" t="s">
        <v>13160</v>
      </c>
      <c r="C307" s="38" t="str">
        <f t="shared" si="12"/>
        <v>C00894:1</v>
      </c>
      <c r="D307" s="37" t="str">
        <f t="shared" si="13"/>
        <v>C00894 : Propenoyl-CoA</v>
      </c>
    </row>
    <row r="308" spans="1:4" x14ac:dyDescent="0.35">
      <c r="A308" s="1" t="s">
        <v>9136</v>
      </c>
      <c r="B308" s="1" t="s">
        <v>13161</v>
      </c>
      <c r="C308" s="38" t="str">
        <f t="shared" si="12"/>
        <v>C00900:1</v>
      </c>
      <c r="D308" s="37" t="str">
        <f t="shared" si="13"/>
        <v>C00900 : 2-Acetolactate</v>
      </c>
    </row>
    <row r="309" spans="1:4" x14ac:dyDescent="0.35">
      <c r="A309" s="1" t="s">
        <v>9691</v>
      </c>
      <c r="B309" s="1" t="s">
        <v>13162</v>
      </c>
      <c r="C309" s="38" t="str">
        <f t="shared" si="12"/>
        <v>C00911:1</v>
      </c>
      <c r="D309" s="37" t="str">
        <f t="shared" si="13"/>
        <v>C00911 : Ribonucleoside</v>
      </c>
    </row>
    <row r="310" spans="1:4" x14ac:dyDescent="0.35">
      <c r="A310" s="1" t="s">
        <v>9496</v>
      </c>
      <c r="B310" s="1" t="s">
        <v>13163</v>
      </c>
      <c r="C310" s="38" t="str">
        <f t="shared" si="12"/>
        <v>C00921:1</v>
      </c>
      <c r="D310" s="37" t="str">
        <f t="shared" si="13"/>
        <v>C00921 : Dihydropteroate</v>
      </c>
    </row>
    <row r="311" spans="1:4" x14ac:dyDescent="0.35">
      <c r="A311" s="1" t="s">
        <v>8783</v>
      </c>
      <c r="B311" s="1" t="s">
        <v>13164</v>
      </c>
      <c r="C311" s="38" t="str">
        <f t="shared" si="12"/>
        <v>C00935 :1</v>
      </c>
      <c r="D311" s="37" t="str">
        <f t="shared" si="13"/>
        <v>C00935  : UDP-L-arabinose</v>
      </c>
    </row>
    <row r="312" spans="1:4" x14ac:dyDescent="0.35">
      <c r="A312" s="1" t="s">
        <v>8491</v>
      </c>
      <c r="B312" s="1" t="s">
        <v>13165</v>
      </c>
      <c r="C312" s="38" t="str">
        <f t="shared" si="12"/>
        <v>C00944:1</v>
      </c>
      <c r="D312" s="37" t="str">
        <f t="shared" si="13"/>
        <v>C00944 : 3-Dehydroquinate</v>
      </c>
    </row>
    <row r="313" spans="1:4" x14ac:dyDescent="0.35">
      <c r="A313" s="1" t="s">
        <v>9643</v>
      </c>
      <c r="B313" s="1" t="s">
        <v>13166</v>
      </c>
      <c r="C313" s="38" t="str">
        <f t="shared" si="12"/>
        <v>C00957:1</v>
      </c>
      <c r="D313" s="37" t="str">
        <f t="shared" si="13"/>
        <v>C00957 : Mercaptopyruvate</v>
      </c>
    </row>
    <row r="314" spans="1:4" x14ac:dyDescent="0.35">
      <c r="A314" s="1" t="s">
        <v>9693</v>
      </c>
      <c r="B314" s="1" t="s">
        <v>13167</v>
      </c>
      <c r="C314" s="38" t="str">
        <f t="shared" si="12"/>
        <v>C00962:1</v>
      </c>
      <c r="D314" s="37" t="str">
        <f t="shared" si="13"/>
        <v>C00962 : beta-D-Galactose</v>
      </c>
    </row>
    <row r="315" spans="1:4" x14ac:dyDescent="0.35">
      <c r="A315" s="1" t="s">
        <v>9650</v>
      </c>
      <c r="B315" s="1" t="s">
        <v>13168</v>
      </c>
      <c r="C315" s="38" t="str">
        <f t="shared" si="12"/>
        <v>C00972:1</v>
      </c>
      <c r="D315" s="37" t="str">
        <f t="shared" si="13"/>
        <v>C00972 : Aromatic oxo acid</v>
      </c>
    </row>
    <row r="316" spans="1:4" x14ac:dyDescent="0.35">
      <c r="A316" s="1" t="s">
        <v>9293</v>
      </c>
      <c r="B316" s="1" t="s">
        <v>13169</v>
      </c>
      <c r="C316" s="38" t="str">
        <f t="shared" si="12"/>
        <v>C00979:1</v>
      </c>
      <c r="D316" s="37" t="str">
        <f t="shared" si="13"/>
        <v>C00979 : O-Acetyl-L-serine</v>
      </c>
    </row>
    <row r="317" spans="1:4" x14ac:dyDescent="0.35">
      <c r="A317" s="1" t="s">
        <v>8711</v>
      </c>
      <c r="B317" s="1" t="s">
        <v>13170</v>
      </c>
      <c r="C317" s="38" t="str">
        <f t="shared" si="12"/>
        <v>C00984:1</v>
      </c>
      <c r="D317" s="37" t="str">
        <f t="shared" si="13"/>
        <v>C00984 : alpha-D-Galactose</v>
      </c>
    </row>
    <row r="318" spans="1:4" x14ac:dyDescent="0.35">
      <c r="A318" s="1" t="s">
        <v>10148</v>
      </c>
      <c r="B318" s="1" t="s">
        <v>13171</v>
      </c>
      <c r="C318" s="38" t="str">
        <f t="shared" si="12"/>
        <v>C00993:1</v>
      </c>
      <c r="D318" s="37" t="str">
        <f t="shared" si="13"/>
        <v>C00993 : D-Alanyl-D-alanine</v>
      </c>
    </row>
    <row r="319" spans="1:4" x14ac:dyDescent="0.35">
      <c r="A319" s="1" t="s">
        <v>9296</v>
      </c>
      <c r="B319" s="1" t="s">
        <v>13172</v>
      </c>
      <c r="C319" s="38" t="str">
        <f t="shared" si="12"/>
        <v>C01005:1</v>
      </c>
      <c r="D319" s="37" t="str">
        <f t="shared" si="13"/>
        <v>C01005 : O-Phospho-L-serine</v>
      </c>
    </row>
    <row r="320" spans="1:4" x14ac:dyDescent="0.35">
      <c r="A320" s="1" t="s">
        <v>9321</v>
      </c>
      <c r="B320" s="1" t="s">
        <v>13173</v>
      </c>
      <c r="C320" s="38" t="str">
        <f t="shared" si="12"/>
        <v>C01021:1</v>
      </c>
      <c r="D320" s="37" t="str">
        <f t="shared" si="13"/>
        <v>C01021 : Aromatic amino acid</v>
      </c>
    </row>
    <row r="321" spans="1:4" x14ac:dyDescent="0.35">
      <c r="A321" s="1" t="s">
        <v>9176</v>
      </c>
      <c r="B321" s="1" t="s">
        <v>13174</v>
      </c>
      <c r="C321" s="38" t="str">
        <f t="shared" si="12"/>
        <v>C01050:1</v>
      </c>
      <c r="D321" s="37" t="str">
        <f t="shared" si="13"/>
        <v>C01050 : UDP-N-acetylmuramate</v>
      </c>
    </row>
    <row r="322" spans="1:4" x14ac:dyDescent="0.35">
      <c r="A322" s="1" t="s">
        <v>9300</v>
      </c>
      <c r="B322" s="1" t="s">
        <v>13175</v>
      </c>
      <c r="C322" s="38" t="str">
        <f t="shared" si="12"/>
        <v>C01077:1</v>
      </c>
      <c r="D322" s="37" t="str">
        <f t="shared" si="13"/>
        <v>C01077 : O-Acetyl-L-homoserine</v>
      </c>
    </row>
    <row r="323" spans="1:4" x14ac:dyDescent="0.35">
      <c r="A323" s="1" t="s">
        <v>9713</v>
      </c>
      <c r="B323" s="1" t="s">
        <v>13176</v>
      </c>
      <c r="C323" s="38" t="str">
        <f t="shared" ref="C323:C386" si="14">CONCATENATE(A323,":","1")</f>
        <v>C01081:1</v>
      </c>
      <c r="D323" s="37" t="str">
        <f t="shared" ref="D323:D386" si="15">CONCATENATE(A323," : ",B323)</f>
        <v>C01081 : Thiamin monophosphate</v>
      </c>
    </row>
    <row r="324" spans="1:4" x14ac:dyDescent="0.35">
      <c r="A324" s="1" t="s">
        <v>8546</v>
      </c>
      <c r="B324" s="1" t="s">
        <v>13177</v>
      </c>
      <c r="C324" s="38" t="str">
        <f t="shared" si="14"/>
        <v>C01086:1</v>
      </c>
      <c r="D324" s="37" t="str">
        <f t="shared" si="15"/>
        <v>C01086 : (3R)-3-Hydroxyacyl-CoA</v>
      </c>
    </row>
    <row r="325" spans="1:4" x14ac:dyDescent="0.35">
      <c r="A325" s="1" t="s">
        <v>8464</v>
      </c>
      <c r="B325" s="1" t="s">
        <v>13178</v>
      </c>
      <c r="C325" s="38" t="str">
        <f t="shared" si="14"/>
        <v>C01094:1</v>
      </c>
      <c r="D325" s="37" t="str">
        <f t="shared" si="15"/>
        <v>C01094 : D-Fructose 1-phosphate</v>
      </c>
    </row>
    <row r="326" spans="1:4" x14ac:dyDescent="0.35">
      <c r="A326" s="1" t="s">
        <v>9330</v>
      </c>
      <c r="B326" s="1" t="s">
        <v>13179</v>
      </c>
      <c r="C326" s="38" t="str">
        <f t="shared" si="14"/>
        <v>C01097:1</v>
      </c>
      <c r="D326" s="37" t="str">
        <f t="shared" si="15"/>
        <v>C01097 : D-Tagatose 6-phosphate</v>
      </c>
    </row>
    <row r="327" spans="1:4" x14ac:dyDescent="0.35">
      <c r="A327" s="1" t="s">
        <v>9325</v>
      </c>
      <c r="B327" s="1" t="s">
        <v>13180</v>
      </c>
      <c r="C327" s="38" t="str">
        <f t="shared" si="14"/>
        <v>C01100:1</v>
      </c>
      <c r="D327" s="37" t="str">
        <f t="shared" si="15"/>
        <v>C01100 : L-Histidinol phosphate</v>
      </c>
    </row>
    <row r="328" spans="1:4" x14ac:dyDescent="0.35">
      <c r="A328" s="1" t="s">
        <v>9483</v>
      </c>
      <c r="B328" s="1" t="s">
        <v>13181</v>
      </c>
      <c r="C328" s="38" t="str">
        <f t="shared" si="14"/>
        <v>C01102:1</v>
      </c>
      <c r="D328" s="37" t="str">
        <f t="shared" si="15"/>
        <v>C01102 : O-Phospho-L-homoserine</v>
      </c>
    </row>
    <row r="329" spans="1:4" x14ac:dyDescent="0.35">
      <c r="A329" s="1" t="s">
        <v>9266</v>
      </c>
      <c r="B329" s="1" t="s">
        <v>13182</v>
      </c>
      <c r="C329" s="38" t="str">
        <f t="shared" si="14"/>
        <v>C01103:1</v>
      </c>
      <c r="D329" s="37" t="str">
        <f t="shared" si="15"/>
        <v>C01103 : Orotidine 5'-phosphate</v>
      </c>
    </row>
    <row r="330" spans="1:4" x14ac:dyDescent="0.35">
      <c r="A330" s="1" t="s">
        <v>9356</v>
      </c>
      <c r="B330" s="1" t="s">
        <v>13183</v>
      </c>
      <c r="C330" s="38" t="str">
        <f t="shared" si="14"/>
        <v>C01107:1</v>
      </c>
      <c r="D330" s="37" t="str">
        <f t="shared" si="15"/>
        <v>C01107 : (R)-5-Phosphomevalonate</v>
      </c>
    </row>
    <row r="331" spans="1:4" x14ac:dyDescent="0.35">
      <c r="A331" s="1" t="s">
        <v>9297</v>
      </c>
      <c r="B331" s="1" t="s">
        <v>13184</v>
      </c>
      <c r="C331" s="38" t="str">
        <f t="shared" si="14"/>
        <v>C01118:1</v>
      </c>
      <c r="D331" s="37" t="str">
        <f t="shared" si="15"/>
        <v>C01118 : O-Succinyl-L-homoserine</v>
      </c>
    </row>
    <row r="332" spans="1:4" x14ac:dyDescent="0.35">
      <c r="A332" s="1" t="s">
        <v>9734</v>
      </c>
      <c r="B332" s="1" t="s">
        <v>13185</v>
      </c>
      <c r="C332" s="38" t="str">
        <f t="shared" si="14"/>
        <v>C01122:1</v>
      </c>
      <c r="D332" s="37" t="str">
        <f t="shared" si="15"/>
        <v>C01122 : cis-2,3-Dehydroacyl-CoA</v>
      </c>
    </row>
    <row r="333" spans="1:4" x14ac:dyDescent="0.35">
      <c r="A333" s="1" t="s">
        <v>9378</v>
      </c>
      <c r="B333" s="1" t="s">
        <v>13186</v>
      </c>
      <c r="C333" s="38" t="str">
        <f t="shared" si="14"/>
        <v>C01134:1</v>
      </c>
      <c r="D333" s="37" t="str">
        <f t="shared" si="15"/>
        <v>C01134 : Pantetheine 4'-phosphate</v>
      </c>
    </row>
    <row r="334" spans="1:4" x14ac:dyDescent="0.35">
      <c r="A334" s="1" t="s">
        <v>9475</v>
      </c>
      <c r="B334" s="1" t="s">
        <v>13187</v>
      </c>
      <c r="C334" s="38" t="str">
        <f t="shared" si="14"/>
        <v>C01143:1</v>
      </c>
      <c r="D334" s="37" t="str">
        <f t="shared" si="15"/>
        <v>C01143 : (R)-5-Diphosphomevalonate</v>
      </c>
    </row>
    <row r="335" spans="1:4" x14ac:dyDescent="0.35">
      <c r="A335" s="1" t="s">
        <v>8505</v>
      </c>
      <c r="B335" s="1" t="s">
        <v>13188</v>
      </c>
      <c r="C335" s="38" t="str">
        <f t="shared" si="14"/>
        <v>C01144:1</v>
      </c>
      <c r="D335" s="37" t="str">
        <f t="shared" si="15"/>
        <v>C01144 : (S)-3-Hydroxybutanoyl-CoA</v>
      </c>
    </row>
    <row r="336" spans="1:4" x14ac:dyDescent="0.35">
      <c r="A336" s="1" t="s">
        <v>9181</v>
      </c>
      <c r="B336" s="1" t="s">
        <v>13189</v>
      </c>
      <c r="C336" s="38" t="str">
        <f t="shared" si="14"/>
        <v>C01157:1</v>
      </c>
      <c r="D336" s="37" t="str">
        <f t="shared" si="15"/>
        <v>C01157 : Hydroxyproline</v>
      </c>
    </row>
    <row r="337" spans="1:4" x14ac:dyDescent="0.35">
      <c r="A337" s="1" t="s">
        <v>9163</v>
      </c>
      <c r="B337" s="1" t="s">
        <v>13190</v>
      </c>
      <c r="C337" s="38" t="str">
        <f t="shared" si="14"/>
        <v>C01165:1</v>
      </c>
      <c r="D337" s="37" t="str">
        <f t="shared" si="15"/>
        <v>C01165 : L-Glutamate 5-semialdehyde</v>
      </c>
    </row>
    <row r="338" spans="1:4" x14ac:dyDescent="0.35">
      <c r="A338" s="1" t="s">
        <v>9418</v>
      </c>
      <c r="B338" s="1" t="s">
        <v>13191</v>
      </c>
      <c r="C338" s="38" t="str">
        <f t="shared" si="14"/>
        <v>C01167:1</v>
      </c>
      <c r="D338" s="37" t="str">
        <f t="shared" si="15"/>
        <v>C01167 : Protein tyrosine phosphate</v>
      </c>
    </row>
    <row r="339" spans="1:4" x14ac:dyDescent="0.35">
      <c r="A339" s="1" t="s">
        <v>8765</v>
      </c>
      <c r="B339" s="1" t="s">
        <v>13192</v>
      </c>
      <c r="C339" s="38" t="str">
        <f t="shared" si="14"/>
        <v>C01171:1</v>
      </c>
      <c r="D339" s="37" t="str">
        <f t="shared" si="15"/>
        <v>C01171 : alpha-D-Hexose 1-phosphate</v>
      </c>
    </row>
    <row r="340" spans="1:4" x14ac:dyDescent="0.35">
      <c r="A340" s="1" t="s">
        <v>8745</v>
      </c>
      <c r="B340" s="1" t="s">
        <v>13193</v>
      </c>
      <c r="C340" s="38" t="str">
        <f t="shared" si="14"/>
        <v>C01172:1</v>
      </c>
      <c r="D340" s="37" t="str">
        <f t="shared" si="15"/>
        <v>C01172 : beta-D-Glucose 6-phosphate</v>
      </c>
    </row>
    <row r="341" spans="1:4" x14ac:dyDescent="0.35">
      <c r="A341" s="1" t="s">
        <v>9412</v>
      </c>
      <c r="B341" s="1" t="s">
        <v>13194</v>
      </c>
      <c r="C341" s="38" t="str">
        <f t="shared" si="14"/>
        <v>C01177:1</v>
      </c>
      <c r="D341" s="37" t="str">
        <f t="shared" si="15"/>
        <v>C01177 : Inositol 1-phosphate</v>
      </c>
    </row>
    <row r="342" spans="1:4" x14ac:dyDescent="0.35">
      <c r="A342" s="1" t="s">
        <v>9562</v>
      </c>
      <c r="B342" s="1" t="s">
        <v>13195</v>
      </c>
      <c r="C342" s="38" t="str">
        <f t="shared" si="14"/>
        <v>C01179:1</v>
      </c>
      <c r="D342" s="37" t="str">
        <f t="shared" si="15"/>
        <v>C01179 : 3-(4-Hydroxyphenyl)pyruvate</v>
      </c>
    </row>
    <row r="343" spans="1:4" x14ac:dyDescent="0.35">
      <c r="A343" s="1" t="s">
        <v>9324</v>
      </c>
      <c r="B343" s="1" t="s">
        <v>13196</v>
      </c>
      <c r="C343" s="38" t="str">
        <f t="shared" si="14"/>
        <v>C01180:1</v>
      </c>
      <c r="D343" s="37" t="str">
        <f t="shared" si="15"/>
        <v>C01180 : 4-Methylthio-2-oxobutanoic acid</v>
      </c>
    </row>
    <row r="344" spans="1:4" x14ac:dyDescent="0.35">
      <c r="A344" s="1" t="s">
        <v>9374</v>
      </c>
      <c r="B344" s="1" t="s">
        <v>13197</v>
      </c>
      <c r="C344" s="38" t="str">
        <f t="shared" si="14"/>
        <v>C01185:1</v>
      </c>
      <c r="D344" s="37" t="str">
        <f t="shared" si="15"/>
        <v>C01185 : Nicotinate D-ribonucleotide</v>
      </c>
    </row>
    <row r="345" spans="1:4" x14ac:dyDescent="0.35">
      <c r="A345" s="1" t="s">
        <v>9123</v>
      </c>
      <c r="B345" s="1" t="s">
        <v>13198</v>
      </c>
      <c r="C345" s="38" t="str">
        <f t="shared" si="14"/>
        <v>C01189:1</v>
      </c>
      <c r="D345" s="37" t="str">
        <f t="shared" si="15"/>
        <v>C01189 : Lathosterol</v>
      </c>
    </row>
    <row r="346" spans="1:4" x14ac:dyDescent="0.35">
      <c r="A346" s="1" t="s">
        <v>9618</v>
      </c>
      <c r="B346" s="1" t="s">
        <v>13199</v>
      </c>
      <c r="C346" s="38" t="str">
        <f t="shared" si="14"/>
        <v>C01190:1</v>
      </c>
      <c r="D346" s="37" t="str">
        <f t="shared" si="15"/>
        <v>C01190 : Glucosylceramide</v>
      </c>
    </row>
    <row r="347" spans="1:4" x14ac:dyDescent="0.35">
      <c r="A347" s="1" t="s">
        <v>9394</v>
      </c>
      <c r="B347" s="1" t="s">
        <v>13200</v>
      </c>
      <c r="C347" s="38" t="str">
        <f t="shared" si="14"/>
        <v>C01203:1</v>
      </c>
      <c r="D347" s="37" t="str">
        <f t="shared" si="15"/>
        <v>C01203 : Oleoyl-[acyl-carrier protein]</v>
      </c>
    </row>
    <row r="348" spans="1:4" x14ac:dyDescent="0.35">
      <c r="A348" s="1" t="s">
        <v>9224</v>
      </c>
      <c r="B348" s="1" t="s">
        <v>13201</v>
      </c>
      <c r="C348" s="38" t="str">
        <f t="shared" si="14"/>
        <v>C01209:1</v>
      </c>
      <c r="D348" s="37" t="str">
        <f t="shared" si="15"/>
        <v>C01209 : Malonyl-[acyl-carrier protein]</v>
      </c>
    </row>
    <row r="349" spans="1:4" x14ac:dyDescent="0.35">
      <c r="A349" s="1" t="s">
        <v>9501</v>
      </c>
      <c r="B349" s="1" t="s">
        <v>13202</v>
      </c>
      <c r="C349" s="38" t="str">
        <f t="shared" si="14"/>
        <v>C01212:1</v>
      </c>
      <c r="D349" s="37" t="str">
        <f t="shared" si="15"/>
        <v>C01212 : UDP-N-acetylmuramoyl-L-alanine</v>
      </c>
    </row>
    <row r="350" spans="1:4" x14ac:dyDescent="0.35">
      <c r="A350" s="1" t="s">
        <v>9211</v>
      </c>
      <c r="B350" s="1" t="s">
        <v>13203</v>
      </c>
      <c r="C350" s="38" t="str">
        <f t="shared" si="14"/>
        <v>C01217 :1</v>
      </c>
      <c r="D350" s="37" t="str">
        <f t="shared" si="15"/>
        <v>C01217  : 5,6,7,8-Tetrahydromethanopterin</v>
      </c>
    </row>
    <row r="351" spans="1:4" x14ac:dyDescent="0.35">
      <c r="A351" s="1" t="s">
        <v>9162</v>
      </c>
      <c r="B351" s="1" t="s">
        <v>13204</v>
      </c>
      <c r="C351" s="38" t="str">
        <f t="shared" si="14"/>
        <v>C01250:1</v>
      </c>
      <c r="D351" s="37" t="str">
        <f t="shared" si="15"/>
        <v>C01250 : N-Acetyl-L-glutamate 5-semialdehyde</v>
      </c>
    </row>
    <row r="352" spans="1:4" x14ac:dyDescent="0.35">
      <c r="A352" s="1" t="s">
        <v>8323</v>
      </c>
      <c r="B352" s="1" t="s">
        <v>13205</v>
      </c>
      <c r="C352" s="38" t="str">
        <f t="shared" si="14"/>
        <v>C01255:1</v>
      </c>
      <c r="D352" s="37" t="str">
        <f t="shared" si="15"/>
        <v>C01255 : N-(6-Aminohexanoyl)-6-aminohexanoate</v>
      </c>
    </row>
    <row r="353" spans="1:4" x14ac:dyDescent="0.35">
      <c r="A353" s="1" t="s">
        <v>9466</v>
      </c>
      <c r="B353" s="1" t="s">
        <v>13206</v>
      </c>
      <c r="C353" s="38" t="str">
        <f t="shared" si="14"/>
        <v>C01260:1</v>
      </c>
      <c r="D353" s="37" t="str">
        <f t="shared" si="15"/>
        <v>C01260 : P1,P4-Bis(5'-adenosyl)tetraphosphate</v>
      </c>
    </row>
    <row r="354" spans="1:4" x14ac:dyDescent="0.35">
      <c r="A354" s="1" t="s">
        <v>9465</v>
      </c>
      <c r="B354" s="1" t="s">
        <v>13207</v>
      </c>
      <c r="C354" s="38" t="str">
        <f t="shared" si="14"/>
        <v>C01261:1</v>
      </c>
      <c r="D354" s="37" t="str">
        <f t="shared" si="15"/>
        <v>C01261 : P1,P4-Bis(5'-guanosyl) tetraphosphate</v>
      </c>
    </row>
    <row r="355" spans="1:4" x14ac:dyDescent="0.35">
      <c r="A355" s="1" t="s">
        <v>9652</v>
      </c>
      <c r="B355" s="1" t="s">
        <v>13208</v>
      </c>
      <c r="C355" s="38" t="str">
        <f t="shared" si="14"/>
        <v>C01267:1</v>
      </c>
      <c r="D355" s="37" t="str">
        <f t="shared" si="15"/>
        <v>C01267 : 3-(Imidazol-4-yl)-2-oxopropyl phosphate</v>
      </c>
    </row>
    <row r="356" spans="1:4" x14ac:dyDescent="0.35">
      <c r="A356" s="1" t="s">
        <v>8632</v>
      </c>
      <c r="B356" s="1" t="s">
        <v>13209</v>
      </c>
      <c r="C356" s="38" t="str">
        <f t="shared" si="14"/>
        <v>C01269:1</v>
      </c>
      <c r="D356" s="37" t="str">
        <f t="shared" si="15"/>
        <v>C01269 : 5-O-(1-Carboxyvinyl)-3-phosphoshikimate</v>
      </c>
    </row>
    <row r="357" spans="1:4" x14ac:dyDescent="0.35">
      <c r="A357" s="1" t="s">
        <v>9105</v>
      </c>
      <c r="B357" s="1" t="s">
        <v>13210</v>
      </c>
      <c r="C357" s="38" t="str">
        <f t="shared" si="14"/>
        <v>C01271:1</v>
      </c>
      <c r="D357" s="37" t="str">
        <f t="shared" si="15"/>
        <v>C01271 : (3R)-3-Hydroxyacyl-[acyl-carrier protein]</v>
      </c>
    </row>
    <row r="358" spans="1:4" x14ac:dyDescent="0.35">
      <c r="A358" s="1" t="s">
        <v>9424</v>
      </c>
      <c r="B358" s="1" t="s">
        <v>13211</v>
      </c>
      <c r="C358" s="38" t="str">
        <f t="shared" si="14"/>
        <v>C01290:1</v>
      </c>
      <c r="D358" s="37" t="str">
        <f t="shared" si="15"/>
        <v>C01290 : Lactosylceramide</v>
      </c>
    </row>
    <row r="359" spans="1:4" x14ac:dyDescent="0.35">
      <c r="A359" s="1" t="s">
        <v>9289</v>
      </c>
      <c r="B359" s="1" t="s">
        <v>13212</v>
      </c>
      <c r="C359" s="38" t="str">
        <f t="shared" si="14"/>
        <v>C01300:1</v>
      </c>
      <c r="D359" s="37" t="str">
        <f t="shared" si="15"/>
        <v>C01300 : 6-(Hydroxymethyl)-7,8-dihydropterin</v>
      </c>
    </row>
    <row r="360" spans="1:4" x14ac:dyDescent="0.35">
      <c r="A360" s="1" t="s">
        <v>8451</v>
      </c>
      <c r="B360" s="1" t="s">
        <v>13213</v>
      </c>
      <c r="C360" s="38" t="str">
        <f t="shared" si="14"/>
        <v>C01302:1</v>
      </c>
      <c r="D360" s="37" t="str">
        <f t="shared" si="15"/>
        <v>C01302 : 1-(2-Carboxyphenylamino)-1-deoxy-D-ribulose 5-phosphate</v>
      </c>
    </row>
    <row r="361" spans="1:4" x14ac:dyDescent="0.35">
      <c r="A361" s="1" t="s">
        <v>9365</v>
      </c>
      <c r="B361" s="1" t="s">
        <v>13214</v>
      </c>
      <c r="C361" s="38" t="str">
        <f t="shared" si="14"/>
        <v>C01344:1</v>
      </c>
      <c r="D361" s="37" t="str">
        <f t="shared" si="15"/>
        <v>C01344 : dIDP</v>
      </c>
    </row>
    <row r="362" spans="1:4" x14ac:dyDescent="0.35">
      <c r="A362" s="1" t="s">
        <v>9660</v>
      </c>
      <c r="B362" s="1" t="s">
        <v>13215</v>
      </c>
      <c r="C362" s="38" t="str">
        <f t="shared" si="14"/>
        <v>C01345:1</v>
      </c>
      <c r="D362" s="37" t="str">
        <f t="shared" si="15"/>
        <v>C01345 : 2'-Deoxyinosine-5'-triphosphate</v>
      </c>
    </row>
    <row r="363" spans="1:4" x14ac:dyDescent="0.35">
      <c r="A363" s="1" t="s">
        <v>9148</v>
      </c>
      <c r="B363" s="1" t="s">
        <v>13216</v>
      </c>
      <c r="C363" s="38" t="str">
        <f t="shared" si="14"/>
        <v>C01346:1</v>
      </c>
      <c r="D363" s="37" t="str">
        <f t="shared" si="15"/>
        <v>C01346 : dUDP</v>
      </c>
    </row>
    <row r="364" spans="1:4" x14ac:dyDescent="0.35">
      <c r="A364" s="1" t="s">
        <v>8485</v>
      </c>
      <c r="B364" s="1" t="s">
        <v>13217</v>
      </c>
      <c r="C364" s="38" t="str">
        <f t="shared" si="14"/>
        <v>C01353:1</v>
      </c>
      <c r="D364" s="37" t="str">
        <f t="shared" si="15"/>
        <v>C01353 : Carbonic acid</v>
      </c>
    </row>
    <row r="365" spans="1:4" x14ac:dyDescent="0.35">
      <c r="A365" s="1" t="s">
        <v>9439</v>
      </c>
      <c r="B365" s="1" t="s">
        <v>13218</v>
      </c>
      <c r="C365" s="38" t="str">
        <f t="shared" si="14"/>
        <v>C01355:1</v>
      </c>
      <c r="D365" s="37" t="str">
        <f t="shared" si="15"/>
        <v>C01355 : Fructan</v>
      </c>
    </row>
    <row r="366" spans="1:4" x14ac:dyDescent="0.35">
      <c r="A366" s="1" t="s">
        <v>9160</v>
      </c>
      <c r="B366" s="1" t="s">
        <v>13219</v>
      </c>
      <c r="C366" s="38" t="str">
        <f t="shared" si="14"/>
        <v>C01412:1</v>
      </c>
      <c r="D366" s="37" t="str">
        <f t="shared" si="15"/>
        <v>C01412 : Butanal</v>
      </c>
    </row>
    <row r="367" spans="1:4" x14ac:dyDescent="0.35">
      <c r="A367" s="1" t="s">
        <v>9448</v>
      </c>
      <c r="B367" s="1" t="s">
        <v>13220</v>
      </c>
      <c r="C367" s="38" t="str">
        <f t="shared" si="14"/>
        <v>C01419:1</v>
      </c>
      <c r="D367" s="37" t="str">
        <f t="shared" si="15"/>
        <v>C01419 : Cys-Gly</v>
      </c>
    </row>
    <row r="368" spans="1:4" x14ac:dyDescent="0.35">
      <c r="A368" s="1" t="s">
        <v>9524</v>
      </c>
      <c r="B368" s="1" t="s">
        <v>13221</v>
      </c>
      <c r="C368" s="38" t="str">
        <f t="shared" si="14"/>
        <v>C01450:1</v>
      </c>
      <c r="D368" s="37" t="str">
        <f t="shared" si="15"/>
        <v>C01450 : Ketone</v>
      </c>
    </row>
    <row r="369" spans="1:4" x14ac:dyDescent="0.35">
      <c r="A369" s="1" t="s">
        <v>9118</v>
      </c>
      <c r="B369" s="1" t="s">
        <v>13222</v>
      </c>
      <c r="C369" s="38" t="str">
        <f t="shared" si="14"/>
        <v>C01507:1</v>
      </c>
      <c r="D369" s="37" t="str">
        <f t="shared" si="15"/>
        <v>C01507 : L-Iditol</v>
      </c>
    </row>
    <row r="370" spans="1:4" x14ac:dyDescent="0.35">
      <c r="A370" s="1" t="s">
        <v>9193</v>
      </c>
      <c r="B370" s="1" t="s">
        <v>13223</v>
      </c>
      <c r="C370" s="38" t="str">
        <f t="shared" si="14"/>
        <v>C01528:1</v>
      </c>
      <c r="D370" s="37" t="str">
        <f t="shared" si="15"/>
        <v>C01528 : Hydrogen selenide</v>
      </c>
    </row>
    <row r="371" spans="1:4" x14ac:dyDescent="0.35">
      <c r="A371" s="1" t="s">
        <v>9677</v>
      </c>
      <c r="B371" s="1" t="s">
        <v>13224</v>
      </c>
      <c r="C371" s="38" t="str">
        <f t="shared" si="14"/>
        <v>C01530:1</v>
      </c>
      <c r="D371" s="37" t="str">
        <f t="shared" si="15"/>
        <v>C01530 : Octadecanoic acid</v>
      </c>
    </row>
    <row r="372" spans="1:4" x14ac:dyDescent="0.35">
      <c r="A372" s="1" t="s">
        <v>9514</v>
      </c>
      <c r="B372" s="1" t="s">
        <v>13225</v>
      </c>
      <c r="C372" s="38" t="str">
        <f t="shared" si="14"/>
        <v>C01545:1</v>
      </c>
      <c r="D372" s="37" t="str">
        <f t="shared" si="15"/>
        <v>C01545 : Octanal</v>
      </c>
    </row>
    <row r="373" spans="1:4" x14ac:dyDescent="0.35">
      <c r="A373" s="1" t="s">
        <v>9510</v>
      </c>
      <c r="B373" s="1" t="s">
        <v>13226</v>
      </c>
      <c r="C373" s="38" t="str">
        <f t="shared" si="14"/>
        <v>C01563:1</v>
      </c>
      <c r="D373" s="37" t="str">
        <f t="shared" si="15"/>
        <v>C01563 : Carbamate</v>
      </c>
    </row>
    <row r="374" spans="1:4" x14ac:dyDescent="0.35">
      <c r="A374" s="1" t="s">
        <v>9680</v>
      </c>
      <c r="B374" s="1" t="s">
        <v>13227</v>
      </c>
      <c r="C374" s="38" t="str">
        <f t="shared" si="14"/>
        <v>C01595:1</v>
      </c>
      <c r="D374" s="37" t="str">
        <f t="shared" si="15"/>
        <v>C01595 : Linoleate</v>
      </c>
    </row>
    <row r="375" spans="1:4" x14ac:dyDescent="0.35">
      <c r="A375" s="1" t="s">
        <v>9347</v>
      </c>
      <c r="B375" s="1" t="s">
        <v>13228</v>
      </c>
      <c r="C375" s="38" t="str">
        <f t="shared" si="14"/>
        <v>C01609:1</v>
      </c>
      <c r="D375" s="37" t="str">
        <f t="shared" si="15"/>
        <v>C01609 : Protamine</v>
      </c>
    </row>
    <row r="376" spans="1:4" x14ac:dyDescent="0.35">
      <c r="A376" s="1" t="s">
        <v>9101</v>
      </c>
      <c r="B376" s="1" t="s">
        <v>13229</v>
      </c>
      <c r="C376" s="38" t="str">
        <f t="shared" si="14"/>
        <v>C01612:1</v>
      </c>
      <c r="D376" s="37" t="str">
        <f t="shared" si="15"/>
        <v>C01612 : Secondary alcohol</v>
      </c>
    </row>
    <row r="377" spans="1:4" x14ac:dyDescent="0.35">
      <c r="A377" s="1" t="s">
        <v>9434</v>
      </c>
      <c r="B377" s="1" t="s">
        <v>13230</v>
      </c>
      <c r="C377" s="38" t="str">
        <f t="shared" si="14"/>
        <v>C01613:1</v>
      </c>
      <c r="D377" s="37" t="str">
        <f t="shared" si="15"/>
        <v>C01613 : Stachyose</v>
      </c>
    </row>
    <row r="378" spans="1:4" x14ac:dyDescent="0.35">
      <c r="A378" s="1" t="s">
        <v>10146</v>
      </c>
      <c r="B378" s="1" t="s">
        <v>13231</v>
      </c>
      <c r="C378" s="38" t="str">
        <f t="shared" si="14"/>
        <v>C01635:1</v>
      </c>
      <c r="D378" s="37" t="str">
        <f t="shared" si="15"/>
        <v>C01635 : tRNA(Ala)</v>
      </c>
    </row>
    <row r="379" spans="1:4" x14ac:dyDescent="0.35">
      <c r="A379" s="1" t="s">
        <v>10137</v>
      </c>
      <c r="B379" s="1" t="s">
        <v>13232</v>
      </c>
      <c r="C379" s="38" t="str">
        <f t="shared" si="14"/>
        <v>C01636:1</v>
      </c>
      <c r="D379" s="37" t="str">
        <f t="shared" si="15"/>
        <v>C01636 : tRNA(Arg)</v>
      </c>
    </row>
    <row r="380" spans="1:4" x14ac:dyDescent="0.35">
      <c r="A380" s="1" t="s">
        <v>10141</v>
      </c>
      <c r="B380" s="1" t="s">
        <v>13233</v>
      </c>
      <c r="C380" s="38" t="str">
        <f t="shared" si="14"/>
        <v>C01637:1</v>
      </c>
      <c r="D380" s="37" t="str">
        <f t="shared" si="15"/>
        <v>C01637 : tRNA(Asn)</v>
      </c>
    </row>
    <row r="381" spans="1:4" x14ac:dyDescent="0.35">
      <c r="A381" s="1" t="s">
        <v>9484</v>
      </c>
      <c r="B381" s="1" t="s">
        <v>13234</v>
      </c>
      <c r="C381" s="38" t="str">
        <f t="shared" si="14"/>
        <v>C01638:1</v>
      </c>
      <c r="D381" s="37" t="str">
        <f t="shared" si="15"/>
        <v>C01638 : tRNA(Asp)</v>
      </c>
    </row>
    <row r="382" spans="1:4" x14ac:dyDescent="0.35">
      <c r="A382" s="1" t="s">
        <v>10136</v>
      </c>
      <c r="B382" s="1" t="s">
        <v>13235</v>
      </c>
      <c r="C382" s="38" t="str">
        <f t="shared" si="14"/>
        <v>C01639:1</v>
      </c>
      <c r="D382" s="37" t="str">
        <f t="shared" si="15"/>
        <v>C01639 : tRNA(Cys)</v>
      </c>
    </row>
    <row r="383" spans="1:4" x14ac:dyDescent="0.35">
      <c r="A383" s="1" t="s">
        <v>9485</v>
      </c>
      <c r="B383" s="1" t="s">
        <v>13236</v>
      </c>
      <c r="C383" s="38" t="str">
        <f t="shared" si="14"/>
        <v>C01641:1</v>
      </c>
      <c r="D383" s="37" t="str">
        <f t="shared" si="15"/>
        <v>C01641 : tRNA(Glu)</v>
      </c>
    </row>
    <row r="384" spans="1:4" x14ac:dyDescent="0.35">
      <c r="A384" s="1" t="s">
        <v>10134</v>
      </c>
      <c r="B384" s="1" t="s">
        <v>13237</v>
      </c>
      <c r="C384" s="38" t="str">
        <f t="shared" si="14"/>
        <v>C01642:1</v>
      </c>
      <c r="D384" s="37" t="str">
        <f t="shared" si="15"/>
        <v>C01642 : tRNA(Gly)</v>
      </c>
    </row>
    <row r="385" spans="1:4" x14ac:dyDescent="0.35">
      <c r="A385" s="1" t="s">
        <v>10140</v>
      </c>
      <c r="B385" s="1" t="s">
        <v>13238</v>
      </c>
      <c r="C385" s="38" t="str">
        <f t="shared" si="14"/>
        <v>C01643:1</v>
      </c>
      <c r="D385" s="37" t="str">
        <f t="shared" si="15"/>
        <v>C01643 : tRNA(His)</v>
      </c>
    </row>
    <row r="386" spans="1:4" x14ac:dyDescent="0.35">
      <c r="A386" s="1" t="s">
        <v>10144</v>
      </c>
      <c r="B386" s="1" t="s">
        <v>13239</v>
      </c>
      <c r="C386" s="38" t="str">
        <f t="shared" si="14"/>
        <v>C01644:1</v>
      </c>
      <c r="D386" s="37" t="str">
        <f t="shared" si="15"/>
        <v>C01644 : tRNA(Ile)</v>
      </c>
    </row>
    <row r="387" spans="1:4" x14ac:dyDescent="0.35">
      <c r="A387" s="1" t="s">
        <v>10143</v>
      </c>
      <c r="B387" s="1" t="s">
        <v>13240</v>
      </c>
      <c r="C387" s="38" t="str">
        <f t="shared" ref="C387:C450" si="16">CONCATENATE(A387,":","1")</f>
        <v>C01645:1</v>
      </c>
      <c r="D387" s="37" t="str">
        <f t="shared" ref="D387:D450" si="17">CONCATENATE(A387," : ",B387)</f>
        <v>C01645 : tRNA(Leu)</v>
      </c>
    </row>
    <row r="388" spans="1:4" x14ac:dyDescent="0.35">
      <c r="A388" s="1" t="s">
        <v>10145</v>
      </c>
      <c r="B388" s="1" t="s">
        <v>13241</v>
      </c>
      <c r="C388" s="38" t="str">
        <f t="shared" si="16"/>
        <v>C01646 :1</v>
      </c>
      <c r="D388" s="37" t="str">
        <f t="shared" si="17"/>
        <v>C01646  : tRNA(Lys)</v>
      </c>
    </row>
    <row r="389" spans="1:4" x14ac:dyDescent="0.35">
      <c r="A389" s="1" t="s">
        <v>10126</v>
      </c>
      <c r="B389" s="1" t="s">
        <v>13242</v>
      </c>
      <c r="C389" s="38" t="str">
        <f t="shared" si="16"/>
        <v>C01647:1</v>
      </c>
      <c r="D389" s="37" t="str">
        <f t="shared" si="17"/>
        <v>C01647 : tRNA(Met)</v>
      </c>
    </row>
    <row r="390" spans="1:4" x14ac:dyDescent="0.35">
      <c r="A390" s="1" t="s">
        <v>10139</v>
      </c>
      <c r="B390" s="1" t="s">
        <v>13243</v>
      </c>
      <c r="C390" s="38" t="str">
        <f t="shared" si="16"/>
        <v>C01648:1</v>
      </c>
      <c r="D390" s="37" t="str">
        <f t="shared" si="17"/>
        <v>C01648 : tRNA(Phe)</v>
      </c>
    </row>
    <row r="391" spans="1:4" x14ac:dyDescent="0.35">
      <c r="A391" s="1" t="s">
        <v>10135</v>
      </c>
      <c r="B391" s="1" t="s">
        <v>13244</v>
      </c>
      <c r="C391" s="38" t="str">
        <f t="shared" si="16"/>
        <v>C01649 :1</v>
      </c>
      <c r="D391" s="37" t="str">
        <f t="shared" si="17"/>
        <v>C01649  : tRNA(Pro)</v>
      </c>
    </row>
    <row r="392" spans="1:4" x14ac:dyDescent="0.35">
      <c r="A392" s="1" t="s">
        <v>10127</v>
      </c>
      <c r="B392" s="1" t="s">
        <v>13245</v>
      </c>
      <c r="C392" s="38" t="str">
        <f t="shared" si="16"/>
        <v>C01650:1</v>
      </c>
      <c r="D392" s="37" t="str">
        <f t="shared" si="17"/>
        <v>C01650 : tRNA(Ser)</v>
      </c>
    </row>
    <row r="393" spans="1:4" x14ac:dyDescent="0.35">
      <c r="A393" s="1" t="s">
        <v>10142</v>
      </c>
      <c r="B393" s="1" t="s">
        <v>13246</v>
      </c>
      <c r="C393" s="38" t="str">
        <f t="shared" si="16"/>
        <v>C01651:1</v>
      </c>
      <c r="D393" s="37" t="str">
        <f t="shared" si="17"/>
        <v>C01651 : tRNA(Thr)</v>
      </c>
    </row>
    <row r="394" spans="1:4" x14ac:dyDescent="0.35">
      <c r="A394" s="1" t="s">
        <v>10138</v>
      </c>
      <c r="B394" s="1" t="s">
        <v>13247</v>
      </c>
      <c r="C394" s="38" t="str">
        <f t="shared" si="16"/>
        <v>C01652:1</v>
      </c>
      <c r="D394" s="37" t="str">
        <f t="shared" si="17"/>
        <v>C01652 : tRNA(Trp)</v>
      </c>
    </row>
    <row r="395" spans="1:4" x14ac:dyDescent="0.35">
      <c r="A395" s="1" t="s">
        <v>10147</v>
      </c>
      <c r="B395" s="1" t="s">
        <v>13248</v>
      </c>
      <c r="C395" s="38" t="str">
        <f t="shared" si="16"/>
        <v>C01653:1</v>
      </c>
      <c r="D395" s="37" t="str">
        <f t="shared" si="17"/>
        <v>C01653 : tRNA(Val)</v>
      </c>
    </row>
    <row r="396" spans="1:4" x14ac:dyDescent="0.35">
      <c r="A396" s="1" t="s">
        <v>9259</v>
      </c>
      <c r="B396" s="1" t="s">
        <v>13249</v>
      </c>
      <c r="C396" s="38" t="str">
        <f t="shared" si="16"/>
        <v>C01762:1</v>
      </c>
      <c r="D396" s="37" t="str">
        <f t="shared" si="17"/>
        <v>C01762 : Xanthosine</v>
      </c>
    </row>
    <row r="397" spans="1:4" x14ac:dyDescent="0.35">
      <c r="A397" s="1" t="s">
        <v>9547</v>
      </c>
      <c r="B397" s="1" t="s">
        <v>13250</v>
      </c>
      <c r="C397" s="38" t="str">
        <f t="shared" si="16"/>
        <v>C01769:1</v>
      </c>
      <c r="D397" s="37" t="str">
        <f t="shared" si="17"/>
        <v>C01769 : (S)-Acetoin</v>
      </c>
    </row>
    <row r="398" spans="1:4" x14ac:dyDescent="0.35">
      <c r="A398" s="1" t="s">
        <v>9540</v>
      </c>
      <c r="B398" s="1" t="s">
        <v>13251</v>
      </c>
      <c r="C398" s="38" t="str">
        <f t="shared" si="16"/>
        <v>C01876:1</v>
      </c>
      <c r="D398" s="37" t="str">
        <f t="shared" si="17"/>
        <v>C01876 : 3-Oxosteroid</v>
      </c>
    </row>
    <row r="399" spans="1:4" x14ac:dyDescent="0.35">
      <c r="A399" s="1" t="s">
        <v>9386</v>
      </c>
      <c r="B399" s="1" t="s">
        <v>13252</v>
      </c>
      <c r="C399" s="38" t="str">
        <f t="shared" si="16"/>
        <v>C01909:1</v>
      </c>
      <c r="D399" s="37" t="str">
        <f t="shared" si="17"/>
        <v>C01909 : Dethiobiotin</v>
      </c>
    </row>
    <row r="400" spans="1:4" x14ac:dyDescent="0.35">
      <c r="A400" s="1" t="s">
        <v>10166</v>
      </c>
      <c r="B400" s="1" t="s">
        <v>13253</v>
      </c>
      <c r="C400" s="38" t="str">
        <f t="shared" si="16"/>
        <v>C01931:1</v>
      </c>
      <c r="D400" s="37" t="str">
        <f t="shared" si="17"/>
        <v>C01931 : L-Lysyl-tRNA</v>
      </c>
    </row>
    <row r="401" spans="1:4" x14ac:dyDescent="0.35">
      <c r="A401" s="1" t="s">
        <v>9421</v>
      </c>
      <c r="B401" s="1" t="s">
        <v>13254</v>
      </c>
      <c r="C401" s="38" t="str">
        <f t="shared" si="16"/>
        <v>C01935:1</v>
      </c>
      <c r="D401" s="37" t="str">
        <f t="shared" si="17"/>
        <v>C01935 : Maltodextrin</v>
      </c>
    </row>
    <row r="402" spans="1:4" x14ac:dyDescent="0.35">
      <c r="A402" s="1" t="s">
        <v>9278</v>
      </c>
      <c r="B402" s="1" t="s">
        <v>13255</v>
      </c>
      <c r="C402" s="38" t="str">
        <f t="shared" si="16"/>
        <v>C01977:1</v>
      </c>
      <c r="D402" s="37" t="str">
        <f t="shared" si="17"/>
        <v>C01977 : tRNA guanine</v>
      </c>
    </row>
    <row r="403" spans="1:4" x14ac:dyDescent="0.35">
      <c r="A403" s="1" t="s">
        <v>9400</v>
      </c>
      <c r="B403" s="1" t="s">
        <v>13256</v>
      </c>
      <c r="C403" s="38" t="str">
        <f t="shared" si="16"/>
        <v>C02041:1</v>
      </c>
      <c r="D403" s="37" t="str">
        <f t="shared" si="17"/>
        <v>C02041 : Eicosanoyl-CoA</v>
      </c>
    </row>
    <row r="404" spans="1:4" x14ac:dyDescent="0.35">
      <c r="A404" s="1" t="s">
        <v>10164</v>
      </c>
      <c r="B404" s="1" t="s">
        <v>13257</v>
      </c>
      <c r="C404" s="38" t="str">
        <f t="shared" si="16"/>
        <v>C02047:1</v>
      </c>
      <c r="D404" s="37" t="str">
        <f t="shared" si="17"/>
        <v>C02047 : L-Leucyl-tRNA</v>
      </c>
    </row>
    <row r="405" spans="1:4" x14ac:dyDescent="0.35">
      <c r="A405" s="1" t="s">
        <v>9402</v>
      </c>
      <c r="B405" s="1" t="s">
        <v>13258</v>
      </c>
      <c r="C405" s="38" t="str">
        <f t="shared" si="16"/>
        <v>C02050:1</v>
      </c>
      <c r="D405" s="37" t="str">
        <f t="shared" si="17"/>
        <v>C02050 : Linoleoyl-CoA</v>
      </c>
    </row>
    <row r="406" spans="1:4" x14ac:dyDescent="0.35">
      <c r="A406" s="1" t="s">
        <v>9581</v>
      </c>
      <c r="B406" s="1" t="s">
        <v>13259</v>
      </c>
      <c r="C406" s="38" t="str">
        <f t="shared" si="16"/>
        <v>C02051:1</v>
      </c>
      <c r="D406" s="37" t="str">
        <f t="shared" si="17"/>
        <v>C02051 : Lipoylprotein</v>
      </c>
    </row>
    <row r="407" spans="1:4" x14ac:dyDescent="0.35">
      <c r="A407" s="1" t="s">
        <v>9555</v>
      </c>
      <c r="B407" s="1" t="s">
        <v>13260</v>
      </c>
      <c r="C407" s="38" t="str">
        <f t="shared" si="16"/>
        <v>C02090:1</v>
      </c>
      <c r="D407" s="37" t="str">
        <f t="shared" si="17"/>
        <v>C02090 : Trypanothione</v>
      </c>
    </row>
    <row r="408" spans="1:4" x14ac:dyDescent="0.35">
      <c r="A408" s="1" t="s">
        <v>8704</v>
      </c>
      <c r="B408" s="1" t="s">
        <v>13261</v>
      </c>
      <c r="C408" s="38" t="str">
        <f t="shared" si="16"/>
        <v>C02097:1</v>
      </c>
      <c r="D408" s="37" t="str">
        <f t="shared" si="17"/>
        <v>C02097 : dTDP-galactose</v>
      </c>
    </row>
    <row r="409" spans="1:4" x14ac:dyDescent="0.35">
      <c r="A409" s="1" t="s">
        <v>9609</v>
      </c>
      <c r="B409" s="1" t="s">
        <v>13262</v>
      </c>
      <c r="C409" s="38" t="str">
        <f t="shared" si="16"/>
        <v>C02130:1</v>
      </c>
      <c r="D409" s="37" t="str">
        <f t="shared" si="17"/>
        <v>C02130 : Acetyl-maltose</v>
      </c>
    </row>
    <row r="410" spans="1:4" x14ac:dyDescent="0.35">
      <c r="A410" s="1" t="s">
        <v>9471</v>
      </c>
      <c r="B410" s="1" t="s">
        <v>13263</v>
      </c>
      <c r="C410" s="38" t="str">
        <f t="shared" si="16"/>
        <v>C02133:1</v>
      </c>
      <c r="D410" s="37" t="str">
        <f t="shared" si="17"/>
        <v>C02133 : Acyl phosphate</v>
      </c>
    </row>
    <row r="411" spans="1:4" x14ac:dyDescent="0.35">
      <c r="A411" s="1" t="s">
        <v>10158</v>
      </c>
      <c r="B411" s="1" t="s">
        <v>13264</v>
      </c>
      <c r="C411" s="38" t="str">
        <f t="shared" si="16"/>
        <v>C02163:1</v>
      </c>
      <c r="D411" s="37" t="str">
        <f t="shared" si="17"/>
        <v>C02163 : L-Arginyl-tRNA(Arg)</v>
      </c>
    </row>
    <row r="412" spans="1:4" x14ac:dyDescent="0.35">
      <c r="A412" s="1" t="s">
        <v>8640</v>
      </c>
      <c r="B412" s="1" t="s">
        <v>13265</v>
      </c>
      <c r="C412" s="38" t="str">
        <f t="shared" si="16"/>
        <v>C02218:1</v>
      </c>
      <c r="D412" s="37" t="str">
        <f t="shared" si="17"/>
        <v>C02218 : Dehydroalanine</v>
      </c>
    </row>
    <row r="413" spans="1:4" x14ac:dyDescent="0.35">
      <c r="A413" s="1" t="s">
        <v>9408</v>
      </c>
      <c r="B413" s="1" t="s">
        <v>13266</v>
      </c>
      <c r="C413" s="38" t="str">
        <f t="shared" si="16"/>
        <v>C02249:1</v>
      </c>
      <c r="D413" s="37" t="str">
        <f t="shared" si="17"/>
        <v>C02249 : Arachidonyl-CoA</v>
      </c>
    </row>
    <row r="414" spans="1:4" x14ac:dyDescent="0.35">
      <c r="A414" s="1" t="s">
        <v>9638</v>
      </c>
      <c r="B414" s="1" t="s">
        <v>13267</v>
      </c>
      <c r="C414" s="38" t="str">
        <f t="shared" si="16"/>
        <v>C02291:1</v>
      </c>
      <c r="D414" s="37" t="str">
        <f t="shared" si="17"/>
        <v>C02291 : L-Cystathionine</v>
      </c>
    </row>
    <row r="415" spans="1:4" x14ac:dyDescent="0.35">
      <c r="A415" s="1" t="s">
        <v>9704</v>
      </c>
      <c r="B415" s="1" t="s">
        <v>13268</v>
      </c>
      <c r="C415" s="38" t="str">
        <f t="shared" si="16"/>
        <v>C02323:1</v>
      </c>
      <c r="D415" s="37" t="str">
        <f t="shared" si="17"/>
        <v>C02323 : Salicyl alcohol</v>
      </c>
    </row>
    <row r="416" spans="1:4" x14ac:dyDescent="0.35">
      <c r="A416" s="1" t="s">
        <v>9341</v>
      </c>
      <c r="B416" s="1" t="s">
        <v>13269</v>
      </c>
      <c r="C416" s="38" t="str">
        <f t="shared" si="16"/>
        <v>C02336:1</v>
      </c>
      <c r="D416" s="37" t="str">
        <f t="shared" si="17"/>
        <v>C02336 : beta-D-Fructose</v>
      </c>
    </row>
    <row r="417" spans="1:4" x14ac:dyDescent="0.35">
      <c r="A417" s="1" t="s">
        <v>9319</v>
      </c>
      <c r="B417" s="1" t="s">
        <v>13270</v>
      </c>
      <c r="C417" s="38" t="str">
        <f t="shared" si="16"/>
        <v>C02356:1</v>
      </c>
      <c r="D417" s="37" t="str">
        <f t="shared" si="17"/>
        <v>C02356 : (S)-2-Aminobutanoate</v>
      </c>
    </row>
    <row r="418" spans="1:4" x14ac:dyDescent="0.35">
      <c r="A418" s="1" t="s">
        <v>9281</v>
      </c>
      <c r="B418" s="1" t="s">
        <v>13271</v>
      </c>
      <c r="C418" s="38" t="str">
        <f t="shared" si="16"/>
        <v>C02380:1</v>
      </c>
      <c r="D418" s="37" t="str">
        <f t="shared" si="17"/>
        <v>C02380 : 6-Mercaptopurine</v>
      </c>
    </row>
    <row r="419" spans="1:4" x14ac:dyDescent="0.35">
      <c r="A419" s="1" t="s">
        <v>10155</v>
      </c>
      <c r="B419" s="1" t="s">
        <v>13272</v>
      </c>
      <c r="C419" s="38" t="str">
        <f t="shared" si="16"/>
        <v>C02412:1</v>
      </c>
      <c r="D419" s="37" t="str">
        <f t="shared" si="17"/>
        <v>C02412 : Glycyl-tRNA(Gly)</v>
      </c>
    </row>
    <row r="420" spans="1:4" x14ac:dyDescent="0.35">
      <c r="A420" s="1" t="s">
        <v>9215</v>
      </c>
      <c r="B420" s="1" t="s">
        <v>13273</v>
      </c>
      <c r="C420" s="38" t="str">
        <f t="shared" si="16"/>
        <v>C02430:1</v>
      </c>
      <c r="D420" s="37" t="str">
        <f t="shared" si="17"/>
        <v>C02430 : L-Methionyl-tRNA</v>
      </c>
    </row>
    <row r="421" spans="1:4" x14ac:dyDescent="0.35">
      <c r="A421" s="1" t="s">
        <v>8589</v>
      </c>
      <c r="B421" s="1" t="s">
        <v>13274</v>
      </c>
      <c r="C421" s="38" t="str">
        <f t="shared" si="16"/>
        <v>C02504:1</v>
      </c>
      <c r="D421" s="37" t="str">
        <f t="shared" si="17"/>
        <v>C02504 : alpha-Isopropylmalate</v>
      </c>
    </row>
    <row r="422" spans="1:4" x14ac:dyDescent="0.35">
      <c r="A422" s="1" t="s">
        <v>9419</v>
      </c>
      <c r="B422" s="1" t="s">
        <v>13275</v>
      </c>
      <c r="C422" s="38" t="str">
        <f t="shared" si="16"/>
        <v>C02520:1</v>
      </c>
      <c r="D422" s="37" t="str">
        <f t="shared" si="17"/>
        <v>C02520 : 5'-Ribonucleotide</v>
      </c>
    </row>
    <row r="423" spans="1:4" x14ac:dyDescent="0.35">
      <c r="A423" s="1" t="s">
        <v>9416</v>
      </c>
      <c r="B423" s="1" t="s">
        <v>13276</v>
      </c>
      <c r="C423" s="38" t="str">
        <f t="shared" si="16"/>
        <v>C02532:1</v>
      </c>
      <c r="D423" s="37" t="str">
        <f t="shared" si="17"/>
        <v>C02532 : O-Phospho-D-serine</v>
      </c>
    </row>
    <row r="424" spans="1:4" x14ac:dyDescent="0.35">
      <c r="A424" s="1" t="s">
        <v>10152</v>
      </c>
      <c r="B424" s="1" t="s">
        <v>13277</v>
      </c>
      <c r="C424" s="38" t="str">
        <f t="shared" si="16"/>
        <v>C02553:1</v>
      </c>
      <c r="D424" s="37" t="str">
        <f t="shared" si="17"/>
        <v>C02553 : L-Seryl-tRNA(Ser)</v>
      </c>
    </row>
    <row r="425" spans="1:4" x14ac:dyDescent="0.35">
      <c r="A425" s="1" t="s">
        <v>10168</v>
      </c>
      <c r="B425" s="1" t="s">
        <v>13278</v>
      </c>
      <c r="C425" s="38" t="str">
        <f t="shared" si="16"/>
        <v>C02554:1</v>
      </c>
      <c r="D425" s="37" t="str">
        <f t="shared" si="17"/>
        <v>C02554 : L-Valyl-tRNA(Val)</v>
      </c>
    </row>
    <row r="426" spans="1:4" x14ac:dyDescent="0.35">
      <c r="A426" s="1" t="s">
        <v>9140</v>
      </c>
      <c r="B426" s="1" t="s">
        <v>13279</v>
      </c>
      <c r="C426" s="38" t="str">
        <f t="shared" si="16"/>
        <v>C02630:1</v>
      </c>
      <c r="D426" s="37" t="str">
        <f t="shared" si="17"/>
        <v>C02630 : 2-Hydroxyglutarate</v>
      </c>
    </row>
    <row r="427" spans="1:4" x14ac:dyDescent="0.35">
      <c r="A427" s="1" t="s">
        <v>9738</v>
      </c>
      <c r="B427" s="1" t="s">
        <v>13280</v>
      </c>
      <c r="C427" s="38" t="str">
        <f t="shared" si="16"/>
        <v>C02631:1</v>
      </c>
      <c r="D427" s="37" t="str">
        <f t="shared" si="17"/>
        <v>C02631 : 2-Isopropylmaleate</v>
      </c>
    </row>
    <row r="428" spans="1:4" x14ac:dyDescent="0.35">
      <c r="A428" s="1" t="s">
        <v>9129</v>
      </c>
      <c r="B428" s="1" t="s">
        <v>13281</v>
      </c>
      <c r="C428" s="38" t="str">
        <f t="shared" si="16"/>
        <v>C02637:1</v>
      </c>
      <c r="D428" s="37" t="str">
        <f t="shared" si="17"/>
        <v>C02637 : 3-Dehydroshikimate</v>
      </c>
    </row>
    <row r="429" spans="1:4" x14ac:dyDescent="0.35">
      <c r="A429" s="1" t="s">
        <v>9674</v>
      </c>
      <c r="B429" s="1" t="s">
        <v>13282</v>
      </c>
      <c r="C429" s="38" t="str">
        <f t="shared" si="16"/>
        <v>C02679:1</v>
      </c>
      <c r="D429" s="37" t="str">
        <f t="shared" si="17"/>
        <v>C02679 : Dodecanoic acid</v>
      </c>
    </row>
    <row r="430" spans="1:4" x14ac:dyDescent="0.35">
      <c r="A430" s="1" t="s">
        <v>10156</v>
      </c>
      <c r="B430" s="1" t="s">
        <v>13283</v>
      </c>
      <c r="C430" s="38" t="str">
        <f t="shared" si="16"/>
        <v>C02702:1</v>
      </c>
      <c r="D430" s="37" t="str">
        <f t="shared" si="17"/>
        <v>C02702 : L-Prolyl-tRNA(Pro)</v>
      </c>
    </row>
    <row r="431" spans="1:4" x14ac:dyDescent="0.35">
      <c r="A431" s="1" t="s">
        <v>9657</v>
      </c>
      <c r="B431" s="1" t="s">
        <v>13284</v>
      </c>
      <c r="C431" s="38" t="str">
        <f t="shared" si="16"/>
        <v>C02729:1</v>
      </c>
      <c r="D431" s="37" t="str">
        <f t="shared" si="17"/>
        <v>C02729 : O-Phosphoprotamine</v>
      </c>
    </row>
    <row r="432" spans="1:4" x14ac:dyDescent="0.35">
      <c r="A432" s="1" t="s">
        <v>9270</v>
      </c>
      <c r="B432" s="1" t="s">
        <v>13285</v>
      </c>
      <c r="C432" s="38" t="str">
        <f t="shared" si="16"/>
        <v>C02739:1</v>
      </c>
      <c r="D432" s="37" t="str">
        <f t="shared" si="17"/>
        <v>C02739 : 1-(5-Phospho-D-ribosyl)-ATP</v>
      </c>
    </row>
    <row r="433" spans="1:4" x14ac:dyDescent="0.35">
      <c r="A433" s="1" t="s">
        <v>9461</v>
      </c>
      <c r="B433" s="1" t="s">
        <v>13286</v>
      </c>
      <c r="C433" s="38" t="str">
        <f t="shared" si="16"/>
        <v>C02741:1</v>
      </c>
      <c r="D433" s="37" t="str">
        <f t="shared" si="17"/>
        <v>C02741 : Phosphoribosyl-AMP</v>
      </c>
    </row>
    <row r="434" spans="1:4" x14ac:dyDescent="0.35">
      <c r="A434" s="1" t="s">
        <v>9390</v>
      </c>
      <c r="B434" s="1" t="s">
        <v>13287</v>
      </c>
      <c r="C434" s="38" t="str">
        <f t="shared" si="16"/>
        <v>C02743:1</v>
      </c>
      <c r="D434" s="37" t="str">
        <f t="shared" si="17"/>
        <v>C02743 : [Protein]-L-cysteine</v>
      </c>
    </row>
    <row r="435" spans="1:4" x14ac:dyDescent="0.35">
      <c r="A435" s="1" t="s">
        <v>8773</v>
      </c>
      <c r="B435" s="1" t="s">
        <v>13288</v>
      </c>
      <c r="C435" s="38" t="str">
        <f t="shared" si="16"/>
        <v>C02764:1</v>
      </c>
      <c r="D435" s="37" t="str">
        <f t="shared" si="17"/>
        <v>C02764 : tRNA pseudouridine</v>
      </c>
    </row>
    <row r="436" spans="1:4" x14ac:dyDescent="0.35">
      <c r="A436" s="1" t="s">
        <v>10150</v>
      </c>
      <c r="B436" s="1" t="s">
        <v>13289</v>
      </c>
      <c r="C436" s="38" t="str">
        <f t="shared" si="16"/>
        <v>C02839:1</v>
      </c>
      <c r="D436" s="37" t="str">
        <f t="shared" si="17"/>
        <v>C02839 : L-Tyrosyl-tRNA(Tyr)</v>
      </c>
    </row>
    <row r="437" spans="1:4" x14ac:dyDescent="0.35">
      <c r="A437" s="1" t="s">
        <v>9409</v>
      </c>
      <c r="B437" s="1" t="s">
        <v>13290</v>
      </c>
      <c r="C437" s="38" t="str">
        <f t="shared" si="16"/>
        <v>C02843:1</v>
      </c>
      <c r="D437" s="37" t="str">
        <f t="shared" si="17"/>
        <v>C02843 : Long-chain acyl-CoA</v>
      </c>
    </row>
    <row r="438" spans="1:4" x14ac:dyDescent="0.35">
      <c r="A438" s="1" t="s">
        <v>9611</v>
      </c>
      <c r="B438" s="1" t="s">
        <v>13291</v>
      </c>
      <c r="C438" s="38" t="str">
        <f t="shared" si="16"/>
        <v>C02876:1</v>
      </c>
      <c r="D438" s="37" t="str">
        <f t="shared" si="17"/>
        <v>C02876 : Propanoyl phosphate</v>
      </c>
    </row>
    <row r="439" spans="1:4" x14ac:dyDescent="0.35">
      <c r="A439" s="1" t="s">
        <v>9094</v>
      </c>
      <c r="B439" s="1" t="s">
        <v>13292</v>
      </c>
      <c r="C439" s="38" t="str">
        <f t="shared" si="16"/>
        <v>C02909:1</v>
      </c>
      <c r="D439" s="37" t="str">
        <f t="shared" si="17"/>
        <v>C02909 : (2-Naphthyl)methanol</v>
      </c>
    </row>
    <row r="440" spans="1:4" x14ac:dyDescent="0.35">
      <c r="A440" s="1" t="s">
        <v>9578</v>
      </c>
      <c r="B440" s="1" t="s">
        <v>13293</v>
      </c>
      <c r="C440" s="38" t="str">
        <f t="shared" si="16"/>
        <v>C02953:1</v>
      </c>
      <c r="D440" s="37" t="str">
        <f t="shared" si="17"/>
        <v>C02953 : 7,8-Dihydrobiopterin</v>
      </c>
    </row>
    <row r="441" spans="1:4" x14ac:dyDescent="0.35">
      <c r="A441" s="1" t="s">
        <v>8730</v>
      </c>
      <c r="B441" s="1" t="s">
        <v>13294</v>
      </c>
      <c r="C441" s="38" t="str">
        <f t="shared" si="16"/>
        <v>C02962:1</v>
      </c>
      <c r="D441" s="37" t="str">
        <f t="shared" si="17"/>
        <v>C02962 : D-Allose 6-phosphate</v>
      </c>
    </row>
    <row r="442" spans="1:4" x14ac:dyDescent="0.35">
      <c r="A442" s="1" t="s">
        <v>9188</v>
      </c>
      <c r="B442" s="1" t="s">
        <v>13295</v>
      </c>
      <c r="C442" s="38" t="str">
        <f t="shared" si="16"/>
        <v>C02972:1</v>
      </c>
      <c r="D442" s="37" t="str">
        <f t="shared" si="17"/>
        <v>C02972 : Dihydrolipoylprotein</v>
      </c>
    </row>
    <row r="443" spans="1:4" x14ac:dyDescent="0.35">
      <c r="A443" s="1" t="s">
        <v>9744</v>
      </c>
      <c r="B443" s="1" t="s">
        <v>13296</v>
      </c>
      <c r="C443" s="38" t="str">
        <f t="shared" si="16"/>
        <v>C02984:1</v>
      </c>
      <c r="D443" s="37" t="str">
        <f t="shared" si="17"/>
        <v>C02984 : L-Aspartyl-tRNA(Asp)</v>
      </c>
    </row>
    <row r="444" spans="1:4" x14ac:dyDescent="0.35">
      <c r="A444" s="1" t="s">
        <v>9745</v>
      </c>
      <c r="B444" s="1" t="s">
        <v>13297</v>
      </c>
      <c r="C444" s="38" t="str">
        <f t="shared" si="16"/>
        <v>C02987:1</v>
      </c>
      <c r="D444" s="37" t="str">
        <f t="shared" si="17"/>
        <v>C02987 : L-Glutamyl-tRNA(Glu)</v>
      </c>
    </row>
    <row r="445" spans="1:4" x14ac:dyDescent="0.35">
      <c r="A445" s="1" t="s">
        <v>10161</v>
      </c>
      <c r="B445" s="1" t="s">
        <v>13298</v>
      </c>
      <c r="C445" s="38" t="str">
        <f t="shared" si="16"/>
        <v>C02988:1</v>
      </c>
      <c r="D445" s="37" t="str">
        <f t="shared" si="17"/>
        <v>C02988 : L-Histidyl-tRNA(His)</v>
      </c>
    </row>
    <row r="446" spans="1:4" x14ac:dyDescent="0.35">
      <c r="A446" s="1" t="s">
        <v>10163</v>
      </c>
      <c r="B446" s="1" t="s">
        <v>13299</v>
      </c>
      <c r="C446" s="38" t="str">
        <f t="shared" si="16"/>
        <v>C02992:1</v>
      </c>
      <c r="D446" s="37" t="str">
        <f t="shared" si="17"/>
        <v>C02992 : L-Threonyl-tRNA(Thr)</v>
      </c>
    </row>
    <row r="447" spans="1:4" x14ac:dyDescent="0.35">
      <c r="A447" s="1" t="s">
        <v>9455</v>
      </c>
      <c r="B447" s="1" t="s">
        <v>13300</v>
      </c>
      <c r="C447" s="38" t="str">
        <f t="shared" si="16"/>
        <v>C02999:1</v>
      </c>
      <c r="D447" s="37" t="str">
        <f t="shared" si="17"/>
        <v>C02999 : N-Acetylmuramoyl-Ala</v>
      </c>
    </row>
    <row r="448" spans="1:4" x14ac:dyDescent="0.35">
      <c r="A448" s="1" t="s">
        <v>9195</v>
      </c>
      <c r="B448" s="1" t="s">
        <v>13301</v>
      </c>
      <c r="C448" s="38" t="str">
        <f t="shared" si="16"/>
        <v>C03023:1</v>
      </c>
      <c r="D448" s="37" t="str">
        <f t="shared" si="17"/>
        <v>C03023 : Peptide-L-methionine</v>
      </c>
    </row>
    <row r="449" spans="1:4" x14ac:dyDescent="0.35">
      <c r="A449" s="1" t="s">
        <v>9659</v>
      </c>
      <c r="B449" s="1" t="s">
        <v>13302</v>
      </c>
      <c r="C449" s="38" t="str">
        <f t="shared" si="16"/>
        <v>C03028:1</v>
      </c>
      <c r="D449" s="37" t="str">
        <f t="shared" si="17"/>
        <v>C03028 : Thiamin triphosphate</v>
      </c>
    </row>
    <row r="450" spans="1:4" x14ac:dyDescent="0.35">
      <c r="A450" s="1" t="s">
        <v>9406</v>
      </c>
      <c r="B450" s="1" t="s">
        <v>13303</v>
      </c>
      <c r="C450" s="38" t="str">
        <f t="shared" si="16"/>
        <v>C03035:1</v>
      </c>
      <c r="D450" s="37" t="str">
        <f t="shared" si="17"/>
        <v>C03035 : gamma-Linolenoyl-CoA</v>
      </c>
    </row>
    <row r="451" spans="1:4" x14ac:dyDescent="0.35">
      <c r="A451" s="1" t="s">
        <v>9735</v>
      </c>
      <c r="B451" s="1" t="s">
        <v>13304</v>
      </c>
      <c r="C451" s="38" t="str">
        <f t="shared" ref="C451:C514" si="18">CONCATENATE(A451,":","1")</f>
        <v>C03069:1</v>
      </c>
      <c r="D451" s="37" t="str">
        <f t="shared" ref="D451:D514" si="19">CONCATENATE(A451," : ",B451)</f>
        <v>C03069 : 3-Methylcrotonyl-CoA</v>
      </c>
    </row>
    <row r="452" spans="1:4" x14ac:dyDescent="0.35">
      <c r="A452" s="1" t="s">
        <v>9558</v>
      </c>
      <c r="B452" s="1" t="s">
        <v>13305</v>
      </c>
      <c r="C452" s="38" t="str">
        <f t="shared" si="18"/>
        <v>C03082:1</v>
      </c>
      <c r="D452" s="37" t="str">
        <f t="shared" si="19"/>
        <v>C03082 : 4-Phospho-L-aspartate</v>
      </c>
    </row>
    <row r="453" spans="1:4" x14ac:dyDescent="0.35">
      <c r="A453" s="1" t="s">
        <v>9705</v>
      </c>
      <c r="B453" s="1" t="s">
        <v>13306</v>
      </c>
      <c r="C453" s="38" t="str">
        <f t="shared" si="18"/>
        <v>C03089:1</v>
      </c>
      <c r="D453" s="37" t="str">
        <f t="shared" si="19"/>
        <v>C03089 : 5-Methylthio-D-ribose</v>
      </c>
    </row>
    <row r="454" spans="1:4" x14ac:dyDescent="0.35">
      <c r="A454" s="1" t="s">
        <v>9269</v>
      </c>
      <c r="B454" s="1" t="s">
        <v>13307</v>
      </c>
      <c r="C454" s="38" t="str">
        <f t="shared" si="18"/>
        <v>C03090:1</v>
      </c>
      <c r="D454" s="37" t="str">
        <f t="shared" si="19"/>
        <v>C03090 : 5-Phosphoribosylamine</v>
      </c>
    </row>
    <row r="455" spans="1:4" x14ac:dyDescent="0.35">
      <c r="A455" s="1" t="s">
        <v>10157</v>
      </c>
      <c r="B455" s="1" t="s">
        <v>13308</v>
      </c>
      <c r="C455" s="38" t="str">
        <f t="shared" si="18"/>
        <v>C03125:1</v>
      </c>
      <c r="D455" s="37" t="str">
        <f t="shared" si="19"/>
        <v>C03125 : L-Cysteinyl-tRNA(Cys)</v>
      </c>
    </row>
    <row r="456" spans="1:4" x14ac:dyDescent="0.35">
      <c r="A456" s="1" t="s">
        <v>10165</v>
      </c>
      <c r="B456" s="1" t="s">
        <v>13309</v>
      </c>
      <c r="C456" s="38" t="str">
        <f t="shared" si="18"/>
        <v>C03127:1</v>
      </c>
      <c r="D456" s="37" t="str">
        <f t="shared" si="19"/>
        <v>C03127 : L-Isoleucyl-tRNA(Ile)</v>
      </c>
    </row>
    <row r="457" spans="1:4" x14ac:dyDescent="0.35">
      <c r="A457" s="1" t="s">
        <v>9264</v>
      </c>
      <c r="B457" s="1" t="s">
        <v>13310</v>
      </c>
      <c r="C457" s="38" t="str">
        <f t="shared" si="18"/>
        <v>C03150:1</v>
      </c>
      <c r="D457" s="37" t="str">
        <f t="shared" si="19"/>
        <v>C03150 : Nicotinamide-beta-riboside</v>
      </c>
    </row>
    <row r="458" spans="1:4" x14ac:dyDescent="0.35">
      <c r="A458" s="1" t="s">
        <v>9275</v>
      </c>
      <c r="B458" s="1" t="s">
        <v>13311</v>
      </c>
      <c r="C458" s="38" t="str">
        <f t="shared" si="18"/>
        <v>C03169:1</v>
      </c>
      <c r="D458" s="37" t="str">
        <f t="shared" si="19"/>
        <v>C03169 : Pyrimidine nucleoside</v>
      </c>
    </row>
    <row r="459" spans="1:4" x14ac:dyDescent="0.35">
      <c r="A459" s="1" t="s">
        <v>9152</v>
      </c>
      <c r="B459" s="1" t="s">
        <v>13312</v>
      </c>
      <c r="C459" s="38" t="str">
        <f t="shared" si="18"/>
        <v>C03170:1</v>
      </c>
      <c r="D459" s="37" t="str">
        <f t="shared" si="19"/>
        <v>C03170 : Trypanothione disulfide</v>
      </c>
    </row>
    <row r="460" spans="1:4" x14ac:dyDescent="0.35">
      <c r="A460" s="1" t="s">
        <v>9199</v>
      </c>
      <c r="B460" s="1" t="s">
        <v>13313</v>
      </c>
      <c r="C460" s="38" t="str">
        <f t="shared" si="18"/>
        <v>C03172:1</v>
      </c>
      <c r="D460" s="37" t="str">
        <f t="shared" si="19"/>
        <v>C03172 : S-Methyl-L-methionine</v>
      </c>
    </row>
    <row r="461" spans="1:4" x14ac:dyDescent="0.35">
      <c r="A461" s="1" t="s">
        <v>9291</v>
      </c>
      <c r="B461" s="1" t="s">
        <v>13314</v>
      </c>
      <c r="C461" s="38" t="str">
        <f t="shared" si="18"/>
        <v>C03175:1</v>
      </c>
      <c r="D461" s="37" t="str">
        <f t="shared" si="19"/>
        <v>C03175 : Shikimate 3-phosphate</v>
      </c>
    </row>
    <row r="462" spans="1:4" x14ac:dyDescent="0.35">
      <c r="A462" s="1" t="s">
        <v>9723</v>
      </c>
      <c r="B462" s="1" t="s">
        <v>13315</v>
      </c>
      <c r="C462" s="38" t="str">
        <f t="shared" si="18"/>
        <v>C03221:1</v>
      </c>
      <c r="D462" s="37" t="str">
        <f t="shared" si="19"/>
        <v>C03221 : 2-trans-Dodecenoyl-CoA</v>
      </c>
    </row>
    <row r="463" spans="1:4" x14ac:dyDescent="0.35">
      <c r="A463" s="1" t="s">
        <v>9550</v>
      </c>
      <c r="B463" s="1" t="s">
        <v>13316</v>
      </c>
      <c r="C463" s="38" t="str">
        <f t="shared" si="18"/>
        <v>C03232:1</v>
      </c>
      <c r="D463" s="37" t="str">
        <f t="shared" si="19"/>
        <v>C03232 : 3-Phosphonooxypyruvate</v>
      </c>
    </row>
    <row r="464" spans="1:4" x14ac:dyDescent="0.35">
      <c r="A464" s="1" t="s">
        <v>9685</v>
      </c>
      <c r="B464" s="1" t="s">
        <v>13317</v>
      </c>
      <c r="C464" s="38" t="str">
        <f t="shared" si="18"/>
        <v>C03242:1</v>
      </c>
      <c r="D464" s="37" t="str">
        <f t="shared" si="19"/>
        <v>C03242 : Dihomo-gamma-linolenate</v>
      </c>
    </row>
    <row r="465" spans="1:4" x14ac:dyDescent="0.35">
      <c r="A465" s="1" t="s">
        <v>9560</v>
      </c>
      <c r="B465" s="1" t="s">
        <v>13318</v>
      </c>
      <c r="C465" s="38" t="str">
        <f t="shared" si="18"/>
        <v>C03287:1</v>
      </c>
      <c r="D465" s="37" t="str">
        <f t="shared" si="19"/>
        <v>C03287 : L-Glutamyl 5-phosphate</v>
      </c>
    </row>
    <row r="466" spans="1:4" x14ac:dyDescent="0.35">
      <c r="A466" s="1" t="s">
        <v>9600</v>
      </c>
      <c r="B466" s="1" t="s">
        <v>13319</v>
      </c>
      <c r="C466" s="38" t="str">
        <f t="shared" si="18"/>
        <v>C03294:1</v>
      </c>
      <c r="D466" s="37" t="str">
        <f t="shared" si="19"/>
        <v>C03294 : N-Formylmethionyl-tRNA</v>
      </c>
    </row>
    <row r="467" spans="1:4" x14ac:dyDescent="0.35">
      <c r="A467" s="1" t="s">
        <v>9117</v>
      </c>
      <c r="B467" s="1" t="s">
        <v>13320</v>
      </c>
      <c r="C467" s="38" t="str">
        <f t="shared" si="18"/>
        <v>C03319:1</v>
      </c>
      <c r="D467" s="37" t="str">
        <f t="shared" si="19"/>
        <v>C03319 : dTDP-L-rhamnose</v>
      </c>
    </row>
    <row r="468" spans="1:4" x14ac:dyDescent="0.35">
      <c r="A468" s="1" t="s">
        <v>9724</v>
      </c>
      <c r="B468" s="1" t="s">
        <v>13321</v>
      </c>
      <c r="C468" s="38" t="str">
        <f t="shared" si="18"/>
        <v>C03345:1</v>
      </c>
      <c r="D468" s="37" t="str">
        <f t="shared" si="19"/>
        <v>C03345 : 2-Methylbut-2-enoyl-CoA</v>
      </c>
    </row>
    <row r="469" spans="1:4" x14ac:dyDescent="0.35">
      <c r="A469" s="1" t="s">
        <v>8498</v>
      </c>
      <c r="B469" s="1" t="s">
        <v>13322</v>
      </c>
      <c r="C469" s="38" t="str">
        <f t="shared" si="18"/>
        <v>C03356:1</v>
      </c>
      <c r="D469" s="37" t="str">
        <f t="shared" si="19"/>
        <v>C03356 : 3-Phospho-D-erythronate</v>
      </c>
    </row>
    <row r="470" spans="1:4" x14ac:dyDescent="0.35">
      <c r="A470" s="1" t="s">
        <v>9417</v>
      </c>
      <c r="B470" s="1" t="s">
        <v>13323</v>
      </c>
      <c r="C470" s="38" t="str">
        <f t="shared" si="18"/>
        <v>C03360:1</v>
      </c>
      <c r="D470" s="37" t="str">
        <f t="shared" si="19"/>
        <v>C03360 : 4-Nitrophenyl phosphate</v>
      </c>
    </row>
    <row r="471" spans="1:4" x14ac:dyDescent="0.35">
      <c r="A471" s="1" t="s">
        <v>9716</v>
      </c>
      <c r="B471" s="1" t="s">
        <v>13324</v>
      </c>
      <c r="C471" s="38" t="str">
        <f t="shared" si="18"/>
        <v>C03373:1</v>
      </c>
      <c r="D471" s="37" t="str">
        <f t="shared" si="19"/>
        <v>C03373 : Aminoimidazole ribotide</v>
      </c>
    </row>
    <row r="472" spans="1:4" x14ac:dyDescent="0.35">
      <c r="A472" s="1" t="s">
        <v>9598</v>
      </c>
      <c r="B472" s="1" t="s">
        <v>13325</v>
      </c>
      <c r="C472" s="38" t="str">
        <f t="shared" si="18"/>
        <v>C03391:1</v>
      </c>
      <c r="D472" s="37" t="str">
        <f t="shared" si="19"/>
        <v>C03391 : DNA 6-methylaminopurine</v>
      </c>
    </row>
    <row r="473" spans="1:4" x14ac:dyDescent="0.35">
      <c r="A473" s="1" t="s">
        <v>10162</v>
      </c>
      <c r="B473" s="1" t="s">
        <v>13326</v>
      </c>
      <c r="C473" s="38" t="str">
        <f t="shared" si="18"/>
        <v>C03402:1</v>
      </c>
      <c r="D473" s="37" t="str">
        <f t="shared" si="19"/>
        <v>C03402 : L-Asparaginyl-tRNA(Asn)</v>
      </c>
    </row>
    <row r="474" spans="1:4" x14ac:dyDescent="0.35">
      <c r="A474" s="1" t="s">
        <v>8658</v>
      </c>
      <c r="B474" s="1" t="s">
        <v>13327</v>
      </c>
      <c r="C474" s="38" t="str">
        <f t="shared" si="18"/>
        <v>C03406:1</v>
      </c>
      <c r="D474" s="37" t="str">
        <f t="shared" si="19"/>
        <v>C03406 : N-(L-Arginino)succinate</v>
      </c>
    </row>
    <row r="475" spans="1:4" x14ac:dyDescent="0.35">
      <c r="A475" s="1" t="s">
        <v>8679</v>
      </c>
      <c r="B475" s="1" t="s">
        <v>13328</v>
      </c>
      <c r="C475" s="38" t="str">
        <f t="shared" si="18"/>
        <v>C03451:1</v>
      </c>
      <c r="D475" s="37" t="str">
        <f t="shared" si="19"/>
        <v>C03451 : (R)-S-Lactoylglutathione</v>
      </c>
    </row>
    <row r="476" spans="1:4" x14ac:dyDescent="0.35">
      <c r="A476" s="1" t="s">
        <v>9477</v>
      </c>
      <c r="B476" s="1" t="s">
        <v>13329</v>
      </c>
      <c r="C476" s="38" t="str">
        <f t="shared" si="18"/>
        <v>C03460:1</v>
      </c>
      <c r="D476" s="37" t="str">
        <f t="shared" si="19"/>
        <v>C03460 : 2-Methylprop-2-enoyl-CoA</v>
      </c>
    </row>
    <row r="477" spans="1:4" x14ac:dyDescent="0.35">
      <c r="A477" s="1" t="s">
        <v>9503</v>
      </c>
      <c r="B477" s="1" t="s">
        <v>13330</v>
      </c>
      <c r="C477" s="38" t="str">
        <f t="shared" si="18"/>
        <v>C03479:1</v>
      </c>
      <c r="D477" s="37" t="str">
        <f t="shared" si="19"/>
        <v>C03479 : Folinic acid</v>
      </c>
    </row>
    <row r="478" spans="1:4" x14ac:dyDescent="0.35">
      <c r="A478" s="1" t="s">
        <v>9500</v>
      </c>
      <c r="B478" s="1" t="s">
        <v>13331</v>
      </c>
      <c r="C478" s="38" t="str">
        <f t="shared" si="18"/>
        <v>C03492:1</v>
      </c>
      <c r="D478" s="37" t="str">
        <f t="shared" si="19"/>
        <v>C03492 : D-4'-Phosphopantothenate</v>
      </c>
    </row>
    <row r="479" spans="1:4" x14ac:dyDescent="0.35">
      <c r="A479" s="1" t="s">
        <v>8574</v>
      </c>
      <c r="B479" s="1" t="s">
        <v>13332</v>
      </c>
      <c r="C479" s="38" t="str">
        <f t="shared" si="18"/>
        <v>C03506:1</v>
      </c>
      <c r="D479" s="37" t="str">
        <f t="shared" si="19"/>
        <v>C03506 : Indoleglycerol phosphate</v>
      </c>
    </row>
    <row r="480" spans="1:4" x14ac:dyDescent="0.35">
      <c r="A480" s="1" t="s">
        <v>10160</v>
      </c>
      <c r="B480" s="1" t="s">
        <v>13333</v>
      </c>
      <c r="C480" s="38" t="str">
        <f t="shared" si="18"/>
        <v>C03511:1</v>
      </c>
      <c r="D480" s="37" t="str">
        <f t="shared" si="19"/>
        <v>C03511 : L-Phenylalanyl-tRNA(Phe)</v>
      </c>
    </row>
    <row r="481" spans="1:4" x14ac:dyDescent="0.35">
      <c r="A481" s="1" t="s">
        <v>10159</v>
      </c>
      <c r="B481" s="1" t="s">
        <v>13334</v>
      </c>
      <c r="C481" s="38" t="str">
        <f t="shared" si="18"/>
        <v>C03512:1</v>
      </c>
      <c r="D481" s="37" t="str">
        <f t="shared" si="19"/>
        <v>C03512 : L-Tryptophanyl-tRNA(Trp)</v>
      </c>
    </row>
    <row r="482" spans="1:4" x14ac:dyDescent="0.35">
      <c r="A482" s="1" t="s">
        <v>9670</v>
      </c>
      <c r="B482" s="1" t="s">
        <v>13335</v>
      </c>
      <c r="C482" s="38" t="str">
        <f t="shared" si="18"/>
        <v>C03523:1</v>
      </c>
      <c r="D482" s="37" t="str">
        <f t="shared" si="19"/>
        <v>C03523 : N-Substituted amino acid</v>
      </c>
    </row>
    <row r="483" spans="1:4" x14ac:dyDescent="0.35">
      <c r="A483" s="1" t="s">
        <v>8675</v>
      </c>
      <c r="B483" s="1" t="s">
        <v>13336</v>
      </c>
      <c r="C483" s="38" t="str">
        <f t="shared" si="18"/>
        <v>C03539:1</v>
      </c>
      <c r="D483" s="37" t="str">
        <f t="shared" si="19"/>
        <v>C03539 : S-Ribosyl-L-homocysteine</v>
      </c>
    </row>
    <row r="484" spans="1:4" x14ac:dyDescent="0.35">
      <c r="A484" s="1" t="s">
        <v>9495</v>
      </c>
      <c r="B484" s="1" t="s">
        <v>13337</v>
      </c>
      <c r="C484" s="38" t="str">
        <f t="shared" si="18"/>
        <v>C03541:1</v>
      </c>
      <c r="D484" s="37" t="str">
        <f t="shared" si="19"/>
        <v>C03541 : THF-polyglutamate</v>
      </c>
    </row>
    <row r="485" spans="1:4" x14ac:dyDescent="0.35">
      <c r="A485" s="1" t="s">
        <v>9413</v>
      </c>
      <c r="B485" s="1" t="s">
        <v>13338</v>
      </c>
      <c r="C485" s="38" t="str">
        <f t="shared" si="18"/>
        <v>C03546:1</v>
      </c>
      <c r="D485" s="37" t="str">
        <f t="shared" si="19"/>
        <v>C03546 : myo-Inositol 4-phosphate</v>
      </c>
    </row>
    <row r="486" spans="1:4" x14ac:dyDescent="0.35">
      <c r="A486" s="1" t="s">
        <v>9392</v>
      </c>
      <c r="B486" s="1" t="s">
        <v>13339</v>
      </c>
      <c r="C486" s="38" t="str">
        <f t="shared" si="18"/>
        <v>C03586:1</v>
      </c>
      <c r="D486" s="37" t="str">
        <f t="shared" si="19"/>
        <v>C03586 : 2-Oxo-2,3-dihydrofuran-5-acetate</v>
      </c>
    </row>
    <row r="487" spans="1:4" x14ac:dyDescent="0.35">
      <c r="A487" s="1" t="s">
        <v>9407</v>
      </c>
      <c r="B487" s="1" t="s">
        <v>13340</v>
      </c>
      <c r="C487" s="38" t="str">
        <f t="shared" si="18"/>
        <v>C03595:1</v>
      </c>
      <c r="D487" s="37" t="str">
        <f t="shared" si="19"/>
        <v>C03595 : 8,11,14-Eicosatrienoyl-CoA</v>
      </c>
    </row>
    <row r="488" spans="1:4" x14ac:dyDescent="0.35">
      <c r="A488" s="1" t="s">
        <v>9711</v>
      </c>
      <c r="B488" s="1" t="s">
        <v>13341</v>
      </c>
      <c r="C488" s="38" t="str">
        <f t="shared" si="18"/>
        <v>C03617:1</v>
      </c>
      <c r="D488" s="37" t="str">
        <f t="shared" si="19"/>
        <v>C03617 : L-Methionylaminoacyl-tRNA</v>
      </c>
    </row>
    <row r="489" spans="1:4" x14ac:dyDescent="0.35">
      <c r="A489" s="1" t="s">
        <v>8715</v>
      </c>
      <c r="B489" s="1" t="s">
        <v>13342</v>
      </c>
      <c r="C489" s="38" t="str">
        <f t="shared" si="18"/>
        <v>C03633:1</v>
      </c>
      <c r="D489" s="37" t="str">
        <f t="shared" si="19"/>
        <v>C03633 : Peptidylproline (omega=0)</v>
      </c>
    </row>
    <row r="490" spans="1:4" x14ac:dyDescent="0.35">
      <c r="A490" s="1" t="s">
        <v>9740</v>
      </c>
      <c r="B490" s="1" t="s">
        <v>13343</v>
      </c>
      <c r="C490" s="38" t="str">
        <f t="shared" si="18"/>
        <v>C03684:1</v>
      </c>
      <c r="D490" s="37" t="str">
        <f t="shared" si="19"/>
        <v>C03684 : 6-Pyruvoyltetrahydropterin</v>
      </c>
    </row>
    <row r="491" spans="1:4" x14ac:dyDescent="0.35">
      <c r="A491" s="1" t="s">
        <v>9385</v>
      </c>
      <c r="B491" s="1" t="s">
        <v>13344</v>
      </c>
      <c r="C491" s="38" t="str">
        <f t="shared" si="18"/>
        <v>C03688 :1</v>
      </c>
      <c r="D491" s="37" t="str">
        <f t="shared" si="19"/>
        <v>C03688  : Apo-[acyl-carrier protein]</v>
      </c>
    </row>
    <row r="492" spans="1:4" x14ac:dyDescent="0.35">
      <c r="A492" s="1" t="s">
        <v>9553</v>
      </c>
      <c r="B492" s="1" t="s">
        <v>13345</v>
      </c>
      <c r="C492" s="38" t="str">
        <f t="shared" si="18"/>
        <v>C03723:1</v>
      </c>
      <c r="D492" s="37" t="str">
        <f t="shared" si="19"/>
        <v>C03723 : Ribonucleoside diphosphate</v>
      </c>
    </row>
    <row r="493" spans="1:4" x14ac:dyDescent="0.35">
      <c r="A493" s="1" t="s">
        <v>8781</v>
      </c>
      <c r="B493" s="1" t="s">
        <v>13346</v>
      </c>
      <c r="C493" s="38" t="str">
        <f t="shared" si="18"/>
        <v>C03733:1</v>
      </c>
      <c r="D493" s="37" t="str">
        <f t="shared" si="19"/>
        <v>C03733 : UDP-alpha-D-galactofuranose</v>
      </c>
    </row>
    <row r="494" spans="1:4" x14ac:dyDescent="0.35">
      <c r="A494" s="1" t="s">
        <v>8766</v>
      </c>
      <c r="B494" s="1" t="s">
        <v>13347</v>
      </c>
      <c r="C494" s="38" t="str">
        <f t="shared" si="18"/>
        <v>C03735:1</v>
      </c>
      <c r="D494" s="37" t="str">
        <f t="shared" si="19"/>
        <v>C03735 : alpha-D-Hexose 6-phosphate</v>
      </c>
    </row>
    <row r="495" spans="1:4" x14ac:dyDescent="0.35">
      <c r="A495" s="1" t="s">
        <v>9653</v>
      </c>
      <c r="B495" s="1" t="s">
        <v>13348</v>
      </c>
      <c r="C495" s="38" t="str">
        <f t="shared" si="18"/>
        <v>C03785:1</v>
      </c>
      <c r="D495" s="37" t="str">
        <f t="shared" si="19"/>
        <v>C03785 : D-Tagatose 1,6-bisphosphate</v>
      </c>
    </row>
    <row r="496" spans="1:4" x14ac:dyDescent="0.35">
      <c r="A496" s="1" t="s">
        <v>10173</v>
      </c>
      <c r="B496" s="1" t="s">
        <v>13349</v>
      </c>
      <c r="C496" s="38" t="str">
        <f t="shared" si="18"/>
        <v>C03794:1</v>
      </c>
      <c r="D496" s="37" t="str">
        <f t="shared" si="19"/>
        <v>C03794 : N6-(1,2-Dicarboxyethyl)-AMP</v>
      </c>
    </row>
    <row r="497" spans="1:4" x14ac:dyDescent="0.35">
      <c r="A497" s="1" t="s">
        <v>8714</v>
      </c>
      <c r="B497" s="1" t="s">
        <v>13350</v>
      </c>
      <c r="C497" s="38" t="str">
        <f t="shared" si="18"/>
        <v>C03798:1</v>
      </c>
      <c r="D497" s="37" t="str">
        <f t="shared" si="19"/>
        <v>C03798 : Peptidylproline (omega=180)</v>
      </c>
    </row>
    <row r="498" spans="1:4" x14ac:dyDescent="0.35">
      <c r="A498" s="1" t="s">
        <v>9596</v>
      </c>
      <c r="B498" s="1" t="s">
        <v>13351</v>
      </c>
      <c r="C498" s="38" t="str">
        <f t="shared" si="18"/>
        <v>C03800:1</v>
      </c>
      <c r="D498" s="37" t="str">
        <f t="shared" si="19"/>
        <v>C03800 : Protein S-methyl-L-cysteine</v>
      </c>
    </row>
    <row r="499" spans="1:4" x14ac:dyDescent="0.35">
      <c r="A499" s="1" t="s">
        <v>9556</v>
      </c>
      <c r="B499" s="1" t="s">
        <v>13352</v>
      </c>
      <c r="C499" s="38" t="str">
        <f t="shared" si="18"/>
        <v>C03802:1</v>
      </c>
      <c r="D499" s="37" t="str">
        <f t="shared" si="19"/>
        <v>C03802 : Ribonucleoside triphosphate</v>
      </c>
    </row>
    <row r="500" spans="1:4" x14ac:dyDescent="0.35">
      <c r="A500" s="1" t="s">
        <v>9213</v>
      </c>
      <c r="B500" s="1" t="s">
        <v>13353</v>
      </c>
      <c r="C500" s="38" t="str">
        <f t="shared" si="18"/>
        <v>C03838:1</v>
      </c>
      <c r="D500" s="37" t="str">
        <f t="shared" si="19"/>
        <v>C03838 : 5'-Phosphoribosylglycinamide</v>
      </c>
    </row>
    <row r="501" spans="1:4" x14ac:dyDescent="0.35">
      <c r="A501" s="1" t="s">
        <v>9620</v>
      </c>
      <c r="B501" s="1" t="s">
        <v>13354</v>
      </c>
      <c r="C501" s="38" t="str">
        <f t="shared" si="18"/>
        <v>C03862:1</v>
      </c>
      <c r="D501" s="37" t="str">
        <f t="shared" si="19"/>
        <v>C03862 : Dolichyl phosphate D-mannose</v>
      </c>
    </row>
    <row r="502" spans="1:4" x14ac:dyDescent="0.35">
      <c r="A502" s="1" t="s">
        <v>9393</v>
      </c>
      <c r="B502" s="1" t="s">
        <v>13355</v>
      </c>
      <c r="C502" s="38" t="str">
        <f t="shared" si="18"/>
        <v>C03880:1</v>
      </c>
      <c r="D502" s="37" t="str">
        <f t="shared" si="19"/>
        <v>C03880 : N-Substituted aminoacyl-tRNA</v>
      </c>
    </row>
    <row r="503" spans="1:4" x14ac:dyDescent="0.35">
      <c r="A503" s="1" t="s">
        <v>9415</v>
      </c>
      <c r="B503" s="1" t="s">
        <v>13356</v>
      </c>
      <c r="C503" s="38" t="str">
        <f t="shared" si="18"/>
        <v>C03892:1</v>
      </c>
      <c r="D503" s="37" t="str">
        <f t="shared" si="19"/>
        <v>C03892 : Phosphatidylglycerophosphate</v>
      </c>
    </row>
    <row r="504" spans="1:4" x14ac:dyDescent="0.35">
      <c r="A504" s="1" t="s">
        <v>9575</v>
      </c>
      <c r="B504" s="1" t="s">
        <v>13357</v>
      </c>
      <c r="C504" s="38" t="str">
        <f t="shared" si="18"/>
        <v>C03912:1</v>
      </c>
      <c r="D504" s="37" t="str">
        <f t="shared" si="19"/>
        <v>C03912 : (S)-1-Pyrroline-5-carboxylate</v>
      </c>
    </row>
    <row r="505" spans="1:4" x14ac:dyDescent="0.35">
      <c r="A505" s="1" t="s">
        <v>9223</v>
      </c>
      <c r="B505" s="1" t="s">
        <v>13358</v>
      </c>
      <c r="C505" s="38" t="str">
        <f t="shared" si="18"/>
        <v>C03939:1</v>
      </c>
      <c r="D505" s="37" t="str">
        <f t="shared" si="19"/>
        <v>C03939 : Acetyl-[acyl-carrier protein]</v>
      </c>
    </row>
    <row r="506" spans="1:4" x14ac:dyDescent="0.35">
      <c r="A506" s="1" t="s">
        <v>9144</v>
      </c>
      <c r="B506" s="1" t="s">
        <v>13359</v>
      </c>
      <c r="C506" s="38" t="str">
        <f t="shared" si="18"/>
        <v>C03972:1</v>
      </c>
      <c r="D506" s="37" t="str">
        <f t="shared" si="19"/>
        <v>C03972 : 2,3,4,5-Tetrahydrodipicolinate</v>
      </c>
    </row>
    <row r="507" spans="1:4" x14ac:dyDescent="0.35">
      <c r="A507" s="1" t="s">
        <v>9414</v>
      </c>
      <c r="B507" s="1" t="s">
        <v>13360</v>
      </c>
      <c r="C507" s="38" t="str">
        <f t="shared" si="18"/>
        <v>C04006:1</v>
      </c>
      <c r="D507" s="37" t="str">
        <f t="shared" si="19"/>
        <v>C04006 : 1D-myo-Inositol 3-phosphate</v>
      </c>
    </row>
    <row r="508" spans="1:4" x14ac:dyDescent="0.35">
      <c r="A508" s="1" t="s">
        <v>8608</v>
      </c>
      <c r="B508" s="1" t="s">
        <v>13361</v>
      </c>
      <c r="C508" s="38" t="str">
        <f t="shared" si="18"/>
        <v>C04039:1</v>
      </c>
      <c r="D508" s="37" t="str">
        <f t="shared" si="19"/>
        <v>C04039 : 2,3-Dihydroxy-3-methylbutanoate</v>
      </c>
    </row>
    <row r="509" spans="1:4" x14ac:dyDescent="0.35">
      <c r="A509" s="1" t="s">
        <v>9633</v>
      </c>
      <c r="B509" s="1" t="s">
        <v>13362</v>
      </c>
      <c r="C509" s="38" t="str">
        <f t="shared" si="18"/>
        <v>C04051:1</v>
      </c>
      <c r="D509" s="37" t="str">
        <f t="shared" si="19"/>
        <v>C04051 : 5-Amino-4-imidazolecarboxyamide</v>
      </c>
    </row>
    <row r="510" spans="1:4" x14ac:dyDescent="0.35">
      <c r="A510" s="1" t="s">
        <v>9336</v>
      </c>
      <c r="B510" s="1" t="s">
        <v>13363</v>
      </c>
      <c r="C510" s="38" t="str">
        <f t="shared" si="18"/>
        <v>C04079:1</v>
      </c>
      <c r="D510" s="37" t="str">
        <f t="shared" si="19"/>
        <v>C04079 : N-((R)-Pantothenoyl)-L-cysteine</v>
      </c>
    </row>
    <row r="511" spans="1:4" x14ac:dyDescent="0.35">
      <c r="A511" s="1" t="s">
        <v>9396</v>
      </c>
      <c r="B511" s="1" t="s">
        <v>13364</v>
      </c>
      <c r="C511" s="38" t="str">
        <f t="shared" si="18"/>
        <v>C04088:1</v>
      </c>
      <c r="D511" s="37" t="str">
        <f t="shared" si="19"/>
        <v>C04088 : Octadecanoyl-[acyl-carrier protein]</v>
      </c>
    </row>
    <row r="512" spans="1:4" x14ac:dyDescent="0.35">
      <c r="A512" s="1" t="s">
        <v>9559</v>
      </c>
      <c r="B512" s="1" t="s">
        <v>13365</v>
      </c>
      <c r="C512" s="38" t="str">
        <f t="shared" si="18"/>
        <v>C04133:1</v>
      </c>
      <c r="D512" s="37" t="str">
        <f t="shared" si="19"/>
        <v>C04133 : N-Acetyl-L-glutamate 5-phosphate</v>
      </c>
    </row>
    <row r="513" spans="1:4" x14ac:dyDescent="0.35">
      <c r="A513" s="1" t="s">
        <v>9592</v>
      </c>
      <c r="B513" s="1" t="s">
        <v>13366</v>
      </c>
      <c r="C513" s="38" t="str">
        <f t="shared" si="18"/>
        <v>C04144:1</v>
      </c>
      <c r="D513" s="37" t="str">
        <f t="shared" si="19"/>
        <v>C04144 : Tetrahydropteroyltri-L-glutamate</v>
      </c>
    </row>
    <row r="514" spans="1:4" x14ac:dyDescent="0.35">
      <c r="A514" s="1" t="s">
        <v>9593</v>
      </c>
      <c r="B514" s="1" t="s">
        <v>13367</v>
      </c>
      <c r="C514" s="38" t="str">
        <f t="shared" si="18"/>
        <v>C04153:1</v>
      </c>
      <c r="D514" s="37" t="str">
        <f t="shared" si="19"/>
        <v>C04153 : rRNA containing N2-methylguanine</v>
      </c>
    </row>
    <row r="515" spans="1:4" x14ac:dyDescent="0.35">
      <c r="A515" s="1" t="s">
        <v>9594</v>
      </c>
      <c r="B515" s="1" t="s">
        <v>13368</v>
      </c>
      <c r="C515" s="38" t="str">
        <f t="shared" ref="C515:C578" si="20">CONCATENATE(A515,":","1")</f>
        <v>C04160:1</v>
      </c>
      <c r="D515" s="37" t="str">
        <f t="shared" ref="D515:D578" si="21">CONCATENATE(A515," : ",B515)</f>
        <v>C04160 : tRNA containing N7-methylguanine</v>
      </c>
    </row>
    <row r="516" spans="1:4" x14ac:dyDescent="0.35">
      <c r="A516" s="1" t="s">
        <v>6932</v>
      </c>
      <c r="B516" s="1" t="s">
        <v>13369</v>
      </c>
      <c r="C516" s="38" t="str">
        <f t="shared" si="20"/>
        <v>C04181:1</v>
      </c>
      <c r="D516" s="37" t="str">
        <f t="shared" si="21"/>
        <v>C04181 : 3-Hydroxy-3-methyl-2-oxobutanoic acid</v>
      </c>
    </row>
    <row r="517" spans="1:4" x14ac:dyDescent="0.35">
      <c r="A517" s="1" t="s">
        <v>9145</v>
      </c>
      <c r="B517" s="1" t="s">
        <v>13370</v>
      </c>
      <c r="C517" s="38" t="str">
        <f t="shared" si="20"/>
        <v>C04232:1</v>
      </c>
      <c r="D517" s="37" t="str">
        <f t="shared" si="21"/>
        <v>C04232 : 2'-Deoxyribonucleoside diphosphate</v>
      </c>
    </row>
    <row r="518" spans="1:4" x14ac:dyDescent="0.35">
      <c r="A518" s="1" t="s">
        <v>6908</v>
      </c>
      <c r="B518" s="1" t="s">
        <v>13371</v>
      </c>
      <c r="C518" s="38" t="str">
        <f t="shared" si="20"/>
        <v>C04236:1</v>
      </c>
      <c r="D518" s="37" t="str">
        <f t="shared" si="21"/>
        <v>C04236 : (2S)-2-Isopropyl-3-oxosuccinate</v>
      </c>
    </row>
    <row r="519" spans="1:4" x14ac:dyDescent="0.35">
      <c r="A519" s="1" t="s">
        <v>9355</v>
      </c>
      <c r="B519" s="1" t="s">
        <v>13372</v>
      </c>
      <c r="C519" s="38" t="str">
        <f t="shared" si="20"/>
        <v>C04242:1</v>
      </c>
      <c r="D519" s="37" t="str">
        <f t="shared" si="21"/>
        <v>C04242 : 5-Fluorodeoxyuridine monophosphate</v>
      </c>
    </row>
    <row r="520" spans="1:4" x14ac:dyDescent="0.35">
      <c r="A520" s="1" t="s">
        <v>9564</v>
      </c>
      <c r="B520" s="1" t="s">
        <v>13373</v>
      </c>
      <c r="C520" s="38" t="str">
        <f t="shared" si="20"/>
        <v>C04246:1</v>
      </c>
      <c r="D520" s="37" t="str">
        <f t="shared" si="21"/>
        <v>C04246 : But-2-enoyl-[acyl-carrier protein]</v>
      </c>
    </row>
    <row r="521" spans="1:4" x14ac:dyDescent="0.35">
      <c r="A521" s="1" t="s">
        <v>9209</v>
      </c>
      <c r="B521" s="1" t="s">
        <v>13374</v>
      </c>
      <c r="C521" s="38" t="str">
        <f t="shared" si="20"/>
        <v>C04250:1</v>
      </c>
      <c r="D521" s="37" t="str">
        <f t="shared" si="21"/>
        <v>C04250 : DNA containing 6-O-methylguanine</v>
      </c>
    </row>
    <row r="522" spans="1:4" x14ac:dyDescent="0.35">
      <c r="A522" s="1" t="s">
        <v>9459</v>
      </c>
      <c r="B522" s="1" t="s">
        <v>13375</v>
      </c>
      <c r="C522" s="38" t="str">
        <f t="shared" si="20"/>
        <v>C04258:1</v>
      </c>
      <c r="D522" s="37" t="str">
        <f t="shared" si="21"/>
        <v>C04258 : N-Formyl-L-methionylaminoacyl-tRNA</v>
      </c>
    </row>
    <row r="523" spans="1:4" x14ac:dyDescent="0.35">
      <c r="A523" s="1" t="s">
        <v>10154</v>
      </c>
      <c r="B523" s="1" t="s">
        <v>13376</v>
      </c>
      <c r="C523" s="38" t="str">
        <f t="shared" si="20"/>
        <v>C04260:1</v>
      </c>
      <c r="D523" s="37" t="str">
        <f t="shared" si="21"/>
        <v>C04260 : O-D-Alanyl-poly(ribitol phosphate)</v>
      </c>
    </row>
    <row r="524" spans="1:4" x14ac:dyDescent="0.35">
      <c r="A524" s="1" t="s">
        <v>9658</v>
      </c>
      <c r="B524" s="1" t="s">
        <v>13377</v>
      </c>
      <c r="C524" s="38" t="str">
        <f t="shared" si="20"/>
        <v>C04261:1</v>
      </c>
      <c r="D524" s="37" t="str">
        <f t="shared" si="21"/>
        <v>C04261 : Protein N(pi)-phospho-L-histidine</v>
      </c>
    </row>
    <row r="525" spans="1:4" x14ac:dyDescent="0.35">
      <c r="A525" s="1" t="s">
        <v>8610</v>
      </c>
      <c r="B525" s="1" t="s">
        <v>13378</v>
      </c>
      <c r="C525" s="38" t="str">
        <f t="shared" si="20"/>
        <v>C04272:1</v>
      </c>
      <c r="D525" s="37" t="str">
        <f t="shared" si="21"/>
        <v>C04272 : (R)-2,3-Dihydroxy-3-methylbutanoate</v>
      </c>
    </row>
    <row r="526" spans="1:4" x14ac:dyDescent="0.35">
      <c r="A526" s="1" t="s">
        <v>9460</v>
      </c>
      <c r="B526" s="1" t="s">
        <v>13379</v>
      </c>
      <c r="C526" s="38" t="str">
        <f t="shared" si="20"/>
        <v>C04277:1</v>
      </c>
      <c r="D526" s="37" t="str">
        <f t="shared" si="21"/>
        <v>C04277 : 1,8-Diazacyclotetradecane-2,9-dione</v>
      </c>
    </row>
    <row r="527" spans="1:4" x14ac:dyDescent="0.35">
      <c r="A527" s="1" t="s">
        <v>9576</v>
      </c>
      <c r="B527" s="1" t="s">
        <v>13380</v>
      </c>
      <c r="C527" s="38" t="str">
        <f t="shared" si="20"/>
        <v>C04281:1</v>
      </c>
      <c r="D527" s="37" t="str">
        <f t="shared" si="21"/>
        <v>C04281 : L-1-Pyrroline-3-hydroxy-5-carboxylate</v>
      </c>
    </row>
    <row r="528" spans="1:4" x14ac:dyDescent="0.35">
      <c r="A528" s="1" t="s">
        <v>8725</v>
      </c>
      <c r="B528" s="1" t="s">
        <v>13381</v>
      </c>
      <c r="C528" s="38" t="str">
        <f t="shared" si="20"/>
        <v>C04302:1</v>
      </c>
      <c r="D528" s="37" t="str">
        <f t="shared" si="21"/>
        <v>C04302 : N-(5-Phospho-D-ribosyl)anthranilate</v>
      </c>
    </row>
    <row r="529" spans="1:4" x14ac:dyDescent="0.35">
      <c r="A529" s="1" t="s">
        <v>9720</v>
      </c>
      <c r="B529" s="1" t="s">
        <v>13382</v>
      </c>
      <c r="C529" s="38" t="str">
        <f t="shared" si="20"/>
        <v>C04309:1</v>
      </c>
      <c r="D529" s="37" t="str">
        <f t="shared" si="21"/>
        <v>C04309 : Phosphoenol-4-deoxy-3-tetrulosonate</v>
      </c>
    </row>
    <row r="530" spans="1:4" x14ac:dyDescent="0.35">
      <c r="A530" s="1" t="s">
        <v>8447</v>
      </c>
      <c r="B530" s="1" t="s">
        <v>13383</v>
      </c>
      <c r="C530" s="38" t="str">
        <f t="shared" si="20"/>
        <v>C04352:1</v>
      </c>
      <c r="D530" s="37" t="str">
        <f t="shared" si="21"/>
        <v>C04352 : (R)-4'-Phosphopantothenoyl-L-cysteine</v>
      </c>
    </row>
    <row r="531" spans="1:4" x14ac:dyDescent="0.35">
      <c r="A531" s="1" t="s">
        <v>9509</v>
      </c>
      <c r="B531" s="1" t="s">
        <v>13384</v>
      </c>
      <c r="C531" s="38" t="str">
        <f t="shared" si="20"/>
        <v>C04376:1</v>
      </c>
      <c r="D531" s="37" t="str">
        <f t="shared" si="21"/>
        <v>C04376 : 5'-Phosphoribosyl-N-formylglycinamide</v>
      </c>
    </row>
    <row r="532" spans="1:4" x14ac:dyDescent="0.35">
      <c r="A532" s="1" t="s">
        <v>9599</v>
      </c>
      <c r="B532" s="1" t="s">
        <v>13385</v>
      </c>
      <c r="C532" s="38" t="str">
        <f t="shared" si="20"/>
        <v>C04377:1</v>
      </c>
      <c r="D532" s="37" t="str">
        <f t="shared" si="21"/>
        <v>C04377 : 5,10-Methylenetetrahydromethanopterin</v>
      </c>
    </row>
    <row r="533" spans="1:4" x14ac:dyDescent="0.35">
      <c r="A533" s="1" t="s">
        <v>9468</v>
      </c>
      <c r="B533" s="1" t="s">
        <v>13386</v>
      </c>
      <c r="C533" s="38" t="str">
        <f t="shared" si="20"/>
        <v>C04392:1</v>
      </c>
      <c r="D533" s="37" t="str">
        <f t="shared" si="21"/>
        <v>C04392 : P1,P4-Bis(5'-xanthosyl) tetraphosphate</v>
      </c>
    </row>
    <row r="534" spans="1:4" x14ac:dyDescent="0.35">
      <c r="A534" s="1" t="s">
        <v>8514</v>
      </c>
      <c r="B534" s="1" t="s">
        <v>13387</v>
      </c>
      <c r="C534" s="38" t="str">
        <f t="shared" si="20"/>
        <v>C04405:1</v>
      </c>
      <c r="D534" s="37" t="str">
        <f t="shared" si="21"/>
        <v>C04405 : (2S,3S)-3-Hydroxy-2-methylbutanoyl-CoA</v>
      </c>
    </row>
    <row r="535" spans="1:4" x14ac:dyDescent="0.35">
      <c r="A535" s="1" t="s">
        <v>8594</v>
      </c>
      <c r="B535" s="1" t="s">
        <v>13388</v>
      </c>
      <c r="C535" s="38" t="str">
        <f t="shared" si="20"/>
        <v>C04411:1</v>
      </c>
      <c r="D535" s="37" t="str">
        <f t="shared" si="21"/>
        <v>C04411 : (2R,3S)-3-Isopropylmalate</v>
      </c>
    </row>
    <row r="536" spans="1:4" x14ac:dyDescent="0.35">
      <c r="A536" s="1" t="s">
        <v>9452</v>
      </c>
      <c r="B536" s="1" t="s">
        <v>13389</v>
      </c>
      <c r="C536" s="38" t="str">
        <f t="shared" si="20"/>
        <v>C04421:1</v>
      </c>
      <c r="D536" s="37" t="str">
        <f t="shared" si="21"/>
        <v>C04421 : N-Succinyl-LL-2,6-diaminoheptanedioate</v>
      </c>
    </row>
    <row r="537" spans="1:4" x14ac:dyDescent="0.35">
      <c r="A537" s="1" t="s">
        <v>9641</v>
      </c>
      <c r="B537" s="1" t="s">
        <v>13390</v>
      </c>
      <c r="C537" s="38" t="str">
        <f t="shared" si="20"/>
        <v>C04432:1</v>
      </c>
      <c r="D537" s="37" t="str">
        <f t="shared" si="21"/>
        <v>C04432 : tRNA containing 6-isopentenyladenosine</v>
      </c>
    </row>
    <row r="538" spans="1:4" x14ac:dyDescent="0.35">
      <c r="A538" s="1" t="s">
        <v>9541</v>
      </c>
      <c r="B538" s="1" t="s">
        <v>13391</v>
      </c>
      <c r="C538" s="38" t="str">
        <f t="shared" si="20"/>
        <v>C04453:1</v>
      </c>
      <c r="D538" s="37" t="str">
        <f t="shared" si="21"/>
        <v>C04453 : 4alpha-Methyl-5alpha-cholest-7-en-3-one</v>
      </c>
    </row>
    <row r="539" spans="1:4" x14ac:dyDescent="0.35">
      <c r="A539" s="1" t="s">
        <v>9603</v>
      </c>
      <c r="B539" s="1" t="s">
        <v>13392</v>
      </c>
      <c r="C539" s="38" t="str">
        <f t="shared" si="20"/>
        <v>C04462:1</v>
      </c>
      <c r="D539" s="37" t="str">
        <f t="shared" si="21"/>
        <v>C04462 : N-Succinyl-2-L-amino-6-oxoheptanedioate</v>
      </c>
    </row>
    <row r="540" spans="1:4" x14ac:dyDescent="0.35">
      <c r="A540" s="1" t="s">
        <v>9203</v>
      </c>
      <c r="B540" s="1" t="s">
        <v>13393</v>
      </c>
      <c r="C540" s="38" t="str">
        <f t="shared" si="20"/>
        <v>C04489:1</v>
      </c>
      <c r="D540" s="37" t="str">
        <f t="shared" si="21"/>
        <v>C04489 : 5-Methyltetrahydropteroyltri-L-glutamate</v>
      </c>
    </row>
    <row r="541" spans="1:4" x14ac:dyDescent="0.35">
      <c r="A541" s="1" t="s">
        <v>9664</v>
      </c>
      <c r="B541" s="1" t="s">
        <v>13394</v>
      </c>
      <c r="C541" s="38" t="str">
        <f t="shared" si="20"/>
        <v>C04494:1</v>
      </c>
      <c r="D541" s="37" t="str">
        <f t="shared" si="21"/>
        <v>C04494 : Guanosine 3'-diphosphate 5'-triphosphate</v>
      </c>
    </row>
    <row r="542" spans="1:4" x14ac:dyDescent="0.35">
      <c r="A542" s="1" t="s">
        <v>9604</v>
      </c>
      <c r="B542" s="1" t="s">
        <v>13395</v>
      </c>
      <c r="C542" s="38" t="str">
        <f t="shared" si="20"/>
        <v>C04501:1</v>
      </c>
      <c r="D542" s="37" t="str">
        <f t="shared" si="21"/>
        <v>C04501 : N-Acetyl-alpha-D-glucosamine 1-phosphate</v>
      </c>
    </row>
    <row r="543" spans="1:4" x14ac:dyDescent="0.35">
      <c r="A543" s="1" t="s">
        <v>9440</v>
      </c>
      <c r="B543" s="1" t="s">
        <v>13396</v>
      </c>
      <c r="C543" s="38" t="str">
        <f t="shared" si="20"/>
        <v>C04534:1</v>
      </c>
      <c r="D543" s="37" t="str">
        <f t="shared" si="21"/>
        <v>C04534 : 6-Phospho-beta-D-glucosyl-(1,4)-D-glucose</v>
      </c>
    </row>
    <row r="544" spans="1:4" x14ac:dyDescent="0.35">
      <c r="A544" s="1" t="s">
        <v>9368</v>
      </c>
      <c r="B544" s="1" t="s">
        <v>13397</v>
      </c>
      <c r="C544" s="38" t="str">
        <f t="shared" si="20"/>
        <v>C04556:1</v>
      </c>
      <c r="D544" s="37" t="str">
        <f t="shared" si="21"/>
        <v>C04556 : 4-Amino-2-methyl-5-(phosphooxymethyl)pyrimidine</v>
      </c>
    </row>
    <row r="545" spans="1:4" x14ac:dyDescent="0.35">
      <c r="A545" s="1" t="s">
        <v>9470</v>
      </c>
      <c r="B545" s="1" t="s">
        <v>13398</v>
      </c>
      <c r="C545" s="38" t="str">
        <f t="shared" si="20"/>
        <v>C04574:1</v>
      </c>
      <c r="D545" s="37" t="str">
        <f t="shared" si="21"/>
        <v>C04574 : di-trans,poly-cis-Undecaprenyl diphosphate</v>
      </c>
    </row>
    <row r="546" spans="1:4" x14ac:dyDescent="0.35">
      <c r="A546" s="1" t="s">
        <v>9106</v>
      </c>
      <c r="B546" s="1" t="s">
        <v>13399</v>
      </c>
      <c r="C546" s="38" t="str">
        <f t="shared" si="20"/>
        <v>C04618:1</v>
      </c>
      <c r="D546" s="37" t="str">
        <f t="shared" si="21"/>
        <v>C04618 : (3R)-3-Hydroxybutanoyl-[acyl-carrier protein]</v>
      </c>
    </row>
    <row r="547" spans="1:4" x14ac:dyDescent="0.35">
      <c r="A547" s="1" t="s">
        <v>9107</v>
      </c>
      <c r="B547" s="1" t="s">
        <v>13400</v>
      </c>
      <c r="C547" s="38" t="str">
        <f t="shared" si="20"/>
        <v>C04619:1</v>
      </c>
      <c r="D547" s="37" t="str">
        <f t="shared" si="21"/>
        <v>C04619 : (3R)-3-Hydroxydecanoyl-[acyl-carrier protein]</v>
      </c>
    </row>
    <row r="548" spans="1:4" x14ac:dyDescent="0.35">
      <c r="A548" s="1" t="s">
        <v>9108</v>
      </c>
      <c r="B548" s="1" t="s">
        <v>13401</v>
      </c>
      <c r="C548" s="38" t="str">
        <f t="shared" si="20"/>
        <v>C04620:1</v>
      </c>
      <c r="D548" s="37" t="str">
        <f t="shared" si="21"/>
        <v>C04620 : (3R)-3-Hydroxyoctanoyl-[acyl-carrier protein]</v>
      </c>
    </row>
    <row r="549" spans="1:4" x14ac:dyDescent="0.35">
      <c r="A549" s="1" t="s">
        <v>9571</v>
      </c>
      <c r="B549" s="1" t="s">
        <v>13402</v>
      </c>
      <c r="C549" s="38" t="str">
        <f t="shared" si="20"/>
        <v>C04631:1</v>
      </c>
      <c r="D549" s="37" t="str">
        <f t="shared" si="21"/>
        <v>C04631 : UDP-N-acetyl-3-(1-carboxyvinyl)-D-glucosamine</v>
      </c>
    </row>
    <row r="550" spans="1:4" x14ac:dyDescent="0.35">
      <c r="A550" s="1" t="s">
        <v>9109</v>
      </c>
      <c r="B550" s="1" t="s">
        <v>13403</v>
      </c>
      <c r="C550" s="38" t="str">
        <f t="shared" si="20"/>
        <v>C04633:1</v>
      </c>
      <c r="D550" s="37" t="str">
        <f t="shared" si="21"/>
        <v>C04633 : (3R)-3-Hydroxypalmitoyl-[acyl-carrier protein]</v>
      </c>
    </row>
    <row r="551" spans="1:4" x14ac:dyDescent="0.35">
      <c r="A551" s="1" t="s">
        <v>9502</v>
      </c>
      <c r="B551" s="1" t="s">
        <v>13404</v>
      </c>
      <c r="C551" s="38" t="str">
        <f t="shared" si="20"/>
        <v>C04640:1</v>
      </c>
      <c r="D551" s="37" t="str">
        <f t="shared" si="21"/>
        <v>C04640 : 2-(Formamido)-N1-(5'-phosphoribosyl)acetamidine</v>
      </c>
    </row>
    <row r="552" spans="1:4" x14ac:dyDescent="0.35">
      <c r="A552" s="1" t="s">
        <v>9634</v>
      </c>
      <c r="B552" s="1" t="s">
        <v>13405</v>
      </c>
      <c r="C552" s="38" t="str">
        <f t="shared" si="20"/>
        <v>C04646:1</v>
      </c>
      <c r="D552" s="37" t="str">
        <f t="shared" si="21"/>
        <v>C04646 : 6-Thioinosine-5'-monophosphate</v>
      </c>
    </row>
    <row r="553" spans="1:4" x14ac:dyDescent="0.35">
      <c r="A553" s="1" t="s">
        <v>9227</v>
      </c>
      <c r="B553" s="1" t="s">
        <v>13406</v>
      </c>
      <c r="C553" s="38" t="str">
        <f t="shared" si="20"/>
        <v>C04650 :1</v>
      </c>
      <c r="D553" s="37" t="str">
        <f t="shared" si="21"/>
        <v>C04650  : L-Phosphinothricin</v>
      </c>
    </row>
    <row r="554" spans="1:4" x14ac:dyDescent="0.35">
      <c r="A554" s="1" t="s">
        <v>8569</v>
      </c>
      <c r="B554" s="1" t="s">
        <v>13407</v>
      </c>
      <c r="C554" s="38" t="str">
        <f t="shared" si="20"/>
        <v>C04666:1</v>
      </c>
      <c r="D554" s="37" t="str">
        <f t="shared" si="21"/>
        <v>C04666 : D-erythro-1-(Imidazol-4-yl)glycerol 3-phosphate</v>
      </c>
    </row>
    <row r="555" spans="1:4" x14ac:dyDescent="0.35">
      <c r="A555" s="1" t="s">
        <v>9280</v>
      </c>
      <c r="B555" s="1" t="s">
        <v>13408</v>
      </c>
      <c r="C555" s="38" t="str">
        <f t="shared" si="20"/>
        <v>C04677:1</v>
      </c>
      <c r="D555" s="37" t="str">
        <f t="shared" si="21"/>
        <v>C04677 : 1-(5'-Phosphoribosyl)-5-amino-4-imidazolecarboxamide</v>
      </c>
    </row>
    <row r="556" spans="1:4" x14ac:dyDescent="0.35">
      <c r="A556" s="1" t="s">
        <v>10172</v>
      </c>
      <c r="B556" s="1" t="s">
        <v>13409</v>
      </c>
      <c r="C556" s="38" t="str">
        <f t="shared" si="20"/>
        <v>C04681:1</v>
      </c>
      <c r="D556" s="37" t="str">
        <f t="shared" si="21"/>
        <v>C04681 : [Acetyl-CoA:carbon-dioxide ligase (ADP-forming)]</v>
      </c>
    </row>
    <row r="557" spans="1:4" x14ac:dyDescent="0.35">
      <c r="A557" s="1" t="s">
        <v>9110</v>
      </c>
      <c r="B557" s="1" t="s">
        <v>13410</v>
      </c>
      <c r="C557" s="38" t="str">
        <f t="shared" si="20"/>
        <v>C04688:1</v>
      </c>
      <c r="D557" s="37" t="str">
        <f t="shared" si="21"/>
        <v>C04688 : (3R)-3-Hydroxytetradecanoyl-[acyl-carrier protein]</v>
      </c>
    </row>
    <row r="558" spans="1:4" x14ac:dyDescent="0.35">
      <c r="A558" s="1" t="s">
        <v>8628</v>
      </c>
      <c r="B558" s="1" t="s">
        <v>13411</v>
      </c>
      <c r="C558" s="38" t="str">
        <f t="shared" si="20"/>
        <v>C04691:1</v>
      </c>
      <c r="D558" s="37" t="str">
        <f t="shared" si="21"/>
        <v>C04691 : 2-Dehydro-3-deoxy-D-arabino-heptonate 7-phosphate</v>
      </c>
    </row>
    <row r="559" spans="1:4" x14ac:dyDescent="0.35">
      <c r="A559" s="1" t="s">
        <v>9381</v>
      </c>
      <c r="B559" s="1" t="s">
        <v>13412</v>
      </c>
      <c r="C559" s="38" t="str">
        <f t="shared" si="20"/>
        <v>C04702:1</v>
      </c>
      <c r="D559" s="37" t="str">
        <f t="shared" si="21"/>
        <v>C04702 : UDPMurNAc(oyl-L-Ala-D-gamma-Glu-L-Lys-D-Ala-D-Ala)</v>
      </c>
    </row>
    <row r="560" spans="1:4" x14ac:dyDescent="0.35">
      <c r="A560" s="1" t="s">
        <v>9595</v>
      </c>
      <c r="B560" s="1" t="s">
        <v>13413</v>
      </c>
      <c r="C560" s="38" t="str">
        <f t="shared" si="20"/>
        <v>C04728:1</v>
      </c>
      <c r="D560" s="37" t="str">
        <f t="shared" si="21"/>
        <v>C04728 : tRNA containing 5-[(methylamino)methyl]-2-thiouridylate</v>
      </c>
    </row>
    <row r="561" spans="1:4" x14ac:dyDescent="0.35">
      <c r="A561" s="1" t="s">
        <v>8329</v>
      </c>
      <c r="B561" s="1" t="s">
        <v>13414</v>
      </c>
      <c r="C561" s="38" t="str">
        <f t="shared" si="20"/>
        <v>C04734:1</v>
      </c>
      <c r="D561" s="37" t="str">
        <f t="shared" si="21"/>
        <v>C04734 : 1-(5'-Phosphoribosyl)-5-formamido-4-imidazolecarboxamide</v>
      </c>
    </row>
    <row r="562" spans="1:4" x14ac:dyDescent="0.35">
      <c r="A562" s="1" t="s">
        <v>10149</v>
      </c>
      <c r="B562" s="1" t="s">
        <v>13415</v>
      </c>
      <c r="C562" s="38" t="str">
        <f t="shared" si="20"/>
        <v>C04735 :1</v>
      </c>
      <c r="D562" s="37" t="str">
        <f t="shared" si="21"/>
        <v>C04735  : Apo-[acetyl-CoA carboxylase]</v>
      </c>
    </row>
    <row r="563" spans="1:4" x14ac:dyDescent="0.35">
      <c r="A563" s="1" t="s">
        <v>8430</v>
      </c>
      <c r="B563" s="1" t="s">
        <v>13416</v>
      </c>
      <c r="C563" s="38" t="str">
        <f t="shared" si="20"/>
        <v>C04751:1</v>
      </c>
      <c r="D563" s="37" t="str">
        <f t="shared" si="21"/>
        <v>C04751 : 1-(5-Phospho-D-ribosyl)-5-amino-4-imidazolecarboxylate</v>
      </c>
    </row>
    <row r="564" spans="1:4" x14ac:dyDescent="0.35">
      <c r="A564" s="1" t="s">
        <v>9663</v>
      </c>
      <c r="B564" s="1" t="s">
        <v>13417</v>
      </c>
      <c r="C564" s="38" t="str">
        <f t="shared" si="20"/>
        <v>C04752:1</v>
      </c>
      <c r="D564" s="37" t="str">
        <f t="shared" si="21"/>
        <v>C04752 : 4-Amino-5-hydroxymethyl-2-methylpyrimidine diphosphate</v>
      </c>
    </row>
    <row r="565" spans="1:4" x14ac:dyDescent="0.35">
      <c r="A565" s="1" t="s">
        <v>9287</v>
      </c>
      <c r="B565" s="1" t="s">
        <v>13418</v>
      </c>
      <c r="C565" s="38" t="str">
        <f t="shared" si="20"/>
        <v>C04807:1</v>
      </c>
      <c r="D565" s="37" t="str">
        <f t="shared" si="21"/>
        <v>C04807 : 6-Hydroxymethyl-7,8-dihydropterin diphosphate</v>
      </c>
    </row>
    <row r="566" spans="1:4" x14ac:dyDescent="0.35">
      <c r="A566" s="1" t="s">
        <v>8664</v>
      </c>
      <c r="B566" s="1" t="s">
        <v>13419</v>
      </c>
      <c r="C566" s="38" t="str">
        <f t="shared" si="20"/>
        <v>C04823:1</v>
      </c>
      <c r="D566" s="37" t="str">
        <f t="shared" si="21"/>
        <v>C04823 : 1-(5'-Phosphoribosyl)-5-amino-4-(N-succinocarboxamide)-imidazole</v>
      </c>
    </row>
    <row r="567" spans="1:4" x14ac:dyDescent="0.35">
      <c r="A567" s="1" t="s">
        <v>9120</v>
      </c>
      <c r="B567" s="1" t="s">
        <v>13420</v>
      </c>
      <c r="C567" s="38" t="str">
        <f t="shared" si="20"/>
        <v>C04840:1</v>
      </c>
      <c r="D567" s="37" t="str">
        <f t="shared" si="21"/>
        <v>C04840 : 3beta-Hydroxy-4beta-methyl-5alpha-cholest-7-ene-4alpha-carboxylate</v>
      </c>
    </row>
    <row r="568" spans="1:4" x14ac:dyDescent="0.35">
      <c r="A568" s="1" t="s">
        <v>9243</v>
      </c>
      <c r="B568" s="1" t="s">
        <v>13421</v>
      </c>
      <c r="C568" s="38" t="str">
        <f t="shared" si="20"/>
        <v>C04851:1</v>
      </c>
      <c r="D568" s="37" t="str">
        <f t="shared" si="21"/>
        <v>C04851 : MurAc(oyl-L-Ala-D-gamma-Glu-L-Lys-D-Ala-D-Ala)-diphospho-undecaprenol</v>
      </c>
    </row>
    <row r="569" spans="1:4" x14ac:dyDescent="0.35">
      <c r="A569" s="1" t="s">
        <v>8470</v>
      </c>
      <c r="B569" s="1" t="s">
        <v>13422</v>
      </c>
      <c r="C569" s="38" t="str">
        <f t="shared" si="20"/>
        <v>C04874:1</v>
      </c>
      <c r="D569" s="37" t="str">
        <f t="shared" si="21"/>
        <v>C04874 : 7,8-Dihydroneopterin</v>
      </c>
    </row>
    <row r="570" spans="1:4" x14ac:dyDescent="0.35">
      <c r="A570" s="1" t="s">
        <v>9493</v>
      </c>
      <c r="B570" s="1" t="s">
        <v>13423</v>
      </c>
      <c r="C570" s="38" t="str">
        <f t="shared" si="20"/>
        <v>C04877:1</v>
      </c>
      <c r="D570" s="37" t="str">
        <f t="shared" si="21"/>
        <v>C04877 : UDP-N-acetylmuramoyl-L-alanyl-gamma-D-glutamyl-meso-2,6-diaminopimelate</v>
      </c>
    </row>
    <row r="571" spans="1:4" x14ac:dyDescent="0.35">
      <c r="A571" s="1" t="s">
        <v>9383</v>
      </c>
      <c r="B571" s="1" t="s">
        <v>13424</v>
      </c>
      <c r="C571" s="38" t="str">
        <f t="shared" si="20"/>
        <v>C04882:1</v>
      </c>
      <c r="D571" s="37" t="str">
        <f t="shared" si="21"/>
        <v>C04882 : UDP-N-acetylmuramoyl-L-alanyl-D-glutamyl-6-carboxy-L-lysyl-D-alanyl-D-alanine</v>
      </c>
    </row>
    <row r="572" spans="1:4" x14ac:dyDescent="0.35">
      <c r="A572" s="1" t="s">
        <v>9694</v>
      </c>
      <c r="B572" s="1" t="s">
        <v>13425</v>
      </c>
      <c r="C572" s="38" t="str">
        <f t="shared" si="20"/>
        <v>C04884:1</v>
      </c>
      <c r="D572" s="37" t="str">
        <f t="shared" si="21"/>
        <v>C04884 : N-Acetyl-D-galactosaminyl-(N-acetylneuraminyl)-D-galactosyl-D-glucosylceramide</v>
      </c>
    </row>
    <row r="573" spans="1:4" x14ac:dyDescent="0.35">
      <c r="A573" s="1" t="s">
        <v>8624</v>
      </c>
      <c r="B573" s="1" t="s">
        <v>13426</v>
      </c>
      <c r="C573" s="38" t="str">
        <f t="shared" si="20"/>
        <v>C04895:1</v>
      </c>
      <c r="D573" s="37" t="str">
        <f t="shared" si="21"/>
        <v>C04895 : 7,8-Dihydroneopterin 3'-triphosphate</v>
      </c>
    </row>
    <row r="574" spans="1:4" x14ac:dyDescent="0.35">
      <c r="A574" s="1" t="s">
        <v>8345</v>
      </c>
      <c r="B574" s="1" t="s">
        <v>13427</v>
      </c>
      <c r="C574" s="38" t="str">
        <f t="shared" si="20"/>
        <v>C04896:1</v>
      </c>
      <c r="D574" s="37" t="str">
        <f t="shared" si="21"/>
        <v>C04896 : 5-(5-Phospho-D-ribosylaminoformimino)-1-(5-phosphoribosyl)-imidazole-4-carboxamide</v>
      </c>
    </row>
    <row r="575" spans="1:4" x14ac:dyDescent="0.35">
      <c r="A575" s="1" t="s">
        <v>9425</v>
      </c>
      <c r="B575" s="1" t="s">
        <v>13428</v>
      </c>
      <c r="C575" s="38" t="str">
        <f t="shared" si="20"/>
        <v>C04911:1</v>
      </c>
      <c r="D575" s="37" t="str">
        <f t="shared" si="21"/>
        <v>C04911 : D-Galactosyl-N-acetyl-D-galactosaminyl-(N-acetylneuraminyl)-D-galactosyl-D-glucosylceramide</v>
      </c>
    </row>
    <row r="576" spans="1:4" x14ac:dyDescent="0.35">
      <c r="A576" s="1" t="s">
        <v>8722</v>
      </c>
      <c r="B576" s="1" t="s">
        <v>13429</v>
      </c>
      <c r="C576" s="38" t="str">
        <f t="shared" si="20"/>
        <v>C04916:1</v>
      </c>
      <c r="D576" s="37" t="str">
        <f t="shared" si="21"/>
        <v>C04916 : N-(5'-Phospho-D-1'-ribulosylformimino)-5-amino-1-(5''-phospho-D-ribosyl)-4-imidazolecarboxamide</v>
      </c>
    </row>
    <row r="577" spans="1:4" x14ac:dyDescent="0.35">
      <c r="A577" s="1" t="s">
        <v>9733</v>
      </c>
      <c r="B577" s="1" t="s">
        <v>13430</v>
      </c>
      <c r="C577" s="38" t="str">
        <f t="shared" si="20"/>
        <v>C05067:1</v>
      </c>
      <c r="D577" s="37" t="str">
        <f t="shared" si="21"/>
        <v>C05067 : (3E)-3-Enoyl-CoA</v>
      </c>
    </row>
    <row r="578" spans="1:4" x14ac:dyDescent="0.35">
      <c r="A578" s="1" t="s">
        <v>9544</v>
      </c>
      <c r="B578" s="1" t="s">
        <v>13431</v>
      </c>
      <c r="C578" s="38" t="str">
        <f t="shared" si="20"/>
        <v>C05111:1</v>
      </c>
      <c r="D578" s="37" t="str">
        <f t="shared" si="21"/>
        <v>C05111 : Methostenol</v>
      </c>
    </row>
    <row r="579" spans="1:4" x14ac:dyDescent="0.35">
      <c r="A579" s="1" t="s">
        <v>8552</v>
      </c>
      <c r="B579" s="1" t="s">
        <v>13432</v>
      </c>
      <c r="C579" s="38" t="str">
        <f t="shared" ref="C579:C642" si="22">CONCATENATE(A579,":","1")</f>
        <v>C05116:1</v>
      </c>
      <c r="D579" s="37" t="str">
        <f t="shared" ref="D579:D642" si="23">CONCATENATE(A579," : ",B579)</f>
        <v>C05116 : 3-Hydroxybutanoyl-CoA</v>
      </c>
    </row>
    <row r="580" spans="1:4" x14ac:dyDescent="0.35">
      <c r="A580" s="1" t="s">
        <v>9166</v>
      </c>
      <c r="B580" s="1" t="s">
        <v>13433</v>
      </c>
      <c r="C580" s="38" t="str">
        <f t="shared" si="22"/>
        <v>C05125:1</v>
      </c>
      <c r="D580" s="37" t="str">
        <f t="shared" si="23"/>
        <v>C05125 : 2-(alpha-Hydroxyethyl)thiamine diphosphate</v>
      </c>
    </row>
    <row r="581" spans="1:4" x14ac:dyDescent="0.35">
      <c r="A581" s="1" t="s">
        <v>8643</v>
      </c>
      <c r="B581" s="1" t="s">
        <v>13434</v>
      </c>
      <c r="C581" s="38" t="str">
        <f t="shared" si="22"/>
        <v>C05167:1</v>
      </c>
      <c r="D581" s="37" t="str">
        <f t="shared" si="23"/>
        <v>C05167 : alpha-Amino acid</v>
      </c>
    </row>
    <row r="582" spans="1:4" x14ac:dyDescent="0.35">
      <c r="A582" s="1" t="s">
        <v>9197</v>
      </c>
      <c r="B582" s="1" t="s">
        <v>13435</v>
      </c>
      <c r="C582" s="38" t="str">
        <f t="shared" si="22"/>
        <v>C05196:1</v>
      </c>
      <c r="D582" s="37" t="str">
        <f t="shared" si="23"/>
        <v>C05196 : Dihydroflavodoxin</v>
      </c>
    </row>
    <row r="583" spans="1:4" x14ac:dyDescent="0.35">
      <c r="A583" s="1" t="s">
        <v>9198</v>
      </c>
      <c r="B583" s="1" t="s">
        <v>13436</v>
      </c>
      <c r="C583" s="38" t="str">
        <f t="shared" si="22"/>
        <v>C05197 :1</v>
      </c>
      <c r="D583" s="37" t="str">
        <f t="shared" si="23"/>
        <v>C05197  : Protein glycine</v>
      </c>
    </row>
    <row r="584" spans="1:4" x14ac:dyDescent="0.35">
      <c r="A584" s="1" t="s">
        <v>9447</v>
      </c>
      <c r="B584" s="1" t="s">
        <v>13437</v>
      </c>
      <c r="C584" s="38" t="str">
        <f t="shared" si="22"/>
        <v>C05198:1</v>
      </c>
      <c r="D584" s="37" t="str">
        <f t="shared" si="23"/>
        <v>C05198 : 5'-Deoxyadenosine</v>
      </c>
    </row>
    <row r="585" spans="1:4" x14ac:dyDescent="0.35">
      <c r="A585" s="1" t="s">
        <v>9588</v>
      </c>
      <c r="B585" s="1" t="s">
        <v>13438</v>
      </c>
      <c r="C585" s="38" t="str">
        <f t="shared" si="22"/>
        <v>C05199:1</v>
      </c>
      <c r="D585" s="37" t="str">
        <f t="shared" si="23"/>
        <v>C05199 : Flavodoxin semiquinone</v>
      </c>
    </row>
    <row r="586" spans="1:4" x14ac:dyDescent="0.35">
      <c r="A586" s="1" t="s">
        <v>9169</v>
      </c>
      <c r="B586" s="1" t="s">
        <v>13439</v>
      </c>
      <c r="C586" s="38" t="str">
        <f t="shared" si="22"/>
        <v>C05223:1</v>
      </c>
      <c r="D586" s="37" t="str">
        <f t="shared" si="23"/>
        <v>C05223 : Dodecanoyl-[acyl-carrier protein]</v>
      </c>
    </row>
    <row r="587" spans="1:4" x14ac:dyDescent="0.35">
      <c r="A587" s="1" t="s">
        <v>8520</v>
      </c>
      <c r="B587" s="1" t="s">
        <v>13440</v>
      </c>
      <c r="C587" s="38" t="str">
        <f t="shared" si="22"/>
        <v>C05258:1</v>
      </c>
      <c r="D587" s="37" t="str">
        <f t="shared" si="23"/>
        <v>C05258 : (S)-3-Hydroxyhexadecanoyl-CoA</v>
      </c>
    </row>
    <row r="588" spans="1:4" x14ac:dyDescent="0.35">
      <c r="A588" s="1" t="s">
        <v>8523</v>
      </c>
      <c r="B588" s="1" t="s">
        <v>13441</v>
      </c>
      <c r="C588" s="38" t="str">
        <f t="shared" si="22"/>
        <v>C05260:1</v>
      </c>
      <c r="D588" s="37" t="str">
        <f t="shared" si="23"/>
        <v>C05260 : (S)-3-Hydroxytetradecanoyl-CoA</v>
      </c>
    </row>
    <row r="589" spans="1:4" x14ac:dyDescent="0.35">
      <c r="A589" s="1" t="s">
        <v>8511</v>
      </c>
      <c r="B589" s="1" t="s">
        <v>13442</v>
      </c>
      <c r="C589" s="38" t="str">
        <f t="shared" si="22"/>
        <v>C05262:1</v>
      </c>
      <c r="D589" s="37" t="str">
        <f t="shared" si="23"/>
        <v>C05262 : (S)-3-Hydroxydodecanoyl-CoA</v>
      </c>
    </row>
    <row r="590" spans="1:4" x14ac:dyDescent="0.35">
      <c r="A590" s="1" t="s">
        <v>8526</v>
      </c>
      <c r="B590" s="1" t="s">
        <v>13443</v>
      </c>
      <c r="C590" s="38" t="str">
        <f t="shared" si="22"/>
        <v>C05264 :1</v>
      </c>
      <c r="D590" s="37" t="str">
        <f t="shared" si="23"/>
        <v>C05264  : (S)-Hydroxydecanoyl-CoA</v>
      </c>
    </row>
    <row r="591" spans="1:4" x14ac:dyDescent="0.35">
      <c r="A591" s="1" t="s">
        <v>8529</v>
      </c>
      <c r="B591" s="1" t="s">
        <v>13444</v>
      </c>
      <c r="C591" s="38" t="str">
        <f t="shared" si="22"/>
        <v>C05266 :1</v>
      </c>
      <c r="D591" s="37" t="str">
        <f t="shared" si="23"/>
        <v>C05266  : (S)-3-Hydroxyoctanoyl-CoA</v>
      </c>
    </row>
    <row r="592" spans="1:4" x14ac:dyDescent="0.35">
      <c r="A592" s="1" t="s">
        <v>8532</v>
      </c>
      <c r="B592" s="1" t="s">
        <v>13445</v>
      </c>
      <c r="C592" s="38" t="str">
        <f t="shared" si="22"/>
        <v>C05268:1</v>
      </c>
      <c r="D592" s="37" t="str">
        <f t="shared" si="23"/>
        <v>C05268 : (S)-Hydroxyhexanoyl-CoA</v>
      </c>
    </row>
    <row r="593" spans="1:4" x14ac:dyDescent="0.35">
      <c r="A593" s="1" t="s">
        <v>9729</v>
      </c>
      <c r="B593" s="1" t="s">
        <v>13446</v>
      </c>
      <c r="C593" s="38" t="str">
        <f t="shared" si="22"/>
        <v>C05271:1</v>
      </c>
      <c r="D593" s="37" t="str">
        <f t="shared" si="23"/>
        <v>C05271 : trans-Hex-2-enoyl-CoA</v>
      </c>
    </row>
    <row r="594" spans="1:4" x14ac:dyDescent="0.35">
      <c r="A594" s="1" t="s">
        <v>9725</v>
      </c>
      <c r="B594" s="1" t="s">
        <v>13447</v>
      </c>
      <c r="C594" s="38" t="str">
        <f t="shared" si="22"/>
        <v>C05272:1</v>
      </c>
      <c r="D594" s="37" t="str">
        <f t="shared" si="23"/>
        <v>C05272 : trans-Hexadec-2-enoyl-CoA</v>
      </c>
    </row>
    <row r="595" spans="1:4" x14ac:dyDescent="0.35">
      <c r="A595" s="1" t="s">
        <v>9726</v>
      </c>
      <c r="B595" s="1" t="s">
        <v>13448</v>
      </c>
      <c r="C595" s="38" t="str">
        <f t="shared" si="22"/>
        <v>C05273:1</v>
      </c>
      <c r="D595" s="37" t="str">
        <f t="shared" si="23"/>
        <v>C05273 : trans-Tetradec-2-enoyl-CoA</v>
      </c>
    </row>
    <row r="596" spans="1:4" x14ac:dyDescent="0.35">
      <c r="A596" s="1" t="s">
        <v>9727</v>
      </c>
      <c r="B596" s="1" t="s">
        <v>13449</v>
      </c>
      <c r="C596" s="38" t="str">
        <f t="shared" si="22"/>
        <v>C05275:1</v>
      </c>
      <c r="D596" s="37" t="str">
        <f t="shared" si="23"/>
        <v>C05275 : trans-Dec-2-enoyl-CoA</v>
      </c>
    </row>
    <row r="597" spans="1:4" x14ac:dyDescent="0.35">
      <c r="A597" s="1" t="s">
        <v>9728</v>
      </c>
      <c r="B597" s="1" t="s">
        <v>13450</v>
      </c>
      <c r="C597" s="38" t="str">
        <f t="shared" si="22"/>
        <v>C05276:1</v>
      </c>
      <c r="D597" s="37" t="str">
        <f t="shared" si="23"/>
        <v>C05276 : trans-Oct-2-enoyl-CoA</v>
      </c>
    </row>
    <row r="598" spans="1:4" x14ac:dyDescent="0.35">
      <c r="A598" s="1" t="s">
        <v>9589</v>
      </c>
      <c r="B598" s="1" t="s">
        <v>13451</v>
      </c>
      <c r="C598" s="38" t="str">
        <f t="shared" si="22"/>
        <v>C05312:1</v>
      </c>
      <c r="D598" s="37" t="str">
        <f t="shared" si="23"/>
        <v>C05312 : Protein glycin-2-yl radical</v>
      </c>
    </row>
    <row r="599" spans="1:4" x14ac:dyDescent="0.35">
      <c r="A599" s="1" t="s">
        <v>9305</v>
      </c>
      <c r="B599" s="1" t="s">
        <v>13452</v>
      </c>
      <c r="C599" s="38" t="str">
        <f t="shared" si="22"/>
        <v>C05335:1</v>
      </c>
      <c r="D599" s="37" t="str">
        <f t="shared" si="23"/>
        <v>C05335 : L-Selenomethionine</v>
      </c>
    </row>
    <row r="600" spans="1:4" x14ac:dyDescent="0.35">
      <c r="A600" s="1" t="s">
        <v>10151</v>
      </c>
      <c r="B600" s="1" t="s">
        <v>13453</v>
      </c>
      <c r="C600" s="38" t="str">
        <f t="shared" si="22"/>
        <v>C05336:1</v>
      </c>
      <c r="D600" s="37" t="str">
        <f t="shared" si="23"/>
        <v>C05336 : Selenomethionyl-tRNA(Met)</v>
      </c>
    </row>
    <row r="601" spans="1:4" x14ac:dyDescent="0.35">
      <c r="A601" s="1" t="s">
        <v>8738</v>
      </c>
      <c r="B601" s="1" t="s">
        <v>13454</v>
      </c>
      <c r="C601" s="38" t="str">
        <f t="shared" si="22"/>
        <v>C05345:1</v>
      </c>
      <c r="D601" s="37" t="str">
        <f t="shared" si="23"/>
        <v>C05345 : beta-D-Fructose 6-phosphate</v>
      </c>
    </row>
    <row r="602" spans="1:4" x14ac:dyDescent="0.35">
      <c r="A602" s="1" t="s">
        <v>9388</v>
      </c>
      <c r="B602" s="1" t="s">
        <v>13455</v>
      </c>
      <c r="C602" s="38" t="str">
        <f t="shared" si="22"/>
        <v>C05359:1</v>
      </c>
      <c r="D602" s="37" t="str">
        <f t="shared" si="23"/>
        <v>C05359 : Electron</v>
      </c>
    </row>
    <row r="603" spans="1:4" x14ac:dyDescent="0.35">
      <c r="A603" s="1" t="s">
        <v>8460</v>
      </c>
      <c r="B603" s="1" t="s">
        <v>13456</v>
      </c>
      <c r="C603" s="38" t="str">
        <f t="shared" si="22"/>
        <v>C05378:1</v>
      </c>
      <c r="D603" s="37" t="str">
        <f t="shared" si="23"/>
        <v>C05378 : beta-D-Fructose 1,6-bisphosphate</v>
      </c>
    </row>
    <row r="604" spans="1:4" x14ac:dyDescent="0.35">
      <c r="A604" s="1" t="s">
        <v>6896</v>
      </c>
      <c r="B604" s="1" t="s">
        <v>13457</v>
      </c>
      <c r="C604" s="38" t="str">
        <f t="shared" si="22"/>
        <v>C05379:1</v>
      </c>
      <c r="D604" s="37" t="str">
        <f t="shared" si="23"/>
        <v>C05379 : Oxalosuccinate</v>
      </c>
    </row>
    <row r="605" spans="1:4" x14ac:dyDescent="0.35">
      <c r="A605" s="1" t="s">
        <v>9217</v>
      </c>
      <c r="B605" s="1" t="s">
        <v>13458</v>
      </c>
      <c r="C605" s="38" t="str">
        <f t="shared" si="22"/>
        <v>C05382:1</v>
      </c>
      <c r="D605" s="37" t="str">
        <f t="shared" si="23"/>
        <v>C05382 : Sedoheptulose 7-phosphate</v>
      </c>
    </row>
    <row r="606" spans="1:4" x14ac:dyDescent="0.35">
      <c r="A606" s="1" t="s">
        <v>9695</v>
      </c>
      <c r="B606" s="1" t="s">
        <v>13459</v>
      </c>
      <c r="C606" s="38" t="str">
        <f t="shared" si="22"/>
        <v>C05394:1</v>
      </c>
      <c r="D606" s="37" t="str">
        <f t="shared" si="23"/>
        <v>C05394 : 3-Keto-beta-D-galactose</v>
      </c>
    </row>
    <row r="607" spans="1:4" x14ac:dyDescent="0.35">
      <c r="A607" s="1" t="s">
        <v>9699</v>
      </c>
      <c r="B607" s="1" t="s">
        <v>13460</v>
      </c>
      <c r="C607" s="38" t="str">
        <f t="shared" si="22"/>
        <v>C05402:1</v>
      </c>
      <c r="D607" s="37" t="str">
        <f t="shared" si="23"/>
        <v>C05402 : Melibiose</v>
      </c>
    </row>
    <row r="608" spans="1:4" x14ac:dyDescent="0.35">
      <c r="A608" s="1" t="s">
        <v>9426</v>
      </c>
      <c r="B608" s="1" t="s">
        <v>13461</v>
      </c>
      <c r="C608" s="38" t="str">
        <f t="shared" si="22"/>
        <v>C05403:1</v>
      </c>
      <c r="D608" s="37" t="str">
        <f t="shared" si="23"/>
        <v>C05403 : 3-Ketolactose</v>
      </c>
    </row>
    <row r="609" spans="1:4" x14ac:dyDescent="0.35">
      <c r="A609" s="1" t="s">
        <v>9700</v>
      </c>
      <c r="B609" s="1" t="s">
        <v>13462</v>
      </c>
      <c r="C609" s="38" t="str">
        <f t="shared" si="22"/>
        <v>C05404:1</v>
      </c>
      <c r="D609" s="37" t="str">
        <f t="shared" si="23"/>
        <v>C05404 : D-Gal alpha 1-&gt;6D-Gal alpha 1-&gt;6D-Glucose</v>
      </c>
    </row>
    <row r="610" spans="1:4" x14ac:dyDescent="0.35">
      <c r="A610" s="1" t="s">
        <v>9089</v>
      </c>
      <c r="B610" s="1" t="s">
        <v>13463</v>
      </c>
      <c r="C610" s="38" t="str">
        <f t="shared" si="22"/>
        <v>C05444:1</v>
      </c>
      <c r="D610" s="37" t="str">
        <f t="shared" si="23"/>
        <v>C05444 : 3alpha,7alpha,26-Trihydroxy-5beta-cholestane</v>
      </c>
    </row>
    <row r="611" spans="1:4" x14ac:dyDescent="0.35">
      <c r="A611" s="1" t="s">
        <v>9515</v>
      </c>
      <c r="B611" s="1" t="s">
        <v>13464</v>
      </c>
      <c r="C611" s="38" t="str">
        <f t="shared" si="22"/>
        <v>C05445:1</v>
      </c>
      <c r="D611" s="37" t="str">
        <f t="shared" si="23"/>
        <v>C05445 : 3alpha,7alpha-Dihydroxy-5beta-cholestan-26-al</v>
      </c>
    </row>
    <row r="612" spans="1:4" x14ac:dyDescent="0.35">
      <c r="A612" s="1" t="s">
        <v>9263</v>
      </c>
      <c r="B612" s="1" t="s">
        <v>13465</v>
      </c>
      <c r="C612" s="38" t="str">
        <f t="shared" si="22"/>
        <v>C05512:1</v>
      </c>
      <c r="D612" s="37" t="str">
        <f t="shared" si="23"/>
        <v>C05512 : Deoxyinosine</v>
      </c>
    </row>
    <row r="613" spans="1:4" x14ac:dyDescent="0.35">
      <c r="A613" s="1" t="s">
        <v>9584</v>
      </c>
      <c r="B613" s="1" t="s">
        <v>13466</v>
      </c>
      <c r="C613" s="38" t="str">
        <f t="shared" si="22"/>
        <v>C05526:1</v>
      </c>
      <c r="D613" s="37" t="str">
        <f t="shared" si="23"/>
        <v>C05526 : S-Glutathionyl-L-cysteine</v>
      </c>
    </row>
    <row r="614" spans="1:4" x14ac:dyDescent="0.35">
      <c r="A614" s="1" t="s">
        <v>9646</v>
      </c>
      <c r="B614" s="1" t="s">
        <v>13467</v>
      </c>
      <c r="C614" s="38" t="str">
        <f t="shared" si="22"/>
        <v>C05527:1</v>
      </c>
      <c r="D614" s="37" t="str">
        <f t="shared" si="23"/>
        <v>C05527 : 3-Sulfinylpyruvate</v>
      </c>
    </row>
    <row r="615" spans="1:4" x14ac:dyDescent="0.35">
      <c r="A615" s="1" t="s">
        <v>9645</v>
      </c>
      <c r="B615" s="1" t="s">
        <v>13468</v>
      </c>
      <c r="C615" s="38" t="str">
        <f t="shared" si="22"/>
        <v>C05528:1</v>
      </c>
      <c r="D615" s="37" t="str">
        <f t="shared" si="23"/>
        <v>C05528 : 3-Sulfopyruvate</v>
      </c>
    </row>
    <row r="616" spans="1:4" x14ac:dyDescent="0.35">
      <c r="A616" s="1" t="s">
        <v>9090</v>
      </c>
      <c r="B616" s="1" t="s">
        <v>13469</v>
      </c>
      <c r="C616" s="38" t="str">
        <f t="shared" si="22"/>
        <v>C05576:1</v>
      </c>
      <c r="D616" s="37" t="str">
        <f t="shared" si="23"/>
        <v>C05576 : 3,4-Dihydroxyphenylethyleneglycol</v>
      </c>
    </row>
    <row r="617" spans="1:4" x14ac:dyDescent="0.35">
      <c r="A617" s="1" t="s">
        <v>9516</v>
      </c>
      <c r="B617" s="1" t="s">
        <v>13470</v>
      </c>
      <c r="C617" s="38" t="str">
        <f t="shared" si="22"/>
        <v>C05577:1</v>
      </c>
      <c r="D617" s="37" t="str">
        <f t="shared" si="23"/>
        <v>C05577 : 3,4-Dihydroxymandelaldehyde</v>
      </c>
    </row>
    <row r="618" spans="1:4" x14ac:dyDescent="0.35">
      <c r="A618" s="1" t="s">
        <v>8508</v>
      </c>
      <c r="B618" s="1" t="s">
        <v>13471</v>
      </c>
      <c r="C618" s="38" t="str">
        <f t="shared" si="22"/>
        <v>C05668:1</v>
      </c>
      <c r="D618" s="37" t="str">
        <f t="shared" si="23"/>
        <v>C05668 : 3-Hydroxypropionyl-CoA</v>
      </c>
    </row>
    <row r="619" spans="1:4" x14ac:dyDescent="0.35">
      <c r="A619" s="1" t="s">
        <v>9585</v>
      </c>
      <c r="B619" s="1" t="s">
        <v>13472</v>
      </c>
      <c r="C619" s="38" t="str">
        <f t="shared" si="22"/>
        <v>C05684:1</v>
      </c>
      <c r="D619" s="37" t="str">
        <f t="shared" si="23"/>
        <v>C05684 : Selenite</v>
      </c>
    </row>
    <row r="620" spans="1:4" x14ac:dyDescent="0.35">
      <c r="A620" s="1" t="s">
        <v>9640</v>
      </c>
      <c r="B620" s="1" t="s">
        <v>13473</v>
      </c>
      <c r="C620" s="38" t="str">
        <f t="shared" si="22"/>
        <v>C05691:1</v>
      </c>
      <c r="D620" s="37" t="str">
        <f t="shared" si="23"/>
        <v>C05691 : Se-Adenosylselenomethionine</v>
      </c>
    </row>
    <row r="621" spans="1:4" x14ac:dyDescent="0.35">
      <c r="A621" s="1" t="s">
        <v>9204</v>
      </c>
      <c r="B621" s="1" t="s">
        <v>13474</v>
      </c>
      <c r="C621" s="38" t="str">
        <f t="shared" si="22"/>
        <v>C05698:1</v>
      </c>
      <c r="D621" s="37" t="str">
        <f t="shared" si="23"/>
        <v>C05698 : Selenohomocysteine</v>
      </c>
    </row>
    <row r="622" spans="1:4" x14ac:dyDescent="0.35">
      <c r="A622" s="1" t="s">
        <v>9639</v>
      </c>
      <c r="B622" s="1" t="s">
        <v>13475</v>
      </c>
      <c r="C622" s="38" t="str">
        <f t="shared" si="22"/>
        <v>C05699:1</v>
      </c>
      <c r="D622" s="37" t="str">
        <f t="shared" si="23"/>
        <v>C05699 : L-Selenocystathionine</v>
      </c>
    </row>
    <row r="623" spans="1:4" x14ac:dyDescent="0.35">
      <c r="A623" s="1" t="s">
        <v>9301</v>
      </c>
      <c r="B623" s="1" t="s">
        <v>13476</v>
      </c>
      <c r="C623" s="38" t="str">
        <f t="shared" si="22"/>
        <v>C05702:1</v>
      </c>
      <c r="D623" s="37" t="str">
        <f t="shared" si="23"/>
        <v>C05702 : O-Phosphorylhomoserine</v>
      </c>
    </row>
    <row r="624" spans="1:4" x14ac:dyDescent="0.35">
      <c r="A624" s="1" t="s">
        <v>9586</v>
      </c>
      <c r="B624" s="1" t="s">
        <v>13477</v>
      </c>
      <c r="C624" s="38" t="str">
        <f t="shared" si="22"/>
        <v>C05703:1</v>
      </c>
      <c r="D624" s="37" t="str">
        <f t="shared" si="23"/>
        <v>C05703 : Methaneselenol</v>
      </c>
    </row>
    <row r="625" spans="1:4" x14ac:dyDescent="0.35">
      <c r="A625" s="1" t="s">
        <v>9707</v>
      </c>
      <c r="B625" s="1" t="s">
        <v>13478</v>
      </c>
      <c r="C625" s="38" t="str">
        <f t="shared" si="22"/>
        <v>C05726:1</v>
      </c>
      <c r="D625" s="37" t="str">
        <f t="shared" si="23"/>
        <v>C05726 : S-Substituted L-cysteine</v>
      </c>
    </row>
    <row r="626" spans="1:4" x14ac:dyDescent="0.35">
      <c r="A626" s="1" t="s">
        <v>9449</v>
      </c>
      <c r="B626" s="1" t="s">
        <v>13479</v>
      </c>
      <c r="C626" s="38" t="str">
        <f t="shared" si="22"/>
        <v>C05729:1</v>
      </c>
      <c r="D626" s="37" t="str">
        <f t="shared" si="23"/>
        <v>C05729 : R-S-Cysteinylglycine</v>
      </c>
    </row>
    <row r="627" spans="1:4" x14ac:dyDescent="0.35">
      <c r="A627" s="1" t="s">
        <v>9529</v>
      </c>
      <c r="B627" s="1" t="s">
        <v>13480</v>
      </c>
      <c r="C627" s="38" t="str">
        <f t="shared" si="22"/>
        <v>C05744:1</v>
      </c>
      <c r="D627" s="37" t="str">
        <f t="shared" si="23"/>
        <v>C05744 : Acetoacetyl-[acp]</v>
      </c>
    </row>
    <row r="628" spans="1:4" x14ac:dyDescent="0.35">
      <c r="A628" s="1" t="s">
        <v>9168</v>
      </c>
      <c r="B628" s="1" t="s">
        <v>13481</v>
      </c>
      <c r="C628" s="38" t="str">
        <f t="shared" si="22"/>
        <v>C05745:1</v>
      </c>
      <c r="D628" s="37" t="str">
        <f t="shared" si="23"/>
        <v>C05745 : Butyryl-[acp]</v>
      </c>
    </row>
    <row r="629" spans="1:4" x14ac:dyDescent="0.35">
      <c r="A629" s="1" t="s">
        <v>9534</v>
      </c>
      <c r="B629" s="1" t="s">
        <v>13482</v>
      </c>
      <c r="C629" s="38" t="str">
        <f t="shared" si="22"/>
        <v>C05746:1</v>
      </c>
      <c r="D629" s="37" t="str">
        <f t="shared" si="23"/>
        <v>C05746 : 3-Oxohexanoyl-[acp]</v>
      </c>
    </row>
    <row r="630" spans="1:4" x14ac:dyDescent="0.35">
      <c r="A630" s="1" t="s">
        <v>9111</v>
      </c>
      <c r="B630" s="1" t="s">
        <v>13483</v>
      </c>
      <c r="C630" s="38" t="str">
        <f t="shared" si="22"/>
        <v>C05747:1</v>
      </c>
      <c r="D630" s="37" t="str">
        <f t="shared" si="23"/>
        <v>C05747 : (R)-3-Hydroxyhexanoyl-[acp]</v>
      </c>
    </row>
    <row r="631" spans="1:4" x14ac:dyDescent="0.35">
      <c r="A631" s="1" t="s">
        <v>9566</v>
      </c>
      <c r="B631" s="1" t="s">
        <v>13484</v>
      </c>
      <c r="C631" s="38" t="str">
        <f t="shared" si="22"/>
        <v>C05748:1</v>
      </c>
      <c r="D631" s="37" t="str">
        <f t="shared" si="23"/>
        <v>C05748 : trans-Hex-2-enoyl-[acp]</v>
      </c>
    </row>
    <row r="632" spans="1:4" x14ac:dyDescent="0.35">
      <c r="A632" s="1" t="s">
        <v>9170</v>
      </c>
      <c r="B632" s="1" t="s">
        <v>13485</v>
      </c>
      <c r="C632" s="38" t="str">
        <f t="shared" si="22"/>
        <v>C05749:1</v>
      </c>
      <c r="D632" s="37" t="str">
        <f t="shared" si="23"/>
        <v>C05749 : Hexanoyl-[acp]</v>
      </c>
    </row>
    <row r="633" spans="1:4" x14ac:dyDescent="0.35">
      <c r="A633" s="1" t="s">
        <v>9531</v>
      </c>
      <c r="B633" s="1" t="s">
        <v>13486</v>
      </c>
      <c r="C633" s="38" t="str">
        <f t="shared" si="22"/>
        <v>C05750:1</v>
      </c>
      <c r="D633" s="37" t="str">
        <f t="shared" si="23"/>
        <v>C05750 : 3-Oxooctanoyl-[acp]</v>
      </c>
    </row>
    <row r="634" spans="1:4" x14ac:dyDescent="0.35">
      <c r="A634" s="1" t="s">
        <v>9567</v>
      </c>
      <c r="B634" s="1" t="s">
        <v>13487</v>
      </c>
      <c r="C634" s="38" t="str">
        <f t="shared" si="22"/>
        <v>C05751:1</v>
      </c>
      <c r="D634" s="37" t="str">
        <f t="shared" si="23"/>
        <v>C05751 : trans-Oct-2-enoyl-[acp]</v>
      </c>
    </row>
    <row r="635" spans="1:4" x14ac:dyDescent="0.35">
      <c r="A635" s="1" t="s">
        <v>9171</v>
      </c>
      <c r="B635" s="1" t="s">
        <v>13488</v>
      </c>
      <c r="C635" s="38" t="str">
        <f t="shared" si="22"/>
        <v>C05752:1</v>
      </c>
      <c r="D635" s="37" t="str">
        <f t="shared" si="23"/>
        <v>C05752 : Octanoyl-[acp]</v>
      </c>
    </row>
    <row r="636" spans="1:4" x14ac:dyDescent="0.35">
      <c r="A636" s="1" t="s">
        <v>9530</v>
      </c>
      <c r="B636" s="1" t="s">
        <v>13489</v>
      </c>
      <c r="C636" s="38" t="str">
        <f t="shared" si="22"/>
        <v>C05753:1</v>
      </c>
      <c r="D636" s="37" t="str">
        <f t="shared" si="23"/>
        <v>C05753 : 3-Oxodecanoyl-[acp]</v>
      </c>
    </row>
    <row r="637" spans="1:4" x14ac:dyDescent="0.35">
      <c r="A637" s="1" t="s">
        <v>9568</v>
      </c>
      <c r="B637" s="1" t="s">
        <v>13490</v>
      </c>
      <c r="C637" s="38" t="str">
        <f t="shared" si="22"/>
        <v>C05754:1</v>
      </c>
      <c r="D637" s="37" t="str">
        <f t="shared" si="23"/>
        <v>C05754 : trans-Dec-2-enoyl-[acp]</v>
      </c>
    </row>
    <row r="638" spans="1:4" x14ac:dyDescent="0.35">
      <c r="A638" s="1" t="s">
        <v>9172</v>
      </c>
      <c r="B638" s="1" t="s">
        <v>13491</v>
      </c>
      <c r="C638" s="38" t="str">
        <f t="shared" si="22"/>
        <v>C05755:1</v>
      </c>
      <c r="D638" s="37" t="str">
        <f t="shared" si="23"/>
        <v>C05755 : Decanoyl-[acp]</v>
      </c>
    </row>
    <row r="639" spans="1:4" x14ac:dyDescent="0.35">
      <c r="A639" s="1" t="s">
        <v>9535</v>
      </c>
      <c r="B639" s="1" t="s">
        <v>13492</v>
      </c>
      <c r="C639" s="38" t="str">
        <f t="shared" si="22"/>
        <v>C05756:1</v>
      </c>
      <c r="D639" s="37" t="str">
        <f t="shared" si="23"/>
        <v>C05756 : 3-Oxododecanoyl-[acp]</v>
      </c>
    </row>
    <row r="640" spans="1:4" x14ac:dyDescent="0.35">
      <c r="A640" s="1" t="s">
        <v>9112</v>
      </c>
      <c r="B640" s="1" t="s">
        <v>13493</v>
      </c>
      <c r="C640" s="38" t="str">
        <f t="shared" si="22"/>
        <v>C05757:1</v>
      </c>
      <c r="D640" s="37" t="str">
        <f t="shared" si="23"/>
        <v>C05757 : (R)-3-Hydroxydodecanoyl-[acp]</v>
      </c>
    </row>
    <row r="641" spans="1:4" x14ac:dyDescent="0.35">
      <c r="A641" s="1" t="s">
        <v>9565</v>
      </c>
      <c r="B641" s="1" t="s">
        <v>13494</v>
      </c>
      <c r="C641" s="38" t="str">
        <f t="shared" si="22"/>
        <v>C05758:1</v>
      </c>
      <c r="D641" s="37" t="str">
        <f t="shared" si="23"/>
        <v>C05758 : trans-Dodec-2-enoyl-[acp]</v>
      </c>
    </row>
    <row r="642" spans="1:4" x14ac:dyDescent="0.35">
      <c r="A642" s="1" t="s">
        <v>9533</v>
      </c>
      <c r="B642" s="1" t="s">
        <v>13495</v>
      </c>
      <c r="C642" s="38" t="str">
        <f t="shared" si="22"/>
        <v>C05759:1</v>
      </c>
      <c r="D642" s="37" t="str">
        <f t="shared" si="23"/>
        <v>C05759 : 3-Oxotetradecanoyl-[acp]</v>
      </c>
    </row>
    <row r="643" spans="1:4" x14ac:dyDescent="0.35">
      <c r="A643" s="1" t="s">
        <v>9569</v>
      </c>
      <c r="B643" s="1" t="s">
        <v>13496</v>
      </c>
      <c r="C643" s="38" t="str">
        <f t="shared" ref="C643:C706" si="24">CONCATENATE(A643,":","1")</f>
        <v>C05760:1</v>
      </c>
      <c r="D643" s="37" t="str">
        <f t="shared" ref="D643:D706" si="25">CONCATENATE(A643," : ",B643)</f>
        <v>C05760 : trans-Tetradec-2-enoyl-[acp]</v>
      </c>
    </row>
    <row r="644" spans="1:4" x14ac:dyDescent="0.35">
      <c r="A644" s="1" t="s">
        <v>9173</v>
      </c>
      <c r="B644" s="1" t="s">
        <v>13497</v>
      </c>
      <c r="C644" s="38" t="str">
        <f t="shared" si="24"/>
        <v>C05761:1</v>
      </c>
      <c r="D644" s="37" t="str">
        <f t="shared" si="25"/>
        <v>C05761 : Tetradecanoyl-[acp]</v>
      </c>
    </row>
    <row r="645" spans="1:4" x14ac:dyDescent="0.35">
      <c r="A645" s="1" t="s">
        <v>9532</v>
      </c>
      <c r="B645" s="1" t="s">
        <v>13498</v>
      </c>
      <c r="C645" s="38" t="str">
        <f t="shared" si="24"/>
        <v>C05762:1</v>
      </c>
      <c r="D645" s="37" t="str">
        <f t="shared" si="25"/>
        <v>C05762 : 3-Oxohexadecanoyl-[acp]</v>
      </c>
    </row>
    <row r="646" spans="1:4" x14ac:dyDescent="0.35">
      <c r="A646" s="1" t="s">
        <v>9570</v>
      </c>
      <c r="B646" s="1" t="s">
        <v>13499</v>
      </c>
      <c r="C646" s="38" t="str">
        <f t="shared" si="24"/>
        <v>C05763:1</v>
      </c>
      <c r="D646" s="37" t="str">
        <f t="shared" si="25"/>
        <v>C05763 : trans-Hexadec-2-enoyl-[acp]</v>
      </c>
    </row>
    <row r="647" spans="1:4" x14ac:dyDescent="0.35">
      <c r="A647" s="1" t="s">
        <v>9174</v>
      </c>
      <c r="B647" s="1" t="s">
        <v>13500</v>
      </c>
      <c r="C647" s="38" t="str">
        <f t="shared" si="24"/>
        <v>C05764:1</v>
      </c>
      <c r="D647" s="37" t="str">
        <f t="shared" si="25"/>
        <v>C05764 : Hexadecanoyl-[acp]</v>
      </c>
    </row>
    <row r="648" spans="1:4" x14ac:dyDescent="0.35">
      <c r="A648" s="1" t="s">
        <v>9423</v>
      </c>
      <c r="B648" s="1" t="s">
        <v>13501</v>
      </c>
      <c r="C648" s="38" t="str">
        <f t="shared" si="24"/>
        <v>C05796:1</v>
      </c>
      <c r="D648" s="37" t="str">
        <f t="shared" si="25"/>
        <v>C05796 : Galactan</v>
      </c>
    </row>
    <row r="649" spans="1:4" x14ac:dyDescent="0.35">
      <c r="A649" s="1" t="s">
        <v>9265</v>
      </c>
      <c r="B649" s="1" t="s">
        <v>13502</v>
      </c>
      <c r="C649" s="38" t="str">
        <f t="shared" si="24"/>
        <v>C05841:1</v>
      </c>
      <c r="D649" s="37" t="str">
        <f t="shared" si="25"/>
        <v>C05841 : Nicotinate D-ribonucleoside</v>
      </c>
    </row>
    <row r="650" spans="1:4" x14ac:dyDescent="0.35">
      <c r="A650" s="1" t="s">
        <v>9492</v>
      </c>
      <c r="B650" s="1" t="s">
        <v>13503</v>
      </c>
      <c r="C650" s="38" t="str">
        <f t="shared" si="24"/>
        <v>C05892:1</v>
      </c>
      <c r="D650" s="37" t="str">
        <f t="shared" si="25"/>
        <v>C05892 : UDP-N-acetylmuramoyl-L-alanyl-gamma-D-glutamyl-L-lysine</v>
      </c>
    </row>
    <row r="651" spans="1:4" x14ac:dyDescent="0.35">
      <c r="A651" s="1" t="s">
        <v>9616</v>
      </c>
      <c r="B651" s="1" t="s">
        <v>13504</v>
      </c>
      <c r="C651" s="38" t="str">
        <f t="shared" si="24"/>
        <v>C05893:1</v>
      </c>
      <c r="D651" s="37" t="str">
        <f t="shared" si="25"/>
        <v>C05893 : Undecaprenyl-diphospho-N-acetylmuramoyl-(N-acetylglucosamine)-L-alanyl-gamma-D-glutamyl-L-lysyl-D-alanyl-D-alanine</v>
      </c>
    </row>
    <row r="652" spans="1:4" x14ac:dyDescent="0.35">
      <c r="A652" s="1" t="s">
        <v>9245</v>
      </c>
      <c r="B652" s="1" t="s">
        <v>13505</v>
      </c>
      <c r="C652" s="38" t="str">
        <f t="shared" si="24"/>
        <v>C05897:1</v>
      </c>
      <c r="D652" s="37" t="str">
        <f t="shared" si="25"/>
        <v>C05897 : Undecaprenyl-diphospho-N-acetylmuramoyl-L-alanyl-D-glutamyl-meso-2,6-diaminopimeloyl-D-alanyl-D-alanine</v>
      </c>
    </row>
    <row r="653" spans="1:4" x14ac:dyDescent="0.35">
      <c r="A653" s="1" t="s">
        <v>9617</v>
      </c>
      <c r="B653" s="1" t="s">
        <v>13506</v>
      </c>
      <c r="C653" s="38" t="str">
        <f t="shared" si="24"/>
        <v>C05898:1</v>
      </c>
      <c r="D653" s="37" t="str">
        <f t="shared" si="25"/>
        <v>C05898 : Undecaprenyl-diphospho-N-acetylmuramoyl-(N-acetylglucosamine)-L-alanyl-D-glutamyl-meso-2,6-diaminopimeloyl-D-alanyl-D-alanine</v>
      </c>
    </row>
    <row r="654" spans="1:4" x14ac:dyDescent="0.35">
      <c r="A654" s="1" t="s">
        <v>9505</v>
      </c>
      <c r="B654" s="1" t="s">
        <v>13507</v>
      </c>
      <c r="C654" s="38" t="str">
        <f t="shared" si="24"/>
        <v>C05921:1</v>
      </c>
      <c r="D654" s="37" t="str">
        <f t="shared" si="25"/>
        <v>C05921 : Biotinyl-5'-AMP</v>
      </c>
    </row>
    <row r="655" spans="1:4" x14ac:dyDescent="0.35">
      <c r="A655" s="1" t="s">
        <v>8333</v>
      </c>
      <c r="B655" s="1" t="s">
        <v>13508</v>
      </c>
      <c r="C655" s="38" t="str">
        <f t="shared" si="24"/>
        <v>C05922:1</v>
      </c>
      <c r="D655" s="37" t="str">
        <f t="shared" si="25"/>
        <v>C05922 : Formamidopyrimidine nucleoside triphosphate</v>
      </c>
    </row>
    <row r="656" spans="1:4" x14ac:dyDescent="0.35">
      <c r="A656" s="1" t="s">
        <v>8338</v>
      </c>
      <c r="B656" s="1" t="s">
        <v>13509</v>
      </c>
      <c r="C656" s="38" t="str">
        <f t="shared" si="24"/>
        <v>C05923:1</v>
      </c>
      <c r="D656" s="37" t="str">
        <f t="shared" si="25"/>
        <v>C05923 : 2,5-Diaminopyrimidine nucleoside triphosphate</v>
      </c>
    </row>
    <row r="657" spans="1:4" x14ac:dyDescent="0.35">
      <c r="A657" s="1" t="s">
        <v>9497</v>
      </c>
      <c r="B657" s="1" t="s">
        <v>13510</v>
      </c>
      <c r="C657" s="38" t="str">
        <f t="shared" si="24"/>
        <v>C05928:1</v>
      </c>
      <c r="D657" s="37" t="str">
        <f t="shared" si="25"/>
        <v>C05928 : (6R)-10-Formyltetrahydropteroyldiglutamate</v>
      </c>
    </row>
    <row r="658" spans="1:4" x14ac:dyDescent="0.35">
      <c r="A658" s="1" t="s">
        <v>10170</v>
      </c>
      <c r="B658" s="1" t="s">
        <v>13511</v>
      </c>
      <c r="C658" s="38" t="str">
        <f t="shared" si="24"/>
        <v>C05929:1</v>
      </c>
      <c r="D658" s="37" t="str">
        <f t="shared" si="25"/>
        <v>C05929 : 10-Formyltetrahydrofolylpolyglutamate</v>
      </c>
    </row>
    <row r="659" spans="1:4" x14ac:dyDescent="0.35">
      <c r="A659" s="1" t="s">
        <v>9647</v>
      </c>
      <c r="B659" s="1" t="s">
        <v>13512</v>
      </c>
      <c r="C659" s="38" t="str">
        <f t="shared" si="24"/>
        <v>C05946:1</v>
      </c>
      <c r="D659" s="37" t="str">
        <f t="shared" si="25"/>
        <v>C05946 : 4R)-4-Hydroxy-2-oxoglutarate</v>
      </c>
    </row>
    <row r="660" spans="1:4" x14ac:dyDescent="0.35">
      <c r="A660" s="1" t="s">
        <v>9313</v>
      </c>
      <c r="B660" s="1" t="s">
        <v>13513</v>
      </c>
      <c r="C660" s="38" t="str">
        <f t="shared" si="24"/>
        <v>C05947:1</v>
      </c>
      <c r="D660" s="37" t="str">
        <f t="shared" si="25"/>
        <v>C05947 : L-erythro-4-Hydroxyglutamate</v>
      </c>
    </row>
    <row r="661" spans="1:4" x14ac:dyDescent="0.35">
      <c r="A661" s="1" t="s">
        <v>8549</v>
      </c>
      <c r="B661" s="1" t="s">
        <v>13514</v>
      </c>
      <c r="C661" s="38" t="str">
        <f t="shared" si="24"/>
        <v>C05998:1</v>
      </c>
      <c r="D661" s="37" t="str">
        <f t="shared" si="25"/>
        <v>C05998 : 3-Hydroxyisovaleryl-CoA</v>
      </c>
    </row>
    <row r="662" spans="1:4" x14ac:dyDescent="0.35">
      <c r="A662" s="1" t="s">
        <v>8518</v>
      </c>
      <c r="B662" s="1" t="s">
        <v>13515</v>
      </c>
      <c r="C662" s="38" t="str">
        <f t="shared" si="24"/>
        <v>C06000:1</v>
      </c>
      <c r="D662" s="37" t="str">
        <f t="shared" si="25"/>
        <v>C06000 : (S)-3-Hydroxyisobutyryl-CoA</v>
      </c>
    </row>
    <row r="663" spans="1:4" x14ac:dyDescent="0.35">
      <c r="A663" s="1" t="s">
        <v>6928</v>
      </c>
      <c r="B663" s="1" t="s">
        <v>13516</v>
      </c>
      <c r="C663" s="38" t="str">
        <f t="shared" si="24"/>
        <v>C06006:1</v>
      </c>
      <c r="D663" s="37" t="str">
        <f t="shared" si="25"/>
        <v>C06006 : (S)-2-Aceto-2-hydroxybutanoate</v>
      </c>
    </row>
    <row r="664" spans="1:4" x14ac:dyDescent="0.35">
      <c r="A664" s="1" t="s">
        <v>8612</v>
      </c>
      <c r="B664" s="1" t="s">
        <v>13517</v>
      </c>
      <c r="C664" s="38" t="str">
        <f t="shared" si="24"/>
        <v>C06007:1</v>
      </c>
      <c r="D664" s="37" t="str">
        <f t="shared" si="25"/>
        <v>C06007 : (R)-2,3-Dihydroxy-3-methylpentanoate</v>
      </c>
    </row>
    <row r="665" spans="1:4" x14ac:dyDescent="0.35">
      <c r="A665" s="1" t="s">
        <v>6931</v>
      </c>
      <c r="B665" s="1" t="s">
        <v>13518</v>
      </c>
      <c r="C665" s="38" t="str">
        <f t="shared" si="24"/>
        <v>C06010:1</v>
      </c>
      <c r="D665" s="37" t="str">
        <f t="shared" si="25"/>
        <v>C06010 : (S)-2-Acetolactat</v>
      </c>
    </row>
    <row r="666" spans="1:4" x14ac:dyDescent="0.35">
      <c r="A666" s="1" t="s">
        <v>9549</v>
      </c>
      <c r="B666" s="1" t="s">
        <v>13519</v>
      </c>
      <c r="C666" s="38" t="str">
        <f t="shared" si="24"/>
        <v>C06032:1</v>
      </c>
      <c r="D666" s="37" t="str">
        <f t="shared" si="25"/>
        <v>C06032 : D-erythro-3-Methylmalate</v>
      </c>
    </row>
    <row r="667" spans="1:4" x14ac:dyDescent="0.35">
      <c r="A667" s="1" t="s">
        <v>9649</v>
      </c>
      <c r="B667" s="1" t="s">
        <v>13520</v>
      </c>
      <c r="C667" s="38" t="str">
        <f t="shared" si="24"/>
        <v>C06054:1</v>
      </c>
      <c r="D667" s="37" t="str">
        <f t="shared" si="25"/>
        <v>C06054 : 2-Oxo-3-hydroxy-4-phosphobutanoate</v>
      </c>
    </row>
    <row r="668" spans="1:4" x14ac:dyDescent="0.35">
      <c r="A668" s="1" t="s">
        <v>9320</v>
      </c>
      <c r="B668" s="1" t="s">
        <v>13521</v>
      </c>
      <c r="C668" s="38" t="str">
        <f t="shared" si="24"/>
        <v>C06055:1</v>
      </c>
      <c r="D668" s="37" t="str">
        <f t="shared" si="25"/>
        <v>C06055 : O-Phospho-4-hydroxy-L-threonine</v>
      </c>
    </row>
    <row r="669" spans="1:4" x14ac:dyDescent="0.35">
      <c r="A669" s="1" t="s">
        <v>9739</v>
      </c>
      <c r="B669" s="1" t="s">
        <v>13522</v>
      </c>
      <c r="C669" s="38" t="str">
        <f t="shared" si="24"/>
        <v>C06056:1</v>
      </c>
      <c r="D669" s="37" t="str">
        <f t="shared" si="25"/>
        <v>C06056 : 4-Hydroxy-L-threonine</v>
      </c>
    </row>
    <row r="670" spans="1:4" x14ac:dyDescent="0.35">
      <c r="A670" s="1" t="s">
        <v>9696</v>
      </c>
      <c r="B670" s="1" t="s">
        <v>13523</v>
      </c>
      <c r="C670" s="38" t="str">
        <f t="shared" si="24"/>
        <v>C06135:1</v>
      </c>
      <c r="D670" s="37" t="str">
        <f t="shared" si="25"/>
        <v>C06135 : GA2</v>
      </c>
    </row>
    <row r="671" spans="1:4" x14ac:dyDescent="0.35">
      <c r="A671" s="1" t="s">
        <v>9427</v>
      </c>
      <c r="B671" s="1" t="s">
        <v>13524</v>
      </c>
      <c r="C671" s="38" t="str">
        <f t="shared" si="24"/>
        <v>C06136:1</v>
      </c>
      <c r="D671" s="37" t="str">
        <f t="shared" si="25"/>
        <v>C06136 : GA1</v>
      </c>
    </row>
    <row r="672" spans="1:4" x14ac:dyDescent="0.35">
      <c r="A672" s="1" t="s">
        <v>8335</v>
      </c>
      <c r="B672" s="1" t="s">
        <v>13525</v>
      </c>
      <c r="C672" s="38" t="str">
        <f t="shared" si="24"/>
        <v>C06148:1</v>
      </c>
      <c r="D672" s="37" t="str">
        <f t="shared" si="25"/>
        <v>C06148 : 2,5-Diamino-6-(5'-triphosphoryl-3',4'-trihydroxy-2'-oxopentyl)-amino-4-oxopyrimidine</v>
      </c>
    </row>
    <row r="673" spans="1:4" x14ac:dyDescent="0.35">
      <c r="A673" s="1" t="s">
        <v>8754</v>
      </c>
      <c r="B673" s="1" t="s">
        <v>13526</v>
      </c>
      <c r="C673" s="38" t="str">
        <f t="shared" si="24"/>
        <v>C06156:1</v>
      </c>
      <c r="D673" s="37" t="str">
        <f t="shared" si="25"/>
        <v>C06156 : alpha-D-Glucosamine 1-phosphate</v>
      </c>
    </row>
    <row r="674" spans="1:4" x14ac:dyDescent="0.35">
      <c r="A674" s="1" t="s">
        <v>9441</v>
      </c>
      <c r="B674" s="1" t="s">
        <v>13527</v>
      </c>
      <c r="C674" s="38" t="str">
        <f t="shared" si="24"/>
        <v>C06187:1</v>
      </c>
      <c r="D674" s="37" t="str">
        <f t="shared" si="25"/>
        <v>C06187 : Arbutin 6-phosphate</v>
      </c>
    </row>
    <row r="675" spans="1:4" x14ac:dyDescent="0.35">
      <c r="A675" s="1" t="s">
        <v>9442</v>
      </c>
      <c r="B675" s="1" t="s">
        <v>13528</v>
      </c>
      <c r="C675" s="38" t="str">
        <f t="shared" si="24"/>
        <v>C06188:1</v>
      </c>
      <c r="D675" s="37" t="str">
        <f t="shared" si="25"/>
        <v>C06188 : Salicin 6-phosphate</v>
      </c>
    </row>
    <row r="676" spans="1:4" x14ac:dyDescent="0.35">
      <c r="A676" s="1" t="s">
        <v>9420</v>
      </c>
      <c r="B676" s="1" t="s">
        <v>13529</v>
      </c>
      <c r="C676" s="38" t="str">
        <f t="shared" si="24"/>
        <v>C06196:1</v>
      </c>
      <c r="D676" s="37" t="str">
        <f t="shared" si="25"/>
        <v>C06196 : 2'-Deoxyinosine 5'-phosphate</v>
      </c>
    </row>
    <row r="677" spans="1:4" x14ac:dyDescent="0.35">
      <c r="A677" s="1" t="s">
        <v>9467</v>
      </c>
      <c r="B677" s="1" t="s">
        <v>13530</v>
      </c>
      <c r="C677" s="38" t="str">
        <f t="shared" si="24"/>
        <v>C06198:1</v>
      </c>
      <c r="D677" s="37" t="str">
        <f t="shared" si="25"/>
        <v>C06198 : P1,P4-Bis(5'-uridyl) tetraphosphate</v>
      </c>
    </row>
    <row r="678" spans="1:4" x14ac:dyDescent="0.35">
      <c r="A678" s="1" t="s">
        <v>9473</v>
      </c>
      <c r="B678" s="1" t="s">
        <v>13531</v>
      </c>
      <c r="C678" s="38" t="str">
        <f t="shared" si="24"/>
        <v>C06206:1</v>
      </c>
      <c r="D678" s="37" t="str">
        <f t="shared" si="25"/>
        <v>C06206 : Benzoyl phosphate</v>
      </c>
    </row>
    <row r="679" spans="1:4" x14ac:dyDescent="0.35">
      <c r="A679" s="1" t="s">
        <v>9237</v>
      </c>
      <c r="B679" s="1" t="s">
        <v>13532</v>
      </c>
      <c r="C679" s="38" t="str">
        <f t="shared" si="24"/>
        <v>C06215:1</v>
      </c>
      <c r="D679" s="37" t="str">
        <f t="shared" si="25"/>
        <v>C06215 : Levan</v>
      </c>
    </row>
    <row r="680" spans="1:4" x14ac:dyDescent="0.35">
      <c r="A680" s="1" t="s">
        <v>9506</v>
      </c>
      <c r="B680" s="1" t="s">
        <v>13533</v>
      </c>
      <c r="C680" s="38" t="str">
        <f t="shared" si="24"/>
        <v>C06249 :1</v>
      </c>
      <c r="D680" s="37" t="str">
        <f t="shared" si="25"/>
        <v>C06249  : Apo-[carboxylase]</v>
      </c>
    </row>
    <row r="681" spans="1:4" x14ac:dyDescent="0.35">
      <c r="A681" s="1" t="s">
        <v>9746</v>
      </c>
      <c r="B681" s="1" t="s">
        <v>13534</v>
      </c>
      <c r="C681" s="38" t="str">
        <f t="shared" si="24"/>
        <v>C06250:1</v>
      </c>
      <c r="D681" s="37" t="str">
        <f t="shared" si="25"/>
        <v>C06250 : Holo-[carboxylase]</v>
      </c>
    </row>
    <row r="682" spans="1:4" x14ac:dyDescent="0.35">
      <c r="A682" s="1" t="s">
        <v>9675</v>
      </c>
      <c r="B682" s="1" t="s">
        <v>13535</v>
      </c>
      <c r="C682" s="38" t="str">
        <f t="shared" si="24"/>
        <v>C06424:1</v>
      </c>
      <c r="D682" s="37" t="str">
        <f t="shared" si="25"/>
        <v>C06424 : Tetradecanoic acid</v>
      </c>
    </row>
    <row r="683" spans="1:4" x14ac:dyDescent="0.35">
      <c r="A683" s="1" t="s">
        <v>9679</v>
      </c>
      <c r="B683" s="1" t="s">
        <v>13536</v>
      </c>
      <c r="C683" s="38" t="str">
        <f t="shared" si="24"/>
        <v>C06425:1</v>
      </c>
      <c r="D683" s="37" t="str">
        <f t="shared" si="25"/>
        <v>C06425 : Icosanoic acid</v>
      </c>
    </row>
    <row r="684" spans="1:4" x14ac:dyDescent="0.35">
      <c r="A684" s="1" t="s">
        <v>9684</v>
      </c>
      <c r="B684" s="1" t="s">
        <v>13537</v>
      </c>
      <c r="C684" s="38" t="str">
        <f t="shared" si="24"/>
        <v>C06426:1</v>
      </c>
      <c r="D684" s="37" t="str">
        <f t="shared" si="25"/>
        <v>C06426 : (6Z,9Z,12Z)-Octadecatrienoic acid</v>
      </c>
    </row>
    <row r="685" spans="1:4" x14ac:dyDescent="0.35">
      <c r="A685" s="1" t="s">
        <v>9681</v>
      </c>
      <c r="B685" s="1" t="s">
        <v>13538</v>
      </c>
      <c r="C685" s="38" t="str">
        <f t="shared" si="24"/>
        <v>C06427:1</v>
      </c>
      <c r="D685" s="37" t="str">
        <f t="shared" si="25"/>
        <v>C06427 : (9Z,12Z,15Z)-Octadecatrienoic acid</v>
      </c>
    </row>
    <row r="686" spans="1:4" x14ac:dyDescent="0.35">
      <c r="A686" s="1" t="s">
        <v>9682</v>
      </c>
      <c r="B686" s="1" t="s">
        <v>13539</v>
      </c>
      <c r="C686" s="38" t="str">
        <f t="shared" si="24"/>
        <v>C06428:1</v>
      </c>
      <c r="D686" s="37" t="str">
        <f t="shared" si="25"/>
        <v>C06428 : (5Z,8Z,11Z,14Z,17Z)-Icosapentaenoic acid</v>
      </c>
    </row>
    <row r="687" spans="1:4" x14ac:dyDescent="0.35">
      <c r="A687" s="1" t="s">
        <v>9683</v>
      </c>
      <c r="B687" s="1" t="s">
        <v>13540</v>
      </c>
      <c r="C687" s="38" t="str">
        <f t="shared" si="24"/>
        <v>C06429:1</v>
      </c>
      <c r="D687" s="37" t="str">
        <f t="shared" si="25"/>
        <v>C06429 : (4Z,7Z,10Z,13Z,16Z,19Z)-Docosahexaenoic acid</v>
      </c>
    </row>
    <row r="688" spans="1:4" x14ac:dyDescent="0.35">
      <c r="A688" s="1" t="s">
        <v>10153</v>
      </c>
      <c r="B688" s="1" t="s">
        <v>13541</v>
      </c>
      <c r="C688" s="38" t="str">
        <f t="shared" si="24"/>
        <v>C06481:1</v>
      </c>
      <c r="D688" s="37" t="str">
        <f t="shared" si="25"/>
        <v>C06481 : L-Seryl-tRNA(Sec)</v>
      </c>
    </row>
    <row r="689" spans="1:4" x14ac:dyDescent="0.35">
      <c r="A689" s="1" t="s">
        <v>9091</v>
      </c>
      <c r="B689" s="1" t="s">
        <v>13542</v>
      </c>
      <c r="C689" s="38" t="str">
        <f t="shared" si="24"/>
        <v>C06611:1</v>
      </c>
      <c r="D689" s="37" t="str">
        <f t="shared" si="25"/>
        <v>C06611 : trans-3-Chloro-2-propene-1-ol</v>
      </c>
    </row>
    <row r="690" spans="1:4" x14ac:dyDescent="0.35">
      <c r="A690" s="1" t="s">
        <v>9092</v>
      </c>
      <c r="B690" s="1" t="s">
        <v>13543</v>
      </c>
      <c r="C690" s="38" t="str">
        <f t="shared" si="24"/>
        <v>C06612:1</v>
      </c>
      <c r="D690" s="37" t="str">
        <f t="shared" si="25"/>
        <v>C06612 : cis-3-Chloro-2-propene-1-ol</v>
      </c>
    </row>
    <row r="691" spans="1:4" x14ac:dyDescent="0.35">
      <c r="A691" s="1" t="s">
        <v>9517</v>
      </c>
      <c r="B691" s="1" t="s">
        <v>13544</v>
      </c>
      <c r="C691" s="38" t="str">
        <f t="shared" si="24"/>
        <v>C06613:1</v>
      </c>
      <c r="D691" s="37" t="str">
        <f t="shared" si="25"/>
        <v>C06613 : trans-3-Chloroallyl aldehyde</v>
      </c>
    </row>
    <row r="692" spans="1:4" x14ac:dyDescent="0.35">
      <c r="A692" s="1" t="s">
        <v>9104</v>
      </c>
      <c r="B692" s="1" t="s">
        <v>13545</v>
      </c>
      <c r="C692" s="38" t="str">
        <f t="shared" si="24"/>
        <v>C06899:1</v>
      </c>
      <c r="D692" s="37" t="str">
        <f t="shared" si="25"/>
        <v>C06899 : Chloral hydrate</v>
      </c>
    </row>
    <row r="693" spans="1:4" x14ac:dyDescent="0.35">
      <c r="A693" s="1" t="s">
        <v>9527</v>
      </c>
      <c r="B693" s="1" t="s">
        <v>13546</v>
      </c>
      <c r="C693" s="38" t="str">
        <f t="shared" si="24"/>
        <v>C07490:1</v>
      </c>
      <c r="D693" s="37" t="str">
        <f t="shared" si="25"/>
        <v>C07490 : Trichloroethanol</v>
      </c>
    </row>
    <row r="694" spans="1:4" x14ac:dyDescent="0.35">
      <c r="A694" s="1" t="s">
        <v>9284</v>
      </c>
      <c r="B694" s="1" t="s">
        <v>13547</v>
      </c>
      <c r="C694" s="38" t="str">
        <f t="shared" si="24"/>
        <v>C07648:1</v>
      </c>
      <c r="D694" s="37" t="str">
        <f t="shared" si="25"/>
        <v>C07648 : Thioguanine</v>
      </c>
    </row>
    <row r="695" spans="1:4" x14ac:dyDescent="0.35">
      <c r="A695" s="1" t="s">
        <v>9268</v>
      </c>
      <c r="B695" s="1" t="s">
        <v>13548</v>
      </c>
      <c r="C695" s="38" t="str">
        <f t="shared" si="24"/>
        <v>C07649:1</v>
      </c>
      <c r="D695" s="37" t="str">
        <f t="shared" si="25"/>
        <v>C07649 : Fluorouracil</v>
      </c>
    </row>
    <row r="696" spans="1:4" x14ac:dyDescent="0.35">
      <c r="A696" s="1" t="s">
        <v>9676</v>
      </c>
      <c r="B696" s="1" t="s">
        <v>13549</v>
      </c>
      <c r="C696" s="38" t="str">
        <f t="shared" si="24"/>
        <v>C08362:1</v>
      </c>
      <c r="D696" s="37" t="str">
        <f t="shared" si="25"/>
        <v>C08362 : (9Z)-Hexadecenoic acid</v>
      </c>
    </row>
    <row r="697" spans="1:4" x14ac:dyDescent="0.35">
      <c r="A697" s="1" t="s">
        <v>9523</v>
      </c>
      <c r="B697" s="1" t="s">
        <v>13550</v>
      </c>
      <c r="C697" s="38" t="str">
        <f t="shared" si="24"/>
        <v>C08492:1</v>
      </c>
      <c r="D697" s="37" t="str">
        <f t="shared" si="25"/>
        <v>C08492 : 3-Hexenol</v>
      </c>
    </row>
    <row r="698" spans="1:4" x14ac:dyDescent="0.35">
      <c r="A698" s="1" t="s">
        <v>10169</v>
      </c>
      <c r="B698" s="1" t="s">
        <v>13551</v>
      </c>
      <c r="C698" s="38" t="str">
        <f t="shared" si="24"/>
        <v>C09332:1</v>
      </c>
      <c r="D698" s="37" t="str">
        <f t="shared" si="25"/>
        <v>C09332 : THF-L-glutamate</v>
      </c>
    </row>
    <row r="699" spans="1:4" x14ac:dyDescent="0.35">
      <c r="A699" s="1" t="s">
        <v>9359</v>
      </c>
      <c r="B699" s="1" t="s">
        <v>13552</v>
      </c>
      <c r="C699" s="38" t="str">
        <f t="shared" si="24"/>
        <v>C11038:1</v>
      </c>
      <c r="D699" s="37" t="str">
        <f t="shared" si="25"/>
        <v>C11038 : 2'-Deoxy-5-hydroxymethylcytidine-5'-diphosphate</v>
      </c>
    </row>
    <row r="700" spans="1:4" x14ac:dyDescent="0.35">
      <c r="A700" s="1" t="s">
        <v>7982</v>
      </c>
      <c r="B700" s="1" t="s">
        <v>13553</v>
      </c>
      <c r="C700" s="38" t="str">
        <f t="shared" si="24"/>
        <v>C11039:1</v>
      </c>
      <c r="D700" s="37" t="str">
        <f t="shared" si="25"/>
        <v>C11039 : 2'-Deoxy-5-hydroxymethylcytidine-5'-triphosphate</v>
      </c>
    </row>
    <row r="701" spans="1:4" x14ac:dyDescent="0.35">
      <c r="A701" s="1" t="s">
        <v>9458</v>
      </c>
      <c r="B701" s="1" t="s">
        <v>13554</v>
      </c>
      <c r="C701" s="38" t="str">
        <f t="shared" si="24"/>
        <v>C11439:1</v>
      </c>
      <c r="D701" s="37" t="str">
        <f t="shared" si="25"/>
        <v>C11439 : Formyl-L-methionyl peptide</v>
      </c>
    </row>
    <row r="702" spans="1:4" x14ac:dyDescent="0.35">
      <c r="A702" s="1" t="s">
        <v>9710</v>
      </c>
      <c r="B702" s="1" t="s">
        <v>13555</v>
      </c>
      <c r="C702" s="38" t="str">
        <f t="shared" si="24"/>
        <v>C11440:1</v>
      </c>
      <c r="D702" s="37" t="str">
        <f t="shared" si="25"/>
        <v>C11440 : Methionyl peptide</v>
      </c>
    </row>
    <row r="703" spans="1:4" x14ac:dyDescent="0.35">
      <c r="A703" s="1" t="s">
        <v>9597</v>
      </c>
      <c r="B703" s="1" t="s">
        <v>13556</v>
      </c>
      <c r="C703" s="38" t="str">
        <f t="shared" si="24"/>
        <v>C11475:1</v>
      </c>
      <c r="D703" s="37" t="str">
        <f t="shared" si="25"/>
        <v>C11475 : DNA containing guanine</v>
      </c>
    </row>
    <row r="704" spans="1:4" x14ac:dyDescent="0.35">
      <c r="A704" s="1" t="s">
        <v>9208</v>
      </c>
      <c r="B704" s="1" t="s">
        <v>13557</v>
      </c>
      <c r="C704" s="38" t="str">
        <f t="shared" si="24"/>
        <v>C11478 :1</v>
      </c>
      <c r="D704" s="37" t="str">
        <f t="shared" si="25"/>
        <v>C11478  : tRNA containing 5-(aminomethyl)-2-thiouridine</v>
      </c>
    </row>
    <row r="705" spans="1:4" x14ac:dyDescent="0.35">
      <c r="A705" s="1" t="s">
        <v>9331</v>
      </c>
      <c r="B705" s="1" t="s">
        <v>13558</v>
      </c>
      <c r="C705" s="38" t="str">
        <f t="shared" si="24"/>
        <v>C11736:1</v>
      </c>
      <c r="D705" s="37" t="str">
        <f t="shared" si="25"/>
        <v>C11736 : 5-Fluorodeoxyuridine</v>
      </c>
    </row>
    <row r="706" spans="1:4" x14ac:dyDescent="0.35">
      <c r="A706" s="1" t="s">
        <v>9742</v>
      </c>
      <c r="B706" s="1" t="s">
        <v>13559</v>
      </c>
      <c r="C706" s="38" t="str">
        <f t="shared" si="24"/>
        <v>C11838:1</v>
      </c>
      <c r="D706" s="37" t="str">
        <f t="shared" si="25"/>
        <v>C11838 : (S)-4,5-Dihydroxypentane-2,3-dione</v>
      </c>
    </row>
    <row r="707" spans="1:4" x14ac:dyDescent="0.35">
      <c r="A707" s="1" t="s">
        <v>8695</v>
      </c>
      <c r="B707" s="1" t="s">
        <v>13560</v>
      </c>
      <c r="C707" s="38" t="str">
        <f t="shared" ref="C707:C770" si="26">CONCATENATE(A707,":","1")</f>
        <v>C11907:1</v>
      </c>
      <c r="D707" s="37" t="str">
        <f t="shared" ref="D707:D770" si="27">CONCATENATE(A707," : ",B707)</f>
        <v>C11907 : dTDP-4-oxo-6-deoxy-D-glucose</v>
      </c>
    </row>
    <row r="708" spans="1:4" x14ac:dyDescent="0.35">
      <c r="A708" s="1" t="s">
        <v>9480</v>
      </c>
      <c r="B708" s="1" t="s">
        <v>13561</v>
      </c>
      <c r="C708" s="38" t="str">
        <f t="shared" si="26"/>
        <v>C11945:1</v>
      </c>
      <c r="D708" s="37" t="str">
        <f t="shared" si="27"/>
        <v>C11945 : trans-2-Methyl-5-isopropylhexa-2,5-dienoyl-CoA</v>
      </c>
    </row>
    <row r="709" spans="1:4" x14ac:dyDescent="0.35">
      <c r="A709" s="1" t="s">
        <v>9479</v>
      </c>
      <c r="B709" s="1" t="s">
        <v>13562</v>
      </c>
      <c r="C709" s="38" t="str">
        <f t="shared" si="26"/>
        <v>C11946:1</v>
      </c>
      <c r="D709" s="37" t="str">
        <f t="shared" si="27"/>
        <v>C11946 : cis-2-Methyl-5-isopropylhexa-2,5-dienoyl-CoA</v>
      </c>
    </row>
    <row r="710" spans="1:4" x14ac:dyDescent="0.35">
      <c r="A710" s="1" t="s">
        <v>8555</v>
      </c>
      <c r="B710" s="1" t="s">
        <v>13563</v>
      </c>
      <c r="C710" s="38" t="str">
        <f t="shared" si="26"/>
        <v>C11947:1</v>
      </c>
      <c r="D710" s="37" t="str">
        <f t="shared" si="27"/>
        <v>C11947 : 3-Hydroxy-2,6-dimethyl-5-methylene-heptanoyl-CoA</v>
      </c>
    </row>
    <row r="711" spans="1:4" x14ac:dyDescent="0.35">
      <c r="A711" s="1" t="s">
        <v>9202</v>
      </c>
      <c r="B711" s="1" t="s">
        <v>13564</v>
      </c>
      <c r="C711" s="38" t="str">
        <f t="shared" si="26"/>
        <v>C12203:1</v>
      </c>
      <c r="D711" s="37" t="str">
        <f t="shared" si="27"/>
        <v>C12203 : 5-Hydroxyferuloyl-CoA</v>
      </c>
    </row>
    <row r="712" spans="1:4" x14ac:dyDescent="0.35">
      <c r="A712" s="1" t="s">
        <v>9219</v>
      </c>
      <c r="B712" s="1" t="s">
        <v>13565</v>
      </c>
      <c r="C712" s="38" t="str">
        <f t="shared" si="26"/>
        <v>C12214:1</v>
      </c>
      <c r="D712" s="37" t="str">
        <f t="shared" si="27"/>
        <v>C12214 : Aminofructose 6-phosphate</v>
      </c>
    </row>
    <row r="713" spans="1:4" x14ac:dyDescent="0.35">
      <c r="A713" s="1" t="s">
        <v>9601</v>
      </c>
      <c r="B713" s="1" t="s">
        <v>13566</v>
      </c>
      <c r="C713" s="38" t="str">
        <f t="shared" si="26"/>
        <v>C12215:1</v>
      </c>
      <c r="D713" s="37" t="str">
        <f t="shared" si="27"/>
        <v>C12215 : Iminoerythrose 4-phosphate</v>
      </c>
    </row>
    <row r="714" spans="1:4" x14ac:dyDescent="0.35">
      <c r="A714" s="1" t="s">
        <v>9712</v>
      </c>
      <c r="B714" s="1" t="s">
        <v>13567</v>
      </c>
      <c r="C714" s="38" t="str">
        <f t="shared" si="26"/>
        <v>C12739:1</v>
      </c>
      <c r="D714" s="37" t="str">
        <f t="shared" si="27"/>
        <v>C12739 : 5'-Deoxy-5-fluorouridine</v>
      </c>
    </row>
    <row r="715" spans="1:4" x14ac:dyDescent="0.35">
      <c r="A715" s="1" t="s">
        <v>9602</v>
      </c>
      <c r="B715" s="1" t="s">
        <v>13568</v>
      </c>
      <c r="C715" s="38" t="str">
        <f t="shared" si="26"/>
        <v>C13378:1</v>
      </c>
      <c r="D715" s="37" t="str">
        <f t="shared" si="27"/>
        <v>C13378 : alpha,beta-Dihydroxyethyl-TPP</v>
      </c>
    </row>
    <row r="716" spans="1:4" x14ac:dyDescent="0.35">
      <c r="A716" s="1" t="s">
        <v>9093</v>
      </c>
      <c r="B716" s="1" t="s">
        <v>13569</v>
      </c>
      <c r="C716" s="38" t="str">
        <f t="shared" si="26"/>
        <v>C14089:1</v>
      </c>
      <c r="D716" s="37" t="str">
        <f t="shared" si="27"/>
        <v>C14089 : 1-Hydroxymethylnaphthalene</v>
      </c>
    </row>
    <row r="717" spans="1:4" x14ac:dyDescent="0.35">
      <c r="A717" s="1" t="s">
        <v>9519</v>
      </c>
      <c r="B717" s="1" t="s">
        <v>13570</v>
      </c>
      <c r="C717" s="38" t="str">
        <f t="shared" si="26"/>
        <v>C14090:1</v>
      </c>
      <c r="D717" s="37" t="str">
        <f t="shared" si="27"/>
        <v>C14090 : 1-Naphthaldehyde</v>
      </c>
    </row>
    <row r="718" spans="1:4" x14ac:dyDescent="0.35">
      <c r="A718" s="1" t="s">
        <v>9520</v>
      </c>
      <c r="B718" s="1" t="s">
        <v>13571</v>
      </c>
      <c r="C718" s="38" t="str">
        <f t="shared" si="26"/>
        <v>C14099:1</v>
      </c>
      <c r="D718" s="37" t="str">
        <f t="shared" si="27"/>
        <v>C14099 : 2-Naphthaldehyde</v>
      </c>
    </row>
    <row r="719" spans="1:4" x14ac:dyDescent="0.35">
      <c r="A719" s="1" t="s">
        <v>9481</v>
      </c>
      <c r="B719" s="1" t="s">
        <v>13572</v>
      </c>
      <c r="C719" s="38" t="str">
        <f t="shared" si="26"/>
        <v>C14144:1</v>
      </c>
      <c r="D719" s="37" t="str">
        <f t="shared" si="27"/>
        <v>C14144 : 5-Carboxy-2-pentenoyl-CoA</v>
      </c>
    </row>
    <row r="720" spans="1:4" x14ac:dyDescent="0.35">
      <c r="A720" s="1" t="s">
        <v>8560</v>
      </c>
      <c r="B720" s="1" t="s">
        <v>13573</v>
      </c>
      <c r="C720" s="38" t="str">
        <f t="shared" si="26"/>
        <v>C14145:1</v>
      </c>
      <c r="D720" s="37" t="str">
        <f t="shared" si="27"/>
        <v>C14145 : (3S)-3-Hydroxyadipyl-CoA</v>
      </c>
    </row>
    <row r="721" spans="1:4" x14ac:dyDescent="0.35">
      <c r="A721" s="1" t="s">
        <v>6929</v>
      </c>
      <c r="B721" s="1" t="s">
        <v>13574</v>
      </c>
      <c r="C721" s="38" t="str">
        <f t="shared" si="26"/>
        <v>C14463:1</v>
      </c>
      <c r="D721" s="37" t="str">
        <f t="shared" si="27"/>
        <v>C14463 : (R)-3-Hydroxy-3-methyl-2-oxopentanoate</v>
      </c>
    </row>
    <row r="722" spans="1:4" x14ac:dyDescent="0.35">
      <c r="A722" s="1" t="s">
        <v>9411</v>
      </c>
      <c r="B722" s="1" t="s">
        <v>13575</v>
      </c>
      <c r="C722" s="38" t="str">
        <f t="shared" si="26"/>
        <v>C15585:1</v>
      </c>
      <c r="D722" s="37" t="str">
        <f t="shared" si="27"/>
        <v>C15585 : myo-Inositol phosphate</v>
      </c>
    </row>
    <row r="723" spans="1:4" x14ac:dyDescent="0.35">
      <c r="A723" s="1" t="s">
        <v>9255</v>
      </c>
      <c r="B723" s="1" t="s">
        <v>13576</v>
      </c>
      <c r="C723" s="38" t="str">
        <f t="shared" si="26"/>
        <v>C15586:1</v>
      </c>
      <c r="D723" s="37" t="str">
        <f t="shared" si="27"/>
        <v>C15586 : N-D-Ribosylpurine</v>
      </c>
    </row>
    <row r="724" spans="1:4" x14ac:dyDescent="0.35">
      <c r="A724" s="1" t="s">
        <v>9621</v>
      </c>
      <c r="B724" s="1" t="s">
        <v>13577</v>
      </c>
      <c r="C724" s="38" t="str">
        <f t="shared" si="26"/>
        <v>C15587:1</v>
      </c>
      <c r="D724" s="37" t="str">
        <f t="shared" si="27"/>
        <v>C15587 : Purine</v>
      </c>
    </row>
    <row r="725" spans="1:4" x14ac:dyDescent="0.35">
      <c r="A725" s="1" t="s">
        <v>9587</v>
      </c>
      <c r="B725" s="1" t="s">
        <v>13578</v>
      </c>
      <c r="C725" s="38" t="str">
        <f t="shared" si="26"/>
        <v>C15653:1</v>
      </c>
      <c r="D725" s="37" t="str">
        <f t="shared" si="27"/>
        <v>C15653 : Peptide-L-methionine (R)-S-oxide</v>
      </c>
    </row>
    <row r="726" spans="1:4" x14ac:dyDescent="0.35">
      <c r="A726" s="1" t="s">
        <v>9121</v>
      </c>
      <c r="B726" s="1" t="s">
        <v>13579</v>
      </c>
      <c r="C726" s="38" t="str">
        <f t="shared" si="26"/>
        <v>C15808:1</v>
      </c>
      <c r="D726" s="37" t="str">
        <f t="shared" si="27"/>
        <v>C15808 : 4alpha-Methylzymosterol-4-carboxylate</v>
      </c>
    </row>
    <row r="727" spans="1:4" x14ac:dyDescent="0.35">
      <c r="A727" s="1" t="s">
        <v>9389</v>
      </c>
      <c r="B727" s="1" t="s">
        <v>13580</v>
      </c>
      <c r="C727" s="38" t="str">
        <f t="shared" si="26"/>
        <v>C15811:1</v>
      </c>
      <c r="D727" s="37" t="str">
        <f t="shared" si="27"/>
        <v>C15811 : [Enzyme]-cysteine</v>
      </c>
    </row>
    <row r="728" spans="1:4" x14ac:dyDescent="0.35">
      <c r="A728" s="1" t="s">
        <v>9391</v>
      </c>
      <c r="B728" s="1" t="s">
        <v>13581</v>
      </c>
      <c r="C728" s="38" t="str">
        <f t="shared" si="26"/>
        <v>C15812:1</v>
      </c>
      <c r="D728" s="37" t="str">
        <f t="shared" si="27"/>
        <v>C15812 : [Enzyme]-S-sulfanylcysteine</v>
      </c>
    </row>
    <row r="729" spans="1:4" x14ac:dyDescent="0.35">
      <c r="A729" s="1" t="s">
        <v>9542</v>
      </c>
      <c r="B729" s="1" t="s">
        <v>13582</v>
      </c>
      <c r="C729" s="38" t="str">
        <f t="shared" si="26"/>
        <v>C15816:1</v>
      </c>
      <c r="D729" s="37" t="str">
        <f t="shared" si="27"/>
        <v>C15816 : 3-Keto-4-methylzymosterol</v>
      </c>
    </row>
    <row r="730" spans="1:4" x14ac:dyDescent="0.35">
      <c r="A730" s="1" t="s">
        <v>9582</v>
      </c>
      <c r="B730" s="1" t="s">
        <v>13583</v>
      </c>
      <c r="C730" s="38" t="str">
        <f t="shared" si="26"/>
        <v>C15972:1</v>
      </c>
      <c r="D730" s="37" t="str">
        <f t="shared" si="27"/>
        <v>C15972 : Enzyme N6-(lipoyl)lysine</v>
      </c>
    </row>
    <row r="731" spans="1:4" x14ac:dyDescent="0.35">
      <c r="A731" s="1" t="s">
        <v>9164</v>
      </c>
      <c r="B731" s="1" t="s">
        <v>13583</v>
      </c>
      <c r="C731" s="38" t="str">
        <f t="shared" si="26"/>
        <v>C15972 :1</v>
      </c>
      <c r="D731" s="37" t="str">
        <f t="shared" si="27"/>
        <v>C15972  : Enzyme N6-(lipoyl)lysine</v>
      </c>
    </row>
    <row r="732" spans="1:4" x14ac:dyDescent="0.35">
      <c r="A732" s="1" t="s">
        <v>9189</v>
      </c>
      <c r="B732" s="1" t="s">
        <v>13584</v>
      </c>
      <c r="C732" s="38" t="str">
        <f t="shared" si="26"/>
        <v>C15973:1</v>
      </c>
      <c r="D732" s="37" t="str">
        <f t="shared" si="27"/>
        <v>C15973 : Enzyme N6-(dihydrolipoyl)lysine</v>
      </c>
    </row>
    <row r="733" spans="1:4" x14ac:dyDescent="0.35">
      <c r="A733" s="1" t="s">
        <v>9579</v>
      </c>
      <c r="B733" s="1" t="s">
        <v>13585</v>
      </c>
      <c r="C733" s="38" t="str">
        <f t="shared" si="26"/>
        <v>C15996:1</v>
      </c>
      <c r="D733" s="37" t="str">
        <f t="shared" si="27"/>
        <v>C15996 : 7-Cyano-7-carbaguanine</v>
      </c>
    </row>
    <row r="734" spans="1:4" x14ac:dyDescent="0.35">
      <c r="A734" s="1" t="s">
        <v>9403</v>
      </c>
      <c r="B734" s="1" t="s">
        <v>13586</v>
      </c>
      <c r="C734" s="38" t="str">
        <f t="shared" si="26"/>
        <v>C16162:1</v>
      </c>
      <c r="D734" s="37" t="str">
        <f t="shared" si="27"/>
        <v>C16162 : 9Z,12Z,15Z)-Octadecatrienoyl-CoA</v>
      </c>
    </row>
    <row r="735" spans="1:4" x14ac:dyDescent="0.35">
      <c r="A735" s="1" t="s">
        <v>9404</v>
      </c>
      <c r="B735" s="1" t="s">
        <v>13587</v>
      </c>
      <c r="C735" s="38" t="str">
        <f t="shared" si="26"/>
        <v>C16165:1</v>
      </c>
      <c r="D735" s="37" t="str">
        <f t="shared" si="27"/>
        <v>C16165 : (5Z,8Z,11Z,14Z,17Z)-Icosapentaenoyl-CoA</v>
      </c>
    </row>
    <row r="736" spans="1:4" x14ac:dyDescent="0.35">
      <c r="A736" s="1" t="s">
        <v>9405</v>
      </c>
      <c r="B736" s="1" t="s">
        <v>13588</v>
      </c>
      <c r="C736" s="38" t="str">
        <f t="shared" si="26"/>
        <v>C16169:1</v>
      </c>
      <c r="D736" s="37" t="str">
        <f t="shared" si="27"/>
        <v>C16169 : (4Z,7Z,10Z,13Z,16Z,19Z)-Docosahexaenoyl-CoA</v>
      </c>
    </row>
    <row r="737" spans="1:4" x14ac:dyDescent="0.35">
      <c r="A737" s="1" t="s">
        <v>9113</v>
      </c>
      <c r="B737" s="1" t="s">
        <v>13589</v>
      </c>
      <c r="C737" s="38" t="str">
        <f t="shared" si="26"/>
        <v>C16219:1</v>
      </c>
      <c r="D737" s="37" t="str">
        <f t="shared" si="27"/>
        <v>C16219 : 3-Oxostearoyl-[acp]</v>
      </c>
    </row>
    <row r="738" spans="1:4" x14ac:dyDescent="0.35">
      <c r="A738" s="1" t="s">
        <v>9536</v>
      </c>
      <c r="B738" s="1" t="s">
        <v>13590</v>
      </c>
      <c r="C738" s="38" t="str">
        <f t="shared" si="26"/>
        <v>C16220:1</v>
      </c>
      <c r="D738" s="37" t="str">
        <f t="shared" si="27"/>
        <v>C16220 : (3R)-3-Hydroxyoctadecanoyl-[acyl-carrier protein]</v>
      </c>
    </row>
    <row r="739" spans="1:4" x14ac:dyDescent="0.35">
      <c r="A739" s="1" t="s">
        <v>9175</v>
      </c>
      <c r="B739" s="1" t="s">
        <v>13591</v>
      </c>
      <c r="C739" s="38" t="str">
        <f t="shared" si="26"/>
        <v>C16221:1</v>
      </c>
      <c r="D739" s="37" t="str">
        <f t="shared" si="27"/>
        <v>C16221 : (2E)-Octadecenoyl-[acp]</v>
      </c>
    </row>
    <row r="740" spans="1:4" x14ac:dyDescent="0.35">
      <c r="A740" s="1" t="s">
        <v>9580</v>
      </c>
      <c r="B740" s="1" t="s">
        <v>13592</v>
      </c>
      <c r="C740" s="38" t="str">
        <f t="shared" si="26"/>
        <v>C16237:1</v>
      </c>
      <c r="D740" s="37" t="str">
        <f t="shared" si="27"/>
        <v>C16237 : Protein N6-(lipoyl)lysine</v>
      </c>
    </row>
    <row r="741" spans="1:4" x14ac:dyDescent="0.35">
      <c r="A741" s="1" t="s">
        <v>9561</v>
      </c>
      <c r="B741" s="1" t="s">
        <v>13593</v>
      </c>
      <c r="C741" s="38" t="str">
        <f t="shared" si="26"/>
        <v>C16255:1</v>
      </c>
      <c r="D741" s="37" t="str">
        <f t="shared" si="27"/>
        <v>C16255 : [Dihydrolipoyllysine-residue acetyltransferase] S-acetyldihydrolipoyllysine</v>
      </c>
    </row>
    <row r="742" spans="1:4" x14ac:dyDescent="0.35">
      <c r="A742" s="1" t="s">
        <v>9098</v>
      </c>
      <c r="B742" s="1" t="s">
        <v>13594</v>
      </c>
      <c r="C742" s="38" t="str">
        <f t="shared" si="26"/>
        <v>C16310:1</v>
      </c>
      <c r="D742" s="37" t="str">
        <f t="shared" si="27"/>
        <v>C16310 : 3-Hexenal</v>
      </c>
    </row>
    <row r="743" spans="1:4" x14ac:dyDescent="0.35">
      <c r="A743" s="1" t="s">
        <v>9730</v>
      </c>
      <c r="B743" s="1" t="s">
        <v>13595</v>
      </c>
      <c r="C743" s="38" t="str">
        <f t="shared" si="26"/>
        <v>C16328:1</v>
      </c>
      <c r="D743" s="37" t="str">
        <f t="shared" si="27"/>
        <v>C16328 : trans-2-Enoyl-OPC8-CoA</v>
      </c>
    </row>
    <row r="744" spans="1:4" x14ac:dyDescent="0.35">
      <c r="A744" s="1" t="s">
        <v>8535</v>
      </c>
      <c r="B744" s="1" t="s">
        <v>13596</v>
      </c>
      <c r="C744" s="38" t="str">
        <f t="shared" si="26"/>
        <v>C16329:1</v>
      </c>
      <c r="D744" s="37" t="str">
        <f t="shared" si="27"/>
        <v>C16329 : 3-Hydroxy-OPC8-CoA</v>
      </c>
    </row>
    <row r="745" spans="1:4" x14ac:dyDescent="0.35">
      <c r="A745" s="1" t="s">
        <v>9731</v>
      </c>
      <c r="B745" s="1" t="s">
        <v>13597</v>
      </c>
      <c r="C745" s="38" t="str">
        <f t="shared" si="26"/>
        <v>C16332:1</v>
      </c>
      <c r="D745" s="37" t="str">
        <f t="shared" si="27"/>
        <v>C16332 : trans-2-Enoyl-OPC6-CoA</v>
      </c>
    </row>
    <row r="746" spans="1:4" x14ac:dyDescent="0.35">
      <c r="A746" s="1" t="s">
        <v>8538</v>
      </c>
      <c r="B746" s="1" t="s">
        <v>13598</v>
      </c>
      <c r="C746" s="38" t="str">
        <f t="shared" si="26"/>
        <v>C16333:1</v>
      </c>
      <c r="D746" s="37" t="str">
        <f t="shared" si="27"/>
        <v>C16333 : 3-Hydroxy-OPC6-CoA</v>
      </c>
    </row>
    <row r="747" spans="1:4" x14ac:dyDescent="0.35">
      <c r="A747" s="1" t="s">
        <v>9732</v>
      </c>
      <c r="B747" s="1" t="s">
        <v>13599</v>
      </c>
      <c r="C747" s="38" t="str">
        <f t="shared" si="26"/>
        <v>C16336:1</v>
      </c>
      <c r="D747" s="37" t="str">
        <f t="shared" si="27"/>
        <v>C16336 : trans-2-Enoyl-OPC4-CoA</v>
      </c>
    </row>
    <row r="748" spans="1:4" x14ac:dyDescent="0.35">
      <c r="A748" s="1" t="s">
        <v>8541</v>
      </c>
      <c r="B748" s="1" t="s">
        <v>13600</v>
      </c>
      <c r="C748" s="38" t="str">
        <f t="shared" si="26"/>
        <v>C16337 :1</v>
      </c>
      <c r="D748" s="37" t="str">
        <f t="shared" si="27"/>
        <v>C16337  : 3-Hydroxy-OPC4-CoA</v>
      </c>
    </row>
    <row r="749" spans="1:4" x14ac:dyDescent="0.35">
      <c r="A749" s="1" t="s">
        <v>9518</v>
      </c>
      <c r="B749" s="1" t="s">
        <v>13601</v>
      </c>
      <c r="C749" s="38" t="str">
        <f t="shared" si="26"/>
        <v>C16348:1</v>
      </c>
      <c r="D749" s="37" t="str">
        <f t="shared" si="27"/>
        <v>C16348 : cis-3-Chloroallyl aldehyde</v>
      </c>
    </row>
    <row r="750" spans="1:4" x14ac:dyDescent="0.35">
      <c r="A750" s="1" t="s">
        <v>9482</v>
      </c>
      <c r="B750" s="1" t="s">
        <v>13602</v>
      </c>
      <c r="C750" s="38" t="str">
        <f t="shared" si="26"/>
        <v>C16468:1</v>
      </c>
      <c r="D750" s="37" t="str">
        <f t="shared" si="27"/>
        <v>C16468 : (2E)-5-Methylhexa-2,4-dienoyl-CoA</v>
      </c>
    </row>
    <row r="751" spans="1:4" x14ac:dyDescent="0.35">
      <c r="A751" s="1" t="s">
        <v>8562</v>
      </c>
      <c r="B751" s="1" t="s">
        <v>13603</v>
      </c>
      <c r="C751" s="38" t="str">
        <f t="shared" si="26"/>
        <v>C16469:1</v>
      </c>
      <c r="D751" s="37" t="str">
        <f t="shared" si="27"/>
        <v>C16469 : 3-Hydroxy-5-methylhex-4-enoyl-CoA</v>
      </c>
    </row>
    <row r="752" spans="1:4" x14ac:dyDescent="0.35">
      <c r="A752" s="1" t="s">
        <v>9395</v>
      </c>
      <c r="B752" s="1" t="s">
        <v>13604</v>
      </c>
      <c r="C752" s="38" t="str">
        <f t="shared" si="26"/>
        <v>C16520:1</v>
      </c>
      <c r="D752" s="37" t="str">
        <f t="shared" si="27"/>
        <v>C16520 : Hexadecenoyl-[acyl-carrier protein]</v>
      </c>
    </row>
    <row r="753" spans="1:4" x14ac:dyDescent="0.35">
      <c r="A753" s="1" t="s">
        <v>9095</v>
      </c>
      <c r="B753" s="1" t="s">
        <v>13605</v>
      </c>
      <c r="C753" s="38" t="str">
        <f t="shared" si="26"/>
        <v>C16586:1</v>
      </c>
      <c r="D753" s="37" t="str">
        <f t="shared" si="27"/>
        <v>C16586 : 2-Phenyl-1,3-propanediol monocarbamate</v>
      </c>
    </row>
    <row r="754" spans="1:4" x14ac:dyDescent="0.35">
      <c r="A754" s="1" t="s">
        <v>9521</v>
      </c>
      <c r="B754" s="1" t="s">
        <v>13606</v>
      </c>
      <c r="C754" s="38" t="str">
        <f t="shared" si="26"/>
        <v>C16587:1</v>
      </c>
      <c r="D754" s="37" t="str">
        <f t="shared" si="27"/>
        <v>C16587 : 3-Carbamoyl-2-phenylpropionaldehyde</v>
      </c>
    </row>
    <row r="755" spans="1:4" x14ac:dyDescent="0.35">
      <c r="A755" s="1" t="s">
        <v>9102</v>
      </c>
      <c r="B755" s="1" t="s">
        <v>13607</v>
      </c>
      <c r="C755" s="38" t="str">
        <f t="shared" si="26"/>
        <v>C16595:1</v>
      </c>
      <c r="D755" s="37" t="str">
        <f t="shared" si="27"/>
        <v>C16595 : 4-Hydroxy-5-phenyltetrahydro-1,3-oxazin-2-one</v>
      </c>
    </row>
    <row r="756" spans="1:4" x14ac:dyDescent="0.35">
      <c r="A756" s="1" t="s">
        <v>9525</v>
      </c>
      <c r="B756" s="1" t="s">
        <v>13608</v>
      </c>
      <c r="C756" s="38" t="str">
        <f t="shared" si="26"/>
        <v>C16596:1</v>
      </c>
      <c r="D756" s="37" t="str">
        <f t="shared" si="27"/>
        <v>C16596 : 5-Phenyl-1,3-oxazinane-2,4-dione</v>
      </c>
    </row>
    <row r="757" spans="1:4" x14ac:dyDescent="0.35">
      <c r="A757" s="1" t="s">
        <v>9283</v>
      </c>
      <c r="B757" s="1" t="s">
        <v>13609</v>
      </c>
      <c r="C757" s="38" t="str">
        <f t="shared" si="26"/>
        <v>C16614:1</v>
      </c>
      <c r="D757" s="37" t="str">
        <f t="shared" si="27"/>
        <v>C16614 : 6-Methylmercaptopurine</v>
      </c>
    </row>
    <row r="758" spans="1:4" x14ac:dyDescent="0.35">
      <c r="A758" s="1" t="s">
        <v>9635</v>
      </c>
      <c r="B758" s="1" t="s">
        <v>13610</v>
      </c>
      <c r="C758" s="38" t="str">
        <f t="shared" si="26"/>
        <v>C16615:1</v>
      </c>
      <c r="D758" s="37" t="str">
        <f t="shared" si="27"/>
        <v>C16615 : 6-Methylthiopurine 5'-monophosphate ribonucleotide</v>
      </c>
    </row>
    <row r="759" spans="1:4" x14ac:dyDescent="0.35">
      <c r="A759" s="1" t="s">
        <v>9508</v>
      </c>
      <c r="B759" s="1" t="s">
        <v>13611</v>
      </c>
      <c r="C759" s="38" t="str">
        <f t="shared" si="26"/>
        <v>C16618:1</v>
      </c>
      <c r="D759" s="37" t="str">
        <f t="shared" si="27"/>
        <v>C16618 : 6-Thioxanthine 5'-monophosphate</v>
      </c>
    </row>
    <row r="760" spans="1:4" x14ac:dyDescent="0.35">
      <c r="A760" s="1" t="s">
        <v>9636</v>
      </c>
      <c r="B760" s="1" t="s">
        <v>13612</v>
      </c>
      <c r="C760" s="38" t="str">
        <f t="shared" si="26"/>
        <v>C16619:1</v>
      </c>
      <c r="D760" s="37" t="str">
        <f t="shared" si="27"/>
        <v>C16619 : 6-Thioguanosine monophosphate</v>
      </c>
    </row>
    <row r="761" spans="1:4" x14ac:dyDescent="0.35">
      <c r="A761" s="1" t="s">
        <v>9344</v>
      </c>
      <c r="B761" s="1" t="s">
        <v>13613</v>
      </c>
      <c r="C761" s="38" t="str">
        <f t="shared" si="26"/>
        <v>C16633:1</v>
      </c>
      <c r="D761" s="37" t="str">
        <f t="shared" si="27"/>
        <v>C16633 : 5-Fluorouridine</v>
      </c>
    </row>
    <row r="762" spans="1:4" x14ac:dyDescent="0.35">
      <c r="A762" s="1" t="s">
        <v>9354</v>
      </c>
      <c r="B762" s="1" t="s">
        <v>13614</v>
      </c>
      <c r="C762" s="38" t="str">
        <f t="shared" si="26"/>
        <v>C16634:1</v>
      </c>
      <c r="D762" s="37" t="str">
        <f t="shared" si="27"/>
        <v>C16634 : 5-Fluorouridine monophosphate</v>
      </c>
    </row>
    <row r="763" spans="1:4" x14ac:dyDescent="0.35">
      <c r="A763" s="1" t="s">
        <v>9463</v>
      </c>
      <c r="B763" s="1" t="s">
        <v>13615</v>
      </c>
      <c r="C763" s="38" t="str">
        <f t="shared" si="26"/>
        <v>C16635:1</v>
      </c>
      <c r="D763" s="37" t="str">
        <f t="shared" si="27"/>
        <v>C16635 : 5'-Deoxy-5-fluorocytidine</v>
      </c>
    </row>
    <row r="764" spans="1:4" x14ac:dyDescent="0.35">
      <c r="A764" s="1" t="s">
        <v>10128</v>
      </c>
      <c r="B764" s="1" t="s">
        <v>13616</v>
      </c>
      <c r="C764" s="38" t="str">
        <f t="shared" si="26"/>
        <v>C16636 :1</v>
      </c>
      <c r="D764" s="37" t="str">
        <f t="shared" si="27"/>
        <v>C16636  : tRNA(Sec)</v>
      </c>
    </row>
    <row r="765" spans="1:4" x14ac:dyDescent="0.35">
      <c r="A765" s="1" t="s">
        <v>9554</v>
      </c>
      <c r="B765" s="1" t="s">
        <v>13617</v>
      </c>
      <c r="C765" s="38" t="str">
        <f t="shared" si="26"/>
        <v>C16663:1</v>
      </c>
      <c r="D765" s="37" t="str">
        <f t="shared" si="27"/>
        <v>C16663 : Tryparedoxin</v>
      </c>
    </row>
    <row r="766" spans="1:4" x14ac:dyDescent="0.35">
      <c r="A766" s="1" t="s">
        <v>9151</v>
      </c>
      <c r="B766" s="1" t="s">
        <v>13618</v>
      </c>
      <c r="C766" s="38" t="str">
        <f t="shared" si="26"/>
        <v>C16664:1</v>
      </c>
      <c r="D766" s="37" t="str">
        <f t="shared" si="27"/>
        <v>C16664 : Tryparedoxin disulfide</v>
      </c>
    </row>
    <row r="767" spans="1:4" x14ac:dyDescent="0.35">
      <c r="A767" s="1" t="s">
        <v>9186</v>
      </c>
      <c r="B767" s="1" t="s">
        <v>13619</v>
      </c>
      <c r="C767" s="38" t="str">
        <f t="shared" si="26"/>
        <v>C16675:1</v>
      </c>
      <c r="D767" s="37" t="str">
        <f t="shared" si="27"/>
        <v>C16675 : 7-Aminomethyl-7-carbaguanine</v>
      </c>
    </row>
    <row r="768" spans="1:4" x14ac:dyDescent="0.35">
      <c r="A768" s="1" t="s">
        <v>9435</v>
      </c>
      <c r="B768" s="1" t="s">
        <v>13620</v>
      </c>
      <c r="C768" s="38" t="str">
        <f t="shared" si="26"/>
        <v>C16688:1</v>
      </c>
      <c r="D768" s="37" t="str">
        <f t="shared" si="27"/>
        <v>C16688 : Sucrose 6-phosphate</v>
      </c>
    </row>
    <row r="769" spans="1:4" x14ac:dyDescent="0.35">
      <c r="A769" s="1" t="s">
        <v>9187</v>
      </c>
      <c r="B769" s="1" t="s">
        <v>13621</v>
      </c>
      <c r="C769" s="38" t="str">
        <f t="shared" si="26"/>
        <v>C16832:1</v>
      </c>
      <c r="D769" s="37" t="str">
        <f t="shared" si="27"/>
        <v>C16832 : [Protein]-N6-[(R)-dihydrolipoyl]-L-lysine</v>
      </c>
    </row>
    <row r="770" spans="1:4" x14ac:dyDescent="0.35">
      <c r="A770" s="1" t="s">
        <v>9387</v>
      </c>
      <c r="B770" s="1" t="s">
        <v>13622</v>
      </c>
      <c r="C770" s="38" t="str">
        <f t="shared" si="26"/>
        <v>C17023:1</v>
      </c>
      <c r="D770" s="37" t="str">
        <f t="shared" si="27"/>
        <v>C17023 : Sulfur donor</v>
      </c>
    </row>
    <row r="771" spans="1:4" x14ac:dyDescent="0.35">
      <c r="A771" s="1" t="s">
        <v>8652</v>
      </c>
      <c r="B771" s="1" t="s">
        <v>13623</v>
      </c>
      <c r="C771" s="38" t="str">
        <f t="shared" ref="C771:C834" si="28">CONCATENATE(A771,":","1")</f>
        <v>C17234 :1</v>
      </c>
      <c r="D771" s="37" t="str">
        <f t="shared" ref="D771:D834" si="29">CONCATENATE(A771," : ",B771)</f>
        <v>C17234  : 2-Aminobut-2-enoate</v>
      </c>
    </row>
    <row r="772" spans="1:4" x14ac:dyDescent="0.35">
      <c r="A772" s="1" t="s">
        <v>9306</v>
      </c>
      <c r="B772" s="1" t="s">
        <v>13624</v>
      </c>
      <c r="C772" s="38" t="str">
        <f t="shared" si="28"/>
        <v>C17324:1</v>
      </c>
      <c r="D772" s="37" t="str">
        <f t="shared" si="29"/>
        <v>C17324 : tRNA adenine</v>
      </c>
    </row>
    <row r="773" spans="1:4" x14ac:dyDescent="0.35">
      <c r="A773" s="1" t="s">
        <v>9382</v>
      </c>
      <c r="B773" s="1" t="s">
        <v>13625</v>
      </c>
      <c r="C773" s="38" t="str">
        <f t="shared" si="28"/>
        <v>C17556:1</v>
      </c>
      <c r="D773" s="37" t="str">
        <f t="shared" si="29"/>
        <v>C17556 : di-trans,poly-cis-Undecaprenyl phosphate</v>
      </c>
    </row>
    <row r="774" spans="1:4" x14ac:dyDescent="0.35">
      <c r="A774" s="1" t="s">
        <v>9607</v>
      </c>
      <c r="B774" s="1" t="s">
        <v>13626</v>
      </c>
      <c r="C774" s="38" t="str">
        <f t="shared" si="28"/>
        <v>C17949:1</v>
      </c>
      <c r="D774" s="37" t="str">
        <f t="shared" si="29"/>
        <v>C17949 : N-Acetyldemethylphosphinothricin</v>
      </c>
    </row>
    <row r="775" spans="1:4" x14ac:dyDescent="0.35">
      <c r="A775" s="1" t="s">
        <v>9606</v>
      </c>
      <c r="B775" s="1" t="s">
        <v>13627</v>
      </c>
      <c r="C775" s="38" t="str">
        <f t="shared" si="28"/>
        <v>C17952:1</v>
      </c>
      <c r="D775" s="37" t="str">
        <f t="shared" si="29"/>
        <v>C17952 : N-Acetylphosphinothricin</v>
      </c>
    </row>
    <row r="776" spans="1:4" x14ac:dyDescent="0.35">
      <c r="A776" s="1" t="s">
        <v>9228</v>
      </c>
      <c r="B776" s="1" t="s">
        <v>13628</v>
      </c>
      <c r="C776" s="38" t="str">
        <f t="shared" si="28"/>
        <v>C17962:1</v>
      </c>
      <c r="D776" s="37" t="str">
        <f t="shared" si="29"/>
        <v>C17962 : Demethylphosphinothricin</v>
      </c>
    </row>
    <row r="777" spans="1:4" x14ac:dyDescent="0.35">
      <c r="A777" s="1" t="s">
        <v>8784</v>
      </c>
      <c r="B777" s="1" t="s">
        <v>13629</v>
      </c>
      <c r="C777" s="38" t="str">
        <f t="shared" si="28"/>
        <v>C18094:1</v>
      </c>
      <c r="D777" s="37" t="str">
        <f t="shared" si="29"/>
        <v>C18094 : UDP-L-arabinofuranose</v>
      </c>
    </row>
    <row r="778" spans="1:4" x14ac:dyDescent="0.35">
      <c r="A778" s="1" t="s">
        <v>8731</v>
      </c>
      <c r="B778" s="1" t="s">
        <v>13630</v>
      </c>
      <c r="C778" s="38" t="str">
        <f t="shared" si="28"/>
        <v>C18096:1</v>
      </c>
      <c r="D778" s="37" t="str">
        <f t="shared" si="29"/>
        <v>C18096 : D-Allulose 6-phosphate</v>
      </c>
    </row>
    <row r="779" spans="1:4" x14ac:dyDescent="0.35">
      <c r="A779" s="1" t="s">
        <v>9194</v>
      </c>
      <c r="B779" s="1" t="s">
        <v>13631</v>
      </c>
      <c r="C779" s="38" t="str">
        <f t="shared" si="28"/>
        <v>C18902 :1</v>
      </c>
      <c r="D779" s="37" t="str">
        <f t="shared" si="29"/>
        <v>C18902  : Methylselenic acid</v>
      </c>
    </row>
    <row r="780" spans="1:4" x14ac:dyDescent="0.35">
      <c r="A780" s="1" t="s">
        <v>9225</v>
      </c>
      <c r="B780" s="1" t="s">
        <v>13632</v>
      </c>
      <c r="C780" s="38" t="str">
        <f t="shared" si="28"/>
        <v>C19673:1</v>
      </c>
      <c r="D780" s="37" t="str">
        <f t="shared" si="29"/>
        <v>C19673 : Malonyl-[acp] methyl ester</v>
      </c>
    </row>
    <row r="781" spans="1:4" x14ac:dyDescent="0.35">
      <c r="A781" s="1" t="s">
        <v>9552</v>
      </c>
      <c r="B781" s="1" t="s">
        <v>13633</v>
      </c>
      <c r="C781" s="38" t="str">
        <f t="shared" si="28"/>
        <v>C20258:1</v>
      </c>
      <c r="D781" s="37" t="str">
        <f t="shared" si="29"/>
        <v>C20258 : (2S,4S)-4-Hydroxy-2,3,4,5-tetrahydrodipicolinate</v>
      </c>
    </row>
    <row r="782" spans="1:4" x14ac:dyDescent="0.35">
      <c r="A782" s="1" t="s">
        <v>9115</v>
      </c>
      <c r="B782" s="1" t="s">
        <v>13634</v>
      </c>
      <c r="C782" s="38" t="str">
        <f t="shared" si="28"/>
        <v>C20372:1</v>
      </c>
      <c r="D782" s="37" t="str">
        <f t="shared" si="29"/>
        <v>C20372 : 3-Ketoglutaryl-[acp] methyl ester</v>
      </c>
    </row>
    <row r="783" spans="1:4" x14ac:dyDescent="0.35">
      <c r="A783" s="1" t="s">
        <v>9537</v>
      </c>
      <c r="B783" s="1" t="s">
        <v>13635</v>
      </c>
      <c r="C783" s="38" t="str">
        <f t="shared" si="28"/>
        <v>C20373:1</v>
      </c>
      <c r="D783" s="37" t="str">
        <f t="shared" si="29"/>
        <v>C20373 : 3-Hydroxyglutaryl-[acp] methyl ester</v>
      </c>
    </row>
    <row r="784" spans="1:4" x14ac:dyDescent="0.35">
      <c r="A784" s="1" t="s">
        <v>9226</v>
      </c>
      <c r="B784" s="1" t="s">
        <v>13636</v>
      </c>
      <c r="C784" s="38" t="str">
        <f t="shared" si="28"/>
        <v>C20375:1</v>
      </c>
      <c r="D784" s="37" t="str">
        <f t="shared" si="29"/>
        <v>C20375 : Glutaryl-[acp] methyl ester</v>
      </c>
    </row>
    <row r="785" spans="1:4" x14ac:dyDescent="0.35">
      <c r="A785" s="1" t="s">
        <v>9116</v>
      </c>
      <c r="B785" s="1" t="s">
        <v>13637</v>
      </c>
      <c r="C785" s="38" t="str">
        <f t="shared" si="28"/>
        <v>C20376:1</v>
      </c>
      <c r="D785" s="37" t="str">
        <f t="shared" si="29"/>
        <v>C20376 : 3-Ketopimeloyl-[acp] methyl ester</v>
      </c>
    </row>
    <row r="786" spans="1:4" x14ac:dyDescent="0.35">
      <c r="A786" s="1" t="s">
        <v>9538</v>
      </c>
      <c r="B786" s="1" t="s">
        <v>13638</v>
      </c>
      <c r="C786" s="38" t="str">
        <f t="shared" si="28"/>
        <v>C20377:1</v>
      </c>
      <c r="D786" s="37" t="str">
        <f t="shared" si="29"/>
        <v>C20377 : 3-Hydroxypimeloyl-[acp] methyl ester</v>
      </c>
    </row>
    <row r="787" spans="1:4" x14ac:dyDescent="0.35">
      <c r="A787" s="1" t="s">
        <v>9632</v>
      </c>
      <c r="B787" s="1" t="s">
        <v>13639</v>
      </c>
      <c r="C787" s="38" t="str">
        <f t="shared" si="28"/>
        <v>C20446:1</v>
      </c>
      <c r="D787" s="37" t="str">
        <f t="shared" si="29"/>
        <v>C20446 : tRNA 7-aminomethyl-7-carbaguanine</v>
      </c>
    </row>
    <row r="788" spans="1:4" x14ac:dyDescent="0.35">
      <c r="A788" s="1" t="s">
        <v>9260</v>
      </c>
      <c r="B788" s="1" t="s">
        <v>13640</v>
      </c>
      <c r="C788" s="38" t="str">
        <f t="shared" si="28"/>
        <v>C20463:1</v>
      </c>
      <c r="D788" s="37" t="str">
        <f t="shared" si="29"/>
        <v>C20463 : Purine deoxyribonucleoside</v>
      </c>
    </row>
    <row r="789" spans="1:4" x14ac:dyDescent="0.35">
      <c r="A789" s="1" t="s">
        <v>9651</v>
      </c>
      <c r="B789" s="1" t="s">
        <v>13641</v>
      </c>
      <c r="C789" s="38" t="str">
        <f t="shared" si="28"/>
        <v>C20646:1</v>
      </c>
      <c r="D789" s="37" t="str">
        <f t="shared" si="29"/>
        <v>C20646 : (3S)-2-Oxo-3-phenylbutanoate</v>
      </c>
    </row>
    <row r="790" spans="1:4" x14ac:dyDescent="0.35">
      <c r="A790" s="1" t="s">
        <v>9397</v>
      </c>
      <c r="B790" s="1" t="s">
        <v>13642</v>
      </c>
      <c r="C790" s="38" t="str">
        <f t="shared" si="28"/>
        <v>C20683:1</v>
      </c>
      <c r="D790" s="37" t="str">
        <f t="shared" si="29"/>
        <v>C20683 : Long-chain acyl-[acyl-carrier protein]</v>
      </c>
    </row>
    <row r="791" spans="1:4" x14ac:dyDescent="0.35">
      <c r="A791" s="1" t="s">
        <v>9667</v>
      </c>
      <c r="B791" s="1" t="s">
        <v>13643</v>
      </c>
      <c r="C791" s="38" t="str">
        <f t="shared" si="28"/>
        <v>C20864:1</v>
      </c>
      <c r="D791" s="37" t="str">
        <f t="shared" si="29"/>
        <v>C20864 : 5'-Triphospho-[mRNA]</v>
      </c>
    </row>
    <row r="792" spans="1:4" x14ac:dyDescent="0.35">
      <c r="A792" s="1" t="s">
        <v>9322</v>
      </c>
      <c r="B792" s="1" t="s">
        <v>13644</v>
      </c>
      <c r="C792" s="38" t="str">
        <f t="shared" si="28"/>
        <v>C20895:1</v>
      </c>
      <c r="D792" s="37" t="str">
        <f t="shared" si="29"/>
        <v>C20895 : (2S,3S)-3-Methylphenylalanine</v>
      </c>
    </row>
    <row r="793" spans="1:4" x14ac:dyDescent="0.35">
      <c r="A793" s="1" t="s">
        <v>8641</v>
      </c>
      <c r="B793" s="1" t="s">
        <v>13645</v>
      </c>
      <c r="C793" s="38" t="str">
        <f t="shared" si="28"/>
        <v>C20904:1</v>
      </c>
      <c r="D793" s="37" t="str">
        <f t="shared" si="29"/>
        <v>C20904 : 2-Iminopropanoate</v>
      </c>
    </row>
    <row r="794" spans="1:4" x14ac:dyDescent="0.35">
      <c r="A794" s="1" t="s">
        <v>8653</v>
      </c>
      <c r="B794" s="1" t="s">
        <v>13646</v>
      </c>
      <c r="C794" s="38" t="str">
        <f t="shared" si="28"/>
        <v>C20905:1</v>
      </c>
      <c r="D794" s="37" t="str">
        <f t="shared" si="29"/>
        <v>C20905 : 2-Iminobutanoate</v>
      </c>
    </row>
    <row r="795" spans="1:4" x14ac:dyDescent="0.35">
      <c r="A795" s="1" t="s">
        <v>9511</v>
      </c>
      <c r="B795" s="1" t="s">
        <v>13647</v>
      </c>
      <c r="C795" s="38" t="str">
        <f t="shared" si="28"/>
        <v>C20969:1</v>
      </c>
      <c r="D795" s="37" t="str">
        <f t="shared" si="29"/>
        <v>C20969 : Carboxyphosphate</v>
      </c>
    </row>
    <row r="796" spans="1:4" x14ac:dyDescent="0.35">
      <c r="A796" s="1" t="s">
        <v>9499</v>
      </c>
      <c r="B796" s="1" t="s">
        <v>13648</v>
      </c>
      <c r="C796" s="38" t="str">
        <f t="shared" si="28"/>
        <v>C21015:1</v>
      </c>
      <c r="D796" s="37" t="str">
        <f t="shared" si="29"/>
        <v>C21015 : gamma-L-Glutamyl-L-2-aminobutyrate</v>
      </c>
    </row>
    <row r="797" spans="1:4" x14ac:dyDescent="0.35">
      <c r="A797" s="1" t="s">
        <v>10171</v>
      </c>
      <c r="B797" s="1" t="s">
        <v>13649</v>
      </c>
      <c r="C797" s="38" t="str">
        <f t="shared" si="28"/>
        <v>C21016:1</v>
      </c>
      <c r="D797" s="37" t="str">
        <f t="shared" si="29"/>
        <v>C21016 : Ophthalmate</v>
      </c>
    </row>
    <row r="798" spans="1:4" x14ac:dyDescent="0.35">
      <c r="A798" s="1" t="s">
        <v>7983</v>
      </c>
      <c r="B798" s="1" t="s">
        <v>13650</v>
      </c>
      <c r="C798" s="38" t="str">
        <f t="shared" si="28"/>
        <v>C21031:1</v>
      </c>
      <c r="D798" s="37" t="str">
        <f t="shared" si="29"/>
        <v>C21031 : 5-Hydroxymethylcytosine in DNA</v>
      </c>
    </row>
    <row r="799" spans="1:4" x14ac:dyDescent="0.35">
      <c r="A799" s="1" t="s">
        <v>9669</v>
      </c>
      <c r="B799" s="1" t="s">
        <v>13651</v>
      </c>
      <c r="C799" s="38" t="str">
        <f t="shared" si="28"/>
        <v>C21440:1</v>
      </c>
      <c r="D799" s="37" t="str">
        <f t="shared" si="29"/>
        <v>C21440 : [Protein]-S-sulfanyl-L-cysteine</v>
      </c>
    </row>
    <row r="800" spans="1:4" x14ac:dyDescent="0.35">
      <c r="A800" s="1" t="s">
        <v>9367</v>
      </c>
      <c r="B800" s="1" t="s">
        <v>13652</v>
      </c>
      <c r="C800" s="38" t="str">
        <f t="shared" si="28"/>
        <v>C21748:1</v>
      </c>
      <c r="D800" s="37" t="str">
        <f t="shared" si="29"/>
        <v>C21748 : 5-Fluorouridine diphosphate</v>
      </c>
    </row>
    <row r="801" spans="1:4" x14ac:dyDescent="0.35">
      <c r="A801" s="1" t="s">
        <v>9662</v>
      </c>
      <c r="B801" s="1" t="s">
        <v>13653</v>
      </c>
      <c r="C801" s="38" t="str">
        <f t="shared" si="28"/>
        <v>C21749:1</v>
      </c>
      <c r="D801" s="37" t="str">
        <f t="shared" si="29"/>
        <v>C21749 : 5-Fluorouridine triphosphate</v>
      </c>
    </row>
    <row r="802" spans="1:4" x14ac:dyDescent="0.35">
      <c r="A802" s="1" t="s">
        <v>9153</v>
      </c>
      <c r="B802" s="1" t="s">
        <v>13654</v>
      </c>
      <c r="C802" s="38" t="str">
        <f t="shared" si="28"/>
        <v>C21750:1</v>
      </c>
      <c r="D802" s="37" t="str">
        <f t="shared" si="29"/>
        <v>C21750 : 5-Fluorodeoxyuridine diphosphate</v>
      </c>
    </row>
    <row r="803" spans="1:4" x14ac:dyDescent="0.35">
      <c r="A803" s="1" t="s">
        <v>9469</v>
      </c>
      <c r="B803" s="1" t="s">
        <v>13655</v>
      </c>
      <c r="C803" s="38" t="str">
        <f t="shared" si="28"/>
        <v>C21751:1</v>
      </c>
      <c r="D803" s="37" t="str">
        <f t="shared" si="29"/>
        <v>C21751 : 5-Fluorodeoxyuridine triphosphate</v>
      </c>
    </row>
    <row r="804" spans="1:4" x14ac:dyDescent="0.35">
      <c r="A804" s="1" t="s">
        <v>9119</v>
      </c>
      <c r="B804" s="1" t="s">
        <v>13656</v>
      </c>
      <c r="C804" s="38" t="str">
        <f t="shared" si="28"/>
        <v>C22111:1</v>
      </c>
      <c r="D804" s="37" t="str">
        <f t="shared" si="29"/>
        <v>C22111 : 3beta-Hydroxysteroid-4alpha-carboxylate</v>
      </c>
    </row>
    <row r="805" spans="1:4" x14ac:dyDescent="0.35">
      <c r="A805" s="1" t="s">
        <v>9122</v>
      </c>
      <c r="B805" s="1" t="s">
        <v>13657</v>
      </c>
      <c r="C805" s="38" t="str">
        <f t="shared" si="28"/>
        <v>C22112:1</v>
      </c>
      <c r="D805" s="37" t="str">
        <f t="shared" si="29"/>
        <v>C22112 : 4alpha-Carboxy-5alpha-cholesta-8,24-dien-3beta-ol</v>
      </c>
    </row>
    <row r="806" spans="1:4" x14ac:dyDescent="0.35">
      <c r="A806" s="1" t="s">
        <v>9543</v>
      </c>
      <c r="B806" s="1" t="s">
        <v>13658</v>
      </c>
      <c r="C806" s="38" t="str">
        <f t="shared" si="28"/>
        <v>C22136:1</v>
      </c>
      <c r="D806" s="37" t="str">
        <f t="shared" si="29"/>
        <v>C22136 : Zymosterone</v>
      </c>
    </row>
    <row r="807" spans="1:4" x14ac:dyDescent="0.35">
      <c r="A807" s="1" t="s">
        <v>9706</v>
      </c>
      <c r="B807" s="1" t="s">
        <v>13659</v>
      </c>
      <c r="C807" s="38" t="str">
        <f t="shared" si="28"/>
        <v>C22288:1</v>
      </c>
      <c r="D807" s="37" t="str">
        <f t="shared" si="29"/>
        <v>C22288 : 5-Deoxy-D-ribose</v>
      </c>
    </row>
    <row r="808" spans="1:4" x14ac:dyDescent="0.35">
      <c r="A808" s="1" t="s">
        <v>8666</v>
      </c>
      <c r="B808" s="1" t="s">
        <v>13660</v>
      </c>
      <c r="C808" s="38" t="str">
        <f t="shared" si="28"/>
        <v>C22395 :1</v>
      </c>
      <c r="D808" s="37" t="str">
        <f t="shared" si="29"/>
        <v>C22395  : N6-Succino-2-amino-2'-deoxyadenylate</v>
      </c>
    </row>
    <row r="809" spans="1:4" x14ac:dyDescent="0.35">
      <c r="A809" s="1" t="s">
        <v>9546</v>
      </c>
      <c r="B809" s="1" t="s">
        <v>13661</v>
      </c>
      <c r="C809" s="38" t="str">
        <f t="shared" si="28"/>
        <v>C22438:1</v>
      </c>
      <c r="D809" s="37" t="str">
        <f t="shared" si="29"/>
        <v>C22438 : 3,5-Dehydroshikimate</v>
      </c>
    </row>
    <row r="810" spans="1:4" x14ac:dyDescent="0.35">
      <c r="A810" s="1" t="s">
        <v>9370</v>
      </c>
      <c r="B810" s="1" t="s">
        <v>13662</v>
      </c>
      <c r="C810" s="38" t="str">
        <f t="shared" si="28"/>
        <v>C22441:1</v>
      </c>
      <c r="D810" s="37" t="str">
        <f t="shared" si="29"/>
        <v>C22441 : 2-Amino-2'-deoxyadenosine 5'-monophosphate</v>
      </c>
    </row>
    <row r="811" spans="1:4" x14ac:dyDescent="0.35">
      <c r="A811" s="1" t="s">
        <v>9366</v>
      </c>
      <c r="B811" s="1" t="s">
        <v>13663</v>
      </c>
      <c r="C811" s="38" t="str">
        <f t="shared" si="28"/>
        <v>C22442:1</v>
      </c>
      <c r="D811" s="37" t="str">
        <f t="shared" si="29"/>
        <v>C22442 : 2-Amino-2'-deoxyadenosine 5'-diphosphate</v>
      </c>
    </row>
    <row r="812" spans="1:4" x14ac:dyDescent="0.35">
      <c r="A812" s="1" t="s">
        <v>9661</v>
      </c>
      <c r="B812" s="1" t="s">
        <v>13664</v>
      </c>
      <c r="C812" s="38" t="str">
        <f t="shared" si="28"/>
        <v>C22443:1</v>
      </c>
      <c r="D812" s="37" t="str">
        <f t="shared" si="29"/>
        <v>C22443 : 2-Amino-2'-deoxyadenosine 5'-triphosphate</v>
      </c>
    </row>
    <row r="813" spans="1:4" x14ac:dyDescent="0.35">
      <c r="A813" s="1" t="s">
        <v>9431</v>
      </c>
      <c r="B813" s="1" t="s">
        <v>13211</v>
      </c>
      <c r="C813" s="38" t="str">
        <f t="shared" si="28"/>
        <v>G00092:1</v>
      </c>
      <c r="D813" s="37" t="str">
        <f t="shared" si="29"/>
        <v>G00092 : Lactosylceramide</v>
      </c>
    </row>
    <row r="814" spans="1:4" x14ac:dyDescent="0.35">
      <c r="A814" s="1" t="s">
        <v>9698</v>
      </c>
      <c r="B814" s="1" t="s">
        <v>13665</v>
      </c>
      <c r="C814" s="38" t="str">
        <f t="shared" si="28"/>
        <v>G00109:1</v>
      </c>
      <c r="D814" s="37" t="str">
        <f t="shared" si="29"/>
        <v>G00109 : Ganglioside</v>
      </c>
    </row>
    <row r="815" spans="1:4" x14ac:dyDescent="0.35">
      <c r="A815" s="1" t="s">
        <v>9429</v>
      </c>
      <c r="B815" s="1" t="s">
        <v>13666</v>
      </c>
      <c r="C815" s="38" t="str">
        <f t="shared" si="28"/>
        <v>G00110:1</v>
      </c>
      <c r="D815" s="37" t="str">
        <f t="shared" si="29"/>
        <v>G00110 : GM1</v>
      </c>
    </row>
    <row r="816" spans="1:4" x14ac:dyDescent="0.35">
      <c r="A816" s="1" t="s">
        <v>9697</v>
      </c>
      <c r="B816" s="1" t="s">
        <v>13523</v>
      </c>
      <c r="C816" s="38" t="str">
        <f t="shared" si="28"/>
        <v>G00123:1</v>
      </c>
      <c r="D816" s="37" t="str">
        <f t="shared" si="29"/>
        <v>G00123 : GA2</v>
      </c>
    </row>
    <row r="817" spans="1:4" x14ac:dyDescent="0.35">
      <c r="A817" s="1" t="s">
        <v>9428</v>
      </c>
      <c r="B817" s="1" t="s">
        <v>13667</v>
      </c>
      <c r="C817" s="38" t="str">
        <f t="shared" si="28"/>
        <v>G00124:1</v>
      </c>
      <c r="D817" s="37" t="str">
        <f t="shared" si="29"/>
        <v>G00124 : Asialo-GM1</v>
      </c>
    </row>
    <row r="818" spans="1:4" x14ac:dyDescent="0.35">
      <c r="A818" s="1" t="s">
        <v>9436</v>
      </c>
      <c r="B818" s="1" t="s">
        <v>10393</v>
      </c>
      <c r="C818" s="38" t="str">
        <f t="shared" si="28"/>
        <v>G00249:1</v>
      </c>
      <c r="D818" s="37" t="str">
        <f t="shared" si="29"/>
        <v>G00249 : Raffinose</v>
      </c>
    </row>
    <row r="819" spans="1:4" x14ac:dyDescent="0.35">
      <c r="A819" s="1" t="s">
        <v>9063</v>
      </c>
      <c r="B819" s="1" t="s">
        <v>10295</v>
      </c>
      <c r="C819" s="38" t="str">
        <f t="shared" si="28"/>
        <v>G00275:1</v>
      </c>
      <c r="D819" s="37" t="str">
        <f t="shared" si="29"/>
        <v>G00275 : Maltose</v>
      </c>
    </row>
    <row r="820" spans="1:4" x14ac:dyDescent="0.35">
      <c r="A820" s="1" t="s">
        <v>9437</v>
      </c>
      <c r="B820" s="1" t="s">
        <v>13230</v>
      </c>
      <c r="C820" s="38" t="str">
        <f t="shared" si="28"/>
        <v>G00278:1</v>
      </c>
      <c r="D820" s="37" t="str">
        <f t="shared" si="29"/>
        <v>G00278 : Stachyose</v>
      </c>
    </row>
    <row r="821" spans="1:4" x14ac:dyDescent="0.35">
      <c r="A821" s="1" t="s">
        <v>9250</v>
      </c>
      <c r="B821" s="1" t="s">
        <v>10231</v>
      </c>
      <c r="C821" s="38" t="str">
        <f t="shared" si="28"/>
        <v>G00370:1</v>
      </c>
      <c r="D821" s="37" t="str">
        <f t="shared" si="29"/>
        <v>G00370 : Sucrose</v>
      </c>
    </row>
    <row r="822" spans="1:4" x14ac:dyDescent="0.35">
      <c r="A822" s="1" t="s">
        <v>9702</v>
      </c>
      <c r="B822" s="1" t="s">
        <v>13668</v>
      </c>
      <c r="C822" s="38" t="str">
        <f t="shared" si="28"/>
        <v>G00501:1</v>
      </c>
      <c r="D822" s="37" t="str">
        <f t="shared" si="29"/>
        <v>G00501 : Manninotriose</v>
      </c>
    </row>
    <row r="823" spans="1:4" x14ac:dyDescent="0.35">
      <c r="A823" s="1" t="s">
        <v>9701</v>
      </c>
      <c r="B823" s="1" t="s">
        <v>13460</v>
      </c>
      <c r="C823" s="38" t="str">
        <f t="shared" si="28"/>
        <v>G01275:1</v>
      </c>
      <c r="D823" s="37" t="str">
        <f t="shared" si="29"/>
        <v>G01275 : Melibiose</v>
      </c>
    </row>
    <row r="824" spans="1:4" x14ac:dyDescent="0.35">
      <c r="A824" s="1" t="s">
        <v>9444</v>
      </c>
      <c r="B824" s="1" t="s">
        <v>10437</v>
      </c>
      <c r="C824" s="38" t="str">
        <f t="shared" si="28"/>
        <v>G09795:1</v>
      </c>
      <c r="D824" s="37" t="str">
        <f t="shared" si="29"/>
        <v>G09795 : Trehalose 6-phosphate</v>
      </c>
    </row>
    <row r="825" spans="1:4" x14ac:dyDescent="0.35">
      <c r="A825" s="1" t="s">
        <v>9619</v>
      </c>
      <c r="B825" s="1" t="s">
        <v>13199</v>
      </c>
      <c r="C825" s="38" t="str">
        <f t="shared" si="28"/>
        <v>G10238:1</v>
      </c>
      <c r="D825" s="37" t="str">
        <f t="shared" si="29"/>
        <v>G10238 : Glucosylceramide</v>
      </c>
    </row>
    <row r="826" spans="1:4" x14ac:dyDescent="0.35">
      <c r="A826" s="1" t="s">
        <v>9240</v>
      </c>
      <c r="B826" s="1" t="s">
        <v>13669</v>
      </c>
      <c r="C826" s="38" t="str">
        <f t="shared" si="28"/>
        <v>G10481:1</v>
      </c>
      <c r="D826" s="37" t="str">
        <f t="shared" si="29"/>
        <v>G10481 : 1,4-beta-D-Glucan</v>
      </c>
    </row>
    <row r="827" spans="1:4" x14ac:dyDescent="0.35">
      <c r="A827" s="1" t="s">
        <v>9236</v>
      </c>
      <c r="B827" s="1" t="s">
        <v>13670</v>
      </c>
      <c r="C827" s="38" t="str">
        <f t="shared" si="28"/>
        <v>G10495:1</v>
      </c>
      <c r="D827" s="37" t="str">
        <f t="shared" si="29"/>
        <v>G10495 : 1,4-alpha-D-Glucan</v>
      </c>
    </row>
    <row r="828" spans="1:4" x14ac:dyDescent="0.35">
      <c r="A828" s="1" t="s">
        <v>7347</v>
      </c>
      <c r="B828" s="1" t="s">
        <v>13670</v>
      </c>
      <c r="C828" s="38" t="str">
        <f t="shared" si="28"/>
        <v>G10495 :1</v>
      </c>
      <c r="D828" s="37" t="str">
        <f t="shared" si="29"/>
        <v>G10495  : 1,4-alpha-D-Glucan</v>
      </c>
    </row>
    <row r="829" spans="1:4" x14ac:dyDescent="0.35">
      <c r="A829" s="1" t="s">
        <v>9249</v>
      </c>
      <c r="B829" s="1" t="s">
        <v>13671</v>
      </c>
      <c r="C829" s="38" t="str">
        <f t="shared" si="28"/>
        <v>G10502:1</v>
      </c>
      <c r="D829" s="37" t="str">
        <f t="shared" si="29"/>
        <v>G10502 : 1,6-alpha-D-Glucan</v>
      </c>
    </row>
    <row r="830" spans="1:4" x14ac:dyDescent="0.35">
      <c r="A830" s="1" t="s">
        <v>9430</v>
      </c>
      <c r="B830" s="1" t="s">
        <v>10312</v>
      </c>
      <c r="C830" s="38" t="str">
        <f t="shared" si="28"/>
        <v>G10504:1</v>
      </c>
      <c r="D830" s="37" t="str">
        <f t="shared" si="29"/>
        <v>G10504 : Lactose</v>
      </c>
    </row>
    <row r="831" spans="1:4" x14ac:dyDescent="0.35">
      <c r="A831" s="1" t="s">
        <v>9438</v>
      </c>
      <c r="B831" s="1" t="s">
        <v>13672</v>
      </c>
      <c r="C831" s="38" t="str">
        <f t="shared" si="28"/>
        <v>G10508:1</v>
      </c>
      <c r="D831" s="37" t="str">
        <f t="shared" si="29"/>
        <v>G10508 : Sucrose 6'-phosphate</v>
      </c>
    </row>
    <row r="832" spans="1:4" x14ac:dyDescent="0.35">
      <c r="A832" s="1" t="s">
        <v>9432</v>
      </c>
      <c r="B832" s="1" t="s">
        <v>13461</v>
      </c>
      <c r="C832" s="38" t="str">
        <f t="shared" si="28"/>
        <v>G10531:1</v>
      </c>
      <c r="D832" s="37" t="str">
        <f t="shared" si="29"/>
        <v>G10531 : 3-Ketolactose</v>
      </c>
    </row>
    <row r="833" spans="1:4" x14ac:dyDescent="0.35">
      <c r="A833" s="1" t="s">
        <v>7346</v>
      </c>
      <c r="B833" s="1" t="s">
        <v>10359</v>
      </c>
      <c r="C833" s="38" t="str">
        <f t="shared" si="28"/>
        <v>G10545:1</v>
      </c>
      <c r="D833" s="37" t="str">
        <f t="shared" si="29"/>
        <v>G10545 : Starch</v>
      </c>
    </row>
    <row r="834" spans="1:4" x14ac:dyDescent="0.35">
      <c r="A834" s="1" t="s">
        <v>9610</v>
      </c>
      <c r="B834" s="1" t="s">
        <v>13262</v>
      </c>
      <c r="C834" s="38" t="str">
        <f t="shared" si="28"/>
        <v>G10592:1</v>
      </c>
      <c r="D834" s="37" t="str">
        <f t="shared" si="29"/>
        <v>G10592 : Acetyl-maltose</v>
      </c>
    </row>
    <row r="835" spans="1:4" x14ac:dyDescent="0.35">
      <c r="A835" s="1" t="s">
        <v>9252</v>
      </c>
      <c r="B835" s="1" t="s">
        <v>13673</v>
      </c>
      <c r="C835" s="38" t="str">
        <f t="shared" ref="C835:C843" si="30">CONCATENATE(A835,":","1")</f>
        <v>G10608:1</v>
      </c>
      <c r="D835" s="37" t="str">
        <f t="shared" ref="D835:D843" si="31">CONCATENATE(A835," : ",B835)</f>
        <v>G10608 : UDP-D-glucose</v>
      </c>
    </row>
    <row r="836" spans="1:4" x14ac:dyDescent="0.35">
      <c r="A836" s="1" t="s">
        <v>9244</v>
      </c>
      <c r="B836" s="1" t="s">
        <v>13674</v>
      </c>
      <c r="C836" s="38" t="str">
        <f t="shared" si="30"/>
        <v>G10610:1</v>
      </c>
      <c r="D836" s="37" t="str">
        <f t="shared" si="31"/>
        <v>G10610 : UDP-N-acetyl-D-glucosamine</v>
      </c>
    </row>
    <row r="837" spans="1:4" x14ac:dyDescent="0.35">
      <c r="A837" s="1" t="s">
        <v>9614</v>
      </c>
      <c r="B837" s="1" t="s">
        <v>10177</v>
      </c>
      <c r="C837" s="38" t="str">
        <f t="shared" si="30"/>
        <v>G10619:1</v>
      </c>
      <c r="D837" s="37" t="str">
        <f t="shared" si="31"/>
        <v>G10619 : UDP</v>
      </c>
    </row>
    <row r="838" spans="1:4" x14ac:dyDescent="0.35">
      <c r="A838" s="1" t="s">
        <v>9242</v>
      </c>
      <c r="B838" s="1" t="s">
        <v>10395</v>
      </c>
      <c r="C838" s="38" t="str">
        <f t="shared" si="30"/>
        <v>G11109 :1</v>
      </c>
      <c r="D838" s="37" t="str">
        <f t="shared" si="31"/>
        <v>G11109  : ADP-glucose</v>
      </c>
    </row>
    <row r="839" spans="1:4" x14ac:dyDescent="0.35">
      <c r="A839" s="1" t="s">
        <v>9615</v>
      </c>
      <c r="B839" s="1" t="s">
        <v>9755</v>
      </c>
      <c r="C839" s="38" t="str">
        <f t="shared" si="30"/>
        <v>G11113:1</v>
      </c>
      <c r="D839" s="37" t="str">
        <f t="shared" si="31"/>
        <v>G11113 : ADP</v>
      </c>
    </row>
    <row r="840" spans="1:4" x14ac:dyDescent="0.35">
      <c r="A840" s="1" t="s">
        <v>10130</v>
      </c>
      <c r="B840" s="1" t="s">
        <v>13675</v>
      </c>
      <c r="C840" s="38" t="str">
        <f t="shared" si="30"/>
        <v>G13167 :1</v>
      </c>
      <c r="D840" s="37" t="str">
        <f t="shared" si="31"/>
        <v>G13167  : alpha-Glycosylated WTA</v>
      </c>
    </row>
    <row r="841" spans="1:4" x14ac:dyDescent="0.35">
      <c r="A841" s="1" t="s">
        <v>10131</v>
      </c>
      <c r="B841" s="1" t="s">
        <v>13676</v>
      </c>
      <c r="C841" s="38" t="str">
        <f t="shared" si="30"/>
        <v>G13170:1</v>
      </c>
      <c r="D841" s="37" t="str">
        <f t="shared" si="31"/>
        <v>G13170 : beta-Glycosylated WTA</v>
      </c>
    </row>
    <row r="842" spans="1:4" x14ac:dyDescent="0.35">
      <c r="A842" s="1" t="s">
        <v>10132</v>
      </c>
      <c r="B842" s="1" t="s">
        <v>13677</v>
      </c>
      <c r="C842" s="38" t="str">
        <f t="shared" si="30"/>
        <v>G13174 :1</v>
      </c>
      <c r="D842" s="37" t="str">
        <f t="shared" si="31"/>
        <v>G13174  : alpha-O-GlcNAcylated WTA</v>
      </c>
    </row>
    <row r="843" spans="1:4" x14ac:dyDescent="0.35">
      <c r="A843" s="1" t="s">
        <v>10133</v>
      </c>
      <c r="B843" s="1" t="s">
        <v>13678</v>
      </c>
      <c r="C843" s="38" t="str">
        <f t="shared" si="30"/>
        <v>G13176:1</v>
      </c>
      <c r="D843" s="37" t="str">
        <f t="shared" si="31"/>
        <v>G13176 : beta-O-GlcNAcylated WTA</v>
      </c>
    </row>
  </sheetData>
  <sortState xmlns:xlrd2="http://schemas.microsoft.com/office/spreadsheetml/2017/richdata2" ref="G2:G2326">
    <sortCondition ref="G672:G2326"/>
  </sortState>
  <hyperlinks>
    <hyperlink ref="A604" r:id="rId1" display="https://www.genome.jp/entry/C05379" xr:uid="{ED681034-E5C0-495A-97AB-1715A9D9E202}"/>
    <hyperlink ref="A665" r:id="rId2" display="https://www.genome.jp/entry/C06010" xr:uid="{20001D32-FB46-42F6-82AD-190BD98AACE1}"/>
    <hyperlink ref="A828" r:id="rId3" display="https://www.genome.jp/entry/G10495" xr:uid="{7CCBA742-8DEA-48E7-9F21-D2243592CE1B}"/>
    <hyperlink ref="A700" r:id="rId4" display="https://www.genome.jp/entry/C11039" xr:uid="{4154769D-C7F2-4BD4-AF0E-9541446609A9}"/>
    <hyperlink ref="A656" r:id="rId5" display="https://www.genome.jp/entry/C05923" xr:uid="{E9E1EA05-8AC4-4D04-9CA8-BA468A6E1175}"/>
    <hyperlink ref="A273" r:id="rId6" display="https://www.genome.jp/entry/C00680" xr:uid="{F03048CD-1396-4329-AB50-3721FEC69D38}"/>
    <hyperlink ref="A563" r:id="rId7" display="https://www.genome.jp/entry/C04751" xr:uid="{4BB08C9C-2C1C-4326-A3E2-385A74FBD7FF}"/>
    <hyperlink ref="A530" r:id="rId8" display="https://www.genome.jp/entry/C04352" xr:uid="{10C334AE-2367-49B9-9275-439773316313}"/>
    <hyperlink ref="A360" r:id="rId9" display="https://www.genome.jp/entry/C01302" xr:uid="{9A26A63D-D778-427C-A9C6-74FE309D081A}"/>
    <hyperlink ref="A190" r:id="rId10" display="https://www.genome.jp/entry/C00354" xr:uid="{498979CA-D440-42F0-B2E4-E41E7892EAF0}"/>
    <hyperlink ref="A603" r:id="rId11" display="https://www.genome.jp/entry/C05378" xr:uid="{5B24F54A-CB59-438A-9B22-2D84C68D4592}"/>
    <hyperlink ref="A222" r:id="rId12" display="https://www.genome.jp/entry/C00447" xr:uid="{8FA1BA85-73F3-42B0-8B52-845C6048936C}"/>
    <hyperlink ref="A325" r:id="rId13" display="https://www.genome.jp/entry/C01094" xr:uid="{755D64C8-E284-4BFB-B170-D0314EC8AE2A}"/>
    <hyperlink ref="A569" r:id="rId14" display="https://www.genome.jp/entry/C04874" xr:uid="{3556D810-6129-4EF8-9075-FB5275A6AF43}"/>
    <hyperlink ref="A271" r:id="rId15" display="https://www.genome.jp/entry/C00673" xr:uid="{85A9E17B-1F51-4DEF-861E-1EF0C6F30B4D}"/>
    <hyperlink ref="A364" r:id="rId16" display="https://www.genome.jp/entry/C01353" xr:uid="{5BEB1377-67A1-47F9-B21A-02710540AC53}"/>
    <hyperlink ref="A312" r:id="rId17" display="https://www.genome.jp/entry/C00944" xr:uid="{049E6481-8866-4429-BEC1-502D3A917484}"/>
    <hyperlink ref="A258" r:id="rId18" display="https://www.genome.jp/entry/C00631" xr:uid="{82B1E2BF-1B06-47CF-B49C-5F86947D6D0A}"/>
    <hyperlink ref="A469" r:id="rId19" display="https://www.genome.jp/entry/C03356" xr:uid="{C2D91E9E-8806-4883-9699-FC83B16D91F9}"/>
    <hyperlink ref="A260" r:id="rId20" display="https://www.genome.jp/entry/C00640" xr:uid="{039486DF-398B-4FE9-ADDF-35A56EE24BC8}"/>
    <hyperlink ref="A335" r:id="rId21" display="https://www.genome.jp/entry/C01144" xr:uid="{44C8CB73-71AC-45D6-B606-11B72E5E2901}"/>
    <hyperlink ref="A618" r:id="rId22" display="https://www.genome.jp/entry/C05668" xr:uid="{1E35A3BB-12C3-4F32-8077-346FD1F492EC}"/>
    <hyperlink ref="A589" r:id="rId23" display="https://www.genome.jp/entry/C05262" xr:uid="{2C8C4FA8-4D41-4983-AD0C-A49C45848DE9}"/>
    <hyperlink ref="A534" r:id="rId24" display="https://www.genome.jp/entry/C04405" xr:uid="{7C892B09-D0B4-4E0C-996F-CFE15BC8FB9E}"/>
    <hyperlink ref="A587" r:id="rId25" display="https://www.genome.jp/entry/C05258" xr:uid="{A44E4083-F91A-42B7-B725-01E507149AF8}"/>
    <hyperlink ref="A588" r:id="rId26" display="https://www.genome.jp/entry/C05260" xr:uid="{C7B58636-AD06-40E3-B8FF-8FAE96FFAFCE}"/>
    <hyperlink ref="A590" r:id="rId27" display="https://www.genome.jp/entry/C05264" xr:uid="{F67AC66A-B06D-411B-9E77-6784FF9A710D}"/>
    <hyperlink ref="A591" r:id="rId28" display="https://www.genome.jp/entry/C05266" xr:uid="{EBEEFC81-2DEF-4B73-9973-7A5318DD5483}"/>
    <hyperlink ref="A592" r:id="rId29" display="https://www.genome.jp/entry/C05268" xr:uid="{FCB9182B-32A8-4CB9-A76F-BC57BC43802A}"/>
    <hyperlink ref="A744" r:id="rId30" display="https://www.genome.jp/entry/C16329" xr:uid="{FDA7DDE5-CF12-417F-ACE4-92532038DA71}"/>
    <hyperlink ref="A746" r:id="rId31" display="https://www.genome.jp/entry/C16333" xr:uid="{081AEC89-112D-4C41-B156-232A8574D349}"/>
    <hyperlink ref="A748" r:id="rId32" display="https://www.genome.jp/entry/C16337" xr:uid="{3A93E9B9-E6B6-439D-A97D-F929053EB180}"/>
    <hyperlink ref="A324" r:id="rId33" display="https://www.genome.jp/entry/C01086" xr:uid="{D77F78AC-401A-42B9-BAD6-84F2EDE3EFB0}"/>
    <hyperlink ref="A661" r:id="rId34" display="https://www.genome.jp/entry/C05998" xr:uid="{90EAD5C6-4AE9-46B9-8104-1746ED3D3D59}"/>
    <hyperlink ref="A554" r:id="rId35" display="https://www.genome.jp/entry/C04666" xr:uid="{870674B9-3AAE-428F-AAE8-BDE7CEA8EF71}"/>
    <hyperlink ref="A479" r:id="rId36" display="https://www.genome.jp/entry/C03506" xr:uid="{06410898-8817-4560-812E-F9C21F41171F}"/>
    <hyperlink ref="A296" r:id="rId37" display="https://www.genome.jp/entry/C00842" xr:uid="{25F5B870-41FA-4A85-9397-59FE2ACA5C34}"/>
    <hyperlink ref="A294" r:id="rId38" display="https://www.genome.jp/entry/C00826" xr:uid="{8E80B5E1-9D9D-4161-8D26-BD27AC387C5A}"/>
    <hyperlink ref="A508" r:id="rId39" display="https://www.genome.jp/entry/C04039" xr:uid="{254346FA-5F24-4FAB-9DA2-404325C3866D}"/>
    <hyperlink ref="A558" r:id="rId40" display="https://www.genome.jp/entry/C04691" xr:uid="{1378F7E3-07A7-48AF-AC8B-A29FBEF7178F}"/>
    <hyperlink ref="A356" r:id="rId41" display="https://www.genome.jp/entry/C01269" xr:uid="{008F5DFB-BF71-4707-866B-6A890ACCD939}"/>
    <hyperlink ref="A412" r:id="rId42" display="https://www.genome.jp/entry/C02218" xr:uid="{57C93805-7C40-4BC2-A280-497521AB5E2C}"/>
    <hyperlink ref="A771" r:id="rId43" display="https://www.genome.jp/entry/C17234" xr:uid="{AD1CA315-C362-460D-A701-443D1EB14DC6}"/>
    <hyperlink ref="A474" r:id="rId44" display="https://www.genome.jp/entry/C03406" xr:uid="{5648C8E4-E3F8-4379-A36F-07C907ACFCE5}"/>
    <hyperlink ref="A566" r:id="rId45" display="https://www.genome.jp/entry/C04823" xr:uid="{984665AD-809E-467A-BEBD-9FA1943A1220}"/>
    <hyperlink ref="A808" r:id="rId46" display="https://www.genome.jp/entry/C22395" xr:uid="{D3DC39F6-E2C0-4D89-8813-65CADFCC93AC}"/>
    <hyperlink ref="A483" r:id="rId47" display="https://www.genome.jp/entry/C03539" xr:uid="{4A467CBE-8AD4-4A90-838F-130D6CBF5AEE}"/>
    <hyperlink ref="A475" r:id="rId48" display="https://www.genome.jp/entry/C03451" xr:uid="{01942D92-D408-4780-A55F-19EDB0CA3C9A}"/>
    <hyperlink ref="A130" r:id="rId49" display="https://www.genome.jp/entry/C00199" xr:uid="{53261DEA-5DF0-43FB-BD31-BF5F97FEC080}"/>
    <hyperlink ref="A707" r:id="rId50" display="https://www.genome.jp/entry/C11907" xr:uid="{0E825289-30D0-444B-9D19-56948DCBF91C}"/>
    <hyperlink ref="A37" r:id="rId51" display="https://www.genome.jp/entry/C00043" xr:uid="{4A2C4DAD-ABD5-4614-9983-5D1AAA83DF09}"/>
    <hyperlink ref="A164" r:id="rId52" display="https://www.genome.jp/entry/C00267" xr:uid="{25959A4E-271B-4A57-B5F4-A5CC918BE673}"/>
    <hyperlink ref="A97" r:id="rId53" display="https://www.genome.jp/entry/C00124" xr:uid="{DA499F88-F067-4FC6-A011-0AC6D12B772E}"/>
    <hyperlink ref="A497" r:id="rId54" display="https://www.genome.jp/entry/C03798" xr:uid="{5D9415FF-F0DC-49D3-A792-918E840B138D}"/>
    <hyperlink ref="A574" r:id="rId55" display="https://www.genome.jp/entry/C04896" xr:uid="{26636F46-5BA1-4744-A971-2C8B74086551}"/>
    <hyperlink ref="A441" r:id="rId56" display="https://www.genome.jp/entry/C02962" xr:uid="{948DEB36-3D18-4032-BF25-77384B8BCA0D}"/>
    <hyperlink ref="A167" r:id="rId57" display="https://www.genome.jp/entry/C00275" xr:uid="{D1D28802-0DBB-443D-8582-B099883A5F61}"/>
    <hyperlink ref="A267" r:id="rId58" display="https://www.genome.jp/entry/C00668" xr:uid="{E2D76EB2-8EFC-4357-92A7-F49223029A41}"/>
    <hyperlink ref="A72" r:id="rId59" display="https://www.genome.jp/entry/C00092" xr:uid="{FC297627-FFE7-47E7-8AE6-83FDEE9E748D}"/>
    <hyperlink ref="A340" r:id="rId60" display="https://www.genome.jp/entry/C01172" xr:uid="{A03293F9-03B7-4685-9C96-912E4B9B70DD}"/>
    <hyperlink ref="A99" r:id="rId61" display="https://www.genome.jp/entry/C00129" xr:uid="{F2BA6182-7B2D-4C9B-AB91-DC4DFC466B86}"/>
    <hyperlink ref="A673" r:id="rId62" display="https://www.genome.jp/entry/C06156" xr:uid="{EB305B0E-EE72-4F3E-8CBF-5697554BF6F0}"/>
    <hyperlink ref="A255" r:id="rId63" display="https://www.genome.jp/entry/C00620" xr:uid="{7077A39E-540D-4416-A968-AD83FDFAB2BB}"/>
    <hyperlink ref="A339" r:id="rId64" display="https://www.genome.jp/entry/C01171" xr:uid="{F25C873A-873E-4749-B208-E312939D1750}"/>
    <hyperlink ref="A270" r:id="rId65" display="https://www.genome.jp/entry/C00672" xr:uid="{076F55E2-7E0A-4FC3-B19A-1AC1D5C796EA}"/>
    <hyperlink ref="A301" r:id="rId66" display="https://www.genome.jp/entry/C00868" xr:uid="{459E250B-FAA8-4BDF-A9E3-0032269949C2}"/>
    <hyperlink ref="A311" r:id="rId67" display="https://www.genome.jp/entry/C00935" xr:uid="{D9F9B66C-78FF-4A6C-8727-F7B0E28595F8}"/>
    <hyperlink ref="A518" r:id="rId68" display="https://www.genome.jp/entry/C04236" xr:uid="{E98DDBDC-8207-4C72-A102-FC40AFF77C7F}"/>
    <hyperlink ref="A798" r:id="rId69" display="https://www.genome.jp/entry/C21031" xr:uid="{B4A99083-401B-4C46-9283-D19E8C9C89B2}"/>
    <hyperlink ref="A297" r:id="rId70" display="https://www.genome.jp/entry/C00846" xr:uid="{255E2A0D-A089-41C6-80F5-4F619C1B4F58}"/>
    <hyperlink ref="A352" r:id="rId71" display="https://www.genome.jp/entry/C01255" xr:uid="{D81E0B2A-993B-469D-8019-933D55442E4C}"/>
    <hyperlink ref="A217" r:id="rId72" display="https://www.genome.jp/entry/C00438" xr:uid="{754E7101-C50C-49D0-A51B-DDFF6B3B73CD}"/>
    <hyperlink ref="A561" r:id="rId73" display="https://www.genome.jp/entry/C04734" xr:uid="{E32B5D69-8248-44D7-BF1C-75A8C10DFEBE}"/>
    <hyperlink ref="A672" r:id="rId74" display="https://www.genome.jp/entry/C06148" xr:uid="{AE843E05-59FC-4BBD-9E35-388E04B447A8}"/>
    <hyperlink ref="A662" r:id="rId75" display="https://www.genome.jp/entry/C06000" xr:uid="{477E02FC-05E5-4F0C-AEB6-CE98776E2AF6}"/>
    <hyperlink ref="A595" r:id="rId76" display="https://www.genome.jp/entry/C05260" xr:uid="{1A331737-415A-4BEE-B2B5-49D48C19157B}"/>
    <hyperlink ref="A579" r:id="rId77" display="https://www.genome.jp/entry/C05116" xr:uid="{9E5E3739-2527-46F9-9E31-77CF7969CE1C}"/>
    <hyperlink ref="A710" r:id="rId78" display="https://www.genome.jp/entry/C11947" xr:uid="{D709B2F5-2F67-4D67-9527-28287878437E}"/>
    <hyperlink ref="A720" r:id="rId79" display="https://www.genome.jp/entry/C14145" xr:uid="{4D9A7E84-D284-4F7A-9691-832358D7AE4D}"/>
    <hyperlink ref="A751" r:id="rId80" display="https://www.genome.jp/entry/C16469" xr:uid="{4A1BEC44-E2BB-4C07-AD5E-AE0A3B4B84E6}"/>
    <hyperlink ref="A137" r:id="rId81" display="https://www.genome.jp/entry/C00217" xr:uid="{EA686384-43BB-4CCB-B32A-F20B7AB50B06}"/>
    <hyperlink ref="A132" r:id="rId82" display="https://www.genome.jp/entry/C00203" xr:uid="{19929441-5222-471C-87BE-100F102E7AA4}"/>
    <hyperlink ref="A408" r:id="rId83" display="https://www.genome.jp/entry/C02097" xr:uid="{CFE0A004-80BF-4415-BABC-C6F0AA504DD1}"/>
    <hyperlink ref="A489" r:id="rId84" display="https://www.genome.jp/entry/C03633" xr:uid="{47B09644-9A44-4B54-BDF1-F5F022C261D2}"/>
    <hyperlink ref="A576" r:id="rId85" display="https://www.genome.jp/entry/C04916" xr:uid="{A25D24B0-5015-4C28-A9F5-A5E9585587A4}"/>
    <hyperlink ref="A778" r:id="rId86" display="https://www.genome.jp/entry/C18096" xr:uid="{972F7A1E-F177-47FA-8D58-333A23D0E86B}"/>
    <hyperlink ref="A494" r:id="rId87" display="https://www.genome.jp/entry/C03735" xr:uid="{52512106-6D94-4783-B2DB-4C523783839D}"/>
    <hyperlink ref="A435" r:id="rId88" display="https://www.genome.jp/entry/C02764" xr:uid="{0F21EEA5-851A-48C5-80C9-AB45B94BE869}"/>
    <hyperlink ref="A493" r:id="rId89" display="https://www.genome.jp/entry/C03733" xr:uid="{07EEB99C-5351-44BD-AD1A-3ADBE5DCF75A}"/>
    <hyperlink ref="A777" r:id="rId90" display="https://www.genome.jp/entry/C18094" xr:uid="{BB8543C0-1521-454B-B436-CE2F6997039C}"/>
    <hyperlink ref="A663" r:id="rId91" display="https://www.genome.jp/entry/C06006" xr:uid="{961870EC-716E-45DF-8B2C-05573C91C592}"/>
  </hyperlinks>
  <pageMargins left="0.7" right="0.7" top="0.75" bottom="0.75" header="0.3" footer="0.3"/>
  <ignoredErrors>
    <ignoredError sqref="C19 C27 C29:C32 C35 C40:C42 C50:C51 C61 C64:C65 C77 C109 C1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F508-7777-430A-957C-8C3455957396}">
  <dimension ref="A1:N421"/>
  <sheetViews>
    <sheetView zoomScaleNormal="100" workbookViewId="0"/>
  </sheetViews>
  <sheetFormatPr defaultRowHeight="14.5" x14ac:dyDescent="0.35"/>
  <cols>
    <col min="1" max="1" width="4.90625" style="1" customWidth="1"/>
    <col min="2" max="2" width="11.54296875" style="1" customWidth="1"/>
    <col min="3" max="3" width="16.54296875" style="1" customWidth="1"/>
    <col min="4" max="4" width="12.26953125" style="1" customWidth="1"/>
    <col min="5" max="5" width="21.36328125" style="26" customWidth="1"/>
    <col min="6" max="6" width="20.1796875" style="27" customWidth="1"/>
    <col min="7" max="7" width="36.36328125" style="6" customWidth="1"/>
    <col min="8" max="8" width="22.90625" style="28" customWidth="1"/>
    <col min="9" max="9" width="24.36328125" style="29" customWidth="1"/>
    <col min="10" max="10" width="20.81640625" style="30" customWidth="1"/>
    <col min="11" max="11" width="32.54296875" style="35" customWidth="1"/>
    <col min="12" max="12" width="47.81640625" style="32" customWidth="1"/>
    <col min="13" max="13" width="63.6328125" style="7" customWidth="1"/>
    <col min="14" max="14" width="87.1796875" style="33" customWidth="1"/>
    <col min="15" max="16384" width="8.7265625" style="1"/>
  </cols>
  <sheetData>
    <row r="1" spans="1:14" s="8" customFormat="1" ht="28.5" customHeight="1" x14ac:dyDescent="0.35">
      <c r="A1" s="8" t="s">
        <v>10472</v>
      </c>
      <c r="B1" s="8" t="s">
        <v>6743</v>
      </c>
      <c r="C1" s="8" t="s">
        <v>10462</v>
      </c>
      <c r="D1" s="8" t="s">
        <v>10461</v>
      </c>
      <c r="E1" s="18" t="s">
        <v>10463</v>
      </c>
      <c r="F1" s="19" t="s">
        <v>10464</v>
      </c>
      <c r="G1" s="9" t="s">
        <v>10465</v>
      </c>
      <c r="H1" s="20" t="s">
        <v>10466</v>
      </c>
      <c r="I1" s="21" t="s">
        <v>10467</v>
      </c>
      <c r="J1" s="22" t="s">
        <v>10468</v>
      </c>
      <c r="K1" s="23" t="s">
        <v>10469</v>
      </c>
      <c r="L1" s="24" t="s">
        <v>10469</v>
      </c>
      <c r="M1" s="10" t="s">
        <v>10470</v>
      </c>
      <c r="N1" s="25" t="s">
        <v>10471</v>
      </c>
    </row>
    <row r="2" spans="1:14" x14ac:dyDescent="0.35">
      <c r="A2" s="1">
        <v>1</v>
      </c>
      <c r="B2" s="1" t="s">
        <v>9761</v>
      </c>
      <c r="C2" s="1" t="str">
        <f>CONCATENATE(D2,"_mRNA")</f>
        <v>E1_1_1_1_mRNA</v>
      </c>
      <c r="D2" s="1" t="str">
        <f>CONCATENATE("E",B2)</f>
        <v>E1_1_1_1</v>
      </c>
      <c r="E2" s="26" t="str">
        <f>CONCATENATE("E",B2,"_kcat : 13.7")</f>
        <v>E1_1_1_1_kcat : 13.7</v>
      </c>
      <c r="F2" s="27" t="str">
        <f>CONCATENATE("E",B2,"_km : 1")</f>
        <v>E1_1_1_1_km : 1</v>
      </c>
      <c r="G2" s="6" t="str">
        <f>CONCATENATE(C2," : ",C2)</f>
        <v>E1_1_1_1_mRNA : E1_1_1_1_mRNA</v>
      </c>
      <c r="H2" s="28" t="str">
        <f>CONCATENATE(D2," : ",D2)</f>
        <v>E1_1_1_1 : E1_1_1_1</v>
      </c>
      <c r="I2" s="29" t="str">
        <f>CONCATENATE(C2," : ","0")</f>
        <v>E1_1_1_1_mRNA : 0</v>
      </c>
      <c r="J2" s="30" t="str">
        <f>CONCATENATE(D2," : ","0")</f>
        <v>E1_1_1_1 : 0</v>
      </c>
      <c r="K2" s="31" t="str">
        <f>CONCATENATE("0.00292 - (0.0093 * ",C2,")")</f>
        <v>0.00292 - (0.0093 * E1_1_1_1_mRNA)</v>
      </c>
      <c r="L2" s="32" t="str">
        <f>CONCATENATE("(0.278 * ",C2,")"," - (0.00000278 * ",D2,")")</f>
        <v>(0.278 * E1_1_1_1_mRNA) - (0.00000278 * E1_1_1_1)</v>
      </c>
      <c r="M2" s="7" t="str">
        <f>CONCATENATE("mRNA",A2,": -&gt; ",C2," | ","0.00292"," - ","(","0.0093"," * ",C2,")")</f>
        <v>mRNA1: -&gt; E1_1_1_1_mRNA | 0.00292 - (0.0093 * E1_1_1_1_mRNA)</v>
      </c>
      <c r="N2" s="33" t="str">
        <f>CONCATENATE("Peptide",A2,": ",C2," -&gt; ",D2," | ","(","0.278"," * ",C2,")"," - ","(","0.000000278"," * ",D2,")")</f>
        <v>Peptide1: E1_1_1_1_mRNA -&gt; E1_1_1_1 | (0.278 * E1_1_1_1_mRNA) - (0.000000278 * E1_1_1_1)</v>
      </c>
    </row>
    <row r="3" spans="1:14" x14ac:dyDescent="0.35">
      <c r="A3" s="1">
        <v>2</v>
      </c>
      <c r="B3" s="1" t="s">
        <v>9762</v>
      </c>
      <c r="C3" s="1" t="str">
        <f t="shared" ref="C3:C66" si="0">CONCATENATE(D3,"_mRNA")</f>
        <v>E1_1_1_100_mRNA</v>
      </c>
      <c r="D3" s="1" t="str">
        <f t="shared" ref="D3:D66" si="1">CONCATENATE("E",B3)</f>
        <v>E1_1_1_100</v>
      </c>
      <c r="E3" s="26" t="str">
        <f t="shared" ref="E3:E66" si="2">CONCATENATE("E",B3,"_kcat : 13.7")</f>
        <v>E1_1_1_100_kcat : 13.7</v>
      </c>
      <c r="F3" s="27" t="str">
        <f t="shared" ref="F3:F66" si="3">CONCATENATE("E",B3,"_km : 1")</f>
        <v>E1_1_1_100_km : 1</v>
      </c>
      <c r="G3" s="6" t="str">
        <f t="shared" ref="G3:G66" si="4">CONCATENATE(C3," : ",C3)</f>
        <v>E1_1_1_100_mRNA : E1_1_1_100_mRNA</v>
      </c>
      <c r="H3" s="28" t="str">
        <f t="shared" ref="H3:H66" si="5">CONCATENATE(D3," : ",D3)</f>
        <v>E1_1_1_100 : E1_1_1_100</v>
      </c>
      <c r="I3" s="29" t="str">
        <f t="shared" ref="I3:I66" si="6">CONCATENATE(C3," : ","0")</f>
        <v>E1_1_1_100_mRNA : 0</v>
      </c>
      <c r="J3" s="30" t="str">
        <f t="shared" ref="J3:J66" si="7">CONCATENATE(D3," : ","0")</f>
        <v>E1_1_1_100 : 0</v>
      </c>
      <c r="K3" s="31" t="str">
        <f t="shared" ref="K3:K66" si="8">CONCATENATE("0.00292 - (0.0093 * ",C3,")")</f>
        <v>0.00292 - (0.0093 * E1_1_1_100_mRNA)</v>
      </c>
      <c r="L3" s="32" t="str">
        <f t="shared" ref="L3:L66" si="9">CONCATENATE("(0.278 * ",C3,")"," - (0.00000278 * ",D3,")")</f>
        <v>(0.278 * E1_1_1_100_mRNA) - (0.00000278 * E1_1_1_100)</v>
      </c>
      <c r="M3" s="7" t="str">
        <f t="shared" ref="M3:M66" si="10">CONCATENATE("mRNA",A3,": -&gt; ",C3," | ","0.00292"," - ","(","0.0093"," * ",C3,")")</f>
        <v>mRNA2: -&gt; E1_1_1_100_mRNA | 0.00292 - (0.0093 * E1_1_1_100_mRNA)</v>
      </c>
      <c r="N3" s="33" t="str">
        <f t="shared" ref="N3:N66" si="11">CONCATENATE("Peptide",A3,": ",C3," -&gt; ",D3," | ","(","0.278"," * ",C3,")"," - ","(","0.000000278"," * ",D3,")")</f>
        <v>Peptide2: E1_1_1_100_mRNA -&gt; E1_1_1_100 | (0.278 * E1_1_1_100_mRNA) - (0.000000278 * E1_1_1_100)</v>
      </c>
    </row>
    <row r="4" spans="1:14" x14ac:dyDescent="0.35">
      <c r="A4" s="1">
        <v>3</v>
      </c>
      <c r="B4" s="1" t="s">
        <v>9763</v>
      </c>
      <c r="C4" s="1" t="str">
        <f t="shared" si="0"/>
        <v>E1_1_1_133_mRNA</v>
      </c>
      <c r="D4" s="1" t="str">
        <f t="shared" si="1"/>
        <v>E1_1_1_133</v>
      </c>
      <c r="E4" s="26" t="str">
        <f t="shared" si="2"/>
        <v>E1_1_1_133_kcat : 13.7</v>
      </c>
      <c r="F4" s="27" t="str">
        <f t="shared" si="3"/>
        <v>E1_1_1_133_km : 1</v>
      </c>
      <c r="G4" s="6" t="str">
        <f t="shared" si="4"/>
        <v>E1_1_1_133_mRNA : E1_1_1_133_mRNA</v>
      </c>
      <c r="H4" s="28" t="str">
        <f t="shared" si="5"/>
        <v>E1_1_1_133 : E1_1_1_133</v>
      </c>
      <c r="I4" s="29" t="str">
        <f t="shared" si="6"/>
        <v>E1_1_1_133_mRNA : 0</v>
      </c>
      <c r="J4" s="30" t="str">
        <f t="shared" si="7"/>
        <v>E1_1_1_133 : 0</v>
      </c>
      <c r="K4" s="31" t="str">
        <f t="shared" si="8"/>
        <v>0.00292 - (0.0093 * E1_1_1_133_mRNA)</v>
      </c>
      <c r="L4" s="32" t="str">
        <f t="shared" si="9"/>
        <v>(0.278 * E1_1_1_133_mRNA) - (0.00000278 * E1_1_1_133)</v>
      </c>
      <c r="M4" s="7" t="str">
        <f t="shared" si="10"/>
        <v>mRNA3: -&gt; E1_1_1_133_mRNA | 0.00292 - (0.0093 * E1_1_1_133_mRNA)</v>
      </c>
      <c r="N4" s="33" t="str">
        <f t="shared" si="11"/>
        <v>Peptide3: E1_1_1_133_mRNA -&gt; E1_1_1_133 | (0.278 * E1_1_1_133_mRNA) - (0.000000278 * E1_1_1_133)</v>
      </c>
    </row>
    <row r="5" spans="1:14" x14ac:dyDescent="0.35">
      <c r="A5" s="1">
        <v>4</v>
      </c>
      <c r="B5" s="1" t="s">
        <v>9764</v>
      </c>
      <c r="C5" s="1" t="str">
        <f t="shared" si="0"/>
        <v>E1_1_1_14_mRNA</v>
      </c>
      <c r="D5" s="1" t="str">
        <f t="shared" si="1"/>
        <v>E1_1_1_14</v>
      </c>
      <c r="E5" s="26" t="str">
        <f t="shared" si="2"/>
        <v>E1_1_1_14_kcat : 13.7</v>
      </c>
      <c r="F5" s="27" t="str">
        <f t="shared" si="3"/>
        <v>E1_1_1_14_km : 1</v>
      </c>
      <c r="G5" s="6" t="str">
        <f t="shared" si="4"/>
        <v>E1_1_1_14_mRNA : E1_1_1_14_mRNA</v>
      </c>
      <c r="H5" s="28" t="str">
        <f t="shared" si="5"/>
        <v>E1_1_1_14 : E1_1_1_14</v>
      </c>
      <c r="I5" s="29" t="str">
        <f t="shared" si="6"/>
        <v>E1_1_1_14_mRNA : 0</v>
      </c>
      <c r="J5" s="30" t="str">
        <f t="shared" si="7"/>
        <v>E1_1_1_14 : 0</v>
      </c>
      <c r="K5" s="31" t="str">
        <f t="shared" si="8"/>
        <v>0.00292 - (0.0093 * E1_1_1_14_mRNA)</v>
      </c>
      <c r="L5" s="32" t="str">
        <f t="shared" si="9"/>
        <v>(0.278 * E1_1_1_14_mRNA) - (0.00000278 * E1_1_1_14)</v>
      </c>
      <c r="M5" s="7" t="str">
        <f t="shared" si="10"/>
        <v>mRNA4: -&gt; E1_1_1_14_mRNA | 0.00292 - (0.0093 * E1_1_1_14_mRNA)</v>
      </c>
      <c r="N5" s="33" t="str">
        <f t="shared" si="11"/>
        <v>Peptide4: E1_1_1_14_mRNA -&gt; E1_1_1_14 | (0.278 * E1_1_1_14_mRNA) - (0.000000278 * E1_1_1_14)</v>
      </c>
    </row>
    <row r="6" spans="1:14" x14ac:dyDescent="0.35">
      <c r="A6" s="1">
        <v>5</v>
      </c>
      <c r="B6" s="1" t="s">
        <v>9765</v>
      </c>
      <c r="C6" s="1" t="str">
        <f t="shared" si="0"/>
        <v>E1_1_1_170_mRNA</v>
      </c>
      <c r="D6" s="1" t="str">
        <f t="shared" si="1"/>
        <v>E1_1_1_170</v>
      </c>
      <c r="E6" s="26" t="str">
        <f t="shared" si="2"/>
        <v>E1_1_1_170_kcat : 13.7</v>
      </c>
      <c r="F6" s="27" t="str">
        <f t="shared" si="3"/>
        <v>E1_1_1_170_km : 1</v>
      </c>
      <c r="G6" s="6" t="str">
        <f t="shared" si="4"/>
        <v>E1_1_1_170_mRNA : E1_1_1_170_mRNA</v>
      </c>
      <c r="H6" s="28" t="str">
        <f t="shared" si="5"/>
        <v>E1_1_1_170 : E1_1_1_170</v>
      </c>
      <c r="I6" s="29" t="str">
        <f t="shared" si="6"/>
        <v>E1_1_1_170_mRNA : 0</v>
      </c>
      <c r="J6" s="30" t="str">
        <f t="shared" si="7"/>
        <v>E1_1_1_170 : 0</v>
      </c>
      <c r="K6" s="31" t="str">
        <f t="shared" si="8"/>
        <v>0.00292 - (0.0093 * E1_1_1_170_mRNA)</v>
      </c>
      <c r="L6" s="32" t="str">
        <f t="shared" si="9"/>
        <v>(0.278 * E1_1_1_170_mRNA) - (0.00000278 * E1_1_1_170)</v>
      </c>
      <c r="M6" s="7" t="str">
        <f t="shared" si="10"/>
        <v>mRNA5: -&gt; E1_1_1_170_mRNA | 0.00292 - (0.0093 * E1_1_1_170_mRNA)</v>
      </c>
      <c r="N6" s="33" t="str">
        <f t="shared" si="11"/>
        <v>Peptide5: E1_1_1_170_mRNA -&gt; E1_1_1_170 | (0.278 * E1_1_1_170_mRNA) - (0.000000278 * E1_1_1_170)</v>
      </c>
    </row>
    <row r="7" spans="1:14" x14ac:dyDescent="0.35">
      <c r="A7" s="1">
        <v>6</v>
      </c>
      <c r="B7" s="1" t="s">
        <v>9766</v>
      </c>
      <c r="C7" s="1" t="str">
        <f t="shared" si="0"/>
        <v>E1_1_1_205_mRNA</v>
      </c>
      <c r="D7" s="1" t="str">
        <f t="shared" si="1"/>
        <v>E1_1_1_205</v>
      </c>
      <c r="E7" s="26" t="str">
        <f t="shared" si="2"/>
        <v>E1_1_1_205_kcat : 13.7</v>
      </c>
      <c r="F7" s="27" t="str">
        <f t="shared" si="3"/>
        <v>E1_1_1_205_km : 1</v>
      </c>
      <c r="G7" s="6" t="str">
        <f t="shared" si="4"/>
        <v>E1_1_1_205_mRNA : E1_1_1_205_mRNA</v>
      </c>
      <c r="H7" s="28" t="str">
        <f t="shared" si="5"/>
        <v>E1_1_1_205 : E1_1_1_205</v>
      </c>
      <c r="I7" s="29" t="str">
        <f t="shared" si="6"/>
        <v>E1_1_1_205_mRNA : 0</v>
      </c>
      <c r="J7" s="30" t="str">
        <f t="shared" si="7"/>
        <v>E1_1_1_205 : 0</v>
      </c>
      <c r="K7" s="31" t="str">
        <f t="shared" si="8"/>
        <v>0.00292 - (0.0093 * E1_1_1_205_mRNA)</v>
      </c>
      <c r="L7" s="32" t="str">
        <f t="shared" si="9"/>
        <v>(0.278 * E1_1_1_205_mRNA) - (0.00000278 * E1_1_1_205)</v>
      </c>
      <c r="M7" s="7" t="str">
        <f t="shared" si="10"/>
        <v>mRNA6: -&gt; E1_1_1_205_mRNA | 0.00292 - (0.0093 * E1_1_1_205_mRNA)</v>
      </c>
      <c r="N7" s="33" t="str">
        <f t="shared" si="11"/>
        <v>Peptide6: E1_1_1_205_mRNA -&gt; E1_1_1_205 | (0.278 * E1_1_1_205_mRNA) - (0.000000278 * E1_1_1_205)</v>
      </c>
    </row>
    <row r="8" spans="1:14" x14ac:dyDescent="0.35">
      <c r="A8" s="1">
        <v>7</v>
      </c>
      <c r="B8" s="1" t="s">
        <v>9767</v>
      </c>
      <c r="C8" s="1" t="str">
        <f t="shared" si="0"/>
        <v>E1_1_1_23_mRNA</v>
      </c>
      <c r="D8" s="1" t="str">
        <f t="shared" si="1"/>
        <v>E1_1_1_23</v>
      </c>
      <c r="E8" s="26" t="str">
        <f t="shared" si="2"/>
        <v>E1_1_1_23_kcat : 13.7</v>
      </c>
      <c r="F8" s="27" t="str">
        <f t="shared" si="3"/>
        <v>E1_1_1_23_km : 1</v>
      </c>
      <c r="G8" s="6" t="str">
        <f t="shared" si="4"/>
        <v>E1_1_1_23_mRNA : E1_1_1_23_mRNA</v>
      </c>
      <c r="H8" s="28" t="str">
        <f t="shared" si="5"/>
        <v>E1_1_1_23 : E1_1_1_23</v>
      </c>
      <c r="I8" s="29" t="str">
        <f t="shared" si="6"/>
        <v>E1_1_1_23_mRNA : 0</v>
      </c>
      <c r="J8" s="30" t="str">
        <f t="shared" si="7"/>
        <v>E1_1_1_23 : 0</v>
      </c>
      <c r="K8" s="31" t="str">
        <f t="shared" si="8"/>
        <v>0.00292 - (0.0093 * E1_1_1_23_mRNA)</v>
      </c>
      <c r="L8" s="32" t="str">
        <f t="shared" si="9"/>
        <v>(0.278 * E1_1_1_23_mRNA) - (0.00000278 * E1_1_1_23)</v>
      </c>
      <c r="M8" s="7" t="str">
        <f t="shared" si="10"/>
        <v>mRNA7: -&gt; E1_1_1_23_mRNA | 0.00292 - (0.0093 * E1_1_1_23_mRNA)</v>
      </c>
      <c r="N8" s="33" t="str">
        <f t="shared" si="11"/>
        <v>Peptide7: E1_1_1_23_mRNA -&gt; E1_1_1_23 | (0.278 * E1_1_1_23_mRNA) - (0.000000278 * E1_1_1_23)</v>
      </c>
    </row>
    <row r="9" spans="1:14" x14ac:dyDescent="0.35">
      <c r="A9" s="1">
        <v>8</v>
      </c>
      <c r="B9" s="1" t="s">
        <v>9768</v>
      </c>
      <c r="C9" s="1" t="str">
        <f t="shared" si="0"/>
        <v>E1_1_1_25_mRNA</v>
      </c>
      <c r="D9" s="1" t="str">
        <f t="shared" si="1"/>
        <v>E1_1_1_25</v>
      </c>
      <c r="E9" s="26" t="str">
        <f t="shared" si="2"/>
        <v>E1_1_1_25_kcat : 13.7</v>
      </c>
      <c r="F9" s="27" t="str">
        <f t="shared" si="3"/>
        <v>E1_1_1_25_km : 1</v>
      </c>
      <c r="G9" s="6" t="str">
        <f t="shared" si="4"/>
        <v>E1_1_1_25_mRNA : E1_1_1_25_mRNA</v>
      </c>
      <c r="H9" s="28" t="str">
        <f t="shared" si="5"/>
        <v>E1_1_1_25 : E1_1_1_25</v>
      </c>
      <c r="I9" s="29" t="str">
        <f t="shared" si="6"/>
        <v>E1_1_1_25_mRNA : 0</v>
      </c>
      <c r="J9" s="30" t="str">
        <f t="shared" si="7"/>
        <v>E1_1_1_25 : 0</v>
      </c>
      <c r="K9" s="31" t="str">
        <f t="shared" si="8"/>
        <v>0.00292 - (0.0093 * E1_1_1_25_mRNA)</v>
      </c>
      <c r="L9" s="32" t="str">
        <f t="shared" si="9"/>
        <v>(0.278 * E1_1_1_25_mRNA) - (0.00000278 * E1_1_1_25)</v>
      </c>
      <c r="M9" s="7" t="str">
        <f t="shared" si="10"/>
        <v>mRNA8: -&gt; E1_1_1_25_mRNA | 0.00292 - (0.0093 * E1_1_1_25_mRNA)</v>
      </c>
      <c r="N9" s="33" t="str">
        <f t="shared" si="11"/>
        <v>Peptide8: E1_1_1_25_mRNA -&gt; E1_1_1_25 | (0.278 * E1_1_1_25_mRNA) - (0.000000278 * E1_1_1_25)</v>
      </c>
    </row>
    <row r="10" spans="1:14" x14ac:dyDescent="0.35">
      <c r="A10" s="1">
        <v>9</v>
      </c>
      <c r="B10" s="1" t="s">
        <v>9769</v>
      </c>
      <c r="C10" s="1" t="str">
        <f t="shared" si="0"/>
        <v>E1_1_1_27_mRNA</v>
      </c>
      <c r="D10" s="1" t="str">
        <f t="shared" si="1"/>
        <v>E1_1_1_27</v>
      </c>
      <c r="E10" s="26" t="str">
        <f t="shared" si="2"/>
        <v>E1_1_1_27_kcat : 13.7</v>
      </c>
      <c r="F10" s="27" t="str">
        <f t="shared" si="3"/>
        <v>E1_1_1_27_km : 1</v>
      </c>
      <c r="G10" s="6" t="str">
        <f t="shared" si="4"/>
        <v>E1_1_1_27_mRNA : E1_1_1_27_mRNA</v>
      </c>
      <c r="H10" s="28" t="str">
        <f t="shared" si="5"/>
        <v>E1_1_1_27 : E1_1_1_27</v>
      </c>
      <c r="I10" s="29" t="str">
        <f t="shared" si="6"/>
        <v>E1_1_1_27_mRNA : 0</v>
      </c>
      <c r="J10" s="30" t="str">
        <f t="shared" si="7"/>
        <v>E1_1_1_27 : 0</v>
      </c>
      <c r="K10" s="31" t="str">
        <f t="shared" si="8"/>
        <v>0.00292 - (0.0093 * E1_1_1_27_mRNA)</v>
      </c>
      <c r="L10" s="32" t="str">
        <f t="shared" si="9"/>
        <v>(0.278 * E1_1_1_27_mRNA) - (0.00000278 * E1_1_1_27)</v>
      </c>
      <c r="M10" s="7" t="str">
        <f t="shared" si="10"/>
        <v>mRNA9: -&gt; E1_1_1_27_mRNA | 0.00292 - (0.0093 * E1_1_1_27_mRNA)</v>
      </c>
      <c r="N10" s="33" t="str">
        <f t="shared" si="11"/>
        <v>Peptide9: E1_1_1_27_mRNA -&gt; E1_1_1_27 | (0.278 * E1_1_1_27_mRNA) - (0.000000278 * E1_1_1_27)</v>
      </c>
    </row>
    <row r="11" spans="1:14" x14ac:dyDescent="0.35">
      <c r="A11" s="1">
        <v>10</v>
      </c>
      <c r="B11" s="1" t="s">
        <v>9770</v>
      </c>
      <c r="C11" s="1" t="str">
        <f t="shared" si="0"/>
        <v>E1_1_1_3_mRNA</v>
      </c>
      <c r="D11" s="1" t="str">
        <f t="shared" si="1"/>
        <v>E1_1_1_3</v>
      </c>
      <c r="E11" s="26" t="str">
        <f t="shared" si="2"/>
        <v>E1_1_1_3_kcat : 13.7</v>
      </c>
      <c r="F11" s="27" t="str">
        <f t="shared" si="3"/>
        <v>E1_1_1_3_km : 1</v>
      </c>
      <c r="G11" s="6" t="str">
        <f t="shared" si="4"/>
        <v>E1_1_1_3_mRNA : E1_1_1_3_mRNA</v>
      </c>
      <c r="H11" s="28" t="str">
        <f t="shared" si="5"/>
        <v>E1_1_1_3 : E1_1_1_3</v>
      </c>
      <c r="I11" s="29" t="str">
        <f t="shared" si="6"/>
        <v>E1_1_1_3_mRNA : 0</v>
      </c>
      <c r="J11" s="30" t="str">
        <f t="shared" si="7"/>
        <v>E1_1_1_3 : 0</v>
      </c>
      <c r="K11" s="31" t="str">
        <f t="shared" si="8"/>
        <v>0.00292 - (0.0093 * E1_1_1_3_mRNA)</v>
      </c>
      <c r="L11" s="32" t="str">
        <f t="shared" si="9"/>
        <v>(0.278 * E1_1_1_3_mRNA) - (0.00000278 * E1_1_1_3)</v>
      </c>
      <c r="M11" s="7" t="str">
        <f t="shared" si="10"/>
        <v>mRNA10: -&gt; E1_1_1_3_mRNA | 0.00292 - (0.0093 * E1_1_1_3_mRNA)</v>
      </c>
      <c r="N11" s="33" t="str">
        <f t="shared" si="11"/>
        <v>Peptide10: E1_1_1_3_mRNA -&gt; E1_1_1_3 | (0.278 * E1_1_1_3_mRNA) - (0.000000278 * E1_1_1_3)</v>
      </c>
    </row>
    <row r="12" spans="1:14" x14ac:dyDescent="0.35">
      <c r="A12" s="1">
        <v>11</v>
      </c>
      <c r="B12" s="1" t="s">
        <v>9771</v>
      </c>
      <c r="C12" s="1" t="str">
        <f t="shared" si="0"/>
        <v>E1_1_1_304_mRNA</v>
      </c>
      <c r="D12" s="1" t="str">
        <f t="shared" si="1"/>
        <v>E1_1_1_304</v>
      </c>
      <c r="E12" s="26" t="str">
        <f t="shared" si="2"/>
        <v>E1_1_1_304_kcat : 13.7</v>
      </c>
      <c r="F12" s="27" t="str">
        <f t="shared" si="3"/>
        <v>E1_1_1_304_km : 1</v>
      </c>
      <c r="G12" s="6" t="str">
        <f t="shared" si="4"/>
        <v>E1_1_1_304_mRNA : E1_1_1_304_mRNA</v>
      </c>
      <c r="H12" s="28" t="str">
        <f t="shared" si="5"/>
        <v>E1_1_1_304 : E1_1_1_304</v>
      </c>
      <c r="I12" s="29" t="str">
        <f t="shared" si="6"/>
        <v>E1_1_1_304_mRNA : 0</v>
      </c>
      <c r="J12" s="30" t="str">
        <f t="shared" si="7"/>
        <v>E1_1_1_304 : 0</v>
      </c>
      <c r="K12" s="31" t="str">
        <f t="shared" si="8"/>
        <v>0.00292 - (0.0093 * E1_1_1_304_mRNA)</v>
      </c>
      <c r="L12" s="32" t="str">
        <f t="shared" si="9"/>
        <v>(0.278 * E1_1_1_304_mRNA) - (0.00000278 * E1_1_1_304)</v>
      </c>
      <c r="M12" s="7" t="str">
        <f t="shared" si="10"/>
        <v>mRNA11: -&gt; E1_1_1_304_mRNA | 0.00292 - (0.0093 * E1_1_1_304_mRNA)</v>
      </c>
      <c r="N12" s="33" t="str">
        <f t="shared" si="11"/>
        <v>Peptide11: E1_1_1_304_mRNA -&gt; E1_1_1_304 | (0.278 * E1_1_1_304_mRNA) - (0.000000278 * E1_1_1_304)</v>
      </c>
    </row>
    <row r="13" spans="1:14" x14ac:dyDescent="0.35">
      <c r="A13" s="1">
        <v>12</v>
      </c>
      <c r="B13" s="1" t="s">
        <v>9772</v>
      </c>
      <c r="C13" s="1" t="str">
        <f t="shared" si="0"/>
        <v>E1_1_1_42_mRNA</v>
      </c>
      <c r="D13" s="1" t="str">
        <f t="shared" si="1"/>
        <v>E1_1_1_42</v>
      </c>
      <c r="E13" s="26" t="str">
        <f t="shared" si="2"/>
        <v>E1_1_1_42_kcat : 13.7</v>
      </c>
      <c r="F13" s="27" t="str">
        <f t="shared" si="3"/>
        <v>E1_1_1_42_km : 1</v>
      </c>
      <c r="G13" s="6" t="str">
        <f t="shared" si="4"/>
        <v>E1_1_1_42_mRNA : E1_1_1_42_mRNA</v>
      </c>
      <c r="H13" s="28" t="str">
        <f t="shared" si="5"/>
        <v>E1_1_1_42 : E1_1_1_42</v>
      </c>
      <c r="I13" s="29" t="str">
        <f t="shared" si="6"/>
        <v>E1_1_1_42_mRNA : 0</v>
      </c>
      <c r="J13" s="30" t="str">
        <f t="shared" si="7"/>
        <v>E1_1_1_42 : 0</v>
      </c>
      <c r="K13" s="31" t="str">
        <f t="shared" si="8"/>
        <v>0.00292 - (0.0093 * E1_1_1_42_mRNA)</v>
      </c>
      <c r="L13" s="32" t="str">
        <f t="shared" si="9"/>
        <v>(0.278 * E1_1_1_42_mRNA) - (0.00000278 * E1_1_1_42)</v>
      </c>
      <c r="M13" s="7" t="str">
        <f t="shared" si="10"/>
        <v>mRNA12: -&gt; E1_1_1_42_mRNA | 0.00292 - (0.0093 * E1_1_1_42_mRNA)</v>
      </c>
      <c r="N13" s="33" t="str">
        <f t="shared" si="11"/>
        <v>Peptide12: E1_1_1_42_mRNA -&gt; E1_1_1_42 | (0.278 * E1_1_1_42_mRNA) - (0.000000278 * E1_1_1_42)</v>
      </c>
    </row>
    <row r="14" spans="1:14" x14ac:dyDescent="0.35">
      <c r="A14" s="1">
        <v>13</v>
      </c>
      <c r="B14" s="1" t="s">
        <v>9773</v>
      </c>
      <c r="C14" s="1" t="str">
        <f t="shared" si="0"/>
        <v>E1_1_1_6_mRNA</v>
      </c>
      <c r="D14" s="1" t="str">
        <f t="shared" si="1"/>
        <v>E1_1_1_6</v>
      </c>
      <c r="E14" s="26" t="str">
        <f t="shared" si="2"/>
        <v>E1_1_1_6_kcat : 13.7</v>
      </c>
      <c r="F14" s="27" t="str">
        <f t="shared" si="3"/>
        <v>E1_1_1_6_km : 1</v>
      </c>
      <c r="G14" s="6" t="str">
        <f t="shared" si="4"/>
        <v>E1_1_1_6_mRNA : E1_1_1_6_mRNA</v>
      </c>
      <c r="H14" s="28" t="str">
        <f t="shared" si="5"/>
        <v>E1_1_1_6 : E1_1_1_6</v>
      </c>
      <c r="I14" s="29" t="str">
        <f t="shared" si="6"/>
        <v>E1_1_1_6_mRNA : 0</v>
      </c>
      <c r="J14" s="30" t="str">
        <f t="shared" si="7"/>
        <v>E1_1_1_6 : 0</v>
      </c>
      <c r="K14" s="31" t="str">
        <f t="shared" si="8"/>
        <v>0.00292 - (0.0093 * E1_1_1_6_mRNA)</v>
      </c>
      <c r="L14" s="32" t="str">
        <f t="shared" si="9"/>
        <v>(0.278 * E1_1_1_6_mRNA) - (0.00000278 * E1_1_1_6)</v>
      </c>
      <c r="M14" s="7" t="str">
        <f t="shared" si="10"/>
        <v>mRNA13: -&gt; E1_1_1_6_mRNA | 0.00292 - (0.0093 * E1_1_1_6_mRNA)</v>
      </c>
      <c r="N14" s="33" t="str">
        <f t="shared" si="11"/>
        <v>Peptide13: E1_1_1_6_mRNA -&gt; E1_1_1_6 | (0.278 * E1_1_1_6_mRNA) - (0.000000278 * E1_1_1_6)</v>
      </c>
    </row>
    <row r="15" spans="1:14" x14ac:dyDescent="0.35">
      <c r="A15" s="1">
        <v>14</v>
      </c>
      <c r="B15" s="1" t="s">
        <v>9774</v>
      </c>
      <c r="C15" s="1" t="str">
        <f t="shared" si="0"/>
        <v>E1_1_1_85_mRNA</v>
      </c>
      <c r="D15" s="1" t="str">
        <f t="shared" si="1"/>
        <v>E1_1_1_85</v>
      </c>
      <c r="E15" s="26" t="str">
        <f t="shared" si="2"/>
        <v>E1_1_1_85_kcat : 13.7</v>
      </c>
      <c r="F15" s="27" t="str">
        <f t="shared" si="3"/>
        <v>E1_1_1_85_km : 1</v>
      </c>
      <c r="G15" s="6" t="str">
        <f t="shared" si="4"/>
        <v>E1_1_1_85_mRNA : E1_1_1_85_mRNA</v>
      </c>
      <c r="H15" s="28" t="str">
        <f t="shared" si="5"/>
        <v>E1_1_1_85 : E1_1_1_85</v>
      </c>
      <c r="I15" s="29" t="str">
        <f t="shared" si="6"/>
        <v>E1_1_1_85_mRNA : 0</v>
      </c>
      <c r="J15" s="30" t="str">
        <f t="shared" si="7"/>
        <v>E1_1_1_85 : 0</v>
      </c>
      <c r="K15" s="31" t="str">
        <f t="shared" si="8"/>
        <v>0.00292 - (0.0093 * E1_1_1_85_mRNA)</v>
      </c>
      <c r="L15" s="32" t="str">
        <f t="shared" si="9"/>
        <v>(0.278 * E1_1_1_85_mRNA) - (0.00000278 * E1_1_1_85)</v>
      </c>
      <c r="M15" s="7" t="str">
        <f t="shared" si="10"/>
        <v>mRNA14: -&gt; E1_1_1_85_mRNA | 0.00292 - (0.0093 * E1_1_1_85_mRNA)</v>
      </c>
      <c r="N15" s="33" t="str">
        <f t="shared" si="11"/>
        <v>Peptide14: E1_1_1_85_mRNA -&gt; E1_1_1_85 | (0.278 * E1_1_1_85_mRNA) - (0.000000278 * E1_1_1_85)</v>
      </c>
    </row>
    <row r="16" spans="1:14" x14ac:dyDescent="0.35">
      <c r="A16" s="1">
        <v>15</v>
      </c>
      <c r="B16" s="1" t="s">
        <v>9775</v>
      </c>
      <c r="C16" s="1" t="str">
        <f t="shared" si="0"/>
        <v>E1_1_1_86_mRNA</v>
      </c>
      <c r="D16" s="1" t="str">
        <f t="shared" si="1"/>
        <v>E1_1_1_86</v>
      </c>
      <c r="E16" s="26" t="str">
        <f t="shared" si="2"/>
        <v>E1_1_1_86_kcat : 13.7</v>
      </c>
      <c r="F16" s="27" t="str">
        <f t="shared" si="3"/>
        <v>E1_1_1_86_km : 1</v>
      </c>
      <c r="G16" s="6" t="str">
        <f t="shared" si="4"/>
        <v>E1_1_1_86_mRNA : E1_1_1_86_mRNA</v>
      </c>
      <c r="H16" s="28" t="str">
        <f t="shared" si="5"/>
        <v>E1_1_1_86 : E1_1_1_86</v>
      </c>
      <c r="I16" s="29" t="str">
        <f t="shared" si="6"/>
        <v>E1_1_1_86_mRNA : 0</v>
      </c>
      <c r="J16" s="30" t="str">
        <f t="shared" si="7"/>
        <v>E1_1_1_86 : 0</v>
      </c>
      <c r="K16" s="31" t="str">
        <f t="shared" si="8"/>
        <v>0.00292 - (0.0093 * E1_1_1_86_mRNA)</v>
      </c>
      <c r="L16" s="32" t="str">
        <f t="shared" si="9"/>
        <v>(0.278 * E1_1_1_86_mRNA) - (0.00000278 * E1_1_1_86)</v>
      </c>
      <c r="M16" s="7" t="str">
        <f t="shared" si="10"/>
        <v>mRNA15: -&gt; E1_1_1_86_mRNA | 0.00292 - (0.0093 * E1_1_1_86_mRNA)</v>
      </c>
      <c r="N16" s="33" t="str">
        <f t="shared" si="11"/>
        <v>Peptide15: E1_1_1_86_mRNA -&gt; E1_1_1_86 | (0.278 * E1_1_1_86_mRNA) - (0.000000278 * E1_1_1_86)</v>
      </c>
    </row>
    <row r="17" spans="1:14" x14ac:dyDescent="0.35">
      <c r="A17" s="1">
        <v>16</v>
      </c>
      <c r="B17" s="1" t="s">
        <v>9776</v>
      </c>
      <c r="C17" s="1" t="str">
        <f t="shared" si="0"/>
        <v>E1_1_1_88_mRNA</v>
      </c>
      <c r="D17" s="1" t="str">
        <f t="shared" si="1"/>
        <v>E1_1_1_88</v>
      </c>
      <c r="E17" s="26" t="str">
        <f t="shared" si="2"/>
        <v>E1_1_1_88_kcat : 13.7</v>
      </c>
      <c r="F17" s="27" t="str">
        <f t="shared" si="3"/>
        <v>E1_1_1_88_km : 1</v>
      </c>
      <c r="G17" s="6" t="str">
        <f t="shared" si="4"/>
        <v>E1_1_1_88_mRNA : E1_1_1_88_mRNA</v>
      </c>
      <c r="H17" s="28" t="str">
        <f t="shared" si="5"/>
        <v>E1_1_1_88 : E1_1_1_88</v>
      </c>
      <c r="I17" s="29" t="str">
        <f t="shared" si="6"/>
        <v>E1_1_1_88_mRNA : 0</v>
      </c>
      <c r="J17" s="30" t="str">
        <f t="shared" si="7"/>
        <v>E1_1_1_88 : 0</v>
      </c>
      <c r="K17" s="31" t="str">
        <f t="shared" si="8"/>
        <v>0.00292 - (0.0093 * E1_1_1_88_mRNA)</v>
      </c>
      <c r="L17" s="32" t="str">
        <f t="shared" si="9"/>
        <v>(0.278 * E1_1_1_88_mRNA) - (0.00000278 * E1_1_1_88)</v>
      </c>
      <c r="M17" s="7" t="str">
        <f t="shared" si="10"/>
        <v>mRNA16: -&gt; E1_1_1_88_mRNA | 0.00292 - (0.0093 * E1_1_1_88_mRNA)</v>
      </c>
      <c r="N17" s="33" t="str">
        <f t="shared" si="11"/>
        <v>Peptide16: E1_1_1_88_mRNA -&gt; E1_1_1_88 | (0.278 * E1_1_1_88_mRNA) - (0.000000278 * E1_1_1_88)</v>
      </c>
    </row>
    <row r="18" spans="1:14" x14ac:dyDescent="0.35">
      <c r="A18" s="1">
        <v>17</v>
      </c>
      <c r="B18" s="1" t="s">
        <v>9777</v>
      </c>
      <c r="C18" s="1" t="str">
        <f t="shared" si="0"/>
        <v>E1_1_1_94_mRNA</v>
      </c>
      <c r="D18" s="1" t="str">
        <f t="shared" si="1"/>
        <v>E1_1_1_94</v>
      </c>
      <c r="E18" s="26" t="str">
        <f t="shared" si="2"/>
        <v>E1_1_1_94_kcat : 13.7</v>
      </c>
      <c r="F18" s="27" t="str">
        <f t="shared" si="3"/>
        <v>E1_1_1_94_km : 1</v>
      </c>
      <c r="G18" s="6" t="str">
        <f t="shared" si="4"/>
        <v>E1_1_1_94_mRNA : E1_1_1_94_mRNA</v>
      </c>
      <c r="H18" s="28" t="str">
        <f t="shared" si="5"/>
        <v>E1_1_1_94 : E1_1_1_94</v>
      </c>
      <c r="I18" s="29" t="str">
        <f t="shared" si="6"/>
        <v>E1_1_1_94_mRNA : 0</v>
      </c>
      <c r="J18" s="30" t="str">
        <f t="shared" si="7"/>
        <v>E1_1_1_94 : 0</v>
      </c>
      <c r="K18" s="31" t="str">
        <f t="shared" si="8"/>
        <v>0.00292 - (0.0093 * E1_1_1_94_mRNA)</v>
      </c>
      <c r="L18" s="32" t="str">
        <f t="shared" si="9"/>
        <v>(0.278 * E1_1_1_94_mRNA) - (0.00000278 * E1_1_1_94)</v>
      </c>
      <c r="M18" s="7" t="str">
        <f t="shared" si="10"/>
        <v>mRNA17: -&gt; E1_1_1_94_mRNA | 0.00292 - (0.0093 * E1_1_1_94_mRNA)</v>
      </c>
      <c r="N18" s="33" t="str">
        <f t="shared" si="11"/>
        <v>Peptide17: E1_1_1_94_mRNA -&gt; E1_1_1_94 | (0.278 * E1_1_1_94_mRNA) - (0.000000278 * E1_1_1_94)</v>
      </c>
    </row>
    <row r="19" spans="1:14" x14ac:dyDescent="0.35">
      <c r="A19" s="1">
        <v>18</v>
      </c>
      <c r="B19" s="1" t="s">
        <v>9778</v>
      </c>
      <c r="C19" s="1" t="str">
        <f t="shared" si="0"/>
        <v>E1_1_1_95_mRNA</v>
      </c>
      <c r="D19" s="1" t="str">
        <f t="shared" si="1"/>
        <v>E1_1_1_95</v>
      </c>
      <c r="E19" s="26" t="str">
        <f t="shared" si="2"/>
        <v>E1_1_1_95_kcat : 13.7</v>
      </c>
      <c r="F19" s="27" t="str">
        <f t="shared" si="3"/>
        <v>E1_1_1_95_km : 1</v>
      </c>
      <c r="G19" s="6" t="str">
        <f t="shared" si="4"/>
        <v>E1_1_1_95_mRNA : E1_1_1_95_mRNA</v>
      </c>
      <c r="H19" s="28" t="str">
        <f t="shared" si="5"/>
        <v>E1_1_1_95 : E1_1_1_95</v>
      </c>
      <c r="I19" s="29" t="str">
        <f t="shared" si="6"/>
        <v>E1_1_1_95_mRNA : 0</v>
      </c>
      <c r="J19" s="30" t="str">
        <f t="shared" si="7"/>
        <v>E1_1_1_95 : 0</v>
      </c>
      <c r="K19" s="31" t="str">
        <f t="shared" si="8"/>
        <v>0.00292 - (0.0093 * E1_1_1_95_mRNA)</v>
      </c>
      <c r="L19" s="32" t="str">
        <f t="shared" si="9"/>
        <v>(0.278 * E1_1_1_95_mRNA) - (0.00000278 * E1_1_1_95)</v>
      </c>
      <c r="M19" s="7" t="str">
        <f t="shared" si="10"/>
        <v>mRNA18: -&gt; E1_1_1_95_mRNA | 0.00292 - (0.0093 * E1_1_1_95_mRNA)</v>
      </c>
      <c r="N19" s="33" t="str">
        <f t="shared" si="11"/>
        <v>Peptide18: E1_1_1_95_mRNA -&gt; E1_1_1_95 | (0.278 * E1_1_1_95_mRNA) - (0.000000278 * E1_1_1_95)</v>
      </c>
    </row>
    <row r="20" spans="1:14" x14ac:dyDescent="0.35">
      <c r="A20" s="1">
        <v>19</v>
      </c>
      <c r="B20" s="1" t="s">
        <v>9779</v>
      </c>
      <c r="C20" s="1" t="str">
        <f t="shared" si="0"/>
        <v>E1_11_1_15_mRNA</v>
      </c>
      <c r="D20" s="1" t="str">
        <f t="shared" si="1"/>
        <v>E1_11_1_15</v>
      </c>
      <c r="E20" s="26" t="str">
        <f t="shared" si="2"/>
        <v>E1_11_1_15_kcat : 13.7</v>
      </c>
      <c r="F20" s="27" t="str">
        <f t="shared" si="3"/>
        <v>E1_11_1_15_km : 1</v>
      </c>
      <c r="G20" s="6" t="str">
        <f t="shared" si="4"/>
        <v>E1_11_1_15_mRNA : E1_11_1_15_mRNA</v>
      </c>
      <c r="H20" s="28" t="str">
        <f t="shared" si="5"/>
        <v>E1_11_1_15 : E1_11_1_15</v>
      </c>
      <c r="I20" s="29" t="str">
        <f t="shared" si="6"/>
        <v>E1_11_1_15_mRNA : 0</v>
      </c>
      <c r="J20" s="30" t="str">
        <f t="shared" si="7"/>
        <v>E1_11_1_15 : 0</v>
      </c>
      <c r="K20" s="31" t="str">
        <f t="shared" si="8"/>
        <v>0.00292 - (0.0093 * E1_11_1_15_mRNA)</v>
      </c>
      <c r="L20" s="32" t="str">
        <f t="shared" si="9"/>
        <v>(0.278 * E1_11_1_15_mRNA) - (0.00000278 * E1_11_1_15)</v>
      </c>
      <c r="M20" s="7" t="str">
        <f t="shared" si="10"/>
        <v>mRNA19: -&gt; E1_11_1_15_mRNA | 0.00292 - (0.0093 * E1_11_1_15_mRNA)</v>
      </c>
      <c r="N20" s="33" t="str">
        <f t="shared" si="11"/>
        <v>Peptide19: E1_11_1_15_mRNA -&gt; E1_11_1_15 | (0.278 * E1_11_1_15_mRNA) - (0.000000278 * E1_11_1_15)</v>
      </c>
    </row>
    <row r="21" spans="1:14" x14ac:dyDescent="0.35">
      <c r="A21" s="1">
        <v>20</v>
      </c>
      <c r="B21" s="1" t="s">
        <v>9780</v>
      </c>
      <c r="C21" s="1" t="str">
        <f t="shared" si="0"/>
        <v>E1_11_1_9_mRNA</v>
      </c>
      <c r="D21" s="1" t="str">
        <f t="shared" si="1"/>
        <v>E1_11_1_9</v>
      </c>
      <c r="E21" s="26" t="str">
        <f t="shared" si="2"/>
        <v>E1_11_1_9_kcat : 13.7</v>
      </c>
      <c r="F21" s="27" t="str">
        <f t="shared" si="3"/>
        <v>E1_11_1_9_km : 1</v>
      </c>
      <c r="G21" s="6" t="str">
        <f t="shared" si="4"/>
        <v>E1_11_1_9_mRNA : E1_11_1_9_mRNA</v>
      </c>
      <c r="H21" s="28" t="str">
        <f t="shared" si="5"/>
        <v>E1_11_1_9 : E1_11_1_9</v>
      </c>
      <c r="I21" s="29" t="str">
        <f t="shared" si="6"/>
        <v>E1_11_1_9_mRNA : 0</v>
      </c>
      <c r="J21" s="30" t="str">
        <f t="shared" si="7"/>
        <v>E1_11_1_9 : 0</v>
      </c>
      <c r="K21" s="31" t="str">
        <f t="shared" si="8"/>
        <v>0.00292 - (0.0093 * E1_11_1_9_mRNA)</v>
      </c>
      <c r="L21" s="32" t="str">
        <f t="shared" si="9"/>
        <v>(0.278 * E1_11_1_9_mRNA) - (0.00000278 * E1_11_1_9)</v>
      </c>
      <c r="M21" s="7" t="str">
        <f t="shared" si="10"/>
        <v>mRNA20: -&gt; E1_11_1_9_mRNA | 0.00292 - (0.0093 * E1_11_1_9_mRNA)</v>
      </c>
      <c r="N21" s="33" t="str">
        <f t="shared" si="11"/>
        <v>Peptide20: E1_11_1_9_mRNA -&gt; E1_11_1_9 | (0.278 * E1_11_1_9_mRNA) - (0.000000278 * E1_11_1_9)</v>
      </c>
    </row>
    <row r="22" spans="1:14" x14ac:dyDescent="0.35">
      <c r="A22" s="1">
        <v>21</v>
      </c>
      <c r="B22" s="1" t="s">
        <v>9781</v>
      </c>
      <c r="C22" s="1" t="str">
        <f t="shared" si="0"/>
        <v>E1_15_1_1_mRNA</v>
      </c>
      <c r="D22" s="1" t="str">
        <f t="shared" si="1"/>
        <v>E1_15_1_1</v>
      </c>
      <c r="E22" s="26" t="str">
        <f t="shared" si="2"/>
        <v>E1_15_1_1_kcat : 13.7</v>
      </c>
      <c r="F22" s="27" t="str">
        <f t="shared" si="3"/>
        <v>E1_15_1_1_km : 1</v>
      </c>
      <c r="G22" s="6" t="str">
        <f t="shared" si="4"/>
        <v>E1_15_1_1_mRNA : E1_15_1_1_mRNA</v>
      </c>
      <c r="H22" s="28" t="str">
        <f t="shared" si="5"/>
        <v>E1_15_1_1 : E1_15_1_1</v>
      </c>
      <c r="I22" s="29" t="str">
        <f t="shared" si="6"/>
        <v>E1_15_1_1_mRNA : 0</v>
      </c>
      <c r="J22" s="30" t="str">
        <f t="shared" si="7"/>
        <v>E1_15_1_1 : 0</v>
      </c>
      <c r="K22" s="31" t="str">
        <f t="shared" si="8"/>
        <v>0.00292 - (0.0093 * E1_15_1_1_mRNA)</v>
      </c>
      <c r="L22" s="32" t="str">
        <f t="shared" si="9"/>
        <v>(0.278 * E1_15_1_1_mRNA) - (0.00000278 * E1_15_1_1)</v>
      </c>
      <c r="M22" s="7" t="str">
        <f t="shared" si="10"/>
        <v>mRNA21: -&gt; E1_15_1_1_mRNA | 0.00292 - (0.0093 * E1_15_1_1_mRNA)</v>
      </c>
      <c r="N22" s="33" t="str">
        <f t="shared" si="11"/>
        <v>Peptide21: E1_15_1_1_mRNA -&gt; E1_15_1_1 | (0.278 * E1_15_1_1_mRNA) - (0.000000278 * E1_15_1_1)</v>
      </c>
    </row>
    <row r="23" spans="1:14" x14ac:dyDescent="0.35">
      <c r="A23" s="1">
        <v>22</v>
      </c>
      <c r="B23" s="1" t="s">
        <v>9782</v>
      </c>
      <c r="C23" s="1" t="str">
        <f t="shared" si="0"/>
        <v>E1_17_1_8_mRNA</v>
      </c>
      <c r="D23" s="1" t="str">
        <f t="shared" si="1"/>
        <v>E1_17_1_8</v>
      </c>
      <c r="E23" s="26" t="str">
        <f t="shared" si="2"/>
        <v>E1_17_1_8_kcat : 13.7</v>
      </c>
      <c r="F23" s="27" t="str">
        <f t="shared" si="3"/>
        <v>E1_17_1_8_km : 1</v>
      </c>
      <c r="G23" s="6" t="str">
        <f t="shared" si="4"/>
        <v>E1_17_1_8_mRNA : E1_17_1_8_mRNA</v>
      </c>
      <c r="H23" s="28" t="str">
        <f t="shared" si="5"/>
        <v>E1_17_1_8 : E1_17_1_8</v>
      </c>
      <c r="I23" s="29" t="str">
        <f t="shared" si="6"/>
        <v>E1_17_1_8_mRNA : 0</v>
      </c>
      <c r="J23" s="30" t="str">
        <f t="shared" si="7"/>
        <v>E1_17_1_8 : 0</v>
      </c>
      <c r="K23" s="31" t="str">
        <f t="shared" si="8"/>
        <v>0.00292 - (0.0093 * E1_17_1_8_mRNA)</v>
      </c>
      <c r="L23" s="32" t="str">
        <f t="shared" si="9"/>
        <v>(0.278 * E1_17_1_8_mRNA) - (0.00000278 * E1_17_1_8)</v>
      </c>
      <c r="M23" s="7" t="str">
        <f t="shared" si="10"/>
        <v>mRNA22: -&gt; E1_17_1_8_mRNA | 0.00292 - (0.0093 * E1_17_1_8_mRNA)</v>
      </c>
      <c r="N23" s="33" t="str">
        <f t="shared" si="11"/>
        <v>Peptide22: E1_17_1_8_mRNA -&gt; E1_17_1_8 | (0.278 * E1_17_1_8_mRNA) - (0.000000278 * E1_17_1_8)</v>
      </c>
    </row>
    <row r="24" spans="1:14" x14ac:dyDescent="0.35">
      <c r="A24" s="1">
        <v>23</v>
      </c>
      <c r="B24" s="1" t="s">
        <v>9783</v>
      </c>
      <c r="C24" s="1" t="str">
        <f t="shared" si="0"/>
        <v>E1_17_4_1_mRNA</v>
      </c>
      <c r="D24" s="1" t="str">
        <f t="shared" si="1"/>
        <v>E1_17_4_1</v>
      </c>
      <c r="E24" s="26" t="str">
        <f t="shared" si="2"/>
        <v>E1_17_4_1_kcat : 13.7</v>
      </c>
      <c r="F24" s="27" t="str">
        <f t="shared" si="3"/>
        <v>E1_17_4_1_km : 1</v>
      </c>
      <c r="G24" s="6" t="str">
        <f t="shared" si="4"/>
        <v>E1_17_4_1_mRNA : E1_17_4_1_mRNA</v>
      </c>
      <c r="H24" s="28" t="str">
        <f t="shared" si="5"/>
        <v>E1_17_4_1 : E1_17_4_1</v>
      </c>
      <c r="I24" s="29" t="str">
        <f t="shared" si="6"/>
        <v>E1_17_4_1_mRNA : 0</v>
      </c>
      <c r="J24" s="30" t="str">
        <f t="shared" si="7"/>
        <v>E1_17_4_1 : 0</v>
      </c>
      <c r="K24" s="31" t="str">
        <f t="shared" si="8"/>
        <v>0.00292 - (0.0093 * E1_17_4_1_mRNA)</v>
      </c>
      <c r="L24" s="32" t="str">
        <f t="shared" si="9"/>
        <v>(0.278 * E1_17_4_1_mRNA) - (0.00000278 * E1_17_4_1)</v>
      </c>
      <c r="M24" s="7" t="str">
        <f t="shared" si="10"/>
        <v>mRNA23: -&gt; E1_17_4_1_mRNA | 0.00292 - (0.0093 * E1_17_4_1_mRNA)</v>
      </c>
      <c r="N24" s="33" t="str">
        <f t="shared" si="11"/>
        <v>Peptide23: E1_17_4_1_mRNA -&gt; E1_17_4_1 | (0.278 * E1_17_4_1_mRNA) - (0.000000278 * E1_17_4_1)</v>
      </c>
    </row>
    <row r="25" spans="1:14" x14ac:dyDescent="0.35">
      <c r="A25" s="1">
        <v>24</v>
      </c>
      <c r="B25" s="1" t="s">
        <v>9784</v>
      </c>
      <c r="C25" s="1" t="str">
        <f t="shared" si="0"/>
        <v>E1_17_4_2_mRNA</v>
      </c>
      <c r="D25" s="1" t="str">
        <f t="shared" si="1"/>
        <v>E1_17_4_2</v>
      </c>
      <c r="E25" s="26" t="str">
        <f t="shared" si="2"/>
        <v>E1_17_4_2_kcat : 13.7</v>
      </c>
      <c r="F25" s="27" t="str">
        <f t="shared" si="3"/>
        <v>E1_17_4_2_km : 1</v>
      </c>
      <c r="G25" s="6" t="str">
        <f t="shared" si="4"/>
        <v>E1_17_4_2_mRNA : E1_17_4_2_mRNA</v>
      </c>
      <c r="H25" s="28" t="str">
        <f t="shared" si="5"/>
        <v>E1_17_4_2 : E1_17_4_2</v>
      </c>
      <c r="I25" s="29" t="str">
        <f t="shared" si="6"/>
        <v>E1_17_4_2_mRNA : 0</v>
      </c>
      <c r="J25" s="30" t="str">
        <f t="shared" si="7"/>
        <v>E1_17_4_2 : 0</v>
      </c>
      <c r="K25" s="31" t="str">
        <f t="shared" si="8"/>
        <v>0.00292 - (0.0093 * E1_17_4_2_mRNA)</v>
      </c>
      <c r="L25" s="32" t="str">
        <f t="shared" si="9"/>
        <v>(0.278 * E1_17_4_2_mRNA) - (0.00000278 * E1_17_4_2)</v>
      </c>
      <c r="M25" s="7" t="str">
        <f t="shared" si="10"/>
        <v>mRNA24: -&gt; E1_17_4_2_mRNA | 0.00292 - (0.0093 * E1_17_4_2_mRNA)</v>
      </c>
      <c r="N25" s="33" t="str">
        <f t="shared" si="11"/>
        <v>Peptide24: E1_17_4_2_mRNA -&gt; E1_17_4_2 | (0.278 * E1_17_4_2_mRNA) - (0.000000278 * E1_17_4_2)</v>
      </c>
    </row>
    <row r="26" spans="1:14" x14ac:dyDescent="0.35">
      <c r="A26" s="1">
        <v>25</v>
      </c>
      <c r="B26" s="1" t="s">
        <v>9785</v>
      </c>
      <c r="C26" s="1" t="str">
        <f t="shared" si="0"/>
        <v>E1_2_1_10_mRNA</v>
      </c>
      <c r="D26" s="1" t="str">
        <f t="shared" si="1"/>
        <v>E1_2_1_10</v>
      </c>
      <c r="E26" s="26" t="str">
        <f t="shared" si="2"/>
        <v>E1_2_1_10_kcat : 13.7</v>
      </c>
      <c r="F26" s="27" t="str">
        <f t="shared" si="3"/>
        <v>E1_2_1_10_km : 1</v>
      </c>
      <c r="G26" s="6" t="str">
        <f t="shared" si="4"/>
        <v>E1_2_1_10_mRNA : E1_2_1_10_mRNA</v>
      </c>
      <c r="H26" s="28" t="str">
        <f t="shared" si="5"/>
        <v>E1_2_1_10 : E1_2_1_10</v>
      </c>
      <c r="I26" s="29" t="str">
        <f t="shared" si="6"/>
        <v>E1_2_1_10_mRNA : 0</v>
      </c>
      <c r="J26" s="30" t="str">
        <f t="shared" si="7"/>
        <v>E1_2_1_10 : 0</v>
      </c>
      <c r="K26" s="31" t="str">
        <f t="shared" si="8"/>
        <v>0.00292 - (0.0093 * E1_2_1_10_mRNA)</v>
      </c>
      <c r="L26" s="32" t="str">
        <f t="shared" si="9"/>
        <v>(0.278 * E1_2_1_10_mRNA) - (0.00000278 * E1_2_1_10)</v>
      </c>
      <c r="M26" s="7" t="str">
        <f t="shared" si="10"/>
        <v>mRNA25: -&gt; E1_2_1_10_mRNA | 0.00292 - (0.0093 * E1_2_1_10_mRNA)</v>
      </c>
      <c r="N26" s="33" t="str">
        <f t="shared" si="11"/>
        <v>Peptide25: E1_2_1_10_mRNA -&gt; E1_2_1_10 | (0.278 * E1_2_1_10_mRNA) - (0.000000278 * E1_2_1_10)</v>
      </c>
    </row>
    <row r="27" spans="1:14" x14ac:dyDescent="0.35">
      <c r="A27" s="1">
        <v>26</v>
      </c>
      <c r="B27" s="1" t="s">
        <v>9786</v>
      </c>
      <c r="C27" s="1" t="str">
        <f t="shared" si="0"/>
        <v>E1_2_1_11_mRNA</v>
      </c>
      <c r="D27" s="1" t="str">
        <f t="shared" si="1"/>
        <v>E1_2_1_11</v>
      </c>
      <c r="E27" s="26" t="str">
        <f t="shared" si="2"/>
        <v>E1_2_1_11_kcat : 13.7</v>
      </c>
      <c r="F27" s="27" t="str">
        <f t="shared" si="3"/>
        <v>E1_2_1_11_km : 1</v>
      </c>
      <c r="G27" s="6" t="str">
        <f t="shared" si="4"/>
        <v>E1_2_1_11_mRNA : E1_2_1_11_mRNA</v>
      </c>
      <c r="H27" s="28" t="str">
        <f t="shared" si="5"/>
        <v>E1_2_1_11 : E1_2_1_11</v>
      </c>
      <c r="I27" s="29" t="str">
        <f t="shared" si="6"/>
        <v>E1_2_1_11_mRNA : 0</v>
      </c>
      <c r="J27" s="30" t="str">
        <f t="shared" si="7"/>
        <v>E1_2_1_11 : 0</v>
      </c>
      <c r="K27" s="31" t="str">
        <f t="shared" si="8"/>
        <v>0.00292 - (0.0093 * E1_2_1_11_mRNA)</v>
      </c>
      <c r="L27" s="32" t="str">
        <f t="shared" si="9"/>
        <v>(0.278 * E1_2_1_11_mRNA) - (0.00000278 * E1_2_1_11)</v>
      </c>
      <c r="M27" s="7" t="str">
        <f t="shared" si="10"/>
        <v>mRNA26: -&gt; E1_2_1_11_mRNA | 0.00292 - (0.0093 * E1_2_1_11_mRNA)</v>
      </c>
      <c r="N27" s="33" t="str">
        <f t="shared" si="11"/>
        <v>Peptide26: E1_2_1_11_mRNA -&gt; E1_2_1_11 | (0.278 * E1_2_1_11_mRNA) - (0.000000278 * E1_2_1_11)</v>
      </c>
    </row>
    <row r="28" spans="1:14" x14ac:dyDescent="0.35">
      <c r="A28" s="1">
        <v>27</v>
      </c>
      <c r="B28" s="1" t="s">
        <v>9787</v>
      </c>
      <c r="C28" s="1" t="str">
        <f t="shared" si="0"/>
        <v>E1_2_1_12_mRNA</v>
      </c>
      <c r="D28" s="1" t="str">
        <f t="shared" si="1"/>
        <v>E1_2_1_12</v>
      </c>
      <c r="E28" s="26" t="str">
        <f t="shared" si="2"/>
        <v>E1_2_1_12_kcat : 13.7</v>
      </c>
      <c r="F28" s="27" t="str">
        <f t="shared" si="3"/>
        <v>E1_2_1_12_km : 1</v>
      </c>
      <c r="G28" s="6" t="str">
        <f t="shared" si="4"/>
        <v>E1_2_1_12_mRNA : E1_2_1_12_mRNA</v>
      </c>
      <c r="H28" s="28" t="str">
        <f t="shared" si="5"/>
        <v>E1_2_1_12 : E1_2_1_12</v>
      </c>
      <c r="I28" s="29" t="str">
        <f t="shared" si="6"/>
        <v>E1_2_1_12_mRNA : 0</v>
      </c>
      <c r="J28" s="30" t="str">
        <f t="shared" si="7"/>
        <v>E1_2_1_12 : 0</v>
      </c>
      <c r="K28" s="31" t="str">
        <f t="shared" si="8"/>
        <v>0.00292 - (0.0093 * E1_2_1_12_mRNA)</v>
      </c>
      <c r="L28" s="32" t="str">
        <f t="shared" si="9"/>
        <v>(0.278 * E1_2_1_12_mRNA) - (0.00000278 * E1_2_1_12)</v>
      </c>
      <c r="M28" s="7" t="str">
        <f t="shared" si="10"/>
        <v>mRNA27: -&gt; E1_2_1_12_mRNA | 0.00292 - (0.0093 * E1_2_1_12_mRNA)</v>
      </c>
      <c r="N28" s="33" t="str">
        <f t="shared" si="11"/>
        <v>Peptide27: E1_2_1_12_mRNA -&gt; E1_2_1_12 | (0.278 * E1_2_1_12_mRNA) - (0.000000278 * E1_2_1_12)</v>
      </c>
    </row>
    <row r="29" spans="1:14" x14ac:dyDescent="0.35">
      <c r="A29" s="1">
        <v>28</v>
      </c>
      <c r="B29" s="1" t="s">
        <v>9788</v>
      </c>
      <c r="C29" s="1" t="str">
        <f t="shared" si="0"/>
        <v>E1_2_1_38_mRNA</v>
      </c>
      <c r="D29" s="1" t="str">
        <f t="shared" si="1"/>
        <v>E1_2_1_38</v>
      </c>
      <c r="E29" s="26" t="str">
        <f t="shared" si="2"/>
        <v>E1_2_1_38_kcat : 13.7</v>
      </c>
      <c r="F29" s="27" t="str">
        <f t="shared" si="3"/>
        <v>E1_2_1_38_km : 1</v>
      </c>
      <c r="G29" s="6" t="str">
        <f t="shared" si="4"/>
        <v>E1_2_1_38_mRNA : E1_2_1_38_mRNA</v>
      </c>
      <c r="H29" s="28" t="str">
        <f t="shared" si="5"/>
        <v>E1_2_1_38 : E1_2_1_38</v>
      </c>
      <c r="I29" s="29" t="str">
        <f t="shared" si="6"/>
        <v>E1_2_1_38_mRNA : 0</v>
      </c>
      <c r="J29" s="30" t="str">
        <f t="shared" si="7"/>
        <v>E1_2_1_38 : 0</v>
      </c>
      <c r="K29" s="31" t="str">
        <f t="shared" si="8"/>
        <v>0.00292 - (0.0093 * E1_2_1_38_mRNA)</v>
      </c>
      <c r="L29" s="32" t="str">
        <f t="shared" si="9"/>
        <v>(0.278 * E1_2_1_38_mRNA) - (0.00000278 * E1_2_1_38)</v>
      </c>
      <c r="M29" s="7" t="str">
        <f t="shared" si="10"/>
        <v>mRNA28: -&gt; E1_2_1_38_mRNA | 0.00292 - (0.0093 * E1_2_1_38_mRNA)</v>
      </c>
      <c r="N29" s="33" t="str">
        <f t="shared" si="11"/>
        <v>Peptide28: E1_2_1_38_mRNA -&gt; E1_2_1_38 | (0.278 * E1_2_1_38_mRNA) - (0.000000278 * E1_2_1_38)</v>
      </c>
    </row>
    <row r="30" spans="1:14" x14ac:dyDescent="0.35">
      <c r="A30" s="1">
        <v>29</v>
      </c>
      <c r="B30" s="1" t="s">
        <v>9789</v>
      </c>
      <c r="C30" s="1" t="str">
        <f t="shared" si="0"/>
        <v>E1_2_1_41_mRNA</v>
      </c>
      <c r="D30" s="1" t="str">
        <f t="shared" si="1"/>
        <v>E1_2_1_41</v>
      </c>
      <c r="E30" s="26" t="str">
        <f t="shared" si="2"/>
        <v>E1_2_1_41_kcat : 13.7</v>
      </c>
      <c r="F30" s="27" t="str">
        <f t="shared" si="3"/>
        <v>E1_2_1_41_km : 1</v>
      </c>
      <c r="G30" s="6" t="str">
        <f t="shared" si="4"/>
        <v>E1_2_1_41_mRNA : E1_2_1_41_mRNA</v>
      </c>
      <c r="H30" s="28" t="str">
        <f t="shared" si="5"/>
        <v>E1_2_1_41 : E1_2_1_41</v>
      </c>
      <c r="I30" s="29" t="str">
        <f t="shared" si="6"/>
        <v>E1_2_1_41_mRNA : 0</v>
      </c>
      <c r="J30" s="30" t="str">
        <f t="shared" si="7"/>
        <v>E1_2_1_41 : 0</v>
      </c>
      <c r="K30" s="31" t="str">
        <f t="shared" si="8"/>
        <v>0.00292 - (0.0093 * E1_2_1_41_mRNA)</v>
      </c>
      <c r="L30" s="32" t="str">
        <f t="shared" si="9"/>
        <v>(0.278 * E1_2_1_41_mRNA) - (0.00000278 * E1_2_1_41)</v>
      </c>
      <c r="M30" s="7" t="str">
        <f t="shared" si="10"/>
        <v>mRNA29: -&gt; E1_2_1_41_mRNA | 0.00292 - (0.0093 * E1_2_1_41_mRNA)</v>
      </c>
      <c r="N30" s="33" t="str">
        <f t="shared" si="11"/>
        <v>Peptide29: E1_2_1_41_mRNA -&gt; E1_2_1_41 | (0.278 * E1_2_1_41_mRNA) - (0.000000278 * E1_2_1_41)</v>
      </c>
    </row>
    <row r="31" spans="1:14" x14ac:dyDescent="0.35">
      <c r="A31" s="1">
        <v>30</v>
      </c>
      <c r="B31" s="1" t="s">
        <v>9790</v>
      </c>
      <c r="C31" s="1" t="str">
        <f t="shared" si="0"/>
        <v>E1_2_1_9_mRNA</v>
      </c>
      <c r="D31" s="1" t="str">
        <f t="shared" si="1"/>
        <v>E1_2_1_9</v>
      </c>
      <c r="E31" s="26" t="str">
        <f t="shared" si="2"/>
        <v>E1_2_1_9_kcat : 13.7</v>
      </c>
      <c r="F31" s="27" t="str">
        <f t="shared" si="3"/>
        <v>E1_2_1_9_km : 1</v>
      </c>
      <c r="G31" s="6" t="str">
        <f t="shared" si="4"/>
        <v>E1_2_1_9_mRNA : E1_2_1_9_mRNA</v>
      </c>
      <c r="H31" s="28" t="str">
        <f t="shared" si="5"/>
        <v>E1_2_1_9 : E1_2_1_9</v>
      </c>
      <c r="I31" s="29" t="str">
        <f t="shared" si="6"/>
        <v>E1_2_1_9_mRNA : 0</v>
      </c>
      <c r="J31" s="30" t="str">
        <f t="shared" si="7"/>
        <v>E1_2_1_9 : 0</v>
      </c>
      <c r="K31" s="31" t="str">
        <f t="shared" si="8"/>
        <v>0.00292 - (0.0093 * E1_2_1_9_mRNA)</v>
      </c>
      <c r="L31" s="32" t="str">
        <f t="shared" si="9"/>
        <v>(0.278 * E1_2_1_9_mRNA) - (0.00000278 * E1_2_1_9)</v>
      </c>
      <c r="M31" s="7" t="str">
        <f t="shared" si="10"/>
        <v>mRNA30: -&gt; E1_2_1_9_mRNA | 0.00292 - (0.0093 * E1_2_1_9_mRNA)</v>
      </c>
      <c r="N31" s="33" t="str">
        <f t="shared" si="11"/>
        <v>Peptide30: E1_2_1_9_mRNA -&gt; E1_2_1_9 | (0.278 * E1_2_1_9_mRNA) - (0.000000278 * E1_2_1_9)</v>
      </c>
    </row>
    <row r="32" spans="1:14" x14ac:dyDescent="0.35">
      <c r="A32" s="1">
        <v>31</v>
      </c>
      <c r="B32" s="1" t="s">
        <v>9791</v>
      </c>
      <c r="C32" s="1" t="str">
        <f t="shared" si="0"/>
        <v>E1_2_4_1_mRNA</v>
      </c>
      <c r="D32" s="1" t="str">
        <f t="shared" si="1"/>
        <v>E1_2_4_1</v>
      </c>
      <c r="E32" s="26" t="str">
        <f t="shared" si="2"/>
        <v>E1_2_4_1_kcat : 13.7</v>
      </c>
      <c r="F32" s="27" t="str">
        <f t="shared" si="3"/>
        <v>E1_2_4_1_km : 1</v>
      </c>
      <c r="G32" s="6" t="str">
        <f t="shared" si="4"/>
        <v>E1_2_4_1_mRNA : E1_2_4_1_mRNA</v>
      </c>
      <c r="H32" s="28" t="str">
        <f t="shared" si="5"/>
        <v>E1_2_4_1 : E1_2_4_1</v>
      </c>
      <c r="I32" s="29" t="str">
        <f t="shared" si="6"/>
        <v>E1_2_4_1_mRNA : 0</v>
      </c>
      <c r="J32" s="30" t="str">
        <f t="shared" si="7"/>
        <v>E1_2_4_1 : 0</v>
      </c>
      <c r="K32" s="31" t="str">
        <f t="shared" si="8"/>
        <v>0.00292 - (0.0093 * E1_2_4_1_mRNA)</v>
      </c>
      <c r="L32" s="32" t="str">
        <f t="shared" si="9"/>
        <v>(0.278 * E1_2_4_1_mRNA) - (0.00000278 * E1_2_4_1)</v>
      </c>
      <c r="M32" s="7" t="str">
        <f t="shared" si="10"/>
        <v>mRNA31: -&gt; E1_2_4_1_mRNA | 0.00292 - (0.0093 * E1_2_4_1_mRNA)</v>
      </c>
      <c r="N32" s="33" t="str">
        <f t="shared" si="11"/>
        <v>Peptide31: E1_2_4_1_mRNA -&gt; E1_2_4_1 | (0.278 * E1_2_4_1_mRNA) - (0.000000278 * E1_2_4_1)</v>
      </c>
    </row>
    <row r="33" spans="1:14" x14ac:dyDescent="0.35">
      <c r="A33" s="1">
        <v>32</v>
      </c>
      <c r="B33" s="1" t="s">
        <v>9792</v>
      </c>
      <c r="C33" s="1" t="str">
        <f t="shared" si="0"/>
        <v>E1_3_1_12_mRNA</v>
      </c>
      <c r="D33" s="1" t="str">
        <f t="shared" si="1"/>
        <v>E1_3_1_12</v>
      </c>
      <c r="E33" s="26" t="str">
        <f t="shared" si="2"/>
        <v>E1_3_1_12_kcat : 13.7</v>
      </c>
      <c r="F33" s="27" t="str">
        <f t="shared" si="3"/>
        <v>E1_3_1_12_km : 1</v>
      </c>
      <c r="G33" s="6" t="str">
        <f t="shared" si="4"/>
        <v>E1_3_1_12_mRNA : E1_3_1_12_mRNA</v>
      </c>
      <c r="H33" s="28" t="str">
        <f t="shared" si="5"/>
        <v>E1_3_1_12 : E1_3_1_12</v>
      </c>
      <c r="I33" s="29" t="str">
        <f t="shared" si="6"/>
        <v>E1_3_1_12_mRNA : 0</v>
      </c>
      <c r="J33" s="30" t="str">
        <f t="shared" si="7"/>
        <v>E1_3_1_12 : 0</v>
      </c>
      <c r="K33" s="31" t="str">
        <f t="shared" si="8"/>
        <v>0.00292 - (0.0093 * E1_3_1_12_mRNA)</v>
      </c>
      <c r="L33" s="32" t="str">
        <f t="shared" si="9"/>
        <v>(0.278 * E1_3_1_12_mRNA) - (0.00000278 * E1_3_1_12)</v>
      </c>
      <c r="M33" s="7" t="str">
        <f t="shared" si="10"/>
        <v>mRNA32: -&gt; E1_3_1_12_mRNA | 0.00292 - (0.0093 * E1_3_1_12_mRNA)</v>
      </c>
      <c r="N33" s="33" t="str">
        <f t="shared" si="11"/>
        <v>Peptide32: E1_3_1_12_mRNA -&gt; E1_3_1_12 | (0.278 * E1_3_1_12_mRNA) - (0.000000278 * E1_3_1_12)</v>
      </c>
    </row>
    <row r="34" spans="1:14" x14ac:dyDescent="0.35">
      <c r="A34" s="1">
        <v>33</v>
      </c>
      <c r="B34" s="1" t="s">
        <v>9793</v>
      </c>
      <c r="C34" s="1" t="str">
        <f t="shared" si="0"/>
        <v>E1_3_1_9_mRNA</v>
      </c>
      <c r="D34" s="1" t="str">
        <f t="shared" si="1"/>
        <v>E1_3_1_9</v>
      </c>
      <c r="E34" s="26" t="str">
        <f t="shared" si="2"/>
        <v>E1_3_1_9_kcat : 13.7</v>
      </c>
      <c r="F34" s="27" t="str">
        <f t="shared" si="3"/>
        <v>E1_3_1_9_km : 1</v>
      </c>
      <c r="G34" s="6" t="str">
        <f t="shared" si="4"/>
        <v>E1_3_1_9_mRNA : E1_3_1_9_mRNA</v>
      </c>
      <c r="H34" s="28" t="str">
        <f t="shared" si="5"/>
        <v>E1_3_1_9 : E1_3_1_9</v>
      </c>
      <c r="I34" s="29" t="str">
        <f t="shared" si="6"/>
        <v>E1_3_1_9_mRNA : 0</v>
      </c>
      <c r="J34" s="30" t="str">
        <f t="shared" si="7"/>
        <v>E1_3_1_9 : 0</v>
      </c>
      <c r="K34" s="31" t="str">
        <f t="shared" si="8"/>
        <v>0.00292 - (0.0093 * E1_3_1_9_mRNA)</v>
      </c>
      <c r="L34" s="32" t="str">
        <f t="shared" si="9"/>
        <v>(0.278 * E1_3_1_9_mRNA) - (0.00000278 * E1_3_1_9)</v>
      </c>
      <c r="M34" s="7" t="str">
        <f t="shared" si="10"/>
        <v>mRNA33: -&gt; E1_3_1_9_mRNA | 0.00292 - (0.0093 * E1_3_1_9_mRNA)</v>
      </c>
      <c r="N34" s="33" t="str">
        <f t="shared" si="11"/>
        <v>Peptide33: E1_3_1_9_mRNA -&gt; E1_3_1_9 | (0.278 * E1_3_1_9_mRNA) - (0.000000278 * E1_3_1_9)</v>
      </c>
    </row>
    <row r="35" spans="1:14" x14ac:dyDescent="0.35">
      <c r="A35" s="1">
        <v>34</v>
      </c>
      <c r="B35" s="1" t="s">
        <v>9794</v>
      </c>
      <c r="C35" s="1" t="str">
        <f t="shared" si="0"/>
        <v>E1_3_1_98_mRNA</v>
      </c>
      <c r="D35" s="1" t="str">
        <f t="shared" si="1"/>
        <v>E1_3_1_98</v>
      </c>
      <c r="E35" s="26" t="str">
        <f t="shared" si="2"/>
        <v>E1_3_1_98_kcat : 13.7</v>
      </c>
      <c r="F35" s="27" t="str">
        <f t="shared" si="3"/>
        <v>E1_3_1_98_km : 1</v>
      </c>
      <c r="G35" s="6" t="str">
        <f t="shared" si="4"/>
        <v>E1_3_1_98_mRNA : E1_3_1_98_mRNA</v>
      </c>
      <c r="H35" s="28" t="str">
        <f t="shared" si="5"/>
        <v>E1_3_1_98 : E1_3_1_98</v>
      </c>
      <c r="I35" s="29" t="str">
        <f t="shared" si="6"/>
        <v>E1_3_1_98_mRNA : 0</v>
      </c>
      <c r="J35" s="30" t="str">
        <f t="shared" si="7"/>
        <v>E1_3_1_98 : 0</v>
      </c>
      <c r="K35" s="31" t="str">
        <f t="shared" si="8"/>
        <v>0.00292 - (0.0093 * E1_3_1_98_mRNA)</v>
      </c>
      <c r="L35" s="32" t="str">
        <f t="shared" si="9"/>
        <v>(0.278 * E1_3_1_98_mRNA) - (0.00000278 * E1_3_1_98)</v>
      </c>
      <c r="M35" s="7" t="str">
        <f t="shared" si="10"/>
        <v>mRNA34: -&gt; E1_3_1_98_mRNA | 0.00292 - (0.0093 * E1_3_1_98_mRNA)</v>
      </c>
      <c r="N35" s="33" t="str">
        <f t="shared" si="11"/>
        <v>Peptide34: E1_3_1_98_mRNA -&gt; E1_3_1_98 | (0.278 * E1_3_1_98_mRNA) - (0.000000278 * E1_3_1_98)</v>
      </c>
    </row>
    <row r="36" spans="1:14" x14ac:dyDescent="0.35">
      <c r="A36" s="1">
        <v>35</v>
      </c>
      <c r="B36" s="1" t="s">
        <v>9795</v>
      </c>
      <c r="C36" s="1" t="str">
        <f t="shared" si="0"/>
        <v>E1_3_98_1_mRNA</v>
      </c>
      <c r="D36" s="1" t="str">
        <f t="shared" si="1"/>
        <v>E1_3_98_1</v>
      </c>
      <c r="E36" s="26" t="str">
        <f t="shared" si="2"/>
        <v>E1_3_98_1_kcat : 13.7</v>
      </c>
      <c r="F36" s="27" t="str">
        <f t="shared" si="3"/>
        <v>E1_3_98_1_km : 1</v>
      </c>
      <c r="G36" s="6" t="str">
        <f t="shared" si="4"/>
        <v>E1_3_98_1_mRNA : E1_3_98_1_mRNA</v>
      </c>
      <c r="H36" s="28" t="str">
        <f t="shared" si="5"/>
        <v>E1_3_98_1 : E1_3_98_1</v>
      </c>
      <c r="I36" s="29" t="str">
        <f t="shared" si="6"/>
        <v>E1_3_98_1_mRNA : 0</v>
      </c>
      <c r="J36" s="30" t="str">
        <f t="shared" si="7"/>
        <v>E1_3_98_1 : 0</v>
      </c>
      <c r="K36" s="31" t="str">
        <f t="shared" si="8"/>
        <v>0.00292 - (0.0093 * E1_3_98_1_mRNA)</v>
      </c>
      <c r="L36" s="32" t="str">
        <f t="shared" si="9"/>
        <v>(0.278 * E1_3_98_1_mRNA) - (0.00000278 * E1_3_98_1)</v>
      </c>
      <c r="M36" s="7" t="str">
        <f t="shared" si="10"/>
        <v>mRNA35: -&gt; E1_3_98_1_mRNA | 0.00292 - (0.0093 * E1_3_98_1_mRNA)</v>
      </c>
      <c r="N36" s="33" t="str">
        <f t="shared" si="11"/>
        <v>Peptide35: E1_3_98_1_mRNA -&gt; E1_3_98_1 | (0.278 * E1_3_98_1_mRNA) - (0.000000278 * E1_3_98_1)</v>
      </c>
    </row>
    <row r="37" spans="1:14" x14ac:dyDescent="0.35">
      <c r="A37" s="1">
        <v>36</v>
      </c>
      <c r="B37" s="1" t="s">
        <v>9796</v>
      </c>
      <c r="C37" s="1" t="str">
        <f t="shared" si="0"/>
        <v>E1_3_99_3_mRNA</v>
      </c>
      <c r="D37" s="1" t="str">
        <f t="shared" si="1"/>
        <v>E1_3_99_3</v>
      </c>
      <c r="E37" s="26" t="str">
        <f t="shared" si="2"/>
        <v>E1_3_99_3_kcat : 13.7</v>
      </c>
      <c r="F37" s="27" t="str">
        <f t="shared" si="3"/>
        <v>E1_3_99_3_km : 1</v>
      </c>
      <c r="G37" s="6" t="str">
        <f t="shared" si="4"/>
        <v>E1_3_99_3_mRNA : E1_3_99_3_mRNA</v>
      </c>
      <c r="H37" s="28" t="str">
        <f t="shared" si="5"/>
        <v>E1_3_99_3 : E1_3_99_3</v>
      </c>
      <c r="I37" s="29" t="str">
        <f t="shared" si="6"/>
        <v>E1_3_99_3_mRNA : 0</v>
      </c>
      <c r="J37" s="30" t="str">
        <f t="shared" si="7"/>
        <v>E1_3_99_3 : 0</v>
      </c>
      <c r="K37" s="31" t="str">
        <f t="shared" si="8"/>
        <v>0.00292 - (0.0093 * E1_3_99_3_mRNA)</v>
      </c>
      <c r="L37" s="32" t="str">
        <f t="shared" si="9"/>
        <v>(0.278 * E1_3_99_3_mRNA) - (0.00000278 * E1_3_99_3)</v>
      </c>
      <c r="M37" s="7" t="str">
        <f t="shared" si="10"/>
        <v>mRNA36: -&gt; E1_3_99_3_mRNA | 0.00292 - (0.0093 * E1_3_99_3_mRNA)</v>
      </c>
      <c r="N37" s="33" t="str">
        <f t="shared" si="11"/>
        <v>Peptide36: E1_3_99_3_mRNA -&gt; E1_3_99_3 | (0.278 * E1_3_99_3_mRNA) - (0.000000278 * E1_3_99_3)</v>
      </c>
    </row>
    <row r="38" spans="1:14" x14ac:dyDescent="0.35">
      <c r="A38" s="1">
        <v>37</v>
      </c>
      <c r="B38" s="1" t="s">
        <v>9797</v>
      </c>
      <c r="C38" s="1" t="str">
        <f t="shared" si="0"/>
        <v>E1_4_1_1_mRNA</v>
      </c>
      <c r="D38" s="1" t="str">
        <f t="shared" si="1"/>
        <v>E1_4_1_1</v>
      </c>
      <c r="E38" s="26" t="str">
        <f t="shared" si="2"/>
        <v>E1_4_1_1_kcat : 13.7</v>
      </c>
      <c r="F38" s="27" t="str">
        <f t="shared" si="3"/>
        <v>E1_4_1_1_km : 1</v>
      </c>
      <c r="G38" s="6" t="str">
        <f t="shared" si="4"/>
        <v>E1_4_1_1_mRNA : E1_4_1_1_mRNA</v>
      </c>
      <c r="H38" s="28" t="str">
        <f t="shared" si="5"/>
        <v>E1_4_1_1 : E1_4_1_1</v>
      </c>
      <c r="I38" s="29" t="str">
        <f t="shared" si="6"/>
        <v>E1_4_1_1_mRNA : 0</v>
      </c>
      <c r="J38" s="30" t="str">
        <f t="shared" si="7"/>
        <v>E1_4_1_1 : 0</v>
      </c>
      <c r="K38" s="31" t="str">
        <f t="shared" si="8"/>
        <v>0.00292 - (0.0093 * E1_4_1_1_mRNA)</v>
      </c>
      <c r="L38" s="32" t="str">
        <f t="shared" si="9"/>
        <v>(0.278 * E1_4_1_1_mRNA) - (0.00000278 * E1_4_1_1)</v>
      </c>
      <c r="M38" s="7" t="str">
        <f t="shared" si="10"/>
        <v>mRNA37: -&gt; E1_4_1_1_mRNA | 0.00292 - (0.0093 * E1_4_1_1_mRNA)</v>
      </c>
      <c r="N38" s="33" t="str">
        <f t="shared" si="11"/>
        <v>Peptide37: E1_4_1_1_mRNA -&gt; E1_4_1_1 | (0.278 * E1_4_1_1_mRNA) - (0.000000278 * E1_4_1_1)</v>
      </c>
    </row>
    <row r="39" spans="1:14" x14ac:dyDescent="0.35">
      <c r="A39" s="1">
        <v>38</v>
      </c>
      <c r="B39" s="1" t="s">
        <v>9798</v>
      </c>
      <c r="C39" s="1" t="str">
        <f t="shared" si="0"/>
        <v>E1_4_1_4_mRNA</v>
      </c>
      <c r="D39" s="1" t="str">
        <f t="shared" si="1"/>
        <v>E1_4_1_4</v>
      </c>
      <c r="E39" s="26" t="str">
        <f t="shared" si="2"/>
        <v>E1_4_1_4_kcat : 13.7</v>
      </c>
      <c r="F39" s="27" t="str">
        <f t="shared" si="3"/>
        <v>E1_4_1_4_km : 1</v>
      </c>
      <c r="G39" s="6" t="str">
        <f t="shared" si="4"/>
        <v>E1_4_1_4_mRNA : E1_4_1_4_mRNA</v>
      </c>
      <c r="H39" s="28" t="str">
        <f t="shared" si="5"/>
        <v>E1_4_1_4 : E1_4_1_4</v>
      </c>
      <c r="I39" s="29" t="str">
        <f t="shared" si="6"/>
        <v>E1_4_1_4_mRNA : 0</v>
      </c>
      <c r="J39" s="30" t="str">
        <f t="shared" si="7"/>
        <v>E1_4_1_4 : 0</v>
      </c>
      <c r="K39" s="31" t="str">
        <f t="shared" si="8"/>
        <v>0.00292 - (0.0093 * E1_4_1_4_mRNA)</v>
      </c>
      <c r="L39" s="32" t="str">
        <f t="shared" si="9"/>
        <v>(0.278 * E1_4_1_4_mRNA) - (0.00000278 * E1_4_1_4)</v>
      </c>
      <c r="M39" s="7" t="str">
        <f t="shared" si="10"/>
        <v>mRNA38: -&gt; E1_4_1_4_mRNA | 0.00292 - (0.0093 * E1_4_1_4_mRNA)</v>
      </c>
      <c r="N39" s="33" t="str">
        <f t="shared" si="11"/>
        <v>Peptide38: E1_4_1_4_mRNA -&gt; E1_4_1_4 | (0.278 * E1_4_1_4_mRNA) - (0.000000278 * E1_4_1_4)</v>
      </c>
    </row>
    <row r="40" spans="1:14" x14ac:dyDescent="0.35">
      <c r="A40" s="1">
        <v>39</v>
      </c>
      <c r="B40" s="1" t="s">
        <v>9799</v>
      </c>
      <c r="C40" s="1" t="str">
        <f t="shared" si="0"/>
        <v>E1_5_1_2_mRNA</v>
      </c>
      <c r="D40" s="1" t="str">
        <f t="shared" si="1"/>
        <v>E1_5_1_2</v>
      </c>
      <c r="E40" s="26" t="str">
        <f t="shared" si="2"/>
        <v>E1_5_1_2_kcat : 13.7</v>
      </c>
      <c r="F40" s="27" t="str">
        <f t="shared" si="3"/>
        <v>E1_5_1_2_km : 1</v>
      </c>
      <c r="G40" s="6" t="str">
        <f t="shared" si="4"/>
        <v>E1_5_1_2_mRNA : E1_5_1_2_mRNA</v>
      </c>
      <c r="H40" s="28" t="str">
        <f t="shared" si="5"/>
        <v>E1_5_1_2 : E1_5_1_2</v>
      </c>
      <c r="I40" s="29" t="str">
        <f t="shared" si="6"/>
        <v>E1_5_1_2_mRNA : 0</v>
      </c>
      <c r="J40" s="30" t="str">
        <f t="shared" si="7"/>
        <v>E1_5_1_2 : 0</v>
      </c>
      <c r="K40" s="31" t="str">
        <f t="shared" si="8"/>
        <v>0.00292 - (0.0093 * E1_5_1_2_mRNA)</v>
      </c>
      <c r="L40" s="32" t="str">
        <f t="shared" si="9"/>
        <v>(0.278 * E1_5_1_2_mRNA) - (0.00000278 * E1_5_1_2)</v>
      </c>
      <c r="M40" s="7" t="str">
        <f t="shared" si="10"/>
        <v>mRNA39: -&gt; E1_5_1_2_mRNA | 0.00292 - (0.0093 * E1_5_1_2_mRNA)</v>
      </c>
      <c r="N40" s="33" t="str">
        <f t="shared" si="11"/>
        <v>Peptide39: E1_5_1_2_mRNA -&gt; E1_5_1_2 | (0.278 * E1_5_1_2_mRNA) - (0.000000278 * E1_5_1_2)</v>
      </c>
    </row>
    <row r="41" spans="1:14" x14ac:dyDescent="0.35">
      <c r="A41" s="1">
        <v>40</v>
      </c>
      <c r="B41" s="1" t="s">
        <v>9800</v>
      </c>
      <c r="C41" s="1" t="str">
        <f t="shared" si="0"/>
        <v>E1_5_1_20_mRNA</v>
      </c>
      <c r="D41" s="1" t="str">
        <f t="shared" si="1"/>
        <v>E1_5_1_20</v>
      </c>
      <c r="E41" s="26" t="str">
        <f t="shared" si="2"/>
        <v>E1_5_1_20_kcat : 13.7</v>
      </c>
      <c r="F41" s="27" t="str">
        <f t="shared" si="3"/>
        <v>E1_5_1_20_km : 1</v>
      </c>
      <c r="G41" s="6" t="str">
        <f t="shared" si="4"/>
        <v>E1_5_1_20_mRNA : E1_5_1_20_mRNA</v>
      </c>
      <c r="H41" s="28" t="str">
        <f t="shared" si="5"/>
        <v>E1_5_1_20 : E1_5_1_20</v>
      </c>
      <c r="I41" s="29" t="str">
        <f t="shared" si="6"/>
        <v>E1_5_1_20_mRNA : 0</v>
      </c>
      <c r="J41" s="30" t="str">
        <f t="shared" si="7"/>
        <v>E1_5_1_20 : 0</v>
      </c>
      <c r="K41" s="31" t="str">
        <f t="shared" si="8"/>
        <v>0.00292 - (0.0093 * E1_5_1_20_mRNA)</v>
      </c>
      <c r="L41" s="32" t="str">
        <f t="shared" si="9"/>
        <v>(0.278 * E1_5_1_20_mRNA) - (0.00000278 * E1_5_1_20)</v>
      </c>
      <c r="M41" s="7" t="str">
        <f t="shared" si="10"/>
        <v>mRNA40: -&gt; E1_5_1_20_mRNA | 0.00292 - (0.0093 * E1_5_1_20_mRNA)</v>
      </c>
      <c r="N41" s="33" t="str">
        <f t="shared" si="11"/>
        <v>Peptide40: E1_5_1_20_mRNA -&gt; E1_5_1_20 | (0.278 * E1_5_1_20_mRNA) - (0.000000278 * E1_5_1_20)</v>
      </c>
    </row>
    <row r="42" spans="1:14" x14ac:dyDescent="0.35">
      <c r="A42" s="1">
        <v>41</v>
      </c>
      <c r="B42" s="1" t="s">
        <v>9801</v>
      </c>
      <c r="C42" s="1" t="str">
        <f t="shared" si="0"/>
        <v>E1_5_1_3_mRNA</v>
      </c>
      <c r="D42" s="1" t="str">
        <f t="shared" si="1"/>
        <v>E1_5_1_3</v>
      </c>
      <c r="E42" s="26" t="str">
        <f t="shared" si="2"/>
        <v>E1_5_1_3_kcat : 13.7</v>
      </c>
      <c r="F42" s="27" t="str">
        <f t="shared" si="3"/>
        <v>E1_5_1_3_km : 1</v>
      </c>
      <c r="G42" s="6" t="str">
        <f t="shared" si="4"/>
        <v>E1_5_1_3_mRNA : E1_5_1_3_mRNA</v>
      </c>
      <c r="H42" s="28" t="str">
        <f t="shared" si="5"/>
        <v>E1_5_1_3 : E1_5_1_3</v>
      </c>
      <c r="I42" s="29" t="str">
        <f t="shared" si="6"/>
        <v>E1_5_1_3_mRNA : 0</v>
      </c>
      <c r="J42" s="30" t="str">
        <f t="shared" si="7"/>
        <v>E1_5_1_3 : 0</v>
      </c>
      <c r="K42" s="31" t="str">
        <f t="shared" si="8"/>
        <v>0.00292 - (0.0093 * E1_5_1_3_mRNA)</v>
      </c>
      <c r="L42" s="32" t="str">
        <f t="shared" si="9"/>
        <v>(0.278 * E1_5_1_3_mRNA) - (0.00000278 * E1_5_1_3)</v>
      </c>
      <c r="M42" s="7" t="str">
        <f t="shared" si="10"/>
        <v>mRNA41: -&gt; E1_5_1_3_mRNA | 0.00292 - (0.0093 * E1_5_1_3_mRNA)</v>
      </c>
      <c r="N42" s="33" t="str">
        <f t="shared" si="11"/>
        <v>Peptide41: E1_5_1_3_mRNA -&gt; E1_5_1_3 | (0.278 * E1_5_1_3_mRNA) - (0.000000278 * E1_5_1_3)</v>
      </c>
    </row>
    <row r="43" spans="1:14" x14ac:dyDescent="0.35">
      <c r="A43" s="1">
        <v>42</v>
      </c>
      <c r="B43" s="1" t="s">
        <v>9802</v>
      </c>
      <c r="C43" s="1" t="str">
        <f t="shared" si="0"/>
        <v>E1_6_99_3_mRNA</v>
      </c>
      <c r="D43" s="1" t="str">
        <f t="shared" si="1"/>
        <v>E1_6_99_3</v>
      </c>
      <c r="E43" s="26" t="str">
        <f t="shared" si="2"/>
        <v>E1_6_99_3_kcat : 13.7</v>
      </c>
      <c r="F43" s="27" t="str">
        <f t="shared" si="3"/>
        <v>E1_6_99_3_km : 1</v>
      </c>
      <c r="G43" s="6" t="str">
        <f t="shared" si="4"/>
        <v>E1_6_99_3_mRNA : E1_6_99_3_mRNA</v>
      </c>
      <c r="H43" s="28" t="str">
        <f t="shared" si="5"/>
        <v>E1_6_99_3 : E1_6_99_3</v>
      </c>
      <c r="I43" s="29" t="str">
        <f t="shared" si="6"/>
        <v>E1_6_99_3_mRNA : 0</v>
      </c>
      <c r="J43" s="30" t="str">
        <f t="shared" si="7"/>
        <v>E1_6_99_3 : 0</v>
      </c>
      <c r="K43" s="31" t="str">
        <f t="shared" si="8"/>
        <v>0.00292 - (0.0093 * E1_6_99_3_mRNA)</v>
      </c>
      <c r="L43" s="32" t="str">
        <f t="shared" si="9"/>
        <v>(0.278 * E1_6_99_3_mRNA) - (0.00000278 * E1_6_99_3)</v>
      </c>
      <c r="M43" s="7" t="str">
        <f t="shared" si="10"/>
        <v>mRNA42: -&gt; E1_6_99_3_mRNA | 0.00292 - (0.0093 * E1_6_99_3_mRNA)</v>
      </c>
      <c r="N43" s="33" t="str">
        <f t="shared" si="11"/>
        <v>Peptide42: E1_6_99_3_mRNA -&gt; E1_6_99_3 | (0.278 * E1_6_99_3_mRNA) - (0.000000278 * E1_6_99_3)</v>
      </c>
    </row>
    <row r="44" spans="1:14" x14ac:dyDescent="0.35">
      <c r="A44" s="1">
        <v>43</v>
      </c>
      <c r="B44" s="1" t="s">
        <v>9803</v>
      </c>
      <c r="C44" s="1" t="str">
        <f t="shared" si="0"/>
        <v>E1_7_1_13_mRNA</v>
      </c>
      <c r="D44" s="1" t="str">
        <f t="shared" si="1"/>
        <v>E1_7_1_13</v>
      </c>
      <c r="E44" s="26" t="str">
        <f t="shared" si="2"/>
        <v>E1_7_1_13_kcat : 13.7</v>
      </c>
      <c r="F44" s="27" t="str">
        <f t="shared" si="3"/>
        <v>E1_7_1_13_km : 1</v>
      </c>
      <c r="G44" s="6" t="str">
        <f t="shared" si="4"/>
        <v>E1_7_1_13_mRNA : E1_7_1_13_mRNA</v>
      </c>
      <c r="H44" s="28" t="str">
        <f t="shared" si="5"/>
        <v>E1_7_1_13 : E1_7_1_13</v>
      </c>
      <c r="I44" s="29" t="str">
        <f t="shared" si="6"/>
        <v>E1_7_1_13_mRNA : 0</v>
      </c>
      <c r="J44" s="30" t="str">
        <f t="shared" si="7"/>
        <v>E1_7_1_13 : 0</v>
      </c>
      <c r="K44" s="31" t="str">
        <f t="shared" si="8"/>
        <v>0.00292 - (0.0093 * E1_7_1_13_mRNA)</v>
      </c>
      <c r="L44" s="32" t="str">
        <f t="shared" si="9"/>
        <v>(0.278 * E1_7_1_13_mRNA) - (0.00000278 * E1_7_1_13)</v>
      </c>
      <c r="M44" s="7" t="str">
        <f t="shared" si="10"/>
        <v>mRNA43: -&gt; E1_7_1_13_mRNA | 0.00292 - (0.0093 * E1_7_1_13_mRNA)</v>
      </c>
      <c r="N44" s="33" t="str">
        <f t="shared" si="11"/>
        <v>Peptide43: E1_7_1_13_mRNA -&gt; E1_7_1_13 | (0.278 * E1_7_1_13_mRNA) - (0.000000278 * E1_7_1_13)</v>
      </c>
    </row>
    <row r="45" spans="1:14" x14ac:dyDescent="0.35">
      <c r="A45" s="1">
        <v>44</v>
      </c>
      <c r="B45" s="1" t="s">
        <v>9804</v>
      </c>
      <c r="C45" s="1" t="str">
        <f t="shared" si="0"/>
        <v>E1_8_1_4_mRNA</v>
      </c>
      <c r="D45" s="1" t="str">
        <f t="shared" si="1"/>
        <v>E1_8_1_4</v>
      </c>
      <c r="E45" s="26" t="str">
        <f t="shared" si="2"/>
        <v>E1_8_1_4_kcat : 13.7</v>
      </c>
      <c r="F45" s="27" t="str">
        <f t="shared" si="3"/>
        <v>E1_8_1_4_km : 1</v>
      </c>
      <c r="G45" s="6" t="str">
        <f t="shared" si="4"/>
        <v>E1_8_1_4_mRNA : E1_8_1_4_mRNA</v>
      </c>
      <c r="H45" s="28" t="str">
        <f t="shared" si="5"/>
        <v>E1_8_1_4 : E1_8_1_4</v>
      </c>
      <c r="I45" s="29" t="str">
        <f t="shared" si="6"/>
        <v>E1_8_1_4_mRNA : 0</v>
      </c>
      <c r="J45" s="30" t="str">
        <f t="shared" si="7"/>
        <v>E1_8_1_4 : 0</v>
      </c>
      <c r="K45" s="31" t="str">
        <f t="shared" si="8"/>
        <v>0.00292 - (0.0093 * E1_8_1_4_mRNA)</v>
      </c>
      <c r="L45" s="32" t="str">
        <f t="shared" si="9"/>
        <v>(0.278 * E1_8_1_4_mRNA) - (0.00000278 * E1_8_1_4)</v>
      </c>
      <c r="M45" s="7" t="str">
        <f t="shared" si="10"/>
        <v>mRNA44: -&gt; E1_8_1_4_mRNA | 0.00292 - (0.0093 * E1_8_1_4_mRNA)</v>
      </c>
      <c r="N45" s="33" t="str">
        <f t="shared" si="11"/>
        <v>Peptide44: E1_8_1_4_mRNA -&gt; E1_8_1_4 | (0.278 * E1_8_1_4_mRNA) - (0.000000278 * E1_8_1_4)</v>
      </c>
    </row>
    <row r="46" spans="1:14" x14ac:dyDescent="0.35">
      <c r="A46" s="1">
        <v>45</v>
      </c>
      <c r="B46" s="1" t="s">
        <v>9805</v>
      </c>
      <c r="C46" s="1" t="str">
        <f t="shared" si="0"/>
        <v>E1_8_1_7_mRNA</v>
      </c>
      <c r="D46" s="1" t="str">
        <f t="shared" si="1"/>
        <v>E1_8_1_7</v>
      </c>
      <c r="E46" s="26" t="str">
        <f t="shared" si="2"/>
        <v>E1_8_1_7_kcat : 13.7</v>
      </c>
      <c r="F46" s="27" t="str">
        <f t="shared" si="3"/>
        <v>E1_8_1_7_km : 1</v>
      </c>
      <c r="G46" s="6" t="str">
        <f t="shared" si="4"/>
        <v>E1_8_1_7_mRNA : E1_8_1_7_mRNA</v>
      </c>
      <c r="H46" s="28" t="str">
        <f t="shared" si="5"/>
        <v>E1_8_1_7 : E1_8_1_7</v>
      </c>
      <c r="I46" s="29" t="str">
        <f t="shared" si="6"/>
        <v>E1_8_1_7_mRNA : 0</v>
      </c>
      <c r="J46" s="30" t="str">
        <f t="shared" si="7"/>
        <v>E1_8_1_7 : 0</v>
      </c>
      <c r="K46" s="31" t="str">
        <f t="shared" si="8"/>
        <v>0.00292 - (0.0093 * E1_8_1_7_mRNA)</v>
      </c>
      <c r="L46" s="32" t="str">
        <f t="shared" si="9"/>
        <v>(0.278 * E1_8_1_7_mRNA) - (0.00000278 * E1_8_1_7)</v>
      </c>
      <c r="M46" s="7" t="str">
        <f t="shared" si="10"/>
        <v>mRNA45: -&gt; E1_8_1_7_mRNA | 0.00292 - (0.0093 * E1_8_1_7_mRNA)</v>
      </c>
      <c r="N46" s="33" t="str">
        <f t="shared" si="11"/>
        <v>Peptide45: E1_8_1_7_mRNA -&gt; E1_8_1_7 | (0.278 * E1_8_1_7_mRNA) - (0.000000278 * E1_8_1_7)</v>
      </c>
    </row>
    <row r="47" spans="1:14" x14ac:dyDescent="0.35">
      <c r="A47" s="1">
        <v>46</v>
      </c>
      <c r="B47" s="1" t="s">
        <v>9806</v>
      </c>
      <c r="C47" s="1" t="str">
        <f t="shared" si="0"/>
        <v>E1_8_1_9_mRNA</v>
      </c>
      <c r="D47" s="1" t="str">
        <f t="shared" si="1"/>
        <v>E1_8_1_9</v>
      </c>
      <c r="E47" s="26" t="str">
        <f t="shared" si="2"/>
        <v>E1_8_1_9_kcat : 13.7</v>
      </c>
      <c r="F47" s="27" t="str">
        <f t="shared" si="3"/>
        <v>E1_8_1_9_km : 1</v>
      </c>
      <c r="G47" s="6" t="str">
        <f t="shared" si="4"/>
        <v>E1_8_1_9_mRNA : E1_8_1_9_mRNA</v>
      </c>
      <c r="H47" s="28" t="str">
        <f t="shared" si="5"/>
        <v>E1_8_1_9 : E1_8_1_9</v>
      </c>
      <c r="I47" s="29" t="str">
        <f t="shared" si="6"/>
        <v>E1_8_1_9_mRNA : 0</v>
      </c>
      <c r="J47" s="30" t="str">
        <f t="shared" si="7"/>
        <v>E1_8_1_9 : 0</v>
      </c>
      <c r="K47" s="31" t="str">
        <f t="shared" si="8"/>
        <v>0.00292 - (0.0093 * E1_8_1_9_mRNA)</v>
      </c>
      <c r="L47" s="32" t="str">
        <f t="shared" si="9"/>
        <v>(0.278 * E1_8_1_9_mRNA) - (0.00000278 * E1_8_1_9)</v>
      </c>
      <c r="M47" s="7" t="str">
        <f t="shared" si="10"/>
        <v>mRNA46: -&gt; E1_8_1_9_mRNA | 0.00292 - (0.0093 * E1_8_1_9_mRNA)</v>
      </c>
      <c r="N47" s="33" t="str">
        <f t="shared" si="11"/>
        <v>Peptide46: E1_8_1_9_mRNA -&gt; E1_8_1_9 | (0.278 * E1_8_1_9_mRNA) - (0.000000278 * E1_8_1_9)</v>
      </c>
    </row>
    <row r="48" spans="1:14" x14ac:dyDescent="0.35">
      <c r="A48" s="1">
        <v>47</v>
      </c>
      <c r="B48" s="1" t="s">
        <v>9807</v>
      </c>
      <c r="C48" s="1" t="str">
        <f t="shared" si="0"/>
        <v>E1_8_4_12_mRNA</v>
      </c>
      <c r="D48" s="1" t="str">
        <f t="shared" si="1"/>
        <v>E1_8_4_12</v>
      </c>
      <c r="E48" s="26" t="str">
        <f t="shared" si="2"/>
        <v>E1_8_4_12_kcat : 13.7</v>
      </c>
      <c r="F48" s="27" t="str">
        <f t="shared" si="3"/>
        <v>E1_8_4_12_km : 1</v>
      </c>
      <c r="G48" s="6" t="str">
        <f t="shared" si="4"/>
        <v>E1_8_4_12_mRNA : E1_8_4_12_mRNA</v>
      </c>
      <c r="H48" s="28" t="str">
        <f t="shared" si="5"/>
        <v>E1_8_4_12 : E1_8_4_12</v>
      </c>
      <c r="I48" s="29" t="str">
        <f t="shared" si="6"/>
        <v>E1_8_4_12_mRNA : 0</v>
      </c>
      <c r="J48" s="30" t="str">
        <f t="shared" si="7"/>
        <v>E1_8_4_12 : 0</v>
      </c>
      <c r="K48" s="31" t="str">
        <f t="shared" si="8"/>
        <v>0.00292 - (0.0093 * E1_8_4_12_mRNA)</v>
      </c>
      <c r="L48" s="32" t="str">
        <f t="shared" si="9"/>
        <v>(0.278 * E1_8_4_12_mRNA) - (0.00000278 * E1_8_4_12)</v>
      </c>
      <c r="M48" s="7" t="str">
        <f t="shared" si="10"/>
        <v>mRNA47: -&gt; E1_8_4_12_mRNA | 0.00292 - (0.0093 * E1_8_4_12_mRNA)</v>
      </c>
      <c r="N48" s="33" t="str">
        <f t="shared" si="11"/>
        <v>Peptide47: E1_8_4_12_mRNA -&gt; E1_8_4_12 | (0.278 * E1_8_4_12_mRNA) - (0.000000278 * E1_8_4_12)</v>
      </c>
    </row>
    <row r="49" spans="1:14" x14ac:dyDescent="0.35">
      <c r="A49" s="1">
        <v>48</v>
      </c>
      <c r="B49" s="1" t="s">
        <v>9808</v>
      </c>
      <c r="C49" s="1" t="str">
        <f t="shared" si="0"/>
        <v>E1_97_1_4_mRNA</v>
      </c>
      <c r="D49" s="1" t="str">
        <f t="shared" si="1"/>
        <v>E1_97_1_4</v>
      </c>
      <c r="E49" s="26" t="str">
        <f t="shared" si="2"/>
        <v>E1_97_1_4_kcat : 13.7</v>
      </c>
      <c r="F49" s="27" t="str">
        <f t="shared" si="3"/>
        <v>E1_97_1_4_km : 1</v>
      </c>
      <c r="G49" s="6" t="str">
        <f t="shared" si="4"/>
        <v>E1_97_1_4_mRNA : E1_97_1_4_mRNA</v>
      </c>
      <c r="H49" s="28" t="str">
        <f t="shared" si="5"/>
        <v>E1_97_1_4 : E1_97_1_4</v>
      </c>
      <c r="I49" s="29" t="str">
        <f t="shared" si="6"/>
        <v>E1_97_1_4_mRNA : 0</v>
      </c>
      <c r="J49" s="30" t="str">
        <f t="shared" si="7"/>
        <v>E1_97_1_4 : 0</v>
      </c>
      <c r="K49" s="31" t="str">
        <f t="shared" si="8"/>
        <v>0.00292 - (0.0093 * E1_97_1_4_mRNA)</v>
      </c>
      <c r="L49" s="32" t="str">
        <f t="shared" si="9"/>
        <v>(0.278 * E1_97_1_4_mRNA) - (0.00000278 * E1_97_1_4)</v>
      </c>
      <c r="M49" s="7" t="str">
        <f t="shared" si="10"/>
        <v>mRNA48: -&gt; E1_97_1_4_mRNA | 0.00292 - (0.0093 * E1_97_1_4_mRNA)</v>
      </c>
      <c r="N49" s="33" t="str">
        <f t="shared" si="11"/>
        <v>Peptide48: E1_97_1_4_mRNA -&gt; E1_97_1_4 | (0.278 * E1_97_1_4_mRNA) - (0.000000278 * E1_97_1_4)</v>
      </c>
    </row>
    <row r="50" spans="1:14" x14ac:dyDescent="0.35">
      <c r="A50" s="1">
        <v>49</v>
      </c>
      <c r="B50" s="1" t="s">
        <v>9809</v>
      </c>
      <c r="C50" s="1" t="str">
        <f t="shared" si="0"/>
        <v>E2_1_1_10_mRNA</v>
      </c>
      <c r="D50" s="1" t="str">
        <f t="shared" si="1"/>
        <v>E2_1_1_10</v>
      </c>
      <c r="E50" s="26" t="str">
        <f t="shared" si="2"/>
        <v>E2_1_1_10_kcat : 13.7</v>
      </c>
      <c r="F50" s="27" t="str">
        <f t="shared" si="3"/>
        <v>E2_1_1_10_km : 1</v>
      </c>
      <c r="G50" s="6" t="str">
        <f t="shared" si="4"/>
        <v>E2_1_1_10_mRNA : E2_1_1_10_mRNA</v>
      </c>
      <c r="H50" s="28" t="str">
        <f t="shared" si="5"/>
        <v>E2_1_1_10 : E2_1_1_10</v>
      </c>
      <c r="I50" s="29" t="str">
        <f t="shared" si="6"/>
        <v>E2_1_1_10_mRNA : 0</v>
      </c>
      <c r="J50" s="30" t="str">
        <f t="shared" si="7"/>
        <v>E2_1_1_10 : 0</v>
      </c>
      <c r="K50" s="31" t="str">
        <f t="shared" si="8"/>
        <v>0.00292 - (0.0093 * E2_1_1_10_mRNA)</v>
      </c>
      <c r="L50" s="32" t="str">
        <f t="shared" si="9"/>
        <v>(0.278 * E2_1_1_10_mRNA) - (0.00000278 * E2_1_1_10)</v>
      </c>
      <c r="M50" s="7" t="str">
        <f t="shared" si="10"/>
        <v>mRNA49: -&gt; E2_1_1_10_mRNA | 0.00292 - (0.0093 * E2_1_1_10_mRNA)</v>
      </c>
      <c r="N50" s="33" t="str">
        <f t="shared" si="11"/>
        <v>Peptide49: E2_1_1_10_mRNA -&gt; E2_1_1_10 | (0.278 * E2_1_1_10_mRNA) - (0.000000278 * E2_1_1_10)</v>
      </c>
    </row>
    <row r="51" spans="1:14" x14ac:dyDescent="0.35">
      <c r="A51" s="1">
        <v>50</v>
      </c>
      <c r="B51" s="1" t="s">
        <v>9810</v>
      </c>
      <c r="C51" s="1" t="str">
        <f t="shared" si="0"/>
        <v>E2_1_1_104_mRNA</v>
      </c>
      <c r="D51" s="1" t="str">
        <f t="shared" si="1"/>
        <v>E2_1_1_104</v>
      </c>
      <c r="E51" s="26" t="str">
        <f t="shared" si="2"/>
        <v>E2_1_1_104_kcat : 13.7</v>
      </c>
      <c r="F51" s="27" t="str">
        <f t="shared" si="3"/>
        <v>E2_1_1_104_km : 1</v>
      </c>
      <c r="G51" s="6" t="str">
        <f t="shared" si="4"/>
        <v>E2_1_1_104_mRNA : E2_1_1_104_mRNA</v>
      </c>
      <c r="H51" s="28" t="str">
        <f t="shared" si="5"/>
        <v>E2_1_1_104 : E2_1_1_104</v>
      </c>
      <c r="I51" s="29" t="str">
        <f t="shared" si="6"/>
        <v>E2_1_1_104_mRNA : 0</v>
      </c>
      <c r="J51" s="30" t="str">
        <f t="shared" si="7"/>
        <v>E2_1_1_104 : 0</v>
      </c>
      <c r="K51" s="31" t="str">
        <f t="shared" si="8"/>
        <v>0.00292 - (0.0093 * E2_1_1_104_mRNA)</v>
      </c>
      <c r="L51" s="32" t="str">
        <f t="shared" si="9"/>
        <v>(0.278 * E2_1_1_104_mRNA) - (0.00000278 * E2_1_1_104)</v>
      </c>
      <c r="M51" s="7" t="str">
        <f t="shared" si="10"/>
        <v>mRNA50: -&gt; E2_1_1_104_mRNA | 0.00292 - (0.0093 * E2_1_1_104_mRNA)</v>
      </c>
      <c r="N51" s="33" t="str">
        <f t="shared" si="11"/>
        <v>Peptide50: E2_1_1_104_mRNA -&gt; E2_1_1_104 | (0.278 * E2_1_1_104_mRNA) - (0.000000278 * E2_1_1_104)</v>
      </c>
    </row>
    <row r="52" spans="1:14" x14ac:dyDescent="0.35">
      <c r="A52" s="1">
        <v>51</v>
      </c>
      <c r="B52" s="1" t="s">
        <v>9811</v>
      </c>
      <c r="C52" s="1" t="str">
        <f t="shared" si="0"/>
        <v>E2_1_1_14_mRNA</v>
      </c>
      <c r="D52" s="1" t="str">
        <f t="shared" si="1"/>
        <v>E2_1_1_14</v>
      </c>
      <c r="E52" s="26" t="str">
        <f t="shared" si="2"/>
        <v>E2_1_1_14_kcat : 13.7</v>
      </c>
      <c r="F52" s="27" t="str">
        <f t="shared" si="3"/>
        <v>E2_1_1_14_km : 1</v>
      </c>
      <c r="G52" s="6" t="str">
        <f t="shared" si="4"/>
        <v>E2_1_1_14_mRNA : E2_1_1_14_mRNA</v>
      </c>
      <c r="H52" s="28" t="str">
        <f t="shared" si="5"/>
        <v>E2_1_1_14 : E2_1_1_14</v>
      </c>
      <c r="I52" s="29" t="str">
        <f t="shared" si="6"/>
        <v>E2_1_1_14_mRNA : 0</v>
      </c>
      <c r="J52" s="30" t="str">
        <f t="shared" si="7"/>
        <v>E2_1_1_14 : 0</v>
      </c>
      <c r="K52" s="31" t="str">
        <f t="shared" si="8"/>
        <v>0.00292 - (0.0093 * E2_1_1_14_mRNA)</v>
      </c>
      <c r="L52" s="32" t="str">
        <f t="shared" si="9"/>
        <v>(0.278 * E2_1_1_14_mRNA) - (0.00000278 * E2_1_1_14)</v>
      </c>
      <c r="M52" s="7" t="str">
        <f t="shared" si="10"/>
        <v>mRNA51: -&gt; E2_1_1_14_mRNA | 0.00292 - (0.0093 * E2_1_1_14_mRNA)</v>
      </c>
      <c r="N52" s="33" t="str">
        <f t="shared" si="11"/>
        <v>Peptide51: E2_1_1_14_mRNA -&gt; E2_1_1_14 | (0.278 * E2_1_1_14_mRNA) - (0.000000278 * E2_1_1_14)</v>
      </c>
    </row>
    <row r="53" spans="1:14" x14ac:dyDescent="0.35">
      <c r="A53" s="1">
        <v>52</v>
      </c>
      <c r="B53" s="1" t="s">
        <v>9812</v>
      </c>
      <c r="C53" s="1" t="str">
        <f t="shared" si="0"/>
        <v>E2_1_1_171_mRNA</v>
      </c>
      <c r="D53" s="1" t="str">
        <f t="shared" si="1"/>
        <v>E2_1_1_171</v>
      </c>
      <c r="E53" s="26" t="str">
        <f t="shared" si="2"/>
        <v>E2_1_1_171_kcat : 13.7</v>
      </c>
      <c r="F53" s="27" t="str">
        <f t="shared" si="3"/>
        <v>E2_1_1_171_km : 1</v>
      </c>
      <c r="G53" s="6" t="str">
        <f t="shared" si="4"/>
        <v>E2_1_1_171_mRNA : E2_1_1_171_mRNA</v>
      </c>
      <c r="H53" s="28" t="str">
        <f t="shared" si="5"/>
        <v>E2_1_1_171 : E2_1_1_171</v>
      </c>
      <c r="I53" s="29" t="str">
        <f t="shared" si="6"/>
        <v>E2_1_1_171_mRNA : 0</v>
      </c>
      <c r="J53" s="30" t="str">
        <f t="shared" si="7"/>
        <v>E2_1_1_171 : 0</v>
      </c>
      <c r="K53" s="31" t="str">
        <f t="shared" si="8"/>
        <v>0.00292 - (0.0093 * E2_1_1_171_mRNA)</v>
      </c>
      <c r="L53" s="32" t="str">
        <f t="shared" si="9"/>
        <v>(0.278 * E2_1_1_171_mRNA) - (0.00000278 * E2_1_1_171)</v>
      </c>
      <c r="M53" s="7" t="str">
        <f t="shared" si="10"/>
        <v>mRNA52: -&gt; E2_1_1_171_mRNA | 0.00292 - (0.0093 * E2_1_1_171_mRNA)</v>
      </c>
      <c r="N53" s="33" t="str">
        <f t="shared" si="11"/>
        <v>Peptide52: E2_1_1_171_mRNA -&gt; E2_1_1_171 | (0.278 * E2_1_1_171_mRNA) - (0.000000278 * E2_1_1_171)</v>
      </c>
    </row>
    <row r="54" spans="1:14" x14ac:dyDescent="0.35">
      <c r="A54" s="1">
        <v>53</v>
      </c>
      <c r="B54" s="1" t="s">
        <v>9813</v>
      </c>
      <c r="C54" s="1" t="str">
        <f t="shared" si="0"/>
        <v>E2_1_1_31_mRNA</v>
      </c>
      <c r="D54" s="1" t="str">
        <f t="shared" si="1"/>
        <v>E2_1_1_31</v>
      </c>
      <c r="E54" s="26" t="str">
        <f t="shared" si="2"/>
        <v>E2_1_1_31_kcat : 13.7</v>
      </c>
      <c r="F54" s="27" t="str">
        <f t="shared" si="3"/>
        <v>E2_1_1_31_km : 1</v>
      </c>
      <c r="G54" s="6" t="str">
        <f t="shared" si="4"/>
        <v>E2_1_1_31_mRNA : E2_1_1_31_mRNA</v>
      </c>
      <c r="H54" s="28" t="str">
        <f t="shared" si="5"/>
        <v>E2_1_1_31 : E2_1_1_31</v>
      </c>
      <c r="I54" s="29" t="str">
        <f t="shared" si="6"/>
        <v>E2_1_1_31_mRNA : 0</v>
      </c>
      <c r="J54" s="30" t="str">
        <f t="shared" si="7"/>
        <v>E2_1_1_31 : 0</v>
      </c>
      <c r="K54" s="31" t="str">
        <f t="shared" si="8"/>
        <v>0.00292 - (0.0093 * E2_1_1_31_mRNA)</v>
      </c>
      <c r="L54" s="32" t="str">
        <f t="shared" si="9"/>
        <v>(0.278 * E2_1_1_31_mRNA) - (0.00000278 * E2_1_1_31)</v>
      </c>
      <c r="M54" s="7" t="str">
        <f t="shared" si="10"/>
        <v>mRNA53: -&gt; E2_1_1_31_mRNA | 0.00292 - (0.0093 * E2_1_1_31_mRNA)</v>
      </c>
      <c r="N54" s="33" t="str">
        <f t="shared" si="11"/>
        <v>Peptide53: E2_1_1_31_mRNA -&gt; E2_1_1_31 | (0.278 * E2_1_1_31_mRNA) - (0.000000278 * E2_1_1_31)</v>
      </c>
    </row>
    <row r="55" spans="1:14" x14ac:dyDescent="0.35">
      <c r="A55" s="1">
        <v>54</v>
      </c>
      <c r="B55" s="1" t="s">
        <v>9814</v>
      </c>
      <c r="C55" s="1" t="str">
        <f t="shared" si="0"/>
        <v>E2_1_1_33_mRNA</v>
      </c>
      <c r="D55" s="1" t="str">
        <f t="shared" si="1"/>
        <v>E2_1_1_33</v>
      </c>
      <c r="E55" s="26" t="str">
        <f t="shared" si="2"/>
        <v>E2_1_1_33_kcat : 13.7</v>
      </c>
      <c r="F55" s="27" t="str">
        <f t="shared" si="3"/>
        <v>E2_1_1_33_km : 1</v>
      </c>
      <c r="G55" s="6" t="str">
        <f t="shared" si="4"/>
        <v>E2_1_1_33_mRNA : E2_1_1_33_mRNA</v>
      </c>
      <c r="H55" s="28" t="str">
        <f t="shared" si="5"/>
        <v>E2_1_1_33 : E2_1_1_33</v>
      </c>
      <c r="I55" s="29" t="str">
        <f t="shared" si="6"/>
        <v>E2_1_1_33_mRNA : 0</v>
      </c>
      <c r="J55" s="30" t="str">
        <f t="shared" si="7"/>
        <v>E2_1_1_33 : 0</v>
      </c>
      <c r="K55" s="31" t="str">
        <f t="shared" si="8"/>
        <v>0.00292 - (0.0093 * E2_1_1_33_mRNA)</v>
      </c>
      <c r="L55" s="32" t="str">
        <f t="shared" si="9"/>
        <v>(0.278 * E2_1_1_33_mRNA) - (0.00000278 * E2_1_1_33)</v>
      </c>
      <c r="M55" s="7" t="str">
        <f t="shared" si="10"/>
        <v>mRNA54: -&gt; E2_1_1_33_mRNA | 0.00292 - (0.0093 * E2_1_1_33_mRNA)</v>
      </c>
      <c r="N55" s="33" t="str">
        <f t="shared" si="11"/>
        <v>Peptide54: E2_1_1_33_mRNA -&gt; E2_1_1_33 | (0.278 * E2_1_1_33_mRNA) - (0.000000278 * E2_1_1_33)</v>
      </c>
    </row>
    <row r="56" spans="1:14" x14ac:dyDescent="0.35">
      <c r="A56" s="1">
        <v>55</v>
      </c>
      <c r="B56" s="1" t="s">
        <v>9815</v>
      </c>
      <c r="C56" s="1" t="str">
        <f t="shared" si="0"/>
        <v>E2_1_1_45_mRNA</v>
      </c>
      <c r="D56" s="1" t="str">
        <f t="shared" si="1"/>
        <v>E2_1_1_45</v>
      </c>
      <c r="E56" s="26" t="str">
        <f t="shared" si="2"/>
        <v>E2_1_1_45_kcat : 13.7</v>
      </c>
      <c r="F56" s="27" t="str">
        <f t="shared" si="3"/>
        <v>E2_1_1_45_km : 1</v>
      </c>
      <c r="G56" s="6" t="str">
        <f t="shared" si="4"/>
        <v>E2_1_1_45_mRNA : E2_1_1_45_mRNA</v>
      </c>
      <c r="H56" s="28" t="str">
        <f t="shared" si="5"/>
        <v>E2_1_1_45 : E2_1_1_45</v>
      </c>
      <c r="I56" s="29" t="str">
        <f t="shared" si="6"/>
        <v>E2_1_1_45_mRNA : 0</v>
      </c>
      <c r="J56" s="30" t="str">
        <f t="shared" si="7"/>
        <v>E2_1_1_45 : 0</v>
      </c>
      <c r="K56" s="31" t="str">
        <f t="shared" si="8"/>
        <v>0.00292 - (0.0093 * E2_1_1_45_mRNA)</v>
      </c>
      <c r="L56" s="32" t="str">
        <f t="shared" si="9"/>
        <v>(0.278 * E2_1_1_45_mRNA) - (0.00000278 * E2_1_1_45)</v>
      </c>
      <c r="M56" s="7" t="str">
        <f t="shared" si="10"/>
        <v>mRNA55: -&gt; E2_1_1_45_mRNA | 0.00292 - (0.0093 * E2_1_1_45_mRNA)</v>
      </c>
      <c r="N56" s="33" t="str">
        <f t="shared" si="11"/>
        <v>Peptide55: E2_1_1_45_mRNA -&gt; E2_1_1_45 | (0.278 * E2_1_1_45_mRNA) - (0.000000278 * E2_1_1_45)</v>
      </c>
    </row>
    <row r="57" spans="1:14" x14ac:dyDescent="0.35">
      <c r="A57" s="1">
        <v>56</v>
      </c>
      <c r="B57" s="1" t="s">
        <v>9816</v>
      </c>
      <c r="C57" s="1" t="str">
        <f t="shared" si="0"/>
        <v>E2_1_1_61_mRNA</v>
      </c>
      <c r="D57" s="1" t="str">
        <f t="shared" si="1"/>
        <v>E2_1_1_61</v>
      </c>
      <c r="E57" s="26" t="str">
        <f t="shared" si="2"/>
        <v>E2_1_1_61_kcat : 13.7</v>
      </c>
      <c r="F57" s="27" t="str">
        <f t="shared" si="3"/>
        <v>E2_1_1_61_km : 1</v>
      </c>
      <c r="G57" s="6" t="str">
        <f t="shared" si="4"/>
        <v>E2_1_1_61_mRNA : E2_1_1_61_mRNA</v>
      </c>
      <c r="H57" s="28" t="str">
        <f t="shared" si="5"/>
        <v>E2_1_1_61 : E2_1_1_61</v>
      </c>
      <c r="I57" s="29" t="str">
        <f t="shared" si="6"/>
        <v>E2_1_1_61_mRNA : 0</v>
      </c>
      <c r="J57" s="30" t="str">
        <f t="shared" si="7"/>
        <v>E2_1_1_61 : 0</v>
      </c>
      <c r="K57" s="31" t="str">
        <f t="shared" si="8"/>
        <v>0.00292 - (0.0093 * E2_1_1_61_mRNA)</v>
      </c>
      <c r="L57" s="32" t="str">
        <f t="shared" si="9"/>
        <v>(0.278 * E2_1_1_61_mRNA) - (0.00000278 * E2_1_1_61)</v>
      </c>
      <c r="M57" s="7" t="str">
        <f t="shared" si="10"/>
        <v>mRNA56: -&gt; E2_1_1_61_mRNA | 0.00292 - (0.0093 * E2_1_1_61_mRNA)</v>
      </c>
      <c r="N57" s="33" t="str">
        <f t="shared" si="11"/>
        <v>Peptide56: E2_1_1_61_mRNA -&gt; E2_1_1_61 | (0.278 * E2_1_1_61_mRNA) - (0.000000278 * E2_1_1_61)</v>
      </c>
    </row>
    <row r="58" spans="1:14" x14ac:dyDescent="0.35">
      <c r="A58" s="1">
        <v>57</v>
      </c>
      <c r="B58" s="1" t="s">
        <v>9817</v>
      </c>
      <c r="C58" s="1" t="str">
        <f t="shared" si="0"/>
        <v>E2_1_1_63_mRNA</v>
      </c>
      <c r="D58" s="1" t="str">
        <f t="shared" si="1"/>
        <v>E2_1_1_63</v>
      </c>
      <c r="E58" s="26" t="str">
        <f t="shared" si="2"/>
        <v>E2_1_1_63_kcat : 13.7</v>
      </c>
      <c r="F58" s="27" t="str">
        <f t="shared" si="3"/>
        <v>E2_1_1_63_km : 1</v>
      </c>
      <c r="G58" s="6" t="str">
        <f t="shared" si="4"/>
        <v>E2_1_1_63_mRNA : E2_1_1_63_mRNA</v>
      </c>
      <c r="H58" s="28" t="str">
        <f t="shared" si="5"/>
        <v>E2_1_1_63 : E2_1_1_63</v>
      </c>
      <c r="I58" s="29" t="str">
        <f t="shared" si="6"/>
        <v>E2_1_1_63_mRNA : 0</v>
      </c>
      <c r="J58" s="30" t="str">
        <f t="shared" si="7"/>
        <v>E2_1_1_63 : 0</v>
      </c>
      <c r="K58" s="31" t="str">
        <f t="shared" si="8"/>
        <v>0.00292 - (0.0093 * E2_1_1_63_mRNA)</v>
      </c>
      <c r="L58" s="32" t="str">
        <f t="shared" si="9"/>
        <v>(0.278 * E2_1_1_63_mRNA) - (0.00000278 * E2_1_1_63)</v>
      </c>
      <c r="M58" s="7" t="str">
        <f t="shared" si="10"/>
        <v>mRNA57: -&gt; E2_1_1_63_mRNA | 0.00292 - (0.0093 * E2_1_1_63_mRNA)</v>
      </c>
      <c r="N58" s="33" t="str">
        <f t="shared" si="11"/>
        <v>Peptide57: E2_1_1_63_mRNA -&gt; E2_1_1_63 | (0.278 * E2_1_1_63_mRNA) - (0.000000278 * E2_1_1_63)</v>
      </c>
    </row>
    <row r="59" spans="1:14" x14ac:dyDescent="0.35">
      <c r="A59" s="1">
        <v>58</v>
      </c>
      <c r="B59" s="1" t="s">
        <v>9818</v>
      </c>
      <c r="C59" s="1" t="str">
        <f t="shared" si="0"/>
        <v>E2_1_1_72_mRNA</v>
      </c>
      <c r="D59" s="1" t="str">
        <f t="shared" si="1"/>
        <v>E2_1_1_72</v>
      </c>
      <c r="E59" s="26" t="str">
        <f t="shared" si="2"/>
        <v>E2_1_1_72_kcat : 13.7</v>
      </c>
      <c r="F59" s="27" t="str">
        <f t="shared" si="3"/>
        <v>E2_1_1_72_km : 1</v>
      </c>
      <c r="G59" s="6" t="str">
        <f t="shared" si="4"/>
        <v>E2_1_1_72_mRNA : E2_1_1_72_mRNA</v>
      </c>
      <c r="H59" s="28" t="str">
        <f t="shared" si="5"/>
        <v>E2_1_1_72 : E2_1_1_72</v>
      </c>
      <c r="I59" s="29" t="str">
        <f t="shared" si="6"/>
        <v>E2_1_1_72_mRNA : 0</v>
      </c>
      <c r="J59" s="30" t="str">
        <f t="shared" si="7"/>
        <v>E2_1_1_72 : 0</v>
      </c>
      <c r="K59" s="31" t="str">
        <f t="shared" si="8"/>
        <v>0.00292 - (0.0093 * E2_1_1_72_mRNA)</v>
      </c>
      <c r="L59" s="32" t="str">
        <f t="shared" si="9"/>
        <v>(0.278 * E2_1_1_72_mRNA) - (0.00000278 * E2_1_1_72)</v>
      </c>
      <c r="M59" s="7" t="str">
        <f t="shared" si="10"/>
        <v>mRNA58: -&gt; E2_1_1_72_mRNA | 0.00292 - (0.0093 * E2_1_1_72_mRNA)</v>
      </c>
      <c r="N59" s="33" t="str">
        <f t="shared" si="11"/>
        <v>Peptide58: E2_1_1_72_mRNA -&gt; E2_1_1_72 | (0.278 * E2_1_1_72_mRNA) - (0.000000278 * E2_1_1_72)</v>
      </c>
    </row>
    <row r="60" spans="1:14" x14ac:dyDescent="0.35">
      <c r="A60" s="1">
        <v>59</v>
      </c>
      <c r="B60" s="1" t="s">
        <v>9819</v>
      </c>
      <c r="C60" s="1" t="str">
        <f t="shared" si="0"/>
        <v>E2_1_2_1_mRNA</v>
      </c>
      <c r="D60" s="1" t="str">
        <f t="shared" si="1"/>
        <v>E2_1_2_1</v>
      </c>
      <c r="E60" s="26" t="str">
        <f t="shared" si="2"/>
        <v>E2_1_2_1_kcat : 13.7</v>
      </c>
      <c r="F60" s="27" t="str">
        <f t="shared" si="3"/>
        <v>E2_1_2_1_km : 1</v>
      </c>
      <c r="G60" s="6" t="str">
        <f t="shared" si="4"/>
        <v>E2_1_2_1_mRNA : E2_1_2_1_mRNA</v>
      </c>
      <c r="H60" s="28" t="str">
        <f t="shared" si="5"/>
        <v>E2_1_2_1 : E2_1_2_1</v>
      </c>
      <c r="I60" s="29" t="str">
        <f t="shared" si="6"/>
        <v>E2_1_2_1_mRNA : 0</v>
      </c>
      <c r="J60" s="30" t="str">
        <f t="shared" si="7"/>
        <v>E2_1_2_1 : 0</v>
      </c>
      <c r="K60" s="31" t="str">
        <f t="shared" si="8"/>
        <v>0.00292 - (0.0093 * E2_1_2_1_mRNA)</v>
      </c>
      <c r="L60" s="32" t="str">
        <f t="shared" si="9"/>
        <v>(0.278 * E2_1_2_1_mRNA) - (0.00000278 * E2_1_2_1)</v>
      </c>
      <c r="M60" s="7" t="str">
        <f t="shared" si="10"/>
        <v>mRNA59: -&gt; E2_1_2_1_mRNA | 0.00292 - (0.0093 * E2_1_2_1_mRNA)</v>
      </c>
      <c r="N60" s="33" t="str">
        <f t="shared" si="11"/>
        <v>Peptide59: E2_1_2_1_mRNA -&gt; E2_1_2_1 | (0.278 * E2_1_2_1_mRNA) - (0.000000278 * E2_1_2_1)</v>
      </c>
    </row>
    <row r="61" spans="1:14" x14ac:dyDescent="0.35">
      <c r="A61" s="1">
        <v>60</v>
      </c>
      <c r="B61" s="1" t="s">
        <v>9820</v>
      </c>
      <c r="C61" s="1" t="str">
        <f t="shared" si="0"/>
        <v>E2_1_2_2_mRNA</v>
      </c>
      <c r="D61" s="1" t="str">
        <f t="shared" si="1"/>
        <v>E2_1_2_2</v>
      </c>
      <c r="E61" s="26" t="str">
        <f t="shared" si="2"/>
        <v>E2_1_2_2_kcat : 13.7</v>
      </c>
      <c r="F61" s="27" t="str">
        <f t="shared" si="3"/>
        <v>E2_1_2_2_km : 1</v>
      </c>
      <c r="G61" s="6" t="str">
        <f t="shared" si="4"/>
        <v>E2_1_2_2_mRNA : E2_1_2_2_mRNA</v>
      </c>
      <c r="H61" s="28" t="str">
        <f t="shared" si="5"/>
        <v>E2_1_2_2 : E2_1_2_2</v>
      </c>
      <c r="I61" s="29" t="str">
        <f t="shared" si="6"/>
        <v>E2_1_2_2_mRNA : 0</v>
      </c>
      <c r="J61" s="30" t="str">
        <f t="shared" si="7"/>
        <v>E2_1_2_2 : 0</v>
      </c>
      <c r="K61" s="31" t="str">
        <f t="shared" si="8"/>
        <v>0.00292 - (0.0093 * E2_1_2_2_mRNA)</v>
      </c>
      <c r="L61" s="32" t="str">
        <f t="shared" si="9"/>
        <v>(0.278 * E2_1_2_2_mRNA) - (0.00000278 * E2_1_2_2)</v>
      </c>
      <c r="M61" s="7" t="str">
        <f t="shared" si="10"/>
        <v>mRNA60: -&gt; E2_1_2_2_mRNA | 0.00292 - (0.0093 * E2_1_2_2_mRNA)</v>
      </c>
      <c r="N61" s="33" t="str">
        <f t="shared" si="11"/>
        <v>Peptide60: E2_1_2_2_mRNA -&gt; E2_1_2_2 | (0.278 * E2_1_2_2_mRNA) - (0.000000278 * E2_1_2_2)</v>
      </c>
    </row>
    <row r="62" spans="1:14" x14ac:dyDescent="0.35">
      <c r="A62" s="1">
        <v>61</v>
      </c>
      <c r="B62" s="1" t="s">
        <v>9821</v>
      </c>
      <c r="C62" s="1" t="str">
        <f t="shared" si="0"/>
        <v>E2_1_2_9_mRNA</v>
      </c>
      <c r="D62" s="1" t="str">
        <f t="shared" si="1"/>
        <v>E2_1_2_9</v>
      </c>
      <c r="E62" s="26" t="str">
        <f t="shared" si="2"/>
        <v>E2_1_2_9_kcat : 13.7</v>
      </c>
      <c r="F62" s="27" t="str">
        <f t="shared" si="3"/>
        <v>E2_1_2_9_km : 1</v>
      </c>
      <c r="G62" s="6" t="str">
        <f t="shared" si="4"/>
        <v>E2_1_2_9_mRNA : E2_1_2_9_mRNA</v>
      </c>
      <c r="H62" s="28" t="str">
        <f t="shared" si="5"/>
        <v>E2_1_2_9 : E2_1_2_9</v>
      </c>
      <c r="I62" s="29" t="str">
        <f t="shared" si="6"/>
        <v>E2_1_2_9_mRNA : 0</v>
      </c>
      <c r="J62" s="30" t="str">
        <f t="shared" si="7"/>
        <v>E2_1_2_9 : 0</v>
      </c>
      <c r="K62" s="31" t="str">
        <f t="shared" si="8"/>
        <v>0.00292 - (0.0093 * E2_1_2_9_mRNA)</v>
      </c>
      <c r="L62" s="32" t="str">
        <f t="shared" si="9"/>
        <v>(0.278 * E2_1_2_9_mRNA) - (0.00000278 * E2_1_2_9)</v>
      </c>
      <c r="M62" s="7" t="str">
        <f t="shared" si="10"/>
        <v>mRNA61: -&gt; E2_1_2_9_mRNA | 0.00292 - (0.0093 * E2_1_2_9_mRNA)</v>
      </c>
      <c r="N62" s="33" t="str">
        <f t="shared" si="11"/>
        <v>Peptide61: E2_1_2_9_mRNA -&gt; E2_1_2_9 | (0.278 * E2_1_2_9_mRNA) - (0.000000278 * E2_1_2_9)</v>
      </c>
    </row>
    <row r="63" spans="1:14" x14ac:dyDescent="0.35">
      <c r="A63" s="1">
        <v>62</v>
      </c>
      <c r="B63" s="1" t="s">
        <v>9822</v>
      </c>
      <c r="C63" s="1" t="str">
        <f t="shared" si="0"/>
        <v>E2_1_3_2_mRNA</v>
      </c>
      <c r="D63" s="1" t="str">
        <f t="shared" si="1"/>
        <v>E2_1_3_2</v>
      </c>
      <c r="E63" s="26" t="str">
        <f t="shared" si="2"/>
        <v>E2_1_3_2_kcat : 13.7</v>
      </c>
      <c r="F63" s="27" t="str">
        <f t="shared" si="3"/>
        <v>E2_1_3_2_km : 1</v>
      </c>
      <c r="G63" s="6" t="str">
        <f t="shared" si="4"/>
        <v>E2_1_3_2_mRNA : E2_1_3_2_mRNA</v>
      </c>
      <c r="H63" s="28" t="str">
        <f t="shared" si="5"/>
        <v>E2_1_3_2 : E2_1_3_2</v>
      </c>
      <c r="I63" s="29" t="str">
        <f t="shared" si="6"/>
        <v>E2_1_3_2_mRNA : 0</v>
      </c>
      <c r="J63" s="30" t="str">
        <f t="shared" si="7"/>
        <v>E2_1_3_2 : 0</v>
      </c>
      <c r="K63" s="31" t="str">
        <f t="shared" si="8"/>
        <v>0.00292 - (0.0093 * E2_1_3_2_mRNA)</v>
      </c>
      <c r="L63" s="32" t="str">
        <f t="shared" si="9"/>
        <v>(0.278 * E2_1_3_2_mRNA) - (0.00000278 * E2_1_3_2)</v>
      </c>
      <c r="M63" s="7" t="str">
        <f t="shared" si="10"/>
        <v>mRNA62: -&gt; E2_1_3_2_mRNA | 0.00292 - (0.0093 * E2_1_3_2_mRNA)</v>
      </c>
      <c r="N63" s="33" t="str">
        <f t="shared" si="11"/>
        <v>Peptide62: E2_1_3_2_mRNA -&gt; E2_1_3_2 | (0.278 * E2_1_3_2_mRNA) - (0.000000278 * E2_1_3_2)</v>
      </c>
    </row>
    <row r="64" spans="1:14" x14ac:dyDescent="0.35">
      <c r="A64" s="1">
        <v>63</v>
      </c>
      <c r="B64" s="1" t="s">
        <v>9823</v>
      </c>
      <c r="C64" s="1" t="str">
        <f t="shared" si="0"/>
        <v>E2_1_3_3_mRNA</v>
      </c>
      <c r="D64" s="1" t="str">
        <f t="shared" si="1"/>
        <v>E2_1_3_3</v>
      </c>
      <c r="E64" s="26" t="str">
        <f t="shared" si="2"/>
        <v>E2_1_3_3_kcat : 13.7</v>
      </c>
      <c r="F64" s="27" t="str">
        <f t="shared" si="3"/>
        <v>E2_1_3_3_km : 1</v>
      </c>
      <c r="G64" s="6" t="str">
        <f t="shared" si="4"/>
        <v>E2_1_3_3_mRNA : E2_1_3_3_mRNA</v>
      </c>
      <c r="H64" s="28" t="str">
        <f t="shared" si="5"/>
        <v>E2_1_3_3 : E2_1_3_3</v>
      </c>
      <c r="I64" s="29" t="str">
        <f t="shared" si="6"/>
        <v>E2_1_3_3_mRNA : 0</v>
      </c>
      <c r="J64" s="30" t="str">
        <f t="shared" si="7"/>
        <v>E2_1_3_3 : 0</v>
      </c>
      <c r="K64" s="31" t="str">
        <f t="shared" si="8"/>
        <v>0.00292 - (0.0093 * E2_1_3_3_mRNA)</v>
      </c>
      <c r="L64" s="32" t="str">
        <f t="shared" si="9"/>
        <v>(0.278 * E2_1_3_3_mRNA) - (0.00000278 * E2_1_3_3)</v>
      </c>
      <c r="M64" s="7" t="str">
        <f t="shared" si="10"/>
        <v>mRNA63: -&gt; E2_1_3_3_mRNA | 0.00292 - (0.0093 * E2_1_3_3_mRNA)</v>
      </c>
      <c r="N64" s="33" t="str">
        <f t="shared" si="11"/>
        <v>Peptide63: E2_1_3_3_mRNA -&gt; E2_1_3_3 | (0.278 * E2_1_3_3_mRNA) - (0.000000278 * E2_1_3_3)</v>
      </c>
    </row>
    <row r="65" spans="1:14" x14ac:dyDescent="0.35">
      <c r="A65" s="1">
        <v>64</v>
      </c>
      <c r="B65" s="1" t="s">
        <v>9824</v>
      </c>
      <c r="C65" s="1" t="str">
        <f t="shared" si="0"/>
        <v>E2_2_1_1_mRNA</v>
      </c>
      <c r="D65" s="1" t="str">
        <f t="shared" si="1"/>
        <v>E2_2_1_1</v>
      </c>
      <c r="E65" s="26" t="str">
        <f t="shared" si="2"/>
        <v>E2_2_1_1_kcat : 13.7</v>
      </c>
      <c r="F65" s="27" t="str">
        <f t="shared" si="3"/>
        <v>E2_2_1_1_km : 1</v>
      </c>
      <c r="G65" s="6" t="str">
        <f t="shared" si="4"/>
        <v>E2_2_1_1_mRNA : E2_2_1_1_mRNA</v>
      </c>
      <c r="H65" s="28" t="str">
        <f t="shared" si="5"/>
        <v>E2_2_1_1 : E2_2_1_1</v>
      </c>
      <c r="I65" s="29" t="str">
        <f t="shared" si="6"/>
        <v>E2_2_1_1_mRNA : 0</v>
      </c>
      <c r="J65" s="30" t="str">
        <f t="shared" si="7"/>
        <v>E2_2_1_1 : 0</v>
      </c>
      <c r="K65" s="31" t="str">
        <f t="shared" si="8"/>
        <v>0.00292 - (0.0093 * E2_2_1_1_mRNA)</v>
      </c>
      <c r="L65" s="32" t="str">
        <f t="shared" si="9"/>
        <v>(0.278 * E2_2_1_1_mRNA) - (0.00000278 * E2_2_1_1)</v>
      </c>
      <c r="M65" s="7" t="str">
        <f t="shared" si="10"/>
        <v>mRNA64: -&gt; E2_2_1_1_mRNA | 0.00292 - (0.0093 * E2_2_1_1_mRNA)</v>
      </c>
      <c r="N65" s="33" t="str">
        <f t="shared" si="11"/>
        <v>Peptide64: E2_2_1_1_mRNA -&gt; E2_2_1_1 | (0.278 * E2_2_1_1_mRNA) - (0.000000278 * E2_2_1_1)</v>
      </c>
    </row>
    <row r="66" spans="1:14" x14ac:dyDescent="0.35">
      <c r="A66" s="1">
        <v>65</v>
      </c>
      <c r="B66" s="1" t="s">
        <v>9825</v>
      </c>
      <c r="C66" s="1" t="str">
        <f t="shared" si="0"/>
        <v>E2_2_1_6_mRNA</v>
      </c>
      <c r="D66" s="1" t="str">
        <f t="shared" si="1"/>
        <v>E2_2_1_6</v>
      </c>
      <c r="E66" s="26" t="str">
        <f t="shared" si="2"/>
        <v>E2_2_1_6_kcat : 13.7</v>
      </c>
      <c r="F66" s="27" t="str">
        <f t="shared" si="3"/>
        <v>E2_2_1_6_km : 1</v>
      </c>
      <c r="G66" s="6" t="str">
        <f t="shared" si="4"/>
        <v>E2_2_1_6_mRNA : E2_2_1_6_mRNA</v>
      </c>
      <c r="H66" s="28" t="str">
        <f t="shared" si="5"/>
        <v>E2_2_1_6 : E2_2_1_6</v>
      </c>
      <c r="I66" s="29" t="str">
        <f t="shared" si="6"/>
        <v>E2_2_1_6_mRNA : 0</v>
      </c>
      <c r="J66" s="30" t="str">
        <f t="shared" si="7"/>
        <v>E2_2_1_6 : 0</v>
      </c>
      <c r="K66" s="31" t="str">
        <f t="shared" si="8"/>
        <v>0.00292 - (0.0093 * E2_2_1_6_mRNA)</v>
      </c>
      <c r="L66" s="32" t="str">
        <f t="shared" si="9"/>
        <v>(0.278 * E2_2_1_6_mRNA) - (0.00000278 * E2_2_1_6)</v>
      </c>
      <c r="M66" s="7" t="str">
        <f t="shared" si="10"/>
        <v>mRNA65: -&gt; E2_2_1_6_mRNA | 0.00292 - (0.0093 * E2_2_1_6_mRNA)</v>
      </c>
      <c r="N66" s="33" t="str">
        <f t="shared" si="11"/>
        <v>Peptide65: E2_2_1_6_mRNA -&gt; E2_2_1_6 | (0.278 * E2_2_1_6_mRNA) - (0.000000278 * E2_2_1_6)</v>
      </c>
    </row>
    <row r="67" spans="1:14" x14ac:dyDescent="0.35">
      <c r="A67" s="1">
        <v>66</v>
      </c>
      <c r="B67" s="1" t="s">
        <v>9826</v>
      </c>
      <c r="C67" s="1" t="str">
        <f t="shared" ref="C67:C130" si="12">CONCATENATE(D67,"_mRNA")</f>
        <v>E2_3_1_1_mRNA</v>
      </c>
      <c r="D67" s="1" t="str">
        <f t="shared" ref="D67:D130" si="13">CONCATENATE("E",B67)</f>
        <v>E2_3_1_1</v>
      </c>
      <c r="E67" s="26" t="str">
        <f t="shared" ref="E67:E130" si="14">CONCATENATE("E",B67,"_kcat : 13.7")</f>
        <v>E2_3_1_1_kcat : 13.7</v>
      </c>
      <c r="F67" s="27" t="str">
        <f t="shared" ref="F67:F130" si="15">CONCATENATE("E",B67,"_km : 1")</f>
        <v>E2_3_1_1_km : 1</v>
      </c>
      <c r="G67" s="6" t="str">
        <f t="shared" ref="G67:G130" si="16">CONCATENATE(C67," : ",C67)</f>
        <v>E2_3_1_1_mRNA : E2_3_1_1_mRNA</v>
      </c>
      <c r="H67" s="28" t="str">
        <f t="shared" ref="H67:H130" si="17">CONCATENATE(D67," : ",D67)</f>
        <v>E2_3_1_1 : E2_3_1_1</v>
      </c>
      <c r="I67" s="29" t="str">
        <f t="shared" ref="I67:I130" si="18">CONCATENATE(C67," : ","0")</f>
        <v>E2_3_1_1_mRNA : 0</v>
      </c>
      <c r="J67" s="30" t="str">
        <f t="shared" ref="J67:J130" si="19">CONCATENATE(D67," : ","0")</f>
        <v>E2_3_1_1 : 0</v>
      </c>
      <c r="K67" s="31" t="str">
        <f t="shared" ref="K67:K130" si="20">CONCATENATE("0.00292 - (0.0093 * ",C67,")")</f>
        <v>0.00292 - (0.0093 * E2_3_1_1_mRNA)</v>
      </c>
      <c r="L67" s="32" t="str">
        <f t="shared" ref="L67:L130" si="21">CONCATENATE("(0.278 * ",C67,")"," - (0.00000278 * ",D67,")")</f>
        <v>(0.278 * E2_3_1_1_mRNA) - (0.00000278 * E2_3_1_1)</v>
      </c>
      <c r="M67" s="7" t="str">
        <f t="shared" ref="M67:M130" si="22">CONCATENATE("mRNA",A67,": -&gt; ",C67," | ","0.00292"," - ","(","0.0093"," * ",C67,")")</f>
        <v>mRNA66: -&gt; E2_3_1_1_mRNA | 0.00292 - (0.0093 * E2_3_1_1_mRNA)</v>
      </c>
      <c r="N67" s="33" t="str">
        <f t="shared" ref="N67:N130" si="23">CONCATENATE("Peptide",A67,": ",C67," -&gt; ",D67," | ","(","0.278"," * ",C67,")"," - ","(","0.000000278"," * ",D67,")")</f>
        <v>Peptide66: E2_3_1_1_mRNA -&gt; E2_3_1_1 | (0.278 * E2_3_1_1_mRNA) - (0.000000278 * E2_3_1_1)</v>
      </c>
    </row>
    <row r="68" spans="1:14" x14ac:dyDescent="0.35">
      <c r="A68" s="1">
        <v>67</v>
      </c>
      <c r="B68" s="1" t="s">
        <v>9827</v>
      </c>
      <c r="C68" s="1" t="str">
        <f t="shared" si="12"/>
        <v>E2_3_1_117_mRNA</v>
      </c>
      <c r="D68" s="1" t="str">
        <f t="shared" si="13"/>
        <v>E2_3_1_117</v>
      </c>
      <c r="E68" s="26" t="str">
        <f t="shared" si="14"/>
        <v>E2_3_1_117_kcat : 13.7</v>
      </c>
      <c r="F68" s="27" t="str">
        <f t="shared" si="15"/>
        <v>E2_3_1_117_km : 1</v>
      </c>
      <c r="G68" s="6" t="str">
        <f t="shared" si="16"/>
        <v>E2_3_1_117_mRNA : E2_3_1_117_mRNA</v>
      </c>
      <c r="H68" s="28" t="str">
        <f t="shared" si="17"/>
        <v>E2_3_1_117 : E2_3_1_117</v>
      </c>
      <c r="I68" s="29" t="str">
        <f t="shared" si="18"/>
        <v>E2_3_1_117_mRNA : 0</v>
      </c>
      <c r="J68" s="30" t="str">
        <f t="shared" si="19"/>
        <v>E2_3_1_117 : 0</v>
      </c>
      <c r="K68" s="31" t="str">
        <f t="shared" si="20"/>
        <v>0.00292 - (0.0093 * E2_3_1_117_mRNA)</v>
      </c>
      <c r="L68" s="32" t="str">
        <f t="shared" si="21"/>
        <v>(0.278 * E2_3_1_117_mRNA) - (0.00000278 * E2_3_1_117)</v>
      </c>
      <c r="M68" s="7" t="str">
        <f t="shared" si="22"/>
        <v>mRNA67: -&gt; E2_3_1_117_mRNA | 0.00292 - (0.0093 * E2_3_1_117_mRNA)</v>
      </c>
      <c r="N68" s="33" t="str">
        <f t="shared" si="23"/>
        <v>Peptide67: E2_3_1_117_mRNA -&gt; E2_3_1_117 | (0.278 * E2_3_1_117_mRNA) - (0.000000278 * E2_3_1_117)</v>
      </c>
    </row>
    <row r="69" spans="1:14" x14ac:dyDescent="0.35">
      <c r="A69" s="1">
        <v>68</v>
      </c>
      <c r="B69" s="1" t="s">
        <v>9828</v>
      </c>
      <c r="C69" s="1" t="str">
        <f t="shared" si="12"/>
        <v>E2_3_1_12_mRNA</v>
      </c>
      <c r="D69" s="1" t="str">
        <f t="shared" si="13"/>
        <v>E2_3_1_12</v>
      </c>
      <c r="E69" s="26" t="str">
        <f t="shared" si="14"/>
        <v>E2_3_1_12_kcat : 13.7</v>
      </c>
      <c r="F69" s="27" t="str">
        <f t="shared" si="15"/>
        <v>E2_3_1_12_km : 1</v>
      </c>
      <c r="G69" s="6" t="str">
        <f t="shared" si="16"/>
        <v>E2_3_1_12_mRNA : E2_3_1_12_mRNA</v>
      </c>
      <c r="H69" s="28" t="str">
        <f t="shared" si="17"/>
        <v>E2_3_1_12 : E2_3_1_12</v>
      </c>
      <c r="I69" s="29" t="str">
        <f t="shared" si="18"/>
        <v>E2_3_1_12_mRNA : 0</v>
      </c>
      <c r="J69" s="30" t="str">
        <f t="shared" si="19"/>
        <v>E2_3_1_12 : 0</v>
      </c>
      <c r="K69" s="31" t="str">
        <f t="shared" si="20"/>
        <v>0.00292 - (0.0093 * E2_3_1_12_mRNA)</v>
      </c>
      <c r="L69" s="32" t="str">
        <f t="shared" si="21"/>
        <v>(0.278 * E2_3_1_12_mRNA) - (0.00000278 * E2_3_1_12)</v>
      </c>
      <c r="M69" s="7" t="str">
        <f t="shared" si="22"/>
        <v>mRNA68: -&gt; E2_3_1_12_mRNA | 0.00292 - (0.0093 * E2_3_1_12_mRNA)</v>
      </c>
      <c r="N69" s="33" t="str">
        <f t="shared" si="23"/>
        <v>Peptide68: E2_3_1_12_mRNA -&gt; E2_3_1_12 | (0.278 * E2_3_1_12_mRNA) - (0.000000278 * E2_3_1_12)</v>
      </c>
    </row>
    <row r="70" spans="1:14" x14ac:dyDescent="0.35">
      <c r="A70" s="1">
        <v>69</v>
      </c>
      <c r="B70" s="1" t="s">
        <v>9829</v>
      </c>
      <c r="C70" s="1" t="str">
        <f t="shared" si="12"/>
        <v>E2_3_1_128_mRNA</v>
      </c>
      <c r="D70" s="1" t="str">
        <f t="shared" si="13"/>
        <v>E2_3_1_128</v>
      </c>
      <c r="E70" s="26" t="str">
        <f t="shared" si="14"/>
        <v>E2_3_1_128_kcat : 13.7</v>
      </c>
      <c r="F70" s="27" t="str">
        <f t="shared" si="15"/>
        <v>E2_3_1_128_km : 1</v>
      </c>
      <c r="G70" s="6" t="str">
        <f t="shared" si="16"/>
        <v>E2_3_1_128_mRNA : E2_3_1_128_mRNA</v>
      </c>
      <c r="H70" s="28" t="str">
        <f t="shared" si="17"/>
        <v>E2_3_1_128 : E2_3_1_128</v>
      </c>
      <c r="I70" s="29" t="str">
        <f t="shared" si="18"/>
        <v>E2_3_1_128_mRNA : 0</v>
      </c>
      <c r="J70" s="30" t="str">
        <f t="shared" si="19"/>
        <v>E2_3_1_128 : 0</v>
      </c>
      <c r="K70" s="31" t="str">
        <f t="shared" si="20"/>
        <v>0.00292 - (0.0093 * E2_3_1_128_mRNA)</v>
      </c>
      <c r="L70" s="32" t="str">
        <f t="shared" si="21"/>
        <v>(0.278 * E2_3_1_128_mRNA) - (0.00000278 * E2_3_1_128)</v>
      </c>
      <c r="M70" s="7" t="str">
        <f t="shared" si="22"/>
        <v>mRNA69: -&gt; E2_3_1_128_mRNA | 0.00292 - (0.0093 * E2_3_1_128_mRNA)</v>
      </c>
      <c r="N70" s="33" t="str">
        <f t="shared" si="23"/>
        <v>Peptide69: E2_3_1_128_mRNA -&gt; E2_3_1_128 | (0.278 * E2_3_1_128_mRNA) - (0.000000278 * E2_3_1_128)</v>
      </c>
    </row>
    <row r="71" spans="1:14" x14ac:dyDescent="0.35">
      <c r="A71" s="1">
        <v>70</v>
      </c>
      <c r="B71" s="1" t="s">
        <v>9830</v>
      </c>
      <c r="C71" s="1" t="str">
        <f t="shared" si="12"/>
        <v>E2_3_1_157_mRNA</v>
      </c>
      <c r="D71" s="1" t="str">
        <f t="shared" si="13"/>
        <v>E2_3_1_157</v>
      </c>
      <c r="E71" s="26" t="str">
        <f t="shared" si="14"/>
        <v>E2_3_1_157_kcat : 13.7</v>
      </c>
      <c r="F71" s="27" t="str">
        <f t="shared" si="15"/>
        <v>E2_3_1_157_km : 1</v>
      </c>
      <c r="G71" s="6" t="str">
        <f t="shared" si="16"/>
        <v>E2_3_1_157_mRNA : E2_3_1_157_mRNA</v>
      </c>
      <c r="H71" s="28" t="str">
        <f t="shared" si="17"/>
        <v>E2_3_1_157 : E2_3_1_157</v>
      </c>
      <c r="I71" s="29" t="str">
        <f t="shared" si="18"/>
        <v>E2_3_1_157_mRNA : 0</v>
      </c>
      <c r="J71" s="30" t="str">
        <f t="shared" si="19"/>
        <v>E2_3_1_157 : 0</v>
      </c>
      <c r="K71" s="31" t="str">
        <f t="shared" si="20"/>
        <v>0.00292 - (0.0093 * E2_3_1_157_mRNA)</v>
      </c>
      <c r="L71" s="32" t="str">
        <f t="shared" si="21"/>
        <v>(0.278 * E2_3_1_157_mRNA) - (0.00000278 * E2_3_1_157)</v>
      </c>
      <c r="M71" s="7" t="str">
        <f t="shared" si="22"/>
        <v>mRNA70: -&gt; E2_3_1_157_mRNA | 0.00292 - (0.0093 * E2_3_1_157_mRNA)</v>
      </c>
      <c r="N71" s="33" t="str">
        <f t="shared" si="23"/>
        <v>Peptide70: E2_3_1_157_mRNA -&gt; E2_3_1_157 | (0.278 * E2_3_1_157_mRNA) - (0.000000278 * E2_3_1_157)</v>
      </c>
    </row>
    <row r="72" spans="1:14" x14ac:dyDescent="0.35">
      <c r="A72" s="1">
        <v>71</v>
      </c>
      <c r="B72" s="1" t="s">
        <v>9831</v>
      </c>
      <c r="C72" s="1" t="str">
        <f t="shared" si="12"/>
        <v>E2_3_1_179_mRNA</v>
      </c>
      <c r="D72" s="1" t="str">
        <f t="shared" si="13"/>
        <v>E2_3_1_179</v>
      </c>
      <c r="E72" s="26" t="str">
        <f t="shared" si="14"/>
        <v>E2_3_1_179_kcat : 13.7</v>
      </c>
      <c r="F72" s="27" t="str">
        <f t="shared" si="15"/>
        <v>E2_3_1_179_km : 1</v>
      </c>
      <c r="G72" s="6" t="str">
        <f t="shared" si="16"/>
        <v>E2_3_1_179_mRNA : E2_3_1_179_mRNA</v>
      </c>
      <c r="H72" s="28" t="str">
        <f t="shared" si="17"/>
        <v>E2_3_1_179 : E2_3_1_179</v>
      </c>
      <c r="I72" s="29" t="str">
        <f t="shared" si="18"/>
        <v>E2_3_1_179_mRNA : 0</v>
      </c>
      <c r="J72" s="30" t="str">
        <f t="shared" si="19"/>
        <v>E2_3_1_179 : 0</v>
      </c>
      <c r="K72" s="31" t="str">
        <f t="shared" si="20"/>
        <v>0.00292 - (0.0093 * E2_3_1_179_mRNA)</v>
      </c>
      <c r="L72" s="32" t="str">
        <f t="shared" si="21"/>
        <v>(0.278 * E2_3_1_179_mRNA) - (0.00000278 * E2_3_1_179)</v>
      </c>
      <c r="M72" s="7" t="str">
        <f t="shared" si="22"/>
        <v>mRNA71: -&gt; E2_3_1_179_mRNA | 0.00292 - (0.0093 * E2_3_1_179_mRNA)</v>
      </c>
      <c r="N72" s="33" t="str">
        <f t="shared" si="23"/>
        <v>Peptide71: E2_3_1_179_mRNA -&gt; E2_3_1_179 | (0.278 * E2_3_1_179_mRNA) - (0.000000278 * E2_3_1_179)</v>
      </c>
    </row>
    <row r="73" spans="1:14" x14ac:dyDescent="0.35">
      <c r="A73" s="1">
        <v>72</v>
      </c>
      <c r="B73" s="1" t="s">
        <v>9832</v>
      </c>
      <c r="C73" s="1" t="str">
        <f t="shared" si="12"/>
        <v>E2_3_1_180_mRNA</v>
      </c>
      <c r="D73" s="1" t="str">
        <f t="shared" si="13"/>
        <v>E2_3_1_180</v>
      </c>
      <c r="E73" s="26" t="str">
        <f t="shared" si="14"/>
        <v>E2_3_1_180_kcat : 13.7</v>
      </c>
      <c r="F73" s="27" t="str">
        <f t="shared" si="15"/>
        <v>E2_3_1_180_km : 1</v>
      </c>
      <c r="G73" s="6" t="str">
        <f t="shared" si="16"/>
        <v>E2_3_1_180_mRNA : E2_3_1_180_mRNA</v>
      </c>
      <c r="H73" s="28" t="str">
        <f t="shared" si="17"/>
        <v>E2_3_1_180 : E2_3_1_180</v>
      </c>
      <c r="I73" s="29" t="str">
        <f t="shared" si="18"/>
        <v>E2_3_1_180_mRNA : 0</v>
      </c>
      <c r="J73" s="30" t="str">
        <f t="shared" si="19"/>
        <v>E2_3_1_180 : 0</v>
      </c>
      <c r="K73" s="31" t="str">
        <f t="shared" si="20"/>
        <v>0.00292 - (0.0093 * E2_3_1_180_mRNA)</v>
      </c>
      <c r="L73" s="32" t="str">
        <f t="shared" si="21"/>
        <v>(0.278 * E2_3_1_180_mRNA) - (0.00000278 * E2_3_1_180)</v>
      </c>
      <c r="M73" s="7" t="str">
        <f t="shared" si="22"/>
        <v>mRNA72: -&gt; E2_3_1_180_mRNA | 0.00292 - (0.0093 * E2_3_1_180_mRNA)</v>
      </c>
      <c r="N73" s="33" t="str">
        <f t="shared" si="23"/>
        <v>Peptide72: E2_3_1_180_mRNA -&gt; E2_3_1_180 | (0.278 * E2_3_1_180_mRNA) - (0.000000278 * E2_3_1_180)</v>
      </c>
    </row>
    <row r="74" spans="1:14" x14ac:dyDescent="0.35">
      <c r="A74" s="1">
        <v>73</v>
      </c>
      <c r="B74" s="1" t="s">
        <v>9833</v>
      </c>
      <c r="C74" s="1" t="str">
        <f t="shared" si="12"/>
        <v>E2_3_1_183_mRNA</v>
      </c>
      <c r="D74" s="1" t="str">
        <f t="shared" si="13"/>
        <v>E2_3_1_183</v>
      </c>
      <c r="E74" s="26" t="str">
        <f t="shared" si="14"/>
        <v>E2_3_1_183_kcat : 13.7</v>
      </c>
      <c r="F74" s="27" t="str">
        <f t="shared" si="15"/>
        <v>E2_3_1_183_km : 1</v>
      </c>
      <c r="G74" s="6" t="str">
        <f t="shared" si="16"/>
        <v>E2_3_1_183_mRNA : E2_3_1_183_mRNA</v>
      </c>
      <c r="H74" s="28" t="str">
        <f t="shared" si="17"/>
        <v>E2_3_1_183 : E2_3_1_183</v>
      </c>
      <c r="I74" s="29" t="str">
        <f t="shared" si="18"/>
        <v>E2_3_1_183_mRNA : 0</v>
      </c>
      <c r="J74" s="30" t="str">
        <f t="shared" si="19"/>
        <v>E2_3_1_183 : 0</v>
      </c>
      <c r="K74" s="31" t="str">
        <f t="shared" si="20"/>
        <v>0.00292 - (0.0093 * E2_3_1_183_mRNA)</v>
      </c>
      <c r="L74" s="32" t="str">
        <f t="shared" si="21"/>
        <v>(0.278 * E2_3_1_183_mRNA) - (0.00000278 * E2_3_1_183)</v>
      </c>
      <c r="M74" s="7" t="str">
        <f t="shared" si="22"/>
        <v>mRNA73: -&gt; E2_3_1_183_mRNA | 0.00292 - (0.0093 * E2_3_1_183_mRNA)</v>
      </c>
      <c r="N74" s="33" t="str">
        <f t="shared" si="23"/>
        <v>Peptide73: E2_3_1_183_mRNA -&gt; E2_3_1_183 | (0.278 * E2_3_1_183_mRNA) - (0.000000278 * E2_3_1_183)</v>
      </c>
    </row>
    <row r="75" spans="1:14" x14ac:dyDescent="0.35">
      <c r="A75" s="1">
        <v>74</v>
      </c>
      <c r="B75" s="1" t="s">
        <v>9834</v>
      </c>
      <c r="C75" s="1" t="str">
        <f t="shared" si="12"/>
        <v>E2_3_1_30_mRNA</v>
      </c>
      <c r="D75" s="1" t="str">
        <f t="shared" si="13"/>
        <v>E2_3_1_30</v>
      </c>
      <c r="E75" s="26" t="str">
        <f t="shared" si="14"/>
        <v>E2_3_1_30_kcat : 13.7</v>
      </c>
      <c r="F75" s="27" t="str">
        <f t="shared" si="15"/>
        <v>E2_3_1_30_km : 1</v>
      </c>
      <c r="G75" s="6" t="str">
        <f t="shared" si="16"/>
        <v>E2_3_1_30_mRNA : E2_3_1_30_mRNA</v>
      </c>
      <c r="H75" s="28" t="str">
        <f t="shared" si="17"/>
        <v>E2_3_1_30 : E2_3_1_30</v>
      </c>
      <c r="I75" s="29" t="str">
        <f t="shared" si="18"/>
        <v>E2_3_1_30_mRNA : 0</v>
      </c>
      <c r="J75" s="30" t="str">
        <f t="shared" si="19"/>
        <v>E2_3_1_30 : 0</v>
      </c>
      <c r="K75" s="31" t="str">
        <f t="shared" si="20"/>
        <v>0.00292 - (0.0093 * E2_3_1_30_mRNA)</v>
      </c>
      <c r="L75" s="32" t="str">
        <f t="shared" si="21"/>
        <v>(0.278 * E2_3_1_30_mRNA) - (0.00000278 * E2_3_1_30)</v>
      </c>
      <c r="M75" s="7" t="str">
        <f t="shared" si="22"/>
        <v>mRNA74: -&gt; E2_3_1_30_mRNA | 0.00292 - (0.0093 * E2_3_1_30_mRNA)</v>
      </c>
      <c r="N75" s="33" t="str">
        <f t="shared" si="23"/>
        <v>Peptide74: E2_3_1_30_mRNA -&gt; E2_3_1_30 | (0.278 * E2_3_1_30_mRNA) - (0.000000278 * E2_3_1_30)</v>
      </c>
    </row>
    <row r="76" spans="1:14" x14ac:dyDescent="0.35">
      <c r="A76" s="1">
        <v>75</v>
      </c>
      <c r="B76" s="1" t="s">
        <v>9835</v>
      </c>
      <c r="C76" s="1" t="str">
        <f t="shared" si="12"/>
        <v>E2_3_1_31_mRNA</v>
      </c>
      <c r="D76" s="1" t="str">
        <f t="shared" si="13"/>
        <v>E2_3_1_31</v>
      </c>
      <c r="E76" s="26" t="str">
        <f t="shared" si="14"/>
        <v>E2_3_1_31_kcat : 13.7</v>
      </c>
      <c r="F76" s="27" t="str">
        <f t="shared" si="15"/>
        <v>E2_3_1_31_km : 1</v>
      </c>
      <c r="G76" s="6" t="str">
        <f t="shared" si="16"/>
        <v>E2_3_1_31_mRNA : E2_3_1_31_mRNA</v>
      </c>
      <c r="H76" s="28" t="str">
        <f t="shared" si="17"/>
        <v>E2_3_1_31 : E2_3_1_31</v>
      </c>
      <c r="I76" s="29" t="str">
        <f t="shared" si="18"/>
        <v>E2_3_1_31_mRNA : 0</v>
      </c>
      <c r="J76" s="30" t="str">
        <f t="shared" si="19"/>
        <v>E2_3_1_31 : 0</v>
      </c>
      <c r="K76" s="31" t="str">
        <f t="shared" si="20"/>
        <v>0.00292 - (0.0093 * E2_3_1_31_mRNA)</v>
      </c>
      <c r="L76" s="32" t="str">
        <f t="shared" si="21"/>
        <v>(0.278 * E2_3_1_31_mRNA) - (0.00000278 * E2_3_1_31)</v>
      </c>
      <c r="M76" s="7" t="str">
        <f t="shared" si="22"/>
        <v>mRNA75: -&gt; E2_3_1_31_mRNA | 0.00292 - (0.0093 * E2_3_1_31_mRNA)</v>
      </c>
      <c r="N76" s="33" t="str">
        <f t="shared" si="23"/>
        <v>Peptide75: E2_3_1_31_mRNA -&gt; E2_3_1_31 | (0.278 * E2_3_1_31_mRNA) - (0.000000278 * E2_3_1_31)</v>
      </c>
    </row>
    <row r="77" spans="1:14" x14ac:dyDescent="0.35">
      <c r="A77" s="1">
        <v>76</v>
      </c>
      <c r="B77" s="1" t="s">
        <v>9836</v>
      </c>
      <c r="C77" s="1" t="str">
        <f t="shared" si="12"/>
        <v>E2_3_1_39_mRNA</v>
      </c>
      <c r="D77" s="1" t="str">
        <f t="shared" si="13"/>
        <v>E2_3_1_39</v>
      </c>
      <c r="E77" s="26" t="str">
        <f t="shared" si="14"/>
        <v>E2_3_1_39_kcat : 13.7</v>
      </c>
      <c r="F77" s="27" t="str">
        <f t="shared" si="15"/>
        <v>E2_3_1_39_km : 1</v>
      </c>
      <c r="G77" s="6" t="str">
        <f t="shared" si="16"/>
        <v>E2_3_1_39_mRNA : E2_3_1_39_mRNA</v>
      </c>
      <c r="H77" s="28" t="str">
        <f t="shared" si="17"/>
        <v>E2_3_1_39 : E2_3_1_39</v>
      </c>
      <c r="I77" s="29" t="str">
        <f t="shared" si="18"/>
        <v>E2_3_1_39_mRNA : 0</v>
      </c>
      <c r="J77" s="30" t="str">
        <f t="shared" si="19"/>
        <v>E2_3_1_39 : 0</v>
      </c>
      <c r="K77" s="31" t="str">
        <f t="shared" si="20"/>
        <v>0.00292 - (0.0093 * E2_3_1_39_mRNA)</v>
      </c>
      <c r="L77" s="32" t="str">
        <f t="shared" si="21"/>
        <v>(0.278 * E2_3_1_39_mRNA) - (0.00000278 * E2_3_1_39)</v>
      </c>
      <c r="M77" s="7" t="str">
        <f t="shared" si="22"/>
        <v>mRNA76: -&gt; E2_3_1_39_mRNA | 0.00292 - (0.0093 * E2_3_1_39_mRNA)</v>
      </c>
      <c r="N77" s="33" t="str">
        <f t="shared" si="23"/>
        <v>Peptide76: E2_3_1_39_mRNA -&gt; E2_3_1_39 | (0.278 * E2_3_1_39_mRNA) - (0.000000278 * E2_3_1_39)</v>
      </c>
    </row>
    <row r="78" spans="1:14" x14ac:dyDescent="0.35">
      <c r="A78" s="1">
        <v>77</v>
      </c>
      <c r="B78" s="1" t="s">
        <v>9837</v>
      </c>
      <c r="C78" s="1" t="str">
        <f t="shared" si="12"/>
        <v>E2_3_1_41_mRNA</v>
      </c>
      <c r="D78" s="1" t="str">
        <f t="shared" si="13"/>
        <v>E2_3_1_41</v>
      </c>
      <c r="E78" s="26" t="str">
        <f t="shared" si="14"/>
        <v>E2_3_1_41_kcat : 13.7</v>
      </c>
      <c r="F78" s="27" t="str">
        <f t="shared" si="15"/>
        <v>E2_3_1_41_km : 1</v>
      </c>
      <c r="G78" s="6" t="str">
        <f t="shared" si="16"/>
        <v>E2_3_1_41_mRNA : E2_3_1_41_mRNA</v>
      </c>
      <c r="H78" s="28" t="str">
        <f t="shared" si="17"/>
        <v>E2_3_1_41 : E2_3_1_41</v>
      </c>
      <c r="I78" s="29" t="str">
        <f t="shared" si="18"/>
        <v>E2_3_1_41_mRNA : 0</v>
      </c>
      <c r="J78" s="30" t="str">
        <f t="shared" si="19"/>
        <v>E2_3_1_41 : 0</v>
      </c>
      <c r="K78" s="31" t="str">
        <f t="shared" si="20"/>
        <v>0.00292 - (0.0093 * E2_3_1_41_mRNA)</v>
      </c>
      <c r="L78" s="32" t="str">
        <f t="shared" si="21"/>
        <v>(0.278 * E2_3_1_41_mRNA) - (0.00000278 * E2_3_1_41)</v>
      </c>
      <c r="M78" s="7" t="str">
        <f t="shared" si="22"/>
        <v>mRNA77: -&gt; E2_3_1_41_mRNA | 0.00292 - (0.0093 * E2_3_1_41_mRNA)</v>
      </c>
      <c r="N78" s="33" t="str">
        <f t="shared" si="23"/>
        <v>Peptide77: E2_3_1_41_mRNA -&gt; E2_3_1_41 | (0.278 * E2_3_1_41_mRNA) - (0.000000278 * E2_3_1_41)</v>
      </c>
    </row>
    <row r="79" spans="1:14" x14ac:dyDescent="0.35">
      <c r="A79" s="1">
        <v>78</v>
      </c>
      <c r="B79" s="1" t="s">
        <v>9838</v>
      </c>
      <c r="C79" s="1" t="str">
        <f t="shared" si="12"/>
        <v>E2_3_1_51_mRNA</v>
      </c>
      <c r="D79" s="1" t="str">
        <f t="shared" si="13"/>
        <v>E2_3_1_51</v>
      </c>
      <c r="E79" s="26" t="str">
        <f t="shared" si="14"/>
        <v>E2_3_1_51_kcat : 13.7</v>
      </c>
      <c r="F79" s="27" t="str">
        <f t="shared" si="15"/>
        <v>E2_3_1_51_km : 1</v>
      </c>
      <c r="G79" s="6" t="str">
        <f t="shared" si="16"/>
        <v>E2_3_1_51_mRNA : E2_3_1_51_mRNA</v>
      </c>
      <c r="H79" s="28" t="str">
        <f t="shared" si="17"/>
        <v>E2_3_1_51 : E2_3_1_51</v>
      </c>
      <c r="I79" s="29" t="str">
        <f t="shared" si="18"/>
        <v>E2_3_1_51_mRNA : 0</v>
      </c>
      <c r="J79" s="30" t="str">
        <f t="shared" si="19"/>
        <v>E2_3_1_51 : 0</v>
      </c>
      <c r="K79" s="31" t="str">
        <f t="shared" si="20"/>
        <v>0.00292 - (0.0093 * E2_3_1_51_mRNA)</v>
      </c>
      <c r="L79" s="32" t="str">
        <f t="shared" si="21"/>
        <v>(0.278 * E2_3_1_51_mRNA) - (0.00000278 * E2_3_1_51)</v>
      </c>
      <c r="M79" s="7" t="str">
        <f t="shared" si="22"/>
        <v>mRNA78: -&gt; E2_3_1_51_mRNA | 0.00292 - (0.0093 * E2_3_1_51_mRNA)</v>
      </c>
      <c r="N79" s="33" t="str">
        <f t="shared" si="23"/>
        <v>Peptide78: E2_3_1_51_mRNA -&gt; E2_3_1_51 | (0.278 * E2_3_1_51_mRNA) - (0.000000278 * E2_3_1_51)</v>
      </c>
    </row>
    <row r="80" spans="1:14" x14ac:dyDescent="0.35">
      <c r="A80" s="1">
        <v>79</v>
      </c>
      <c r="B80" s="1" t="s">
        <v>9839</v>
      </c>
      <c r="C80" s="1" t="str">
        <f t="shared" si="12"/>
        <v>E2_3_1_54_mRNA</v>
      </c>
      <c r="D80" s="1" t="str">
        <f t="shared" si="13"/>
        <v>E2_3_1_54</v>
      </c>
      <c r="E80" s="26" t="str">
        <f t="shared" si="14"/>
        <v>E2_3_1_54_kcat : 13.7</v>
      </c>
      <c r="F80" s="27" t="str">
        <f t="shared" si="15"/>
        <v>E2_3_1_54_km : 1</v>
      </c>
      <c r="G80" s="6" t="str">
        <f t="shared" si="16"/>
        <v>E2_3_1_54_mRNA : E2_3_1_54_mRNA</v>
      </c>
      <c r="H80" s="28" t="str">
        <f t="shared" si="17"/>
        <v>E2_3_1_54 : E2_3_1_54</v>
      </c>
      <c r="I80" s="29" t="str">
        <f t="shared" si="18"/>
        <v>E2_3_1_54_mRNA : 0</v>
      </c>
      <c r="J80" s="30" t="str">
        <f t="shared" si="19"/>
        <v>E2_3_1_54 : 0</v>
      </c>
      <c r="K80" s="31" t="str">
        <f t="shared" si="20"/>
        <v>0.00292 - (0.0093 * E2_3_1_54_mRNA)</v>
      </c>
      <c r="L80" s="32" t="str">
        <f t="shared" si="21"/>
        <v>(0.278 * E2_3_1_54_mRNA) - (0.00000278 * E2_3_1_54)</v>
      </c>
      <c r="M80" s="7" t="str">
        <f t="shared" si="22"/>
        <v>mRNA79: -&gt; E2_3_1_54_mRNA | 0.00292 - (0.0093 * E2_3_1_54_mRNA)</v>
      </c>
      <c r="N80" s="33" t="str">
        <f t="shared" si="23"/>
        <v>Peptide79: E2_3_1_54_mRNA -&gt; E2_3_1_54 | (0.278 * E2_3_1_54_mRNA) - (0.000000278 * E2_3_1_54)</v>
      </c>
    </row>
    <row r="81" spans="1:14" x14ac:dyDescent="0.35">
      <c r="A81" s="1">
        <v>80</v>
      </c>
      <c r="B81" s="1" t="s">
        <v>9840</v>
      </c>
      <c r="C81" s="1" t="str">
        <f t="shared" si="12"/>
        <v>E2_3_1_79_mRNA</v>
      </c>
      <c r="D81" s="1" t="str">
        <f t="shared" si="13"/>
        <v>E2_3_1_79</v>
      </c>
      <c r="E81" s="26" t="str">
        <f t="shared" si="14"/>
        <v>E2_3_1_79_kcat : 13.7</v>
      </c>
      <c r="F81" s="27" t="str">
        <f t="shared" si="15"/>
        <v>E2_3_1_79_km : 1</v>
      </c>
      <c r="G81" s="6" t="str">
        <f t="shared" si="16"/>
        <v>E2_3_1_79_mRNA : E2_3_1_79_mRNA</v>
      </c>
      <c r="H81" s="28" t="str">
        <f t="shared" si="17"/>
        <v>E2_3_1_79 : E2_3_1_79</v>
      </c>
      <c r="I81" s="29" t="str">
        <f t="shared" si="18"/>
        <v>E2_3_1_79_mRNA : 0</v>
      </c>
      <c r="J81" s="30" t="str">
        <f t="shared" si="19"/>
        <v>E2_3_1_79 : 0</v>
      </c>
      <c r="K81" s="31" t="str">
        <f t="shared" si="20"/>
        <v>0.00292 - (0.0093 * E2_3_1_79_mRNA)</v>
      </c>
      <c r="L81" s="32" t="str">
        <f t="shared" si="21"/>
        <v>(0.278 * E2_3_1_79_mRNA) - (0.00000278 * E2_3_1_79)</v>
      </c>
      <c r="M81" s="7" t="str">
        <f t="shared" si="22"/>
        <v>mRNA80: -&gt; E2_3_1_79_mRNA | 0.00292 - (0.0093 * E2_3_1_79_mRNA)</v>
      </c>
      <c r="N81" s="33" t="str">
        <f t="shared" si="23"/>
        <v>Peptide80: E2_3_1_79_mRNA -&gt; E2_3_1_79 | (0.278 * E2_3_1_79_mRNA) - (0.000000278 * E2_3_1_79)</v>
      </c>
    </row>
    <row r="82" spans="1:14" x14ac:dyDescent="0.35">
      <c r="A82" s="1">
        <v>81</v>
      </c>
      <c r="B82" s="1" t="s">
        <v>9841</v>
      </c>
      <c r="C82" s="1" t="str">
        <f t="shared" si="12"/>
        <v>E2_3_1_8_mRNA</v>
      </c>
      <c r="D82" s="1" t="str">
        <f t="shared" si="13"/>
        <v>E2_3_1_8</v>
      </c>
      <c r="E82" s="26" t="str">
        <f t="shared" si="14"/>
        <v>E2_3_1_8_kcat : 13.7</v>
      </c>
      <c r="F82" s="27" t="str">
        <f t="shared" si="15"/>
        <v>E2_3_1_8_km : 1</v>
      </c>
      <c r="G82" s="6" t="str">
        <f t="shared" si="16"/>
        <v>E2_3_1_8_mRNA : E2_3_1_8_mRNA</v>
      </c>
      <c r="H82" s="28" t="str">
        <f t="shared" si="17"/>
        <v>E2_3_1_8 : E2_3_1_8</v>
      </c>
      <c r="I82" s="29" t="str">
        <f t="shared" si="18"/>
        <v>E2_3_1_8_mRNA : 0</v>
      </c>
      <c r="J82" s="30" t="str">
        <f t="shared" si="19"/>
        <v>E2_3_1_8 : 0</v>
      </c>
      <c r="K82" s="31" t="str">
        <f t="shared" si="20"/>
        <v>0.00292 - (0.0093 * E2_3_1_8_mRNA)</v>
      </c>
      <c r="L82" s="32" t="str">
        <f t="shared" si="21"/>
        <v>(0.278 * E2_3_1_8_mRNA) - (0.00000278 * E2_3_1_8)</v>
      </c>
      <c r="M82" s="7" t="str">
        <f t="shared" si="22"/>
        <v>mRNA81: -&gt; E2_3_1_8_mRNA | 0.00292 - (0.0093 * E2_3_1_8_mRNA)</v>
      </c>
      <c r="N82" s="33" t="str">
        <f t="shared" si="23"/>
        <v>Peptide81: E2_3_1_8_mRNA -&gt; E2_3_1_8 | (0.278 * E2_3_1_8_mRNA) - (0.000000278 * E2_3_1_8)</v>
      </c>
    </row>
    <row r="83" spans="1:14" x14ac:dyDescent="0.35">
      <c r="A83" s="1">
        <v>82</v>
      </c>
      <c r="B83" s="1" t="s">
        <v>9842</v>
      </c>
      <c r="C83" s="1" t="str">
        <f t="shared" si="12"/>
        <v>E2_3_3_1_mRNA</v>
      </c>
      <c r="D83" s="1" t="str">
        <f t="shared" si="13"/>
        <v>E2_3_3_1</v>
      </c>
      <c r="E83" s="26" t="str">
        <f t="shared" si="14"/>
        <v>E2_3_3_1_kcat : 13.7</v>
      </c>
      <c r="F83" s="27" t="str">
        <f t="shared" si="15"/>
        <v>E2_3_3_1_km : 1</v>
      </c>
      <c r="G83" s="6" t="str">
        <f t="shared" si="16"/>
        <v>E2_3_3_1_mRNA : E2_3_3_1_mRNA</v>
      </c>
      <c r="H83" s="28" t="str">
        <f t="shared" si="17"/>
        <v>E2_3_3_1 : E2_3_3_1</v>
      </c>
      <c r="I83" s="29" t="str">
        <f t="shared" si="18"/>
        <v>E2_3_3_1_mRNA : 0</v>
      </c>
      <c r="J83" s="30" t="str">
        <f t="shared" si="19"/>
        <v>E2_3_3_1 : 0</v>
      </c>
      <c r="K83" s="31" t="str">
        <f t="shared" si="20"/>
        <v>0.00292 - (0.0093 * E2_3_3_1_mRNA)</v>
      </c>
      <c r="L83" s="32" t="str">
        <f t="shared" si="21"/>
        <v>(0.278 * E2_3_3_1_mRNA) - (0.00000278 * E2_3_3_1)</v>
      </c>
      <c r="M83" s="7" t="str">
        <f t="shared" si="22"/>
        <v>mRNA82: -&gt; E2_3_3_1_mRNA | 0.00292 - (0.0093 * E2_3_3_1_mRNA)</v>
      </c>
      <c r="N83" s="33" t="str">
        <f t="shared" si="23"/>
        <v>Peptide82: E2_3_3_1_mRNA -&gt; E2_3_3_1 | (0.278 * E2_3_3_1_mRNA) - (0.000000278 * E2_3_3_1)</v>
      </c>
    </row>
    <row r="84" spans="1:14" x14ac:dyDescent="0.35">
      <c r="A84" s="1">
        <v>83</v>
      </c>
      <c r="B84" s="1" t="s">
        <v>9843</v>
      </c>
      <c r="C84" s="1" t="str">
        <f t="shared" si="12"/>
        <v>E2_3_3_10_mRNA</v>
      </c>
      <c r="D84" s="1" t="str">
        <f t="shared" si="13"/>
        <v>E2_3_3_10</v>
      </c>
      <c r="E84" s="26" t="str">
        <f t="shared" si="14"/>
        <v>E2_3_3_10_kcat : 13.7</v>
      </c>
      <c r="F84" s="27" t="str">
        <f t="shared" si="15"/>
        <v>E2_3_3_10_km : 1</v>
      </c>
      <c r="G84" s="6" t="str">
        <f t="shared" si="16"/>
        <v>E2_3_3_10_mRNA : E2_3_3_10_mRNA</v>
      </c>
      <c r="H84" s="28" t="str">
        <f t="shared" si="17"/>
        <v>E2_3_3_10 : E2_3_3_10</v>
      </c>
      <c r="I84" s="29" t="str">
        <f t="shared" si="18"/>
        <v>E2_3_3_10_mRNA : 0</v>
      </c>
      <c r="J84" s="30" t="str">
        <f t="shared" si="19"/>
        <v>E2_3_3_10 : 0</v>
      </c>
      <c r="K84" s="31" t="str">
        <f t="shared" si="20"/>
        <v>0.00292 - (0.0093 * E2_3_3_10_mRNA)</v>
      </c>
      <c r="L84" s="32" t="str">
        <f t="shared" si="21"/>
        <v>(0.278 * E2_3_3_10_mRNA) - (0.00000278 * E2_3_3_10)</v>
      </c>
      <c r="M84" s="7" t="str">
        <f t="shared" si="22"/>
        <v>mRNA83: -&gt; E2_3_3_10_mRNA | 0.00292 - (0.0093 * E2_3_3_10_mRNA)</v>
      </c>
      <c r="N84" s="33" t="str">
        <f t="shared" si="23"/>
        <v>Peptide83: E2_3_3_10_mRNA -&gt; E2_3_3_10 | (0.278 * E2_3_3_10_mRNA) - (0.000000278 * E2_3_3_10)</v>
      </c>
    </row>
    <row r="85" spans="1:14" x14ac:dyDescent="0.35">
      <c r="A85" s="1">
        <v>84</v>
      </c>
      <c r="B85" s="1" t="s">
        <v>9844</v>
      </c>
      <c r="C85" s="1" t="str">
        <f t="shared" si="12"/>
        <v>E2_3_3_13_mRNA</v>
      </c>
      <c r="D85" s="1" t="str">
        <f t="shared" si="13"/>
        <v>E2_3_3_13</v>
      </c>
      <c r="E85" s="26" t="str">
        <f t="shared" si="14"/>
        <v>E2_3_3_13_kcat : 13.7</v>
      </c>
      <c r="F85" s="27" t="str">
        <f t="shared" si="15"/>
        <v>E2_3_3_13_km : 1</v>
      </c>
      <c r="G85" s="6" t="str">
        <f t="shared" si="16"/>
        <v>E2_3_3_13_mRNA : E2_3_3_13_mRNA</v>
      </c>
      <c r="H85" s="28" t="str">
        <f t="shared" si="17"/>
        <v>E2_3_3_13 : E2_3_3_13</v>
      </c>
      <c r="I85" s="29" t="str">
        <f t="shared" si="18"/>
        <v>E2_3_3_13_mRNA : 0</v>
      </c>
      <c r="J85" s="30" t="str">
        <f t="shared" si="19"/>
        <v>E2_3_3_13 : 0</v>
      </c>
      <c r="K85" s="31" t="str">
        <f t="shared" si="20"/>
        <v>0.00292 - (0.0093 * E2_3_3_13_mRNA)</v>
      </c>
      <c r="L85" s="32" t="str">
        <f t="shared" si="21"/>
        <v>(0.278 * E2_3_3_13_mRNA) - (0.00000278 * E2_3_3_13)</v>
      </c>
      <c r="M85" s="7" t="str">
        <f t="shared" si="22"/>
        <v>mRNA84: -&gt; E2_3_3_13_mRNA | 0.00292 - (0.0093 * E2_3_3_13_mRNA)</v>
      </c>
      <c r="N85" s="33" t="str">
        <f t="shared" si="23"/>
        <v>Peptide84: E2_3_3_13_mRNA -&gt; E2_3_3_13 | (0.278 * E2_3_3_13_mRNA) - (0.000000278 * E2_3_3_13)</v>
      </c>
    </row>
    <row r="86" spans="1:14" x14ac:dyDescent="0.35">
      <c r="A86" s="1">
        <v>85</v>
      </c>
      <c r="B86" s="1" t="s">
        <v>9845</v>
      </c>
      <c r="C86" s="1" t="str">
        <f t="shared" si="12"/>
        <v>E2_4_1_1_mRNA</v>
      </c>
      <c r="D86" s="1" t="str">
        <f t="shared" si="13"/>
        <v>E2_4_1_1</v>
      </c>
      <c r="E86" s="26" t="str">
        <f t="shared" si="14"/>
        <v>E2_4_1_1_kcat : 13.7</v>
      </c>
      <c r="F86" s="27" t="str">
        <f t="shared" si="15"/>
        <v>E2_4_1_1_km : 1</v>
      </c>
      <c r="G86" s="6" t="str">
        <f t="shared" si="16"/>
        <v>E2_4_1_1_mRNA : E2_4_1_1_mRNA</v>
      </c>
      <c r="H86" s="28" t="str">
        <f t="shared" si="17"/>
        <v>E2_4_1_1 : E2_4_1_1</v>
      </c>
      <c r="I86" s="29" t="str">
        <f t="shared" si="18"/>
        <v>E2_4_1_1_mRNA : 0</v>
      </c>
      <c r="J86" s="30" t="str">
        <f t="shared" si="19"/>
        <v>E2_4_1_1 : 0</v>
      </c>
      <c r="K86" s="31" t="str">
        <f t="shared" si="20"/>
        <v>0.00292 - (0.0093 * E2_4_1_1_mRNA)</v>
      </c>
      <c r="L86" s="32" t="str">
        <f t="shared" si="21"/>
        <v>(0.278 * E2_4_1_1_mRNA) - (0.00000278 * E2_4_1_1)</v>
      </c>
      <c r="M86" s="7" t="str">
        <f t="shared" si="22"/>
        <v>mRNA85: -&gt; E2_4_1_1_mRNA | 0.00292 - (0.0093 * E2_4_1_1_mRNA)</v>
      </c>
      <c r="N86" s="33" t="str">
        <f t="shared" si="23"/>
        <v>Peptide85: E2_4_1_1_mRNA -&gt; E2_4_1_1 | (0.278 * E2_4_1_1_mRNA) - (0.000000278 * E2_4_1_1)</v>
      </c>
    </row>
    <row r="87" spans="1:14" x14ac:dyDescent="0.35">
      <c r="A87" s="1">
        <v>86</v>
      </c>
      <c r="B87" s="1" t="s">
        <v>9846</v>
      </c>
      <c r="C87" s="1" t="str">
        <f t="shared" si="12"/>
        <v>E2_4_1_10_mRNA</v>
      </c>
      <c r="D87" s="1" t="str">
        <f t="shared" si="13"/>
        <v>E2_4_1_10</v>
      </c>
      <c r="E87" s="26" t="str">
        <f t="shared" si="14"/>
        <v>E2_4_1_10_kcat : 13.7</v>
      </c>
      <c r="F87" s="27" t="str">
        <f t="shared" si="15"/>
        <v>E2_4_1_10_km : 1</v>
      </c>
      <c r="G87" s="6" t="str">
        <f t="shared" si="16"/>
        <v>E2_4_1_10_mRNA : E2_4_1_10_mRNA</v>
      </c>
      <c r="H87" s="28" t="str">
        <f t="shared" si="17"/>
        <v>E2_4_1_10 : E2_4_1_10</v>
      </c>
      <c r="I87" s="29" t="str">
        <f t="shared" si="18"/>
        <v>E2_4_1_10_mRNA : 0</v>
      </c>
      <c r="J87" s="30" t="str">
        <f t="shared" si="19"/>
        <v>E2_4_1_10 : 0</v>
      </c>
      <c r="K87" s="31" t="str">
        <f t="shared" si="20"/>
        <v>0.00292 - (0.0093 * E2_4_1_10_mRNA)</v>
      </c>
      <c r="L87" s="32" t="str">
        <f t="shared" si="21"/>
        <v>(0.278 * E2_4_1_10_mRNA) - (0.00000278 * E2_4_1_10)</v>
      </c>
      <c r="M87" s="7" t="str">
        <f t="shared" si="22"/>
        <v>mRNA86: -&gt; E2_4_1_10_mRNA | 0.00292 - (0.0093 * E2_4_1_10_mRNA)</v>
      </c>
      <c r="N87" s="33" t="str">
        <f t="shared" si="23"/>
        <v>Peptide86: E2_4_1_10_mRNA -&gt; E2_4_1_10 | (0.278 * E2_4_1_10_mRNA) - (0.000000278 * E2_4_1_10)</v>
      </c>
    </row>
    <row r="88" spans="1:14" x14ac:dyDescent="0.35">
      <c r="A88" s="1">
        <v>87</v>
      </c>
      <c r="B88" s="1" t="s">
        <v>9847</v>
      </c>
      <c r="C88" s="1" t="str">
        <f t="shared" si="12"/>
        <v>E2_4_1_12_mRNA</v>
      </c>
      <c r="D88" s="1" t="str">
        <f t="shared" si="13"/>
        <v>E2_4_1_12</v>
      </c>
      <c r="E88" s="26" t="str">
        <f t="shared" si="14"/>
        <v>E2_4_1_12_kcat : 13.7</v>
      </c>
      <c r="F88" s="27" t="str">
        <f t="shared" si="15"/>
        <v>E2_4_1_12_km : 1</v>
      </c>
      <c r="G88" s="6" t="str">
        <f t="shared" si="16"/>
        <v>E2_4_1_12_mRNA : E2_4_1_12_mRNA</v>
      </c>
      <c r="H88" s="28" t="str">
        <f t="shared" si="17"/>
        <v>E2_4_1_12 : E2_4_1_12</v>
      </c>
      <c r="I88" s="29" t="str">
        <f t="shared" si="18"/>
        <v>E2_4_1_12_mRNA : 0</v>
      </c>
      <c r="J88" s="30" t="str">
        <f t="shared" si="19"/>
        <v>E2_4_1_12 : 0</v>
      </c>
      <c r="K88" s="31" t="str">
        <f t="shared" si="20"/>
        <v>0.00292 - (0.0093 * E2_4_1_12_mRNA)</v>
      </c>
      <c r="L88" s="32" t="str">
        <f t="shared" si="21"/>
        <v>(0.278 * E2_4_1_12_mRNA) - (0.00000278 * E2_4_1_12)</v>
      </c>
      <c r="M88" s="7" t="str">
        <f t="shared" si="22"/>
        <v>mRNA87: -&gt; E2_4_1_12_mRNA | 0.00292 - (0.0093 * E2_4_1_12_mRNA)</v>
      </c>
      <c r="N88" s="33" t="str">
        <f t="shared" si="23"/>
        <v>Peptide87: E2_4_1_12_mRNA -&gt; E2_4_1_12 | (0.278 * E2_4_1_12_mRNA) - (0.000000278 * E2_4_1_12)</v>
      </c>
    </row>
    <row r="89" spans="1:14" x14ac:dyDescent="0.35">
      <c r="A89" s="1">
        <v>88</v>
      </c>
      <c r="B89" s="1" t="s">
        <v>9848</v>
      </c>
      <c r="C89" s="1" t="str">
        <f t="shared" si="12"/>
        <v>E2_4_1_129_mRNA</v>
      </c>
      <c r="D89" s="1" t="str">
        <f t="shared" si="13"/>
        <v>E2_4_1_129</v>
      </c>
      <c r="E89" s="26" t="str">
        <f t="shared" si="14"/>
        <v>E2_4_1_129_kcat : 13.7</v>
      </c>
      <c r="F89" s="27" t="str">
        <f t="shared" si="15"/>
        <v>E2_4_1_129_km : 1</v>
      </c>
      <c r="G89" s="6" t="str">
        <f t="shared" si="16"/>
        <v>E2_4_1_129_mRNA : E2_4_1_129_mRNA</v>
      </c>
      <c r="H89" s="28" t="str">
        <f t="shared" si="17"/>
        <v>E2_4_1_129 : E2_4_1_129</v>
      </c>
      <c r="I89" s="29" t="str">
        <f t="shared" si="18"/>
        <v>E2_4_1_129_mRNA : 0</v>
      </c>
      <c r="J89" s="30" t="str">
        <f t="shared" si="19"/>
        <v>E2_4_1_129 : 0</v>
      </c>
      <c r="K89" s="31" t="str">
        <f t="shared" si="20"/>
        <v>0.00292 - (0.0093 * E2_4_1_129_mRNA)</v>
      </c>
      <c r="L89" s="32" t="str">
        <f t="shared" si="21"/>
        <v>(0.278 * E2_4_1_129_mRNA) - (0.00000278 * E2_4_1_129)</v>
      </c>
      <c r="M89" s="7" t="str">
        <f t="shared" si="22"/>
        <v>mRNA88: -&gt; E2_4_1_129_mRNA | 0.00292 - (0.0093 * E2_4_1_129_mRNA)</v>
      </c>
      <c r="N89" s="33" t="str">
        <f t="shared" si="23"/>
        <v>Peptide88: E2_4_1_129_mRNA -&gt; E2_4_1_129 | (0.278 * E2_4_1_129_mRNA) - (0.000000278 * E2_4_1_129)</v>
      </c>
    </row>
    <row r="90" spans="1:14" x14ac:dyDescent="0.35">
      <c r="A90" s="1">
        <v>89</v>
      </c>
      <c r="B90" s="1" t="s">
        <v>9849</v>
      </c>
      <c r="C90" s="1" t="str">
        <f t="shared" si="12"/>
        <v>E2_4_1_18_mRNA</v>
      </c>
      <c r="D90" s="1" t="str">
        <f t="shared" si="13"/>
        <v>E2_4_1_18</v>
      </c>
      <c r="E90" s="26" t="str">
        <f t="shared" si="14"/>
        <v>E2_4_1_18_kcat : 13.7</v>
      </c>
      <c r="F90" s="27" t="str">
        <f t="shared" si="15"/>
        <v>E2_4_1_18_km : 1</v>
      </c>
      <c r="G90" s="6" t="str">
        <f t="shared" si="16"/>
        <v>E2_4_1_18_mRNA : E2_4_1_18_mRNA</v>
      </c>
      <c r="H90" s="28" t="str">
        <f t="shared" si="17"/>
        <v>E2_4_1_18 : E2_4_1_18</v>
      </c>
      <c r="I90" s="29" t="str">
        <f t="shared" si="18"/>
        <v>E2_4_1_18_mRNA : 0</v>
      </c>
      <c r="J90" s="30" t="str">
        <f t="shared" si="19"/>
        <v>E2_4_1_18 : 0</v>
      </c>
      <c r="K90" s="31" t="str">
        <f t="shared" si="20"/>
        <v>0.00292 - (0.0093 * E2_4_1_18_mRNA)</v>
      </c>
      <c r="L90" s="32" t="str">
        <f t="shared" si="21"/>
        <v>(0.278 * E2_4_1_18_mRNA) - (0.00000278 * E2_4_1_18)</v>
      </c>
      <c r="M90" s="7" t="str">
        <f t="shared" si="22"/>
        <v>mRNA89: -&gt; E2_4_1_18_mRNA | 0.00292 - (0.0093 * E2_4_1_18_mRNA)</v>
      </c>
      <c r="N90" s="33" t="str">
        <f t="shared" si="23"/>
        <v>Peptide89: E2_4_1_18_mRNA -&gt; E2_4_1_18 | (0.278 * E2_4_1_18_mRNA) - (0.000000278 * E2_4_1_18)</v>
      </c>
    </row>
    <row r="91" spans="1:14" x14ac:dyDescent="0.35">
      <c r="A91" s="1">
        <v>90</v>
      </c>
      <c r="B91" s="1" t="s">
        <v>9850</v>
      </c>
      <c r="C91" s="1" t="str">
        <f t="shared" si="12"/>
        <v>E2_4_1_21_mRNA</v>
      </c>
      <c r="D91" s="1" t="str">
        <f t="shared" si="13"/>
        <v>E2_4_1_21</v>
      </c>
      <c r="E91" s="26" t="str">
        <f t="shared" si="14"/>
        <v>E2_4_1_21_kcat : 13.7</v>
      </c>
      <c r="F91" s="27" t="str">
        <f t="shared" si="15"/>
        <v>E2_4_1_21_km : 1</v>
      </c>
      <c r="G91" s="6" t="str">
        <f t="shared" si="16"/>
        <v>E2_4_1_21_mRNA : E2_4_1_21_mRNA</v>
      </c>
      <c r="H91" s="28" t="str">
        <f t="shared" si="17"/>
        <v>E2_4_1_21 : E2_4_1_21</v>
      </c>
      <c r="I91" s="29" t="str">
        <f t="shared" si="18"/>
        <v>E2_4_1_21_mRNA : 0</v>
      </c>
      <c r="J91" s="30" t="str">
        <f t="shared" si="19"/>
        <v>E2_4_1_21 : 0</v>
      </c>
      <c r="K91" s="31" t="str">
        <f t="shared" si="20"/>
        <v>0.00292 - (0.0093 * E2_4_1_21_mRNA)</v>
      </c>
      <c r="L91" s="32" t="str">
        <f t="shared" si="21"/>
        <v>(0.278 * E2_4_1_21_mRNA) - (0.00000278 * E2_4_1_21)</v>
      </c>
      <c r="M91" s="7" t="str">
        <f t="shared" si="22"/>
        <v>mRNA90: -&gt; E2_4_1_21_mRNA | 0.00292 - (0.0093 * E2_4_1_21_mRNA)</v>
      </c>
      <c r="N91" s="33" t="str">
        <f t="shared" si="23"/>
        <v>Peptide90: E2_4_1_21_mRNA -&gt; E2_4_1_21 | (0.278 * E2_4_1_21_mRNA) - (0.000000278 * E2_4_1_21)</v>
      </c>
    </row>
    <row r="92" spans="1:14" x14ac:dyDescent="0.35">
      <c r="A92" s="1">
        <v>91</v>
      </c>
      <c r="B92" s="1" t="s">
        <v>9851</v>
      </c>
      <c r="C92" s="1" t="str">
        <f t="shared" si="12"/>
        <v>E2_4_1_227_mRNA</v>
      </c>
      <c r="D92" s="1" t="str">
        <f t="shared" si="13"/>
        <v>E2_4_1_227</v>
      </c>
      <c r="E92" s="26" t="str">
        <f t="shared" si="14"/>
        <v>E2_4_1_227_kcat : 13.7</v>
      </c>
      <c r="F92" s="27" t="str">
        <f t="shared" si="15"/>
        <v>E2_4_1_227_km : 1</v>
      </c>
      <c r="G92" s="6" t="str">
        <f t="shared" si="16"/>
        <v>E2_4_1_227_mRNA : E2_4_1_227_mRNA</v>
      </c>
      <c r="H92" s="28" t="str">
        <f t="shared" si="17"/>
        <v>E2_4_1_227 : E2_4_1_227</v>
      </c>
      <c r="I92" s="29" t="str">
        <f t="shared" si="18"/>
        <v>E2_4_1_227_mRNA : 0</v>
      </c>
      <c r="J92" s="30" t="str">
        <f t="shared" si="19"/>
        <v>E2_4_1_227 : 0</v>
      </c>
      <c r="K92" s="31" t="str">
        <f t="shared" si="20"/>
        <v>0.00292 - (0.0093 * E2_4_1_227_mRNA)</v>
      </c>
      <c r="L92" s="32" t="str">
        <f t="shared" si="21"/>
        <v>(0.278 * E2_4_1_227_mRNA) - (0.00000278 * E2_4_1_227)</v>
      </c>
      <c r="M92" s="7" t="str">
        <f t="shared" si="22"/>
        <v>mRNA91: -&gt; E2_4_1_227_mRNA | 0.00292 - (0.0093 * E2_4_1_227_mRNA)</v>
      </c>
      <c r="N92" s="33" t="str">
        <f t="shared" si="23"/>
        <v>Peptide91: E2_4_1_227_mRNA -&gt; E2_4_1_227 | (0.278 * E2_4_1_227_mRNA) - (0.000000278 * E2_4_1_227)</v>
      </c>
    </row>
    <row r="93" spans="1:14" x14ac:dyDescent="0.35">
      <c r="A93" s="1">
        <v>92</v>
      </c>
      <c r="B93" s="1" t="s">
        <v>9852</v>
      </c>
      <c r="C93" s="1" t="str">
        <f t="shared" si="12"/>
        <v>E2_4_1_25_mRNA</v>
      </c>
      <c r="D93" s="1" t="str">
        <f t="shared" si="13"/>
        <v>E2_4_1_25</v>
      </c>
      <c r="E93" s="26" t="str">
        <f t="shared" si="14"/>
        <v>E2_4_1_25_kcat : 13.7</v>
      </c>
      <c r="F93" s="27" t="str">
        <f t="shared" si="15"/>
        <v>E2_4_1_25_km : 1</v>
      </c>
      <c r="G93" s="6" t="str">
        <f t="shared" si="16"/>
        <v>E2_4_1_25_mRNA : E2_4_1_25_mRNA</v>
      </c>
      <c r="H93" s="28" t="str">
        <f t="shared" si="17"/>
        <v>E2_4_1_25 : E2_4_1_25</v>
      </c>
      <c r="I93" s="29" t="str">
        <f t="shared" si="18"/>
        <v>E2_4_1_25_mRNA : 0</v>
      </c>
      <c r="J93" s="30" t="str">
        <f t="shared" si="19"/>
        <v>E2_4_1_25 : 0</v>
      </c>
      <c r="K93" s="31" t="str">
        <f t="shared" si="20"/>
        <v>0.00292 - (0.0093 * E2_4_1_25_mRNA)</v>
      </c>
      <c r="L93" s="32" t="str">
        <f t="shared" si="21"/>
        <v>(0.278 * E2_4_1_25_mRNA) - (0.00000278 * E2_4_1_25)</v>
      </c>
      <c r="M93" s="7" t="str">
        <f t="shared" si="22"/>
        <v>mRNA92: -&gt; E2_4_1_25_mRNA | 0.00292 - (0.0093 * E2_4_1_25_mRNA)</v>
      </c>
      <c r="N93" s="33" t="str">
        <f t="shared" si="23"/>
        <v>Peptide92: E2_4_1_25_mRNA -&gt; E2_4_1_25 | (0.278 * E2_4_1_25_mRNA) - (0.000000278 * E2_4_1_25)</v>
      </c>
    </row>
    <row r="94" spans="1:14" x14ac:dyDescent="0.35">
      <c r="A94" s="1">
        <v>93</v>
      </c>
      <c r="B94" s="1" t="s">
        <v>9853</v>
      </c>
      <c r="C94" s="1" t="str">
        <f t="shared" si="12"/>
        <v>E2_4_1_5_mRNA</v>
      </c>
      <c r="D94" s="1" t="str">
        <f t="shared" si="13"/>
        <v>E2_4_1_5</v>
      </c>
      <c r="E94" s="26" t="str">
        <f t="shared" si="14"/>
        <v>E2_4_1_5_kcat : 13.7</v>
      </c>
      <c r="F94" s="27" t="str">
        <f t="shared" si="15"/>
        <v>E2_4_1_5_km : 1</v>
      </c>
      <c r="G94" s="6" t="str">
        <f t="shared" si="16"/>
        <v>E2_4_1_5_mRNA : E2_4_1_5_mRNA</v>
      </c>
      <c r="H94" s="28" t="str">
        <f t="shared" si="17"/>
        <v>E2_4_1_5 : E2_4_1_5</v>
      </c>
      <c r="I94" s="29" t="str">
        <f t="shared" si="18"/>
        <v>E2_4_1_5_mRNA : 0</v>
      </c>
      <c r="J94" s="30" t="str">
        <f t="shared" si="19"/>
        <v>E2_4_1_5 : 0</v>
      </c>
      <c r="K94" s="31" t="str">
        <f t="shared" si="20"/>
        <v>0.00292 - (0.0093 * E2_4_1_5_mRNA)</v>
      </c>
      <c r="L94" s="32" t="str">
        <f t="shared" si="21"/>
        <v>(0.278 * E2_4_1_5_mRNA) - (0.00000278 * E2_4_1_5)</v>
      </c>
      <c r="M94" s="7" t="str">
        <f t="shared" si="22"/>
        <v>mRNA93: -&gt; E2_4_1_5_mRNA | 0.00292 - (0.0093 * E2_4_1_5_mRNA)</v>
      </c>
      <c r="N94" s="33" t="str">
        <f t="shared" si="23"/>
        <v>Peptide93: E2_4_1_5_mRNA -&gt; E2_4_1_5 | (0.278 * E2_4_1_5_mRNA) - (0.000000278 * E2_4_1_5)</v>
      </c>
    </row>
    <row r="95" spans="1:14" x14ac:dyDescent="0.35">
      <c r="A95" s="1">
        <v>94</v>
      </c>
      <c r="B95" s="1" t="s">
        <v>9854</v>
      </c>
      <c r="C95" s="1" t="str">
        <f t="shared" si="12"/>
        <v>E2_4_1_80_mRNA</v>
      </c>
      <c r="D95" s="1" t="str">
        <f t="shared" si="13"/>
        <v>E2_4_1_80</v>
      </c>
      <c r="E95" s="26" t="str">
        <f t="shared" si="14"/>
        <v>E2_4_1_80_kcat : 13.7</v>
      </c>
      <c r="F95" s="27" t="str">
        <f t="shared" si="15"/>
        <v>E2_4_1_80_km : 1</v>
      </c>
      <c r="G95" s="6" t="str">
        <f t="shared" si="16"/>
        <v>E2_4_1_80_mRNA : E2_4_1_80_mRNA</v>
      </c>
      <c r="H95" s="28" t="str">
        <f t="shared" si="17"/>
        <v>E2_4_1_80 : E2_4_1_80</v>
      </c>
      <c r="I95" s="29" t="str">
        <f t="shared" si="18"/>
        <v>E2_4_1_80_mRNA : 0</v>
      </c>
      <c r="J95" s="30" t="str">
        <f t="shared" si="19"/>
        <v>E2_4_1_80 : 0</v>
      </c>
      <c r="K95" s="31" t="str">
        <f t="shared" si="20"/>
        <v>0.00292 - (0.0093 * E2_4_1_80_mRNA)</v>
      </c>
      <c r="L95" s="32" t="str">
        <f t="shared" si="21"/>
        <v>(0.278 * E2_4_1_80_mRNA) - (0.00000278 * E2_4_1_80)</v>
      </c>
      <c r="M95" s="7" t="str">
        <f t="shared" si="22"/>
        <v>mRNA94: -&gt; E2_4_1_80_mRNA | 0.00292 - (0.0093 * E2_4_1_80_mRNA)</v>
      </c>
      <c r="N95" s="33" t="str">
        <f t="shared" si="23"/>
        <v>Peptide94: E2_4_1_80_mRNA -&gt; E2_4_1_80 | (0.278 * E2_4_1_80_mRNA) - (0.000000278 * E2_4_1_80)</v>
      </c>
    </row>
    <row r="96" spans="1:14" x14ac:dyDescent="0.35">
      <c r="A96" s="1">
        <v>95</v>
      </c>
      <c r="B96" s="1" t="s">
        <v>9855</v>
      </c>
      <c r="C96" s="1" t="str">
        <f t="shared" si="12"/>
        <v>E2_4_1_83_mRNA</v>
      </c>
      <c r="D96" s="1" t="str">
        <f t="shared" si="13"/>
        <v>E2_4_1_83</v>
      </c>
      <c r="E96" s="26" t="str">
        <f t="shared" si="14"/>
        <v>E2_4_1_83_kcat : 13.7</v>
      </c>
      <c r="F96" s="27" t="str">
        <f t="shared" si="15"/>
        <v>E2_4_1_83_km : 1</v>
      </c>
      <c r="G96" s="6" t="str">
        <f t="shared" si="16"/>
        <v>E2_4_1_83_mRNA : E2_4_1_83_mRNA</v>
      </c>
      <c r="H96" s="28" t="str">
        <f t="shared" si="17"/>
        <v>E2_4_1_83 : E2_4_1_83</v>
      </c>
      <c r="I96" s="29" t="str">
        <f t="shared" si="18"/>
        <v>E2_4_1_83_mRNA : 0</v>
      </c>
      <c r="J96" s="30" t="str">
        <f t="shared" si="19"/>
        <v>E2_4_1_83 : 0</v>
      </c>
      <c r="K96" s="31" t="str">
        <f t="shared" si="20"/>
        <v>0.00292 - (0.0093 * E2_4_1_83_mRNA)</v>
      </c>
      <c r="L96" s="32" t="str">
        <f t="shared" si="21"/>
        <v>(0.278 * E2_4_1_83_mRNA) - (0.00000278 * E2_4_1_83)</v>
      </c>
      <c r="M96" s="7" t="str">
        <f t="shared" si="22"/>
        <v>mRNA95: -&gt; E2_4_1_83_mRNA | 0.00292 - (0.0093 * E2_4_1_83_mRNA)</v>
      </c>
      <c r="N96" s="33" t="str">
        <f t="shared" si="23"/>
        <v>Peptide95: E2_4_1_83_mRNA -&gt; E2_4_1_83 | (0.278 * E2_4_1_83_mRNA) - (0.000000278 * E2_4_1_83)</v>
      </c>
    </row>
    <row r="97" spans="1:14" x14ac:dyDescent="0.35">
      <c r="A97" s="1">
        <v>96</v>
      </c>
      <c r="B97" s="1" t="s">
        <v>9856</v>
      </c>
      <c r="C97" s="1" t="str">
        <f t="shared" si="12"/>
        <v>E2_4_2_1_mRNA</v>
      </c>
      <c r="D97" s="1" t="str">
        <f t="shared" si="13"/>
        <v>E2_4_2_1</v>
      </c>
      <c r="E97" s="26" t="str">
        <f t="shared" si="14"/>
        <v>E2_4_2_1_kcat : 13.7</v>
      </c>
      <c r="F97" s="27" t="str">
        <f t="shared" si="15"/>
        <v>E2_4_2_1_km : 1</v>
      </c>
      <c r="G97" s="6" t="str">
        <f t="shared" si="16"/>
        <v>E2_4_2_1_mRNA : E2_4_2_1_mRNA</v>
      </c>
      <c r="H97" s="28" t="str">
        <f t="shared" si="17"/>
        <v>E2_4_2_1 : E2_4_2_1</v>
      </c>
      <c r="I97" s="29" t="str">
        <f t="shared" si="18"/>
        <v>E2_4_2_1_mRNA : 0</v>
      </c>
      <c r="J97" s="30" t="str">
        <f t="shared" si="19"/>
        <v>E2_4_2_1 : 0</v>
      </c>
      <c r="K97" s="31" t="str">
        <f t="shared" si="20"/>
        <v>0.00292 - (0.0093 * E2_4_2_1_mRNA)</v>
      </c>
      <c r="L97" s="32" t="str">
        <f t="shared" si="21"/>
        <v>(0.278 * E2_4_2_1_mRNA) - (0.00000278 * E2_4_2_1)</v>
      </c>
      <c r="M97" s="7" t="str">
        <f t="shared" si="22"/>
        <v>mRNA96: -&gt; E2_4_2_1_mRNA | 0.00292 - (0.0093 * E2_4_2_1_mRNA)</v>
      </c>
      <c r="N97" s="33" t="str">
        <f t="shared" si="23"/>
        <v>Peptide96: E2_4_2_1_mRNA -&gt; E2_4_2_1 | (0.278 * E2_4_2_1_mRNA) - (0.000000278 * E2_4_2_1)</v>
      </c>
    </row>
    <row r="98" spans="1:14" x14ac:dyDescent="0.35">
      <c r="A98" s="1">
        <v>97</v>
      </c>
      <c r="B98" s="1" t="s">
        <v>9857</v>
      </c>
      <c r="C98" s="1" t="str">
        <f t="shared" si="12"/>
        <v>E2_4_2_10_mRNA</v>
      </c>
      <c r="D98" s="1" t="str">
        <f t="shared" si="13"/>
        <v>E2_4_2_10</v>
      </c>
      <c r="E98" s="26" t="str">
        <f t="shared" si="14"/>
        <v>E2_4_2_10_kcat : 13.7</v>
      </c>
      <c r="F98" s="27" t="str">
        <f t="shared" si="15"/>
        <v>E2_4_2_10_km : 1</v>
      </c>
      <c r="G98" s="6" t="str">
        <f t="shared" si="16"/>
        <v>E2_4_2_10_mRNA : E2_4_2_10_mRNA</v>
      </c>
      <c r="H98" s="28" t="str">
        <f t="shared" si="17"/>
        <v>E2_4_2_10 : E2_4_2_10</v>
      </c>
      <c r="I98" s="29" t="str">
        <f t="shared" si="18"/>
        <v>E2_4_2_10_mRNA : 0</v>
      </c>
      <c r="J98" s="30" t="str">
        <f t="shared" si="19"/>
        <v>E2_4_2_10 : 0</v>
      </c>
      <c r="K98" s="31" t="str">
        <f t="shared" si="20"/>
        <v>0.00292 - (0.0093 * E2_4_2_10_mRNA)</v>
      </c>
      <c r="L98" s="32" t="str">
        <f t="shared" si="21"/>
        <v>(0.278 * E2_4_2_10_mRNA) - (0.00000278 * E2_4_2_10)</v>
      </c>
      <c r="M98" s="7" t="str">
        <f t="shared" si="22"/>
        <v>mRNA97: -&gt; E2_4_2_10_mRNA | 0.00292 - (0.0093 * E2_4_2_10_mRNA)</v>
      </c>
      <c r="N98" s="33" t="str">
        <f t="shared" si="23"/>
        <v>Peptide97: E2_4_2_10_mRNA -&gt; E2_4_2_10 | (0.278 * E2_4_2_10_mRNA) - (0.000000278 * E2_4_2_10)</v>
      </c>
    </row>
    <row r="99" spans="1:14" x14ac:dyDescent="0.35">
      <c r="A99" s="1">
        <v>98</v>
      </c>
      <c r="B99" s="1" t="s">
        <v>9858</v>
      </c>
      <c r="C99" s="1" t="str">
        <f t="shared" si="12"/>
        <v>E2_4_2_14_mRNA</v>
      </c>
      <c r="D99" s="1" t="str">
        <f t="shared" si="13"/>
        <v>E2_4_2_14</v>
      </c>
      <c r="E99" s="26" t="str">
        <f t="shared" si="14"/>
        <v>E2_4_2_14_kcat : 13.7</v>
      </c>
      <c r="F99" s="27" t="str">
        <f t="shared" si="15"/>
        <v>E2_4_2_14_km : 1</v>
      </c>
      <c r="G99" s="6" t="str">
        <f t="shared" si="16"/>
        <v>E2_4_2_14_mRNA : E2_4_2_14_mRNA</v>
      </c>
      <c r="H99" s="28" t="str">
        <f t="shared" si="17"/>
        <v>E2_4_2_14 : E2_4_2_14</v>
      </c>
      <c r="I99" s="29" t="str">
        <f t="shared" si="18"/>
        <v>E2_4_2_14_mRNA : 0</v>
      </c>
      <c r="J99" s="30" t="str">
        <f t="shared" si="19"/>
        <v>E2_4_2_14 : 0</v>
      </c>
      <c r="K99" s="31" t="str">
        <f t="shared" si="20"/>
        <v>0.00292 - (0.0093 * E2_4_2_14_mRNA)</v>
      </c>
      <c r="L99" s="32" t="str">
        <f t="shared" si="21"/>
        <v>(0.278 * E2_4_2_14_mRNA) - (0.00000278 * E2_4_2_14)</v>
      </c>
      <c r="M99" s="7" t="str">
        <f t="shared" si="22"/>
        <v>mRNA98: -&gt; E2_4_2_14_mRNA | 0.00292 - (0.0093 * E2_4_2_14_mRNA)</v>
      </c>
      <c r="N99" s="33" t="str">
        <f t="shared" si="23"/>
        <v>Peptide98: E2_4_2_14_mRNA -&gt; E2_4_2_14 | (0.278 * E2_4_2_14_mRNA) - (0.000000278 * E2_4_2_14)</v>
      </c>
    </row>
    <row r="100" spans="1:14" x14ac:dyDescent="0.35">
      <c r="A100" s="1">
        <v>99</v>
      </c>
      <c r="B100" s="1" t="s">
        <v>9859</v>
      </c>
      <c r="C100" s="1" t="str">
        <f t="shared" si="12"/>
        <v>E2_4_2_17_mRNA</v>
      </c>
      <c r="D100" s="1" t="str">
        <f t="shared" si="13"/>
        <v>E2_4_2_17</v>
      </c>
      <c r="E100" s="26" t="str">
        <f t="shared" si="14"/>
        <v>E2_4_2_17_kcat : 13.7</v>
      </c>
      <c r="F100" s="27" t="str">
        <f t="shared" si="15"/>
        <v>E2_4_2_17_km : 1</v>
      </c>
      <c r="G100" s="6" t="str">
        <f t="shared" si="16"/>
        <v>E2_4_2_17_mRNA : E2_4_2_17_mRNA</v>
      </c>
      <c r="H100" s="28" t="str">
        <f t="shared" si="17"/>
        <v>E2_4_2_17 : E2_4_2_17</v>
      </c>
      <c r="I100" s="29" t="str">
        <f t="shared" si="18"/>
        <v>E2_4_2_17_mRNA : 0</v>
      </c>
      <c r="J100" s="30" t="str">
        <f t="shared" si="19"/>
        <v>E2_4_2_17 : 0</v>
      </c>
      <c r="K100" s="31" t="str">
        <f t="shared" si="20"/>
        <v>0.00292 - (0.0093 * E2_4_2_17_mRNA)</v>
      </c>
      <c r="L100" s="32" t="str">
        <f t="shared" si="21"/>
        <v>(0.278 * E2_4_2_17_mRNA) - (0.00000278 * E2_4_2_17)</v>
      </c>
      <c r="M100" s="7" t="str">
        <f t="shared" si="22"/>
        <v>mRNA99: -&gt; E2_4_2_17_mRNA | 0.00292 - (0.0093 * E2_4_2_17_mRNA)</v>
      </c>
      <c r="N100" s="33" t="str">
        <f t="shared" si="23"/>
        <v>Peptide99: E2_4_2_17_mRNA -&gt; E2_4_2_17 | (0.278 * E2_4_2_17_mRNA) - (0.000000278 * E2_4_2_17)</v>
      </c>
    </row>
    <row r="101" spans="1:14" x14ac:dyDescent="0.35">
      <c r="A101" s="1">
        <v>100</v>
      </c>
      <c r="B101" s="1" t="s">
        <v>9860</v>
      </c>
      <c r="C101" s="1" t="str">
        <f t="shared" si="12"/>
        <v>E2_4_2_18_mRNA</v>
      </c>
      <c r="D101" s="1" t="str">
        <f t="shared" si="13"/>
        <v>E2_4_2_18</v>
      </c>
      <c r="E101" s="26" t="str">
        <f t="shared" si="14"/>
        <v>E2_4_2_18_kcat : 13.7</v>
      </c>
      <c r="F101" s="27" t="str">
        <f t="shared" si="15"/>
        <v>E2_4_2_18_km : 1</v>
      </c>
      <c r="G101" s="6" t="str">
        <f t="shared" si="16"/>
        <v>E2_4_2_18_mRNA : E2_4_2_18_mRNA</v>
      </c>
      <c r="H101" s="28" t="str">
        <f t="shared" si="17"/>
        <v>E2_4_2_18 : E2_4_2_18</v>
      </c>
      <c r="I101" s="29" t="str">
        <f t="shared" si="18"/>
        <v>E2_4_2_18_mRNA : 0</v>
      </c>
      <c r="J101" s="30" t="str">
        <f t="shared" si="19"/>
        <v>E2_4_2_18 : 0</v>
      </c>
      <c r="K101" s="31" t="str">
        <f t="shared" si="20"/>
        <v>0.00292 - (0.0093 * E2_4_2_18_mRNA)</v>
      </c>
      <c r="L101" s="32" t="str">
        <f t="shared" si="21"/>
        <v>(0.278 * E2_4_2_18_mRNA) - (0.00000278 * E2_4_2_18)</v>
      </c>
      <c r="M101" s="7" t="str">
        <f t="shared" si="22"/>
        <v>mRNA100: -&gt; E2_4_2_18_mRNA | 0.00292 - (0.0093 * E2_4_2_18_mRNA)</v>
      </c>
      <c r="N101" s="33" t="str">
        <f t="shared" si="23"/>
        <v>Peptide100: E2_4_2_18_mRNA -&gt; E2_4_2_18 | (0.278 * E2_4_2_18_mRNA) - (0.000000278 * E2_4_2_18)</v>
      </c>
    </row>
    <row r="102" spans="1:14" x14ac:dyDescent="0.35">
      <c r="A102" s="1">
        <v>101</v>
      </c>
      <c r="B102" s="1" t="s">
        <v>9861</v>
      </c>
      <c r="C102" s="1" t="str">
        <f t="shared" si="12"/>
        <v>E2_4_2_2_mRNA</v>
      </c>
      <c r="D102" s="1" t="str">
        <f t="shared" si="13"/>
        <v>E2_4_2_2</v>
      </c>
      <c r="E102" s="26" t="str">
        <f t="shared" si="14"/>
        <v>E2_4_2_2_kcat : 13.7</v>
      </c>
      <c r="F102" s="27" t="str">
        <f t="shared" si="15"/>
        <v>E2_4_2_2_km : 1</v>
      </c>
      <c r="G102" s="6" t="str">
        <f t="shared" si="16"/>
        <v>E2_4_2_2_mRNA : E2_4_2_2_mRNA</v>
      </c>
      <c r="H102" s="28" t="str">
        <f t="shared" si="17"/>
        <v>E2_4_2_2 : E2_4_2_2</v>
      </c>
      <c r="I102" s="29" t="str">
        <f t="shared" si="18"/>
        <v>E2_4_2_2_mRNA : 0</v>
      </c>
      <c r="J102" s="30" t="str">
        <f t="shared" si="19"/>
        <v>E2_4_2_2 : 0</v>
      </c>
      <c r="K102" s="31" t="str">
        <f t="shared" si="20"/>
        <v>0.00292 - (0.0093 * E2_4_2_2_mRNA)</v>
      </c>
      <c r="L102" s="32" t="str">
        <f t="shared" si="21"/>
        <v>(0.278 * E2_4_2_2_mRNA) - (0.00000278 * E2_4_2_2)</v>
      </c>
      <c r="M102" s="7" t="str">
        <f t="shared" si="22"/>
        <v>mRNA101: -&gt; E2_4_2_2_mRNA | 0.00292 - (0.0093 * E2_4_2_2_mRNA)</v>
      </c>
      <c r="N102" s="33" t="str">
        <f t="shared" si="23"/>
        <v>Peptide101: E2_4_2_2_mRNA -&gt; E2_4_2_2 | (0.278 * E2_4_2_2_mRNA) - (0.000000278 * E2_4_2_2)</v>
      </c>
    </row>
    <row r="103" spans="1:14" x14ac:dyDescent="0.35">
      <c r="A103" s="1">
        <v>102</v>
      </c>
      <c r="B103" s="1" t="s">
        <v>9862</v>
      </c>
      <c r="C103" s="1" t="str">
        <f t="shared" si="12"/>
        <v>E2_4_2_22_mRNA</v>
      </c>
      <c r="D103" s="1" t="str">
        <f t="shared" si="13"/>
        <v>E2_4_2_22</v>
      </c>
      <c r="E103" s="26" t="str">
        <f t="shared" si="14"/>
        <v>E2_4_2_22_kcat : 13.7</v>
      </c>
      <c r="F103" s="27" t="str">
        <f t="shared" si="15"/>
        <v>E2_4_2_22_km : 1</v>
      </c>
      <c r="G103" s="6" t="str">
        <f t="shared" si="16"/>
        <v>E2_4_2_22_mRNA : E2_4_2_22_mRNA</v>
      </c>
      <c r="H103" s="28" t="str">
        <f t="shared" si="17"/>
        <v>E2_4_2_22 : E2_4_2_22</v>
      </c>
      <c r="I103" s="29" t="str">
        <f t="shared" si="18"/>
        <v>E2_4_2_22_mRNA : 0</v>
      </c>
      <c r="J103" s="30" t="str">
        <f t="shared" si="19"/>
        <v>E2_4_2_22 : 0</v>
      </c>
      <c r="K103" s="31" t="str">
        <f t="shared" si="20"/>
        <v>0.00292 - (0.0093 * E2_4_2_22_mRNA)</v>
      </c>
      <c r="L103" s="32" t="str">
        <f t="shared" si="21"/>
        <v>(0.278 * E2_4_2_22_mRNA) - (0.00000278 * E2_4_2_22)</v>
      </c>
      <c r="M103" s="7" t="str">
        <f t="shared" si="22"/>
        <v>mRNA102: -&gt; E2_4_2_22_mRNA | 0.00292 - (0.0093 * E2_4_2_22_mRNA)</v>
      </c>
      <c r="N103" s="33" t="str">
        <f t="shared" si="23"/>
        <v>Peptide102: E2_4_2_22_mRNA -&gt; E2_4_2_22 | (0.278 * E2_4_2_22_mRNA) - (0.000000278 * E2_4_2_22)</v>
      </c>
    </row>
    <row r="104" spans="1:14" x14ac:dyDescent="0.35">
      <c r="A104" s="1">
        <v>103</v>
      </c>
      <c r="B104" s="1" t="s">
        <v>9863</v>
      </c>
      <c r="C104" s="1" t="str">
        <f t="shared" si="12"/>
        <v>E2_4_2_29_mRNA</v>
      </c>
      <c r="D104" s="1" t="str">
        <f t="shared" si="13"/>
        <v>E2_4_2_29</v>
      </c>
      <c r="E104" s="26" t="str">
        <f t="shared" si="14"/>
        <v>E2_4_2_29_kcat : 13.7</v>
      </c>
      <c r="F104" s="27" t="str">
        <f t="shared" si="15"/>
        <v>E2_4_2_29_km : 1</v>
      </c>
      <c r="G104" s="6" t="str">
        <f t="shared" si="16"/>
        <v>E2_4_2_29_mRNA : E2_4_2_29_mRNA</v>
      </c>
      <c r="H104" s="28" t="str">
        <f t="shared" si="17"/>
        <v>E2_4_2_29 : E2_4_2_29</v>
      </c>
      <c r="I104" s="29" t="str">
        <f t="shared" si="18"/>
        <v>E2_4_2_29_mRNA : 0</v>
      </c>
      <c r="J104" s="30" t="str">
        <f t="shared" si="19"/>
        <v>E2_4_2_29 : 0</v>
      </c>
      <c r="K104" s="31" t="str">
        <f t="shared" si="20"/>
        <v>0.00292 - (0.0093 * E2_4_2_29_mRNA)</v>
      </c>
      <c r="L104" s="32" t="str">
        <f t="shared" si="21"/>
        <v>(0.278 * E2_4_2_29_mRNA) - (0.00000278 * E2_4_2_29)</v>
      </c>
      <c r="M104" s="7" t="str">
        <f t="shared" si="22"/>
        <v>mRNA103: -&gt; E2_4_2_29_mRNA | 0.00292 - (0.0093 * E2_4_2_29_mRNA)</v>
      </c>
      <c r="N104" s="33" t="str">
        <f t="shared" si="23"/>
        <v>Peptide103: E2_4_2_29_mRNA -&gt; E2_4_2_29 | (0.278 * E2_4_2_29_mRNA) - (0.000000278 * E2_4_2_29)</v>
      </c>
    </row>
    <row r="105" spans="1:14" x14ac:dyDescent="0.35">
      <c r="A105" s="1">
        <v>104</v>
      </c>
      <c r="B105" s="1" t="s">
        <v>9864</v>
      </c>
      <c r="C105" s="1" t="str">
        <f t="shared" si="12"/>
        <v>E2_4_2_7_mRNA</v>
      </c>
      <c r="D105" s="1" t="str">
        <f t="shared" si="13"/>
        <v>E2_4_2_7</v>
      </c>
      <c r="E105" s="26" t="str">
        <f t="shared" si="14"/>
        <v>E2_4_2_7_kcat : 13.7</v>
      </c>
      <c r="F105" s="27" t="str">
        <f t="shared" si="15"/>
        <v>E2_4_2_7_km : 1</v>
      </c>
      <c r="G105" s="6" t="str">
        <f t="shared" si="16"/>
        <v>E2_4_2_7_mRNA : E2_4_2_7_mRNA</v>
      </c>
      <c r="H105" s="28" t="str">
        <f t="shared" si="17"/>
        <v>E2_4_2_7 : E2_4_2_7</v>
      </c>
      <c r="I105" s="29" t="str">
        <f t="shared" si="18"/>
        <v>E2_4_2_7_mRNA : 0</v>
      </c>
      <c r="J105" s="30" t="str">
        <f t="shared" si="19"/>
        <v>E2_4_2_7 : 0</v>
      </c>
      <c r="K105" s="31" t="str">
        <f t="shared" si="20"/>
        <v>0.00292 - (0.0093 * E2_4_2_7_mRNA)</v>
      </c>
      <c r="L105" s="32" t="str">
        <f t="shared" si="21"/>
        <v>(0.278 * E2_4_2_7_mRNA) - (0.00000278 * E2_4_2_7)</v>
      </c>
      <c r="M105" s="7" t="str">
        <f t="shared" si="22"/>
        <v>mRNA104: -&gt; E2_4_2_7_mRNA | 0.00292 - (0.0093 * E2_4_2_7_mRNA)</v>
      </c>
      <c r="N105" s="33" t="str">
        <f t="shared" si="23"/>
        <v>Peptide104: E2_4_2_7_mRNA -&gt; E2_4_2_7 | (0.278 * E2_4_2_7_mRNA) - (0.000000278 * E2_4_2_7)</v>
      </c>
    </row>
    <row r="106" spans="1:14" x14ac:dyDescent="0.35">
      <c r="A106" s="1">
        <v>105</v>
      </c>
      <c r="B106" s="1" t="s">
        <v>9865</v>
      </c>
      <c r="C106" s="1" t="str">
        <f t="shared" si="12"/>
        <v>E2_4_2_8_mRNA</v>
      </c>
      <c r="D106" s="1" t="str">
        <f t="shared" si="13"/>
        <v>E2_4_2_8</v>
      </c>
      <c r="E106" s="26" t="str">
        <f t="shared" si="14"/>
        <v>E2_4_2_8_kcat : 13.7</v>
      </c>
      <c r="F106" s="27" t="str">
        <f t="shared" si="15"/>
        <v>E2_4_2_8_km : 1</v>
      </c>
      <c r="G106" s="6" t="str">
        <f t="shared" si="16"/>
        <v>E2_4_2_8_mRNA : E2_4_2_8_mRNA</v>
      </c>
      <c r="H106" s="28" t="str">
        <f t="shared" si="17"/>
        <v>E2_4_2_8 : E2_4_2_8</v>
      </c>
      <c r="I106" s="29" t="str">
        <f t="shared" si="18"/>
        <v>E2_4_2_8_mRNA : 0</v>
      </c>
      <c r="J106" s="30" t="str">
        <f t="shared" si="19"/>
        <v>E2_4_2_8 : 0</v>
      </c>
      <c r="K106" s="31" t="str">
        <f t="shared" si="20"/>
        <v>0.00292 - (0.0093 * E2_4_2_8_mRNA)</v>
      </c>
      <c r="L106" s="32" t="str">
        <f t="shared" si="21"/>
        <v>(0.278 * E2_4_2_8_mRNA) - (0.00000278 * E2_4_2_8)</v>
      </c>
      <c r="M106" s="7" t="str">
        <f t="shared" si="22"/>
        <v>mRNA105: -&gt; E2_4_2_8_mRNA | 0.00292 - (0.0093 * E2_4_2_8_mRNA)</v>
      </c>
      <c r="N106" s="33" t="str">
        <f t="shared" si="23"/>
        <v>Peptide105: E2_4_2_8_mRNA -&gt; E2_4_2_8 | (0.278 * E2_4_2_8_mRNA) - (0.000000278 * E2_4_2_8)</v>
      </c>
    </row>
    <row r="107" spans="1:14" x14ac:dyDescent="0.35">
      <c r="A107" s="1">
        <v>106</v>
      </c>
      <c r="B107" s="1" t="s">
        <v>9866</v>
      </c>
      <c r="C107" s="1" t="str">
        <f t="shared" si="12"/>
        <v>E2_4_2_9_mRNA</v>
      </c>
      <c r="D107" s="1" t="str">
        <f t="shared" si="13"/>
        <v>E2_4_2_9</v>
      </c>
      <c r="E107" s="26" t="str">
        <f t="shared" si="14"/>
        <v>E2_4_2_9_kcat : 13.7</v>
      </c>
      <c r="F107" s="27" t="str">
        <f t="shared" si="15"/>
        <v>E2_4_2_9_km : 1</v>
      </c>
      <c r="G107" s="6" t="str">
        <f t="shared" si="16"/>
        <v>E2_4_2_9_mRNA : E2_4_2_9_mRNA</v>
      </c>
      <c r="H107" s="28" t="str">
        <f t="shared" si="17"/>
        <v>E2_4_2_9 : E2_4_2_9</v>
      </c>
      <c r="I107" s="29" t="str">
        <f t="shared" si="18"/>
        <v>E2_4_2_9_mRNA : 0</v>
      </c>
      <c r="J107" s="30" t="str">
        <f t="shared" si="19"/>
        <v>E2_4_2_9 : 0</v>
      </c>
      <c r="K107" s="31" t="str">
        <f t="shared" si="20"/>
        <v>0.00292 - (0.0093 * E2_4_2_9_mRNA)</v>
      </c>
      <c r="L107" s="32" t="str">
        <f t="shared" si="21"/>
        <v>(0.278 * E2_4_2_9_mRNA) - (0.00000278 * E2_4_2_9)</v>
      </c>
      <c r="M107" s="7" t="str">
        <f t="shared" si="22"/>
        <v>mRNA106: -&gt; E2_4_2_9_mRNA | 0.00292 - (0.0093 * E2_4_2_9_mRNA)</v>
      </c>
      <c r="N107" s="33" t="str">
        <f t="shared" si="23"/>
        <v>Peptide106: E2_4_2_9_mRNA -&gt; E2_4_2_9 | (0.278 * E2_4_2_9_mRNA) - (0.000000278 * E2_4_2_9)</v>
      </c>
    </row>
    <row r="108" spans="1:14" x14ac:dyDescent="0.35">
      <c r="A108" s="1">
        <v>107</v>
      </c>
      <c r="B108" s="1" t="s">
        <v>9867</v>
      </c>
      <c r="C108" s="1" t="str">
        <f t="shared" si="12"/>
        <v>E2_5_1_10_mRNA</v>
      </c>
      <c r="D108" s="1" t="str">
        <f t="shared" si="13"/>
        <v>E2_5_1_10</v>
      </c>
      <c r="E108" s="26" t="str">
        <f t="shared" si="14"/>
        <v>E2_5_1_10_kcat : 13.7</v>
      </c>
      <c r="F108" s="27" t="str">
        <f t="shared" si="15"/>
        <v>E2_5_1_10_km : 1</v>
      </c>
      <c r="G108" s="6" t="str">
        <f t="shared" si="16"/>
        <v>E2_5_1_10_mRNA : E2_5_1_10_mRNA</v>
      </c>
      <c r="H108" s="28" t="str">
        <f t="shared" si="17"/>
        <v>E2_5_1_10 : E2_5_1_10</v>
      </c>
      <c r="I108" s="29" t="str">
        <f t="shared" si="18"/>
        <v>E2_5_1_10_mRNA : 0</v>
      </c>
      <c r="J108" s="30" t="str">
        <f t="shared" si="19"/>
        <v>E2_5_1_10 : 0</v>
      </c>
      <c r="K108" s="31" t="str">
        <f t="shared" si="20"/>
        <v>0.00292 - (0.0093 * E2_5_1_10_mRNA)</v>
      </c>
      <c r="L108" s="32" t="str">
        <f t="shared" si="21"/>
        <v>(0.278 * E2_5_1_10_mRNA) - (0.00000278 * E2_5_1_10)</v>
      </c>
      <c r="M108" s="7" t="str">
        <f t="shared" si="22"/>
        <v>mRNA107: -&gt; E2_5_1_10_mRNA | 0.00292 - (0.0093 * E2_5_1_10_mRNA)</v>
      </c>
      <c r="N108" s="33" t="str">
        <f t="shared" si="23"/>
        <v>Peptide107: E2_5_1_10_mRNA -&gt; E2_5_1_10 | (0.278 * E2_5_1_10_mRNA) - (0.000000278 * E2_5_1_10)</v>
      </c>
    </row>
    <row r="109" spans="1:14" x14ac:dyDescent="0.35">
      <c r="A109" s="1">
        <v>108</v>
      </c>
      <c r="B109" s="1" t="s">
        <v>9868</v>
      </c>
      <c r="C109" s="1" t="str">
        <f t="shared" si="12"/>
        <v>E2_5_1_15_mRNA</v>
      </c>
      <c r="D109" s="1" t="str">
        <f t="shared" si="13"/>
        <v>E2_5_1_15</v>
      </c>
      <c r="E109" s="26" t="str">
        <f t="shared" si="14"/>
        <v>E2_5_1_15_kcat : 13.7</v>
      </c>
      <c r="F109" s="27" t="str">
        <f t="shared" si="15"/>
        <v>E2_5_1_15_km : 1</v>
      </c>
      <c r="G109" s="6" t="str">
        <f t="shared" si="16"/>
        <v>E2_5_1_15_mRNA : E2_5_1_15_mRNA</v>
      </c>
      <c r="H109" s="28" t="str">
        <f t="shared" si="17"/>
        <v>E2_5_1_15 : E2_5_1_15</v>
      </c>
      <c r="I109" s="29" t="str">
        <f t="shared" si="18"/>
        <v>E2_5_1_15_mRNA : 0</v>
      </c>
      <c r="J109" s="30" t="str">
        <f t="shared" si="19"/>
        <v>E2_5_1_15 : 0</v>
      </c>
      <c r="K109" s="31" t="str">
        <f t="shared" si="20"/>
        <v>0.00292 - (0.0093 * E2_5_1_15_mRNA)</v>
      </c>
      <c r="L109" s="32" t="str">
        <f t="shared" si="21"/>
        <v>(0.278 * E2_5_1_15_mRNA) - (0.00000278 * E2_5_1_15)</v>
      </c>
      <c r="M109" s="7" t="str">
        <f t="shared" si="22"/>
        <v>mRNA108: -&gt; E2_5_1_15_mRNA | 0.00292 - (0.0093 * E2_5_1_15_mRNA)</v>
      </c>
      <c r="N109" s="33" t="str">
        <f t="shared" si="23"/>
        <v>Peptide108: E2_5_1_15_mRNA -&gt; E2_5_1_15 | (0.278 * E2_5_1_15_mRNA) - (0.000000278 * E2_5_1_15)</v>
      </c>
    </row>
    <row r="110" spans="1:14" x14ac:dyDescent="0.35">
      <c r="A110" s="1">
        <v>109</v>
      </c>
      <c r="B110" s="1" t="s">
        <v>9869</v>
      </c>
      <c r="C110" s="1" t="str">
        <f t="shared" si="12"/>
        <v>E2_5_1_19_mRNA</v>
      </c>
      <c r="D110" s="1" t="str">
        <f t="shared" si="13"/>
        <v>E2_5_1_19</v>
      </c>
      <c r="E110" s="26" t="str">
        <f t="shared" si="14"/>
        <v>E2_5_1_19_kcat : 13.7</v>
      </c>
      <c r="F110" s="27" t="str">
        <f t="shared" si="15"/>
        <v>E2_5_1_19_km : 1</v>
      </c>
      <c r="G110" s="6" t="str">
        <f t="shared" si="16"/>
        <v>E2_5_1_19_mRNA : E2_5_1_19_mRNA</v>
      </c>
      <c r="H110" s="28" t="str">
        <f t="shared" si="17"/>
        <v>E2_5_1_19 : E2_5_1_19</v>
      </c>
      <c r="I110" s="29" t="str">
        <f t="shared" si="18"/>
        <v>E2_5_1_19_mRNA : 0</v>
      </c>
      <c r="J110" s="30" t="str">
        <f t="shared" si="19"/>
        <v>E2_5_1_19 : 0</v>
      </c>
      <c r="K110" s="31" t="str">
        <f t="shared" si="20"/>
        <v>0.00292 - (0.0093 * E2_5_1_19_mRNA)</v>
      </c>
      <c r="L110" s="32" t="str">
        <f t="shared" si="21"/>
        <v>(0.278 * E2_5_1_19_mRNA) - (0.00000278 * E2_5_1_19)</v>
      </c>
      <c r="M110" s="7" t="str">
        <f t="shared" si="22"/>
        <v>mRNA109: -&gt; E2_5_1_19_mRNA | 0.00292 - (0.0093 * E2_5_1_19_mRNA)</v>
      </c>
      <c r="N110" s="33" t="str">
        <f t="shared" si="23"/>
        <v>Peptide109: E2_5_1_19_mRNA -&gt; E2_5_1_19 | (0.278 * E2_5_1_19_mRNA) - (0.000000278 * E2_5_1_19)</v>
      </c>
    </row>
    <row r="111" spans="1:14" x14ac:dyDescent="0.35">
      <c r="A111" s="1">
        <v>110</v>
      </c>
      <c r="B111" s="1" t="s">
        <v>9870</v>
      </c>
      <c r="C111" s="1" t="str">
        <f t="shared" si="12"/>
        <v>E2_5_1_31_mRNA</v>
      </c>
      <c r="D111" s="1" t="str">
        <f t="shared" si="13"/>
        <v>E2_5_1_31</v>
      </c>
      <c r="E111" s="26" t="str">
        <f t="shared" si="14"/>
        <v>E2_5_1_31_kcat : 13.7</v>
      </c>
      <c r="F111" s="27" t="str">
        <f t="shared" si="15"/>
        <v>E2_5_1_31_km : 1</v>
      </c>
      <c r="G111" s="6" t="str">
        <f t="shared" si="16"/>
        <v>E2_5_1_31_mRNA : E2_5_1_31_mRNA</v>
      </c>
      <c r="H111" s="28" t="str">
        <f t="shared" si="17"/>
        <v>E2_5_1_31 : E2_5_1_31</v>
      </c>
      <c r="I111" s="29" t="str">
        <f t="shared" si="18"/>
        <v>E2_5_1_31_mRNA : 0</v>
      </c>
      <c r="J111" s="30" t="str">
        <f t="shared" si="19"/>
        <v>E2_5_1_31 : 0</v>
      </c>
      <c r="K111" s="31" t="str">
        <f t="shared" si="20"/>
        <v>0.00292 - (0.0093 * E2_5_1_31_mRNA)</v>
      </c>
      <c r="L111" s="32" t="str">
        <f t="shared" si="21"/>
        <v>(0.278 * E2_5_1_31_mRNA) - (0.00000278 * E2_5_1_31)</v>
      </c>
      <c r="M111" s="7" t="str">
        <f t="shared" si="22"/>
        <v>mRNA110: -&gt; E2_5_1_31_mRNA | 0.00292 - (0.0093 * E2_5_1_31_mRNA)</v>
      </c>
      <c r="N111" s="33" t="str">
        <f t="shared" si="23"/>
        <v>Peptide110: E2_5_1_31_mRNA -&gt; E2_5_1_31 | (0.278 * E2_5_1_31_mRNA) - (0.000000278 * E2_5_1_31)</v>
      </c>
    </row>
    <row r="112" spans="1:14" x14ac:dyDescent="0.35">
      <c r="A112" s="1">
        <v>111</v>
      </c>
      <c r="B112" s="1" t="s">
        <v>9871</v>
      </c>
      <c r="C112" s="1" t="str">
        <f t="shared" si="12"/>
        <v>E2_5_1_47_mRNA</v>
      </c>
      <c r="D112" s="1" t="str">
        <f t="shared" si="13"/>
        <v>E2_5_1_47</v>
      </c>
      <c r="E112" s="26" t="str">
        <f t="shared" si="14"/>
        <v>E2_5_1_47_kcat : 13.7</v>
      </c>
      <c r="F112" s="27" t="str">
        <f t="shared" si="15"/>
        <v>E2_5_1_47_km : 1</v>
      </c>
      <c r="G112" s="6" t="str">
        <f t="shared" si="16"/>
        <v>E2_5_1_47_mRNA : E2_5_1_47_mRNA</v>
      </c>
      <c r="H112" s="28" t="str">
        <f t="shared" si="17"/>
        <v>E2_5_1_47 : E2_5_1_47</v>
      </c>
      <c r="I112" s="29" t="str">
        <f t="shared" si="18"/>
        <v>E2_5_1_47_mRNA : 0</v>
      </c>
      <c r="J112" s="30" t="str">
        <f t="shared" si="19"/>
        <v>E2_5_1_47 : 0</v>
      </c>
      <c r="K112" s="31" t="str">
        <f t="shared" si="20"/>
        <v>0.00292 - (0.0093 * E2_5_1_47_mRNA)</v>
      </c>
      <c r="L112" s="32" t="str">
        <f t="shared" si="21"/>
        <v>(0.278 * E2_5_1_47_mRNA) - (0.00000278 * E2_5_1_47)</v>
      </c>
      <c r="M112" s="7" t="str">
        <f t="shared" si="22"/>
        <v>mRNA111: -&gt; E2_5_1_47_mRNA | 0.00292 - (0.0093 * E2_5_1_47_mRNA)</v>
      </c>
      <c r="N112" s="33" t="str">
        <f t="shared" si="23"/>
        <v>Peptide111: E2_5_1_47_mRNA -&gt; E2_5_1_47 | (0.278 * E2_5_1_47_mRNA) - (0.000000278 * E2_5_1_47)</v>
      </c>
    </row>
    <row r="113" spans="1:14" x14ac:dyDescent="0.35">
      <c r="A113" s="1">
        <v>112</v>
      </c>
      <c r="B113" s="1" t="s">
        <v>9872</v>
      </c>
      <c r="C113" s="1" t="str">
        <f t="shared" si="12"/>
        <v>E2_5_1_48_mRNA</v>
      </c>
      <c r="D113" s="1" t="str">
        <f t="shared" si="13"/>
        <v>E2_5_1_48</v>
      </c>
      <c r="E113" s="26" t="str">
        <f t="shared" si="14"/>
        <v>E2_5_1_48_kcat : 13.7</v>
      </c>
      <c r="F113" s="27" t="str">
        <f t="shared" si="15"/>
        <v>E2_5_1_48_km : 1</v>
      </c>
      <c r="G113" s="6" t="str">
        <f t="shared" si="16"/>
        <v>E2_5_1_48_mRNA : E2_5_1_48_mRNA</v>
      </c>
      <c r="H113" s="28" t="str">
        <f t="shared" si="17"/>
        <v>E2_5_1_48 : E2_5_1_48</v>
      </c>
      <c r="I113" s="29" t="str">
        <f t="shared" si="18"/>
        <v>E2_5_1_48_mRNA : 0</v>
      </c>
      <c r="J113" s="30" t="str">
        <f t="shared" si="19"/>
        <v>E2_5_1_48 : 0</v>
      </c>
      <c r="K113" s="31" t="str">
        <f t="shared" si="20"/>
        <v>0.00292 - (0.0093 * E2_5_1_48_mRNA)</v>
      </c>
      <c r="L113" s="32" t="str">
        <f t="shared" si="21"/>
        <v>(0.278 * E2_5_1_48_mRNA) - (0.00000278 * E2_5_1_48)</v>
      </c>
      <c r="M113" s="7" t="str">
        <f t="shared" si="22"/>
        <v>mRNA112: -&gt; E2_5_1_48_mRNA | 0.00292 - (0.0093 * E2_5_1_48_mRNA)</v>
      </c>
      <c r="N113" s="33" t="str">
        <f t="shared" si="23"/>
        <v>Peptide112: E2_5_1_48_mRNA -&gt; E2_5_1_48 | (0.278 * E2_5_1_48_mRNA) - (0.000000278 * E2_5_1_48)</v>
      </c>
    </row>
    <row r="114" spans="1:14" x14ac:dyDescent="0.35">
      <c r="A114" s="1">
        <v>113</v>
      </c>
      <c r="B114" s="1" t="s">
        <v>9873</v>
      </c>
      <c r="C114" s="1" t="str">
        <f t="shared" si="12"/>
        <v>E2_5_1_49_mRNA</v>
      </c>
      <c r="D114" s="1" t="str">
        <f t="shared" si="13"/>
        <v>E2_5_1_49</v>
      </c>
      <c r="E114" s="26" t="str">
        <f t="shared" si="14"/>
        <v>E2_5_1_49_kcat : 13.7</v>
      </c>
      <c r="F114" s="27" t="str">
        <f t="shared" si="15"/>
        <v>E2_5_1_49_km : 1</v>
      </c>
      <c r="G114" s="6" t="str">
        <f t="shared" si="16"/>
        <v>E2_5_1_49_mRNA : E2_5_1_49_mRNA</v>
      </c>
      <c r="H114" s="28" t="str">
        <f t="shared" si="17"/>
        <v>E2_5_1_49 : E2_5_1_49</v>
      </c>
      <c r="I114" s="29" t="str">
        <f t="shared" si="18"/>
        <v>E2_5_1_49_mRNA : 0</v>
      </c>
      <c r="J114" s="30" t="str">
        <f t="shared" si="19"/>
        <v>E2_5_1_49 : 0</v>
      </c>
      <c r="K114" s="31" t="str">
        <f t="shared" si="20"/>
        <v>0.00292 - (0.0093 * E2_5_1_49_mRNA)</v>
      </c>
      <c r="L114" s="32" t="str">
        <f t="shared" si="21"/>
        <v>(0.278 * E2_5_1_49_mRNA) - (0.00000278 * E2_5_1_49)</v>
      </c>
      <c r="M114" s="7" t="str">
        <f t="shared" si="22"/>
        <v>mRNA113: -&gt; E2_5_1_49_mRNA | 0.00292 - (0.0093 * E2_5_1_49_mRNA)</v>
      </c>
      <c r="N114" s="33" t="str">
        <f t="shared" si="23"/>
        <v>Peptide113: E2_5_1_49_mRNA -&gt; E2_5_1_49 | (0.278 * E2_5_1_49_mRNA) - (0.000000278 * E2_5_1_49)</v>
      </c>
    </row>
    <row r="115" spans="1:14" x14ac:dyDescent="0.35">
      <c r="A115" s="1">
        <v>114</v>
      </c>
      <c r="B115" s="1" t="s">
        <v>9874</v>
      </c>
      <c r="C115" s="1" t="str">
        <f t="shared" si="12"/>
        <v>E2_5_1_54_mRNA</v>
      </c>
      <c r="D115" s="1" t="str">
        <f t="shared" si="13"/>
        <v>E2_5_1_54</v>
      </c>
      <c r="E115" s="26" t="str">
        <f t="shared" si="14"/>
        <v>E2_5_1_54_kcat : 13.7</v>
      </c>
      <c r="F115" s="27" t="str">
        <f t="shared" si="15"/>
        <v>E2_5_1_54_km : 1</v>
      </c>
      <c r="G115" s="6" t="str">
        <f t="shared" si="16"/>
        <v>E2_5_1_54_mRNA : E2_5_1_54_mRNA</v>
      </c>
      <c r="H115" s="28" t="str">
        <f t="shared" si="17"/>
        <v>E2_5_1_54 : E2_5_1_54</v>
      </c>
      <c r="I115" s="29" t="str">
        <f t="shared" si="18"/>
        <v>E2_5_1_54_mRNA : 0</v>
      </c>
      <c r="J115" s="30" t="str">
        <f t="shared" si="19"/>
        <v>E2_5_1_54 : 0</v>
      </c>
      <c r="K115" s="31" t="str">
        <f t="shared" si="20"/>
        <v>0.00292 - (0.0093 * E2_5_1_54_mRNA)</v>
      </c>
      <c r="L115" s="32" t="str">
        <f t="shared" si="21"/>
        <v>(0.278 * E2_5_1_54_mRNA) - (0.00000278 * E2_5_1_54)</v>
      </c>
      <c r="M115" s="7" t="str">
        <f t="shared" si="22"/>
        <v>mRNA114: -&gt; E2_5_1_54_mRNA | 0.00292 - (0.0093 * E2_5_1_54_mRNA)</v>
      </c>
      <c r="N115" s="33" t="str">
        <f t="shared" si="23"/>
        <v>Peptide114: E2_5_1_54_mRNA -&gt; E2_5_1_54 | (0.278 * E2_5_1_54_mRNA) - (0.000000278 * E2_5_1_54)</v>
      </c>
    </row>
    <row r="116" spans="1:14" x14ac:dyDescent="0.35">
      <c r="A116" s="1">
        <v>115</v>
      </c>
      <c r="B116" s="1" t="s">
        <v>9875</v>
      </c>
      <c r="C116" s="1" t="str">
        <f t="shared" si="12"/>
        <v>E2_5_1_6_mRNA</v>
      </c>
      <c r="D116" s="1" t="str">
        <f t="shared" si="13"/>
        <v>E2_5_1_6</v>
      </c>
      <c r="E116" s="26" t="str">
        <f t="shared" si="14"/>
        <v>E2_5_1_6_kcat : 13.7</v>
      </c>
      <c r="F116" s="27" t="str">
        <f t="shared" si="15"/>
        <v>E2_5_1_6_km : 1</v>
      </c>
      <c r="G116" s="6" t="str">
        <f t="shared" si="16"/>
        <v>E2_5_1_6_mRNA : E2_5_1_6_mRNA</v>
      </c>
      <c r="H116" s="28" t="str">
        <f t="shared" si="17"/>
        <v>E2_5_1_6 : E2_5_1_6</v>
      </c>
      <c r="I116" s="29" t="str">
        <f t="shared" si="18"/>
        <v>E2_5_1_6_mRNA : 0</v>
      </c>
      <c r="J116" s="30" t="str">
        <f t="shared" si="19"/>
        <v>E2_5_1_6 : 0</v>
      </c>
      <c r="K116" s="31" t="str">
        <f t="shared" si="20"/>
        <v>0.00292 - (0.0093 * E2_5_1_6_mRNA)</v>
      </c>
      <c r="L116" s="32" t="str">
        <f t="shared" si="21"/>
        <v>(0.278 * E2_5_1_6_mRNA) - (0.00000278 * E2_5_1_6)</v>
      </c>
      <c r="M116" s="7" t="str">
        <f t="shared" si="22"/>
        <v>mRNA115: -&gt; E2_5_1_6_mRNA | 0.00292 - (0.0093 * E2_5_1_6_mRNA)</v>
      </c>
      <c r="N116" s="33" t="str">
        <f t="shared" si="23"/>
        <v>Peptide115: E2_5_1_6_mRNA -&gt; E2_5_1_6 | (0.278 * E2_5_1_6_mRNA) - (0.000000278 * E2_5_1_6)</v>
      </c>
    </row>
    <row r="117" spans="1:14" x14ac:dyDescent="0.35">
      <c r="A117" s="1">
        <v>116</v>
      </c>
      <c r="B117" s="1" t="s">
        <v>9876</v>
      </c>
      <c r="C117" s="1" t="str">
        <f t="shared" si="12"/>
        <v>E2_5_1_7_mRNA</v>
      </c>
      <c r="D117" s="1" t="str">
        <f t="shared" si="13"/>
        <v>E2_5_1_7</v>
      </c>
      <c r="E117" s="26" t="str">
        <f t="shared" si="14"/>
        <v>E2_5_1_7_kcat : 13.7</v>
      </c>
      <c r="F117" s="27" t="str">
        <f t="shared" si="15"/>
        <v>E2_5_1_7_km : 1</v>
      </c>
      <c r="G117" s="6" t="str">
        <f t="shared" si="16"/>
        <v>E2_5_1_7_mRNA : E2_5_1_7_mRNA</v>
      </c>
      <c r="H117" s="28" t="str">
        <f t="shared" si="17"/>
        <v>E2_5_1_7 : E2_5_1_7</v>
      </c>
      <c r="I117" s="29" t="str">
        <f t="shared" si="18"/>
        <v>E2_5_1_7_mRNA : 0</v>
      </c>
      <c r="J117" s="30" t="str">
        <f t="shared" si="19"/>
        <v>E2_5_1_7 : 0</v>
      </c>
      <c r="K117" s="31" t="str">
        <f t="shared" si="20"/>
        <v>0.00292 - (0.0093 * E2_5_1_7_mRNA)</v>
      </c>
      <c r="L117" s="32" t="str">
        <f t="shared" si="21"/>
        <v>(0.278 * E2_5_1_7_mRNA) - (0.00000278 * E2_5_1_7)</v>
      </c>
      <c r="M117" s="7" t="str">
        <f t="shared" si="22"/>
        <v>mRNA116: -&gt; E2_5_1_7_mRNA | 0.00292 - (0.0093 * E2_5_1_7_mRNA)</v>
      </c>
      <c r="N117" s="33" t="str">
        <f t="shared" si="23"/>
        <v>Peptide116: E2_5_1_7_mRNA -&gt; E2_5_1_7 | (0.278 * E2_5_1_7_mRNA) - (0.000000278 * E2_5_1_7)</v>
      </c>
    </row>
    <row r="118" spans="1:14" x14ac:dyDescent="0.35">
      <c r="A118" s="1">
        <v>117</v>
      </c>
      <c r="B118" s="1" t="s">
        <v>9877</v>
      </c>
      <c r="C118" s="1" t="str">
        <f t="shared" si="12"/>
        <v>E2_5_1_75_mRNA</v>
      </c>
      <c r="D118" s="1" t="str">
        <f t="shared" si="13"/>
        <v>E2_5_1_75</v>
      </c>
      <c r="E118" s="26" t="str">
        <f t="shared" si="14"/>
        <v>E2_5_1_75_kcat : 13.7</v>
      </c>
      <c r="F118" s="27" t="str">
        <f t="shared" si="15"/>
        <v>E2_5_1_75_km : 1</v>
      </c>
      <c r="G118" s="6" t="str">
        <f t="shared" si="16"/>
        <v>E2_5_1_75_mRNA : E2_5_1_75_mRNA</v>
      </c>
      <c r="H118" s="28" t="str">
        <f t="shared" si="17"/>
        <v>E2_5_1_75 : E2_5_1_75</v>
      </c>
      <c r="I118" s="29" t="str">
        <f t="shared" si="18"/>
        <v>E2_5_1_75_mRNA : 0</v>
      </c>
      <c r="J118" s="30" t="str">
        <f t="shared" si="19"/>
        <v>E2_5_1_75 : 0</v>
      </c>
      <c r="K118" s="31" t="str">
        <f t="shared" si="20"/>
        <v>0.00292 - (0.0093 * E2_5_1_75_mRNA)</v>
      </c>
      <c r="L118" s="32" t="str">
        <f t="shared" si="21"/>
        <v>(0.278 * E2_5_1_75_mRNA) - (0.00000278 * E2_5_1_75)</v>
      </c>
      <c r="M118" s="7" t="str">
        <f t="shared" si="22"/>
        <v>mRNA117: -&gt; E2_5_1_75_mRNA | 0.00292 - (0.0093 * E2_5_1_75_mRNA)</v>
      </c>
      <c r="N118" s="33" t="str">
        <f t="shared" si="23"/>
        <v>Peptide117: E2_5_1_75_mRNA -&gt; E2_5_1_75 | (0.278 * E2_5_1_75_mRNA) - (0.000000278 * E2_5_1_75)</v>
      </c>
    </row>
    <row r="119" spans="1:14" x14ac:dyDescent="0.35">
      <c r="A119" s="1">
        <v>118</v>
      </c>
      <c r="B119" s="1" t="s">
        <v>9878</v>
      </c>
      <c r="C119" s="1" t="str">
        <f t="shared" si="12"/>
        <v>E2_6_1_1_mRNA</v>
      </c>
      <c r="D119" s="1" t="str">
        <f t="shared" si="13"/>
        <v>E2_6_1_1</v>
      </c>
      <c r="E119" s="26" t="str">
        <f t="shared" si="14"/>
        <v>E2_6_1_1_kcat : 13.7</v>
      </c>
      <c r="F119" s="27" t="str">
        <f t="shared" si="15"/>
        <v>E2_6_1_1_km : 1</v>
      </c>
      <c r="G119" s="6" t="str">
        <f t="shared" si="16"/>
        <v>E2_6_1_1_mRNA : E2_6_1_1_mRNA</v>
      </c>
      <c r="H119" s="28" t="str">
        <f t="shared" si="17"/>
        <v>E2_6_1_1 : E2_6_1_1</v>
      </c>
      <c r="I119" s="29" t="str">
        <f t="shared" si="18"/>
        <v>E2_6_1_1_mRNA : 0</v>
      </c>
      <c r="J119" s="30" t="str">
        <f t="shared" si="19"/>
        <v>E2_6_1_1 : 0</v>
      </c>
      <c r="K119" s="31" t="str">
        <f t="shared" si="20"/>
        <v>0.00292 - (0.0093 * E2_6_1_1_mRNA)</v>
      </c>
      <c r="L119" s="32" t="str">
        <f t="shared" si="21"/>
        <v>(0.278 * E2_6_1_1_mRNA) - (0.00000278 * E2_6_1_1)</v>
      </c>
      <c r="M119" s="7" t="str">
        <f t="shared" si="22"/>
        <v>mRNA118: -&gt; E2_6_1_1_mRNA | 0.00292 - (0.0093 * E2_6_1_1_mRNA)</v>
      </c>
      <c r="N119" s="33" t="str">
        <f t="shared" si="23"/>
        <v>Peptide118: E2_6_1_1_mRNA -&gt; E2_6_1_1 | (0.278 * E2_6_1_1_mRNA) - (0.000000278 * E2_6_1_1)</v>
      </c>
    </row>
    <row r="120" spans="1:14" x14ac:dyDescent="0.35">
      <c r="A120" s="1">
        <v>119</v>
      </c>
      <c r="B120" s="1" t="s">
        <v>9879</v>
      </c>
      <c r="C120" s="1" t="str">
        <f t="shared" si="12"/>
        <v>E2_6_1_11_mRNA</v>
      </c>
      <c r="D120" s="1" t="str">
        <f t="shared" si="13"/>
        <v>E2_6_1_11</v>
      </c>
      <c r="E120" s="26" t="str">
        <f t="shared" si="14"/>
        <v>E2_6_1_11_kcat : 13.7</v>
      </c>
      <c r="F120" s="27" t="str">
        <f t="shared" si="15"/>
        <v>E2_6_1_11_km : 1</v>
      </c>
      <c r="G120" s="6" t="str">
        <f t="shared" si="16"/>
        <v>E2_6_1_11_mRNA : E2_6_1_11_mRNA</v>
      </c>
      <c r="H120" s="28" t="str">
        <f t="shared" si="17"/>
        <v>E2_6_1_11 : E2_6_1_11</v>
      </c>
      <c r="I120" s="29" t="str">
        <f t="shared" si="18"/>
        <v>E2_6_1_11_mRNA : 0</v>
      </c>
      <c r="J120" s="30" t="str">
        <f t="shared" si="19"/>
        <v>E2_6_1_11 : 0</v>
      </c>
      <c r="K120" s="31" t="str">
        <f t="shared" si="20"/>
        <v>0.00292 - (0.0093 * E2_6_1_11_mRNA)</v>
      </c>
      <c r="L120" s="32" t="str">
        <f t="shared" si="21"/>
        <v>(0.278 * E2_6_1_11_mRNA) - (0.00000278 * E2_6_1_11)</v>
      </c>
      <c r="M120" s="7" t="str">
        <f t="shared" si="22"/>
        <v>mRNA119: -&gt; E2_6_1_11_mRNA | 0.00292 - (0.0093 * E2_6_1_11_mRNA)</v>
      </c>
      <c r="N120" s="33" t="str">
        <f t="shared" si="23"/>
        <v>Peptide119: E2_6_1_11_mRNA -&gt; E2_6_1_11 | (0.278 * E2_6_1_11_mRNA) - (0.000000278 * E2_6_1_11)</v>
      </c>
    </row>
    <row r="121" spans="1:14" x14ac:dyDescent="0.35">
      <c r="A121" s="1">
        <v>120</v>
      </c>
      <c r="B121" s="1" t="s">
        <v>9880</v>
      </c>
      <c r="C121" s="1" t="str">
        <f t="shared" si="12"/>
        <v>E2_6_1_16_mRNA</v>
      </c>
      <c r="D121" s="1" t="str">
        <f t="shared" si="13"/>
        <v>E2_6_1_16</v>
      </c>
      <c r="E121" s="26" t="str">
        <f t="shared" si="14"/>
        <v>E2_6_1_16_kcat : 13.7</v>
      </c>
      <c r="F121" s="27" t="str">
        <f t="shared" si="15"/>
        <v>E2_6_1_16_km : 1</v>
      </c>
      <c r="G121" s="6" t="str">
        <f t="shared" si="16"/>
        <v>E2_6_1_16_mRNA : E2_6_1_16_mRNA</v>
      </c>
      <c r="H121" s="28" t="str">
        <f t="shared" si="17"/>
        <v>E2_6_1_16 : E2_6_1_16</v>
      </c>
      <c r="I121" s="29" t="str">
        <f t="shared" si="18"/>
        <v>E2_6_1_16_mRNA : 0</v>
      </c>
      <c r="J121" s="30" t="str">
        <f t="shared" si="19"/>
        <v>E2_6_1_16 : 0</v>
      </c>
      <c r="K121" s="31" t="str">
        <f t="shared" si="20"/>
        <v>0.00292 - (0.0093 * E2_6_1_16_mRNA)</v>
      </c>
      <c r="L121" s="32" t="str">
        <f t="shared" si="21"/>
        <v>(0.278 * E2_6_1_16_mRNA) - (0.00000278 * E2_6_1_16)</v>
      </c>
      <c r="M121" s="7" t="str">
        <f t="shared" si="22"/>
        <v>mRNA120: -&gt; E2_6_1_16_mRNA | 0.00292 - (0.0093 * E2_6_1_16_mRNA)</v>
      </c>
      <c r="N121" s="33" t="str">
        <f t="shared" si="23"/>
        <v>Peptide120: E2_6_1_16_mRNA -&gt; E2_6_1_16 | (0.278 * E2_6_1_16_mRNA) - (0.000000278 * E2_6_1_16)</v>
      </c>
    </row>
    <row r="122" spans="1:14" x14ac:dyDescent="0.35">
      <c r="A122" s="1">
        <v>121</v>
      </c>
      <c r="B122" s="1" t="s">
        <v>9881</v>
      </c>
      <c r="C122" s="1" t="str">
        <f t="shared" si="12"/>
        <v>E2_6_1_42_mRNA</v>
      </c>
      <c r="D122" s="1" t="str">
        <f t="shared" si="13"/>
        <v>E2_6_1_42</v>
      </c>
      <c r="E122" s="26" t="str">
        <f t="shared" si="14"/>
        <v>E2_6_1_42_kcat : 13.7</v>
      </c>
      <c r="F122" s="27" t="str">
        <f t="shared" si="15"/>
        <v>E2_6_1_42_km : 1</v>
      </c>
      <c r="G122" s="6" t="str">
        <f t="shared" si="16"/>
        <v>E2_6_1_42_mRNA : E2_6_1_42_mRNA</v>
      </c>
      <c r="H122" s="28" t="str">
        <f t="shared" si="17"/>
        <v>E2_6_1_42 : E2_6_1_42</v>
      </c>
      <c r="I122" s="29" t="str">
        <f t="shared" si="18"/>
        <v>E2_6_1_42_mRNA : 0</v>
      </c>
      <c r="J122" s="30" t="str">
        <f t="shared" si="19"/>
        <v>E2_6_1_42 : 0</v>
      </c>
      <c r="K122" s="31" t="str">
        <f t="shared" si="20"/>
        <v>0.00292 - (0.0093 * E2_6_1_42_mRNA)</v>
      </c>
      <c r="L122" s="32" t="str">
        <f t="shared" si="21"/>
        <v>(0.278 * E2_6_1_42_mRNA) - (0.00000278 * E2_6_1_42)</v>
      </c>
      <c r="M122" s="7" t="str">
        <f t="shared" si="22"/>
        <v>mRNA121: -&gt; E2_6_1_42_mRNA | 0.00292 - (0.0093 * E2_6_1_42_mRNA)</v>
      </c>
      <c r="N122" s="33" t="str">
        <f t="shared" si="23"/>
        <v>Peptide121: E2_6_1_42_mRNA -&gt; E2_6_1_42 | (0.278 * E2_6_1_42_mRNA) - (0.000000278 * E2_6_1_42)</v>
      </c>
    </row>
    <row r="123" spans="1:14" x14ac:dyDescent="0.35">
      <c r="A123" s="1">
        <v>122</v>
      </c>
      <c r="B123" s="1" t="s">
        <v>9882</v>
      </c>
      <c r="C123" s="1" t="str">
        <f t="shared" si="12"/>
        <v>E2_6_1_52_mRNA</v>
      </c>
      <c r="D123" s="1" t="str">
        <f t="shared" si="13"/>
        <v>E2_6_1_52</v>
      </c>
      <c r="E123" s="26" t="str">
        <f t="shared" si="14"/>
        <v>E2_6_1_52_kcat : 13.7</v>
      </c>
      <c r="F123" s="27" t="str">
        <f t="shared" si="15"/>
        <v>E2_6_1_52_km : 1</v>
      </c>
      <c r="G123" s="6" t="str">
        <f t="shared" si="16"/>
        <v>E2_6_1_52_mRNA : E2_6_1_52_mRNA</v>
      </c>
      <c r="H123" s="28" t="str">
        <f t="shared" si="17"/>
        <v>E2_6_1_52 : E2_6_1_52</v>
      </c>
      <c r="I123" s="29" t="str">
        <f t="shared" si="18"/>
        <v>E2_6_1_52_mRNA : 0</v>
      </c>
      <c r="J123" s="30" t="str">
        <f t="shared" si="19"/>
        <v>E2_6_1_52 : 0</v>
      </c>
      <c r="K123" s="31" t="str">
        <f t="shared" si="20"/>
        <v>0.00292 - (0.0093 * E2_6_1_52_mRNA)</v>
      </c>
      <c r="L123" s="32" t="str">
        <f t="shared" si="21"/>
        <v>(0.278 * E2_6_1_52_mRNA) - (0.00000278 * E2_6_1_52)</v>
      </c>
      <c r="M123" s="7" t="str">
        <f t="shared" si="22"/>
        <v>mRNA122: -&gt; E2_6_1_52_mRNA | 0.00292 - (0.0093 * E2_6_1_52_mRNA)</v>
      </c>
      <c r="N123" s="33" t="str">
        <f t="shared" si="23"/>
        <v>Peptide122: E2_6_1_52_mRNA -&gt; E2_6_1_52 | (0.278 * E2_6_1_52_mRNA) - (0.000000278 * E2_6_1_52)</v>
      </c>
    </row>
    <row r="124" spans="1:14" x14ac:dyDescent="0.35">
      <c r="A124" s="1">
        <v>123</v>
      </c>
      <c r="B124" s="1" t="s">
        <v>9883</v>
      </c>
      <c r="C124" s="1" t="str">
        <f t="shared" si="12"/>
        <v>E2_6_1_57_mRNA</v>
      </c>
      <c r="D124" s="1" t="str">
        <f t="shared" si="13"/>
        <v>E2_6_1_57</v>
      </c>
      <c r="E124" s="26" t="str">
        <f t="shared" si="14"/>
        <v>E2_6_1_57_kcat : 13.7</v>
      </c>
      <c r="F124" s="27" t="str">
        <f t="shared" si="15"/>
        <v>E2_6_1_57_km : 1</v>
      </c>
      <c r="G124" s="6" t="str">
        <f t="shared" si="16"/>
        <v>E2_6_1_57_mRNA : E2_6_1_57_mRNA</v>
      </c>
      <c r="H124" s="28" t="str">
        <f t="shared" si="17"/>
        <v>E2_6_1_57 : E2_6_1_57</v>
      </c>
      <c r="I124" s="29" t="str">
        <f t="shared" si="18"/>
        <v>E2_6_1_57_mRNA : 0</v>
      </c>
      <c r="J124" s="30" t="str">
        <f t="shared" si="19"/>
        <v>E2_6_1_57 : 0</v>
      </c>
      <c r="K124" s="31" t="str">
        <f t="shared" si="20"/>
        <v>0.00292 - (0.0093 * E2_6_1_57_mRNA)</v>
      </c>
      <c r="L124" s="32" t="str">
        <f t="shared" si="21"/>
        <v>(0.278 * E2_6_1_57_mRNA) - (0.00000278 * E2_6_1_57)</v>
      </c>
      <c r="M124" s="7" t="str">
        <f t="shared" si="22"/>
        <v>mRNA123: -&gt; E2_6_1_57_mRNA | 0.00292 - (0.0093 * E2_6_1_57_mRNA)</v>
      </c>
      <c r="N124" s="33" t="str">
        <f t="shared" si="23"/>
        <v>Peptide123: E2_6_1_57_mRNA -&gt; E2_6_1_57 | (0.278 * E2_6_1_57_mRNA) - (0.000000278 * E2_6_1_57)</v>
      </c>
    </row>
    <row r="125" spans="1:14" x14ac:dyDescent="0.35">
      <c r="A125" s="1">
        <v>124</v>
      </c>
      <c r="B125" s="1" t="s">
        <v>9884</v>
      </c>
      <c r="C125" s="1" t="str">
        <f t="shared" si="12"/>
        <v>E2_6_1_9_mRNA</v>
      </c>
      <c r="D125" s="1" t="str">
        <f t="shared" si="13"/>
        <v>E2_6_1_9</v>
      </c>
      <c r="E125" s="26" t="str">
        <f t="shared" si="14"/>
        <v>E2_6_1_9_kcat : 13.7</v>
      </c>
      <c r="F125" s="27" t="str">
        <f t="shared" si="15"/>
        <v>E2_6_1_9_km : 1</v>
      </c>
      <c r="G125" s="6" t="str">
        <f t="shared" si="16"/>
        <v>E2_6_1_9_mRNA : E2_6_1_9_mRNA</v>
      </c>
      <c r="H125" s="28" t="str">
        <f t="shared" si="17"/>
        <v>E2_6_1_9 : E2_6_1_9</v>
      </c>
      <c r="I125" s="29" t="str">
        <f t="shared" si="18"/>
        <v>E2_6_1_9_mRNA : 0</v>
      </c>
      <c r="J125" s="30" t="str">
        <f t="shared" si="19"/>
        <v>E2_6_1_9 : 0</v>
      </c>
      <c r="K125" s="31" t="str">
        <f t="shared" si="20"/>
        <v>0.00292 - (0.0093 * E2_6_1_9_mRNA)</v>
      </c>
      <c r="L125" s="32" t="str">
        <f t="shared" si="21"/>
        <v>(0.278 * E2_6_1_9_mRNA) - (0.00000278 * E2_6_1_9)</v>
      </c>
      <c r="M125" s="7" t="str">
        <f t="shared" si="22"/>
        <v>mRNA124: -&gt; E2_6_1_9_mRNA | 0.00292 - (0.0093 * E2_6_1_9_mRNA)</v>
      </c>
      <c r="N125" s="33" t="str">
        <f t="shared" si="23"/>
        <v>Peptide124: E2_6_1_9_mRNA -&gt; E2_6_1_9 | (0.278 * E2_6_1_9_mRNA) - (0.000000278 * E2_6_1_9)</v>
      </c>
    </row>
    <row r="126" spans="1:14" x14ac:dyDescent="0.35">
      <c r="A126" s="1">
        <v>125</v>
      </c>
      <c r="B126" s="1" t="s">
        <v>9885</v>
      </c>
      <c r="C126" s="1" t="str">
        <f t="shared" si="12"/>
        <v>E2_7_1_107_mRNA</v>
      </c>
      <c r="D126" s="1" t="str">
        <f t="shared" si="13"/>
        <v>E2_7_1_107</v>
      </c>
      <c r="E126" s="26" t="str">
        <f t="shared" si="14"/>
        <v>E2_7_1_107_kcat : 13.7</v>
      </c>
      <c r="F126" s="27" t="str">
        <f t="shared" si="15"/>
        <v>E2_7_1_107_km : 1</v>
      </c>
      <c r="G126" s="6" t="str">
        <f t="shared" si="16"/>
        <v>E2_7_1_107_mRNA : E2_7_1_107_mRNA</v>
      </c>
      <c r="H126" s="28" t="str">
        <f t="shared" si="17"/>
        <v>E2_7_1_107 : E2_7_1_107</v>
      </c>
      <c r="I126" s="29" t="str">
        <f t="shared" si="18"/>
        <v>E2_7_1_107_mRNA : 0</v>
      </c>
      <c r="J126" s="30" t="str">
        <f t="shared" si="19"/>
        <v>E2_7_1_107 : 0</v>
      </c>
      <c r="K126" s="31" t="str">
        <f t="shared" si="20"/>
        <v>0.00292 - (0.0093 * E2_7_1_107_mRNA)</v>
      </c>
      <c r="L126" s="32" t="str">
        <f t="shared" si="21"/>
        <v>(0.278 * E2_7_1_107_mRNA) - (0.00000278 * E2_7_1_107)</v>
      </c>
      <c r="M126" s="7" t="str">
        <f t="shared" si="22"/>
        <v>mRNA125: -&gt; E2_7_1_107_mRNA | 0.00292 - (0.0093 * E2_7_1_107_mRNA)</v>
      </c>
      <c r="N126" s="33" t="str">
        <f t="shared" si="23"/>
        <v>Peptide125: E2_7_1_107_mRNA -&gt; E2_7_1_107 | (0.278 * E2_7_1_107_mRNA) - (0.000000278 * E2_7_1_107)</v>
      </c>
    </row>
    <row r="127" spans="1:14" x14ac:dyDescent="0.35">
      <c r="A127" s="1">
        <v>126</v>
      </c>
      <c r="B127" s="1" t="s">
        <v>9886</v>
      </c>
      <c r="C127" s="1" t="str">
        <f t="shared" si="12"/>
        <v>E2_7_1_11_mRNA</v>
      </c>
      <c r="D127" s="1" t="str">
        <f t="shared" si="13"/>
        <v>E2_7_1_11</v>
      </c>
      <c r="E127" s="26" t="str">
        <f t="shared" si="14"/>
        <v>E2_7_1_11_kcat : 13.7</v>
      </c>
      <c r="F127" s="27" t="str">
        <f t="shared" si="15"/>
        <v>E2_7_1_11_km : 1</v>
      </c>
      <c r="G127" s="6" t="str">
        <f t="shared" si="16"/>
        <v>E2_7_1_11_mRNA : E2_7_1_11_mRNA</v>
      </c>
      <c r="H127" s="28" t="str">
        <f t="shared" si="17"/>
        <v>E2_7_1_11 : E2_7_1_11</v>
      </c>
      <c r="I127" s="29" t="str">
        <f t="shared" si="18"/>
        <v>E2_7_1_11_mRNA : 0</v>
      </c>
      <c r="J127" s="30" t="str">
        <f t="shared" si="19"/>
        <v>E2_7_1_11 : 0</v>
      </c>
      <c r="K127" s="31" t="str">
        <f t="shared" si="20"/>
        <v>0.00292 - (0.0093 * E2_7_1_11_mRNA)</v>
      </c>
      <c r="L127" s="32" t="str">
        <f t="shared" si="21"/>
        <v>(0.278 * E2_7_1_11_mRNA) - (0.00000278 * E2_7_1_11)</v>
      </c>
      <c r="M127" s="7" t="str">
        <f t="shared" si="22"/>
        <v>mRNA126: -&gt; E2_7_1_11_mRNA | 0.00292 - (0.0093 * E2_7_1_11_mRNA)</v>
      </c>
      <c r="N127" s="33" t="str">
        <f t="shared" si="23"/>
        <v>Peptide126: E2_7_1_11_mRNA -&gt; E2_7_1_11 | (0.278 * E2_7_1_11_mRNA) - (0.000000278 * E2_7_1_11)</v>
      </c>
    </row>
    <row r="128" spans="1:14" x14ac:dyDescent="0.35">
      <c r="A128" s="1">
        <v>127</v>
      </c>
      <c r="B128" s="1" t="s">
        <v>9887</v>
      </c>
      <c r="C128" s="1" t="str">
        <f t="shared" si="12"/>
        <v>E2_7_1_2_mRNA</v>
      </c>
      <c r="D128" s="1" t="str">
        <f t="shared" si="13"/>
        <v>E2_7_1_2</v>
      </c>
      <c r="E128" s="26" t="str">
        <f t="shared" si="14"/>
        <v>E2_7_1_2_kcat : 13.7</v>
      </c>
      <c r="F128" s="27" t="str">
        <f t="shared" si="15"/>
        <v>E2_7_1_2_km : 1</v>
      </c>
      <c r="G128" s="6" t="str">
        <f t="shared" si="16"/>
        <v>E2_7_1_2_mRNA : E2_7_1_2_mRNA</v>
      </c>
      <c r="H128" s="28" t="str">
        <f t="shared" si="17"/>
        <v>E2_7_1_2 : E2_7_1_2</v>
      </c>
      <c r="I128" s="29" t="str">
        <f t="shared" si="18"/>
        <v>E2_7_1_2_mRNA : 0</v>
      </c>
      <c r="J128" s="30" t="str">
        <f t="shared" si="19"/>
        <v>E2_7_1_2 : 0</v>
      </c>
      <c r="K128" s="31" t="str">
        <f t="shared" si="20"/>
        <v>0.00292 - (0.0093 * E2_7_1_2_mRNA)</v>
      </c>
      <c r="L128" s="32" t="str">
        <f t="shared" si="21"/>
        <v>(0.278 * E2_7_1_2_mRNA) - (0.00000278 * E2_7_1_2)</v>
      </c>
      <c r="M128" s="7" t="str">
        <f t="shared" si="22"/>
        <v>mRNA127: -&gt; E2_7_1_2_mRNA | 0.00292 - (0.0093 * E2_7_1_2_mRNA)</v>
      </c>
      <c r="N128" s="33" t="str">
        <f t="shared" si="23"/>
        <v>Peptide127: E2_7_1_2_mRNA -&gt; E2_7_1_2 | (0.278 * E2_7_1_2_mRNA) - (0.000000278 * E2_7_1_2)</v>
      </c>
    </row>
    <row r="129" spans="1:14" x14ac:dyDescent="0.35">
      <c r="A129" s="1">
        <v>128</v>
      </c>
      <c r="B129" s="1" t="s">
        <v>9888</v>
      </c>
      <c r="C129" s="1" t="str">
        <f t="shared" si="12"/>
        <v>E2_7_1_21_mRNA</v>
      </c>
      <c r="D129" s="1" t="str">
        <f t="shared" si="13"/>
        <v>E2_7_1_21</v>
      </c>
      <c r="E129" s="26" t="str">
        <f t="shared" si="14"/>
        <v>E2_7_1_21_kcat : 13.7</v>
      </c>
      <c r="F129" s="27" t="str">
        <f t="shared" si="15"/>
        <v>E2_7_1_21_km : 1</v>
      </c>
      <c r="G129" s="6" t="str">
        <f t="shared" si="16"/>
        <v>E2_7_1_21_mRNA : E2_7_1_21_mRNA</v>
      </c>
      <c r="H129" s="28" t="str">
        <f t="shared" si="17"/>
        <v>E2_7_1_21 : E2_7_1_21</v>
      </c>
      <c r="I129" s="29" t="str">
        <f t="shared" si="18"/>
        <v>E2_7_1_21_mRNA : 0</v>
      </c>
      <c r="J129" s="30" t="str">
        <f t="shared" si="19"/>
        <v>E2_7_1_21 : 0</v>
      </c>
      <c r="K129" s="31" t="str">
        <f t="shared" si="20"/>
        <v>0.00292 - (0.0093 * E2_7_1_21_mRNA)</v>
      </c>
      <c r="L129" s="32" t="str">
        <f t="shared" si="21"/>
        <v>(0.278 * E2_7_1_21_mRNA) - (0.00000278 * E2_7_1_21)</v>
      </c>
      <c r="M129" s="7" t="str">
        <f t="shared" si="22"/>
        <v>mRNA128: -&gt; E2_7_1_21_mRNA | 0.00292 - (0.0093 * E2_7_1_21_mRNA)</v>
      </c>
      <c r="N129" s="33" t="str">
        <f t="shared" si="23"/>
        <v>Peptide128: E2_7_1_21_mRNA -&gt; E2_7_1_21 | (0.278 * E2_7_1_21_mRNA) - (0.000000278 * E2_7_1_21)</v>
      </c>
    </row>
    <row r="130" spans="1:14" x14ac:dyDescent="0.35">
      <c r="A130" s="1">
        <v>129</v>
      </c>
      <c r="B130" s="1" t="s">
        <v>9889</v>
      </c>
      <c r="C130" s="1" t="str">
        <f t="shared" si="12"/>
        <v>E2_7_1_23_mRNA</v>
      </c>
      <c r="D130" s="1" t="str">
        <f t="shared" si="13"/>
        <v>E2_7_1_23</v>
      </c>
      <c r="E130" s="26" t="str">
        <f t="shared" si="14"/>
        <v>E2_7_1_23_kcat : 13.7</v>
      </c>
      <c r="F130" s="27" t="str">
        <f t="shared" si="15"/>
        <v>E2_7_1_23_km : 1</v>
      </c>
      <c r="G130" s="6" t="str">
        <f t="shared" si="16"/>
        <v>E2_7_1_23_mRNA : E2_7_1_23_mRNA</v>
      </c>
      <c r="H130" s="28" t="str">
        <f t="shared" si="17"/>
        <v>E2_7_1_23 : E2_7_1_23</v>
      </c>
      <c r="I130" s="29" t="str">
        <f t="shared" si="18"/>
        <v>E2_7_1_23_mRNA : 0</v>
      </c>
      <c r="J130" s="30" t="str">
        <f t="shared" si="19"/>
        <v>E2_7_1_23 : 0</v>
      </c>
      <c r="K130" s="31" t="str">
        <f t="shared" si="20"/>
        <v>0.00292 - (0.0093 * E2_7_1_23_mRNA)</v>
      </c>
      <c r="L130" s="32" t="str">
        <f t="shared" si="21"/>
        <v>(0.278 * E2_7_1_23_mRNA) - (0.00000278 * E2_7_1_23)</v>
      </c>
      <c r="M130" s="7" t="str">
        <f t="shared" si="22"/>
        <v>mRNA129: -&gt; E2_7_1_23_mRNA | 0.00292 - (0.0093 * E2_7_1_23_mRNA)</v>
      </c>
      <c r="N130" s="33" t="str">
        <f t="shared" si="23"/>
        <v>Peptide129: E2_7_1_23_mRNA -&gt; E2_7_1_23 | (0.278 * E2_7_1_23_mRNA) - (0.000000278 * E2_7_1_23)</v>
      </c>
    </row>
    <row r="131" spans="1:14" x14ac:dyDescent="0.35">
      <c r="A131" s="1">
        <v>130</v>
      </c>
      <c r="B131" s="1" t="s">
        <v>9890</v>
      </c>
      <c r="C131" s="1" t="str">
        <f t="shared" ref="C131:C193" si="24">CONCATENATE(D131,"_mRNA")</f>
        <v>E2_7_1_24_mRNA</v>
      </c>
      <c r="D131" s="1" t="str">
        <f t="shared" ref="D131:D193" si="25">CONCATENATE("E",B131)</f>
        <v>E2_7_1_24</v>
      </c>
      <c r="E131" s="26" t="str">
        <f t="shared" ref="E131:E193" si="26">CONCATENATE("E",B131,"_kcat : 13.7")</f>
        <v>E2_7_1_24_kcat : 13.7</v>
      </c>
      <c r="F131" s="27" t="str">
        <f t="shared" ref="F131:F193" si="27">CONCATENATE("E",B131,"_km : 1")</f>
        <v>E2_7_1_24_km : 1</v>
      </c>
      <c r="G131" s="6" t="str">
        <f t="shared" ref="G131:G193" si="28">CONCATENATE(C131," : ",C131)</f>
        <v>E2_7_1_24_mRNA : E2_7_1_24_mRNA</v>
      </c>
      <c r="H131" s="28" t="str">
        <f t="shared" ref="H131:H193" si="29">CONCATENATE(D131," : ",D131)</f>
        <v>E2_7_1_24 : E2_7_1_24</v>
      </c>
      <c r="I131" s="29" t="str">
        <f t="shared" ref="I131:I193" si="30">CONCATENATE(C131," : ","0")</f>
        <v>E2_7_1_24_mRNA : 0</v>
      </c>
      <c r="J131" s="30" t="str">
        <f t="shared" ref="J131:J193" si="31">CONCATENATE(D131," : ","0")</f>
        <v>E2_7_1_24 : 0</v>
      </c>
      <c r="K131" s="31" t="str">
        <f t="shared" ref="K131:K193" si="32">CONCATENATE("0.00292 - (0.0093 * ",C131,")")</f>
        <v>0.00292 - (0.0093 * E2_7_1_24_mRNA)</v>
      </c>
      <c r="L131" s="32" t="str">
        <f t="shared" ref="L131:L193" si="33">CONCATENATE("(0.278 * ",C131,")"," - (0.00000278 * ",D131,")")</f>
        <v>(0.278 * E2_7_1_24_mRNA) - (0.00000278 * E2_7_1_24)</v>
      </c>
      <c r="M131" s="7" t="str">
        <f t="shared" ref="M131:M193" si="34">CONCATENATE("mRNA",A131,": -&gt; ",C131," | ","0.00292"," - ","(","0.0093"," * ",C131,")")</f>
        <v>mRNA130: -&gt; E2_7_1_24_mRNA | 0.00292 - (0.0093 * E2_7_1_24_mRNA)</v>
      </c>
      <c r="N131" s="33" t="str">
        <f t="shared" ref="N131:N193" si="35">CONCATENATE("Peptide",A131,": ",C131," -&gt; ",D131," | ","(","0.278"," * ",C131,")"," - ","(","0.000000278"," * ",D131,")")</f>
        <v>Peptide130: E2_7_1_24_mRNA -&gt; E2_7_1_24 | (0.278 * E2_7_1_24_mRNA) - (0.000000278 * E2_7_1_24)</v>
      </c>
    </row>
    <row r="132" spans="1:14" x14ac:dyDescent="0.35">
      <c r="A132" s="1">
        <v>131</v>
      </c>
      <c r="B132" s="1" t="s">
        <v>9891</v>
      </c>
      <c r="C132" s="1" t="str">
        <f t="shared" si="24"/>
        <v>E2_7_1_31_mRNA</v>
      </c>
      <c r="D132" s="1" t="str">
        <f t="shared" si="25"/>
        <v>E2_7_1_31</v>
      </c>
      <c r="E132" s="26" t="str">
        <f t="shared" si="26"/>
        <v>E2_7_1_31_kcat : 13.7</v>
      </c>
      <c r="F132" s="27" t="str">
        <f t="shared" si="27"/>
        <v>E2_7_1_31_km : 1</v>
      </c>
      <c r="G132" s="6" t="str">
        <f t="shared" si="28"/>
        <v>E2_7_1_31_mRNA : E2_7_1_31_mRNA</v>
      </c>
      <c r="H132" s="28" t="str">
        <f t="shared" si="29"/>
        <v>E2_7_1_31 : E2_7_1_31</v>
      </c>
      <c r="I132" s="29" t="str">
        <f t="shared" si="30"/>
        <v>E2_7_1_31_mRNA : 0</v>
      </c>
      <c r="J132" s="30" t="str">
        <f t="shared" si="31"/>
        <v>E2_7_1_31 : 0</v>
      </c>
      <c r="K132" s="31" t="str">
        <f t="shared" si="32"/>
        <v>0.00292 - (0.0093 * E2_7_1_31_mRNA)</v>
      </c>
      <c r="L132" s="32" t="str">
        <f t="shared" si="33"/>
        <v>(0.278 * E2_7_1_31_mRNA) - (0.00000278 * E2_7_1_31)</v>
      </c>
      <c r="M132" s="7" t="str">
        <f t="shared" si="34"/>
        <v>mRNA131: -&gt; E2_7_1_31_mRNA | 0.00292 - (0.0093 * E2_7_1_31_mRNA)</v>
      </c>
      <c r="N132" s="33" t="str">
        <f t="shared" si="35"/>
        <v>Peptide131: E2_7_1_31_mRNA -&gt; E2_7_1_31 | (0.278 * E2_7_1_31_mRNA) - (0.000000278 * E2_7_1_31)</v>
      </c>
    </row>
    <row r="133" spans="1:14" x14ac:dyDescent="0.35">
      <c r="A133" s="1">
        <v>132</v>
      </c>
      <c r="B133" s="1" t="s">
        <v>9892</v>
      </c>
      <c r="C133" s="1" t="str">
        <f t="shared" si="24"/>
        <v>E2_7_1_33_mRNA</v>
      </c>
      <c r="D133" s="1" t="str">
        <f t="shared" si="25"/>
        <v>E2_7_1_33</v>
      </c>
      <c r="E133" s="26" t="str">
        <f t="shared" si="26"/>
        <v>E2_7_1_33_kcat : 13.7</v>
      </c>
      <c r="F133" s="27" t="str">
        <f t="shared" si="27"/>
        <v>E2_7_1_33_km : 1</v>
      </c>
      <c r="G133" s="6" t="str">
        <f t="shared" si="28"/>
        <v>E2_7_1_33_mRNA : E2_7_1_33_mRNA</v>
      </c>
      <c r="H133" s="28" t="str">
        <f t="shared" si="29"/>
        <v>E2_7_1_33 : E2_7_1_33</v>
      </c>
      <c r="I133" s="29" t="str">
        <f t="shared" si="30"/>
        <v>E2_7_1_33_mRNA : 0</v>
      </c>
      <c r="J133" s="30" t="str">
        <f t="shared" si="31"/>
        <v>E2_7_1_33 : 0</v>
      </c>
      <c r="K133" s="31" t="str">
        <f t="shared" si="32"/>
        <v>0.00292 - (0.0093 * E2_7_1_33_mRNA)</v>
      </c>
      <c r="L133" s="32" t="str">
        <f t="shared" si="33"/>
        <v>(0.278 * E2_7_1_33_mRNA) - (0.00000278 * E2_7_1_33)</v>
      </c>
      <c r="M133" s="7" t="str">
        <f t="shared" si="34"/>
        <v>mRNA132: -&gt; E2_7_1_33_mRNA | 0.00292 - (0.0093 * E2_7_1_33_mRNA)</v>
      </c>
      <c r="N133" s="33" t="str">
        <f t="shared" si="35"/>
        <v>Peptide132: E2_7_1_33_mRNA -&gt; E2_7_1_33 | (0.278 * E2_7_1_33_mRNA) - (0.000000278 * E2_7_1_33)</v>
      </c>
    </row>
    <row r="134" spans="1:14" x14ac:dyDescent="0.35">
      <c r="A134" s="1">
        <v>133</v>
      </c>
      <c r="B134" s="1" t="s">
        <v>9893</v>
      </c>
      <c r="C134" s="1" t="str">
        <f t="shared" si="24"/>
        <v>E2_7_1_35_mRNA</v>
      </c>
      <c r="D134" s="1" t="str">
        <f t="shared" si="25"/>
        <v>E2_7_1_35</v>
      </c>
      <c r="E134" s="26" t="str">
        <f t="shared" si="26"/>
        <v>E2_7_1_35_kcat : 13.7</v>
      </c>
      <c r="F134" s="27" t="str">
        <f t="shared" si="27"/>
        <v>E2_7_1_35_km : 1</v>
      </c>
      <c r="G134" s="6" t="str">
        <f t="shared" si="28"/>
        <v>E2_7_1_35_mRNA : E2_7_1_35_mRNA</v>
      </c>
      <c r="H134" s="28" t="str">
        <f t="shared" si="29"/>
        <v>E2_7_1_35 : E2_7_1_35</v>
      </c>
      <c r="I134" s="29" t="str">
        <f t="shared" si="30"/>
        <v>E2_7_1_35_mRNA : 0</v>
      </c>
      <c r="J134" s="30" t="str">
        <f t="shared" si="31"/>
        <v>E2_7_1_35 : 0</v>
      </c>
      <c r="K134" s="31" t="str">
        <f t="shared" si="32"/>
        <v>0.00292 - (0.0093 * E2_7_1_35_mRNA)</v>
      </c>
      <c r="L134" s="32" t="str">
        <f t="shared" si="33"/>
        <v>(0.278 * E2_7_1_35_mRNA) - (0.00000278 * E2_7_1_35)</v>
      </c>
      <c r="M134" s="7" t="str">
        <f t="shared" si="34"/>
        <v>mRNA133: -&gt; E2_7_1_35_mRNA | 0.00292 - (0.0093 * E2_7_1_35_mRNA)</v>
      </c>
      <c r="N134" s="33" t="str">
        <f t="shared" si="35"/>
        <v>Peptide133: E2_7_1_35_mRNA -&gt; E2_7_1_35 | (0.278 * E2_7_1_35_mRNA) - (0.000000278 * E2_7_1_35)</v>
      </c>
    </row>
    <row r="135" spans="1:14" x14ac:dyDescent="0.35">
      <c r="A135" s="1">
        <v>134</v>
      </c>
      <c r="B135" s="1" t="s">
        <v>9894</v>
      </c>
      <c r="C135" s="1" t="str">
        <f t="shared" si="24"/>
        <v>E2_7_1_36_mRNA</v>
      </c>
      <c r="D135" s="1" t="str">
        <f t="shared" si="25"/>
        <v>E2_7_1_36</v>
      </c>
      <c r="E135" s="26" t="str">
        <f t="shared" si="26"/>
        <v>E2_7_1_36_kcat : 13.7</v>
      </c>
      <c r="F135" s="27" t="str">
        <f t="shared" si="27"/>
        <v>E2_7_1_36_km : 1</v>
      </c>
      <c r="G135" s="6" t="str">
        <f t="shared" si="28"/>
        <v>E2_7_1_36_mRNA : E2_7_1_36_mRNA</v>
      </c>
      <c r="H135" s="28" t="str">
        <f t="shared" si="29"/>
        <v>E2_7_1_36 : E2_7_1_36</v>
      </c>
      <c r="I135" s="29" t="str">
        <f t="shared" si="30"/>
        <v>E2_7_1_36_mRNA : 0</v>
      </c>
      <c r="J135" s="30" t="str">
        <f t="shared" si="31"/>
        <v>E2_7_1_36 : 0</v>
      </c>
      <c r="K135" s="31" t="str">
        <f t="shared" si="32"/>
        <v>0.00292 - (0.0093 * E2_7_1_36_mRNA)</v>
      </c>
      <c r="L135" s="32" t="str">
        <f t="shared" si="33"/>
        <v>(0.278 * E2_7_1_36_mRNA) - (0.00000278 * E2_7_1_36)</v>
      </c>
      <c r="M135" s="7" t="str">
        <f t="shared" si="34"/>
        <v>mRNA134: -&gt; E2_7_1_36_mRNA | 0.00292 - (0.0093 * E2_7_1_36_mRNA)</v>
      </c>
      <c r="N135" s="33" t="str">
        <f t="shared" si="35"/>
        <v>Peptide134: E2_7_1_36_mRNA -&gt; E2_7_1_36 | (0.278 * E2_7_1_36_mRNA) - (0.000000278 * E2_7_1_36)</v>
      </c>
    </row>
    <row r="136" spans="1:14" x14ac:dyDescent="0.35">
      <c r="A136" s="1">
        <v>135</v>
      </c>
      <c r="B136" s="1" t="s">
        <v>9895</v>
      </c>
      <c r="C136" s="1" t="str">
        <f t="shared" si="24"/>
        <v>E2_7_1_39_mRNA</v>
      </c>
      <c r="D136" s="1" t="str">
        <f t="shared" si="25"/>
        <v>E2_7_1_39</v>
      </c>
      <c r="E136" s="26" t="str">
        <f t="shared" si="26"/>
        <v>E2_7_1_39_kcat : 13.7</v>
      </c>
      <c r="F136" s="27" t="str">
        <f t="shared" si="27"/>
        <v>E2_7_1_39_km : 1</v>
      </c>
      <c r="G136" s="6" t="str">
        <f t="shared" si="28"/>
        <v>E2_7_1_39_mRNA : E2_7_1_39_mRNA</v>
      </c>
      <c r="H136" s="28" t="str">
        <f t="shared" si="29"/>
        <v>E2_7_1_39 : E2_7_1_39</v>
      </c>
      <c r="I136" s="29" t="str">
        <f t="shared" si="30"/>
        <v>E2_7_1_39_mRNA : 0</v>
      </c>
      <c r="J136" s="30" t="str">
        <f t="shared" si="31"/>
        <v>E2_7_1_39 : 0</v>
      </c>
      <c r="K136" s="31" t="str">
        <f t="shared" si="32"/>
        <v>0.00292 - (0.0093 * E2_7_1_39_mRNA)</v>
      </c>
      <c r="L136" s="32" t="str">
        <f t="shared" si="33"/>
        <v>(0.278 * E2_7_1_39_mRNA) - (0.00000278 * E2_7_1_39)</v>
      </c>
      <c r="M136" s="7" t="str">
        <f t="shared" si="34"/>
        <v>mRNA135: -&gt; E2_7_1_39_mRNA | 0.00292 - (0.0093 * E2_7_1_39_mRNA)</v>
      </c>
      <c r="N136" s="33" t="str">
        <f t="shared" si="35"/>
        <v>Peptide135: E2_7_1_39_mRNA -&gt; E2_7_1_39 | (0.278 * E2_7_1_39_mRNA) - (0.000000278 * E2_7_1_39)</v>
      </c>
    </row>
    <row r="137" spans="1:14" x14ac:dyDescent="0.35">
      <c r="A137" s="1">
        <v>136</v>
      </c>
      <c r="B137" s="1" t="s">
        <v>9896</v>
      </c>
      <c r="C137" s="1" t="str">
        <f t="shared" si="24"/>
        <v>E2_7_1_4_mRNA</v>
      </c>
      <c r="D137" s="1" t="str">
        <f t="shared" si="25"/>
        <v>E2_7_1_4</v>
      </c>
      <c r="E137" s="26" t="str">
        <f t="shared" si="26"/>
        <v>E2_7_1_4_kcat : 13.7</v>
      </c>
      <c r="F137" s="27" t="str">
        <f t="shared" si="27"/>
        <v>E2_7_1_4_km : 1</v>
      </c>
      <c r="G137" s="6" t="str">
        <f t="shared" si="28"/>
        <v>E2_7_1_4_mRNA : E2_7_1_4_mRNA</v>
      </c>
      <c r="H137" s="28" t="str">
        <f t="shared" si="29"/>
        <v>E2_7_1_4 : E2_7_1_4</v>
      </c>
      <c r="I137" s="29" t="str">
        <f t="shared" si="30"/>
        <v>E2_7_1_4_mRNA : 0</v>
      </c>
      <c r="J137" s="30" t="str">
        <f t="shared" si="31"/>
        <v>E2_7_1_4 : 0</v>
      </c>
      <c r="K137" s="31" t="str">
        <f t="shared" si="32"/>
        <v>0.00292 - (0.0093 * E2_7_1_4_mRNA)</v>
      </c>
      <c r="L137" s="32" t="str">
        <f t="shared" si="33"/>
        <v>(0.278 * E2_7_1_4_mRNA) - (0.00000278 * E2_7_1_4)</v>
      </c>
      <c r="M137" s="7" t="str">
        <f t="shared" si="34"/>
        <v>mRNA136: -&gt; E2_7_1_4_mRNA | 0.00292 - (0.0093 * E2_7_1_4_mRNA)</v>
      </c>
      <c r="N137" s="33" t="str">
        <f t="shared" si="35"/>
        <v>Peptide136: E2_7_1_4_mRNA -&gt; E2_7_1_4 | (0.278 * E2_7_1_4_mRNA) - (0.000000278 * E2_7_1_4)</v>
      </c>
    </row>
    <row r="138" spans="1:14" x14ac:dyDescent="0.35">
      <c r="A138" s="1">
        <v>137</v>
      </c>
      <c r="B138" s="1" t="s">
        <v>9897</v>
      </c>
      <c r="C138" s="1" t="str">
        <f t="shared" si="24"/>
        <v>E2_7_1_40_mRNA</v>
      </c>
      <c r="D138" s="1" t="str">
        <f t="shared" si="25"/>
        <v>E2_7_1_40</v>
      </c>
      <c r="E138" s="26" t="str">
        <f t="shared" si="26"/>
        <v>E2_7_1_40_kcat : 13.7</v>
      </c>
      <c r="F138" s="27" t="str">
        <f t="shared" si="27"/>
        <v>E2_7_1_40_km : 1</v>
      </c>
      <c r="G138" s="6" t="str">
        <f t="shared" si="28"/>
        <v>E2_7_1_40_mRNA : E2_7_1_40_mRNA</v>
      </c>
      <c r="H138" s="28" t="str">
        <f t="shared" si="29"/>
        <v>E2_7_1_40 : E2_7_1_40</v>
      </c>
      <c r="I138" s="29" t="str">
        <f t="shared" si="30"/>
        <v>E2_7_1_40_mRNA : 0</v>
      </c>
      <c r="J138" s="30" t="str">
        <f t="shared" si="31"/>
        <v>E2_7_1_40 : 0</v>
      </c>
      <c r="K138" s="31" t="str">
        <f t="shared" si="32"/>
        <v>0.00292 - (0.0093 * E2_7_1_40_mRNA)</v>
      </c>
      <c r="L138" s="32" t="str">
        <f t="shared" si="33"/>
        <v>(0.278 * E2_7_1_40_mRNA) - (0.00000278 * E2_7_1_40)</v>
      </c>
      <c r="M138" s="7" t="str">
        <f t="shared" si="34"/>
        <v>mRNA137: -&gt; E2_7_1_40_mRNA | 0.00292 - (0.0093 * E2_7_1_40_mRNA)</v>
      </c>
      <c r="N138" s="33" t="str">
        <f t="shared" si="35"/>
        <v>Peptide137: E2_7_1_40_mRNA -&gt; E2_7_1_40 | (0.278 * E2_7_1_40_mRNA) - (0.000000278 * E2_7_1_40)</v>
      </c>
    </row>
    <row r="139" spans="1:14" x14ac:dyDescent="0.35">
      <c r="A139" s="1">
        <v>138</v>
      </c>
      <c r="B139" s="1" t="s">
        <v>9898</v>
      </c>
      <c r="C139" s="1" t="str">
        <f t="shared" si="24"/>
        <v>E2_7_1_48_mRNA</v>
      </c>
      <c r="D139" s="1" t="str">
        <f t="shared" si="25"/>
        <v>E2_7_1_48</v>
      </c>
      <c r="E139" s="26" t="str">
        <f t="shared" si="26"/>
        <v>E2_7_1_48_kcat : 13.7</v>
      </c>
      <c r="F139" s="27" t="str">
        <f t="shared" si="27"/>
        <v>E2_7_1_48_km : 1</v>
      </c>
      <c r="G139" s="6" t="str">
        <f t="shared" si="28"/>
        <v>E2_7_1_48_mRNA : E2_7_1_48_mRNA</v>
      </c>
      <c r="H139" s="28" t="str">
        <f t="shared" si="29"/>
        <v>E2_7_1_48 : E2_7_1_48</v>
      </c>
      <c r="I139" s="29" t="str">
        <f t="shared" si="30"/>
        <v>E2_7_1_48_mRNA : 0</v>
      </c>
      <c r="J139" s="30" t="str">
        <f t="shared" si="31"/>
        <v>E2_7_1_48 : 0</v>
      </c>
      <c r="K139" s="31" t="str">
        <f t="shared" si="32"/>
        <v>0.00292 - (0.0093 * E2_7_1_48_mRNA)</v>
      </c>
      <c r="L139" s="32" t="str">
        <f t="shared" si="33"/>
        <v>(0.278 * E2_7_1_48_mRNA) - (0.00000278 * E2_7_1_48)</v>
      </c>
      <c r="M139" s="7" t="str">
        <f t="shared" si="34"/>
        <v>mRNA138: -&gt; E2_7_1_48_mRNA | 0.00292 - (0.0093 * E2_7_1_48_mRNA)</v>
      </c>
      <c r="N139" s="33" t="str">
        <f t="shared" si="35"/>
        <v>Peptide138: E2_7_1_48_mRNA -&gt; E2_7_1_48 | (0.278 * E2_7_1_48_mRNA) - (0.000000278 * E2_7_1_48)</v>
      </c>
    </row>
    <row r="140" spans="1:14" x14ac:dyDescent="0.35">
      <c r="A140" s="1">
        <v>139</v>
      </c>
      <c r="B140" s="1" t="s">
        <v>9899</v>
      </c>
      <c r="C140" s="1" t="str">
        <f t="shared" si="24"/>
        <v>E2_7_1_56_mRNA</v>
      </c>
      <c r="D140" s="1" t="str">
        <f t="shared" si="25"/>
        <v>E2_7_1_56</v>
      </c>
      <c r="E140" s="26" t="str">
        <f t="shared" si="26"/>
        <v>E2_7_1_56_kcat : 13.7</v>
      </c>
      <c r="F140" s="27" t="str">
        <f t="shared" si="27"/>
        <v>E2_7_1_56_km : 1</v>
      </c>
      <c r="G140" s="6" t="str">
        <f t="shared" si="28"/>
        <v>E2_7_1_56_mRNA : E2_7_1_56_mRNA</v>
      </c>
      <c r="H140" s="28" t="str">
        <f t="shared" si="29"/>
        <v>E2_7_1_56 : E2_7_1_56</v>
      </c>
      <c r="I140" s="29" t="str">
        <f t="shared" si="30"/>
        <v>E2_7_1_56_mRNA : 0</v>
      </c>
      <c r="J140" s="30" t="str">
        <f t="shared" si="31"/>
        <v>E2_7_1_56 : 0</v>
      </c>
      <c r="K140" s="31" t="str">
        <f t="shared" si="32"/>
        <v>0.00292 - (0.0093 * E2_7_1_56_mRNA)</v>
      </c>
      <c r="L140" s="32" t="str">
        <f t="shared" si="33"/>
        <v>(0.278 * E2_7_1_56_mRNA) - (0.00000278 * E2_7_1_56)</v>
      </c>
      <c r="M140" s="7" t="str">
        <f t="shared" si="34"/>
        <v>mRNA139: -&gt; E2_7_1_56_mRNA | 0.00292 - (0.0093 * E2_7_1_56_mRNA)</v>
      </c>
      <c r="N140" s="33" t="str">
        <f t="shared" si="35"/>
        <v>Peptide139: E2_7_1_56_mRNA -&gt; E2_7_1_56 | (0.278 * E2_7_1_56_mRNA) - (0.000000278 * E2_7_1_56)</v>
      </c>
    </row>
    <row r="141" spans="1:14" x14ac:dyDescent="0.35">
      <c r="A141" s="1">
        <v>140</v>
      </c>
      <c r="B141" s="1" t="s">
        <v>9900</v>
      </c>
      <c r="C141" s="1" t="str">
        <f t="shared" si="24"/>
        <v>E2_7_1_6_mRNA</v>
      </c>
      <c r="D141" s="1" t="str">
        <f t="shared" si="25"/>
        <v>E2_7_1_6</v>
      </c>
      <c r="E141" s="26" t="str">
        <f t="shared" si="26"/>
        <v>E2_7_1_6_kcat : 13.7</v>
      </c>
      <c r="F141" s="27" t="str">
        <f t="shared" si="27"/>
        <v>E2_7_1_6_km : 1</v>
      </c>
      <c r="G141" s="6" t="str">
        <f t="shared" si="28"/>
        <v>E2_7_1_6_mRNA : E2_7_1_6_mRNA</v>
      </c>
      <c r="H141" s="28" t="str">
        <f t="shared" si="29"/>
        <v>E2_7_1_6 : E2_7_1_6</v>
      </c>
      <c r="I141" s="29" t="str">
        <f t="shared" si="30"/>
        <v>E2_7_1_6_mRNA : 0</v>
      </c>
      <c r="J141" s="30" t="str">
        <f t="shared" si="31"/>
        <v>E2_7_1_6 : 0</v>
      </c>
      <c r="K141" s="31" t="str">
        <f t="shared" si="32"/>
        <v>0.00292 - (0.0093 * E2_7_1_6_mRNA)</v>
      </c>
      <c r="L141" s="32" t="str">
        <f t="shared" si="33"/>
        <v>(0.278 * E2_7_1_6_mRNA) - (0.00000278 * E2_7_1_6)</v>
      </c>
      <c r="M141" s="7" t="str">
        <f t="shared" si="34"/>
        <v>mRNA140: -&gt; E2_7_1_6_mRNA | 0.00292 - (0.0093 * E2_7_1_6_mRNA)</v>
      </c>
      <c r="N141" s="33" t="str">
        <f t="shared" si="35"/>
        <v>Peptide140: E2_7_1_6_mRNA -&gt; E2_7_1_6 | (0.278 * E2_7_1_6_mRNA) - (0.000000278 * E2_7_1_6)</v>
      </c>
    </row>
    <row r="142" spans="1:14" x14ac:dyDescent="0.35">
      <c r="A142" s="1">
        <v>141</v>
      </c>
      <c r="B142" s="1" t="s">
        <v>9901</v>
      </c>
      <c r="C142" s="1" t="str">
        <f t="shared" si="24"/>
        <v>E2_7_1_69_mRNA</v>
      </c>
      <c r="D142" s="1" t="str">
        <f t="shared" si="25"/>
        <v>E2_7_1_69</v>
      </c>
      <c r="E142" s="26" t="str">
        <f t="shared" si="26"/>
        <v>E2_7_1_69_kcat : 13.7</v>
      </c>
      <c r="F142" s="27" t="str">
        <f t="shared" si="27"/>
        <v>E2_7_1_69_km : 1</v>
      </c>
      <c r="G142" s="6" t="str">
        <f t="shared" si="28"/>
        <v>E2_7_1_69_mRNA : E2_7_1_69_mRNA</v>
      </c>
      <c r="H142" s="28" t="str">
        <f t="shared" si="29"/>
        <v>E2_7_1_69 : E2_7_1_69</v>
      </c>
      <c r="I142" s="29" t="str">
        <f t="shared" si="30"/>
        <v>E2_7_1_69_mRNA : 0</v>
      </c>
      <c r="J142" s="30" t="str">
        <f t="shared" si="31"/>
        <v>E2_7_1_69 : 0</v>
      </c>
      <c r="K142" s="31" t="str">
        <f t="shared" si="32"/>
        <v>0.00292 - (0.0093 * E2_7_1_69_mRNA)</v>
      </c>
      <c r="L142" s="32" t="str">
        <f t="shared" si="33"/>
        <v>(0.278 * E2_7_1_69_mRNA) - (0.00000278 * E2_7_1_69)</v>
      </c>
      <c r="M142" s="7" t="str">
        <f t="shared" si="34"/>
        <v>mRNA141: -&gt; E2_7_1_69_mRNA | 0.00292 - (0.0093 * E2_7_1_69_mRNA)</v>
      </c>
      <c r="N142" s="33" t="str">
        <f t="shared" si="35"/>
        <v>Peptide141: E2_7_1_69_mRNA -&gt; E2_7_1_69 | (0.278 * E2_7_1_69_mRNA) - (0.000000278 * E2_7_1_69)</v>
      </c>
    </row>
    <row r="143" spans="1:14" x14ac:dyDescent="0.35">
      <c r="A143" s="1">
        <v>142</v>
      </c>
      <c r="B143" s="1" t="s">
        <v>9902</v>
      </c>
      <c r="C143" s="1" t="str">
        <f t="shared" si="24"/>
        <v>E2_7_1_71_mRNA</v>
      </c>
      <c r="D143" s="1" t="str">
        <f t="shared" si="25"/>
        <v>E2_7_1_71</v>
      </c>
      <c r="E143" s="26" t="str">
        <f t="shared" si="26"/>
        <v>E2_7_1_71_kcat : 13.7</v>
      </c>
      <c r="F143" s="27" t="str">
        <f t="shared" si="27"/>
        <v>E2_7_1_71_km : 1</v>
      </c>
      <c r="G143" s="6" t="str">
        <f t="shared" si="28"/>
        <v>E2_7_1_71_mRNA : E2_7_1_71_mRNA</v>
      </c>
      <c r="H143" s="28" t="str">
        <f t="shared" si="29"/>
        <v>E2_7_1_71 : E2_7_1_71</v>
      </c>
      <c r="I143" s="29" t="str">
        <f t="shared" si="30"/>
        <v>E2_7_1_71_mRNA : 0</v>
      </c>
      <c r="J143" s="30" t="str">
        <f t="shared" si="31"/>
        <v>E2_7_1_71 : 0</v>
      </c>
      <c r="K143" s="31" t="str">
        <f t="shared" si="32"/>
        <v>0.00292 - (0.0093 * E2_7_1_71_mRNA)</v>
      </c>
      <c r="L143" s="32" t="str">
        <f t="shared" si="33"/>
        <v>(0.278 * E2_7_1_71_mRNA) - (0.00000278 * E2_7_1_71)</v>
      </c>
      <c r="M143" s="7" t="str">
        <f t="shared" si="34"/>
        <v>mRNA142: -&gt; E2_7_1_71_mRNA | 0.00292 - (0.0093 * E2_7_1_71_mRNA)</v>
      </c>
      <c r="N143" s="33" t="str">
        <f t="shared" si="35"/>
        <v>Peptide142: E2_7_1_71_mRNA -&gt; E2_7_1_71 | (0.278 * E2_7_1_71_mRNA) - (0.000000278 * E2_7_1_71)</v>
      </c>
    </row>
    <row r="144" spans="1:14" x14ac:dyDescent="0.35">
      <c r="A144" s="1">
        <v>143</v>
      </c>
      <c r="B144" s="1" t="s">
        <v>9903</v>
      </c>
      <c r="C144" s="1" t="str">
        <f t="shared" si="24"/>
        <v>E2_7_10_2_mRNA</v>
      </c>
      <c r="D144" s="1" t="str">
        <f t="shared" si="25"/>
        <v>E2_7_10_2</v>
      </c>
      <c r="E144" s="26" t="str">
        <f t="shared" si="26"/>
        <v>E2_7_10_2_kcat : 13.7</v>
      </c>
      <c r="F144" s="27" t="str">
        <f t="shared" si="27"/>
        <v>E2_7_10_2_km : 1</v>
      </c>
      <c r="G144" s="6" t="str">
        <f t="shared" si="28"/>
        <v>E2_7_10_2_mRNA : E2_7_10_2_mRNA</v>
      </c>
      <c r="H144" s="28" t="str">
        <f t="shared" si="29"/>
        <v>E2_7_10_2 : E2_7_10_2</v>
      </c>
      <c r="I144" s="29" t="str">
        <f t="shared" si="30"/>
        <v>E2_7_10_2_mRNA : 0</v>
      </c>
      <c r="J144" s="30" t="str">
        <f t="shared" si="31"/>
        <v>E2_7_10_2 : 0</v>
      </c>
      <c r="K144" s="31" t="str">
        <f t="shared" si="32"/>
        <v>0.00292 - (0.0093 * E2_7_10_2_mRNA)</v>
      </c>
      <c r="L144" s="32" t="str">
        <f t="shared" si="33"/>
        <v>(0.278 * E2_7_10_2_mRNA) - (0.00000278 * E2_7_10_2)</v>
      </c>
      <c r="M144" s="7" t="str">
        <f t="shared" si="34"/>
        <v>mRNA143: -&gt; E2_7_10_2_mRNA | 0.00292 - (0.0093 * E2_7_10_2_mRNA)</v>
      </c>
      <c r="N144" s="33" t="str">
        <f t="shared" si="35"/>
        <v>Peptide143: E2_7_10_2_mRNA -&gt; E2_7_10_2 | (0.278 * E2_7_10_2_mRNA) - (0.000000278 * E2_7_10_2)</v>
      </c>
    </row>
    <row r="145" spans="1:14" x14ac:dyDescent="0.35">
      <c r="A145" s="1">
        <v>144</v>
      </c>
      <c r="B145" s="1" t="s">
        <v>9904</v>
      </c>
      <c r="C145" s="1" t="str">
        <f t="shared" si="24"/>
        <v>E2_7_11_1_mRNA</v>
      </c>
      <c r="D145" s="1" t="str">
        <f t="shared" si="25"/>
        <v>E2_7_11_1</v>
      </c>
      <c r="E145" s="26" t="str">
        <f t="shared" si="26"/>
        <v>E2_7_11_1_kcat : 13.7</v>
      </c>
      <c r="F145" s="27" t="str">
        <f t="shared" si="27"/>
        <v>E2_7_11_1_km : 1</v>
      </c>
      <c r="G145" s="6" t="str">
        <f t="shared" si="28"/>
        <v>E2_7_11_1_mRNA : E2_7_11_1_mRNA</v>
      </c>
      <c r="H145" s="28" t="str">
        <f t="shared" si="29"/>
        <v>E2_7_11_1 : E2_7_11_1</v>
      </c>
      <c r="I145" s="29" t="str">
        <f t="shared" si="30"/>
        <v>E2_7_11_1_mRNA : 0</v>
      </c>
      <c r="J145" s="30" t="str">
        <f t="shared" si="31"/>
        <v>E2_7_11_1 : 0</v>
      </c>
      <c r="K145" s="31" t="str">
        <f t="shared" si="32"/>
        <v>0.00292 - (0.0093 * E2_7_11_1_mRNA)</v>
      </c>
      <c r="L145" s="32" t="str">
        <f t="shared" si="33"/>
        <v>(0.278 * E2_7_11_1_mRNA) - (0.00000278 * E2_7_11_1)</v>
      </c>
      <c r="M145" s="7" t="str">
        <f t="shared" si="34"/>
        <v>mRNA144: -&gt; E2_7_11_1_mRNA | 0.00292 - (0.0093 * E2_7_11_1_mRNA)</v>
      </c>
      <c r="N145" s="33" t="str">
        <f t="shared" si="35"/>
        <v>Peptide144: E2_7_11_1_mRNA -&gt; E2_7_11_1 | (0.278 * E2_7_11_1_mRNA) - (0.000000278 * E2_7_11_1)</v>
      </c>
    </row>
    <row r="146" spans="1:14" x14ac:dyDescent="0.35">
      <c r="A146" s="1">
        <v>145</v>
      </c>
      <c r="B146" s="1" t="s">
        <v>9905</v>
      </c>
      <c r="C146" s="1" t="str">
        <f t="shared" si="24"/>
        <v>E2_7_13_3_mRNA</v>
      </c>
      <c r="D146" s="1" t="str">
        <f t="shared" si="25"/>
        <v>E2_7_13_3</v>
      </c>
      <c r="E146" s="26" t="str">
        <f t="shared" si="26"/>
        <v>E2_7_13_3_kcat : 13.7</v>
      </c>
      <c r="F146" s="27" t="str">
        <f t="shared" si="27"/>
        <v>E2_7_13_3_km : 1</v>
      </c>
      <c r="G146" s="6" t="str">
        <f t="shared" si="28"/>
        <v>E2_7_13_3_mRNA : E2_7_13_3_mRNA</v>
      </c>
      <c r="H146" s="28" t="str">
        <f t="shared" si="29"/>
        <v>E2_7_13_3 : E2_7_13_3</v>
      </c>
      <c r="I146" s="29" t="str">
        <f t="shared" si="30"/>
        <v>E2_7_13_3_mRNA : 0</v>
      </c>
      <c r="J146" s="30" t="str">
        <f t="shared" si="31"/>
        <v>E2_7_13_3 : 0</v>
      </c>
      <c r="K146" s="31" t="str">
        <f t="shared" si="32"/>
        <v>0.00292 - (0.0093 * E2_7_13_3_mRNA)</v>
      </c>
      <c r="L146" s="32" t="str">
        <f t="shared" si="33"/>
        <v>(0.278 * E2_7_13_3_mRNA) - (0.00000278 * E2_7_13_3)</v>
      </c>
      <c r="M146" s="7" t="str">
        <f t="shared" si="34"/>
        <v>mRNA145: -&gt; E2_7_13_3_mRNA | 0.00292 - (0.0093 * E2_7_13_3_mRNA)</v>
      </c>
      <c r="N146" s="33" t="str">
        <f t="shared" si="35"/>
        <v>Peptide145: E2_7_13_3_mRNA -&gt; E2_7_13_3 | (0.278 * E2_7_13_3_mRNA) - (0.000000278 * E2_7_13_3)</v>
      </c>
    </row>
    <row r="147" spans="1:14" x14ac:dyDescent="0.35">
      <c r="A147" s="1">
        <v>146</v>
      </c>
      <c r="B147" s="1" t="s">
        <v>9906</v>
      </c>
      <c r="C147" s="1" t="str">
        <f t="shared" si="24"/>
        <v>E2_7_2_1_mRNA</v>
      </c>
      <c r="D147" s="1" t="str">
        <f t="shared" si="25"/>
        <v>E2_7_2_1</v>
      </c>
      <c r="E147" s="26" t="str">
        <f t="shared" si="26"/>
        <v>E2_7_2_1_kcat : 13.7</v>
      </c>
      <c r="F147" s="27" t="str">
        <f t="shared" si="27"/>
        <v>E2_7_2_1_km : 1</v>
      </c>
      <c r="G147" s="6" t="str">
        <f t="shared" si="28"/>
        <v>E2_7_2_1_mRNA : E2_7_2_1_mRNA</v>
      </c>
      <c r="H147" s="28" t="str">
        <f t="shared" si="29"/>
        <v>E2_7_2_1 : E2_7_2_1</v>
      </c>
      <c r="I147" s="29" t="str">
        <f t="shared" si="30"/>
        <v>E2_7_2_1_mRNA : 0</v>
      </c>
      <c r="J147" s="30" t="str">
        <f t="shared" si="31"/>
        <v>E2_7_2_1 : 0</v>
      </c>
      <c r="K147" s="31" t="str">
        <f t="shared" si="32"/>
        <v>0.00292 - (0.0093 * E2_7_2_1_mRNA)</v>
      </c>
      <c r="L147" s="32" t="str">
        <f t="shared" si="33"/>
        <v>(0.278 * E2_7_2_1_mRNA) - (0.00000278 * E2_7_2_1)</v>
      </c>
      <c r="M147" s="7" t="str">
        <f t="shared" si="34"/>
        <v>mRNA146: -&gt; E2_7_2_1_mRNA | 0.00292 - (0.0093 * E2_7_2_1_mRNA)</v>
      </c>
      <c r="N147" s="33" t="str">
        <f t="shared" si="35"/>
        <v>Peptide146: E2_7_2_1_mRNA -&gt; E2_7_2_1 | (0.278 * E2_7_2_1_mRNA) - (0.000000278 * E2_7_2_1)</v>
      </c>
    </row>
    <row r="148" spans="1:14" x14ac:dyDescent="0.35">
      <c r="A148" s="1">
        <v>147</v>
      </c>
      <c r="B148" s="1" t="s">
        <v>9907</v>
      </c>
      <c r="C148" s="1" t="str">
        <f t="shared" si="24"/>
        <v>E2_7_2_11_mRNA</v>
      </c>
      <c r="D148" s="1" t="str">
        <f t="shared" si="25"/>
        <v>E2_7_2_11</v>
      </c>
      <c r="E148" s="26" t="str">
        <f t="shared" si="26"/>
        <v>E2_7_2_11_kcat : 13.7</v>
      </c>
      <c r="F148" s="27" t="str">
        <f t="shared" si="27"/>
        <v>E2_7_2_11_km : 1</v>
      </c>
      <c r="G148" s="6" t="str">
        <f t="shared" si="28"/>
        <v>E2_7_2_11_mRNA : E2_7_2_11_mRNA</v>
      </c>
      <c r="H148" s="28" t="str">
        <f t="shared" si="29"/>
        <v>E2_7_2_11 : E2_7_2_11</v>
      </c>
      <c r="I148" s="29" t="str">
        <f t="shared" si="30"/>
        <v>E2_7_2_11_mRNA : 0</v>
      </c>
      <c r="J148" s="30" t="str">
        <f t="shared" si="31"/>
        <v>E2_7_2_11 : 0</v>
      </c>
      <c r="K148" s="31" t="str">
        <f t="shared" si="32"/>
        <v>0.00292 - (0.0093 * E2_7_2_11_mRNA)</v>
      </c>
      <c r="L148" s="32" t="str">
        <f t="shared" si="33"/>
        <v>(0.278 * E2_7_2_11_mRNA) - (0.00000278 * E2_7_2_11)</v>
      </c>
      <c r="M148" s="7" t="str">
        <f t="shared" si="34"/>
        <v>mRNA147: -&gt; E2_7_2_11_mRNA | 0.00292 - (0.0093 * E2_7_2_11_mRNA)</v>
      </c>
      <c r="N148" s="33" t="str">
        <f t="shared" si="35"/>
        <v>Peptide147: E2_7_2_11_mRNA -&gt; E2_7_2_11 | (0.278 * E2_7_2_11_mRNA) - (0.000000278 * E2_7_2_11)</v>
      </c>
    </row>
    <row r="149" spans="1:14" x14ac:dyDescent="0.35">
      <c r="A149" s="1">
        <v>148</v>
      </c>
      <c r="B149" s="1" t="s">
        <v>9908</v>
      </c>
      <c r="C149" s="1" t="str">
        <f t="shared" si="24"/>
        <v>E2_7_2_3_mRNA</v>
      </c>
      <c r="D149" s="1" t="str">
        <f t="shared" si="25"/>
        <v>E2_7_2_3</v>
      </c>
      <c r="E149" s="26" t="str">
        <f t="shared" si="26"/>
        <v>E2_7_2_3_kcat : 13.7</v>
      </c>
      <c r="F149" s="27" t="str">
        <f t="shared" si="27"/>
        <v>E2_7_2_3_km : 1</v>
      </c>
      <c r="G149" s="6" t="str">
        <f t="shared" si="28"/>
        <v>E2_7_2_3_mRNA : E2_7_2_3_mRNA</v>
      </c>
      <c r="H149" s="28" t="str">
        <f t="shared" si="29"/>
        <v>E2_7_2_3 : E2_7_2_3</v>
      </c>
      <c r="I149" s="29" t="str">
        <f t="shared" si="30"/>
        <v>E2_7_2_3_mRNA : 0</v>
      </c>
      <c r="J149" s="30" t="str">
        <f t="shared" si="31"/>
        <v>E2_7_2_3 : 0</v>
      </c>
      <c r="K149" s="31" t="str">
        <f t="shared" si="32"/>
        <v>0.00292 - (0.0093 * E2_7_2_3_mRNA)</v>
      </c>
      <c r="L149" s="32" t="str">
        <f t="shared" si="33"/>
        <v>(0.278 * E2_7_2_3_mRNA) - (0.00000278 * E2_7_2_3)</v>
      </c>
      <c r="M149" s="7" t="str">
        <f t="shared" si="34"/>
        <v>mRNA148: -&gt; E2_7_2_3_mRNA | 0.00292 - (0.0093 * E2_7_2_3_mRNA)</v>
      </c>
      <c r="N149" s="33" t="str">
        <f t="shared" si="35"/>
        <v>Peptide148: E2_7_2_3_mRNA -&gt; E2_7_2_3 | (0.278 * E2_7_2_3_mRNA) - (0.000000278 * E2_7_2_3)</v>
      </c>
    </row>
    <row r="150" spans="1:14" x14ac:dyDescent="0.35">
      <c r="A150" s="1">
        <v>149</v>
      </c>
      <c r="B150" s="1" t="s">
        <v>9909</v>
      </c>
      <c r="C150" s="1" t="str">
        <f t="shared" si="24"/>
        <v>E2_7_2_4_mRNA</v>
      </c>
      <c r="D150" s="1" t="str">
        <f t="shared" si="25"/>
        <v>E2_7_2_4</v>
      </c>
      <c r="E150" s="26" t="str">
        <f t="shared" si="26"/>
        <v>E2_7_2_4_kcat : 13.7</v>
      </c>
      <c r="F150" s="27" t="str">
        <f t="shared" si="27"/>
        <v>E2_7_2_4_km : 1</v>
      </c>
      <c r="G150" s="6" t="str">
        <f t="shared" si="28"/>
        <v>E2_7_2_4_mRNA : E2_7_2_4_mRNA</v>
      </c>
      <c r="H150" s="28" t="str">
        <f t="shared" si="29"/>
        <v>E2_7_2_4 : E2_7_2_4</v>
      </c>
      <c r="I150" s="29" t="str">
        <f t="shared" si="30"/>
        <v>E2_7_2_4_mRNA : 0</v>
      </c>
      <c r="J150" s="30" t="str">
        <f t="shared" si="31"/>
        <v>E2_7_2_4 : 0</v>
      </c>
      <c r="K150" s="31" t="str">
        <f t="shared" si="32"/>
        <v>0.00292 - (0.0093 * E2_7_2_4_mRNA)</v>
      </c>
      <c r="L150" s="32" t="str">
        <f t="shared" si="33"/>
        <v>(0.278 * E2_7_2_4_mRNA) - (0.00000278 * E2_7_2_4)</v>
      </c>
      <c r="M150" s="7" t="str">
        <f t="shared" si="34"/>
        <v>mRNA149: -&gt; E2_7_2_4_mRNA | 0.00292 - (0.0093 * E2_7_2_4_mRNA)</v>
      </c>
      <c r="N150" s="33" t="str">
        <f t="shared" si="35"/>
        <v>Peptide149: E2_7_2_4_mRNA -&gt; E2_7_2_4 | (0.278 * E2_7_2_4_mRNA) - (0.000000278 * E2_7_2_4)</v>
      </c>
    </row>
    <row r="151" spans="1:14" x14ac:dyDescent="0.35">
      <c r="A151" s="1">
        <v>150</v>
      </c>
      <c r="B151" s="1" t="s">
        <v>9910</v>
      </c>
      <c r="C151" s="1" t="str">
        <f t="shared" si="24"/>
        <v>E2_7_2_8_mRNA</v>
      </c>
      <c r="D151" s="1" t="str">
        <f t="shared" si="25"/>
        <v>E2_7_2_8</v>
      </c>
      <c r="E151" s="26" t="str">
        <f t="shared" si="26"/>
        <v>E2_7_2_8_kcat : 13.7</v>
      </c>
      <c r="F151" s="27" t="str">
        <f t="shared" si="27"/>
        <v>E2_7_2_8_km : 1</v>
      </c>
      <c r="G151" s="6" t="str">
        <f t="shared" si="28"/>
        <v>E2_7_2_8_mRNA : E2_7_2_8_mRNA</v>
      </c>
      <c r="H151" s="28" t="str">
        <f t="shared" si="29"/>
        <v>E2_7_2_8 : E2_7_2_8</v>
      </c>
      <c r="I151" s="29" t="str">
        <f t="shared" si="30"/>
        <v>E2_7_2_8_mRNA : 0</v>
      </c>
      <c r="J151" s="30" t="str">
        <f t="shared" si="31"/>
        <v>E2_7_2_8 : 0</v>
      </c>
      <c r="K151" s="31" t="str">
        <f t="shared" si="32"/>
        <v>0.00292 - (0.0093 * E2_7_2_8_mRNA)</v>
      </c>
      <c r="L151" s="32" t="str">
        <f t="shared" si="33"/>
        <v>(0.278 * E2_7_2_8_mRNA) - (0.00000278 * E2_7_2_8)</v>
      </c>
      <c r="M151" s="7" t="str">
        <f t="shared" si="34"/>
        <v>mRNA150: -&gt; E2_7_2_8_mRNA | 0.00292 - (0.0093 * E2_7_2_8_mRNA)</v>
      </c>
      <c r="N151" s="33" t="str">
        <f t="shared" si="35"/>
        <v>Peptide150: E2_7_2_8_mRNA -&gt; E2_7_2_8 | (0.278 * E2_7_2_8_mRNA) - (0.000000278 * E2_7_2_8)</v>
      </c>
    </row>
    <row r="152" spans="1:14" x14ac:dyDescent="0.35">
      <c r="A152" s="1">
        <v>151</v>
      </c>
      <c r="B152" s="1" t="s">
        <v>9911</v>
      </c>
      <c r="C152" s="1" t="str">
        <f t="shared" si="24"/>
        <v>E2_7_3_9_mRNA</v>
      </c>
      <c r="D152" s="1" t="str">
        <f t="shared" si="25"/>
        <v>E2_7_3_9</v>
      </c>
      <c r="E152" s="26" t="str">
        <f t="shared" si="26"/>
        <v>E2_7_3_9_kcat : 13.7</v>
      </c>
      <c r="F152" s="27" t="str">
        <f t="shared" si="27"/>
        <v>E2_7_3_9_km : 1</v>
      </c>
      <c r="G152" s="6" t="str">
        <f t="shared" si="28"/>
        <v>E2_7_3_9_mRNA : E2_7_3_9_mRNA</v>
      </c>
      <c r="H152" s="28" t="str">
        <f t="shared" si="29"/>
        <v>E2_7_3_9 : E2_7_3_9</v>
      </c>
      <c r="I152" s="29" t="str">
        <f t="shared" si="30"/>
        <v>E2_7_3_9_mRNA : 0</v>
      </c>
      <c r="J152" s="30" t="str">
        <f t="shared" si="31"/>
        <v>E2_7_3_9 : 0</v>
      </c>
      <c r="K152" s="31" t="str">
        <f t="shared" si="32"/>
        <v>0.00292 - (0.0093 * E2_7_3_9_mRNA)</v>
      </c>
      <c r="L152" s="32" t="str">
        <f t="shared" si="33"/>
        <v>(0.278 * E2_7_3_9_mRNA) - (0.00000278 * E2_7_3_9)</v>
      </c>
      <c r="M152" s="7" t="str">
        <f t="shared" si="34"/>
        <v>mRNA151: -&gt; E2_7_3_9_mRNA | 0.00292 - (0.0093 * E2_7_3_9_mRNA)</v>
      </c>
      <c r="N152" s="33" t="str">
        <f t="shared" si="35"/>
        <v>Peptide151: E2_7_3_9_mRNA -&gt; E2_7_3_9 | (0.278 * E2_7_3_9_mRNA) - (0.000000278 * E2_7_3_9)</v>
      </c>
    </row>
    <row r="153" spans="1:14" x14ac:dyDescent="0.35">
      <c r="A153" s="1">
        <v>152</v>
      </c>
      <c r="B153" s="1" t="s">
        <v>9912</v>
      </c>
      <c r="C153" s="1" t="str">
        <f t="shared" si="24"/>
        <v>E2_7_4_14_mRNA</v>
      </c>
      <c r="D153" s="1" t="str">
        <f t="shared" si="25"/>
        <v>E2_7_4_14</v>
      </c>
      <c r="E153" s="26" t="str">
        <f t="shared" si="26"/>
        <v>E2_7_4_14_kcat : 13.7</v>
      </c>
      <c r="F153" s="27" t="str">
        <f t="shared" si="27"/>
        <v>E2_7_4_14_km : 1</v>
      </c>
      <c r="G153" s="6" t="str">
        <f t="shared" si="28"/>
        <v>E2_7_4_14_mRNA : E2_7_4_14_mRNA</v>
      </c>
      <c r="H153" s="28" t="str">
        <f t="shared" si="29"/>
        <v>E2_7_4_14 : E2_7_4_14</v>
      </c>
      <c r="I153" s="29" t="str">
        <f t="shared" si="30"/>
        <v>E2_7_4_14_mRNA : 0</v>
      </c>
      <c r="J153" s="30" t="str">
        <f t="shared" si="31"/>
        <v>E2_7_4_14 : 0</v>
      </c>
      <c r="K153" s="31" t="str">
        <f t="shared" si="32"/>
        <v>0.00292 - (0.0093 * E2_7_4_14_mRNA)</v>
      </c>
      <c r="L153" s="32" t="str">
        <f t="shared" si="33"/>
        <v>(0.278 * E2_7_4_14_mRNA) - (0.00000278 * E2_7_4_14)</v>
      </c>
      <c r="M153" s="7" t="str">
        <f t="shared" si="34"/>
        <v>mRNA152: -&gt; E2_7_4_14_mRNA | 0.00292 - (0.0093 * E2_7_4_14_mRNA)</v>
      </c>
      <c r="N153" s="33" t="str">
        <f t="shared" si="35"/>
        <v>Peptide152: E2_7_4_14_mRNA -&gt; E2_7_4_14 | (0.278 * E2_7_4_14_mRNA) - (0.000000278 * E2_7_4_14)</v>
      </c>
    </row>
    <row r="154" spans="1:14" x14ac:dyDescent="0.35">
      <c r="A154" s="1">
        <v>153</v>
      </c>
      <c r="B154" s="1" t="s">
        <v>9913</v>
      </c>
      <c r="C154" s="1" t="str">
        <f t="shared" si="24"/>
        <v>E2_7_4_2_mRNA</v>
      </c>
      <c r="D154" s="1" t="str">
        <f t="shared" si="25"/>
        <v>E2_7_4_2</v>
      </c>
      <c r="E154" s="26" t="str">
        <f t="shared" si="26"/>
        <v>E2_7_4_2_kcat : 13.7</v>
      </c>
      <c r="F154" s="27" t="str">
        <f t="shared" si="27"/>
        <v>E2_7_4_2_km : 1</v>
      </c>
      <c r="G154" s="6" t="str">
        <f t="shared" si="28"/>
        <v>E2_7_4_2_mRNA : E2_7_4_2_mRNA</v>
      </c>
      <c r="H154" s="28" t="str">
        <f t="shared" si="29"/>
        <v>E2_7_4_2 : E2_7_4_2</v>
      </c>
      <c r="I154" s="29" t="str">
        <f t="shared" si="30"/>
        <v>E2_7_4_2_mRNA : 0</v>
      </c>
      <c r="J154" s="30" t="str">
        <f t="shared" si="31"/>
        <v>E2_7_4_2 : 0</v>
      </c>
      <c r="K154" s="31" t="str">
        <f t="shared" si="32"/>
        <v>0.00292 - (0.0093 * E2_7_4_2_mRNA)</v>
      </c>
      <c r="L154" s="32" t="str">
        <f t="shared" si="33"/>
        <v>(0.278 * E2_7_4_2_mRNA) - (0.00000278 * E2_7_4_2)</v>
      </c>
      <c r="M154" s="7" t="str">
        <f t="shared" si="34"/>
        <v>mRNA153: -&gt; E2_7_4_2_mRNA | 0.00292 - (0.0093 * E2_7_4_2_mRNA)</v>
      </c>
      <c r="N154" s="33" t="str">
        <f t="shared" si="35"/>
        <v>Peptide153: E2_7_4_2_mRNA -&gt; E2_7_4_2 | (0.278 * E2_7_4_2_mRNA) - (0.000000278 * E2_7_4_2)</v>
      </c>
    </row>
    <row r="155" spans="1:14" x14ac:dyDescent="0.35">
      <c r="A155" s="1">
        <v>154</v>
      </c>
      <c r="B155" s="1" t="s">
        <v>9914</v>
      </c>
      <c r="C155" s="1" t="str">
        <f t="shared" si="24"/>
        <v>E2_7_4_22_mRNA</v>
      </c>
      <c r="D155" s="1" t="str">
        <f t="shared" si="25"/>
        <v>E2_7_4_22</v>
      </c>
      <c r="E155" s="26" t="str">
        <f t="shared" si="26"/>
        <v>E2_7_4_22_kcat : 13.7</v>
      </c>
      <c r="F155" s="27" t="str">
        <f t="shared" si="27"/>
        <v>E2_7_4_22_km : 1</v>
      </c>
      <c r="G155" s="6" t="str">
        <f t="shared" si="28"/>
        <v>E2_7_4_22_mRNA : E2_7_4_22_mRNA</v>
      </c>
      <c r="H155" s="28" t="str">
        <f t="shared" si="29"/>
        <v>E2_7_4_22 : E2_7_4_22</v>
      </c>
      <c r="I155" s="29" t="str">
        <f t="shared" si="30"/>
        <v>E2_7_4_22_mRNA : 0</v>
      </c>
      <c r="J155" s="30" t="str">
        <f t="shared" si="31"/>
        <v>E2_7_4_22 : 0</v>
      </c>
      <c r="K155" s="31" t="str">
        <f t="shared" si="32"/>
        <v>0.00292 - (0.0093 * E2_7_4_22_mRNA)</v>
      </c>
      <c r="L155" s="32" t="str">
        <f t="shared" si="33"/>
        <v>(0.278 * E2_7_4_22_mRNA) - (0.00000278 * E2_7_4_22)</v>
      </c>
      <c r="M155" s="7" t="str">
        <f t="shared" si="34"/>
        <v>mRNA154: -&gt; E2_7_4_22_mRNA | 0.00292 - (0.0093 * E2_7_4_22_mRNA)</v>
      </c>
      <c r="N155" s="33" t="str">
        <f t="shared" si="35"/>
        <v>Peptide154: E2_7_4_22_mRNA -&gt; E2_7_4_22 | (0.278 * E2_7_4_22_mRNA) - (0.000000278 * E2_7_4_22)</v>
      </c>
    </row>
    <row r="156" spans="1:14" x14ac:dyDescent="0.35">
      <c r="A156" s="1">
        <v>155</v>
      </c>
      <c r="B156" s="1" t="s">
        <v>9915</v>
      </c>
      <c r="C156" s="1" t="str">
        <f t="shared" si="24"/>
        <v>E2_7_4_3_mRNA</v>
      </c>
      <c r="D156" s="1" t="str">
        <f t="shared" si="25"/>
        <v>E2_7_4_3</v>
      </c>
      <c r="E156" s="26" t="str">
        <f t="shared" si="26"/>
        <v>E2_7_4_3_kcat : 13.7</v>
      </c>
      <c r="F156" s="27" t="str">
        <f t="shared" si="27"/>
        <v>E2_7_4_3_km : 1</v>
      </c>
      <c r="G156" s="6" t="str">
        <f t="shared" si="28"/>
        <v>E2_7_4_3_mRNA : E2_7_4_3_mRNA</v>
      </c>
      <c r="H156" s="28" t="str">
        <f t="shared" si="29"/>
        <v>E2_7_4_3 : E2_7_4_3</v>
      </c>
      <c r="I156" s="29" t="str">
        <f t="shared" si="30"/>
        <v>E2_7_4_3_mRNA : 0</v>
      </c>
      <c r="J156" s="30" t="str">
        <f t="shared" si="31"/>
        <v>E2_7_4_3 : 0</v>
      </c>
      <c r="K156" s="31" t="str">
        <f t="shared" si="32"/>
        <v>0.00292 - (0.0093 * E2_7_4_3_mRNA)</v>
      </c>
      <c r="L156" s="32" t="str">
        <f t="shared" si="33"/>
        <v>(0.278 * E2_7_4_3_mRNA) - (0.00000278 * E2_7_4_3)</v>
      </c>
      <c r="M156" s="7" t="str">
        <f t="shared" si="34"/>
        <v>mRNA155: -&gt; E2_7_4_3_mRNA | 0.00292 - (0.0093 * E2_7_4_3_mRNA)</v>
      </c>
      <c r="N156" s="33" t="str">
        <f t="shared" si="35"/>
        <v>Peptide155: E2_7_4_3_mRNA -&gt; E2_7_4_3 | (0.278 * E2_7_4_3_mRNA) - (0.000000278 * E2_7_4_3)</v>
      </c>
    </row>
    <row r="157" spans="1:14" x14ac:dyDescent="0.35">
      <c r="A157" s="1">
        <v>156</v>
      </c>
      <c r="B157" s="1" t="s">
        <v>9916</v>
      </c>
      <c r="C157" s="1" t="str">
        <f t="shared" si="24"/>
        <v>E2_7_4_6_mRNA</v>
      </c>
      <c r="D157" s="1" t="str">
        <f t="shared" si="25"/>
        <v>E2_7_4_6</v>
      </c>
      <c r="E157" s="26" t="str">
        <f t="shared" si="26"/>
        <v>E2_7_4_6_kcat : 13.7</v>
      </c>
      <c r="F157" s="27" t="str">
        <f t="shared" si="27"/>
        <v>E2_7_4_6_km : 1</v>
      </c>
      <c r="G157" s="6" t="str">
        <f t="shared" si="28"/>
        <v>E2_7_4_6_mRNA : E2_7_4_6_mRNA</v>
      </c>
      <c r="H157" s="28" t="str">
        <f t="shared" si="29"/>
        <v>E2_7_4_6 : E2_7_4_6</v>
      </c>
      <c r="I157" s="29" t="str">
        <f t="shared" si="30"/>
        <v>E2_7_4_6_mRNA : 0</v>
      </c>
      <c r="J157" s="30" t="str">
        <f t="shared" si="31"/>
        <v>E2_7_4_6 : 0</v>
      </c>
      <c r="K157" s="31" t="str">
        <f t="shared" si="32"/>
        <v>0.00292 - (0.0093 * E2_7_4_6_mRNA)</v>
      </c>
      <c r="L157" s="32" t="str">
        <f t="shared" si="33"/>
        <v>(0.278 * E2_7_4_6_mRNA) - (0.00000278 * E2_7_4_6)</v>
      </c>
      <c r="M157" s="7" t="str">
        <f t="shared" si="34"/>
        <v>mRNA156: -&gt; E2_7_4_6_mRNA | 0.00292 - (0.0093 * E2_7_4_6_mRNA)</v>
      </c>
      <c r="N157" s="33" t="str">
        <f t="shared" si="35"/>
        <v>Peptide156: E2_7_4_6_mRNA -&gt; E2_7_4_6 | (0.278 * E2_7_4_6_mRNA) - (0.000000278 * E2_7_4_6)</v>
      </c>
    </row>
    <row r="158" spans="1:14" x14ac:dyDescent="0.35">
      <c r="A158" s="1">
        <v>157</v>
      </c>
      <c r="B158" s="1" t="s">
        <v>9917</v>
      </c>
      <c r="C158" s="1" t="str">
        <f t="shared" si="24"/>
        <v>E2_7_4_7_mRNA</v>
      </c>
      <c r="D158" s="1" t="str">
        <f t="shared" si="25"/>
        <v>E2_7_4_7</v>
      </c>
      <c r="E158" s="26" t="str">
        <f t="shared" si="26"/>
        <v>E2_7_4_7_kcat : 13.7</v>
      </c>
      <c r="F158" s="27" t="str">
        <f t="shared" si="27"/>
        <v>E2_7_4_7_km : 1</v>
      </c>
      <c r="G158" s="6" t="str">
        <f t="shared" si="28"/>
        <v>E2_7_4_7_mRNA : E2_7_4_7_mRNA</v>
      </c>
      <c r="H158" s="28" t="str">
        <f t="shared" si="29"/>
        <v>E2_7_4_7 : E2_7_4_7</v>
      </c>
      <c r="I158" s="29" t="str">
        <f t="shared" si="30"/>
        <v>E2_7_4_7_mRNA : 0</v>
      </c>
      <c r="J158" s="30" t="str">
        <f t="shared" si="31"/>
        <v>E2_7_4_7 : 0</v>
      </c>
      <c r="K158" s="31" t="str">
        <f t="shared" si="32"/>
        <v>0.00292 - (0.0093 * E2_7_4_7_mRNA)</v>
      </c>
      <c r="L158" s="32" t="str">
        <f t="shared" si="33"/>
        <v>(0.278 * E2_7_4_7_mRNA) - (0.00000278 * E2_7_4_7)</v>
      </c>
      <c r="M158" s="7" t="str">
        <f t="shared" si="34"/>
        <v>mRNA157: -&gt; E2_7_4_7_mRNA | 0.00292 - (0.0093 * E2_7_4_7_mRNA)</v>
      </c>
      <c r="N158" s="33" t="str">
        <f t="shared" si="35"/>
        <v>Peptide157: E2_7_4_7_mRNA -&gt; E2_7_4_7 | (0.278 * E2_7_4_7_mRNA) - (0.000000278 * E2_7_4_7)</v>
      </c>
    </row>
    <row r="159" spans="1:14" x14ac:dyDescent="0.35">
      <c r="A159" s="1">
        <v>158</v>
      </c>
      <c r="B159" s="1" t="s">
        <v>9918</v>
      </c>
      <c r="C159" s="1" t="str">
        <f t="shared" si="24"/>
        <v>E2_7_4_8_mRNA</v>
      </c>
      <c r="D159" s="1" t="str">
        <f t="shared" si="25"/>
        <v>E2_7_4_8</v>
      </c>
      <c r="E159" s="26" t="str">
        <f t="shared" si="26"/>
        <v>E2_7_4_8_kcat : 13.7</v>
      </c>
      <c r="F159" s="27" t="str">
        <f t="shared" si="27"/>
        <v>E2_7_4_8_km : 1</v>
      </c>
      <c r="G159" s="6" t="str">
        <f t="shared" si="28"/>
        <v>E2_7_4_8_mRNA : E2_7_4_8_mRNA</v>
      </c>
      <c r="H159" s="28" t="str">
        <f t="shared" si="29"/>
        <v>E2_7_4_8 : E2_7_4_8</v>
      </c>
      <c r="I159" s="29" t="str">
        <f t="shared" si="30"/>
        <v>E2_7_4_8_mRNA : 0</v>
      </c>
      <c r="J159" s="30" t="str">
        <f t="shared" si="31"/>
        <v>E2_7_4_8 : 0</v>
      </c>
      <c r="K159" s="31" t="str">
        <f t="shared" si="32"/>
        <v>0.00292 - (0.0093 * E2_7_4_8_mRNA)</v>
      </c>
      <c r="L159" s="32" t="str">
        <f t="shared" si="33"/>
        <v>(0.278 * E2_7_4_8_mRNA) - (0.00000278 * E2_7_4_8)</v>
      </c>
      <c r="M159" s="7" t="str">
        <f t="shared" si="34"/>
        <v>mRNA158: -&gt; E2_7_4_8_mRNA | 0.00292 - (0.0093 * E2_7_4_8_mRNA)</v>
      </c>
      <c r="N159" s="33" t="str">
        <f t="shared" si="35"/>
        <v>Peptide158: E2_7_4_8_mRNA -&gt; E2_7_4_8 | (0.278 * E2_7_4_8_mRNA) - (0.000000278 * E2_7_4_8)</v>
      </c>
    </row>
    <row r="160" spans="1:14" x14ac:dyDescent="0.35">
      <c r="A160" s="1">
        <v>159</v>
      </c>
      <c r="B160" s="1" t="s">
        <v>9919</v>
      </c>
      <c r="C160" s="1" t="str">
        <f t="shared" si="24"/>
        <v>E2_7_4_9_mRNA</v>
      </c>
      <c r="D160" s="1" t="str">
        <f t="shared" si="25"/>
        <v>E2_7_4_9</v>
      </c>
      <c r="E160" s="26" t="str">
        <f t="shared" si="26"/>
        <v>E2_7_4_9_kcat : 13.7</v>
      </c>
      <c r="F160" s="27" t="str">
        <f t="shared" si="27"/>
        <v>E2_7_4_9_km : 1</v>
      </c>
      <c r="G160" s="6" t="str">
        <f t="shared" si="28"/>
        <v>E2_7_4_9_mRNA : E2_7_4_9_mRNA</v>
      </c>
      <c r="H160" s="28" t="str">
        <f t="shared" si="29"/>
        <v>E2_7_4_9 : E2_7_4_9</v>
      </c>
      <c r="I160" s="29" t="str">
        <f t="shared" si="30"/>
        <v>E2_7_4_9_mRNA : 0</v>
      </c>
      <c r="J160" s="30" t="str">
        <f t="shared" si="31"/>
        <v>E2_7_4_9 : 0</v>
      </c>
      <c r="K160" s="31" t="str">
        <f t="shared" si="32"/>
        <v>0.00292 - (0.0093 * E2_7_4_9_mRNA)</v>
      </c>
      <c r="L160" s="32" t="str">
        <f t="shared" si="33"/>
        <v>(0.278 * E2_7_4_9_mRNA) - (0.00000278 * E2_7_4_9)</v>
      </c>
      <c r="M160" s="7" t="str">
        <f t="shared" si="34"/>
        <v>mRNA159: -&gt; E2_7_4_9_mRNA | 0.00292 - (0.0093 * E2_7_4_9_mRNA)</v>
      </c>
      <c r="N160" s="33" t="str">
        <f t="shared" si="35"/>
        <v>Peptide159: E2_7_4_9_mRNA -&gt; E2_7_4_9 | (0.278 * E2_7_4_9_mRNA) - (0.000000278 * E2_7_4_9)</v>
      </c>
    </row>
    <row r="161" spans="1:14" x14ac:dyDescent="0.35">
      <c r="A161" s="1">
        <v>160</v>
      </c>
      <c r="B161" s="1" t="s">
        <v>9920</v>
      </c>
      <c r="C161" s="1" t="str">
        <f t="shared" si="24"/>
        <v>E2_7_6_1_mRNA</v>
      </c>
      <c r="D161" s="1" t="str">
        <f t="shared" si="25"/>
        <v>E2_7_6_1</v>
      </c>
      <c r="E161" s="26" t="str">
        <f t="shared" si="26"/>
        <v>E2_7_6_1_kcat : 13.7</v>
      </c>
      <c r="F161" s="27" t="str">
        <f t="shared" si="27"/>
        <v>E2_7_6_1_km : 1</v>
      </c>
      <c r="G161" s="6" t="str">
        <f t="shared" si="28"/>
        <v>E2_7_6_1_mRNA : E2_7_6_1_mRNA</v>
      </c>
      <c r="H161" s="28" t="str">
        <f t="shared" si="29"/>
        <v>E2_7_6_1 : E2_7_6_1</v>
      </c>
      <c r="I161" s="29" t="str">
        <f t="shared" si="30"/>
        <v>E2_7_6_1_mRNA : 0</v>
      </c>
      <c r="J161" s="30" t="str">
        <f t="shared" si="31"/>
        <v>E2_7_6_1 : 0</v>
      </c>
      <c r="K161" s="31" t="str">
        <f t="shared" si="32"/>
        <v>0.00292 - (0.0093 * E2_7_6_1_mRNA)</v>
      </c>
      <c r="L161" s="32" t="str">
        <f t="shared" si="33"/>
        <v>(0.278 * E2_7_6_1_mRNA) - (0.00000278 * E2_7_6_1)</v>
      </c>
      <c r="M161" s="7" t="str">
        <f t="shared" si="34"/>
        <v>mRNA160: -&gt; E2_7_6_1_mRNA | 0.00292 - (0.0093 * E2_7_6_1_mRNA)</v>
      </c>
      <c r="N161" s="33" t="str">
        <f t="shared" si="35"/>
        <v>Peptide160: E2_7_6_1_mRNA -&gt; E2_7_6_1 | (0.278 * E2_7_6_1_mRNA) - (0.000000278 * E2_7_6_1)</v>
      </c>
    </row>
    <row r="162" spans="1:14" x14ac:dyDescent="0.35">
      <c r="A162" s="1">
        <v>161</v>
      </c>
      <c r="B162" s="1" t="s">
        <v>9921</v>
      </c>
      <c r="C162" s="1" t="str">
        <f t="shared" si="24"/>
        <v>E2_7_6_2_mRNA</v>
      </c>
      <c r="D162" s="1" t="str">
        <f t="shared" si="25"/>
        <v>E2_7_6_2</v>
      </c>
      <c r="E162" s="26" t="str">
        <f t="shared" si="26"/>
        <v>E2_7_6_2_kcat : 13.7</v>
      </c>
      <c r="F162" s="27" t="str">
        <f t="shared" si="27"/>
        <v>E2_7_6_2_km : 1</v>
      </c>
      <c r="G162" s="6" t="str">
        <f t="shared" si="28"/>
        <v>E2_7_6_2_mRNA : E2_7_6_2_mRNA</v>
      </c>
      <c r="H162" s="28" t="str">
        <f t="shared" si="29"/>
        <v>E2_7_6_2 : E2_7_6_2</v>
      </c>
      <c r="I162" s="29" t="str">
        <f t="shared" si="30"/>
        <v>E2_7_6_2_mRNA : 0</v>
      </c>
      <c r="J162" s="30" t="str">
        <f t="shared" si="31"/>
        <v>E2_7_6_2 : 0</v>
      </c>
      <c r="K162" s="31" t="str">
        <f t="shared" si="32"/>
        <v>0.00292 - (0.0093 * E2_7_6_2_mRNA)</v>
      </c>
      <c r="L162" s="32" t="str">
        <f t="shared" si="33"/>
        <v>(0.278 * E2_7_6_2_mRNA) - (0.00000278 * E2_7_6_2)</v>
      </c>
      <c r="M162" s="7" t="str">
        <f t="shared" si="34"/>
        <v>mRNA161: -&gt; E2_7_6_2_mRNA | 0.00292 - (0.0093 * E2_7_6_2_mRNA)</v>
      </c>
      <c r="N162" s="33" t="str">
        <f t="shared" si="35"/>
        <v>Peptide161: E2_7_6_2_mRNA -&gt; E2_7_6_2 | (0.278 * E2_7_6_2_mRNA) - (0.000000278 * E2_7_6_2)</v>
      </c>
    </row>
    <row r="163" spans="1:14" x14ac:dyDescent="0.35">
      <c r="A163" s="1">
        <v>162</v>
      </c>
      <c r="B163" s="1" t="s">
        <v>9922</v>
      </c>
      <c r="C163" s="1" t="str">
        <f t="shared" si="24"/>
        <v>E2_7_6_3_mRNA</v>
      </c>
      <c r="D163" s="1" t="str">
        <f t="shared" si="25"/>
        <v>E2_7_6_3</v>
      </c>
      <c r="E163" s="26" t="str">
        <f t="shared" si="26"/>
        <v>E2_7_6_3_kcat : 13.7</v>
      </c>
      <c r="F163" s="27" t="str">
        <f t="shared" si="27"/>
        <v>E2_7_6_3_km : 1</v>
      </c>
      <c r="G163" s="6" t="str">
        <f t="shared" si="28"/>
        <v>E2_7_6_3_mRNA : E2_7_6_3_mRNA</v>
      </c>
      <c r="H163" s="28" t="str">
        <f t="shared" si="29"/>
        <v>E2_7_6_3 : E2_7_6_3</v>
      </c>
      <c r="I163" s="29" t="str">
        <f t="shared" si="30"/>
        <v>E2_7_6_3_mRNA : 0</v>
      </c>
      <c r="J163" s="30" t="str">
        <f t="shared" si="31"/>
        <v>E2_7_6_3 : 0</v>
      </c>
      <c r="K163" s="31" t="str">
        <f t="shared" si="32"/>
        <v>0.00292 - (0.0093 * E2_7_6_3_mRNA)</v>
      </c>
      <c r="L163" s="32" t="str">
        <f t="shared" si="33"/>
        <v>(0.278 * E2_7_6_3_mRNA) - (0.00000278 * E2_7_6_3)</v>
      </c>
      <c r="M163" s="7" t="str">
        <f t="shared" si="34"/>
        <v>mRNA162: -&gt; E2_7_6_3_mRNA | 0.00292 - (0.0093 * E2_7_6_3_mRNA)</v>
      </c>
      <c r="N163" s="33" t="str">
        <f t="shared" si="35"/>
        <v>Peptide162: E2_7_6_3_mRNA -&gt; E2_7_6_3 | (0.278 * E2_7_6_3_mRNA) - (0.000000278 * E2_7_6_3)</v>
      </c>
    </row>
    <row r="164" spans="1:14" x14ac:dyDescent="0.35">
      <c r="A164" s="1">
        <v>163</v>
      </c>
      <c r="B164" s="1" t="s">
        <v>9923</v>
      </c>
      <c r="C164" s="1" t="str">
        <f t="shared" si="24"/>
        <v>E2_7_6_5_mRNA</v>
      </c>
      <c r="D164" s="1" t="str">
        <f t="shared" si="25"/>
        <v>E2_7_6_5</v>
      </c>
      <c r="E164" s="26" t="str">
        <f t="shared" si="26"/>
        <v>E2_7_6_5_kcat : 13.7</v>
      </c>
      <c r="F164" s="27" t="str">
        <f t="shared" si="27"/>
        <v>E2_7_6_5_km : 1</v>
      </c>
      <c r="G164" s="6" t="str">
        <f t="shared" si="28"/>
        <v>E2_7_6_5_mRNA : E2_7_6_5_mRNA</v>
      </c>
      <c r="H164" s="28" t="str">
        <f t="shared" si="29"/>
        <v>E2_7_6_5 : E2_7_6_5</v>
      </c>
      <c r="I164" s="29" t="str">
        <f t="shared" si="30"/>
        <v>E2_7_6_5_mRNA : 0</v>
      </c>
      <c r="J164" s="30" t="str">
        <f t="shared" si="31"/>
        <v>E2_7_6_5 : 0</v>
      </c>
      <c r="K164" s="31" t="str">
        <f t="shared" si="32"/>
        <v>0.00292 - (0.0093 * E2_7_6_5_mRNA)</v>
      </c>
      <c r="L164" s="32" t="str">
        <f t="shared" si="33"/>
        <v>(0.278 * E2_7_6_5_mRNA) - (0.00000278 * E2_7_6_5)</v>
      </c>
      <c r="M164" s="7" t="str">
        <f t="shared" si="34"/>
        <v>mRNA163: -&gt; E2_7_6_5_mRNA | 0.00292 - (0.0093 * E2_7_6_5_mRNA)</v>
      </c>
      <c r="N164" s="33" t="str">
        <f t="shared" si="35"/>
        <v>Peptide163: E2_7_6_5_mRNA -&gt; E2_7_6_5 | (0.278 * E2_7_6_5_mRNA) - (0.000000278 * E2_7_6_5)</v>
      </c>
    </row>
    <row r="165" spans="1:14" x14ac:dyDescent="0.35">
      <c r="A165" s="1">
        <v>164</v>
      </c>
      <c r="B165" s="1" t="s">
        <v>9924</v>
      </c>
      <c r="C165" s="1" t="str">
        <f t="shared" si="24"/>
        <v>E2_7_7_1_mRNA</v>
      </c>
      <c r="D165" s="1" t="str">
        <f t="shared" si="25"/>
        <v>E2_7_7_1</v>
      </c>
      <c r="E165" s="26" t="str">
        <f t="shared" si="26"/>
        <v>E2_7_7_1_kcat : 13.7</v>
      </c>
      <c r="F165" s="27" t="str">
        <f t="shared" si="27"/>
        <v>E2_7_7_1_km : 1</v>
      </c>
      <c r="G165" s="6" t="str">
        <f t="shared" si="28"/>
        <v>E2_7_7_1_mRNA : E2_7_7_1_mRNA</v>
      </c>
      <c r="H165" s="28" t="str">
        <f t="shared" si="29"/>
        <v>E2_7_7_1 : E2_7_7_1</v>
      </c>
      <c r="I165" s="29" t="str">
        <f t="shared" si="30"/>
        <v>E2_7_7_1_mRNA : 0</v>
      </c>
      <c r="J165" s="30" t="str">
        <f t="shared" si="31"/>
        <v>E2_7_7_1 : 0</v>
      </c>
      <c r="K165" s="31" t="str">
        <f t="shared" si="32"/>
        <v>0.00292 - (0.0093 * E2_7_7_1_mRNA)</v>
      </c>
      <c r="L165" s="32" t="str">
        <f t="shared" si="33"/>
        <v>(0.278 * E2_7_7_1_mRNA) - (0.00000278 * E2_7_7_1)</v>
      </c>
      <c r="M165" s="7" t="str">
        <f t="shared" si="34"/>
        <v>mRNA164: -&gt; E2_7_7_1_mRNA | 0.00292 - (0.0093 * E2_7_7_1_mRNA)</v>
      </c>
      <c r="N165" s="33" t="str">
        <f t="shared" si="35"/>
        <v>Peptide164: E2_7_7_1_mRNA -&gt; E2_7_7_1 | (0.278 * E2_7_7_1_mRNA) - (0.000000278 * E2_7_7_1)</v>
      </c>
    </row>
    <row r="166" spans="1:14" x14ac:dyDescent="0.35">
      <c r="A166" s="1">
        <v>165</v>
      </c>
      <c r="B166" s="1" t="s">
        <v>9925</v>
      </c>
      <c r="C166" s="1" t="str">
        <f t="shared" si="24"/>
        <v>E2_7_7_12_mRNA</v>
      </c>
      <c r="D166" s="1" t="str">
        <f t="shared" si="25"/>
        <v>E2_7_7_12</v>
      </c>
      <c r="E166" s="26" t="str">
        <f t="shared" si="26"/>
        <v>E2_7_7_12_kcat : 13.7</v>
      </c>
      <c r="F166" s="27" t="str">
        <f t="shared" si="27"/>
        <v>E2_7_7_12_km : 1</v>
      </c>
      <c r="G166" s="6" t="str">
        <f t="shared" si="28"/>
        <v>E2_7_7_12_mRNA : E2_7_7_12_mRNA</v>
      </c>
      <c r="H166" s="28" t="str">
        <f t="shared" si="29"/>
        <v>E2_7_7_12 : E2_7_7_12</v>
      </c>
      <c r="I166" s="29" t="str">
        <f t="shared" si="30"/>
        <v>E2_7_7_12_mRNA : 0</v>
      </c>
      <c r="J166" s="30" t="str">
        <f t="shared" si="31"/>
        <v>E2_7_7_12 : 0</v>
      </c>
      <c r="K166" s="31" t="str">
        <f t="shared" si="32"/>
        <v>0.00292 - (0.0093 * E2_7_7_12_mRNA)</v>
      </c>
      <c r="L166" s="32" t="str">
        <f t="shared" si="33"/>
        <v>(0.278 * E2_7_7_12_mRNA) - (0.00000278 * E2_7_7_12)</v>
      </c>
      <c r="M166" s="7" t="str">
        <f t="shared" si="34"/>
        <v>mRNA165: -&gt; E2_7_7_12_mRNA | 0.00292 - (0.0093 * E2_7_7_12_mRNA)</v>
      </c>
      <c r="N166" s="33" t="str">
        <f t="shared" si="35"/>
        <v>Peptide165: E2_7_7_12_mRNA -&gt; E2_7_7_12 | (0.278 * E2_7_7_12_mRNA) - (0.000000278 * E2_7_7_12)</v>
      </c>
    </row>
    <row r="167" spans="1:14" x14ac:dyDescent="0.35">
      <c r="A167" s="1">
        <v>166</v>
      </c>
      <c r="B167" s="1" t="s">
        <v>9926</v>
      </c>
      <c r="C167" s="1" t="str">
        <f t="shared" si="24"/>
        <v>E2_7_7_18_mRNA</v>
      </c>
      <c r="D167" s="1" t="str">
        <f t="shared" si="25"/>
        <v>E2_7_7_18</v>
      </c>
      <c r="E167" s="26" t="str">
        <f t="shared" si="26"/>
        <v>E2_7_7_18_kcat : 13.7</v>
      </c>
      <c r="F167" s="27" t="str">
        <f t="shared" si="27"/>
        <v>E2_7_7_18_km : 1</v>
      </c>
      <c r="G167" s="6" t="str">
        <f t="shared" si="28"/>
        <v>E2_7_7_18_mRNA : E2_7_7_18_mRNA</v>
      </c>
      <c r="H167" s="28" t="str">
        <f t="shared" si="29"/>
        <v>E2_7_7_18 : E2_7_7_18</v>
      </c>
      <c r="I167" s="29" t="str">
        <f t="shared" si="30"/>
        <v>E2_7_7_18_mRNA : 0</v>
      </c>
      <c r="J167" s="30" t="str">
        <f t="shared" si="31"/>
        <v>E2_7_7_18 : 0</v>
      </c>
      <c r="K167" s="31" t="str">
        <f t="shared" si="32"/>
        <v>0.00292 - (0.0093 * E2_7_7_18_mRNA)</v>
      </c>
      <c r="L167" s="32" t="str">
        <f t="shared" si="33"/>
        <v>(0.278 * E2_7_7_18_mRNA) - (0.00000278 * E2_7_7_18)</v>
      </c>
      <c r="M167" s="7" t="str">
        <f t="shared" si="34"/>
        <v>mRNA166: -&gt; E2_7_7_18_mRNA | 0.00292 - (0.0093 * E2_7_7_18_mRNA)</v>
      </c>
      <c r="N167" s="33" t="str">
        <f t="shared" si="35"/>
        <v>Peptide166: E2_7_7_18_mRNA -&gt; E2_7_7_18 | (0.278 * E2_7_7_18_mRNA) - (0.000000278 * E2_7_7_18)</v>
      </c>
    </row>
    <row r="168" spans="1:14" x14ac:dyDescent="0.35">
      <c r="A168" s="1">
        <v>167</v>
      </c>
      <c r="B168" s="1" t="s">
        <v>9927</v>
      </c>
      <c r="C168" s="1" t="str">
        <f t="shared" si="24"/>
        <v>E2_7_7_2_mRNA</v>
      </c>
      <c r="D168" s="1" t="str">
        <f t="shared" si="25"/>
        <v>E2_7_7_2</v>
      </c>
      <c r="E168" s="26" t="str">
        <f t="shared" si="26"/>
        <v>E2_7_7_2_kcat : 13.7</v>
      </c>
      <c r="F168" s="27" t="str">
        <f t="shared" si="27"/>
        <v>E2_7_7_2_km : 1</v>
      </c>
      <c r="G168" s="6" t="str">
        <f t="shared" si="28"/>
        <v>E2_7_7_2_mRNA : E2_7_7_2_mRNA</v>
      </c>
      <c r="H168" s="28" t="str">
        <f t="shared" si="29"/>
        <v>E2_7_7_2 : E2_7_7_2</v>
      </c>
      <c r="I168" s="29" t="str">
        <f t="shared" si="30"/>
        <v>E2_7_7_2_mRNA : 0</v>
      </c>
      <c r="J168" s="30" t="str">
        <f t="shared" si="31"/>
        <v>E2_7_7_2 : 0</v>
      </c>
      <c r="K168" s="31" t="str">
        <f t="shared" si="32"/>
        <v>0.00292 - (0.0093 * E2_7_7_2_mRNA)</v>
      </c>
      <c r="L168" s="32" t="str">
        <f t="shared" si="33"/>
        <v>(0.278 * E2_7_7_2_mRNA) - (0.00000278 * E2_7_7_2)</v>
      </c>
      <c r="M168" s="7" t="str">
        <f t="shared" si="34"/>
        <v>mRNA167: -&gt; E2_7_7_2_mRNA | 0.00292 - (0.0093 * E2_7_7_2_mRNA)</v>
      </c>
      <c r="N168" s="33" t="str">
        <f t="shared" si="35"/>
        <v>Peptide167: E2_7_7_2_mRNA -&gt; E2_7_7_2 | (0.278 * E2_7_7_2_mRNA) - (0.000000278 * E2_7_7_2)</v>
      </c>
    </row>
    <row r="169" spans="1:14" x14ac:dyDescent="0.35">
      <c r="A169" s="1">
        <v>168</v>
      </c>
      <c r="B169" s="1" t="s">
        <v>9928</v>
      </c>
      <c r="C169" s="1" t="str">
        <f t="shared" si="24"/>
        <v>E2_7_7_24_mRNA</v>
      </c>
      <c r="D169" s="1" t="str">
        <f t="shared" si="25"/>
        <v>E2_7_7_24</v>
      </c>
      <c r="E169" s="26" t="str">
        <f t="shared" si="26"/>
        <v>E2_7_7_24_kcat : 13.7</v>
      </c>
      <c r="F169" s="27" t="str">
        <f t="shared" si="27"/>
        <v>E2_7_7_24_km : 1</v>
      </c>
      <c r="G169" s="6" t="str">
        <f t="shared" si="28"/>
        <v>E2_7_7_24_mRNA : E2_7_7_24_mRNA</v>
      </c>
      <c r="H169" s="28" t="str">
        <f t="shared" si="29"/>
        <v>E2_7_7_24 : E2_7_7_24</v>
      </c>
      <c r="I169" s="29" t="str">
        <f t="shared" si="30"/>
        <v>E2_7_7_24_mRNA : 0</v>
      </c>
      <c r="J169" s="30" t="str">
        <f t="shared" si="31"/>
        <v>E2_7_7_24 : 0</v>
      </c>
      <c r="K169" s="31" t="str">
        <f t="shared" si="32"/>
        <v>0.00292 - (0.0093 * E2_7_7_24_mRNA)</v>
      </c>
      <c r="L169" s="32" t="str">
        <f t="shared" si="33"/>
        <v>(0.278 * E2_7_7_24_mRNA) - (0.00000278 * E2_7_7_24)</v>
      </c>
      <c r="M169" s="7" t="str">
        <f t="shared" si="34"/>
        <v>mRNA168: -&gt; E2_7_7_24_mRNA | 0.00292 - (0.0093 * E2_7_7_24_mRNA)</v>
      </c>
      <c r="N169" s="33" t="str">
        <f t="shared" si="35"/>
        <v>Peptide168: E2_7_7_24_mRNA -&gt; E2_7_7_24 | (0.278 * E2_7_7_24_mRNA) - (0.000000278 * E2_7_7_24)</v>
      </c>
    </row>
    <row r="170" spans="1:14" x14ac:dyDescent="0.35">
      <c r="A170" s="1">
        <v>169</v>
      </c>
      <c r="B170" s="1" t="s">
        <v>9929</v>
      </c>
      <c r="C170" s="1" t="str">
        <f t="shared" si="24"/>
        <v>E2_7_7_27_mRNA</v>
      </c>
      <c r="D170" s="1" t="str">
        <f t="shared" si="25"/>
        <v>E2_7_7_27</v>
      </c>
      <c r="E170" s="26" t="str">
        <f t="shared" si="26"/>
        <v>E2_7_7_27_kcat : 13.7</v>
      </c>
      <c r="F170" s="27" t="str">
        <f t="shared" si="27"/>
        <v>E2_7_7_27_km : 1</v>
      </c>
      <c r="G170" s="6" t="str">
        <f t="shared" si="28"/>
        <v>E2_7_7_27_mRNA : E2_7_7_27_mRNA</v>
      </c>
      <c r="H170" s="28" t="str">
        <f t="shared" si="29"/>
        <v>E2_7_7_27 : E2_7_7_27</v>
      </c>
      <c r="I170" s="29" t="str">
        <f t="shared" si="30"/>
        <v>E2_7_7_27_mRNA : 0</v>
      </c>
      <c r="J170" s="30" t="str">
        <f t="shared" si="31"/>
        <v>E2_7_7_27 : 0</v>
      </c>
      <c r="K170" s="31" t="str">
        <f t="shared" si="32"/>
        <v>0.00292 - (0.0093 * E2_7_7_27_mRNA)</v>
      </c>
      <c r="L170" s="32" t="str">
        <f t="shared" si="33"/>
        <v>(0.278 * E2_7_7_27_mRNA) - (0.00000278 * E2_7_7_27)</v>
      </c>
      <c r="M170" s="7" t="str">
        <f t="shared" si="34"/>
        <v>mRNA169: -&gt; E2_7_7_27_mRNA | 0.00292 - (0.0093 * E2_7_7_27_mRNA)</v>
      </c>
      <c r="N170" s="33" t="str">
        <f t="shared" si="35"/>
        <v>Peptide169: E2_7_7_27_mRNA -&gt; E2_7_7_27 | (0.278 * E2_7_7_27_mRNA) - (0.000000278 * E2_7_7_27)</v>
      </c>
    </row>
    <row r="171" spans="1:14" x14ac:dyDescent="0.35">
      <c r="A171" s="1">
        <v>170</v>
      </c>
      <c r="B171" s="1" t="s">
        <v>9930</v>
      </c>
      <c r="C171" s="1" t="str">
        <f t="shared" si="24"/>
        <v>E2_7_7_3_mRNA</v>
      </c>
      <c r="D171" s="1" t="str">
        <f t="shared" si="25"/>
        <v>E2_7_7_3</v>
      </c>
      <c r="E171" s="26" t="str">
        <f t="shared" si="26"/>
        <v>E2_7_7_3_kcat : 13.7</v>
      </c>
      <c r="F171" s="27" t="str">
        <f t="shared" si="27"/>
        <v>E2_7_7_3_km : 1</v>
      </c>
      <c r="G171" s="6" t="str">
        <f t="shared" si="28"/>
        <v>E2_7_7_3_mRNA : E2_7_7_3_mRNA</v>
      </c>
      <c r="H171" s="28" t="str">
        <f t="shared" si="29"/>
        <v>E2_7_7_3 : E2_7_7_3</v>
      </c>
      <c r="I171" s="29" t="str">
        <f t="shared" si="30"/>
        <v>E2_7_7_3_mRNA : 0</v>
      </c>
      <c r="J171" s="30" t="str">
        <f t="shared" si="31"/>
        <v>E2_7_7_3 : 0</v>
      </c>
      <c r="K171" s="31" t="str">
        <f t="shared" si="32"/>
        <v>0.00292 - (0.0093 * E2_7_7_3_mRNA)</v>
      </c>
      <c r="L171" s="32" t="str">
        <f t="shared" si="33"/>
        <v>(0.278 * E2_7_7_3_mRNA) - (0.00000278 * E2_7_7_3)</v>
      </c>
      <c r="M171" s="7" t="str">
        <f t="shared" si="34"/>
        <v>mRNA170: -&gt; E2_7_7_3_mRNA | 0.00292 - (0.0093 * E2_7_7_3_mRNA)</v>
      </c>
      <c r="N171" s="33" t="str">
        <f t="shared" si="35"/>
        <v>Peptide170: E2_7_7_3_mRNA -&gt; E2_7_7_3 | (0.278 * E2_7_7_3_mRNA) - (0.000000278 * E2_7_7_3)</v>
      </c>
    </row>
    <row r="172" spans="1:14" x14ac:dyDescent="0.35">
      <c r="A172" s="1">
        <v>171</v>
      </c>
      <c r="B172" s="1" t="s">
        <v>9931</v>
      </c>
      <c r="C172" s="1" t="str">
        <f t="shared" si="24"/>
        <v>E2_7_7_41_mRNA</v>
      </c>
      <c r="D172" s="1" t="str">
        <f t="shared" si="25"/>
        <v>E2_7_7_41</v>
      </c>
      <c r="E172" s="26" t="str">
        <f t="shared" si="26"/>
        <v>E2_7_7_41_kcat : 13.7</v>
      </c>
      <c r="F172" s="27" t="str">
        <f t="shared" si="27"/>
        <v>E2_7_7_41_km : 1</v>
      </c>
      <c r="G172" s="6" t="str">
        <f t="shared" si="28"/>
        <v>E2_7_7_41_mRNA : E2_7_7_41_mRNA</v>
      </c>
      <c r="H172" s="28" t="str">
        <f t="shared" si="29"/>
        <v>E2_7_7_41 : E2_7_7_41</v>
      </c>
      <c r="I172" s="29" t="str">
        <f t="shared" si="30"/>
        <v>E2_7_7_41_mRNA : 0</v>
      </c>
      <c r="J172" s="30" t="str">
        <f t="shared" si="31"/>
        <v>E2_7_7_41 : 0</v>
      </c>
      <c r="K172" s="31" t="str">
        <f t="shared" si="32"/>
        <v>0.00292 - (0.0093 * E2_7_7_41_mRNA)</v>
      </c>
      <c r="L172" s="32" t="str">
        <f t="shared" si="33"/>
        <v>(0.278 * E2_7_7_41_mRNA) - (0.00000278 * E2_7_7_41)</v>
      </c>
      <c r="M172" s="7" t="str">
        <f t="shared" si="34"/>
        <v>mRNA171: -&gt; E2_7_7_41_mRNA | 0.00292 - (0.0093 * E2_7_7_41_mRNA)</v>
      </c>
      <c r="N172" s="33" t="str">
        <f t="shared" si="35"/>
        <v>Peptide171: E2_7_7_41_mRNA -&gt; E2_7_7_41 | (0.278 * E2_7_7_41_mRNA) - (0.000000278 * E2_7_7_41)</v>
      </c>
    </row>
    <row r="173" spans="1:14" x14ac:dyDescent="0.35">
      <c r="A173" s="1">
        <v>172</v>
      </c>
      <c r="B173" s="1" t="s">
        <v>9932</v>
      </c>
      <c r="C173" s="1" t="str">
        <f t="shared" si="24"/>
        <v>E2_7_7_49_mRNA</v>
      </c>
      <c r="D173" s="1" t="str">
        <f t="shared" si="25"/>
        <v>E2_7_7_49</v>
      </c>
      <c r="E173" s="26" t="str">
        <f t="shared" si="26"/>
        <v>E2_7_7_49_kcat : 13.7</v>
      </c>
      <c r="F173" s="27" t="str">
        <f t="shared" si="27"/>
        <v>E2_7_7_49_km : 1</v>
      </c>
      <c r="G173" s="6" t="str">
        <f t="shared" si="28"/>
        <v>E2_7_7_49_mRNA : E2_7_7_49_mRNA</v>
      </c>
      <c r="H173" s="28" t="str">
        <f t="shared" si="29"/>
        <v>E2_7_7_49 : E2_7_7_49</v>
      </c>
      <c r="I173" s="29" t="str">
        <f t="shared" si="30"/>
        <v>E2_7_7_49_mRNA : 0</v>
      </c>
      <c r="J173" s="30" t="str">
        <f t="shared" si="31"/>
        <v>E2_7_7_49 : 0</v>
      </c>
      <c r="K173" s="31" t="str">
        <f t="shared" si="32"/>
        <v>0.00292 - (0.0093 * E2_7_7_49_mRNA)</v>
      </c>
      <c r="L173" s="32" t="str">
        <f t="shared" si="33"/>
        <v>(0.278 * E2_7_7_49_mRNA) - (0.00000278 * E2_7_7_49)</v>
      </c>
      <c r="M173" s="7" t="str">
        <f t="shared" si="34"/>
        <v>mRNA172: -&gt; E2_7_7_49_mRNA | 0.00292 - (0.0093 * E2_7_7_49_mRNA)</v>
      </c>
      <c r="N173" s="33" t="str">
        <f t="shared" si="35"/>
        <v>Peptide172: E2_7_7_49_mRNA -&gt; E2_7_7_49 | (0.278 * E2_7_7_49_mRNA) - (0.000000278 * E2_7_7_49)</v>
      </c>
    </row>
    <row r="174" spans="1:14" x14ac:dyDescent="0.35">
      <c r="A174" s="1">
        <v>173</v>
      </c>
      <c r="B174" s="1" t="s">
        <v>9933</v>
      </c>
      <c r="C174" s="1" t="str">
        <f t="shared" si="24"/>
        <v>E2_7_7_6_mRNA</v>
      </c>
      <c r="D174" s="1" t="str">
        <f t="shared" si="25"/>
        <v>E2_7_7_6</v>
      </c>
      <c r="E174" s="26" t="str">
        <f t="shared" si="26"/>
        <v>E2_7_7_6_kcat : 13.7</v>
      </c>
      <c r="F174" s="27" t="str">
        <f t="shared" si="27"/>
        <v>E2_7_7_6_km : 1</v>
      </c>
      <c r="G174" s="6" t="str">
        <f t="shared" si="28"/>
        <v>E2_7_7_6_mRNA : E2_7_7_6_mRNA</v>
      </c>
      <c r="H174" s="28" t="str">
        <f t="shared" si="29"/>
        <v>E2_7_7_6 : E2_7_7_6</v>
      </c>
      <c r="I174" s="29" t="str">
        <f t="shared" si="30"/>
        <v>E2_7_7_6_mRNA : 0</v>
      </c>
      <c r="J174" s="30" t="str">
        <f t="shared" si="31"/>
        <v>E2_7_7_6 : 0</v>
      </c>
      <c r="K174" s="31" t="str">
        <f t="shared" si="32"/>
        <v>0.00292 - (0.0093 * E2_7_7_6_mRNA)</v>
      </c>
      <c r="L174" s="32" t="str">
        <f t="shared" si="33"/>
        <v>(0.278 * E2_7_7_6_mRNA) - (0.00000278 * E2_7_7_6)</v>
      </c>
      <c r="M174" s="7" t="str">
        <f t="shared" si="34"/>
        <v>mRNA173: -&gt; E2_7_7_6_mRNA | 0.00292 - (0.0093 * E2_7_7_6_mRNA)</v>
      </c>
      <c r="N174" s="33" t="str">
        <f t="shared" si="35"/>
        <v>Peptide173: E2_7_7_6_mRNA -&gt; E2_7_7_6 | (0.278 * E2_7_7_6_mRNA) - (0.000000278 * E2_7_7_6)</v>
      </c>
    </row>
    <row r="175" spans="1:14" x14ac:dyDescent="0.35">
      <c r="A175" s="1">
        <v>174</v>
      </c>
      <c r="B175" s="1" t="s">
        <v>9934</v>
      </c>
      <c r="C175" s="1" t="str">
        <f t="shared" si="24"/>
        <v>E2_7_7_63_mRNA</v>
      </c>
      <c r="D175" s="1" t="str">
        <f t="shared" si="25"/>
        <v>E2_7_7_63</v>
      </c>
      <c r="E175" s="26" t="str">
        <f t="shared" si="26"/>
        <v>E2_7_7_63_kcat : 13.7</v>
      </c>
      <c r="F175" s="27" t="str">
        <f t="shared" si="27"/>
        <v>E2_7_7_63_km : 1</v>
      </c>
      <c r="G175" s="6" t="str">
        <f t="shared" si="28"/>
        <v>E2_7_7_63_mRNA : E2_7_7_63_mRNA</v>
      </c>
      <c r="H175" s="28" t="str">
        <f t="shared" si="29"/>
        <v>E2_7_7_63 : E2_7_7_63</v>
      </c>
      <c r="I175" s="29" t="str">
        <f t="shared" si="30"/>
        <v>E2_7_7_63_mRNA : 0</v>
      </c>
      <c r="J175" s="30" t="str">
        <f t="shared" si="31"/>
        <v>E2_7_7_63 : 0</v>
      </c>
      <c r="K175" s="31" t="str">
        <f t="shared" si="32"/>
        <v>0.00292 - (0.0093 * E2_7_7_63_mRNA)</v>
      </c>
      <c r="L175" s="32" t="str">
        <f t="shared" si="33"/>
        <v>(0.278 * E2_7_7_63_mRNA) - (0.00000278 * E2_7_7_63)</v>
      </c>
      <c r="M175" s="7" t="str">
        <f t="shared" si="34"/>
        <v>mRNA174: -&gt; E2_7_7_63_mRNA | 0.00292 - (0.0093 * E2_7_7_63_mRNA)</v>
      </c>
      <c r="N175" s="33" t="str">
        <f t="shared" si="35"/>
        <v>Peptide174: E2_7_7_63_mRNA -&gt; E2_7_7_63 | (0.278 * E2_7_7_63_mRNA) - (0.000000278 * E2_7_7_63)</v>
      </c>
    </row>
    <row r="176" spans="1:14" x14ac:dyDescent="0.35">
      <c r="A176" s="1">
        <v>175</v>
      </c>
      <c r="B176" s="1" t="s">
        <v>9935</v>
      </c>
      <c r="C176" s="1" t="str">
        <f t="shared" si="24"/>
        <v>E2_7_7_7_mRNA</v>
      </c>
      <c r="D176" s="1" t="str">
        <f t="shared" si="25"/>
        <v>E2_7_7_7</v>
      </c>
      <c r="E176" s="26" t="str">
        <f t="shared" si="26"/>
        <v>E2_7_7_7_kcat : 13.7</v>
      </c>
      <c r="F176" s="27" t="str">
        <f t="shared" si="27"/>
        <v>E2_7_7_7_km : 1</v>
      </c>
      <c r="G176" s="6" t="str">
        <f t="shared" si="28"/>
        <v>E2_7_7_7_mRNA : E2_7_7_7_mRNA</v>
      </c>
      <c r="H176" s="28" t="str">
        <f t="shared" si="29"/>
        <v>E2_7_7_7 : E2_7_7_7</v>
      </c>
      <c r="I176" s="29" t="str">
        <f t="shared" si="30"/>
        <v>E2_7_7_7_mRNA : 0</v>
      </c>
      <c r="J176" s="30" t="str">
        <f t="shared" si="31"/>
        <v>E2_7_7_7 : 0</v>
      </c>
      <c r="K176" s="31" t="str">
        <f t="shared" si="32"/>
        <v>0.00292 - (0.0093 * E2_7_7_7_mRNA)</v>
      </c>
      <c r="L176" s="32" t="str">
        <f t="shared" si="33"/>
        <v>(0.278 * E2_7_7_7_mRNA) - (0.00000278 * E2_7_7_7)</v>
      </c>
      <c r="M176" s="7" t="str">
        <f t="shared" si="34"/>
        <v>mRNA175: -&gt; E2_7_7_7_mRNA | 0.00292 - (0.0093 * E2_7_7_7_mRNA)</v>
      </c>
      <c r="N176" s="33" t="str">
        <f t="shared" si="35"/>
        <v>Peptide175: E2_7_7_7_mRNA -&gt; E2_7_7_7 | (0.278 * E2_7_7_7_mRNA) - (0.000000278 * E2_7_7_7)</v>
      </c>
    </row>
    <row r="177" spans="1:14" x14ac:dyDescent="0.35">
      <c r="A177" s="1">
        <v>176</v>
      </c>
      <c r="B177" s="1" t="s">
        <v>9936</v>
      </c>
      <c r="C177" s="1" t="str">
        <f t="shared" si="24"/>
        <v>E2_7_7_8_mRNA</v>
      </c>
      <c r="D177" s="1" t="str">
        <f t="shared" si="25"/>
        <v>E2_7_7_8</v>
      </c>
      <c r="E177" s="26" t="str">
        <f t="shared" si="26"/>
        <v>E2_7_7_8_kcat : 13.7</v>
      </c>
      <c r="F177" s="27" t="str">
        <f t="shared" si="27"/>
        <v>E2_7_7_8_km : 1</v>
      </c>
      <c r="G177" s="6" t="str">
        <f t="shared" si="28"/>
        <v>E2_7_7_8_mRNA : E2_7_7_8_mRNA</v>
      </c>
      <c r="H177" s="28" t="str">
        <f t="shared" si="29"/>
        <v>E2_7_7_8 : E2_7_7_8</v>
      </c>
      <c r="I177" s="29" t="str">
        <f t="shared" si="30"/>
        <v>E2_7_7_8_mRNA : 0</v>
      </c>
      <c r="J177" s="30" t="str">
        <f t="shared" si="31"/>
        <v>E2_7_7_8 : 0</v>
      </c>
      <c r="K177" s="31" t="str">
        <f t="shared" si="32"/>
        <v>0.00292 - (0.0093 * E2_7_7_8_mRNA)</v>
      </c>
      <c r="L177" s="32" t="str">
        <f t="shared" si="33"/>
        <v>(0.278 * E2_7_7_8_mRNA) - (0.00000278 * E2_7_7_8)</v>
      </c>
      <c r="M177" s="7" t="str">
        <f t="shared" si="34"/>
        <v>mRNA176: -&gt; E2_7_7_8_mRNA | 0.00292 - (0.0093 * E2_7_7_8_mRNA)</v>
      </c>
      <c r="N177" s="33" t="str">
        <f t="shared" si="35"/>
        <v>Peptide176: E2_7_7_8_mRNA -&gt; E2_7_7_8 | (0.278 * E2_7_7_8_mRNA) - (0.000000278 * E2_7_7_8)</v>
      </c>
    </row>
    <row r="178" spans="1:14" x14ac:dyDescent="0.35">
      <c r="A178" s="1">
        <v>177</v>
      </c>
      <c r="B178" s="1" t="s">
        <v>9937</v>
      </c>
      <c r="C178" s="1" t="str">
        <f t="shared" si="24"/>
        <v>E2_7_7_9_mRNA</v>
      </c>
      <c r="D178" s="1" t="str">
        <f t="shared" si="25"/>
        <v>E2_7_7_9</v>
      </c>
      <c r="E178" s="26" t="str">
        <f t="shared" si="26"/>
        <v>E2_7_7_9_kcat : 13.7</v>
      </c>
      <c r="F178" s="27" t="str">
        <f t="shared" si="27"/>
        <v>E2_7_7_9_km : 1</v>
      </c>
      <c r="G178" s="6" t="str">
        <f t="shared" si="28"/>
        <v>E2_7_7_9_mRNA : E2_7_7_9_mRNA</v>
      </c>
      <c r="H178" s="28" t="str">
        <f t="shared" si="29"/>
        <v>E2_7_7_9 : E2_7_7_9</v>
      </c>
      <c r="I178" s="29" t="str">
        <f t="shared" si="30"/>
        <v>E2_7_7_9_mRNA : 0</v>
      </c>
      <c r="J178" s="30" t="str">
        <f t="shared" si="31"/>
        <v>E2_7_7_9 : 0</v>
      </c>
      <c r="K178" s="31" t="str">
        <f t="shared" si="32"/>
        <v>0.00292 - (0.0093 * E2_7_7_9_mRNA)</v>
      </c>
      <c r="L178" s="32" t="str">
        <f t="shared" si="33"/>
        <v>(0.278 * E2_7_7_9_mRNA) - (0.00000278 * E2_7_7_9)</v>
      </c>
      <c r="M178" s="7" t="str">
        <f t="shared" si="34"/>
        <v>mRNA177: -&gt; E2_7_7_9_mRNA | 0.00292 - (0.0093 * E2_7_7_9_mRNA)</v>
      </c>
      <c r="N178" s="33" t="str">
        <f t="shared" si="35"/>
        <v>Peptide177: E2_7_7_9_mRNA -&gt; E2_7_7_9 | (0.278 * E2_7_7_9_mRNA) - (0.000000278 * E2_7_7_9)</v>
      </c>
    </row>
    <row r="179" spans="1:14" x14ac:dyDescent="0.35">
      <c r="A179" s="1">
        <v>178</v>
      </c>
      <c r="B179" s="1" t="s">
        <v>9938</v>
      </c>
      <c r="C179" s="1" t="str">
        <f t="shared" si="24"/>
        <v>E2_7_8_13_mRNA</v>
      </c>
      <c r="D179" s="1" t="str">
        <f t="shared" si="25"/>
        <v>E2_7_8_13</v>
      </c>
      <c r="E179" s="26" t="str">
        <f t="shared" si="26"/>
        <v>E2_7_8_13_kcat : 13.7</v>
      </c>
      <c r="F179" s="27" t="str">
        <f t="shared" si="27"/>
        <v>E2_7_8_13_km : 1</v>
      </c>
      <c r="G179" s="6" t="str">
        <f t="shared" si="28"/>
        <v>E2_7_8_13_mRNA : E2_7_8_13_mRNA</v>
      </c>
      <c r="H179" s="28" t="str">
        <f t="shared" si="29"/>
        <v>E2_7_8_13 : E2_7_8_13</v>
      </c>
      <c r="I179" s="29" t="str">
        <f t="shared" si="30"/>
        <v>E2_7_8_13_mRNA : 0</v>
      </c>
      <c r="J179" s="30" t="str">
        <f t="shared" si="31"/>
        <v>E2_7_8_13 : 0</v>
      </c>
      <c r="K179" s="31" t="str">
        <f t="shared" si="32"/>
        <v>0.00292 - (0.0093 * E2_7_8_13_mRNA)</v>
      </c>
      <c r="L179" s="32" t="str">
        <f t="shared" si="33"/>
        <v>(0.278 * E2_7_8_13_mRNA) - (0.00000278 * E2_7_8_13)</v>
      </c>
      <c r="M179" s="7" t="str">
        <f t="shared" si="34"/>
        <v>mRNA178: -&gt; E2_7_8_13_mRNA | 0.00292 - (0.0093 * E2_7_8_13_mRNA)</v>
      </c>
      <c r="N179" s="33" t="str">
        <f t="shared" si="35"/>
        <v>Peptide178: E2_7_8_13_mRNA -&gt; E2_7_8_13 | (0.278 * E2_7_8_13_mRNA) - (0.000000278 * E2_7_8_13)</v>
      </c>
    </row>
    <row r="180" spans="1:14" x14ac:dyDescent="0.35">
      <c r="A180" s="1">
        <v>179</v>
      </c>
      <c r="B180" s="1" t="s">
        <v>9939</v>
      </c>
      <c r="C180" s="1" t="str">
        <f t="shared" si="24"/>
        <v>E2_7_8_5_mRNA</v>
      </c>
      <c r="D180" s="1" t="str">
        <f t="shared" si="25"/>
        <v>E2_7_8_5</v>
      </c>
      <c r="E180" s="26" t="str">
        <f t="shared" si="26"/>
        <v>E2_7_8_5_kcat : 13.7</v>
      </c>
      <c r="F180" s="27" t="str">
        <f t="shared" si="27"/>
        <v>E2_7_8_5_km : 1</v>
      </c>
      <c r="G180" s="6" t="str">
        <f t="shared" si="28"/>
        <v>E2_7_8_5_mRNA : E2_7_8_5_mRNA</v>
      </c>
      <c r="H180" s="28" t="str">
        <f t="shared" si="29"/>
        <v>E2_7_8_5 : E2_7_8_5</v>
      </c>
      <c r="I180" s="29" t="str">
        <f t="shared" si="30"/>
        <v>E2_7_8_5_mRNA : 0</v>
      </c>
      <c r="J180" s="30" t="str">
        <f t="shared" si="31"/>
        <v>E2_7_8_5 : 0</v>
      </c>
      <c r="K180" s="31" t="str">
        <f t="shared" si="32"/>
        <v>0.00292 - (0.0093 * E2_7_8_5_mRNA)</v>
      </c>
      <c r="L180" s="32" t="str">
        <f t="shared" si="33"/>
        <v>(0.278 * E2_7_8_5_mRNA) - (0.00000278 * E2_7_8_5)</v>
      </c>
      <c r="M180" s="7" t="str">
        <f t="shared" si="34"/>
        <v>mRNA179: -&gt; E2_7_8_5_mRNA | 0.00292 - (0.0093 * E2_7_8_5_mRNA)</v>
      </c>
      <c r="N180" s="33" t="str">
        <f t="shared" si="35"/>
        <v>Peptide179: E2_7_8_5_mRNA -&gt; E2_7_8_5 | (0.278 * E2_7_8_5_mRNA) - (0.000000278 * E2_7_8_5)</v>
      </c>
    </row>
    <row r="181" spans="1:14" x14ac:dyDescent="0.35">
      <c r="A181" s="1">
        <v>180</v>
      </c>
      <c r="B181" s="1" t="s">
        <v>9940</v>
      </c>
      <c r="C181" s="1" t="str">
        <f t="shared" si="24"/>
        <v>E2_7_8_7_mRNA</v>
      </c>
      <c r="D181" s="1" t="str">
        <f t="shared" si="25"/>
        <v>E2_7_8_7</v>
      </c>
      <c r="E181" s="26" t="str">
        <f t="shared" si="26"/>
        <v>E2_7_8_7_kcat : 13.7</v>
      </c>
      <c r="F181" s="27" t="str">
        <f t="shared" si="27"/>
        <v>E2_7_8_7_km : 1</v>
      </c>
      <c r="G181" s="6" t="str">
        <f t="shared" si="28"/>
        <v>E2_7_8_7_mRNA : E2_7_8_7_mRNA</v>
      </c>
      <c r="H181" s="28" t="str">
        <f t="shared" si="29"/>
        <v>E2_7_8_7 : E2_7_8_7</v>
      </c>
      <c r="I181" s="29" t="str">
        <f t="shared" si="30"/>
        <v>E2_7_8_7_mRNA : 0</v>
      </c>
      <c r="J181" s="30" t="str">
        <f t="shared" si="31"/>
        <v>E2_7_8_7 : 0</v>
      </c>
      <c r="K181" s="31" t="str">
        <f t="shared" si="32"/>
        <v>0.00292 - (0.0093 * E2_7_8_7_mRNA)</v>
      </c>
      <c r="L181" s="32" t="str">
        <f t="shared" si="33"/>
        <v>(0.278 * E2_7_8_7_mRNA) - (0.00000278 * E2_7_8_7)</v>
      </c>
      <c r="M181" s="7" t="str">
        <f t="shared" si="34"/>
        <v>mRNA180: -&gt; E2_7_8_7_mRNA | 0.00292 - (0.0093 * E2_7_8_7_mRNA)</v>
      </c>
      <c r="N181" s="33" t="str">
        <f t="shared" si="35"/>
        <v>Peptide180: E2_7_8_7_mRNA -&gt; E2_7_8_7 | (0.278 * E2_7_8_7_mRNA) - (0.000000278 * E2_7_8_7)</v>
      </c>
    </row>
    <row r="182" spans="1:14" x14ac:dyDescent="0.35">
      <c r="A182" s="1">
        <v>181</v>
      </c>
      <c r="B182" s="1" t="s">
        <v>9941</v>
      </c>
      <c r="C182" s="1" t="str">
        <f t="shared" si="24"/>
        <v>E2_8_1_6_mRNA</v>
      </c>
      <c r="D182" s="1" t="str">
        <f t="shared" si="25"/>
        <v>E2_8_1_6</v>
      </c>
      <c r="E182" s="26" t="str">
        <f t="shared" si="26"/>
        <v>E2_8_1_6_kcat : 13.7</v>
      </c>
      <c r="F182" s="27" t="str">
        <f t="shared" si="27"/>
        <v>E2_8_1_6_km : 1</v>
      </c>
      <c r="G182" s="6" t="str">
        <f t="shared" si="28"/>
        <v>E2_8_1_6_mRNA : E2_8_1_6_mRNA</v>
      </c>
      <c r="H182" s="28" t="str">
        <f t="shared" si="29"/>
        <v>E2_8_1_6 : E2_8_1_6</v>
      </c>
      <c r="I182" s="29" t="str">
        <f t="shared" si="30"/>
        <v>E2_8_1_6_mRNA : 0</v>
      </c>
      <c r="J182" s="30" t="str">
        <f t="shared" si="31"/>
        <v>E2_8_1_6 : 0</v>
      </c>
      <c r="K182" s="31" t="str">
        <f t="shared" si="32"/>
        <v>0.00292 - (0.0093 * E2_8_1_6_mRNA)</v>
      </c>
      <c r="L182" s="32" t="str">
        <f t="shared" si="33"/>
        <v>(0.278 * E2_8_1_6_mRNA) - (0.00000278 * E2_8_1_6)</v>
      </c>
      <c r="M182" s="7" t="str">
        <f t="shared" si="34"/>
        <v>mRNA181: -&gt; E2_8_1_6_mRNA | 0.00292 - (0.0093 * E2_8_1_6_mRNA)</v>
      </c>
      <c r="N182" s="33" t="str">
        <f t="shared" si="35"/>
        <v>Peptide181: E2_8_1_6_mRNA -&gt; E2_8_1_6 | (0.278 * E2_8_1_6_mRNA) - (0.000000278 * E2_8_1_6)</v>
      </c>
    </row>
    <row r="183" spans="1:14" x14ac:dyDescent="0.35">
      <c r="A183" s="1">
        <v>182</v>
      </c>
      <c r="B183" s="1" t="s">
        <v>9942</v>
      </c>
      <c r="C183" s="1" t="str">
        <f t="shared" si="24"/>
        <v>E2_8_1_7_mRNA</v>
      </c>
      <c r="D183" s="1" t="str">
        <f t="shared" si="25"/>
        <v>E2_8_1_7</v>
      </c>
      <c r="E183" s="26" t="str">
        <f t="shared" si="26"/>
        <v>E2_8_1_7_kcat : 13.7</v>
      </c>
      <c r="F183" s="27" t="str">
        <f t="shared" si="27"/>
        <v>E2_8_1_7_km : 1</v>
      </c>
      <c r="G183" s="6" t="str">
        <f t="shared" si="28"/>
        <v>E2_8_1_7_mRNA : E2_8_1_7_mRNA</v>
      </c>
      <c r="H183" s="28" t="str">
        <f t="shared" si="29"/>
        <v>E2_8_1_7 : E2_8_1_7</v>
      </c>
      <c r="I183" s="29" t="str">
        <f t="shared" si="30"/>
        <v>E2_8_1_7_mRNA : 0</v>
      </c>
      <c r="J183" s="30" t="str">
        <f t="shared" si="31"/>
        <v>E2_8_1_7 : 0</v>
      </c>
      <c r="K183" s="31" t="str">
        <f t="shared" si="32"/>
        <v>0.00292 - (0.0093 * E2_8_1_7_mRNA)</v>
      </c>
      <c r="L183" s="32" t="str">
        <f t="shared" si="33"/>
        <v>(0.278 * E2_8_1_7_mRNA) - (0.00000278 * E2_8_1_7)</v>
      </c>
      <c r="M183" s="7" t="str">
        <f t="shared" si="34"/>
        <v>mRNA182: -&gt; E2_8_1_7_mRNA | 0.00292 - (0.0093 * E2_8_1_7_mRNA)</v>
      </c>
      <c r="N183" s="33" t="str">
        <f t="shared" si="35"/>
        <v>Peptide182: E2_8_1_7_mRNA -&gt; E2_8_1_7 | (0.278 * E2_8_1_7_mRNA) - (0.000000278 * E2_8_1_7)</v>
      </c>
    </row>
    <row r="184" spans="1:14" x14ac:dyDescent="0.35">
      <c r="A184" s="1">
        <v>183</v>
      </c>
      <c r="B184" s="1" t="s">
        <v>9943</v>
      </c>
      <c r="C184" s="1" t="str">
        <f t="shared" si="24"/>
        <v>E3_1_1_24_mRNA</v>
      </c>
      <c r="D184" s="1" t="str">
        <f t="shared" si="25"/>
        <v>E3_1_1_24</v>
      </c>
      <c r="E184" s="26" t="str">
        <f t="shared" si="26"/>
        <v>E3_1_1_24_kcat : 13.7</v>
      </c>
      <c r="F184" s="27" t="str">
        <f t="shared" si="27"/>
        <v>E3_1_1_24_km : 1</v>
      </c>
      <c r="G184" s="6" t="str">
        <f t="shared" si="28"/>
        <v>E3_1_1_24_mRNA : E3_1_1_24_mRNA</v>
      </c>
      <c r="H184" s="28" t="str">
        <f t="shared" si="29"/>
        <v>E3_1_1_24 : E3_1_1_24</v>
      </c>
      <c r="I184" s="29" t="str">
        <f t="shared" si="30"/>
        <v>E3_1_1_24_mRNA : 0</v>
      </c>
      <c r="J184" s="30" t="str">
        <f t="shared" si="31"/>
        <v>E3_1_1_24 : 0</v>
      </c>
      <c r="K184" s="31" t="str">
        <f t="shared" si="32"/>
        <v>0.00292 - (0.0093 * E3_1_1_24_mRNA)</v>
      </c>
      <c r="L184" s="32" t="str">
        <f t="shared" si="33"/>
        <v>(0.278 * E3_1_1_24_mRNA) - (0.00000278 * E3_1_1_24)</v>
      </c>
      <c r="M184" s="7" t="str">
        <f t="shared" si="34"/>
        <v>mRNA183: -&gt; E3_1_1_24_mRNA | 0.00292 - (0.0093 * E3_1_1_24_mRNA)</v>
      </c>
      <c r="N184" s="33" t="str">
        <f t="shared" si="35"/>
        <v>Peptide183: E3_1_1_24_mRNA -&gt; E3_1_1_24 | (0.278 * E3_1_1_24_mRNA) - (0.000000278 * E3_1_1_24)</v>
      </c>
    </row>
    <row r="185" spans="1:14" x14ac:dyDescent="0.35">
      <c r="A185" s="1">
        <v>184</v>
      </c>
      <c r="B185" s="1" t="s">
        <v>9944</v>
      </c>
      <c r="C185" s="1" t="str">
        <f t="shared" si="24"/>
        <v>E3_1_1_29_mRNA</v>
      </c>
      <c r="D185" s="1" t="str">
        <f t="shared" si="25"/>
        <v>E3_1_1_29</v>
      </c>
      <c r="E185" s="26" t="str">
        <f t="shared" si="26"/>
        <v>E3_1_1_29_kcat : 13.7</v>
      </c>
      <c r="F185" s="27" t="str">
        <f t="shared" si="27"/>
        <v>E3_1_1_29_km : 1</v>
      </c>
      <c r="G185" s="6" t="str">
        <f t="shared" si="28"/>
        <v>E3_1_1_29_mRNA : E3_1_1_29_mRNA</v>
      </c>
      <c r="H185" s="28" t="str">
        <f t="shared" si="29"/>
        <v>E3_1_1_29 : E3_1_1_29</v>
      </c>
      <c r="I185" s="29" t="str">
        <f t="shared" si="30"/>
        <v>E3_1_1_29_mRNA : 0</v>
      </c>
      <c r="J185" s="30" t="str">
        <f t="shared" si="31"/>
        <v>E3_1_1_29 : 0</v>
      </c>
      <c r="K185" s="31" t="str">
        <f t="shared" si="32"/>
        <v>0.00292 - (0.0093 * E3_1_1_29_mRNA)</v>
      </c>
      <c r="L185" s="32" t="str">
        <f t="shared" si="33"/>
        <v>(0.278 * E3_1_1_29_mRNA) - (0.00000278 * E3_1_1_29)</v>
      </c>
      <c r="M185" s="7" t="str">
        <f t="shared" si="34"/>
        <v>mRNA184: -&gt; E3_1_1_29_mRNA | 0.00292 - (0.0093 * E3_1_1_29_mRNA)</v>
      </c>
      <c r="N185" s="33" t="str">
        <f t="shared" si="35"/>
        <v>Peptide184: E3_1_1_29_mRNA -&gt; E3_1_1_29 | (0.278 * E3_1_1_29_mRNA) - (0.000000278 * E3_1_1_29)</v>
      </c>
    </row>
    <row r="186" spans="1:14" x14ac:dyDescent="0.35">
      <c r="A186" s="1">
        <v>185</v>
      </c>
      <c r="B186" s="1" t="s">
        <v>9945</v>
      </c>
      <c r="C186" s="1" t="str">
        <f t="shared" si="24"/>
        <v>E3_1_11_2_mRNA</v>
      </c>
      <c r="D186" s="1" t="str">
        <f t="shared" si="25"/>
        <v>E3_1_11_2</v>
      </c>
      <c r="E186" s="26" t="str">
        <f t="shared" si="26"/>
        <v>E3_1_11_2_kcat : 13.7</v>
      </c>
      <c r="F186" s="27" t="str">
        <f t="shared" si="27"/>
        <v>E3_1_11_2_km : 1</v>
      </c>
      <c r="G186" s="6" t="str">
        <f t="shared" si="28"/>
        <v>E3_1_11_2_mRNA : E3_1_11_2_mRNA</v>
      </c>
      <c r="H186" s="28" t="str">
        <f t="shared" si="29"/>
        <v>E3_1_11_2 : E3_1_11_2</v>
      </c>
      <c r="I186" s="29" t="str">
        <f t="shared" si="30"/>
        <v>E3_1_11_2_mRNA : 0</v>
      </c>
      <c r="J186" s="30" t="str">
        <f t="shared" si="31"/>
        <v>E3_1_11_2 : 0</v>
      </c>
      <c r="K186" s="31" t="str">
        <f t="shared" si="32"/>
        <v>0.00292 - (0.0093 * E3_1_11_2_mRNA)</v>
      </c>
      <c r="L186" s="32" t="str">
        <f t="shared" si="33"/>
        <v>(0.278 * E3_1_11_2_mRNA) - (0.00000278 * E3_1_11_2)</v>
      </c>
      <c r="M186" s="7" t="str">
        <f t="shared" si="34"/>
        <v>mRNA185: -&gt; E3_1_11_2_mRNA | 0.00292 - (0.0093 * E3_1_11_2_mRNA)</v>
      </c>
      <c r="N186" s="33" t="str">
        <f t="shared" si="35"/>
        <v>Peptide185: E3_1_11_2_mRNA -&gt; E3_1_11_2 | (0.278 * E3_1_11_2_mRNA) - (0.000000278 * E3_1_11_2)</v>
      </c>
    </row>
    <row r="187" spans="1:14" x14ac:dyDescent="0.35">
      <c r="A187" s="1">
        <v>186</v>
      </c>
      <c r="B187" s="1" t="s">
        <v>9946</v>
      </c>
      <c r="C187" s="1" t="str">
        <f t="shared" si="24"/>
        <v>E3_1_11_5_mRNA</v>
      </c>
      <c r="D187" s="1" t="str">
        <f t="shared" si="25"/>
        <v>E3_1_11_5</v>
      </c>
      <c r="E187" s="26" t="str">
        <f t="shared" si="26"/>
        <v>E3_1_11_5_kcat : 13.7</v>
      </c>
      <c r="F187" s="27" t="str">
        <f t="shared" si="27"/>
        <v>E3_1_11_5_km : 1</v>
      </c>
      <c r="G187" s="6" t="str">
        <f t="shared" si="28"/>
        <v>E3_1_11_5_mRNA : E3_1_11_5_mRNA</v>
      </c>
      <c r="H187" s="28" t="str">
        <f t="shared" si="29"/>
        <v>E3_1_11_5 : E3_1_11_5</v>
      </c>
      <c r="I187" s="29" t="str">
        <f t="shared" si="30"/>
        <v>E3_1_11_5_mRNA : 0</v>
      </c>
      <c r="J187" s="30" t="str">
        <f t="shared" si="31"/>
        <v>E3_1_11_5 : 0</v>
      </c>
      <c r="K187" s="31" t="str">
        <f t="shared" si="32"/>
        <v>0.00292 - (0.0093 * E3_1_11_5_mRNA)</v>
      </c>
      <c r="L187" s="32" t="str">
        <f t="shared" si="33"/>
        <v>(0.278 * E3_1_11_5_mRNA) - (0.00000278 * E3_1_11_5)</v>
      </c>
      <c r="M187" s="7" t="str">
        <f t="shared" si="34"/>
        <v>mRNA186: -&gt; E3_1_11_5_mRNA | 0.00292 - (0.0093 * E3_1_11_5_mRNA)</v>
      </c>
      <c r="N187" s="33" t="str">
        <f t="shared" si="35"/>
        <v>Peptide186: E3_1_11_5_mRNA -&gt; E3_1_11_5 | (0.278 * E3_1_11_5_mRNA) - (0.000000278 * E3_1_11_5)</v>
      </c>
    </row>
    <row r="188" spans="1:14" x14ac:dyDescent="0.35">
      <c r="A188" s="1">
        <v>187</v>
      </c>
      <c r="B188" s="1" t="s">
        <v>9947</v>
      </c>
      <c r="C188" s="1" t="str">
        <f t="shared" si="24"/>
        <v>E3_1_11_6_mRNA</v>
      </c>
      <c r="D188" s="1" t="str">
        <f t="shared" si="25"/>
        <v>E3_1_11_6</v>
      </c>
      <c r="E188" s="26" t="str">
        <f t="shared" si="26"/>
        <v>E3_1_11_6_kcat : 13.7</v>
      </c>
      <c r="F188" s="27" t="str">
        <f t="shared" si="27"/>
        <v>E3_1_11_6_km : 1</v>
      </c>
      <c r="G188" s="6" t="str">
        <f t="shared" si="28"/>
        <v>E3_1_11_6_mRNA : E3_1_11_6_mRNA</v>
      </c>
      <c r="H188" s="28" t="str">
        <f t="shared" si="29"/>
        <v>E3_1_11_6 : E3_1_11_6</v>
      </c>
      <c r="I188" s="29" t="str">
        <f t="shared" si="30"/>
        <v>E3_1_11_6_mRNA : 0</v>
      </c>
      <c r="J188" s="30" t="str">
        <f t="shared" si="31"/>
        <v>E3_1_11_6 : 0</v>
      </c>
      <c r="K188" s="31" t="str">
        <f t="shared" si="32"/>
        <v>0.00292 - (0.0093 * E3_1_11_6_mRNA)</v>
      </c>
      <c r="L188" s="32" t="str">
        <f t="shared" si="33"/>
        <v>(0.278 * E3_1_11_6_mRNA) - (0.00000278 * E3_1_11_6)</v>
      </c>
      <c r="M188" s="7" t="str">
        <f t="shared" si="34"/>
        <v>mRNA187: -&gt; E3_1_11_6_mRNA | 0.00292 - (0.0093 * E3_1_11_6_mRNA)</v>
      </c>
      <c r="N188" s="33" t="str">
        <f t="shared" si="35"/>
        <v>Peptide187: E3_1_11_6_mRNA -&gt; E3_1_11_6 | (0.278 * E3_1_11_6_mRNA) - (0.000000278 * E3_1_11_6)</v>
      </c>
    </row>
    <row r="189" spans="1:14" x14ac:dyDescent="0.35">
      <c r="A189" s="1">
        <v>188</v>
      </c>
      <c r="B189" s="1" t="s">
        <v>9948</v>
      </c>
      <c r="C189" s="1" t="str">
        <f t="shared" si="24"/>
        <v>E3_1_2_14_mRNA</v>
      </c>
      <c r="D189" s="1" t="str">
        <f t="shared" si="25"/>
        <v>E3_1_2_14</v>
      </c>
      <c r="E189" s="26" t="str">
        <f t="shared" si="26"/>
        <v>E3_1_2_14_kcat : 13.7</v>
      </c>
      <c r="F189" s="27" t="str">
        <f t="shared" si="27"/>
        <v>E3_1_2_14_km : 1</v>
      </c>
      <c r="G189" s="6" t="str">
        <f t="shared" si="28"/>
        <v>E3_1_2_14_mRNA : E3_1_2_14_mRNA</v>
      </c>
      <c r="H189" s="28" t="str">
        <f t="shared" si="29"/>
        <v>E3_1_2_14 : E3_1_2_14</v>
      </c>
      <c r="I189" s="29" t="str">
        <f t="shared" si="30"/>
        <v>E3_1_2_14_mRNA : 0</v>
      </c>
      <c r="J189" s="30" t="str">
        <f t="shared" si="31"/>
        <v>E3_1_2_14 : 0</v>
      </c>
      <c r="K189" s="31" t="str">
        <f t="shared" si="32"/>
        <v>0.00292 - (0.0093 * E3_1_2_14_mRNA)</v>
      </c>
      <c r="L189" s="32" t="str">
        <f t="shared" si="33"/>
        <v>(0.278 * E3_1_2_14_mRNA) - (0.00000278 * E3_1_2_14)</v>
      </c>
      <c r="M189" s="7" t="str">
        <f t="shared" si="34"/>
        <v>mRNA188: -&gt; E3_1_2_14_mRNA | 0.00292 - (0.0093 * E3_1_2_14_mRNA)</v>
      </c>
      <c r="N189" s="33" t="str">
        <f t="shared" si="35"/>
        <v>Peptide188: E3_1_2_14_mRNA -&gt; E3_1_2_14 | (0.278 * E3_1_2_14_mRNA) - (0.000000278 * E3_1_2_14)</v>
      </c>
    </row>
    <row r="190" spans="1:14" x14ac:dyDescent="0.35">
      <c r="A190" s="1">
        <v>189</v>
      </c>
      <c r="B190" s="1" t="s">
        <v>9949</v>
      </c>
      <c r="C190" s="1" t="str">
        <f t="shared" si="24"/>
        <v>E3_1_2_2_mRNA</v>
      </c>
      <c r="D190" s="1" t="str">
        <f t="shared" si="25"/>
        <v>E3_1_2_2</v>
      </c>
      <c r="E190" s="26" t="str">
        <f t="shared" si="26"/>
        <v>E3_1_2_2_kcat : 13.7</v>
      </c>
      <c r="F190" s="27" t="str">
        <f t="shared" si="27"/>
        <v>E3_1_2_2_km : 1</v>
      </c>
      <c r="G190" s="6" t="str">
        <f t="shared" si="28"/>
        <v>E3_1_2_2_mRNA : E3_1_2_2_mRNA</v>
      </c>
      <c r="H190" s="28" t="str">
        <f t="shared" si="29"/>
        <v>E3_1_2_2 : E3_1_2_2</v>
      </c>
      <c r="I190" s="29" t="str">
        <f t="shared" si="30"/>
        <v>E3_1_2_2_mRNA : 0</v>
      </c>
      <c r="J190" s="30" t="str">
        <f t="shared" si="31"/>
        <v>E3_1_2_2 : 0</v>
      </c>
      <c r="K190" s="31" t="str">
        <f t="shared" si="32"/>
        <v>0.00292 - (0.0093 * E3_1_2_2_mRNA)</v>
      </c>
      <c r="L190" s="32" t="str">
        <f t="shared" si="33"/>
        <v>(0.278 * E3_1_2_2_mRNA) - (0.00000278 * E3_1_2_2)</v>
      </c>
      <c r="M190" s="7" t="str">
        <f t="shared" si="34"/>
        <v>mRNA189: -&gt; E3_1_2_2_mRNA | 0.00292 - (0.0093 * E3_1_2_2_mRNA)</v>
      </c>
      <c r="N190" s="33" t="str">
        <f t="shared" si="35"/>
        <v>Peptide189: E3_1_2_2_mRNA -&gt; E3_1_2_2 | (0.278 * E3_1_2_2_mRNA) - (0.000000278 * E3_1_2_2)</v>
      </c>
    </row>
    <row r="191" spans="1:14" x14ac:dyDescent="0.35">
      <c r="A191" s="1">
        <v>190</v>
      </c>
      <c r="B191" s="1" t="s">
        <v>9950</v>
      </c>
      <c r="C191" s="1" t="str">
        <f t="shared" si="24"/>
        <v>E3_1_21_3_mRNA</v>
      </c>
      <c r="D191" s="1" t="str">
        <f t="shared" si="25"/>
        <v>E3_1_21_3</v>
      </c>
      <c r="E191" s="26" t="str">
        <f t="shared" si="26"/>
        <v>E3_1_21_3_kcat : 13.7</v>
      </c>
      <c r="F191" s="27" t="str">
        <f t="shared" si="27"/>
        <v>E3_1_21_3_km : 1</v>
      </c>
      <c r="G191" s="6" t="str">
        <f t="shared" si="28"/>
        <v>E3_1_21_3_mRNA : E3_1_21_3_mRNA</v>
      </c>
      <c r="H191" s="28" t="str">
        <f t="shared" si="29"/>
        <v>E3_1_21_3 : E3_1_21_3</v>
      </c>
      <c r="I191" s="29" t="str">
        <f t="shared" si="30"/>
        <v>E3_1_21_3_mRNA : 0</v>
      </c>
      <c r="J191" s="30" t="str">
        <f t="shared" si="31"/>
        <v>E3_1_21_3 : 0</v>
      </c>
      <c r="K191" s="31" t="str">
        <f t="shared" si="32"/>
        <v>0.00292 - (0.0093 * E3_1_21_3_mRNA)</v>
      </c>
      <c r="L191" s="32" t="str">
        <f t="shared" si="33"/>
        <v>(0.278 * E3_1_21_3_mRNA) - (0.00000278 * E3_1_21_3)</v>
      </c>
      <c r="M191" s="7" t="str">
        <f t="shared" si="34"/>
        <v>mRNA190: -&gt; E3_1_21_3_mRNA | 0.00292 - (0.0093 * E3_1_21_3_mRNA)</v>
      </c>
      <c r="N191" s="33" t="str">
        <f t="shared" si="35"/>
        <v>Peptide190: E3_1_21_3_mRNA -&gt; E3_1_21_3 | (0.278 * E3_1_21_3_mRNA) - (0.000000278 * E3_1_21_3)</v>
      </c>
    </row>
    <row r="192" spans="1:14" x14ac:dyDescent="0.35">
      <c r="A192" s="1">
        <v>191</v>
      </c>
      <c r="B192" s="1" t="s">
        <v>9951</v>
      </c>
      <c r="C192" s="1" t="str">
        <f t="shared" si="24"/>
        <v>E3_1_26_11_mRNA</v>
      </c>
      <c r="D192" s="1" t="str">
        <f t="shared" si="25"/>
        <v>E3_1_26_11</v>
      </c>
      <c r="E192" s="26" t="str">
        <f t="shared" si="26"/>
        <v>E3_1_26_11_kcat : 13.7</v>
      </c>
      <c r="F192" s="27" t="str">
        <f t="shared" si="27"/>
        <v>E3_1_26_11_km : 1</v>
      </c>
      <c r="G192" s="6" t="str">
        <f t="shared" si="28"/>
        <v>E3_1_26_11_mRNA : E3_1_26_11_mRNA</v>
      </c>
      <c r="H192" s="28" t="str">
        <f t="shared" si="29"/>
        <v>E3_1_26_11 : E3_1_26_11</v>
      </c>
      <c r="I192" s="29" t="str">
        <f t="shared" si="30"/>
        <v>E3_1_26_11_mRNA : 0</v>
      </c>
      <c r="J192" s="30" t="str">
        <f t="shared" si="31"/>
        <v>E3_1_26_11 : 0</v>
      </c>
      <c r="K192" s="31" t="str">
        <f t="shared" si="32"/>
        <v>0.00292 - (0.0093 * E3_1_26_11_mRNA)</v>
      </c>
      <c r="L192" s="32" t="str">
        <f t="shared" si="33"/>
        <v>(0.278 * E3_1_26_11_mRNA) - (0.00000278 * E3_1_26_11)</v>
      </c>
      <c r="M192" s="7" t="str">
        <f t="shared" si="34"/>
        <v>mRNA191: -&gt; E3_1_26_11_mRNA | 0.00292 - (0.0093 * E3_1_26_11_mRNA)</v>
      </c>
      <c r="N192" s="33" t="str">
        <f t="shared" si="35"/>
        <v>Peptide191: E3_1_26_11_mRNA -&gt; E3_1_26_11 | (0.278 * E3_1_26_11_mRNA) - (0.000000278 * E3_1_26_11)</v>
      </c>
    </row>
    <row r="193" spans="1:14" x14ac:dyDescent="0.35">
      <c r="A193" s="1">
        <v>192</v>
      </c>
      <c r="B193" s="1" t="s">
        <v>9952</v>
      </c>
      <c r="C193" s="1" t="str">
        <f t="shared" si="24"/>
        <v>E3_1_26_3_mRNA</v>
      </c>
      <c r="D193" s="1" t="str">
        <f t="shared" si="25"/>
        <v>E3_1_26_3</v>
      </c>
      <c r="E193" s="26" t="str">
        <f t="shared" si="26"/>
        <v>E3_1_26_3_kcat : 13.7</v>
      </c>
      <c r="F193" s="27" t="str">
        <f t="shared" si="27"/>
        <v>E3_1_26_3_km : 1</v>
      </c>
      <c r="G193" s="6" t="str">
        <f t="shared" si="28"/>
        <v>E3_1_26_3_mRNA : E3_1_26_3_mRNA</v>
      </c>
      <c r="H193" s="28" t="str">
        <f t="shared" si="29"/>
        <v>E3_1_26_3 : E3_1_26_3</v>
      </c>
      <c r="I193" s="29" t="str">
        <f t="shared" si="30"/>
        <v>E3_1_26_3_mRNA : 0</v>
      </c>
      <c r="J193" s="30" t="str">
        <f t="shared" si="31"/>
        <v>E3_1_26_3 : 0</v>
      </c>
      <c r="K193" s="31" t="str">
        <f t="shared" si="32"/>
        <v>0.00292 - (0.0093 * E3_1_26_3_mRNA)</v>
      </c>
      <c r="L193" s="32" t="str">
        <f t="shared" si="33"/>
        <v>(0.278 * E3_1_26_3_mRNA) - (0.00000278 * E3_1_26_3)</v>
      </c>
      <c r="M193" s="7" t="str">
        <f t="shared" si="34"/>
        <v>mRNA192: -&gt; E3_1_26_3_mRNA | 0.00292 - (0.0093 * E3_1_26_3_mRNA)</v>
      </c>
      <c r="N193" s="33" t="str">
        <f t="shared" si="35"/>
        <v>Peptide192: E3_1_26_3_mRNA -&gt; E3_1_26_3 | (0.278 * E3_1_26_3_mRNA) - (0.000000278 * E3_1_26_3)</v>
      </c>
    </row>
    <row r="194" spans="1:14" x14ac:dyDescent="0.35">
      <c r="A194" s="1">
        <v>193</v>
      </c>
      <c r="B194" s="1" t="s">
        <v>9953</v>
      </c>
      <c r="C194" s="1" t="str">
        <f t="shared" ref="C194:C257" si="36">CONCATENATE(D194,"_mRNA")</f>
        <v>E3_1_26_4_mRNA</v>
      </c>
      <c r="D194" s="1" t="str">
        <f t="shared" ref="D194:D257" si="37">CONCATENATE("E",B194)</f>
        <v>E3_1_26_4</v>
      </c>
      <c r="E194" s="26" t="str">
        <f t="shared" ref="E194:E257" si="38">CONCATENATE("E",B194,"_kcat : 13.7")</f>
        <v>E3_1_26_4_kcat : 13.7</v>
      </c>
      <c r="F194" s="27" t="str">
        <f t="shared" ref="F194:F257" si="39">CONCATENATE("E",B194,"_km : 1")</f>
        <v>E3_1_26_4_km : 1</v>
      </c>
      <c r="G194" s="6" t="str">
        <f t="shared" ref="G194:G257" si="40">CONCATENATE(C194," : ",C194)</f>
        <v>E3_1_26_4_mRNA : E3_1_26_4_mRNA</v>
      </c>
      <c r="H194" s="28" t="str">
        <f t="shared" ref="H194:H257" si="41">CONCATENATE(D194," : ",D194)</f>
        <v>E3_1_26_4 : E3_1_26_4</v>
      </c>
      <c r="I194" s="29" t="str">
        <f t="shared" ref="I194:I257" si="42">CONCATENATE(C194," : ","0")</f>
        <v>E3_1_26_4_mRNA : 0</v>
      </c>
      <c r="J194" s="30" t="str">
        <f t="shared" ref="J194:J257" si="43">CONCATENATE(D194," : ","0")</f>
        <v>E3_1_26_4 : 0</v>
      </c>
      <c r="K194" s="31" t="str">
        <f t="shared" ref="K194:K257" si="44">CONCATENATE("0.00292 - (0.0093 * ",C194,")")</f>
        <v>0.00292 - (0.0093 * E3_1_26_4_mRNA)</v>
      </c>
      <c r="L194" s="32" t="str">
        <f t="shared" ref="L194:L257" si="45">CONCATENATE("(0.278 * ",C194,")"," - (0.00000278 * ",D194,")")</f>
        <v>(0.278 * E3_1_26_4_mRNA) - (0.00000278 * E3_1_26_4)</v>
      </c>
      <c r="M194" s="7" t="str">
        <f t="shared" ref="M194:M257" si="46">CONCATENATE("mRNA",A194,": -&gt; ",C194," | ","0.00292"," - ","(","0.0093"," * ",C194,")")</f>
        <v>mRNA193: -&gt; E3_1_26_4_mRNA | 0.00292 - (0.0093 * E3_1_26_4_mRNA)</v>
      </c>
      <c r="N194" s="33" t="str">
        <f t="shared" ref="N194:N257" si="47">CONCATENATE("Peptide",A194,": ",C194," -&gt; ",D194," | ","(","0.278"," * ",C194,")"," - ","(","0.000000278"," * ",D194,")")</f>
        <v>Peptide193: E3_1_26_4_mRNA -&gt; E3_1_26_4 | (0.278 * E3_1_26_4_mRNA) - (0.000000278 * E3_1_26_4)</v>
      </c>
    </row>
    <row r="195" spans="1:14" x14ac:dyDescent="0.35">
      <c r="A195" s="1">
        <v>194</v>
      </c>
      <c r="B195" s="1" t="s">
        <v>9954</v>
      </c>
      <c r="C195" s="1" t="str">
        <f t="shared" si="36"/>
        <v>E3_1_26_5_mRNA</v>
      </c>
      <c r="D195" s="1" t="str">
        <f t="shared" si="37"/>
        <v>E3_1_26_5</v>
      </c>
      <c r="E195" s="26" t="str">
        <f t="shared" si="38"/>
        <v>E3_1_26_5_kcat : 13.7</v>
      </c>
      <c r="F195" s="27" t="str">
        <f t="shared" si="39"/>
        <v>E3_1_26_5_km : 1</v>
      </c>
      <c r="G195" s="6" t="str">
        <f t="shared" si="40"/>
        <v>E3_1_26_5_mRNA : E3_1_26_5_mRNA</v>
      </c>
      <c r="H195" s="28" t="str">
        <f t="shared" si="41"/>
        <v>E3_1_26_5 : E3_1_26_5</v>
      </c>
      <c r="I195" s="29" t="str">
        <f t="shared" si="42"/>
        <v>E3_1_26_5_mRNA : 0</v>
      </c>
      <c r="J195" s="30" t="str">
        <f t="shared" si="43"/>
        <v>E3_1_26_5 : 0</v>
      </c>
      <c r="K195" s="31" t="str">
        <f t="shared" si="44"/>
        <v>0.00292 - (0.0093 * E3_1_26_5_mRNA)</v>
      </c>
      <c r="L195" s="32" t="str">
        <f t="shared" si="45"/>
        <v>(0.278 * E3_1_26_5_mRNA) - (0.00000278 * E3_1_26_5)</v>
      </c>
      <c r="M195" s="7" t="str">
        <f t="shared" si="46"/>
        <v>mRNA194: -&gt; E3_1_26_5_mRNA | 0.00292 - (0.0093 * E3_1_26_5_mRNA)</v>
      </c>
      <c r="N195" s="33" t="str">
        <f t="shared" si="47"/>
        <v>Peptide194: E3_1_26_5_mRNA -&gt; E3_1_26_5 | (0.278 * E3_1_26_5_mRNA) - (0.000000278 * E3_1_26_5)</v>
      </c>
    </row>
    <row r="196" spans="1:14" x14ac:dyDescent="0.35">
      <c r="A196" s="1">
        <v>195</v>
      </c>
      <c r="B196" s="1" t="s">
        <v>9955</v>
      </c>
      <c r="C196" s="1" t="str">
        <f t="shared" si="36"/>
        <v>E3_1_3_15_mRNA</v>
      </c>
      <c r="D196" s="1" t="str">
        <f t="shared" si="37"/>
        <v>E3_1_3_15</v>
      </c>
      <c r="E196" s="26" t="str">
        <f t="shared" si="38"/>
        <v>E3_1_3_15_kcat : 13.7</v>
      </c>
      <c r="F196" s="27" t="str">
        <f t="shared" si="39"/>
        <v>E3_1_3_15_km : 1</v>
      </c>
      <c r="G196" s="6" t="str">
        <f t="shared" si="40"/>
        <v>E3_1_3_15_mRNA : E3_1_3_15_mRNA</v>
      </c>
      <c r="H196" s="28" t="str">
        <f t="shared" si="41"/>
        <v>E3_1_3_15 : E3_1_3_15</v>
      </c>
      <c r="I196" s="29" t="str">
        <f t="shared" si="42"/>
        <v>E3_1_3_15_mRNA : 0</v>
      </c>
      <c r="J196" s="30" t="str">
        <f t="shared" si="43"/>
        <v>E3_1_3_15 : 0</v>
      </c>
      <c r="K196" s="31" t="str">
        <f t="shared" si="44"/>
        <v>0.00292 - (0.0093 * E3_1_3_15_mRNA)</v>
      </c>
      <c r="L196" s="32" t="str">
        <f t="shared" si="45"/>
        <v>(0.278 * E3_1_3_15_mRNA) - (0.00000278 * E3_1_3_15)</v>
      </c>
      <c r="M196" s="7" t="str">
        <f t="shared" si="46"/>
        <v>mRNA195: -&gt; E3_1_3_15_mRNA | 0.00292 - (0.0093 * E3_1_3_15_mRNA)</v>
      </c>
      <c r="N196" s="33" t="str">
        <f t="shared" si="47"/>
        <v>Peptide195: E3_1_3_15_mRNA -&gt; E3_1_3_15 | (0.278 * E3_1_3_15_mRNA) - (0.000000278 * E3_1_3_15)</v>
      </c>
    </row>
    <row r="197" spans="1:14" x14ac:dyDescent="0.35">
      <c r="A197" s="1">
        <v>196</v>
      </c>
      <c r="B197" s="1" t="s">
        <v>9956</v>
      </c>
      <c r="C197" s="1" t="str">
        <f t="shared" si="36"/>
        <v>E3_1_3_16_mRNA</v>
      </c>
      <c r="D197" s="1" t="str">
        <f t="shared" si="37"/>
        <v>E3_1_3_16</v>
      </c>
      <c r="E197" s="26" t="str">
        <f t="shared" si="38"/>
        <v>E3_1_3_16_kcat : 13.7</v>
      </c>
      <c r="F197" s="27" t="str">
        <f t="shared" si="39"/>
        <v>E3_1_3_16_km : 1</v>
      </c>
      <c r="G197" s="6" t="str">
        <f t="shared" si="40"/>
        <v>E3_1_3_16_mRNA : E3_1_3_16_mRNA</v>
      </c>
      <c r="H197" s="28" t="str">
        <f t="shared" si="41"/>
        <v>E3_1_3_16 : E3_1_3_16</v>
      </c>
      <c r="I197" s="29" t="str">
        <f t="shared" si="42"/>
        <v>E3_1_3_16_mRNA : 0</v>
      </c>
      <c r="J197" s="30" t="str">
        <f t="shared" si="43"/>
        <v>E3_1_3_16 : 0</v>
      </c>
      <c r="K197" s="31" t="str">
        <f t="shared" si="44"/>
        <v>0.00292 - (0.0093 * E3_1_3_16_mRNA)</v>
      </c>
      <c r="L197" s="32" t="str">
        <f t="shared" si="45"/>
        <v>(0.278 * E3_1_3_16_mRNA) - (0.00000278 * E3_1_3_16)</v>
      </c>
      <c r="M197" s="7" t="str">
        <f t="shared" si="46"/>
        <v>mRNA196: -&gt; E3_1_3_16_mRNA | 0.00292 - (0.0093 * E3_1_3_16_mRNA)</v>
      </c>
      <c r="N197" s="33" t="str">
        <f t="shared" si="47"/>
        <v>Peptide196: E3_1_3_16_mRNA -&gt; E3_1_3_16 | (0.278 * E3_1_3_16_mRNA) - (0.000000278 * E3_1_3_16)</v>
      </c>
    </row>
    <row r="198" spans="1:14" x14ac:dyDescent="0.35">
      <c r="A198" s="1">
        <v>197</v>
      </c>
      <c r="B198" s="1" t="s">
        <v>9957</v>
      </c>
      <c r="C198" s="1" t="str">
        <f t="shared" si="36"/>
        <v>E3_1_3_25_mRNA</v>
      </c>
      <c r="D198" s="1" t="str">
        <f t="shared" si="37"/>
        <v>E3_1_3_25</v>
      </c>
      <c r="E198" s="26" t="str">
        <f t="shared" si="38"/>
        <v>E3_1_3_25_kcat : 13.7</v>
      </c>
      <c r="F198" s="27" t="str">
        <f t="shared" si="39"/>
        <v>E3_1_3_25_km : 1</v>
      </c>
      <c r="G198" s="6" t="str">
        <f t="shared" si="40"/>
        <v>E3_1_3_25_mRNA : E3_1_3_25_mRNA</v>
      </c>
      <c r="H198" s="28" t="str">
        <f t="shared" si="41"/>
        <v>E3_1_3_25 : E3_1_3_25</v>
      </c>
      <c r="I198" s="29" t="str">
        <f t="shared" si="42"/>
        <v>E3_1_3_25_mRNA : 0</v>
      </c>
      <c r="J198" s="30" t="str">
        <f t="shared" si="43"/>
        <v>E3_1_3_25 : 0</v>
      </c>
      <c r="K198" s="31" t="str">
        <f t="shared" si="44"/>
        <v>0.00292 - (0.0093 * E3_1_3_25_mRNA)</v>
      </c>
      <c r="L198" s="32" t="str">
        <f t="shared" si="45"/>
        <v>(0.278 * E3_1_3_25_mRNA) - (0.00000278 * E3_1_3_25)</v>
      </c>
      <c r="M198" s="7" t="str">
        <f t="shared" si="46"/>
        <v>mRNA197: -&gt; E3_1_3_25_mRNA | 0.00292 - (0.0093 * E3_1_3_25_mRNA)</v>
      </c>
      <c r="N198" s="33" t="str">
        <f t="shared" si="47"/>
        <v>Peptide197: E3_1_3_25_mRNA -&gt; E3_1_3_25 | (0.278 * E3_1_3_25_mRNA) - (0.000000278 * E3_1_3_25)</v>
      </c>
    </row>
    <row r="199" spans="1:14" x14ac:dyDescent="0.35">
      <c r="A199" s="1">
        <v>198</v>
      </c>
      <c r="B199" s="1" t="s">
        <v>9958</v>
      </c>
      <c r="C199" s="1" t="str">
        <f t="shared" si="36"/>
        <v>E3_1_3_27_mRNA</v>
      </c>
      <c r="D199" s="1" t="str">
        <f t="shared" si="37"/>
        <v>E3_1_3_27</v>
      </c>
      <c r="E199" s="26" t="str">
        <f t="shared" si="38"/>
        <v>E3_1_3_27_kcat : 13.7</v>
      </c>
      <c r="F199" s="27" t="str">
        <f t="shared" si="39"/>
        <v>E3_1_3_27_km : 1</v>
      </c>
      <c r="G199" s="6" t="str">
        <f t="shared" si="40"/>
        <v>E3_1_3_27_mRNA : E3_1_3_27_mRNA</v>
      </c>
      <c r="H199" s="28" t="str">
        <f t="shared" si="41"/>
        <v>E3_1_3_27 : E3_1_3_27</v>
      </c>
      <c r="I199" s="29" t="str">
        <f t="shared" si="42"/>
        <v>E3_1_3_27_mRNA : 0</v>
      </c>
      <c r="J199" s="30" t="str">
        <f t="shared" si="43"/>
        <v>E3_1_3_27 : 0</v>
      </c>
      <c r="K199" s="31" t="str">
        <f t="shared" si="44"/>
        <v>0.00292 - (0.0093 * E3_1_3_27_mRNA)</v>
      </c>
      <c r="L199" s="32" t="str">
        <f t="shared" si="45"/>
        <v>(0.278 * E3_1_3_27_mRNA) - (0.00000278 * E3_1_3_27)</v>
      </c>
      <c r="M199" s="7" t="str">
        <f t="shared" si="46"/>
        <v>mRNA198: -&gt; E3_1_3_27_mRNA | 0.00292 - (0.0093 * E3_1_3_27_mRNA)</v>
      </c>
      <c r="N199" s="33" t="str">
        <f t="shared" si="47"/>
        <v>Peptide198: E3_1_3_27_mRNA -&gt; E3_1_3_27 | (0.278 * E3_1_3_27_mRNA) - (0.000000278 * E3_1_3_27)</v>
      </c>
    </row>
    <row r="200" spans="1:14" x14ac:dyDescent="0.35">
      <c r="A200" s="1">
        <v>199</v>
      </c>
      <c r="B200" s="1" t="s">
        <v>9959</v>
      </c>
      <c r="C200" s="1" t="str">
        <f t="shared" si="36"/>
        <v>E3_1_3_3_mRNA</v>
      </c>
      <c r="D200" s="1" t="str">
        <f t="shared" si="37"/>
        <v>E3_1_3_3</v>
      </c>
      <c r="E200" s="26" t="str">
        <f t="shared" si="38"/>
        <v>E3_1_3_3_kcat : 13.7</v>
      </c>
      <c r="F200" s="27" t="str">
        <f t="shared" si="39"/>
        <v>E3_1_3_3_km : 1</v>
      </c>
      <c r="G200" s="6" t="str">
        <f t="shared" si="40"/>
        <v>E3_1_3_3_mRNA : E3_1_3_3_mRNA</v>
      </c>
      <c r="H200" s="28" t="str">
        <f t="shared" si="41"/>
        <v>E3_1_3_3 : E3_1_3_3</v>
      </c>
      <c r="I200" s="29" t="str">
        <f t="shared" si="42"/>
        <v>E3_1_3_3_mRNA : 0</v>
      </c>
      <c r="J200" s="30" t="str">
        <f t="shared" si="43"/>
        <v>E3_1_3_3 : 0</v>
      </c>
      <c r="K200" s="31" t="str">
        <f t="shared" si="44"/>
        <v>0.00292 - (0.0093 * E3_1_3_3_mRNA)</v>
      </c>
      <c r="L200" s="32" t="str">
        <f t="shared" si="45"/>
        <v>(0.278 * E3_1_3_3_mRNA) - (0.00000278 * E3_1_3_3)</v>
      </c>
      <c r="M200" s="7" t="str">
        <f t="shared" si="46"/>
        <v>mRNA199: -&gt; E3_1_3_3_mRNA | 0.00292 - (0.0093 * E3_1_3_3_mRNA)</v>
      </c>
      <c r="N200" s="33" t="str">
        <f t="shared" si="47"/>
        <v>Peptide199: E3_1_3_3_mRNA -&gt; E3_1_3_3 | (0.278 * E3_1_3_3_mRNA) - (0.000000278 * E3_1_3_3)</v>
      </c>
    </row>
    <row r="201" spans="1:14" x14ac:dyDescent="0.35">
      <c r="A201" s="1">
        <v>200</v>
      </c>
      <c r="B201" s="1" t="s">
        <v>9960</v>
      </c>
      <c r="C201" s="1" t="str">
        <f t="shared" si="36"/>
        <v>E3_1_3_41_mRNA</v>
      </c>
      <c r="D201" s="1" t="str">
        <f t="shared" si="37"/>
        <v>E3_1_3_41</v>
      </c>
      <c r="E201" s="26" t="str">
        <f t="shared" si="38"/>
        <v>E3_1_3_41_kcat : 13.7</v>
      </c>
      <c r="F201" s="27" t="str">
        <f t="shared" si="39"/>
        <v>E3_1_3_41_km : 1</v>
      </c>
      <c r="G201" s="6" t="str">
        <f t="shared" si="40"/>
        <v>E3_1_3_41_mRNA : E3_1_3_41_mRNA</v>
      </c>
      <c r="H201" s="28" t="str">
        <f t="shared" si="41"/>
        <v>E3_1_3_41 : E3_1_3_41</v>
      </c>
      <c r="I201" s="29" t="str">
        <f t="shared" si="42"/>
        <v>E3_1_3_41_mRNA : 0</v>
      </c>
      <c r="J201" s="30" t="str">
        <f t="shared" si="43"/>
        <v>E3_1_3_41 : 0</v>
      </c>
      <c r="K201" s="31" t="str">
        <f t="shared" si="44"/>
        <v>0.00292 - (0.0093 * E3_1_3_41_mRNA)</v>
      </c>
      <c r="L201" s="32" t="str">
        <f t="shared" si="45"/>
        <v>(0.278 * E3_1_3_41_mRNA) - (0.00000278 * E3_1_3_41)</v>
      </c>
      <c r="M201" s="7" t="str">
        <f t="shared" si="46"/>
        <v>mRNA200: -&gt; E3_1_3_41_mRNA | 0.00292 - (0.0093 * E3_1_3_41_mRNA)</v>
      </c>
      <c r="N201" s="33" t="str">
        <f t="shared" si="47"/>
        <v>Peptide200: E3_1_3_41_mRNA -&gt; E3_1_3_41 | (0.278 * E3_1_3_41_mRNA) - (0.000000278 * E3_1_3_41)</v>
      </c>
    </row>
    <row r="202" spans="1:14" x14ac:dyDescent="0.35">
      <c r="A202" s="1">
        <v>201</v>
      </c>
      <c r="B202" s="1" t="s">
        <v>9961</v>
      </c>
      <c r="C202" s="1" t="str">
        <f t="shared" si="36"/>
        <v>E3_1_3_48_mRNA</v>
      </c>
      <c r="D202" s="1" t="str">
        <f t="shared" si="37"/>
        <v>E3_1_3_48</v>
      </c>
      <c r="E202" s="26" t="str">
        <f t="shared" si="38"/>
        <v>E3_1_3_48_kcat : 13.7</v>
      </c>
      <c r="F202" s="27" t="str">
        <f t="shared" si="39"/>
        <v>E3_1_3_48_km : 1</v>
      </c>
      <c r="G202" s="6" t="str">
        <f t="shared" si="40"/>
        <v>E3_1_3_48_mRNA : E3_1_3_48_mRNA</v>
      </c>
      <c r="H202" s="28" t="str">
        <f t="shared" si="41"/>
        <v>E3_1_3_48 : E3_1_3_48</v>
      </c>
      <c r="I202" s="29" t="str">
        <f t="shared" si="42"/>
        <v>E3_1_3_48_mRNA : 0</v>
      </c>
      <c r="J202" s="30" t="str">
        <f t="shared" si="43"/>
        <v>E3_1_3_48 : 0</v>
      </c>
      <c r="K202" s="31" t="str">
        <f t="shared" si="44"/>
        <v>0.00292 - (0.0093 * E3_1_3_48_mRNA)</v>
      </c>
      <c r="L202" s="32" t="str">
        <f t="shared" si="45"/>
        <v>(0.278 * E3_1_3_48_mRNA) - (0.00000278 * E3_1_3_48)</v>
      </c>
      <c r="M202" s="7" t="str">
        <f t="shared" si="46"/>
        <v>mRNA201: -&gt; E3_1_3_48_mRNA | 0.00292 - (0.0093 * E3_1_3_48_mRNA)</v>
      </c>
      <c r="N202" s="33" t="str">
        <f t="shared" si="47"/>
        <v>Peptide201: E3_1_3_48_mRNA -&gt; E3_1_3_48 | (0.278 * E3_1_3_48_mRNA) - (0.000000278 * E3_1_3_48)</v>
      </c>
    </row>
    <row r="203" spans="1:14" x14ac:dyDescent="0.35">
      <c r="A203" s="1">
        <v>202</v>
      </c>
      <c r="B203" s="1" t="s">
        <v>9962</v>
      </c>
      <c r="C203" s="1" t="str">
        <f t="shared" si="36"/>
        <v>E3_1_3_5_mRNA</v>
      </c>
      <c r="D203" s="1" t="str">
        <f t="shared" si="37"/>
        <v>E3_1_3_5</v>
      </c>
      <c r="E203" s="26" t="str">
        <f t="shared" si="38"/>
        <v>E3_1_3_5_kcat : 13.7</v>
      </c>
      <c r="F203" s="27" t="str">
        <f t="shared" si="39"/>
        <v>E3_1_3_5_km : 1</v>
      </c>
      <c r="G203" s="6" t="str">
        <f t="shared" si="40"/>
        <v>E3_1_3_5_mRNA : E3_1_3_5_mRNA</v>
      </c>
      <c r="H203" s="28" t="str">
        <f t="shared" si="41"/>
        <v>E3_1_3_5 : E3_1_3_5</v>
      </c>
      <c r="I203" s="29" t="str">
        <f t="shared" si="42"/>
        <v>E3_1_3_5_mRNA : 0</v>
      </c>
      <c r="J203" s="30" t="str">
        <f t="shared" si="43"/>
        <v>E3_1_3_5 : 0</v>
      </c>
      <c r="K203" s="31" t="str">
        <f t="shared" si="44"/>
        <v>0.00292 - (0.0093 * E3_1_3_5_mRNA)</v>
      </c>
      <c r="L203" s="32" t="str">
        <f t="shared" si="45"/>
        <v>(0.278 * E3_1_3_5_mRNA) - (0.00000278 * E3_1_3_5)</v>
      </c>
      <c r="M203" s="7" t="str">
        <f t="shared" si="46"/>
        <v>mRNA202: -&gt; E3_1_3_5_mRNA | 0.00292 - (0.0093 * E3_1_3_5_mRNA)</v>
      </c>
      <c r="N203" s="33" t="str">
        <f t="shared" si="47"/>
        <v>Peptide202: E3_1_3_5_mRNA -&gt; E3_1_3_5 | (0.278 * E3_1_3_5_mRNA) - (0.000000278 * E3_1_3_5)</v>
      </c>
    </row>
    <row r="204" spans="1:14" x14ac:dyDescent="0.35">
      <c r="A204" s="1">
        <v>203</v>
      </c>
      <c r="B204" s="1" t="s">
        <v>9963</v>
      </c>
      <c r="C204" s="1" t="str">
        <f t="shared" si="36"/>
        <v>E3_2_1_1_mRNA</v>
      </c>
      <c r="D204" s="1" t="str">
        <f t="shared" si="37"/>
        <v>E3_2_1_1</v>
      </c>
      <c r="E204" s="26" t="str">
        <f t="shared" si="38"/>
        <v>E3_2_1_1_kcat : 13.7</v>
      </c>
      <c r="F204" s="27" t="str">
        <f t="shared" si="39"/>
        <v>E3_2_1_1_km : 1</v>
      </c>
      <c r="G204" s="6" t="str">
        <f t="shared" si="40"/>
        <v>E3_2_1_1_mRNA : E3_2_1_1_mRNA</v>
      </c>
      <c r="H204" s="28" t="str">
        <f t="shared" si="41"/>
        <v>E3_2_1_1 : E3_2_1_1</v>
      </c>
      <c r="I204" s="29" t="str">
        <f t="shared" si="42"/>
        <v>E3_2_1_1_mRNA : 0</v>
      </c>
      <c r="J204" s="30" t="str">
        <f t="shared" si="43"/>
        <v>E3_2_1_1 : 0</v>
      </c>
      <c r="K204" s="31" t="str">
        <f t="shared" si="44"/>
        <v>0.00292 - (0.0093 * E3_2_1_1_mRNA)</v>
      </c>
      <c r="L204" s="32" t="str">
        <f t="shared" si="45"/>
        <v>(0.278 * E3_2_1_1_mRNA) - (0.00000278 * E3_2_1_1)</v>
      </c>
      <c r="M204" s="7" t="str">
        <f t="shared" si="46"/>
        <v>mRNA203: -&gt; E3_2_1_1_mRNA | 0.00292 - (0.0093 * E3_2_1_1_mRNA)</v>
      </c>
      <c r="N204" s="33" t="str">
        <f t="shared" si="47"/>
        <v>Peptide203: E3_2_1_1_mRNA -&gt; E3_2_1_1 | (0.278 * E3_2_1_1_mRNA) - (0.000000278 * E3_2_1_1)</v>
      </c>
    </row>
    <row r="205" spans="1:14" x14ac:dyDescent="0.35">
      <c r="A205" s="1">
        <v>204</v>
      </c>
      <c r="B205" s="1" t="s">
        <v>9964</v>
      </c>
      <c r="C205" s="1" t="str">
        <f t="shared" si="36"/>
        <v>E3_2_1_23_mRNA</v>
      </c>
      <c r="D205" s="1" t="str">
        <f t="shared" si="37"/>
        <v>E3_2_1_23</v>
      </c>
      <c r="E205" s="26" t="str">
        <f t="shared" si="38"/>
        <v>E3_2_1_23_kcat : 13.7</v>
      </c>
      <c r="F205" s="27" t="str">
        <f t="shared" si="39"/>
        <v>E3_2_1_23_km : 1</v>
      </c>
      <c r="G205" s="6" t="str">
        <f t="shared" si="40"/>
        <v>E3_2_1_23_mRNA : E3_2_1_23_mRNA</v>
      </c>
      <c r="H205" s="28" t="str">
        <f t="shared" si="41"/>
        <v>E3_2_1_23 : E3_2_1_23</v>
      </c>
      <c r="I205" s="29" t="str">
        <f t="shared" si="42"/>
        <v>E3_2_1_23_mRNA : 0</v>
      </c>
      <c r="J205" s="30" t="str">
        <f t="shared" si="43"/>
        <v>E3_2_1_23 : 0</v>
      </c>
      <c r="K205" s="31" t="str">
        <f t="shared" si="44"/>
        <v>0.00292 - (0.0093 * E3_2_1_23_mRNA)</v>
      </c>
      <c r="L205" s="32" t="str">
        <f t="shared" si="45"/>
        <v>(0.278 * E3_2_1_23_mRNA) - (0.00000278 * E3_2_1_23)</v>
      </c>
      <c r="M205" s="7" t="str">
        <f t="shared" si="46"/>
        <v>mRNA204: -&gt; E3_2_1_23_mRNA | 0.00292 - (0.0093 * E3_2_1_23_mRNA)</v>
      </c>
      <c r="N205" s="33" t="str">
        <f t="shared" si="47"/>
        <v>Peptide204: E3_2_1_23_mRNA -&gt; E3_2_1_23 | (0.278 * E3_2_1_23_mRNA) - (0.000000278 * E3_2_1_23)</v>
      </c>
    </row>
    <row r="206" spans="1:14" x14ac:dyDescent="0.35">
      <c r="A206" s="1">
        <v>205</v>
      </c>
      <c r="B206" s="1" t="s">
        <v>9965</v>
      </c>
      <c r="C206" s="1" t="str">
        <f t="shared" si="36"/>
        <v>E3_2_1_26_mRNA</v>
      </c>
      <c r="D206" s="1" t="str">
        <f t="shared" si="37"/>
        <v>E3_2_1_26</v>
      </c>
      <c r="E206" s="26" t="str">
        <f t="shared" si="38"/>
        <v>E3_2_1_26_kcat : 13.7</v>
      </c>
      <c r="F206" s="27" t="str">
        <f t="shared" si="39"/>
        <v>E3_2_1_26_km : 1</v>
      </c>
      <c r="G206" s="6" t="str">
        <f t="shared" si="40"/>
        <v>E3_2_1_26_mRNA : E3_2_1_26_mRNA</v>
      </c>
      <c r="H206" s="28" t="str">
        <f t="shared" si="41"/>
        <v>E3_2_1_26 : E3_2_1_26</v>
      </c>
      <c r="I206" s="29" t="str">
        <f t="shared" si="42"/>
        <v>E3_2_1_26_mRNA : 0</v>
      </c>
      <c r="J206" s="30" t="str">
        <f t="shared" si="43"/>
        <v>E3_2_1_26 : 0</v>
      </c>
      <c r="K206" s="31" t="str">
        <f t="shared" si="44"/>
        <v>0.00292 - (0.0093 * E3_2_1_26_mRNA)</v>
      </c>
      <c r="L206" s="32" t="str">
        <f t="shared" si="45"/>
        <v>(0.278 * E3_2_1_26_mRNA) - (0.00000278 * E3_2_1_26)</v>
      </c>
      <c r="M206" s="7" t="str">
        <f t="shared" si="46"/>
        <v>mRNA205: -&gt; E3_2_1_26_mRNA | 0.00292 - (0.0093 * E3_2_1_26_mRNA)</v>
      </c>
      <c r="N206" s="33" t="str">
        <f t="shared" si="47"/>
        <v>Peptide205: E3_2_1_26_mRNA -&gt; E3_2_1_26 | (0.278 * E3_2_1_26_mRNA) - (0.000000278 * E3_2_1_26)</v>
      </c>
    </row>
    <row r="207" spans="1:14" x14ac:dyDescent="0.35">
      <c r="A207" s="1">
        <v>206</v>
      </c>
      <c r="B207" s="1" t="s">
        <v>9966</v>
      </c>
      <c r="C207" s="1" t="str">
        <f t="shared" si="36"/>
        <v>E3_2_1_41_mRNA</v>
      </c>
      <c r="D207" s="1" t="str">
        <f t="shared" si="37"/>
        <v>E3_2_1_41</v>
      </c>
      <c r="E207" s="26" t="str">
        <f t="shared" si="38"/>
        <v>E3_2_1_41_kcat : 13.7</v>
      </c>
      <c r="F207" s="27" t="str">
        <f t="shared" si="39"/>
        <v>E3_2_1_41_km : 1</v>
      </c>
      <c r="G207" s="6" t="str">
        <f t="shared" si="40"/>
        <v>E3_2_1_41_mRNA : E3_2_1_41_mRNA</v>
      </c>
      <c r="H207" s="28" t="str">
        <f t="shared" si="41"/>
        <v>E3_2_1_41 : E3_2_1_41</v>
      </c>
      <c r="I207" s="29" t="str">
        <f t="shared" si="42"/>
        <v>E3_2_1_41_mRNA : 0</v>
      </c>
      <c r="J207" s="30" t="str">
        <f t="shared" si="43"/>
        <v>E3_2_1_41 : 0</v>
      </c>
      <c r="K207" s="31" t="str">
        <f t="shared" si="44"/>
        <v>0.00292 - (0.0093 * E3_2_1_41_mRNA)</v>
      </c>
      <c r="L207" s="32" t="str">
        <f t="shared" si="45"/>
        <v>(0.278 * E3_2_1_41_mRNA) - (0.00000278 * E3_2_1_41)</v>
      </c>
      <c r="M207" s="7" t="str">
        <f t="shared" si="46"/>
        <v>mRNA206: -&gt; E3_2_1_41_mRNA | 0.00292 - (0.0093 * E3_2_1_41_mRNA)</v>
      </c>
      <c r="N207" s="33" t="str">
        <f t="shared" si="47"/>
        <v>Peptide206: E3_2_1_41_mRNA -&gt; E3_2_1_41 | (0.278 * E3_2_1_41_mRNA) - (0.000000278 * E3_2_1_41)</v>
      </c>
    </row>
    <row r="208" spans="1:14" x14ac:dyDescent="0.35">
      <c r="A208" s="1">
        <v>207</v>
      </c>
      <c r="B208" s="1" t="s">
        <v>9967</v>
      </c>
      <c r="C208" s="1" t="str">
        <f t="shared" si="36"/>
        <v>E3_2_1_70_mRNA</v>
      </c>
      <c r="D208" s="1" t="str">
        <f t="shared" si="37"/>
        <v>E3_2_1_70</v>
      </c>
      <c r="E208" s="26" t="str">
        <f t="shared" si="38"/>
        <v>E3_2_1_70_kcat : 13.7</v>
      </c>
      <c r="F208" s="27" t="str">
        <f t="shared" si="39"/>
        <v>E3_2_1_70_km : 1</v>
      </c>
      <c r="G208" s="6" t="str">
        <f t="shared" si="40"/>
        <v>E3_2_1_70_mRNA : E3_2_1_70_mRNA</v>
      </c>
      <c r="H208" s="28" t="str">
        <f t="shared" si="41"/>
        <v>E3_2_1_70 : E3_2_1_70</v>
      </c>
      <c r="I208" s="29" t="str">
        <f t="shared" si="42"/>
        <v>E3_2_1_70_mRNA : 0</v>
      </c>
      <c r="J208" s="30" t="str">
        <f t="shared" si="43"/>
        <v>E3_2_1_70 : 0</v>
      </c>
      <c r="K208" s="31" t="str">
        <f t="shared" si="44"/>
        <v>0.00292 - (0.0093 * E3_2_1_70_mRNA)</v>
      </c>
      <c r="L208" s="32" t="str">
        <f t="shared" si="45"/>
        <v>(0.278 * E3_2_1_70_mRNA) - (0.00000278 * E3_2_1_70)</v>
      </c>
      <c r="M208" s="7" t="str">
        <f t="shared" si="46"/>
        <v>mRNA207: -&gt; E3_2_1_70_mRNA | 0.00292 - (0.0093 * E3_2_1_70_mRNA)</v>
      </c>
      <c r="N208" s="33" t="str">
        <f t="shared" si="47"/>
        <v>Peptide207: E3_2_1_70_mRNA -&gt; E3_2_1_70 | (0.278 * E3_2_1_70_mRNA) - (0.000000278 * E3_2_1_70)</v>
      </c>
    </row>
    <row r="209" spans="1:14" x14ac:dyDescent="0.35">
      <c r="A209" s="1">
        <v>208</v>
      </c>
      <c r="B209" s="1" t="s">
        <v>9968</v>
      </c>
      <c r="C209" s="1" t="str">
        <f t="shared" si="36"/>
        <v>E3_2_1_80_mRNA</v>
      </c>
      <c r="D209" s="1" t="str">
        <f t="shared" si="37"/>
        <v>E3_2_1_80</v>
      </c>
      <c r="E209" s="26" t="str">
        <f t="shared" si="38"/>
        <v>E3_2_1_80_kcat : 13.7</v>
      </c>
      <c r="F209" s="27" t="str">
        <f t="shared" si="39"/>
        <v>E3_2_1_80_km : 1</v>
      </c>
      <c r="G209" s="6" t="str">
        <f t="shared" si="40"/>
        <v>E3_2_1_80_mRNA : E3_2_1_80_mRNA</v>
      </c>
      <c r="H209" s="28" t="str">
        <f t="shared" si="41"/>
        <v>E3_2_1_80 : E3_2_1_80</v>
      </c>
      <c r="I209" s="29" t="str">
        <f t="shared" si="42"/>
        <v>E3_2_1_80_mRNA : 0</v>
      </c>
      <c r="J209" s="30" t="str">
        <f t="shared" si="43"/>
        <v>E3_2_1_80 : 0</v>
      </c>
      <c r="K209" s="31" t="str">
        <f t="shared" si="44"/>
        <v>0.00292 - (0.0093 * E3_2_1_80_mRNA)</v>
      </c>
      <c r="L209" s="32" t="str">
        <f t="shared" si="45"/>
        <v>(0.278 * E3_2_1_80_mRNA) - (0.00000278 * E3_2_1_80)</v>
      </c>
      <c r="M209" s="7" t="str">
        <f t="shared" si="46"/>
        <v>mRNA208: -&gt; E3_2_1_80_mRNA | 0.00292 - (0.0093 * E3_2_1_80_mRNA)</v>
      </c>
      <c r="N209" s="33" t="str">
        <f t="shared" si="47"/>
        <v>Peptide208: E3_2_1_80_mRNA -&gt; E3_2_1_80 | (0.278 * E3_2_1_80_mRNA) - (0.000000278 * E3_2_1_80)</v>
      </c>
    </row>
    <row r="210" spans="1:14" x14ac:dyDescent="0.35">
      <c r="A210" s="1">
        <v>209</v>
      </c>
      <c r="B210" s="1" t="s">
        <v>9969</v>
      </c>
      <c r="C210" s="1" t="str">
        <f t="shared" si="36"/>
        <v>E3_2_1_86_mRNA</v>
      </c>
      <c r="D210" s="1" t="str">
        <f t="shared" si="37"/>
        <v>E3_2_1_86</v>
      </c>
      <c r="E210" s="26" t="str">
        <f t="shared" si="38"/>
        <v>E3_2_1_86_kcat : 13.7</v>
      </c>
      <c r="F210" s="27" t="str">
        <f t="shared" si="39"/>
        <v>E3_2_1_86_km : 1</v>
      </c>
      <c r="G210" s="6" t="str">
        <f t="shared" si="40"/>
        <v>E3_2_1_86_mRNA : E3_2_1_86_mRNA</v>
      </c>
      <c r="H210" s="28" t="str">
        <f t="shared" si="41"/>
        <v>E3_2_1_86 : E3_2_1_86</v>
      </c>
      <c r="I210" s="29" t="str">
        <f t="shared" si="42"/>
        <v>E3_2_1_86_mRNA : 0</v>
      </c>
      <c r="J210" s="30" t="str">
        <f t="shared" si="43"/>
        <v>E3_2_1_86 : 0</v>
      </c>
      <c r="K210" s="31" t="str">
        <f t="shared" si="44"/>
        <v>0.00292 - (0.0093 * E3_2_1_86_mRNA)</v>
      </c>
      <c r="L210" s="32" t="str">
        <f t="shared" si="45"/>
        <v>(0.278 * E3_2_1_86_mRNA) - (0.00000278 * E3_2_1_86)</v>
      </c>
      <c r="M210" s="7" t="str">
        <f t="shared" si="46"/>
        <v>mRNA209: -&gt; E3_2_1_86_mRNA | 0.00292 - (0.0093 * E3_2_1_86_mRNA)</v>
      </c>
      <c r="N210" s="33" t="str">
        <f t="shared" si="47"/>
        <v>Peptide209: E3_2_1_86_mRNA -&gt; E3_2_1_86 | (0.278 * E3_2_1_86_mRNA) - (0.000000278 * E3_2_1_86)</v>
      </c>
    </row>
    <row r="211" spans="1:14" x14ac:dyDescent="0.35">
      <c r="A211" s="1">
        <v>210</v>
      </c>
      <c r="B211" s="1" t="s">
        <v>9970</v>
      </c>
      <c r="C211" s="1" t="str">
        <f t="shared" si="36"/>
        <v>E3_2_1_93_mRNA</v>
      </c>
      <c r="D211" s="1" t="str">
        <f t="shared" si="37"/>
        <v>E3_2_1_93</v>
      </c>
      <c r="E211" s="26" t="str">
        <f t="shared" si="38"/>
        <v>E3_2_1_93_kcat : 13.7</v>
      </c>
      <c r="F211" s="27" t="str">
        <f t="shared" si="39"/>
        <v>E3_2_1_93_km : 1</v>
      </c>
      <c r="G211" s="6" t="str">
        <f t="shared" si="40"/>
        <v>E3_2_1_93_mRNA : E3_2_1_93_mRNA</v>
      </c>
      <c r="H211" s="28" t="str">
        <f t="shared" si="41"/>
        <v>E3_2_1_93 : E3_2_1_93</v>
      </c>
      <c r="I211" s="29" t="str">
        <f t="shared" si="42"/>
        <v>E3_2_1_93_mRNA : 0</v>
      </c>
      <c r="J211" s="30" t="str">
        <f t="shared" si="43"/>
        <v>E3_2_1_93 : 0</v>
      </c>
      <c r="K211" s="31" t="str">
        <f t="shared" si="44"/>
        <v>0.00292 - (0.0093 * E3_2_1_93_mRNA)</v>
      </c>
      <c r="L211" s="32" t="str">
        <f t="shared" si="45"/>
        <v>(0.278 * E3_2_1_93_mRNA) - (0.00000278 * E3_2_1_93)</v>
      </c>
      <c r="M211" s="7" t="str">
        <f t="shared" si="46"/>
        <v>mRNA210: -&gt; E3_2_1_93_mRNA | 0.00292 - (0.0093 * E3_2_1_93_mRNA)</v>
      </c>
      <c r="N211" s="33" t="str">
        <f t="shared" si="47"/>
        <v>Peptide210: E3_2_1_93_mRNA -&gt; E3_2_1_93 | (0.278 * E3_2_1_93_mRNA) - (0.000000278 * E3_2_1_93)</v>
      </c>
    </row>
    <row r="212" spans="1:14" x14ac:dyDescent="0.35">
      <c r="A212" s="1">
        <v>211</v>
      </c>
      <c r="B212" s="1" t="s">
        <v>9971</v>
      </c>
      <c r="C212" s="1" t="str">
        <f t="shared" si="36"/>
        <v>E3_2_2_20_mRNA</v>
      </c>
      <c r="D212" s="1" t="str">
        <f t="shared" si="37"/>
        <v>E3_2_2_20</v>
      </c>
      <c r="E212" s="26" t="str">
        <f t="shared" si="38"/>
        <v>E3_2_2_20_kcat : 13.7</v>
      </c>
      <c r="F212" s="27" t="str">
        <f t="shared" si="39"/>
        <v>E3_2_2_20_km : 1</v>
      </c>
      <c r="G212" s="6" t="str">
        <f t="shared" si="40"/>
        <v>E3_2_2_20_mRNA : E3_2_2_20_mRNA</v>
      </c>
      <c r="H212" s="28" t="str">
        <f t="shared" si="41"/>
        <v>E3_2_2_20 : E3_2_2_20</v>
      </c>
      <c r="I212" s="29" t="str">
        <f t="shared" si="42"/>
        <v>E3_2_2_20_mRNA : 0</v>
      </c>
      <c r="J212" s="30" t="str">
        <f t="shared" si="43"/>
        <v>E3_2_2_20 : 0</v>
      </c>
      <c r="K212" s="31" t="str">
        <f t="shared" si="44"/>
        <v>0.00292 - (0.0093 * E3_2_2_20_mRNA)</v>
      </c>
      <c r="L212" s="32" t="str">
        <f t="shared" si="45"/>
        <v>(0.278 * E3_2_2_20_mRNA) - (0.00000278 * E3_2_2_20)</v>
      </c>
      <c r="M212" s="7" t="str">
        <f t="shared" si="46"/>
        <v>mRNA211: -&gt; E3_2_2_20_mRNA | 0.00292 - (0.0093 * E3_2_2_20_mRNA)</v>
      </c>
      <c r="N212" s="33" t="str">
        <f t="shared" si="47"/>
        <v>Peptide211: E3_2_2_20_mRNA -&gt; E3_2_2_20 | (0.278 * E3_2_2_20_mRNA) - (0.000000278 * E3_2_2_20)</v>
      </c>
    </row>
    <row r="213" spans="1:14" x14ac:dyDescent="0.35">
      <c r="A213" s="1">
        <v>212</v>
      </c>
      <c r="B213" s="1" t="s">
        <v>9972</v>
      </c>
      <c r="C213" s="1" t="str">
        <f t="shared" si="36"/>
        <v>E3_2_2_9_mRNA</v>
      </c>
      <c r="D213" s="1" t="str">
        <f t="shared" si="37"/>
        <v>E3_2_2_9</v>
      </c>
      <c r="E213" s="26" t="str">
        <f t="shared" si="38"/>
        <v>E3_2_2_9_kcat : 13.7</v>
      </c>
      <c r="F213" s="27" t="str">
        <f t="shared" si="39"/>
        <v>E3_2_2_9_km : 1</v>
      </c>
      <c r="G213" s="6" t="str">
        <f t="shared" si="40"/>
        <v>E3_2_2_9_mRNA : E3_2_2_9_mRNA</v>
      </c>
      <c r="H213" s="28" t="str">
        <f t="shared" si="41"/>
        <v>E3_2_2_9 : E3_2_2_9</v>
      </c>
      <c r="I213" s="29" t="str">
        <f t="shared" si="42"/>
        <v>E3_2_2_9_mRNA : 0</v>
      </c>
      <c r="J213" s="30" t="str">
        <f t="shared" si="43"/>
        <v>E3_2_2_9 : 0</v>
      </c>
      <c r="K213" s="31" t="str">
        <f t="shared" si="44"/>
        <v>0.00292 - (0.0093 * E3_2_2_9_mRNA)</v>
      </c>
      <c r="L213" s="32" t="str">
        <f t="shared" si="45"/>
        <v>(0.278 * E3_2_2_9_mRNA) - (0.00000278 * E3_2_2_9)</v>
      </c>
      <c r="M213" s="7" t="str">
        <f t="shared" si="46"/>
        <v>mRNA212: -&gt; E3_2_2_9_mRNA | 0.00292 - (0.0093 * E3_2_2_9_mRNA)</v>
      </c>
      <c r="N213" s="33" t="str">
        <f t="shared" si="47"/>
        <v>Peptide212: E3_2_2_9_mRNA -&gt; E3_2_2_9 | (0.278 * E3_2_2_9_mRNA) - (0.000000278 * E3_2_2_9)</v>
      </c>
    </row>
    <row r="214" spans="1:14" x14ac:dyDescent="0.35">
      <c r="A214" s="1">
        <v>213</v>
      </c>
      <c r="B214" s="1" t="s">
        <v>9973</v>
      </c>
      <c r="C214" s="1" t="str">
        <f t="shared" si="36"/>
        <v>E3_4_11_18_mRNA</v>
      </c>
      <c r="D214" s="1" t="str">
        <f t="shared" si="37"/>
        <v>E3_4_11_18</v>
      </c>
      <c r="E214" s="26" t="str">
        <f t="shared" si="38"/>
        <v>E3_4_11_18_kcat : 13.7</v>
      </c>
      <c r="F214" s="27" t="str">
        <f t="shared" si="39"/>
        <v>E3_4_11_18_km : 1</v>
      </c>
      <c r="G214" s="6" t="str">
        <f t="shared" si="40"/>
        <v>E3_4_11_18_mRNA : E3_4_11_18_mRNA</v>
      </c>
      <c r="H214" s="28" t="str">
        <f t="shared" si="41"/>
        <v>E3_4_11_18 : E3_4_11_18</v>
      </c>
      <c r="I214" s="29" t="str">
        <f t="shared" si="42"/>
        <v>E3_4_11_18_mRNA : 0</v>
      </c>
      <c r="J214" s="30" t="str">
        <f t="shared" si="43"/>
        <v>E3_4_11_18 : 0</v>
      </c>
      <c r="K214" s="31" t="str">
        <f t="shared" si="44"/>
        <v>0.00292 - (0.0093 * E3_4_11_18_mRNA)</v>
      </c>
      <c r="L214" s="32" t="str">
        <f t="shared" si="45"/>
        <v>(0.278 * E3_4_11_18_mRNA) - (0.00000278 * E3_4_11_18)</v>
      </c>
      <c r="M214" s="7" t="str">
        <f t="shared" si="46"/>
        <v>mRNA213: -&gt; E3_4_11_18_mRNA | 0.00292 - (0.0093 * E3_4_11_18_mRNA)</v>
      </c>
      <c r="N214" s="33" t="str">
        <f t="shared" si="47"/>
        <v>Peptide213: E3_4_11_18_mRNA -&gt; E3_4_11_18 | (0.278 * E3_4_11_18_mRNA) - (0.000000278 * E3_4_11_18)</v>
      </c>
    </row>
    <row r="215" spans="1:14" x14ac:dyDescent="0.35">
      <c r="A215" s="1">
        <v>214</v>
      </c>
      <c r="B215" s="1" t="s">
        <v>9974</v>
      </c>
      <c r="C215" s="1" t="str">
        <f t="shared" si="36"/>
        <v>E3_4_11_2_mRNA</v>
      </c>
      <c r="D215" s="1" t="str">
        <f t="shared" si="37"/>
        <v>E3_4_11_2</v>
      </c>
      <c r="E215" s="26" t="str">
        <f t="shared" si="38"/>
        <v>E3_4_11_2_kcat : 13.7</v>
      </c>
      <c r="F215" s="27" t="str">
        <f t="shared" si="39"/>
        <v>E3_4_11_2_km : 1</v>
      </c>
      <c r="G215" s="6" t="str">
        <f t="shared" si="40"/>
        <v>E3_4_11_2_mRNA : E3_4_11_2_mRNA</v>
      </c>
      <c r="H215" s="28" t="str">
        <f t="shared" si="41"/>
        <v>E3_4_11_2 : E3_4_11_2</v>
      </c>
      <c r="I215" s="29" t="str">
        <f t="shared" si="42"/>
        <v>E3_4_11_2_mRNA : 0</v>
      </c>
      <c r="J215" s="30" t="str">
        <f t="shared" si="43"/>
        <v>E3_4_11_2 : 0</v>
      </c>
      <c r="K215" s="31" t="str">
        <f t="shared" si="44"/>
        <v>0.00292 - (0.0093 * E3_4_11_2_mRNA)</v>
      </c>
      <c r="L215" s="32" t="str">
        <f t="shared" si="45"/>
        <v>(0.278 * E3_4_11_2_mRNA) - (0.00000278 * E3_4_11_2)</v>
      </c>
      <c r="M215" s="7" t="str">
        <f t="shared" si="46"/>
        <v>mRNA214: -&gt; E3_4_11_2_mRNA | 0.00292 - (0.0093 * E3_4_11_2_mRNA)</v>
      </c>
      <c r="N215" s="33" t="str">
        <f t="shared" si="47"/>
        <v>Peptide214: E3_4_11_2_mRNA -&gt; E3_4_11_2 | (0.278 * E3_4_11_2_mRNA) - (0.000000278 * E3_4_11_2)</v>
      </c>
    </row>
    <row r="216" spans="1:14" x14ac:dyDescent="0.35">
      <c r="A216" s="1">
        <v>215</v>
      </c>
      <c r="B216" s="1" t="s">
        <v>9975</v>
      </c>
      <c r="C216" s="1" t="str">
        <f t="shared" si="36"/>
        <v>E3_4_11_4_mRNA</v>
      </c>
      <c r="D216" s="1" t="str">
        <f t="shared" si="37"/>
        <v>E3_4_11_4</v>
      </c>
      <c r="E216" s="26" t="str">
        <f t="shared" si="38"/>
        <v>E3_4_11_4_kcat : 13.7</v>
      </c>
      <c r="F216" s="27" t="str">
        <f t="shared" si="39"/>
        <v>E3_4_11_4_km : 1</v>
      </c>
      <c r="G216" s="6" t="str">
        <f t="shared" si="40"/>
        <v>E3_4_11_4_mRNA : E3_4_11_4_mRNA</v>
      </c>
      <c r="H216" s="28" t="str">
        <f t="shared" si="41"/>
        <v>E3_4_11_4 : E3_4_11_4</v>
      </c>
      <c r="I216" s="29" t="str">
        <f t="shared" si="42"/>
        <v>E3_4_11_4_mRNA : 0</v>
      </c>
      <c r="J216" s="30" t="str">
        <f t="shared" si="43"/>
        <v>E3_4_11_4 : 0</v>
      </c>
      <c r="K216" s="31" t="str">
        <f t="shared" si="44"/>
        <v>0.00292 - (0.0093 * E3_4_11_4_mRNA)</v>
      </c>
      <c r="L216" s="32" t="str">
        <f t="shared" si="45"/>
        <v>(0.278 * E3_4_11_4_mRNA) - (0.00000278 * E3_4_11_4)</v>
      </c>
      <c r="M216" s="7" t="str">
        <f t="shared" si="46"/>
        <v>mRNA215: -&gt; E3_4_11_4_mRNA | 0.00292 - (0.0093 * E3_4_11_4_mRNA)</v>
      </c>
      <c r="N216" s="33" t="str">
        <f t="shared" si="47"/>
        <v>Peptide215: E3_4_11_4_mRNA -&gt; E3_4_11_4 | (0.278 * E3_4_11_4_mRNA) - (0.000000278 * E3_4_11_4)</v>
      </c>
    </row>
    <row r="217" spans="1:14" x14ac:dyDescent="0.35">
      <c r="A217" s="1">
        <v>216</v>
      </c>
      <c r="B217" s="1" t="s">
        <v>9976</v>
      </c>
      <c r="C217" s="1" t="str">
        <f t="shared" si="36"/>
        <v>E3_4_11_7_mRNA</v>
      </c>
      <c r="D217" s="1" t="str">
        <f t="shared" si="37"/>
        <v>E3_4_11_7</v>
      </c>
      <c r="E217" s="26" t="str">
        <f t="shared" si="38"/>
        <v>E3_4_11_7_kcat : 13.7</v>
      </c>
      <c r="F217" s="27" t="str">
        <f t="shared" si="39"/>
        <v>E3_4_11_7_km : 1</v>
      </c>
      <c r="G217" s="6" t="str">
        <f t="shared" si="40"/>
        <v>E3_4_11_7_mRNA : E3_4_11_7_mRNA</v>
      </c>
      <c r="H217" s="28" t="str">
        <f t="shared" si="41"/>
        <v>E3_4_11_7 : E3_4_11_7</v>
      </c>
      <c r="I217" s="29" t="str">
        <f t="shared" si="42"/>
        <v>E3_4_11_7_mRNA : 0</v>
      </c>
      <c r="J217" s="30" t="str">
        <f t="shared" si="43"/>
        <v>E3_4_11_7 : 0</v>
      </c>
      <c r="K217" s="31" t="str">
        <f t="shared" si="44"/>
        <v>0.00292 - (0.0093 * E3_4_11_7_mRNA)</v>
      </c>
      <c r="L217" s="32" t="str">
        <f t="shared" si="45"/>
        <v>(0.278 * E3_4_11_7_mRNA) - (0.00000278 * E3_4_11_7)</v>
      </c>
      <c r="M217" s="7" t="str">
        <f t="shared" si="46"/>
        <v>mRNA216: -&gt; E3_4_11_7_mRNA | 0.00292 - (0.0093 * E3_4_11_7_mRNA)</v>
      </c>
      <c r="N217" s="33" t="str">
        <f t="shared" si="47"/>
        <v>Peptide216: E3_4_11_7_mRNA -&gt; E3_4_11_7 | (0.278 * E3_4_11_7_mRNA) - (0.000000278 * E3_4_11_7)</v>
      </c>
    </row>
    <row r="218" spans="1:14" x14ac:dyDescent="0.35">
      <c r="A218" s="1">
        <v>217</v>
      </c>
      <c r="B218" s="1" t="s">
        <v>9977</v>
      </c>
      <c r="C218" s="1" t="str">
        <f t="shared" si="36"/>
        <v>E3_4_13_9_mRNA</v>
      </c>
      <c r="D218" s="1" t="str">
        <f t="shared" si="37"/>
        <v>E3_4_13_9</v>
      </c>
      <c r="E218" s="26" t="str">
        <f t="shared" si="38"/>
        <v>E3_4_13_9_kcat : 13.7</v>
      </c>
      <c r="F218" s="27" t="str">
        <f t="shared" si="39"/>
        <v>E3_4_13_9_km : 1</v>
      </c>
      <c r="G218" s="6" t="str">
        <f t="shared" si="40"/>
        <v>E3_4_13_9_mRNA : E3_4_13_9_mRNA</v>
      </c>
      <c r="H218" s="28" t="str">
        <f t="shared" si="41"/>
        <v>E3_4_13_9 : E3_4_13_9</v>
      </c>
      <c r="I218" s="29" t="str">
        <f t="shared" si="42"/>
        <v>E3_4_13_9_mRNA : 0</v>
      </c>
      <c r="J218" s="30" t="str">
        <f t="shared" si="43"/>
        <v>E3_4_13_9 : 0</v>
      </c>
      <c r="K218" s="31" t="str">
        <f t="shared" si="44"/>
        <v>0.00292 - (0.0093 * E3_4_13_9_mRNA)</v>
      </c>
      <c r="L218" s="32" t="str">
        <f t="shared" si="45"/>
        <v>(0.278 * E3_4_13_9_mRNA) - (0.00000278 * E3_4_13_9)</v>
      </c>
      <c r="M218" s="7" t="str">
        <f t="shared" si="46"/>
        <v>mRNA217: -&gt; E3_4_13_9_mRNA | 0.00292 - (0.0093 * E3_4_13_9_mRNA)</v>
      </c>
      <c r="N218" s="33" t="str">
        <f t="shared" si="47"/>
        <v>Peptide217: E3_4_13_9_mRNA -&gt; E3_4_13_9 | (0.278 * E3_4_13_9_mRNA) - (0.000000278 * E3_4_13_9)</v>
      </c>
    </row>
    <row r="219" spans="1:14" x14ac:dyDescent="0.35">
      <c r="A219" s="1">
        <v>218</v>
      </c>
      <c r="B219" s="1" t="s">
        <v>9978</v>
      </c>
      <c r="C219" s="1" t="str">
        <f t="shared" si="36"/>
        <v>E3_4_14_11_mRNA</v>
      </c>
      <c r="D219" s="1" t="str">
        <f t="shared" si="37"/>
        <v>E3_4_14_11</v>
      </c>
      <c r="E219" s="26" t="str">
        <f t="shared" si="38"/>
        <v>E3_4_14_11_kcat : 13.7</v>
      </c>
      <c r="F219" s="27" t="str">
        <f t="shared" si="39"/>
        <v>E3_4_14_11_km : 1</v>
      </c>
      <c r="G219" s="6" t="str">
        <f t="shared" si="40"/>
        <v>E3_4_14_11_mRNA : E3_4_14_11_mRNA</v>
      </c>
      <c r="H219" s="28" t="str">
        <f t="shared" si="41"/>
        <v>E3_4_14_11 : E3_4_14_11</v>
      </c>
      <c r="I219" s="29" t="str">
        <f t="shared" si="42"/>
        <v>E3_4_14_11_mRNA : 0</v>
      </c>
      <c r="J219" s="30" t="str">
        <f t="shared" si="43"/>
        <v>E3_4_14_11 : 0</v>
      </c>
      <c r="K219" s="31" t="str">
        <f t="shared" si="44"/>
        <v>0.00292 - (0.0093 * E3_4_14_11_mRNA)</v>
      </c>
      <c r="L219" s="32" t="str">
        <f t="shared" si="45"/>
        <v>(0.278 * E3_4_14_11_mRNA) - (0.00000278 * E3_4_14_11)</v>
      </c>
      <c r="M219" s="7" t="str">
        <f t="shared" si="46"/>
        <v>mRNA218: -&gt; E3_4_14_11_mRNA | 0.00292 - (0.0093 * E3_4_14_11_mRNA)</v>
      </c>
      <c r="N219" s="33" t="str">
        <f t="shared" si="47"/>
        <v>Peptide218: E3_4_14_11_mRNA -&gt; E3_4_14_11 | (0.278 * E3_4_14_11_mRNA) - (0.000000278 * E3_4_14_11)</v>
      </c>
    </row>
    <row r="220" spans="1:14" x14ac:dyDescent="0.35">
      <c r="A220" s="1">
        <v>219</v>
      </c>
      <c r="B220" s="1" t="s">
        <v>9979</v>
      </c>
      <c r="C220" s="1" t="str">
        <f t="shared" si="36"/>
        <v>E3_4_16_4_mRNA</v>
      </c>
      <c r="D220" s="1" t="str">
        <f t="shared" si="37"/>
        <v>E3_4_16_4</v>
      </c>
      <c r="E220" s="26" t="str">
        <f t="shared" si="38"/>
        <v>E3_4_16_4_kcat : 13.7</v>
      </c>
      <c r="F220" s="27" t="str">
        <f t="shared" si="39"/>
        <v>E3_4_16_4_km : 1</v>
      </c>
      <c r="G220" s="6" t="str">
        <f t="shared" si="40"/>
        <v>E3_4_16_4_mRNA : E3_4_16_4_mRNA</v>
      </c>
      <c r="H220" s="28" t="str">
        <f t="shared" si="41"/>
        <v>E3_4_16_4 : E3_4_16_4</v>
      </c>
      <c r="I220" s="29" t="str">
        <f t="shared" si="42"/>
        <v>E3_4_16_4_mRNA : 0</v>
      </c>
      <c r="J220" s="30" t="str">
        <f t="shared" si="43"/>
        <v>E3_4_16_4 : 0</v>
      </c>
      <c r="K220" s="31" t="str">
        <f t="shared" si="44"/>
        <v>0.00292 - (0.0093 * E3_4_16_4_mRNA)</v>
      </c>
      <c r="L220" s="32" t="str">
        <f t="shared" si="45"/>
        <v>(0.278 * E3_4_16_4_mRNA) - (0.00000278 * E3_4_16_4)</v>
      </c>
      <c r="M220" s="7" t="str">
        <f t="shared" si="46"/>
        <v>mRNA219: -&gt; E3_4_16_4_mRNA | 0.00292 - (0.0093 * E3_4_16_4_mRNA)</v>
      </c>
      <c r="N220" s="33" t="str">
        <f t="shared" si="47"/>
        <v>Peptide219: E3_4_16_4_mRNA -&gt; E3_4_16_4 | (0.278 * E3_4_16_4_mRNA) - (0.000000278 * E3_4_16_4)</v>
      </c>
    </row>
    <row r="221" spans="1:14" x14ac:dyDescent="0.35">
      <c r="A221" s="1">
        <v>220</v>
      </c>
      <c r="B221" s="1" t="s">
        <v>9980</v>
      </c>
      <c r="C221" s="1" t="str">
        <f t="shared" si="36"/>
        <v>E3_4_21_53_mRNA</v>
      </c>
      <c r="D221" s="1" t="str">
        <f t="shared" si="37"/>
        <v>E3_4_21_53</v>
      </c>
      <c r="E221" s="26" t="str">
        <f t="shared" si="38"/>
        <v>E3_4_21_53_kcat : 13.7</v>
      </c>
      <c r="F221" s="27" t="str">
        <f t="shared" si="39"/>
        <v>E3_4_21_53_km : 1</v>
      </c>
      <c r="G221" s="6" t="str">
        <f t="shared" si="40"/>
        <v>E3_4_21_53_mRNA : E3_4_21_53_mRNA</v>
      </c>
      <c r="H221" s="28" t="str">
        <f t="shared" si="41"/>
        <v>E3_4_21_53 : E3_4_21_53</v>
      </c>
      <c r="I221" s="29" t="str">
        <f t="shared" si="42"/>
        <v>E3_4_21_53_mRNA : 0</v>
      </c>
      <c r="J221" s="30" t="str">
        <f t="shared" si="43"/>
        <v>E3_4_21_53 : 0</v>
      </c>
      <c r="K221" s="31" t="str">
        <f t="shared" si="44"/>
        <v>0.00292 - (0.0093 * E3_4_21_53_mRNA)</v>
      </c>
      <c r="L221" s="32" t="str">
        <f t="shared" si="45"/>
        <v>(0.278 * E3_4_21_53_mRNA) - (0.00000278 * E3_4_21_53)</v>
      </c>
      <c r="M221" s="7" t="str">
        <f t="shared" si="46"/>
        <v>mRNA220: -&gt; E3_4_21_53_mRNA | 0.00292 - (0.0093 * E3_4_21_53_mRNA)</v>
      </c>
      <c r="N221" s="33" t="str">
        <f t="shared" si="47"/>
        <v>Peptide220: E3_4_21_53_mRNA -&gt; E3_4_21_53 | (0.278 * E3_4_21_53_mRNA) - (0.000000278 * E3_4_21_53)</v>
      </c>
    </row>
    <row r="222" spans="1:14" x14ac:dyDescent="0.35">
      <c r="A222" s="1">
        <v>221</v>
      </c>
      <c r="B222" s="1" t="s">
        <v>9981</v>
      </c>
      <c r="C222" s="1" t="str">
        <f t="shared" si="36"/>
        <v>E3_4_21_89_mRNA</v>
      </c>
      <c r="D222" s="1" t="str">
        <f t="shared" si="37"/>
        <v>E3_4_21_89</v>
      </c>
      <c r="E222" s="26" t="str">
        <f t="shared" si="38"/>
        <v>E3_4_21_89_kcat : 13.7</v>
      </c>
      <c r="F222" s="27" t="str">
        <f t="shared" si="39"/>
        <v>E3_4_21_89_km : 1</v>
      </c>
      <c r="G222" s="6" t="str">
        <f t="shared" si="40"/>
        <v>E3_4_21_89_mRNA : E3_4_21_89_mRNA</v>
      </c>
      <c r="H222" s="28" t="str">
        <f t="shared" si="41"/>
        <v>E3_4_21_89 : E3_4_21_89</v>
      </c>
      <c r="I222" s="29" t="str">
        <f t="shared" si="42"/>
        <v>E3_4_21_89_mRNA : 0</v>
      </c>
      <c r="J222" s="30" t="str">
        <f t="shared" si="43"/>
        <v>E3_4_21_89 : 0</v>
      </c>
      <c r="K222" s="31" t="str">
        <f t="shared" si="44"/>
        <v>0.00292 - (0.0093 * E3_4_21_89_mRNA)</v>
      </c>
      <c r="L222" s="32" t="str">
        <f t="shared" si="45"/>
        <v>(0.278 * E3_4_21_89_mRNA) - (0.00000278 * E3_4_21_89)</v>
      </c>
      <c r="M222" s="7" t="str">
        <f t="shared" si="46"/>
        <v>mRNA221: -&gt; E3_4_21_89_mRNA | 0.00292 - (0.0093 * E3_4_21_89_mRNA)</v>
      </c>
      <c r="N222" s="33" t="str">
        <f t="shared" si="47"/>
        <v>Peptide221: E3_4_21_89_mRNA -&gt; E3_4_21_89 | (0.278 * E3_4_21_89_mRNA) - (0.000000278 * E3_4_21_89)</v>
      </c>
    </row>
    <row r="223" spans="1:14" x14ac:dyDescent="0.35">
      <c r="A223" s="1">
        <v>222</v>
      </c>
      <c r="B223" s="1" t="s">
        <v>9982</v>
      </c>
      <c r="C223" s="1" t="str">
        <f t="shared" si="36"/>
        <v>E3_4_21_92_mRNA</v>
      </c>
      <c r="D223" s="1" t="str">
        <f t="shared" si="37"/>
        <v>E3_4_21_92</v>
      </c>
      <c r="E223" s="26" t="str">
        <f t="shared" si="38"/>
        <v>E3_4_21_92_kcat : 13.7</v>
      </c>
      <c r="F223" s="27" t="str">
        <f t="shared" si="39"/>
        <v>E3_4_21_92_km : 1</v>
      </c>
      <c r="G223" s="6" t="str">
        <f t="shared" si="40"/>
        <v>E3_4_21_92_mRNA : E3_4_21_92_mRNA</v>
      </c>
      <c r="H223" s="28" t="str">
        <f t="shared" si="41"/>
        <v>E3_4_21_92 : E3_4_21_92</v>
      </c>
      <c r="I223" s="29" t="str">
        <f t="shared" si="42"/>
        <v>E3_4_21_92_mRNA : 0</v>
      </c>
      <c r="J223" s="30" t="str">
        <f t="shared" si="43"/>
        <v>E3_4_21_92 : 0</v>
      </c>
      <c r="K223" s="31" t="str">
        <f t="shared" si="44"/>
        <v>0.00292 - (0.0093 * E3_4_21_92_mRNA)</v>
      </c>
      <c r="L223" s="32" t="str">
        <f t="shared" si="45"/>
        <v>(0.278 * E3_4_21_92_mRNA) - (0.00000278 * E3_4_21_92)</v>
      </c>
      <c r="M223" s="7" t="str">
        <f t="shared" si="46"/>
        <v>mRNA222: -&gt; E3_4_21_92_mRNA | 0.00292 - (0.0093 * E3_4_21_92_mRNA)</v>
      </c>
      <c r="N223" s="33" t="str">
        <f t="shared" si="47"/>
        <v>Peptide222: E3_4_21_92_mRNA -&gt; E3_4_21_92 | (0.278 * E3_4_21_92_mRNA) - (0.000000278 * E3_4_21_92)</v>
      </c>
    </row>
    <row r="224" spans="1:14" x14ac:dyDescent="0.35">
      <c r="A224" s="1">
        <v>223</v>
      </c>
      <c r="B224" s="1" t="s">
        <v>9983</v>
      </c>
      <c r="C224" s="1" t="str">
        <f t="shared" si="36"/>
        <v>E3_4_22_40_mRNA</v>
      </c>
      <c r="D224" s="1" t="str">
        <f t="shared" si="37"/>
        <v>E3_4_22_40</v>
      </c>
      <c r="E224" s="26" t="str">
        <f t="shared" si="38"/>
        <v>E3_4_22_40_kcat : 13.7</v>
      </c>
      <c r="F224" s="27" t="str">
        <f t="shared" si="39"/>
        <v>E3_4_22_40_km : 1</v>
      </c>
      <c r="G224" s="6" t="str">
        <f t="shared" si="40"/>
        <v>E3_4_22_40_mRNA : E3_4_22_40_mRNA</v>
      </c>
      <c r="H224" s="28" t="str">
        <f t="shared" si="41"/>
        <v>E3_4_22_40 : E3_4_22_40</v>
      </c>
      <c r="I224" s="29" t="str">
        <f t="shared" si="42"/>
        <v>E3_4_22_40_mRNA : 0</v>
      </c>
      <c r="J224" s="30" t="str">
        <f t="shared" si="43"/>
        <v>E3_4_22_40 : 0</v>
      </c>
      <c r="K224" s="31" t="str">
        <f t="shared" si="44"/>
        <v>0.00292 - (0.0093 * E3_4_22_40_mRNA)</v>
      </c>
      <c r="L224" s="32" t="str">
        <f t="shared" si="45"/>
        <v>(0.278 * E3_4_22_40_mRNA) - (0.00000278 * E3_4_22_40)</v>
      </c>
      <c r="M224" s="7" t="str">
        <f t="shared" si="46"/>
        <v>mRNA223: -&gt; E3_4_22_40_mRNA | 0.00292 - (0.0093 * E3_4_22_40_mRNA)</v>
      </c>
      <c r="N224" s="33" t="str">
        <f t="shared" si="47"/>
        <v>Peptide223: E3_4_22_40_mRNA -&gt; E3_4_22_40 | (0.278 * E3_4_22_40_mRNA) - (0.000000278 * E3_4_22_40)</v>
      </c>
    </row>
    <row r="225" spans="1:14" x14ac:dyDescent="0.35">
      <c r="A225" s="1">
        <v>224</v>
      </c>
      <c r="B225" s="1" t="s">
        <v>9984</v>
      </c>
      <c r="C225" s="1" t="str">
        <f t="shared" si="36"/>
        <v>E3_4_23_36_mRNA</v>
      </c>
      <c r="D225" s="1" t="str">
        <f t="shared" si="37"/>
        <v>E3_4_23_36</v>
      </c>
      <c r="E225" s="26" t="str">
        <f t="shared" si="38"/>
        <v>E3_4_23_36_kcat : 13.7</v>
      </c>
      <c r="F225" s="27" t="str">
        <f t="shared" si="39"/>
        <v>E3_4_23_36_km : 1</v>
      </c>
      <c r="G225" s="6" t="str">
        <f t="shared" si="40"/>
        <v>E3_4_23_36_mRNA : E3_4_23_36_mRNA</v>
      </c>
      <c r="H225" s="28" t="str">
        <f t="shared" si="41"/>
        <v>E3_4_23_36 : E3_4_23_36</v>
      </c>
      <c r="I225" s="29" t="str">
        <f t="shared" si="42"/>
        <v>E3_4_23_36_mRNA : 0</v>
      </c>
      <c r="J225" s="30" t="str">
        <f t="shared" si="43"/>
        <v>E3_4_23_36 : 0</v>
      </c>
      <c r="K225" s="31" t="str">
        <f t="shared" si="44"/>
        <v>0.00292 - (0.0093 * E3_4_23_36_mRNA)</v>
      </c>
      <c r="L225" s="32" t="str">
        <f t="shared" si="45"/>
        <v>(0.278 * E3_4_23_36_mRNA) - (0.00000278 * E3_4_23_36)</v>
      </c>
      <c r="M225" s="7" t="str">
        <f t="shared" si="46"/>
        <v>mRNA224: -&gt; E3_4_23_36_mRNA | 0.00292 - (0.0093 * E3_4_23_36_mRNA)</v>
      </c>
      <c r="N225" s="33" t="str">
        <f t="shared" si="47"/>
        <v>Peptide224: E3_4_23_36_mRNA -&gt; E3_4_23_36 | (0.278 * E3_4_23_36_mRNA) - (0.000000278 * E3_4_23_36)</v>
      </c>
    </row>
    <row r="226" spans="1:14" x14ac:dyDescent="0.35">
      <c r="A226" s="1">
        <v>225</v>
      </c>
      <c r="B226" s="1" t="s">
        <v>9985</v>
      </c>
      <c r="C226" s="1" t="str">
        <f t="shared" si="36"/>
        <v>E3_4_24_57_mRNA</v>
      </c>
      <c r="D226" s="1" t="str">
        <f t="shared" si="37"/>
        <v>E3_4_24_57</v>
      </c>
      <c r="E226" s="26" t="str">
        <f t="shared" si="38"/>
        <v>E3_4_24_57_kcat : 13.7</v>
      </c>
      <c r="F226" s="27" t="str">
        <f t="shared" si="39"/>
        <v>E3_4_24_57_km : 1</v>
      </c>
      <c r="G226" s="6" t="str">
        <f t="shared" si="40"/>
        <v>E3_4_24_57_mRNA : E3_4_24_57_mRNA</v>
      </c>
      <c r="H226" s="28" t="str">
        <f t="shared" si="41"/>
        <v>E3_4_24_57 : E3_4_24_57</v>
      </c>
      <c r="I226" s="29" t="str">
        <f t="shared" si="42"/>
        <v>E3_4_24_57_mRNA : 0</v>
      </c>
      <c r="J226" s="30" t="str">
        <f t="shared" si="43"/>
        <v>E3_4_24_57 : 0</v>
      </c>
      <c r="K226" s="31" t="str">
        <f t="shared" si="44"/>
        <v>0.00292 - (0.0093 * E3_4_24_57_mRNA)</v>
      </c>
      <c r="L226" s="32" t="str">
        <f t="shared" si="45"/>
        <v>(0.278 * E3_4_24_57_mRNA) - (0.00000278 * E3_4_24_57)</v>
      </c>
      <c r="M226" s="7" t="str">
        <f t="shared" si="46"/>
        <v>mRNA225: -&gt; E3_4_24_57_mRNA | 0.00292 - (0.0093 * E3_4_24_57_mRNA)</v>
      </c>
      <c r="N226" s="33" t="str">
        <f t="shared" si="47"/>
        <v>Peptide225: E3_4_24_57_mRNA -&gt; E3_4_24_57 | (0.278 * E3_4_24_57_mRNA) - (0.000000278 * E3_4_24_57)</v>
      </c>
    </row>
    <row r="227" spans="1:14" x14ac:dyDescent="0.35">
      <c r="A227" s="1">
        <v>226</v>
      </c>
      <c r="B227" s="1" t="s">
        <v>9986</v>
      </c>
      <c r="C227" s="1" t="str">
        <f t="shared" si="36"/>
        <v>E3_5_1_1_mRNA</v>
      </c>
      <c r="D227" s="1" t="str">
        <f t="shared" si="37"/>
        <v>E3_5_1_1</v>
      </c>
      <c r="E227" s="26" t="str">
        <f t="shared" si="38"/>
        <v>E3_5_1_1_kcat : 13.7</v>
      </c>
      <c r="F227" s="27" t="str">
        <f t="shared" si="39"/>
        <v>E3_5_1_1_km : 1</v>
      </c>
      <c r="G227" s="6" t="str">
        <f t="shared" si="40"/>
        <v>E3_5_1_1_mRNA : E3_5_1_1_mRNA</v>
      </c>
      <c r="H227" s="28" t="str">
        <f t="shared" si="41"/>
        <v>E3_5_1_1 : E3_5_1_1</v>
      </c>
      <c r="I227" s="29" t="str">
        <f t="shared" si="42"/>
        <v>E3_5_1_1_mRNA : 0</v>
      </c>
      <c r="J227" s="30" t="str">
        <f t="shared" si="43"/>
        <v>E3_5_1_1 : 0</v>
      </c>
      <c r="K227" s="31" t="str">
        <f t="shared" si="44"/>
        <v>0.00292 - (0.0093 * E3_5_1_1_mRNA)</v>
      </c>
      <c r="L227" s="32" t="str">
        <f t="shared" si="45"/>
        <v>(0.278 * E3_5_1_1_mRNA) - (0.00000278 * E3_5_1_1)</v>
      </c>
      <c r="M227" s="7" t="str">
        <f t="shared" si="46"/>
        <v>mRNA226: -&gt; E3_5_1_1_mRNA | 0.00292 - (0.0093 * E3_5_1_1_mRNA)</v>
      </c>
      <c r="N227" s="33" t="str">
        <f t="shared" si="47"/>
        <v>Peptide226: E3_5_1_1_mRNA -&gt; E3_5_1_1 | (0.278 * E3_5_1_1_mRNA) - (0.000000278 * E3_5_1_1)</v>
      </c>
    </row>
    <row r="228" spans="1:14" x14ac:dyDescent="0.35">
      <c r="A228" s="1">
        <v>227</v>
      </c>
      <c r="B228" s="1" t="s">
        <v>9987</v>
      </c>
      <c r="C228" s="1" t="str">
        <f t="shared" si="36"/>
        <v>E3_5_1_18_mRNA</v>
      </c>
      <c r="D228" s="1" t="str">
        <f t="shared" si="37"/>
        <v>E3_5_1_18</v>
      </c>
      <c r="E228" s="26" t="str">
        <f t="shared" si="38"/>
        <v>E3_5_1_18_kcat : 13.7</v>
      </c>
      <c r="F228" s="27" t="str">
        <f t="shared" si="39"/>
        <v>E3_5_1_18_km : 1</v>
      </c>
      <c r="G228" s="6" t="str">
        <f t="shared" si="40"/>
        <v>E3_5_1_18_mRNA : E3_5_1_18_mRNA</v>
      </c>
      <c r="H228" s="28" t="str">
        <f t="shared" si="41"/>
        <v>E3_5_1_18 : E3_5_1_18</v>
      </c>
      <c r="I228" s="29" t="str">
        <f t="shared" si="42"/>
        <v>E3_5_1_18_mRNA : 0</v>
      </c>
      <c r="J228" s="30" t="str">
        <f t="shared" si="43"/>
        <v>E3_5_1_18 : 0</v>
      </c>
      <c r="K228" s="31" t="str">
        <f t="shared" si="44"/>
        <v>0.00292 - (0.0093 * E3_5_1_18_mRNA)</v>
      </c>
      <c r="L228" s="32" t="str">
        <f t="shared" si="45"/>
        <v>(0.278 * E3_5_1_18_mRNA) - (0.00000278 * E3_5_1_18)</v>
      </c>
      <c r="M228" s="7" t="str">
        <f t="shared" si="46"/>
        <v>mRNA227: -&gt; E3_5_1_18_mRNA | 0.00292 - (0.0093 * E3_5_1_18_mRNA)</v>
      </c>
      <c r="N228" s="33" t="str">
        <f t="shared" si="47"/>
        <v>Peptide227: E3_5_1_18_mRNA -&gt; E3_5_1_18 | (0.278 * E3_5_1_18_mRNA) - (0.000000278 * E3_5_1_18)</v>
      </c>
    </row>
    <row r="229" spans="1:14" x14ac:dyDescent="0.35">
      <c r="A229" s="1">
        <v>228</v>
      </c>
      <c r="B229" s="1" t="s">
        <v>9988</v>
      </c>
      <c r="C229" s="1" t="str">
        <f t="shared" si="36"/>
        <v>E3_5_1_19_mRNA</v>
      </c>
      <c r="D229" s="1" t="str">
        <f t="shared" si="37"/>
        <v>E3_5_1_19</v>
      </c>
      <c r="E229" s="26" t="str">
        <f t="shared" si="38"/>
        <v>E3_5_1_19_kcat : 13.7</v>
      </c>
      <c r="F229" s="27" t="str">
        <f t="shared" si="39"/>
        <v>E3_5_1_19_km : 1</v>
      </c>
      <c r="G229" s="6" t="str">
        <f t="shared" si="40"/>
        <v>E3_5_1_19_mRNA : E3_5_1_19_mRNA</v>
      </c>
      <c r="H229" s="28" t="str">
        <f t="shared" si="41"/>
        <v>E3_5_1_19 : E3_5_1_19</v>
      </c>
      <c r="I229" s="29" t="str">
        <f t="shared" si="42"/>
        <v>E3_5_1_19_mRNA : 0</v>
      </c>
      <c r="J229" s="30" t="str">
        <f t="shared" si="43"/>
        <v>E3_5_1_19 : 0</v>
      </c>
      <c r="K229" s="31" t="str">
        <f t="shared" si="44"/>
        <v>0.00292 - (0.0093 * E3_5_1_19_mRNA)</v>
      </c>
      <c r="L229" s="32" t="str">
        <f t="shared" si="45"/>
        <v>(0.278 * E3_5_1_19_mRNA) - (0.00000278 * E3_5_1_19)</v>
      </c>
      <c r="M229" s="7" t="str">
        <f t="shared" si="46"/>
        <v>mRNA228: -&gt; E3_5_1_19_mRNA | 0.00292 - (0.0093 * E3_5_1_19_mRNA)</v>
      </c>
      <c r="N229" s="33" t="str">
        <f t="shared" si="47"/>
        <v>Peptide228: E3_5_1_19_mRNA -&gt; E3_5_1_19 | (0.278 * E3_5_1_19_mRNA) - (0.000000278 * E3_5_1_19)</v>
      </c>
    </row>
    <row r="230" spans="1:14" x14ac:dyDescent="0.35">
      <c r="A230" s="1">
        <v>229</v>
      </c>
      <c r="B230" s="1" t="s">
        <v>9989</v>
      </c>
      <c r="C230" s="1" t="str">
        <f t="shared" si="36"/>
        <v>E3_5_1_25_mRNA</v>
      </c>
      <c r="D230" s="1" t="str">
        <f t="shared" si="37"/>
        <v>E3_5_1_25</v>
      </c>
      <c r="E230" s="26" t="str">
        <f t="shared" si="38"/>
        <v>E3_5_1_25_kcat : 13.7</v>
      </c>
      <c r="F230" s="27" t="str">
        <f t="shared" si="39"/>
        <v>E3_5_1_25_km : 1</v>
      </c>
      <c r="G230" s="6" t="str">
        <f t="shared" si="40"/>
        <v>E3_5_1_25_mRNA : E3_5_1_25_mRNA</v>
      </c>
      <c r="H230" s="28" t="str">
        <f t="shared" si="41"/>
        <v>E3_5_1_25 : E3_5_1_25</v>
      </c>
      <c r="I230" s="29" t="str">
        <f t="shared" si="42"/>
        <v>E3_5_1_25_mRNA : 0</v>
      </c>
      <c r="J230" s="30" t="str">
        <f t="shared" si="43"/>
        <v>E3_5_1_25 : 0</v>
      </c>
      <c r="K230" s="31" t="str">
        <f t="shared" si="44"/>
        <v>0.00292 - (0.0093 * E3_5_1_25_mRNA)</v>
      </c>
      <c r="L230" s="32" t="str">
        <f t="shared" si="45"/>
        <v>(0.278 * E3_5_1_25_mRNA) - (0.00000278 * E3_5_1_25)</v>
      </c>
      <c r="M230" s="7" t="str">
        <f t="shared" si="46"/>
        <v>mRNA229: -&gt; E3_5_1_25_mRNA | 0.00292 - (0.0093 * E3_5_1_25_mRNA)</v>
      </c>
      <c r="N230" s="33" t="str">
        <f t="shared" si="47"/>
        <v>Peptide229: E3_5_1_25_mRNA -&gt; E3_5_1_25 | (0.278 * E3_5_1_25_mRNA) - (0.000000278 * E3_5_1_25)</v>
      </c>
    </row>
    <row r="231" spans="1:14" x14ac:dyDescent="0.35">
      <c r="A231" s="1">
        <v>230</v>
      </c>
      <c r="B231" s="1" t="s">
        <v>9990</v>
      </c>
      <c r="C231" s="1" t="str">
        <f t="shared" si="36"/>
        <v>E3_5_1_28_mRNA</v>
      </c>
      <c r="D231" s="1" t="str">
        <f t="shared" si="37"/>
        <v>E3_5_1_28</v>
      </c>
      <c r="E231" s="26" t="str">
        <f t="shared" si="38"/>
        <v>E3_5_1_28_kcat : 13.7</v>
      </c>
      <c r="F231" s="27" t="str">
        <f t="shared" si="39"/>
        <v>E3_5_1_28_km : 1</v>
      </c>
      <c r="G231" s="6" t="str">
        <f t="shared" si="40"/>
        <v>E3_5_1_28_mRNA : E3_5_1_28_mRNA</v>
      </c>
      <c r="H231" s="28" t="str">
        <f t="shared" si="41"/>
        <v>E3_5_1_28 : E3_5_1_28</v>
      </c>
      <c r="I231" s="29" t="str">
        <f t="shared" si="42"/>
        <v>E3_5_1_28_mRNA : 0</v>
      </c>
      <c r="J231" s="30" t="str">
        <f t="shared" si="43"/>
        <v>E3_5_1_28 : 0</v>
      </c>
      <c r="K231" s="31" t="str">
        <f t="shared" si="44"/>
        <v>0.00292 - (0.0093 * E3_5_1_28_mRNA)</v>
      </c>
      <c r="L231" s="32" t="str">
        <f t="shared" si="45"/>
        <v>(0.278 * E3_5_1_28_mRNA) - (0.00000278 * E3_5_1_28)</v>
      </c>
      <c r="M231" s="7" t="str">
        <f t="shared" si="46"/>
        <v>mRNA230: -&gt; E3_5_1_28_mRNA | 0.00292 - (0.0093 * E3_5_1_28_mRNA)</v>
      </c>
      <c r="N231" s="33" t="str">
        <f t="shared" si="47"/>
        <v>Peptide230: E3_5_1_28_mRNA -&gt; E3_5_1_28 | (0.278 * E3_5_1_28_mRNA) - (0.000000278 * E3_5_1_28)</v>
      </c>
    </row>
    <row r="232" spans="1:14" x14ac:dyDescent="0.35">
      <c r="A232" s="1">
        <v>231</v>
      </c>
      <c r="B232" s="1" t="s">
        <v>9991</v>
      </c>
      <c r="C232" s="1" t="str">
        <f t="shared" si="36"/>
        <v>E3_5_1_5_mRNA</v>
      </c>
      <c r="D232" s="1" t="str">
        <f t="shared" si="37"/>
        <v>E3_5_1_5</v>
      </c>
      <c r="E232" s="26" t="str">
        <f t="shared" si="38"/>
        <v>E3_5_1_5_kcat : 13.7</v>
      </c>
      <c r="F232" s="27" t="str">
        <f t="shared" si="39"/>
        <v>E3_5_1_5_km : 1</v>
      </c>
      <c r="G232" s="6" t="str">
        <f t="shared" si="40"/>
        <v>E3_5_1_5_mRNA : E3_5_1_5_mRNA</v>
      </c>
      <c r="H232" s="28" t="str">
        <f t="shared" si="41"/>
        <v>E3_5_1_5 : E3_5_1_5</v>
      </c>
      <c r="I232" s="29" t="str">
        <f t="shared" si="42"/>
        <v>E3_5_1_5_mRNA : 0</v>
      </c>
      <c r="J232" s="30" t="str">
        <f t="shared" si="43"/>
        <v>E3_5_1_5 : 0</v>
      </c>
      <c r="K232" s="31" t="str">
        <f t="shared" si="44"/>
        <v>0.00292 - (0.0093 * E3_5_1_5_mRNA)</v>
      </c>
      <c r="L232" s="32" t="str">
        <f t="shared" si="45"/>
        <v>(0.278 * E3_5_1_5_mRNA) - (0.00000278 * E3_5_1_5)</v>
      </c>
      <c r="M232" s="7" t="str">
        <f t="shared" si="46"/>
        <v>mRNA231: -&gt; E3_5_1_5_mRNA | 0.00292 - (0.0093 * E3_5_1_5_mRNA)</v>
      </c>
      <c r="N232" s="33" t="str">
        <f t="shared" si="47"/>
        <v>Peptide231: E3_5_1_5_mRNA -&gt; E3_5_1_5 | (0.278 * E3_5_1_5_mRNA) - (0.000000278 * E3_5_1_5)</v>
      </c>
    </row>
    <row r="233" spans="1:14" x14ac:dyDescent="0.35">
      <c r="A233" s="1">
        <v>232</v>
      </c>
      <c r="B233" s="1" t="s">
        <v>9992</v>
      </c>
      <c r="C233" s="1" t="str">
        <f t="shared" si="36"/>
        <v>E3_5_1_88_mRNA</v>
      </c>
      <c r="D233" s="1" t="str">
        <f t="shared" si="37"/>
        <v>E3_5_1_88</v>
      </c>
      <c r="E233" s="26" t="str">
        <f t="shared" si="38"/>
        <v>E3_5_1_88_kcat : 13.7</v>
      </c>
      <c r="F233" s="27" t="str">
        <f t="shared" si="39"/>
        <v>E3_5_1_88_km : 1</v>
      </c>
      <c r="G233" s="6" t="str">
        <f t="shared" si="40"/>
        <v>E3_5_1_88_mRNA : E3_5_1_88_mRNA</v>
      </c>
      <c r="H233" s="28" t="str">
        <f t="shared" si="41"/>
        <v>E3_5_1_88 : E3_5_1_88</v>
      </c>
      <c r="I233" s="29" t="str">
        <f t="shared" si="42"/>
        <v>E3_5_1_88_mRNA : 0</v>
      </c>
      <c r="J233" s="30" t="str">
        <f t="shared" si="43"/>
        <v>E3_5_1_88 : 0</v>
      </c>
      <c r="K233" s="31" t="str">
        <f t="shared" si="44"/>
        <v>0.00292 - (0.0093 * E3_5_1_88_mRNA)</v>
      </c>
      <c r="L233" s="32" t="str">
        <f t="shared" si="45"/>
        <v>(0.278 * E3_5_1_88_mRNA) - (0.00000278 * E3_5_1_88)</v>
      </c>
      <c r="M233" s="7" t="str">
        <f t="shared" si="46"/>
        <v>mRNA232: -&gt; E3_5_1_88_mRNA | 0.00292 - (0.0093 * E3_5_1_88_mRNA)</v>
      </c>
      <c r="N233" s="33" t="str">
        <f t="shared" si="47"/>
        <v>Peptide232: E3_5_1_88_mRNA -&gt; E3_5_1_88 | (0.278 * E3_5_1_88_mRNA) - (0.000000278 * E3_5_1_88)</v>
      </c>
    </row>
    <row r="234" spans="1:14" x14ac:dyDescent="0.35">
      <c r="A234" s="1">
        <v>233</v>
      </c>
      <c r="B234" s="1" t="s">
        <v>9993</v>
      </c>
      <c r="C234" s="1" t="str">
        <f t="shared" si="36"/>
        <v>E3_5_2_12_mRNA</v>
      </c>
      <c r="D234" s="1" t="str">
        <f t="shared" si="37"/>
        <v>E3_5_2_12</v>
      </c>
      <c r="E234" s="26" t="str">
        <f t="shared" si="38"/>
        <v>E3_5_2_12_kcat : 13.7</v>
      </c>
      <c r="F234" s="27" t="str">
        <f t="shared" si="39"/>
        <v>E3_5_2_12_km : 1</v>
      </c>
      <c r="G234" s="6" t="str">
        <f t="shared" si="40"/>
        <v>E3_5_2_12_mRNA : E3_5_2_12_mRNA</v>
      </c>
      <c r="H234" s="28" t="str">
        <f t="shared" si="41"/>
        <v>E3_5_2_12 : E3_5_2_12</v>
      </c>
      <c r="I234" s="29" t="str">
        <f t="shared" si="42"/>
        <v>E3_5_2_12_mRNA : 0</v>
      </c>
      <c r="J234" s="30" t="str">
        <f t="shared" si="43"/>
        <v>E3_5_2_12 : 0</v>
      </c>
      <c r="K234" s="31" t="str">
        <f t="shared" si="44"/>
        <v>0.00292 - (0.0093 * E3_5_2_12_mRNA)</v>
      </c>
      <c r="L234" s="32" t="str">
        <f t="shared" si="45"/>
        <v>(0.278 * E3_5_2_12_mRNA) - (0.00000278 * E3_5_2_12)</v>
      </c>
      <c r="M234" s="7" t="str">
        <f t="shared" si="46"/>
        <v>mRNA233: -&gt; E3_5_2_12_mRNA | 0.00292 - (0.0093 * E3_5_2_12_mRNA)</v>
      </c>
      <c r="N234" s="33" t="str">
        <f t="shared" si="47"/>
        <v>Peptide233: E3_5_2_12_mRNA -&gt; E3_5_2_12 | (0.278 * E3_5_2_12_mRNA) - (0.000000278 * E3_5_2_12)</v>
      </c>
    </row>
    <row r="235" spans="1:14" x14ac:dyDescent="0.35">
      <c r="A235" s="1">
        <v>234</v>
      </c>
      <c r="B235" s="1" t="s">
        <v>9994</v>
      </c>
      <c r="C235" s="1" t="str">
        <f t="shared" si="36"/>
        <v>E3_5_2_3_mRNA</v>
      </c>
      <c r="D235" s="1" t="str">
        <f t="shared" si="37"/>
        <v>E3_5_2_3</v>
      </c>
      <c r="E235" s="26" t="str">
        <f t="shared" si="38"/>
        <v>E3_5_2_3_kcat : 13.7</v>
      </c>
      <c r="F235" s="27" t="str">
        <f t="shared" si="39"/>
        <v>E3_5_2_3_km : 1</v>
      </c>
      <c r="G235" s="6" t="str">
        <f t="shared" si="40"/>
        <v>E3_5_2_3_mRNA : E3_5_2_3_mRNA</v>
      </c>
      <c r="H235" s="28" t="str">
        <f t="shared" si="41"/>
        <v>E3_5_2_3 : E3_5_2_3</v>
      </c>
      <c r="I235" s="29" t="str">
        <f t="shared" si="42"/>
        <v>E3_5_2_3_mRNA : 0</v>
      </c>
      <c r="J235" s="30" t="str">
        <f t="shared" si="43"/>
        <v>E3_5_2_3 : 0</v>
      </c>
      <c r="K235" s="31" t="str">
        <f t="shared" si="44"/>
        <v>0.00292 - (0.0093 * E3_5_2_3_mRNA)</v>
      </c>
      <c r="L235" s="32" t="str">
        <f t="shared" si="45"/>
        <v>(0.278 * E3_5_2_3_mRNA) - (0.00000278 * E3_5_2_3)</v>
      </c>
      <c r="M235" s="7" t="str">
        <f t="shared" si="46"/>
        <v>mRNA234: -&gt; E3_5_2_3_mRNA | 0.00292 - (0.0093 * E3_5_2_3_mRNA)</v>
      </c>
      <c r="N235" s="33" t="str">
        <f t="shared" si="47"/>
        <v>Peptide234: E3_5_2_3_mRNA -&gt; E3_5_2_3 | (0.278 * E3_5_2_3_mRNA) - (0.000000278 * E3_5_2_3)</v>
      </c>
    </row>
    <row r="236" spans="1:14" x14ac:dyDescent="0.35">
      <c r="A236" s="1">
        <v>235</v>
      </c>
      <c r="B236" s="1" t="s">
        <v>9995</v>
      </c>
      <c r="C236" s="1" t="str">
        <f t="shared" si="36"/>
        <v>E3_5_4_10_mRNA</v>
      </c>
      <c r="D236" s="1" t="str">
        <f t="shared" si="37"/>
        <v>E3_5_4_10</v>
      </c>
      <c r="E236" s="26" t="str">
        <f t="shared" si="38"/>
        <v>E3_5_4_10_kcat : 13.7</v>
      </c>
      <c r="F236" s="27" t="str">
        <f t="shared" si="39"/>
        <v>E3_5_4_10_km : 1</v>
      </c>
      <c r="G236" s="6" t="str">
        <f t="shared" si="40"/>
        <v>E3_5_4_10_mRNA : E3_5_4_10_mRNA</v>
      </c>
      <c r="H236" s="28" t="str">
        <f t="shared" si="41"/>
        <v>E3_5_4_10 : E3_5_4_10</v>
      </c>
      <c r="I236" s="29" t="str">
        <f t="shared" si="42"/>
        <v>E3_5_4_10_mRNA : 0</v>
      </c>
      <c r="J236" s="30" t="str">
        <f t="shared" si="43"/>
        <v>E3_5_4_10 : 0</v>
      </c>
      <c r="K236" s="31" t="str">
        <f t="shared" si="44"/>
        <v>0.00292 - (0.0093 * E3_5_4_10_mRNA)</v>
      </c>
      <c r="L236" s="32" t="str">
        <f t="shared" si="45"/>
        <v>(0.278 * E3_5_4_10_mRNA) - (0.00000278 * E3_5_4_10)</v>
      </c>
      <c r="M236" s="7" t="str">
        <f t="shared" si="46"/>
        <v>mRNA235: -&gt; E3_5_4_10_mRNA | 0.00292 - (0.0093 * E3_5_4_10_mRNA)</v>
      </c>
      <c r="N236" s="33" t="str">
        <f t="shared" si="47"/>
        <v>Peptide235: E3_5_4_10_mRNA -&gt; E3_5_4_10 | (0.278 * E3_5_4_10_mRNA) - (0.000000278 * E3_5_4_10)</v>
      </c>
    </row>
    <row r="237" spans="1:14" x14ac:dyDescent="0.35">
      <c r="A237" s="1">
        <v>236</v>
      </c>
      <c r="B237" s="1" t="s">
        <v>9996</v>
      </c>
      <c r="C237" s="1" t="str">
        <f t="shared" si="36"/>
        <v>E3_5_4_16_mRNA</v>
      </c>
      <c r="D237" s="1" t="str">
        <f t="shared" si="37"/>
        <v>E3_5_4_16</v>
      </c>
      <c r="E237" s="26" t="str">
        <f t="shared" si="38"/>
        <v>E3_5_4_16_kcat : 13.7</v>
      </c>
      <c r="F237" s="27" t="str">
        <f t="shared" si="39"/>
        <v>E3_5_4_16_km : 1</v>
      </c>
      <c r="G237" s="6" t="str">
        <f t="shared" si="40"/>
        <v>E3_5_4_16_mRNA : E3_5_4_16_mRNA</v>
      </c>
      <c r="H237" s="28" t="str">
        <f t="shared" si="41"/>
        <v>E3_5_4_16 : E3_5_4_16</v>
      </c>
      <c r="I237" s="29" t="str">
        <f t="shared" si="42"/>
        <v>E3_5_4_16_mRNA : 0</v>
      </c>
      <c r="J237" s="30" t="str">
        <f t="shared" si="43"/>
        <v>E3_5_4_16 : 0</v>
      </c>
      <c r="K237" s="31" t="str">
        <f t="shared" si="44"/>
        <v>0.00292 - (0.0093 * E3_5_4_16_mRNA)</v>
      </c>
      <c r="L237" s="32" t="str">
        <f t="shared" si="45"/>
        <v>(0.278 * E3_5_4_16_mRNA) - (0.00000278 * E3_5_4_16)</v>
      </c>
      <c r="M237" s="7" t="str">
        <f t="shared" si="46"/>
        <v>mRNA236: -&gt; E3_5_4_16_mRNA | 0.00292 - (0.0093 * E3_5_4_16_mRNA)</v>
      </c>
      <c r="N237" s="33" t="str">
        <f t="shared" si="47"/>
        <v>Peptide236: E3_5_4_16_mRNA -&gt; E3_5_4_16 | (0.278 * E3_5_4_16_mRNA) - (0.000000278 * E3_5_4_16)</v>
      </c>
    </row>
    <row r="238" spans="1:14" x14ac:dyDescent="0.35">
      <c r="A238" s="1">
        <v>237</v>
      </c>
      <c r="B238" s="1" t="s">
        <v>9997</v>
      </c>
      <c r="C238" s="1" t="str">
        <f t="shared" si="36"/>
        <v>E3_5_4_19_mRNA</v>
      </c>
      <c r="D238" s="1" t="str">
        <f t="shared" si="37"/>
        <v>E3_5_4_19</v>
      </c>
      <c r="E238" s="26" t="str">
        <f t="shared" si="38"/>
        <v>E3_5_4_19_kcat : 13.7</v>
      </c>
      <c r="F238" s="27" t="str">
        <f t="shared" si="39"/>
        <v>E3_5_4_19_km : 1</v>
      </c>
      <c r="G238" s="6" t="str">
        <f t="shared" si="40"/>
        <v>E3_5_4_19_mRNA : E3_5_4_19_mRNA</v>
      </c>
      <c r="H238" s="28" t="str">
        <f t="shared" si="41"/>
        <v>E3_5_4_19 : E3_5_4_19</v>
      </c>
      <c r="I238" s="29" t="str">
        <f t="shared" si="42"/>
        <v>E3_5_4_19_mRNA : 0</v>
      </c>
      <c r="J238" s="30" t="str">
        <f t="shared" si="43"/>
        <v>E3_5_4_19 : 0</v>
      </c>
      <c r="K238" s="31" t="str">
        <f t="shared" si="44"/>
        <v>0.00292 - (0.0093 * E3_5_4_19_mRNA)</v>
      </c>
      <c r="L238" s="32" t="str">
        <f t="shared" si="45"/>
        <v>(0.278 * E3_5_4_19_mRNA) - (0.00000278 * E3_5_4_19)</v>
      </c>
      <c r="M238" s="7" t="str">
        <f t="shared" si="46"/>
        <v>mRNA237: -&gt; E3_5_4_19_mRNA | 0.00292 - (0.0093 * E3_5_4_19_mRNA)</v>
      </c>
      <c r="N238" s="33" t="str">
        <f t="shared" si="47"/>
        <v>Peptide237: E3_5_4_19_mRNA -&gt; E3_5_4_19 | (0.278 * E3_5_4_19_mRNA) - (0.000000278 * E3_5_4_19)</v>
      </c>
    </row>
    <row r="239" spans="1:14" x14ac:dyDescent="0.35">
      <c r="A239" s="1">
        <v>238</v>
      </c>
      <c r="B239" s="1" t="s">
        <v>9998</v>
      </c>
      <c r="C239" s="1" t="str">
        <f t="shared" si="36"/>
        <v>E3_5_4_4_mRNA</v>
      </c>
      <c r="D239" s="1" t="str">
        <f t="shared" si="37"/>
        <v>E3_5_4_4</v>
      </c>
      <c r="E239" s="26" t="str">
        <f t="shared" si="38"/>
        <v>E3_5_4_4_kcat : 13.7</v>
      </c>
      <c r="F239" s="27" t="str">
        <f t="shared" si="39"/>
        <v>E3_5_4_4_km : 1</v>
      </c>
      <c r="G239" s="6" t="str">
        <f t="shared" si="40"/>
        <v>E3_5_4_4_mRNA : E3_5_4_4_mRNA</v>
      </c>
      <c r="H239" s="28" t="str">
        <f t="shared" si="41"/>
        <v>E3_5_4_4 : E3_5_4_4</v>
      </c>
      <c r="I239" s="29" t="str">
        <f t="shared" si="42"/>
        <v>E3_5_4_4_mRNA : 0</v>
      </c>
      <c r="J239" s="30" t="str">
        <f t="shared" si="43"/>
        <v>E3_5_4_4 : 0</v>
      </c>
      <c r="K239" s="31" t="str">
        <f t="shared" si="44"/>
        <v>0.00292 - (0.0093 * E3_5_4_4_mRNA)</v>
      </c>
      <c r="L239" s="32" t="str">
        <f t="shared" si="45"/>
        <v>(0.278 * E3_5_4_4_mRNA) - (0.00000278 * E3_5_4_4)</v>
      </c>
      <c r="M239" s="7" t="str">
        <f t="shared" si="46"/>
        <v>mRNA238: -&gt; E3_5_4_4_mRNA | 0.00292 - (0.0093 * E3_5_4_4_mRNA)</v>
      </c>
      <c r="N239" s="33" t="str">
        <f t="shared" si="47"/>
        <v>Peptide238: E3_5_4_4_mRNA -&gt; E3_5_4_4 | (0.278 * E3_5_4_4_mRNA) - (0.000000278 * E3_5_4_4)</v>
      </c>
    </row>
    <row r="240" spans="1:14" x14ac:dyDescent="0.35">
      <c r="A240" s="1">
        <v>239</v>
      </c>
      <c r="B240" s="1" t="s">
        <v>9999</v>
      </c>
      <c r="C240" s="1" t="str">
        <f t="shared" si="36"/>
        <v>E3_5_4_5_mRNA</v>
      </c>
      <c r="D240" s="1" t="str">
        <f t="shared" si="37"/>
        <v>E3_5_4_5</v>
      </c>
      <c r="E240" s="26" t="str">
        <f t="shared" si="38"/>
        <v>E3_5_4_5_kcat : 13.7</v>
      </c>
      <c r="F240" s="27" t="str">
        <f t="shared" si="39"/>
        <v>E3_5_4_5_km : 1</v>
      </c>
      <c r="G240" s="6" t="str">
        <f t="shared" si="40"/>
        <v>E3_5_4_5_mRNA : E3_5_4_5_mRNA</v>
      </c>
      <c r="H240" s="28" t="str">
        <f t="shared" si="41"/>
        <v>E3_5_4_5 : E3_5_4_5</v>
      </c>
      <c r="I240" s="29" t="str">
        <f t="shared" si="42"/>
        <v>E3_5_4_5_mRNA : 0</v>
      </c>
      <c r="J240" s="30" t="str">
        <f t="shared" si="43"/>
        <v>E3_5_4_5 : 0</v>
      </c>
      <c r="K240" s="31" t="str">
        <f t="shared" si="44"/>
        <v>0.00292 - (0.0093 * E3_5_4_5_mRNA)</v>
      </c>
      <c r="L240" s="32" t="str">
        <f t="shared" si="45"/>
        <v>(0.278 * E3_5_4_5_mRNA) - (0.00000278 * E3_5_4_5)</v>
      </c>
      <c r="M240" s="7" t="str">
        <f t="shared" si="46"/>
        <v>mRNA239: -&gt; E3_5_4_5_mRNA | 0.00292 - (0.0093 * E3_5_4_5_mRNA)</v>
      </c>
      <c r="N240" s="33" t="str">
        <f t="shared" si="47"/>
        <v>Peptide239: E3_5_4_5_mRNA -&gt; E3_5_4_5 | (0.278 * E3_5_4_5_mRNA) - (0.000000278 * E3_5_4_5)</v>
      </c>
    </row>
    <row r="241" spans="1:14" x14ac:dyDescent="0.35">
      <c r="A241" s="1">
        <v>240</v>
      </c>
      <c r="B241" s="1" t="s">
        <v>10000</v>
      </c>
      <c r="C241" s="1" t="str">
        <f t="shared" si="36"/>
        <v>E3_5_4_9_mRNA</v>
      </c>
      <c r="D241" s="1" t="str">
        <f t="shared" si="37"/>
        <v>E3_5_4_9</v>
      </c>
      <c r="E241" s="26" t="str">
        <f t="shared" si="38"/>
        <v>E3_5_4_9_kcat : 13.7</v>
      </c>
      <c r="F241" s="27" t="str">
        <f t="shared" si="39"/>
        <v>E3_5_4_9_km : 1</v>
      </c>
      <c r="G241" s="6" t="str">
        <f t="shared" si="40"/>
        <v>E3_5_4_9_mRNA : E3_5_4_9_mRNA</v>
      </c>
      <c r="H241" s="28" t="str">
        <f t="shared" si="41"/>
        <v>E3_5_4_9 : E3_5_4_9</v>
      </c>
      <c r="I241" s="29" t="str">
        <f t="shared" si="42"/>
        <v>E3_5_4_9_mRNA : 0</v>
      </c>
      <c r="J241" s="30" t="str">
        <f t="shared" si="43"/>
        <v>E3_5_4_9 : 0</v>
      </c>
      <c r="K241" s="31" t="str">
        <f t="shared" si="44"/>
        <v>0.00292 - (0.0093 * E3_5_4_9_mRNA)</v>
      </c>
      <c r="L241" s="32" t="str">
        <f t="shared" si="45"/>
        <v>(0.278 * E3_5_4_9_mRNA) - (0.00000278 * E3_5_4_9)</v>
      </c>
      <c r="M241" s="7" t="str">
        <f t="shared" si="46"/>
        <v>mRNA240: -&gt; E3_5_4_9_mRNA | 0.00292 - (0.0093 * E3_5_4_9_mRNA)</v>
      </c>
      <c r="N241" s="33" t="str">
        <f t="shared" si="47"/>
        <v>Peptide240: E3_5_4_9_mRNA -&gt; E3_5_4_9 | (0.278 * E3_5_4_9_mRNA) - (0.000000278 * E3_5_4_9)</v>
      </c>
    </row>
    <row r="242" spans="1:14" x14ac:dyDescent="0.35">
      <c r="A242" s="1">
        <v>241</v>
      </c>
      <c r="B242" s="1" t="s">
        <v>10001</v>
      </c>
      <c r="C242" s="1" t="str">
        <f t="shared" si="36"/>
        <v>E3_5_99_6_mRNA</v>
      </c>
      <c r="D242" s="1" t="str">
        <f t="shared" si="37"/>
        <v>E3_5_99_6</v>
      </c>
      <c r="E242" s="26" t="str">
        <f t="shared" si="38"/>
        <v>E3_5_99_6_kcat : 13.7</v>
      </c>
      <c r="F242" s="27" t="str">
        <f t="shared" si="39"/>
        <v>E3_5_99_6_km : 1</v>
      </c>
      <c r="G242" s="6" t="str">
        <f t="shared" si="40"/>
        <v>E3_5_99_6_mRNA : E3_5_99_6_mRNA</v>
      </c>
      <c r="H242" s="28" t="str">
        <f t="shared" si="41"/>
        <v>E3_5_99_6 : E3_5_99_6</v>
      </c>
      <c r="I242" s="29" t="str">
        <f t="shared" si="42"/>
        <v>E3_5_99_6_mRNA : 0</v>
      </c>
      <c r="J242" s="30" t="str">
        <f t="shared" si="43"/>
        <v>E3_5_99_6 : 0</v>
      </c>
      <c r="K242" s="31" t="str">
        <f t="shared" si="44"/>
        <v>0.00292 - (0.0093 * E3_5_99_6_mRNA)</v>
      </c>
      <c r="L242" s="32" t="str">
        <f t="shared" si="45"/>
        <v>(0.278 * E3_5_99_6_mRNA) - (0.00000278 * E3_5_99_6)</v>
      </c>
      <c r="M242" s="7" t="str">
        <f t="shared" si="46"/>
        <v>mRNA241: -&gt; E3_5_99_6_mRNA | 0.00292 - (0.0093 * E3_5_99_6_mRNA)</v>
      </c>
      <c r="N242" s="33" t="str">
        <f t="shared" si="47"/>
        <v>Peptide241: E3_5_99_6_mRNA -&gt; E3_5_99_6 | (0.278 * E3_5_99_6_mRNA) - (0.000000278 * E3_5_99_6)</v>
      </c>
    </row>
    <row r="243" spans="1:14" x14ac:dyDescent="0.35">
      <c r="A243" s="1">
        <v>242</v>
      </c>
      <c r="B243" s="1" t="s">
        <v>10002</v>
      </c>
      <c r="C243" s="1" t="str">
        <f t="shared" si="36"/>
        <v>E3_6_1_1_mRNA</v>
      </c>
      <c r="D243" s="1" t="str">
        <f t="shared" si="37"/>
        <v>E3_6_1_1</v>
      </c>
      <c r="E243" s="26" t="str">
        <f t="shared" si="38"/>
        <v>E3_6_1_1_kcat : 13.7</v>
      </c>
      <c r="F243" s="27" t="str">
        <f t="shared" si="39"/>
        <v>E3_6_1_1_km : 1</v>
      </c>
      <c r="G243" s="6" t="str">
        <f t="shared" si="40"/>
        <v>E3_6_1_1_mRNA : E3_6_1_1_mRNA</v>
      </c>
      <c r="H243" s="28" t="str">
        <f t="shared" si="41"/>
        <v>E3_6_1_1 : E3_6_1_1</v>
      </c>
      <c r="I243" s="29" t="str">
        <f t="shared" si="42"/>
        <v>E3_6_1_1_mRNA : 0</v>
      </c>
      <c r="J243" s="30" t="str">
        <f t="shared" si="43"/>
        <v>E3_6_1_1 : 0</v>
      </c>
      <c r="K243" s="31" t="str">
        <f t="shared" si="44"/>
        <v>0.00292 - (0.0093 * E3_6_1_1_mRNA)</v>
      </c>
      <c r="L243" s="32" t="str">
        <f t="shared" si="45"/>
        <v>(0.278 * E3_6_1_1_mRNA) - (0.00000278 * E3_6_1_1)</v>
      </c>
      <c r="M243" s="7" t="str">
        <f t="shared" si="46"/>
        <v>mRNA242: -&gt; E3_6_1_1_mRNA | 0.00292 - (0.0093 * E3_6_1_1_mRNA)</v>
      </c>
      <c r="N243" s="33" t="str">
        <f t="shared" si="47"/>
        <v>Peptide242: E3_6_1_1_mRNA -&gt; E3_6_1_1 | (0.278 * E3_6_1_1_mRNA) - (0.000000278 * E3_6_1_1)</v>
      </c>
    </row>
    <row r="244" spans="1:14" x14ac:dyDescent="0.35">
      <c r="A244" s="1">
        <v>243</v>
      </c>
      <c r="B244" s="1" t="s">
        <v>10003</v>
      </c>
      <c r="C244" s="1" t="str">
        <f t="shared" si="36"/>
        <v>E3_6_1_13_mRNA</v>
      </c>
      <c r="D244" s="1" t="str">
        <f t="shared" si="37"/>
        <v>E3_6_1_13</v>
      </c>
      <c r="E244" s="26" t="str">
        <f t="shared" si="38"/>
        <v>E3_6_1_13_kcat : 13.7</v>
      </c>
      <c r="F244" s="27" t="str">
        <f t="shared" si="39"/>
        <v>E3_6_1_13_km : 1</v>
      </c>
      <c r="G244" s="6" t="str">
        <f t="shared" si="40"/>
        <v>E3_6_1_13_mRNA : E3_6_1_13_mRNA</v>
      </c>
      <c r="H244" s="28" t="str">
        <f t="shared" si="41"/>
        <v>E3_6_1_13 : E3_6_1_13</v>
      </c>
      <c r="I244" s="29" t="str">
        <f t="shared" si="42"/>
        <v>E3_6_1_13_mRNA : 0</v>
      </c>
      <c r="J244" s="30" t="str">
        <f t="shared" si="43"/>
        <v>E3_6_1_13 : 0</v>
      </c>
      <c r="K244" s="31" t="str">
        <f t="shared" si="44"/>
        <v>0.00292 - (0.0093 * E3_6_1_13_mRNA)</v>
      </c>
      <c r="L244" s="32" t="str">
        <f t="shared" si="45"/>
        <v>(0.278 * E3_6_1_13_mRNA) - (0.00000278 * E3_6_1_13)</v>
      </c>
      <c r="M244" s="7" t="str">
        <f t="shared" si="46"/>
        <v>mRNA243: -&gt; E3_6_1_13_mRNA | 0.00292 - (0.0093 * E3_6_1_13_mRNA)</v>
      </c>
      <c r="N244" s="33" t="str">
        <f t="shared" si="47"/>
        <v>Peptide243: E3_6_1_13_mRNA -&gt; E3_6_1_13 | (0.278 * E3_6_1_13_mRNA) - (0.000000278 * E3_6_1_13)</v>
      </c>
    </row>
    <row r="245" spans="1:14" x14ac:dyDescent="0.35">
      <c r="A245" s="1">
        <v>244</v>
      </c>
      <c r="B245" s="1" t="s">
        <v>10004</v>
      </c>
      <c r="C245" s="1" t="str">
        <f t="shared" si="36"/>
        <v>E3_6_1_15_mRNA</v>
      </c>
      <c r="D245" s="1" t="str">
        <f t="shared" si="37"/>
        <v>E3_6_1_15</v>
      </c>
      <c r="E245" s="26" t="str">
        <f t="shared" si="38"/>
        <v>E3_6_1_15_kcat : 13.7</v>
      </c>
      <c r="F245" s="27" t="str">
        <f t="shared" si="39"/>
        <v>E3_6_1_15_km : 1</v>
      </c>
      <c r="G245" s="6" t="str">
        <f t="shared" si="40"/>
        <v>E3_6_1_15_mRNA : E3_6_1_15_mRNA</v>
      </c>
      <c r="H245" s="28" t="str">
        <f t="shared" si="41"/>
        <v>E3_6_1_15 : E3_6_1_15</v>
      </c>
      <c r="I245" s="29" t="str">
        <f t="shared" si="42"/>
        <v>E3_6_1_15_mRNA : 0</v>
      </c>
      <c r="J245" s="30" t="str">
        <f t="shared" si="43"/>
        <v>E3_6_1_15 : 0</v>
      </c>
      <c r="K245" s="31" t="str">
        <f t="shared" si="44"/>
        <v>0.00292 - (0.0093 * E3_6_1_15_mRNA)</v>
      </c>
      <c r="L245" s="32" t="str">
        <f t="shared" si="45"/>
        <v>(0.278 * E3_6_1_15_mRNA) - (0.00000278 * E3_6_1_15)</v>
      </c>
      <c r="M245" s="7" t="str">
        <f t="shared" si="46"/>
        <v>mRNA244: -&gt; E3_6_1_15_mRNA | 0.00292 - (0.0093 * E3_6_1_15_mRNA)</v>
      </c>
      <c r="N245" s="33" t="str">
        <f t="shared" si="47"/>
        <v>Peptide244: E3_6_1_15_mRNA -&gt; E3_6_1_15 | (0.278 * E3_6_1_15_mRNA) - (0.000000278 * E3_6_1_15)</v>
      </c>
    </row>
    <row r="246" spans="1:14" x14ac:dyDescent="0.35">
      <c r="A246" s="1">
        <v>245</v>
      </c>
      <c r="B246" s="1" t="s">
        <v>10005</v>
      </c>
      <c r="C246" s="1" t="str">
        <f t="shared" si="36"/>
        <v>E3_6_1_17_mRNA</v>
      </c>
      <c r="D246" s="1" t="str">
        <f t="shared" si="37"/>
        <v>E3_6_1_17</v>
      </c>
      <c r="E246" s="26" t="str">
        <f t="shared" si="38"/>
        <v>E3_6_1_17_kcat : 13.7</v>
      </c>
      <c r="F246" s="27" t="str">
        <f t="shared" si="39"/>
        <v>E3_6_1_17_km : 1</v>
      </c>
      <c r="G246" s="6" t="str">
        <f t="shared" si="40"/>
        <v>E3_6_1_17_mRNA : E3_6_1_17_mRNA</v>
      </c>
      <c r="H246" s="28" t="str">
        <f t="shared" si="41"/>
        <v>E3_6_1_17 : E3_6_1_17</v>
      </c>
      <c r="I246" s="29" t="str">
        <f t="shared" si="42"/>
        <v>E3_6_1_17_mRNA : 0</v>
      </c>
      <c r="J246" s="30" t="str">
        <f t="shared" si="43"/>
        <v>E3_6_1_17 : 0</v>
      </c>
      <c r="K246" s="31" t="str">
        <f t="shared" si="44"/>
        <v>0.00292 - (0.0093 * E3_6_1_17_mRNA)</v>
      </c>
      <c r="L246" s="32" t="str">
        <f t="shared" si="45"/>
        <v>(0.278 * E3_6_1_17_mRNA) - (0.00000278 * E3_6_1_17)</v>
      </c>
      <c r="M246" s="7" t="str">
        <f t="shared" si="46"/>
        <v>mRNA245: -&gt; E3_6_1_17_mRNA | 0.00292 - (0.0093 * E3_6_1_17_mRNA)</v>
      </c>
      <c r="N246" s="33" t="str">
        <f t="shared" si="47"/>
        <v>Peptide245: E3_6_1_17_mRNA -&gt; E3_6_1_17 | (0.278 * E3_6_1_17_mRNA) - (0.000000278 * E3_6_1_17)</v>
      </c>
    </row>
    <row r="247" spans="1:14" x14ac:dyDescent="0.35">
      <c r="A247" s="1">
        <v>246</v>
      </c>
      <c r="B247" s="1" t="s">
        <v>10006</v>
      </c>
      <c r="C247" s="1" t="str">
        <f t="shared" si="36"/>
        <v>E3_6_1_23_mRNA</v>
      </c>
      <c r="D247" s="1" t="str">
        <f t="shared" si="37"/>
        <v>E3_6_1_23</v>
      </c>
      <c r="E247" s="26" t="str">
        <f t="shared" si="38"/>
        <v>E3_6_1_23_kcat : 13.7</v>
      </c>
      <c r="F247" s="27" t="str">
        <f t="shared" si="39"/>
        <v>E3_6_1_23_km : 1</v>
      </c>
      <c r="G247" s="6" t="str">
        <f t="shared" si="40"/>
        <v>E3_6_1_23_mRNA : E3_6_1_23_mRNA</v>
      </c>
      <c r="H247" s="28" t="str">
        <f t="shared" si="41"/>
        <v>E3_6_1_23 : E3_6_1_23</v>
      </c>
      <c r="I247" s="29" t="str">
        <f t="shared" si="42"/>
        <v>E3_6_1_23_mRNA : 0</v>
      </c>
      <c r="J247" s="30" t="str">
        <f t="shared" si="43"/>
        <v>E3_6_1_23 : 0</v>
      </c>
      <c r="K247" s="31" t="str">
        <f t="shared" si="44"/>
        <v>0.00292 - (0.0093 * E3_6_1_23_mRNA)</v>
      </c>
      <c r="L247" s="32" t="str">
        <f t="shared" si="45"/>
        <v>(0.278 * E3_6_1_23_mRNA) - (0.00000278 * E3_6_1_23)</v>
      </c>
      <c r="M247" s="7" t="str">
        <f t="shared" si="46"/>
        <v>mRNA246: -&gt; E3_6_1_23_mRNA | 0.00292 - (0.0093 * E3_6_1_23_mRNA)</v>
      </c>
      <c r="N247" s="33" t="str">
        <f t="shared" si="47"/>
        <v>Peptide246: E3_6_1_23_mRNA -&gt; E3_6_1_23 | (0.278 * E3_6_1_23_mRNA) - (0.000000278 * E3_6_1_23)</v>
      </c>
    </row>
    <row r="248" spans="1:14" x14ac:dyDescent="0.35">
      <c r="A248" s="1">
        <v>247</v>
      </c>
      <c r="B248" s="1" t="s">
        <v>10007</v>
      </c>
      <c r="C248" s="1" t="str">
        <f t="shared" si="36"/>
        <v>E3_6_1_27_mRNA</v>
      </c>
      <c r="D248" s="1" t="str">
        <f t="shared" si="37"/>
        <v>E3_6_1_27</v>
      </c>
      <c r="E248" s="26" t="str">
        <f t="shared" si="38"/>
        <v>E3_6_1_27_kcat : 13.7</v>
      </c>
      <c r="F248" s="27" t="str">
        <f t="shared" si="39"/>
        <v>E3_6_1_27_km : 1</v>
      </c>
      <c r="G248" s="6" t="str">
        <f t="shared" si="40"/>
        <v>E3_6_1_27_mRNA : E3_6_1_27_mRNA</v>
      </c>
      <c r="H248" s="28" t="str">
        <f t="shared" si="41"/>
        <v>E3_6_1_27 : E3_6_1_27</v>
      </c>
      <c r="I248" s="29" t="str">
        <f t="shared" si="42"/>
        <v>E3_6_1_27_mRNA : 0</v>
      </c>
      <c r="J248" s="30" t="str">
        <f t="shared" si="43"/>
        <v>E3_6_1_27 : 0</v>
      </c>
      <c r="K248" s="31" t="str">
        <f t="shared" si="44"/>
        <v>0.00292 - (0.0093 * E3_6_1_27_mRNA)</v>
      </c>
      <c r="L248" s="32" t="str">
        <f t="shared" si="45"/>
        <v>(0.278 * E3_6_1_27_mRNA) - (0.00000278 * E3_6_1_27)</v>
      </c>
      <c r="M248" s="7" t="str">
        <f t="shared" si="46"/>
        <v>mRNA247: -&gt; E3_6_1_27_mRNA | 0.00292 - (0.0093 * E3_6_1_27_mRNA)</v>
      </c>
      <c r="N248" s="33" t="str">
        <f t="shared" si="47"/>
        <v>Peptide247: E3_6_1_27_mRNA -&gt; E3_6_1_27 | (0.278 * E3_6_1_27_mRNA) - (0.000000278 * E3_6_1_27)</v>
      </c>
    </row>
    <row r="249" spans="1:14" x14ac:dyDescent="0.35">
      <c r="A249" s="1">
        <v>248</v>
      </c>
      <c r="B249" s="1" t="s">
        <v>10008</v>
      </c>
      <c r="C249" s="1" t="str">
        <f t="shared" si="36"/>
        <v>E3_6_1_31_mRNA</v>
      </c>
      <c r="D249" s="1" t="str">
        <f t="shared" si="37"/>
        <v>E3_6_1_31</v>
      </c>
      <c r="E249" s="26" t="str">
        <f t="shared" si="38"/>
        <v>E3_6_1_31_kcat : 13.7</v>
      </c>
      <c r="F249" s="27" t="str">
        <f t="shared" si="39"/>
        <v>E3_6_1_31_km : 1</v>
      </c>
      <c r="G249" s="6" t="str">
        <f t="shared" si="40"/>
        <v>E3_6_1_31_mRNA : E3_6_1_31_mRNA</v>
      </c>
      <c r="H249" s="28" t="str">
        <f t="shared" si="41"/>
        <v>E3_6_1_31 : E3_6_1_31</v>
      </c>
      <c r="I249" s="29" t="str">
        <f t="shared" si="42"/>
        <v>E3_6_1_31_mRNA : 0</v>
      </c>
      <c r="J249" s="30" t="str">
        <f t="shared" si="43"/>
        <v>E3_6_1_31 : 0</v>
      </c>
      <c r="K249" s="31" t="str">
        <f t="shared" si="44"/>
        <v>0.00292 - (0.0093 * E3_6_1_31_mRNA)</v>
      </c>
      <c r="L249" s="32" t="str">
        <f t="shared" si="45"/>
        <v>(0.278 * E3_6_1_31_mRNA) - (0.00000278 * E3_6_1_31)</v>
      </c>
      <c r="M249" s="7" t="str">
        <f t="shared" si="46"/>
        <v>mRNA248: -&gt; E3_6_1_31_mRNA | 0.00292 - (0.0093 * E3_6_1_31_mRNA)</v>
      </c>
      <c r="N249" s="33" t="str">
        <f t="shared" si="47"/>
        <v>Peptide248: E3_6_1_31_mRNA -&gt; E3_6_1_31 | (0.278 * E3_6_1_31_mRNA) - (0.000000278 * E3_6_1_31)</v>
      </c>
    </row>
    <row r="250" spans="1:14" x14ac:dyDescent="0.35">
      <c r="A250" s="1">
        <v>249</v>
      </c>
      <c r="B250" s="1" t="s">
        <v>10009</v>
      </c>
      <c r="C250" s="1" t="str">
        <f t="shared" si="36"/>
        <v>E3_6_1_7_mRNA</v>
      </c>
      <c r="D250" s="1" t="str">
        <f t="shared" si="37"/>
        <v>E3_6_1_7</v>
      </c>
      <c r="E250" s="26" t="str">
        <f t="shared" si="38"/>
        <v>E3_6_1_7_kcat : 13.7</v>
      </c>
      <c r="F250" s="27" t="str">
        <f t="shared" si="39"/>
        <v>E3_6_1_7_km : 1</v>
      </c>
      <c r="G250" s="6" t="str">
        <f t="shared" si="40"/>
        <v>E3_6_1_7_mRNA : E3_6_1_7_mRNA</v>
      </c>
      <c r="H250" s="28" t="str">
        <f t="shared" si="41"/>
        <v>E3_6_1_7 : E3_6_1_7</v>
      </c>
      <c r="I250" s="29" t="str">
        <f t="shared" si="42"/>
        <v>E3_6_1_7_mRNA : 0</v>
      </c>
      <c r="J250" s="30" t="str">
        <f t="shared" si="43"/>
        <v>E3_6_1_7 : 0</v>
      </c>
      <c r="K250" s="31" t="str">
        <f t="shared" si="44"/>
        <v>0.00292 - (0.0093 * E3_6_1_7_mRNA)</v>
      </c>
      <c r="L250" s="32" t="str">
        <f t="shared" si="45"/>
        <v>(0.278 * E3_6_1_7_mRNA) - (0.00000278 * E3_6_1_7)</v>
      </c>
      <c r="M250" s="7" t="str">
        <f t="shared" si="46"/>
        <v>mRNA249: -&gt; E3_6_1_7_mRNA | 0.00292 - (0.0093 * E3_6_1_7_mRNA)</v>
      </c>
      <c r="N250" s="33" t="str">
        <f t="shared" si="47"/>
        <v>Peptide249: E3_6_1_7_mRNA -&gt; E3_6_1_7 | (0.278 * E3_6_1_7_mRNA) - (0.000000278 * E3_6_1_7)</v>
      </c>
    </row>
    <row r="251" spans="1:14" x14ac:dyDescent="0.35">
      <c r="A251" s="1">
        <v>250</v>
      </c>
      <c r="B251" s="1" t="s">
        <v>10010</v>
      </c>
      <c r="C251" s="1" t="str">
        <f t="shared" si="36"/>
        <v>E3_6_3_14_mRNA</v>
      </c>
      <c r="D251" s="1" t="str">
        <f t="shared" si="37"/>
        <v>E3_6_3_14</v>
      </c>
      <c r="E251" s="26" t="str">
        <f t="shared" si="38"/>
        <v>E3_6_3_14_kcat : 13.7</v>
      </c>
      <c r="F251" s="27" t="str">
        <f t="shared" si="39"/>
        <v>E3_6_3_14_km : 1</v>
      </c>
      <c r="G251" s="6" t="str">
        <f t="shared" si="40"/>
        <v>E3_6_3_14_mRNA : E3_6_3_14_mRNA</v>
      </c>
      <c r="H251" s="28" t="str">
        <f t="shared" si="41"/>
        <v>E3_6_3_14 : E3_6_3_14</v>
      </c>
      <c r="I251" s="29" t="str">
        <f t="shared" si="42"/>
        <v>E3_6_3_14_mRNA : 0</v>
      </c>
      <c r="J251" s="30" t="str">
        <f t="shared" si="43"/>
        <v>E3_6_3_14 : 0</v>
      </c>
      <c r="K251" s="31" t="str">
        <f t="shared" si="44"/>
        <v>0.00292 - (0.0093 * E3_6_3_14_mRNA)</v>
      </c>
      <c r="L251" s="32" t="str">
        <f t="shared" si="45"/>
        <v>(0.278 * E3_6_3_14_mRNA) - (0.00000278 * E3_6_3_14)</v>
      </c>
      <c r="M251" s="7" t="str">
        <f t="shared" si="46"/>
        <v>mRNA250: -&gt; E3_6_3_14_mRNA | 0.00292 - (0.0093 * E3_6_3_14_mRNA)</v>
      </c>
      <c r="N251" s="33" t="str">
        <f t="shared" si="47"/>
        <v>Peptide250: E3_6_3_14_mRNA -&gt; E3_6_3_14 | (0.278 * E3_6_3_14_mRNA) - (0.000000278 * E3_6_3_14)</v>
      </c>
    </row>
    <row r="252" spans="1:14" x14ac:dyDescent="0.35">
      <c r="A252" s="1">
        <v>251</v>
      </c>
      <c r="B252" s="1" t="s">
        <v>10011</v>
      </c>
      <c r="C252" s="1" t="str">
        <f t="shared" si="36"/>
        <v>E3_6_3_2_mRNA</v>
      </c>
      <c r="D252" s="1" t="str">
        <f t="shared" si="37"/>
        <v>E3_6_3_2</v>
      </c>
      <c r="E252" s="26" t="str">
        <f t="shared" si="38"/>
        <v>E3_6_3_2_kcat : 13.7</v>
      </c>
      <c r="F252" s="27" t="str">
        <f t="shared" si="39"/>
        <v>E3_6_3_2_km : 1</v>
      </c>
      <c r="G252" s="6" t="str">
        <f t="shared" si="40"/>
        <v>E3_6_3_2_mRNA : E3_6_3_2_mRNA</v>
      </c>
      <c r="H252" s="28" t="str">
        <f t="shared" si="41"/>
        <v>E3_6_3_2 : E3_6_3_2</v>
      </c>
      <c r="I252" s="29" t="str">
        <f t="shared" si="42"/>
        <v>E3_6_3_2_mRNA : 0</v>
      </c>
      <c r="J252" s="30" t="str">
        <f t="shared" si="43"/>
        <v>E3_6_3_2 : 0</v>
      </c>
      <c r="K252" s="31" t="str">
        <f t="shared" si="44"/>
        <v>0.00292 - (0.0093 * E3_6_3_2_mRNA)</v>
      </c>
      <c r="L252" s="32" t="str">
        <f t="shared" si="45"/>
        <v>(0.278 * E3_6_3_2_mRNA) - (0.00000278 * E3_6_3_2)</v>
      </c>
      <c r="M252" s="7" t="str">
        <f t="shared" si="46"/>
        <v>mRNA251: -&gt; E3_6_3_2_mRNA | 0.00292 - (0.0093 * E3_6_3_2_mRNA)</v>
      </c>
      <c r="N252" s="33" t="str">
        <f t="shared" si="47"/>
        <v>Peptide251: E3_6_3_2_mRNA -&gt; E3_6_3_2 | (0.278 * E3_6_3_2_mRNA) - (0.000000278 * E3_6_3_2)</v>
      </c>
    </row>
    <row r="253" spans="1:14" x14ac:dyDescent="0.35">
      <c r="A253" s="1">
        <v>252</v>
      </c>
      <c r="B253" s="1" t="s">
        <v>10012</v>
      </c>
      <c r="C253" s="1" t="str">
        <f t="shared" si="36"/>
        <v>E3_6_3_25_mRNA</v>
      </c>
      <c r="D253" s="1" t="str">
        <f t="shared" si="37"/>
        <v>E3_6_3_25</v>
      </c>
      <c r="E253" s="26" t="str">
        <f t="shared" si="38"/>
        <v>E3_6_3_25_kcat : 13.7</v>
      </c>
      <c r="F253" s="27" t="str">
        <f t="shared" si="39"/>
        <v>E3_6_3_25_km : 1</v>
      </c>
      <c r="G253" s="6" t="str">
        <f t="shared" si="40"/>
        <v>E3_6_3_25_mRNA : E3_6_3_25_mRNA</v>
      </c>
      <c r="H253" s="28" t="str">
        <f t="shared" si="41"/>
        <v>E3_6_3_25 : E3_6_3_25</v>
      </c>
      <c r="I253" s="29" t="str">
        <f t="shared" si="42"/>
        <v>E3_6_3_25_mRNA : 0</v>
      </c>
      <c r="J253" s="30" t="str">
        <f t="shared" si="43"/>
        <v>E3_6_3_25 : 0</v>
      </c>
      <c r="K253" s="31" t="str">
        <f t="shared" si="44"/>
        <v>0.00292 - (0.0093 * E3_6_3_25_mRNA)</v>
      </c>
      <c r="L253" s="32" t="str">
        <f t="shared" si="45"/>
        <v>(0.278 * E3_6_3_25_mRNA) - (0.00000278 * E3_6_3_25)</v>
      </c>
      <c r="M253" s="7" t="str">
        <f t="shared" si="46"/>
        <v>mRNA252: -&gt; E3_6_3_25_mRNA | 0.00292 - (0.0093 * E3_6_3_25_mRNA)</v>
      </c>
      <c r="N253" s="33" t="str">
        <f t="shared" si="47"/>
        <v>Peptide252: E3_6_3_25_mRNA -&gt; E3_6_3_25 | (0.278 * E3_6_3_25_mRNA) - (0.000000278 * E3_6_3_25)</v>
      </c>
    </row>
    <row r="254" spans="1:14" x14ac:dyDescent="0.35">
      <c r="A254" s="1">
        <v>253</v>
      </c>
      <c r="B254" s="1" t="s">
        <v>10013</v>
      </c>
      <c r="C254" s="1" t="str">
        <f t="shared" si="36"/>
        <v>E3_6_3_27_mRNA</v>
      </c>
      <c r="D254" s="1" t="str">
        <f t="shared" si="37"/>
        <v>E3_6_3_27</v>
      </c>
      <c r="E254" s="26" t="str">
        <f t="shared" si="38"/>
        <v>E3_6_3_27_kcat : 13.7</v>
      </c>
      <c r="F254" s="27" t="str">
        <f t="shared" si="39"/>
        <v>E3_6_3_27_km : 1</v>
      </c>
      <c r="G254" s="6" t="str">
        <f t="shared" si="40"/>
        <v>E3_6_3_27_mRNA : E3_6_3_27_mRNA</v>
      </c>
      <c r="H254" s="28" t="str">
        <f t="shared" si="41"/>
        <v>E3_6_3_27 : E3_6_3_27</v>
      </c>
      <c r="I254" s="29" t="str">
        <f t="shared" si="42"/>
        <v>E3_6_3_27_mRNA : 0</v>
      </c>
      <c r="J254" s="30" t="str">
        <f t="shared" si="43"/>
        <v>E3_6_3_27 : 0</v>
      </c>
      <c r="K254" s="31" t="str">
        <f t="shared" si="44"/>
        <v>0.00292 - (0.0093 * E3_6_3_27_mRNA)</v>
      </c>
      <c r="L254" s="32" t="str">
        <f t="shared" si="45"/>
        <v>(0.278 * E3_6_3_27_mRNA) - (0.00000278 * E3_6_3_27)</v>
      </c>
      <c r="M254" s="7" t="str">
        <f t="shared" si="46"/>
        <v>mRNA253: -&gt; E3_6_3_27_mRNA | 0.00292 - (0.0093 * E3_6_3_27_mRNA)</v>
      </c>
      <c r="N254" s="33" t="str">
        <f t="shared" si="47"/>
        <v>Peptide253: E3_6_3_27_mRNA -&gt; E3_6_3_27 | (0.278 * E3_6_3_27_mRNA) - (0.000000278 * E3_6_3_27)</v>
      </c>
    </row>
    <row r="255" spans="1:14" x14ac:dyDescent="0.35">
      <c r="A255" s="1">
        <v>254</v>
      </c>
      <c r="B255" s="1" t="s">
        <v>10014</v>
      </c>
      <c r="C255" s="1" t="str">
        <f t="shared" si="36"/>
        <v>E3_6_3_28_mRNA</v>
      </c>
      <c r="D255" s="1" t="str">
        <f t="shared" si="37"/>
        <v>E3_6_3_28</v>
      </c>
      <c r="E255" s="26" t="str">
        <f t="shared" si="38"/>
        <v>E3_6_3_28_kcat : 13.7</v>
      </c>
      <c r="F255" s="27" t="str">
        <f t="shared" si="39"/>
        <v>E3_6_3_28_km : 1</v>
      </c>
      <c r="G255" s="6" t="str">
        <f t="shared" si="40"/>
        <v>E3_6_3_28_mRNA : E3_6_3_28_mRNA</v>
      </c>
      <c r="H255" s="28" t="str">
        <f t="shared" si="41"/>
        <v>E3_6_3_28 : E3_6_3_28</v>
      </c>
      <c r="I255" s="29" t="str">
        <f t="shared" si="42"/>
        <v>E3_6_3_28_mRNA : 0</v>
      </c>
      <c r="J255" s="30" t="str">
        <f t="shared" si="43"/>
        <v>E3_6_3_28 : 0</v>
      </c>
      <c r="K255" s="31" t="str">
        <f t="shared" si="44"/>
        <v>0.00292 - (0.0093 * E3_6_3_28_mRNA)</v>
      </c>
      <c r="L255" s="32" t="str">
        <f t="shared" si="45"/>
        <v>(0.278 * E3_6_3_28_mRNA) - (0.00000278 * E3_6_3_28)</v>
      </c>
      <c r="M255" s="7" t="str">
        <f t="shared" si="46"/>
        <v>mRNA254: -&gt; E3_6_3_28_mRNA | 0.00292 - (0.0093 * E3_6_3_28_mRNA)</v>
      </c>
      <c r="N255" s="33" t="str">
        <f t="shared" si="47"/>
        <v>Peptide254: E3_6_3_28_mRNA -&gt; E3_6_3_28 | (0.278 * E3_6_3_28_mRNA) - (0.000000278 * E3_6_3_28)</v>
      </c>
    </row>
    <row r="256" spans="1:14" x14ac:dyDescent="0.35">
      <c r="A256" s="1">
        <v>255</v>
      </c>
      <c r="B256" s="1" t="s">
        <v>10015</v>
      </c>
      <c r="C256" s="1" t="str">
        <f t="shared" si="36"/>
        <v>E3_6_3_31_mRNA</v>
      </c>
      <c r="D256" s="1" t="str">
        <f t="shared" si="37"/>
        <v>E3_6_3_31</v>
      </c>
      <c r="E256" s="26" t="str">
        <f t="shared" si="38"/>
        <v>E3_6_3_31_kcat : 13.7</v>
      </c>
      <c r="F256" s="27" t="str">
        <f t="shared" si="39"/>
        <v>E3_6_3_31_km : 1</v>
      </c>
      <c r="G256" s="6" t="str">
        <f t="shared" si="40"/>
        <v>E3_6_3_31_mRNA : E3_6_3_31_mRNA</v>
      </c>
      <c r="H256" s="28" t="str">
        <f t="shared" si="41"/>
        <v>E3_6_3_31 : E3_6_3_31</v>
      </c>
      <c r="I256" s="29" t="str">
        <f t="shared" si="42"/>
        <v>E3_6_3_31_mRNA : 0</v>
      </c>
      <c r="J256" s="30" t="str">
        <f t="shared" si="43"/>
        <v>E3_6_3_31 : 0</v>
      </c>
      <c r="K256" s="31" t="str">
        <f t="shared" si="44"/>
        <v>0.00292 - (0.0093 * E3_6_3_31_mRNA)</v>
      </c>
      <c r="L256" s="32" t="str">
        <f t="shared" si="45"/>
        <v>(0.278 * E3_6_3_31_mRNA) - (0.00000278 * E3_6_3_31)</v>
      </c>
      <c r="M256" s="7" t="str">
        <f t="shared" si="46"/>
        <v>mRNA255: -&gt; E3_6_3_31_mRNA | 0.00292 - (0.0093 * E3_6_3_31_mRNA)</v>
      </c>
      <c r="N256" s="33" t="str">
        <f t="shared" si="47"/>
        <v>Peptide255: E3_6_3_31_mRNA -&gt; E3_6_3_31 | (0.278 * E3_6_3_31_mRNA) - (0.000000278 * E3_6_3_31)</v>
      </c>
    </row>
    <row r="257" spans="1:14" x14ac:dyDescent="0.35">
      <c r="A257" s="1">
        <v>256</v>
      </c>
      <c r="B257" s="1" t="s">
        <v>10016</v>
      </c>
      <c r="C257" s="1" t="str">
        <f t="shared" si="36"/>
        <v>E3_6_3_32_mRNA</v>
      </c>
      <c r="D257" s="1" t="str">
        <f t="shared" si="37"/>
        <v>E3_6_3_32</v>
      </c>
      <c r="E257" s="26" t="str">
        <f t="shared" si="38"/>
        <v>E3_6_3_32_kcat : 13.7</v>
      </c>
      <c r="F257" s="27" t="str">
        <f t="shared" si="39"/>
        <v>E3_6_3_32_km : 1</v>
      </c>
      <c r="G257" s="6" t="str">
        <f t="shared" si="40"/>
        <v>E3_6_3_32_mRNA : E3_6_3_32_mRNA</v>
      </c>
      <c r="H257" s="28" t="str">
        <f t="shared" si="41"/>
        <v>E3_6_3_32 : E3_6_3_32</v>
      </c>
      <c r="I257" s="29" t="str">
        <f t="shared" si="42"/>
        <v>E3_6_3_32_mRNA : 0</v>
      </c>
      <c r="J257" s="30" t="str">
        <f t="shared" si="43"/>
        <v>E3_6_3_32 : 0</v>
      </c>
      <c r="K257" s="31" t="str">
        <f t="shared" si="44"/>
        <v>0.00292 - (0.0093 * E3_6_3_32_mRNA)</v>
      </c>
      <c r="L257" s="32" t="str">
        <f t="shared" si="45"/>
        <v>(0.278 * E3_6_3_32_mRNA) - (0.00000278 * E3_6_3_32)</v>
      </c>
      <c r="M257" s="7" t="str">
        <f t="shared" si="46"/>
        <v>mRNA256: -&gt; E3_6_3_32_mRNA | 0.00292 - (0.0093 * E3_6_3_32_mRNA)</v>
      </c>
      <c r="N257" s="33" t="str">
        <f t="shared" si="47"/>
        <v>Peptide256: E3_6_3_32_mRNA -&gt; E3_6_3_32 | (0.278 * E3_6_3_32_mRNA) - (0.000000278 * E3_6_3_32)</v>
      </c>
    </row>
    <row r="258" spans="1:14" x14ac:dyDescent="0.35">
      <c r="A258" s="1">
        <v>257</v>
      </c>
      <c r="B258" s="1" t="s">
        <v>10017</v>
      </c>
      <c r="C258" s="1" t="str">
        <f t="shared" ref="C258:C321" si="48">CONCATENATE(D258,"_mRNA")</f>
        <v>E3_6_3_4_mRNA</v>
      </c>
      <c r="D258" s="1" t="str">
        <f t="shared" ref="D258:D321" si="49">CONCATENATE("E",B258)</f>
        <v>E3_6_3_4</v>
      </c>
      <c r="E258" s="26" t="str">
        <f t="shared" ref="E258:E321" si="50">CONCATENATE("E",B258,"_kcat : 13.7")</f>
        <v>E3_6_3_4_kcat : 13.7</v>
      </c>
      <c r="F258" s="27" t="str">
        <f t="shared" ref="F258:F321" si="51">CONCATENATE("E",B258,"_km : 1")</f>
        <v>E3_6_3_4_km : 1</v>
      </c>
      <c r="G258" s="6" t="str">
        <f t="shared" ref="G258:G321" si="52">CONCATENATE(C258," : ",C258)</f>
        <v>E3_6_3_4_mRNA : E3_6_3_4_mRNA</v>
      </c>
      <c r="H258" s="28" t="str">
        <f t="shared" ref="H258:H321" si="53">CONCATENATE(D258," : ",D258)</f>
        <v>E3_6_3_4 : E3_6_3_4</v>
      </c>
      <c r="I258" s="29" t="str">
        <f t="shared" ref="I258:I321" si="54">CONCATENATE(C258," : ","0")</f>
        <v>E3_6_3_4_mRNA : 0</v>
      </c>
      <c r="J258" s="30" t="str">
        <f t="shared" ref="J258:J321" si="55">CONCATENATE(D258," : ","0")</f>
        <v>E3_6_3_4 : 0</v>
      </c>
      <c r="K258" s="31" t="str">
        <f t="shared" ref="K258:K321" si="56">CONCATENATE("0.00292 - (0.0093 * ",C258,")")</f>
        <v>0.00292 - (0.0093 * E3_6_3_4_mRNA)</v>
      </c>
      <c r="L258" s="32" t="str">
        <f t="shared" ref="L258:L321" si="57">CONCATENATE("(0.278 * ",C258,")"," - (0.00000278 * ",D258,")")</f>
        <v>(0.278 * E3_6_3_4_mRNA) - (0.00000278 * E3_6_3_4)</v>
      </c>
      <c r="M258" s="7" t="str">
        <f t="shared" ref="M258:M321" si="58">CONCATENATE("mRNA",A258,": -&gt; ",C258," | ","0.00292"," - ","(","0.0093"," * ",C258,")")</f>
        <v>mRNA257: -&gt; E3_6_3_4_mRNA | 0.00292 - (0.0093 * E3_6_3_4_mRNA)</v>
      </c>
      <c r="N258" s="33" t="str">
        <f t="shared" ref="N258:N321" si="59">CONCATENATE("Peptide",A258,": ",C258," -&gt; ",D258," | ","(","0.278"," * ",C258,")"," - ","(","0.000000278"," * ",D258,")")</f>
        <v>Peptide257: E3_6_3_4_mRNA -&gt; E3_6_3_4 | (0.278 * E3_6_3_4_mRNA) - (0.000000278 * E3_6_3_4)</v>
      </c>
    </row>
    <row r="259" spans="1:14" x14ac:dyDescent="0.35">
      <c r="A259" s="1">
        <v>258</v>
      </c>
      <c r="B259" s="1" t="s">
        <v>10018</v>
      </c>
      <c r="C259" s="1" t="str">
        <f t="shared" si="48"/>
        <v>E3_6_3_44_mRNA</v>
      </c>
      <c r="D259" s="1" t="str">
        <f t="shared" si="49"/>
        <v>E3_6_3_44</v>
      </c>
      <c r="E259" s="26" t="str">
        <f t="shared" si="50"/>
        <v>E3_6_3_44_kcat : 13.7</v>
      </c>
      <c r="F259" s="27" t="str">
        <f t="shared" si="51"/>
        <v>E3_6_3_44_km : 1</v>
      </c>
      <c r="G259" s="6" t="str">
        <f t="shared" si="52"/>
        <v>E3_6_3_44_mRNA : E3_6_3_44_mRNA</v>
      </c>
      <c r="H259" s="28" t="str">
        <f t="shared" si="53"/>
        <v>E3_6_3_44 : E3_6_3_44</v>
      </c>
      <c r="I259" s="29" t="str">
        <f t="shared" si="54"/>
        <v>E3_6_3_44_mRNA : 0</v>
      </c>
      <c r="J259" s="30" t="str">
        <f t="shared" si="55"/>
        <v>E3_6_3_44 : 0</v>
      </c>
      <c r="K259" s="31" t="str">
        <f t="shared" si="56"/>
        <v>0.00292 - (0.0093 * E3_6_3_44_mRNA)</v>
      </c>
      <c r="L259" s="32" t="str">
        <f t="shared" si="57"/>
        <v>(0.278 * E3_6_3_44_mRNA) - (0.00000278 * E3_6_3_44)</v>
      </c>
      <c r="M259" s="7" t="str">
        <f t="shared" si="58"/>
        <v>mRNA258: -&gt; E3_6_3_44_mRNA | 0.00292 - (0.0093 * E3_6_3_44_mRNA)</v>
      </c>
      <c r="N259" s="33" t="str">
        <f t="shared" si="59"/>
        <v>Peptide258: E3_6_3_44_mRNA -&gt; E3_6_3_44 | (0.278 * E3_6_3_44_mRNA) - (0.000000278 * E3_6_3_44)</v>
      </c>
    </row>
    <row r="260" spans="1:14" x14ac:dyDescent="0.35">
      <c r="A260" s="1">
        <v>259</v>
      </c>
      <c r="B260" s="1" t="s">
        <v>10019</v>
      </c>
      <c r="C260" s="1" t="str">
        <f t="shared" si="48"/>
        <v>E3_6_3_8_mRNA</v>
      </c>
      <c r="D260" s="1" t="str">
        <f t="shared" si="49"/>
        <v>E3_6_3_8</v>
      </c>
      <c r="E260" s="26" t="str">
        <f t="shared" si="50"/>
        <v>E3_6_3_8_kcat : 13.7</v>
      </c>
      <c r="F260" s="27" t="str">
        <f t="shared" si="51"/>
        <v>E3_6_3_8_km : 1</v>
      </c>
      <c r="G260" s="6" t="str">
        <f t="shared" si="52"/>
        <v>E3_6_3_8_mRNA : E3_6_3_8_mRNA</v>
      </c>
      <c r="H260" s="28" t="str">
        <f t="shared" si="53"/>
        <v>E3_6_3_8 : E3_6_3_8</v>
      </c>
      <c r="I260" s="29" t="str">
        <f t="shared" si="54"/>
        <v>E3_6_3_8_mRNA : 0</v>
      </c>
      <c r="J260" s="30" t="str">
        <f t="shared" si="55"/>
        <v>E3_6_3_8 : 0</v>
      </c>
      <c r="K260" s="31" t="str">
        <f t="shared" si="56"/>
        <v>0.00292 - (0.0093 * E3_6_3_8_mRNA)</v>
      </c>
      <c r="L260" s="32" t="str">
        <f t="shared" si="57"/>
        <v>(0.278 * E3_6_3_8_mRNA) - (0.00000278 * E3_6_3_8)</v>
      </c>
      <c r="M260" s="7" t="str">
        <f t="shared" si="58"/>
        <v>mRNA259: -&gt; E3_6_3_8_mRNA | 0.00292 - (0.0093 * E3_6_3_8_mRNA)</v>
      </c>
      <c r="N260" s="33" t="str">
        <f t="shared" si="59"/>
        <v>Peptide259: E3_6_3_8_mRNA -&gt; E3_6_3_8 | (0.278 * E3_6_3_8_mRNA) - (0.000000278 * E3_6_3_8)</v>
      </c>
    </row>
    <row r="261" spans="1:14" x14ac:dyDescent="0.35">
      <c r="A261" s="1">
        <v>260</v>
      </c>
      <c r="B261" s="1" t="s">
        <v>10020</v>
      </c>
      <c r="C261" s="1" t="str">
        <f t="shared" si="48"/>
        <v>E4_1_1_20_mRNA</v>
      </c>
      <c r="D261" s="1" t="str">
        <f t="shared" si="49"/>
        <v>E4_1_1_20</v>
      </c>
      <c r="E261" s="26" t="str">
        <f t="shared" si="50"/>
        <v>E4_1_1_20_kcat : 13.7</v>
      </c>
      <c r="F261" s="27" t="str">
        <f t="shared" si="51"/>
        <v>E4_1_1_20_km : 1</v>
      </c>
      <c r="G261" s="6" t="str">
        <f t="shared" si="52"/>
        <v>E4_1_1_20_mRNA : E4_1_1_20_mRNA</v>
      </c>
      <c r="H261" s="28" t="str">
        <f t="shared" si="53"/>
        <v>E4_1_1_20 : E4_1_1_20</v>
      </c>
      <c r="I261" s="29" t="str">
        <f t="shared" si="54"/>
        <v>E4_1_1_20_mRNA : 0</v>
      </c>
      <c r="J261" s="30" t="str">
        <f t="shared" si="55"/>
        <v>E4_1_1_20 : 0</v>
      </c>
      <c r="K261" s="31" t="str">
        <f t="shared" si="56"/>
        <v>0.00292 - (0.0093 * E4_1_1_20_mRNA)</v>
      </c>
      <c r="L261" s="32" t="str">
        <f t="shared" si="57"/>
        <v>(0.278 * E4_1_1_20_mRNA) - (0.00000278 * E4_1_1_20)</v>
      </c>
      <c r="M261" s="7" t="str">
        <f t="shared" si="58"/>
        <v>mRNA260: -&gt; E4_1_1_20_mRNA | 0.00292 - (0.0093 * E4_1_1_20_mRNA)</v>
      </c>
      <c r="N261" s="33" t="str">
        <f t="shared" si="59"/>
        <v>Peptide260: E4_1_1_20_mRNA -&gt; E4_1_1_20 | (0.278 * E4_1_1_20_mRNA) - (0.000000278 * E4_1_1_20)</v>
      </c>
    </row>
    <row r="262" spans="1:14" x14ac:dyDescent="0.35">
      <c r="A262" s="1">
        <v>261</v>
      </c>
      <c r="B262" s="1" t="s">
        <v>10021</v>
      </c>
      <c r="C262" s="1" t="str">
        <f t="shared" si="48"/>
        <v>E4_1_1_21_mRNA</v>
      </c>
      <c r="D262" s="1" t="str">
        <f t="shared" si="49"/>
        <v>E4_1_1_21</v>
      </c>
      <c r="E262" s="26" t="str">
        <f t="shared" si="50"/>
        <v>E4_1_1_21_kcat : 13.7</v>
      </c>
      <c r="F262" s="27" t="str">
        <f t="shared" si="51"/>
        <v>E4_1_1_21_km : 1</v>
      </c>
      <c r="G262" s="6" t="str">
        <f t="shared" si="52"/>
        <v>E4_1_1_21_mRNA : E4_1_1_21_mRNA</v>
      </c>
      <c r="H262" s="28" t="str">
        <f t="shared" si="53"/>
        <v>E4_1_1_21 : E4_1_1_21</v>
      </c>
      <c r="I262" s="29" t="str">
        <f t="shared" si="54"/>
        <v>E4_1_1_21_mRNA : 0</v>
      </c>
      <c r="J262" s="30" t="str">
        <f t="shared" si="55"/>
        <v>E4_1_1_21 : 0</v>
      </c>
      <c r="K262" s="31" t="str">
        <f t="shared" si="56"/>
        <v>0.00292 - (0.0093 * E4_1_1_21_mRNA)</v>
      </c>
      <c r="L262" s="32" t="str">
        <f t="shared" si="57"/>
        <v>(0.278 * E4_1_1_21_mRNA) - (0.00000278 * E4_1_1_21)</v>
      </c>
      <c r="M262" s="7" t="str">
        <f t="shared" si="58"/>
        <v>mRNA261: -&gt; E4_1_1_21_mRNA | 0.00292 - (0.0093 * E4_1_1_21_mRNA)</v>
      </c>
      <c r="N262" s="33" t="str">
        <f t="shared" si="59"/>
        <v>Peptide261: E4_1_1_21_mRNA -&gt; E4_1_1_21 | (0.278 * E4_1_1_21_mRNA) - (0.000000278 * E4_1_1_21)</v>
      </c>
    </row>
    <row r="263" spans="1:14" x14ac:dyDescent="0.35">
      <c r="A263" s="1">
        <v>262</v>
      </c>
      <c r="B263" s="1" t="s">
        <v>10022</v>
      </c>
      <c r="C263" s="1" t="str">
        <f t="shared" si="48"/>
        <v>E4_1_1_23_mRNA</v>
      </c>
      <c r="D263" s="1" t="str">
        <f t="shared" si="49"/>
        <v>E4_1_1_23</v>
      </c>
      <c r="E263" s="26" t="str">
        <f t="shared" si="50"/>
        <v>E4_1_1_23_kcat : 13.7</v>
      </c>
      <c r="F263" s="27" t="str">
        <f t="shared" si="51"/>
        <v>E4_1_1_23_km : 1</v>
      </c>
      <c r="G263" s="6" t="str">
        <f t="shared" si="52"/>
        <v>E4_1_1_23_mRNA : E4_1_1_23_mRNA</v>
      </c>
      <c r="H263" s="28" t="str">
        <f t="shared" si="53"/>
        <v>E4_1_1_23 : E4_1_1_23</v>
      </c>
      <c r="I263" s="29" t="str">
        <f t="shared" si="54"/>
        <v>E4_1_1_23_mRNA : 0</v>
      </c>
      <c r="J263" s="30" t="str">
        <f t="shared" si="55"/>
        <v>E4_1_1_23 : 0</v>
      </c>
      <c r="K263" s="31" t="str">
        <f t="shared" si="56"/>
        <v>0.00292 - (0.0093 * E4_1_1_23_mRNA)</v>
      </c>
      <c r="L263" s="32" t="str">
        <f t="shared" si="57"/>
        <v>(0.278 * E4_1_1_23_mRNA) - (0.00000278 * E4_1_1_23)</v>
      </c>
      <c r="M263" s="7" t="str">
        <f t="shared" si="58"/>
        <v>mRNA262: -&gt; E4_1_1_23_mRNA | 0.00292 - (0.0093 * E4_1_1_23_mRNA)</v>
      </c>
      <c r="N263" s="33" t="str">
        <f t="shared" si="59"/>
        <v>Peptide262: E4_1_1_23_mRNA -&gt; E4_1_1_23 | (0.278 * E4_1_1_23_mRNA) - (0.000000278 * E4_1_1_23)</v>
      </c>
    </row>
    <row r="264" spans="1:14" x14ac:dyDescent="0.35">
      <c r="A264" s="1">
        <v>263</v>
      </c>
      <c r="B264" s="1" t="s">
        <v>10023</v>
      </c>
      <c r="C264" s="1" t="str">
        <f t="shared" si="48"/>
        <v>E4_1_1_31_mRNA</v>
      </c>
      <c r="D264" s="1" t="str">
        <f t="shared" si="49"/>
        <v>E4_1_1_31</v>
      </c>
      <c r="E264" s="26" t="str">
        <f t="shared" si="50"/>
        <v>E4_1_1_31_kcat : 13.7</v>
      </c>
      <c r="F264" s="27" t="str">
        <f t="shared" si="51"/>
        <v>E4_1_1_31_km : 1</v>
      </c>
      <c r="G264" s="6" t="str">
        <f t="shared" si="52"/>
        <v>E4_1_1_31_mRNA : E4_1_1_31_mRNA</v>
      </c>
      <c r="H264" s="28" t="str">
        <f t="shared" si="53"/>
        <v>E4_1_1_31 : E4_1_1_31</v>
      </c>
      <c r="I264" s="29" t="str">
        <f t="shared" si="54"/>
        <v>E4_1_1_31_mRNA : 0</v>
      </c>
      <c r="J264" s="30" t="str">
        <f t="shared" si="55"/>
        <v>E4_1_1_31 : 0</v>
      </c>
      <c r="K264" s="31" t="str">
        <f t="shared" si="56"/>
        <v>0.00292 - (0.0093 * E4_1_1_31_mRNA)</v>
      </c>
      <c r="L264" s="32" t="str">
        <f t="shared" si="57"/>
        <v>(0.278 * E4_1_1_31_mRNA) - (0.00000278 * E4_1_1_31)</v>
      </c>
      <c r="M264" s="7" t="str">
        <f t="shared" si="58"/>
        <v>mRNA263: -&gt; E4_1_1_31_mRNA | 0.00292 - (0.0093 * E4_1_1_31_mRNA)</v>
      </c>
      <c r="N264" s="33" t="str">
        <f t="shared" si="59"/>
        <v>Peptide263: E4_1_1_31_mRNA -&gt; E4_1_1_31 | (0.278 * E4_1_1_31_mRNA) - (0.000000278 * E4_1_1_31)</v>
      </c>
    </row>
    <row r="265" spans="1:14" x14ac:dyDescent="0.35">
      <c r="A265" s="1">
        <v>264</v>
      </c>
      <c r="B265" s="1" t="s">
        <v>10024</v>
      </c>
      <c r="C265" s="1" t="str">
        <f t="shared" si="48"/>
        <v>E4_1_1_33_mRNA</v>
      </c>
      <c r="D265" s="1" t="str">
        <f t="shared" si="49"/>
        <v>E4_1_1_33</v>
      </c>
      <c r="E265" s="26" t="str">
        <f t="shared" si="50"/>
        <v>E4_1_1_33_kcat : 13.7</v>
      </c>
      <c r="F265" s="27" t="str">
        <f t="shared" si="51"/>
        <v>E4_1_1_33_km : 1</v>
      </c>
      <c r="G265" s="6" t="str">
        <f t="shared" si="52"/>
        <v>E4_1_1_33_mRNA : E4_1_1_33_mRNA</v>
      </c>
      <c r="H265" s="28" t="str">
        <f t="shared" si="53"/>
        <v>E4_1_1_33 : E4_1_1_33</v>
      </c>
      <c r="I265" s="29" t="str">
        <f t="shared" si="54"/>
        <v>E4_1_1_33_mRNA : 0</v>
      </c>
      <c r="J265" s="30" t="str">
        <f t="shared" si="55"/>
        <v>E4_1_1_33 : 0</v>
      </c>
      <c r="K265" s="31" t="str">
        <f t="shared" si="56"/>
        <v>0.00292 - (0.0093 * E4_1_1_33_mRNA)</v>
      </c>
      <c r="L265" s="32" t="str">
        <f t="shared" si="57"/>
        <v>(0.278 * E4_1_1_33_mRNA) - (0.00000278 * E4_1_1_33)</v>
      </c>
      <c r="M265" s="7" t="str">
        <f t="shared" si="58"/>
        <v>mRNA264: -&gt; E4_1_1_33_mRNA | 0.00292 - (0.0093 * E4_1_1_33_mRNA)</v>
      </c>
      <c r="N265" s="33" t="str">
        <f t="shared" si="59"/>
        <v>Peptide264: E4_1_1_33_mRNA -&gt; E4_1_1_33 | (0.278 * E4_1_1_33_mRNA) - (0.000000278 * E4_1_1_33)</v>
      </c>
    </row>
    <row r="266" spans="1:14" x14ac:dyDescent="0.35">
      <c r="A266" s="1">
        <v>265</v>
      </c>
      <c r="B266" s="1" t="s">
        <v>10025</v>
      </c>
      <c r="C266" s="1" t="str">
        <f t="shared" si="48"/>
        <v>E4_1_1_36_mRNA</v>
      </c>
      <c r="D266" s="1" t="str">
        <f t="shared" si="49"/>
        <v>E4_1_1_36</v>
      </c>
      <c r="E266" s="26" t="str">
        <f t="shared" si="50"/>
        <v>E4_1_1_36_kcat : 13.7</v>
      </c>
      <c r="F266" s="27" t="str">
        <f t="shared" si="51"/>
        <v>E4_1_1_36_km : 1</v>
      </c>
      <c r="G266" s="6" t="str">
        <f t="shared" si="52"/>
        <v>E4_1_1_36_mRNA : E4_1_1_36_mRNA</v>
      </c>
      <c r="H266" s="28" t="str">
        <f t="shared" si="53"/>
        <v>E4_1_1_36 : E4_1_1_36</v>
      </c>
      <c r="I266" s="29" t="str">
        <f t="shared" si="54"/>
        <v>E4_1_1_36_mRNA : 0</v>
      </c>
      <c r="J266" s="30" t="str">
        <f t="shared" si="55"/>
        <v>E4_1_1_36 : 0</v>
      </c>
      <c r="K266" s="31" t="str">
        <f t="shared" si="56"/>
        <v>0.00292 - (0.0093 * E4_1_1_36_mRNA)</v>
      </c>
      <c r="L266" s="32" t="str">
        <f t="shared" si="57"/>
        <v>(0.278 * E4_1_1_36_mRNA) - (0.00000278 * E4_1_1_36)</v>
      </c>
      <c r="M266" s="7" t="str">
        <f t="shared" si="58"/>
        <v>mRNA265: -&gt; E4_1_1_36_mRNA | 0.00292 - (0.0093 * E4_1_1_36_mRNA)</v>
      </c>
      <c r="N266" s="33" t="str">
        <f t="shared" si="59"/>
        <v>Peptide265: E4_1_1_36_mRNA -&gt; E4_1_1_36 | (0.278 * E4_1_1_36_mRNA) - (0.000000278 * E4_1_1_36)</v>
      </c>
    </row>
    <row r="267" spans="1:14" x14ac:dyDescent="0.35">
      <c r="A267" s="1">
        <v>266</v>
      </c>
      <c r="B267" s="1" t="s">
        <v>10026</v>
      </c>
      <c r="C267" s="1" t="str">
        <f t="shared" si="48"/>
        <v>E4_1_1_48_mRNA</v>
      </c>
      <c r="D267" s="1" t="str">
        <f t="shared" si="49"/>
        <v>E4_1_1_48</v>
      </c>
      <c r="E267" s="26" t="str">
        <f t="shared" si="50"/>
        <v>E4_1_1_48_kcat : 13.7</v>
      </c>
      <c r="F267" s="27" t="str">
        <f t="shared" si="51"/>
        <v>E4_1_1_48_km : 1</v>
      </c>
      <c r="G267" s="6" t="str">
        <f t="shared" si="52"/>
        <v>E4_1_1_48_mRNA : E4_1_1_48_mRNA</v>
      </c>
      <c r="H267" s="28" t="str">
        <f t="shared" si="53"/>
        <v>E4_1_1_48 : E4_1_1_48</v>
      </c>
      <c r="I267" s="29" t="str">
        <f t="shared" si="54"/>
        <v>E4_1_1_48_mRNA : 0</v>
      </c>
      <c r="J267" s="30" t="str">
        <f t="shared" si="55"/>
        <v>E4_1_1_48 : 0</v>
      </c>
      <c r="K267" s="31" t="str">
        <f t="shared" si="56"/>
        <v>0.00292 - (0.0093 * E4_1_1_48_mRNA)</v>
      </c>
      <c r="L267" s="32" t="str">
        <f t="shared" si="57"/>
        <v>(0.278 * E4_1_1_48_mRNA) - (0.00000278 * E4_1_1_48)</v>
      </c>
      <c r="M267" s="7" t="str">
        <f t="shared" si="58"/>
        <v>mRNA266: -&gt; E4_1_1_48_mRNA | 0.00292 - (0.0093 * E4_1_1_48_mRNA)</v>
      </c>
      <c r="N267" s="33" t="str">
        <f t="shared" si="59"/>
        <v>Peptide266: E4_1_1_48_mRNA -&gt; E4_1_1_48 | (0.278 * E4_1_1_48_mRNA) - (0.000000278 * E4_1_1_48)</v>
      </c>
    </row>
    <row r="268" spans="1:14" x14ac:dyDescent="0.35">
      <c r="A268" s="1">
        <v>267</v>
      </c>
      <c r="B268" s="1" t="s">
        <v>10027</v>
      </c>
      <c r="C268" s="1" t="str">
        <f t="shared" si="48"/>
        <v>E4_1_1_5_mRNA</v>
      </c>
      <c r="D268" s="1" t="str">
        <f t="shared" si="49"/>
        <v>E4_1_1_5</v>
      </c>
      <c r="E268" s="26" t="str">
        <f t="shared" si="50"/>
        <v>E4_1_1_5_kcat : 13.7</v>
      </c>
      <c r="F268" s="27" t="str">
        <f t="shared" si="51"/>
        <v>E4_1_1_5_km : 1</v>
      </c>
      <c r="G268" s="6" t="str">
        <f t="shared" si="52"/>
        <v>E4_1_1_5_mRNA : E4_1_1_5_mRNA</v>
      </c>
      <c r="H268" s="28" t="str">
        <f t="shared" si="53"/>
        <v>E4_1_1_5 : E4_1_1_5</v>
      </c>
      <c r="I268" s="29" t="str">
        <f t="shared" si="54"/>
        <v>E4_1_1_5_mRNA : 0</v>
      </c>
      <c r="J268" s="30" t="str">
        <f t="shared" si="55"/>
        <v>E4_1_1_5 : 0</v>
      </c>
      <c r="K268" s="31" t="str">
        <f t="shared" si="56"/>
        <v>0.00292 - (0.0093 * E4_1_1_5_mRNA)</v>
      </c>
      <c r="L268" s="32" t="str">
        <f t="shared" si="57"/>
        <v>(0.278 * E4_1_1_5_mRNA) - (0.00000278 * E4_1_1_5)</v>
      </c>
      <c r="M268" s="7" t="str">
        <f t="shared" si="58"/>
        <v>mRNA267: -&gt; E4_1_1_5_mRNA | 0.00292 - (0.0093 * E4_1_1_5_mRNA)</v>
      </c>
      <c r="N268" s="33" t="str">
        <f t="shared" si="59"/>
        <v>Peptide267: E4_1_1_5_mRNA -&gt; E4_1_1_5 | (0.278 * E4_1_1_5_mRNA) - (0.000000278 * E4_1_1_5)</v>
      </c>
    </row>
    <row r="269" spans="1:14" x14ac:dyDescent="0.35">
      <c r="A269" s="1">
        <v>268</v>
      </c>
      <c r="B269" s="1" t="s">
        <v>10028</v>
      </c>
      <c r="C269" s="1" t="str">
        <f t="shared" si="48"/>
        <v>E4_1_2_13_mRNA</v>
      </c>
      <c r="D269" s="1" t="str">
        <f t="shared" si="49"/>
        <v>E4_1_2_13</v>
      </c>
      <c r="E269" s="26" t="str">
        <f t="shared" si="50"/>
        <v>E4_1_2_13_kcat : 13.7</v>
      </c>
      <c r="F269" s="27" t="str">
        <f t="shared" si="51"/>
        <v>E4_1_2_13_km : 1</v>
      </c>
      <c r="G269" s="6" t="str">
        <f t="shared" si="52"/>
        <v>E4_1_2_13_mRNA : E4_1_2_13_mRNA</v>
      </c>
      <c r="H269" s="28" t="str">
        <f t="shared" si="53"/>
        <v>E4_1_2_13 : E4_1_2_13</v>
      </c>
      <c r="I269" s="29" t="str">
        <f t="shared" si="54"/>
        <v>E4_1_2_13_mRNA : 0</v>
      </c>
      <c r="J269" s="30" t="str">
        <f t="shared" si="55"/>
        <v>E4_1_2_13 : 0</v>
      </c>
      <c r="K269" s="31" t="str">
        <f t="shared" si="56"/>
        <v>0.00292 - (0.0093 * E4_1_2_13_mRNA)</v>
      </c>
      <c r="L269" s="32" t="str">
        <f t="shared" si="57"/>
        <v>(0.278 * E4_1_2_13_mRNA) - (0.00000278 * E4_1_2_13)</v>
      </c>
      <c r="M269" s="7" t="str">
        <f t="shared" si="58"/>
        <v>mRNA268: -&gt; E4_1_2_13_mRNA | 0.00292 - (0.0093 * E4_1_2_13_mRNA)</v>
      </c>
      <c r="N269" s="33" t="str">
        <f t="shared" si="59"/>
        <v>Peptide268: E4_1_2_13_mRNA -&gt; E4_1_2_13 | (0.278 * E4_1_2_13_mRNA) - (0.000000278 * E4_1_2_13)</v>
      </c>
    </row>
    <row r="270" spans="1:14" x14ac:dyDescent="0.35">
      <c r="A270" s="1">
        <v>269</v>
      </c>
      <c r="B270" s="1" t="s">
        <v>10029</v>
      </c>
      <c r="C270" s="1" t="str">
        <f t="shared" si="48"/>
        <v>E4_1_2_25_mRNA</v>
      </c>
      <c r="D270" s="1" t="str">
        <f t="shared" si="49"/>
        <v>E4_1_2_25</v>
      </c>
      <c r="E270" s="26" t="str">
        <f t="shared" si="50"/>
        <v>E4_1_2_25_kcat : 13.7</v>
      </c>
      <c r="F270" s="27" t="str">
        <f t="shared" si="51"/>
        <v>E4_1_2_25_km : 1</v>
      </c>
      <c r="G270" s="6" t="str">
        <f t="shared" si="52"/>
        <v>E4_1_2_25_mRNA : E4_1_2_25_mRNA</v>
      </c>
      <c r="H270" s="28" t="str">
        <f t="shared" si="53"/>
        <v>E4_1_2_25 : E4_1_2_25</v>
      </c>
      <c r="I270" s="29" t="str">
        <f t="shared" si="54"/>
        <v>E4_1_2_25_mRNA : 0</v>
      </c>
      <c r="J270" s="30" t="str">
        <f t="shared" si="55"/>
        <v>E4_1_2_25 : 0</v>
      </c>
      <c r="K270" s="31" t="str">
        <f t="shared" si="56"/>
        <v>0.00292 - (0.0093 * E4_1_2_25_mRNA)</v>
      </c>
      <c r="L270" s="32" t="str">
        <f t="shared" si="57"/>
        <v>(0.278 * E4_1_2_25_mRNA) - (0.00000278 * E4_1_2_25)</v>
      </c>
      <c r="M270" s="7" t="str">
        <f t="shared" si="58"/>
        <v>mRNA269: -&gt; E4_1_2_25_mRNA | 0.00292 - (0.0093 * E4_1_2_25_mRNA)</v>
      </c>
      <c r="N270" s="33" t="str">
        <f t="shared" si="59"/>
        <v>Peptide269: E4_1_2_25_mRNA -&gt; E4_1_2_25 | (0.278 * E4_1_2_25_mRNA) - (0.000000278 * E4_1_2_25)</v>
      </c>
    </row>
    <row r="271" spans="1:14" x14ac:dyDescent="0.35">
      <c r="A271" s="1">
        <v>270</v>
      </c>
      <c r="B271" s="1" t="s">
        <v>10030</v>
      </c>
      <c r="C271" s="1" t="str">
        <f t="shared" si="48"/>
        <v>E4_1_2_4_mRNA</v>
      </c>
      <c r="D271" s="1" t="str">
        <f t="shared" si="49"/>
        <v>E4_1_2_4</v>
      </c>
      <c r="E271" s="26" t="str">
        <f t="shared" si="50"/>
        <v>E4_1_2_4_kcat : 13.7</v>
      </c>
      <c r="F271" s="27" t="str">
        <f t="shared" si="51"/>
        <v>E4_1_2_4_km : 1</v>
      </c>
      <c r="G271" s="6" t="str">
        <f t="shared" si="52"/>
        <v>E4_1_2_4_mRNA : E4_1_2_4_mRNA</v>
      </c>
      <c r="H271" s="28" t="str">
        <f t="shared" si="53"/>
        <v>E4_1_2_4 : E4_1_2_4</v>
      </c>
      <c r="I271" s="29" t="str">
        <f t="shared" si="54"/>
        <v>E4_1_2_4_mRNA : 0</v>
      </c>
      <c r="J271" s="30" t="str">
        <f t="shared" si="55"/>
        <v>E4_1_2_4 : 0</v>
      </c>
      <c r="K271" s="31" t="str">
        <f t="shared" si="56"/>
        <v>0.00292 - (0.0093 * E4_1_2_4_mRNA)</v>
      </c>
      <c r="L271" s="32" t="str">
        <f t="shared" si="57"/>
        <v>(0.278 * E4_1_2_4_mRNA) - (0.00000278 * E4_1_2_4)</v>
      </c>
      <c r="M271" s="7" t="str">
        <f t="shared" si="58"/>
        <v>mRNA270: -&gt; E4_1_2_4_mRNA | 0.00292 - (0.0093 * E4_1_2_4_mRNA)</v>
      </c>
      <c r="N271" s="33" t="str">
        <f t="shared" si="59"/>
        <v>Peptide270: E4_1_2_4_mRNA -&gt; E4_1_2_4 | (0.278 * E4_1_2_4_mRNA) - (0.000000278 * E4_1_2_4)</v>
      </c>
    </row>
    <row r="272" spans="1:14" x14ac:dyDescent="0.35">
      <c r="A272" s="1">
        <v>271</v>
      </c>
      <c r="B272" s="1" t="s">
        <v>10031</v>
      </c>
      <c r="C272" s="1" t="str">
        <f t="shared" si="48"/>
        <v>E4_1_3_27_mRNA</v>
      </c>
      <c r="D272" s="1" t="str">
        <f t="shared" si="49"/>
        <v>E4_1_3_27</v>
      </c>
      <c r="E272" s="26" t="str">
        <f t="shared" si="50"/>
        <v>E4_1_3_27_kcat : 13.7</v>
      </c>
      <c r="F272" s="27" t="str">
        <f t="shared" si="51"/>
        <v>E4_1_3_27_km : 1</v>
      </c>
      <c r="G272" s="6" t="str">
        <f t="shared" si="52"/>
        <v>E4_1_3_27_mRNA : E4_1_3_27_mRNA</v>
      </c>
      <c r="H272" s="28" t="str">
        <f t="shared" si="53"/>
        <v>E4_1_3_27 : E4_1_3_27</v>
      </c>
      <c r="I272" s="29" t="str">
        <f t="shared" si="54"/>
        <v>E4_1_3_27_mRNA : 0</v>
      </c>
      <c r="J272" s="30" t="str">
        <f t="shared" si="55"/>
        <v>E4_1_3_27 : 0</v>
      </c>
      <c r="K272" s="31" t="str">
        <f t="shared" si="56"/>
        <v>0.00292 - (0.0093 * E4_1_3_27_mRNA)</v>
      </c>
      <c r="L272" s="32" t="str">
        <f t="shared" si="57"/>
        <v>(0.278 * E4_1_3_27_mRNA) - (0.00000278 * E4_1_3_27)</v>
      </c>
      <c r="M272" s="7" t="str">
        <f t="shared" si="58"/>
        <v>mRNA271: -&gt; E4_1_3_27_mRNA | 0.00292 - (0.0093 * E4_1_3_27_mRNA)</v>
      </c>
      <c r="N272" s="33" t="str">
        <f t="shared" si="59"/>
        <v>Peptide271: E4_1_3_27_mRNA -&gt; E4_1_3_27 | (0.278 * E4_1_3_27_mRNA) - (0.000000278 * E4_1_3_27)</v>
      </c>
    </row>
    <row r="273" spans="1:14" x14ac:dyDescent="0.35">
      <c r="A273" s="1">
        <v>272</v>
      </c>
      <c r="B273" s="1" t="s">
        <v>10032</v>
      </c>
      <c r="C273" s="1" t="str">
        <f t="shared" si="48"/>
        <v>E4_2_1_1_mRNA</v>
      </c>
      <c r="D273" s="1" t="str">
        <f t="shared" si="49"/>
        <v>E4_2_1_1</v>
      </c>
      <c r="E273" s="26" t="str">
        <f t="shared" si="50"/>
        <v>E4_2_1_1_kcat : 13.7</v>
      </c>
      <c r="F273" s="27" t="str">
        <f t="shared" si="51"/>
        <v>E4_2_1_1_km : 1</v>
      </c>
      <c r="G273" s="6" t="str">
        <f t="shared" si="52"/>
        <v>E4_2_1_1_mRNA : E4_2_1_1_mRNA</v>
      </c>
      <c r="H273" s="28" t="str">
        <f t="shared" si="53"/>
        <v>E4_2_1_1 : E4_2_1_1</v>
      </c>
      <c r="I273" s="29" t="str">
        <f t="shared" si="54"/>
        <v>E4_2_1_1_mRNA : 0</v>
      </c>
      <c r="J273" s="30" t="str">
        <f t="shared" si="55"/>
        <v>E4_2_1_1 : 0</v>
      </c>
      <c r="K273" s="31" t="str">
        <f t="shared" si="56"/>
        <v>0.00292 - (0.0093 * E4_2_1_1_mRNA)</v>
      </c>
      <c r="L273" s="32" t="str">
        <f t="shared" si="57"/>
        <v>(0.278 * E4_2_1_1_mRNA) - (0.00000278 * E4_2_1_1)</v>
      </c>
      <c r="M273" s="7" t="str">
        <f t="shared" si="58"/>
        <v>mRNA272: -&gt; E4_2_1_1_mRNA | 0.00292 - (0.0093 * E4_2_1_1_mRNA)</v>
      </c>
      <c r="N273" s="33" t="str">
        <f t="shared" si="59"/>
        <v>Peptide272: E4_2_1_1_mRNA -&gt; E4_2_1_1 | (0.278 * E4_2_1_1_mRNA) - (0.000000278 * E4_2_1_1)</v>
      </c>
    </row>
    <row r="274" spans="1:14" x14ac:dyDescent="0.35">
      <c r="A274" s="1">
        <v>273</v>
      </c>
      <c r="B274" s="1" t="s">
        <v>10033</v>
      </c>
      <c r="C274" s="1" t="str">
        <f t="shared" si="48"/>
        <v>E4_2_1_10_mRNA</v>
      </c>
      <c r="D274" s="1" t="str">
        <f t="shared" si="49"/>
        <v>E4_2_1_10</v>
      </c>
      <c r="E274" s="26" t="str">
        <f t="shared" si="50"/>
        <v>E4_2_1_10_kcat : 13.7</v>
      </c>
      <c r="F274" s="27" t="str">
        <f t="shared" si="51"/>
        <v>E4_2_1_10_km : 1</v>
      </c>
      <c r="G274" s="6" t="str">
        <f t="shared" si="52"/>
        <v>E4_2_1_10_mRNA : E4_2_1_10_mRNA</v>
      </c>
      <c r="H274" s="28" t="str">
        <f t="shared" si="53"/>
        <v>E4_2_1_10 : E4_2_1_10</v>
      </c>
      <c r="I274" s="29" t="str">
        <f t="shared" si="54"/>
        <v>E4_2_1_10_mRNA : 0</v>
      </c>
      <c r="J274" s="30" t="str">
        <f t="shared" si="55"/>
        <v>E4_2_1_10 : 0</v>
      </c>
      <c r="K274" s="31" t="str">
        <f t="shared" si="56"/>
        <v>0.00292 - (0.0093 * E4_2_1_10_mRNA)</v>
      </c>
      <c r="L274" s="32" t="str">
        <f t="shared" si="57"/>
        <v>(0.278 * E4_2_1_10_mRNA) - (0.00000278 * E4_2_1_10)</v>
      </c>
      <c r="M274" s="7" t="str">
        <f t="shared" si="58"/>
        <v>mRNA273: -&gt; E4_2_1_10_mRNA | 0.00292 - (0.0093 * E4_2_1_10_mRNA)</v>
      </c>
      <c r="N274" s="33" t="str">
        <f t="shared" si="59"/>
        <v>Peptide273: E4_2_1_10_mRNA -&gt; E4_2_1_10 | (0.278 * E4_2_1_10_mRNA) - (0.000000278 * E4_2_1_10)</v>
      </c>
    </row>
    <row r="275" spans="1:14" x14ac:dyDescent="0.35">
      <c r="A275" s="1">
        <v>274</v>
      </c>
      <c r="B275" s="1" t="s">
        <v>10034</v>
      </c>
      <c r="C275" s="1" t="str">
        <f t="shared" si="48"/>
        <v>E4_2_1_11_mRNA</v>
      </c>
      <c r="D275" s="1" t="str">
        <f t="shared" si="49"/>
        <v>E4_2_1_11</v>
      </c>
      <c r="E275" s="26" t="str">
        <f t="shared" si="50"/>
        <v>E4_2_1_11_kcat : 13.7</v>
      </c>
      <c r="F275" s="27" t="str">
        <f t="shared" si="51"/>
        <v>E4_2_1_11_km : 1</v>
      </c>
      <c r="G275" s="6" t="str">
        <f t="shared" si="52"/>
        <v>E4_2_1_11_mRNA : E4_2_1_11_mRNA</v>
      </c>
      <c r="H275" s="28" t="str">
        <f t="shared" si="53"/>
        <v>E4_2_1_11 : E4_2_1_11</v>
      </c>
      <c r="I275" s="29" t="str">
        <f t="shared" si="54"/>
        <v>E4_2_1_11_mRNA : 0</v>
      </c>
      <c r="J275" s="30" t="str">
        <f t="shared" si="55"/>
        <v>E4_2_1_11 : 0</v>
      </c>
      <c r="K275" s="31" t="str">
        <f t="shared" si="56"/>
        <v>0.00292 - (0.0093 * E4_2_1_11_mRNA)</v>
      </c>
      <c r="L275" s="32" t="str">
        <f t="shared" si="57"/>
        <v>(0.278 * E4_2_1_11_mRNA) - (0.00000278 * E4_2_1_11)</v>
      </c>
      <c r="M275" s="7" t="str">
        <f t="shared" si="58"/>
        <v>mRNA274: -&gt; E4_2_1_11_mRNA | 0.00292 - (0.0093 * E4_2_1_11_mRNA)</v>
      </c>
      <c r="N275" s="33" t="str">
        <f t="shared" si="59"/>
        <v>Peptide274: E4_2_1_11_mRNA -&gt; E4_2_1_11 | (0.278 * E4_2_1_11_mRNA) - (0.000000278 * E4_2_1_11)</v>
      </c>
    </row>
    <row r="276" spans="1:14" x14ac:dyDescent="0.35">
      <c r="A276" s="1">
        <v>275</v>
      </c>
      <c r="B276" s="1" t="s">
        <v>10035</v>
      </c>
      <c r="C276" s="1" t="str">
        <f t="shared" si="48"/>
        <v>E4_2_1_17_mRNA</v>
      </c>
      <c r="D276" s="1" t="str">
        <f t="shared" si="49"/>
        <v>E4_2_1_17</v>
      </c>
      <c r="E276" s="26" t="str">
        <f t="shared" si="50"/>
        <v>E4_2_1_17_kcat : 13.7</v>
      </c>
      <c r="F276" s="27" t="str">
        <f t="shared" si="51"/>
        <v>E4_2_1_17_km : 1</v>
      </c>
      <c r="G276" s="6" t="str">
        <f t="shared" si="52"/>
        <v>E4_2_1_17_mRNA : E4_2_1_17_mRNA</v>
      </c>
      <c r="H276" s="28" t="str">
        <f t="shared" si="53"/>
        <v>E4_2_1_17 : E4_2_1_17</v>
      </c>
      <c r="I276" s="29" t="str">
        <f t="shared" si="54"/>
        <v>E4_2_1_17_mRNA : 0</v>
      </c>
      <c r="J276" s="30" t="str">
        <f t="shared" si="55"/>
        <v>E4_2_1_17 : 0</v>
      </c>
      <c r="K276" s="31" t="str">
        <f t="shared" si="56"/>
        <v>0.00292 - (0.0093 * E4_2_1_17_mRNA)</v>
      </c>
      <c r="L276" s="32" t="str">
        <f t="shared" si="57"/>
        <v>(0.278 * E4_2_1_17_mRNA) - (0.00000278 * E4_2_1_17)</v>
      </c>
      <c r="M276" s="7" t="str">
        <f t="shared" si="58"/>
        <v>mRNA275: -&gt; E4_2_1_17_mRNA | 0.00292 - (0.0093 * E4_2_1_17_mRNA)</v>
      </c>
      <c r="N276" s="33" t="str">
        <f t="shared" si="59"/>
        <v>Peptide275: E4_2_1_17_mRNA -&gt; E4_2_1_17 | (0.278 * E4_2_1_17_mRNA) - (0.000000278 * E4_2_1_17)</v>
      </c>
    </row>
    <row r="277" spans="1:14" x14ac:dyDescent="0.35">
      <c r="A277" s="1">
        <v>276</v>
      </c>
      <c r="B277" s="1" t="s">
        <v>10036</v>
      </c>
      <c r="C277" s="1" t="str">
        <f t="shared" si="48"/>
        <v>E4_2_1_19_mRNA</v>
      </c>
      <c r="D277" s="1" t="str">
        <f t="shared" si="49"/>
        <v>E4_2_1_19</v>
      </c>
      <c r="E277" s="26" t="str">
        <f t="shared" si="50"/>
        <v>E4_2_1_19_kcat : 13.7</v>
      </c>
      <c r="F277" s="27" t="str">
        <f t="shared" si="51"/>
        <v>E4_2_1_19_km : 1</v>
      </c>
      <c r="G277" s="6" t="str">
        <f t="shared" si="52"/>
        <v>E4_2_1_19_mRNA : E4_2_1_19_mRNA</v>
      </c>
      <c r="H277" s="28" t="str">
        <f t="shared" si="53"/>
        <v>E4_2_1_19 : E4_2_1_19</v>
      </c>
      <c r="I277" s="29" t="str">
        <f t="shared" si="54"/>
        <v>E4_2_1_19_mRNA : 0</v>
      </c>
      <c r="J277" s="30" t="str">
        <f t="shared" si="55"/>
        <v>E4_2_1_19 : 0</v>
      </c>
      <c r="K277" s="31" t="str">
        <f t="shared" si="56"/>
        <v>0.00292 - (0.0093 * E4_2_1_19_mRNA)</v>
      </c>
      <c r="L277" s="32" t="str">
        <f t="shared" si="57"/>
        <v>(0.278 * E4_2_1_19_mRNA) - (0.00000278 * E4_2_1_19)</v>
      </c>
      <c r="M277" s="7" t="str">
        <f t="shared" si="58"/>
        <v>mRNA276: -&gt; E4_2_1_19_mRNA | 0.00292 - (0.0093 * E4_2_1_19_mRNA)</v>
      </c>
      <c r="N277" s="33" t="str">
        <f t="shared" si="59"/>
        <v>Peptide276: E4_2_1_19_mRNA -&gt; E4_2_1_19 | (0.278 * E4_2_1_19_mRNA) - (0.000000278 * E4_2_1_19)</v>
      </c>
    </row>
    <row r="278" spans="1:14" x14ac:dyDescent="0.35">
      <c r="A278" s="1">
        <v>277</v>
      </c>
      <c r="B278" s="1" t="s">
        <v>10037</v>
      </c>
      <c r="C278" s="1" t="str">
        <f t="shared" si="48"/>
        <v>E4_2_1_20_mRNA</v>
      </c>
      <c r="D278" s="1" t="str">
        <f t="shared" si="49"/>
        <v>E4_2_1_20</v>
      </c>
      <c r="E278" s="26" t="str">
        <f t="shared" si="50"/>
        <v>E4_2_1_20_kcat : 13.7</v>
      </c>
      <c r="F278" s="27" t="str">
        <f t="shared" si="51"/>
        <v>E4_2_1_20_km : 1</v>
      </c>
      <c r="G278" s="6" t="str">
        <f t="shared" si="52"/>
        <v>E4_2_1_20_mRNA : E4_2_1_20_mRNA</v>
      </c>
      <c r="H278" s="28" t="str">
        <f t="shared" si="53"/>
        <v>E4_2_1_20 : E4_2_1_20</v>
      </c>
      <c r="I278" s="29" t="str">
        <f t="shared" si="54"/>
        <v>E4_2_1_20_mRNA : 0</v>
      </c>
      <c r="J278" s="30" t="str">
        <f t="shared" si="55"/>
        <v>E4_2_1_20 : 0</v>
      </c>
      <c r="K278" s="31" t="str">
        <f t="shared" si="56"/>
        <v>0.00292 - (0.0093 * E4_2_1_20_mRNA)</v>
      </c>
      <c r="L278" s="32" t="str">
        <f t="shared" si="57"/>
        <v>(0.278 * E4_2_1_20_mRNA) - (0.00000278 * E4_2_1_20)</v>
      </c>
      <c r="M278" s="7" t="str">
        <f t="shared" si="58"/>
        <v>mRNA277: -&gt; E4_2_1_20_mRNA | 0.00292 - (0.0093 * E4_2_1_20_mRNA)</v>
      </c>
      <c r="N278" s="33" t="str">
        <f t="shared" si="59"/>
        <v>Peptide277: E4_2_1_20_mRNA -&gt; E4_2_1_20 | (0.278 * E4_2_1_20_mRNA) - (0.000000278 * E4_2_1_20)</v>
      </c>
    </row>
    <row r="279" spans="1:14" x14ac:dyDescent="0.35">
      <c r="A279" s="1">
        <v>278</v>
      </c>
      <c r="B279" s="1" t="s">
        <v>10038</v>
      </c>
      <c r="C279" s="1" t="str">
        <f t="shared" si="48"/>
        <v>E4_2_1_3_mRNA</v>
      </c>
      <c r="D279" s="1" t="str">
        <f t="shared" si="49"/>
        <v>E4_2_1_3</v>
      </c>
      <c r="E279" s="26" t="str">
        <f t="shared" si="50"/>
        <v>E4_2_1_3_kcat : 13.7</v>
      </c>
      <c r="F279" s="27" t="str">
        <f t="shared" si="51"/>
        <v>E4_2_1_3_km : 1</v>
      </c>
      <c r="G279" s="6" t="str">
        <f t="shared" si="52"/>
        <v>E4_2_1_3_mRNA : E4_2_1_3_mRNA</v>
      </c>
      <c r="H279" s="28" t="str">
        <f t="shared" si="53"/>
        <v>E4_2_1_3 : E4_2_1_3</v>
      </c>
      <c r="I279" s="29" t="str">
        <f t="shared" si="54"/>
        <v>E4_2_1_3_mRNA : 0</v>
      </c>
      <c r="J279" s="30" t="str">
        <f t="shared" si="55"/>
        <v>E4_2_1_3 : 0</v>
      </c>
      <c r="K279" s="31" t="str">
        <f t="shared" si="56"/>
        <v>0.00292 - (0.0093 * E4_2_1_3_mRNA)</v>
      </c>
      <c r="L279" s="32" t="str">
        <f t="shared" si="57"/>
        <v>(0.278 * E4_2_1_3_mRNA) - (0.00000278 * E4_2_1_3)</v>
      </c>
      <c r="M279" s="7" t="str">
        <f t="shared" si="58"/>
        <v>mRNA278: -&gt; E4_2_1_3_mRNA | 0.00292 - (0.0093 * E4_2_1_3_mRNA)</v>
      </c>
      <c r="N279" s="33" t="str">
        <f t="shared" si="59"/>
        <v>Peptide278: E4_2_1_3_mRNA -&gt; E4_2_1_3 | (0.278 * E4_2_1_3_mRNA) - (0.000000278 * E4_2_1_3)</v>
      </c>
    </row>
    <row r="280" spans="1:14" x14ac:dyDescent="0.35">
      <c r="A280" s="1">
        <v>279</v>
      </c>
      <c r="B280" s="1" t="s">
        <v>10039</v>
      </c>
      <c r="C280" s="1" t="str">
        <f t="shared" si="48"/>
        <v>E4_2_1_33_mRNA</v>
      </c>
      <c r="D280" s="1" t="str">
        <f t="shared" si="49"/>
        <v>E4_2_1_33</v>
      </c>
      <c r="E280" s="26" t="str">
        <f t="shared" si="50"/>
        <v>E4_2_1_33_kcat : 13.7</v>
      </c>
      <c r="F280" s="27" t="str">
        <f t="shared" si="51"/>
        <v>E4_2_1_33_km : 1</v>
      </c>
      <c r="G280" s="6" t="str">
        <f t="shared" si="52"/>
        <v>E4_2_1_33_mRNA : E4_2_1_33_mRNA</v>
      </c>
      <c r="H280" s="28" t="str">
        <f t="shared" si="53"/>
        <v>E4_2_1_33 : E4_2_1_33</v>
      </c>
      <c r="I280" s="29" t="str">
        <f t="shared" si="54"/>
        <v>E4_2_1_33_mRNA : 0</v>
      </c>
      <c r="J280" s="30" t="str">
        <f t="shared" si="55"/>
        <v>E4_2_1_33 : 0</v>
      </c>
      <c r="K280" s="31" t="str">
        <f t="shared" si="56"/>
        <v>0.00292 - (0.0093 * E4_2_1_33_mRNA)</v>
      </c>
      <c r="L280" s="32" t="str">
        <f t="shared" si="57"/>
        <v>(0.278 * E4_2_1_33_mRNA) - (0.00000278 * E4_2_1_33)</v>
      </c>
      <c r="M280" s="7" t="str">
        <f t="shared" si="58"/>
        <v>mRNA279: -&gt; E4_2_1_33_mRNA | 0.00292 - (0.0093 * E4_2_1_33_mRNA)</v>
      </c>
      <c r="N280" s="33" t="str">
        <f t="shared" si="59"/>
        <v>Peptide279: E4_2_1_33_mRNA -&gt; E4_2_1_33 | (0.278 * E4_2_1_33_mRNA) - (0.000000278 * E4_2_1_33)</v>
      </c>
    </row>
    <row r="281" spans="1:14" x14ac:dyDescent="0.35">
      <c r="A281" s="1">
        <v>280</v>
      </c>
      <c r="B281" s="1" t="s">
        <v>10040</v>
      </c>
      <c r="C281" s="1" t="str">
        <f t="shared" si="48"/>
        <v>E4_2_1_46_mRNA</v>
      </c>
      <c r="D281" s="1" t="str">
        <f t="shared" si="49"/>
        <v>E4_2_1_46</v>
      </c>
      <c r="E281" s="26" t="str">
        <f t="shared" si="50"/>
        <v>E4_2_1_46_kcat : 13.7</v>
      </c>
      <c r="F281" s="27" t="str">
        <f t="shared" si="51"/>
        <v>E4_2_1_46_km : 1</v>
      </c>
      <c r="G281" s="6" t="str">
        <f t="shared" si="52"/>
        <v>E4_2_1_46_mRNA : E4_2_1_46_mRNA</v>
      </c>
      <c r="H281" s="28" t="str">
        <f t="shared" si="53"/>
        <v>E4_2_1_46 : E4_2_1_46</v>
      </c>
      <c r="I281" s="29" t="str">
        <f t="shared" si="54"/>
        <v>E4_2_1_46_mRNA : 0</v>
      </c>
      <c r="J281" s="30" t="str">
        <f t="shared" si="55"/>
        <v>E4_2_1_46 : 0</v>
      </c>
      <c r="K281" s="31" t="str">
        <f t="shared" si="56"/>
        <v>0.00292 - (0.0093 * E4_2_1_46_mRNA)</v>
      </c>
      <c r="L281" s="32" t="str">
        <f t="shared" si="57"/>
        <v>(0.278 * E4_2_1_46_mRNA) - (0.00000278 * E4_2_1_46)</v>
      </c>
      <c r="M281" s="7" t="str">
        <f t="shared" si="58"/>
        <v>mRNA280: -&gt; E4_2_1_46_mRNA | 0.00292 - (0.0093 * E4_2_1_46_mRNA)</v>
      </c>
      <c r="N281" s="33" t="str">
        <f t="shared" si="59"/>
        <v>Peptide280: E4_2_1_46_mRNA -&gt; E4_2_1_46 | (0.278 * E4_2_1_46_mRNA) - (0.000000278 * E4_2_1_46)</v>
      </c>
    </row>
    <row r="282" spans="1:14" x14ac:dyDescent="0.35">
      <c r="A282" s="1">
        <v>281</v>
      </c>
      <c r="B282" s="1" t="s">
        <v>10041</v>
      </c>
      <c r="C282" s="1" t="str">
        <f t="shared" si="48"/>
        <v>E4_2_1_51_mRNA</v>
      </c>
      <c r="D282" s="1" t="str">
        <f t="shared" si="49"/>
        <v>E4_2_1_51</v>
      </c>
      <c r="E282" s="26" t="str">
        <f t="shared" si="50"/>
        <v>E4_2_1_51_kcat : 13.7</v>
      </c>
      <c r="F282" s="27" t="str">
        <f t="shared" si="51"/>
        <v>E4_2_1_51_km : 1</v>
      </c>
      <c r="G282" s="6" t="str">
        <f t="shared" si="52"/>
        <v>E4_2_1_51_mRNA : E4_2_1_51_mRNA</v>
      </c>
      <c r="H282" s="28" t="str">
        <f t="shared" si="53"/>
        <v>E4_2_1_51 : E4_2_1_51</v>
      </c>
      <c r="I282" s="29" t="str">
        <f t="shared" si="54"/>
        <v>E4_2_1_51_mRNA : 0</v>
      </c>
      <c r="J282" s="30" t="str">
        <f t="shared" si="55"/>
        <v>E4_2_1_51 : 0</v>
      </c>
      <c r="K282" s="31" t="str">
        <f t="shared" si="56"/>
        <v>0.00292 - (0.0093 * E4_2_1_51_mRNA)</v>
      </c>
      <c r="L282" s="32" t="str">
        <f t="shared" si="57"/>
        <v>(0.278 * E4_2_1_51_mRNA) - (0.00000278 * E4_2_1_51)</v>
      </c>
      <c r="M282" s="7" t="str">
        <f t="shared" si="58"/>
        <v>mRNA281: -&gt; E4_2_1_51_mRNA | 0.00292 - (0.0093 * E4_2_1_51_mRNA)</v>
      </c>
      <c r="N282" s="33" t="str">
        <f t="shared" si="59"/>
        <v>Peptide281: E4_2_1_51_mRNA -&gt; E4_2_1_51 | (0.278 * E4_2_1_51_mRNA) - (0.000000278 * E4_2_1_51)</v>
      </c>
    </row>
    <row r="283" spans="1:14" x14ac:dyDescent="0.35">
      <c r="A283" s="1">
        <v>282</v>
      </c>
      <c r="B283" s="1" t="s">
        <v>10042</v>
      </c>
      <c r="C283" s="1" t="str">
        <f t="shared" si="48"/>
        <v>E4_2_1_9_mRNA</v>
      </c>
      <c r="D283" s="1" t="str">
        <f t="shared" si="49"/>
        <v>E4_2_1_9</v>
      </c>
      <c r="E283" s="26" t="str">
        <f t="shared" si="50"/>
        <v>E4_2_1_9_kcat : 13.7</v>
      </c>
      <c r="F283" s="27" t="str">
        <f t="shared" si="51"/>
        <v>E4_2_1_9_km : 1</v>
      </c>
      <c r="G283" s="6" t="str">
        <f t="shared" si="52"/>
        <v>E4_2_1_9_mRNA : E4_2_1_9_mRNA</v>
      </c>
      <c r="H283" s="28" t="str">
        <f t="shared" si="53"/>
        <v>E4_2_1_9 : E4_2_1_9</v>
      </c>
      <c r="I283" s="29" t="str">
        <f t="shared" si="54"/>
        <v>E4_2_1_9_mRNA : 0</v>
      </c>
      <c r="J283" s="30" t="str">
        <f t="shared" si="55"/>
        <v>E4_2_1_9 : 0</v>
      </c>
      <c r="K283" s="31" t="str">
        <f t="shared" si="56"/>
        <v>0.00292 - (0.0093 * E4_2_1_9_mRNA)</v>
      </c>
      <c r="L283" s="32" t="str">
        <f t="shared" si="57"/>
        <v>(0.278 * E4_2_1_9_mRNA) - (0.00000278 * E4_2_1_9)</v>
      </c>
      <c r="M283" s="7" t="str">
        <f t="shared" si="58"/>
        <v>mRNA282: -&gt; E4_2_1_9_mRNA | 0.00292 - (0.0093 * E4_2_1_9_mRNA)</v>
      </c>
      <c r="N283" s="33" t="str">
        <f t="shared" si="59"/>
        <v>Peptide282: E4_2_1_9_mRNA -&gt; E4_2_1_9 | (0.278 * E4_2_1_9_mRNA) - (0.000000278 * E4_2_1_9)</v>
      </c>
    </row>
    <row r="284" spans="1:14" x14ac:dyDescent="0.35">
      <c r="A284" s="1">
        <v>283</v>
      </c>
      <c r="B284" s="1" t="s">
        <v>10043</v>
      </c>
      <c r="C284" s="1" t="str">
        <f t="shared" si="48"/>
        <v>E4_2_3_1_mRNA</v>
      </c>
      <c r="D284" s="1" t="str">
        <f t="shared" si="49"/>
        <v>E4_2_3_1</v>
      </c>
      <c r="E284" s="26" t="str">
        <f t="shared" si="50"/>
        <v>E4_2_3_1_kcat : 13.7</v>
      </c>
      <c r="F284" s="27" t="str">
        <f t="shared" si="51"/>
        <v>E4_2_3_1_km : 1</v>
      </c>
      <c r="G284" s="6" t="str">
        <f t="shared" si="52"/>
        <v>E4_2_3_1_mRNA : E4_2_3_1_mRNA</v>
      </c>
      <c r="H284" s="28" t="str">
        <f t="shared" si="53"/>
        <v>E4_2_3_1 : E4_2_3_1</v>
      </c>
      <c r="I284" s="29" t="str">
        <f t="shared" si="54"/>
        <v>E4_2_3_1_mRNA : 0</v>
      </c>
      <c r="J284" s="30" t="str">
        <f t="shared" si="55"/>
        <v>E4_2_3_1 : 0</v>
      </c>
      <c r="K284" s="31" t="str">
        <f t="shared" si="56"/>
        <v>0.00292 - (0.0093 * E4_2_3_1_mRNA)</v>
      </c>
      <c r="L284" s="32" t="str">
        <f t="shared" si="57"/>
        <v>(0.278 * E4_2_3_1_mRNA) - (0.00000278 * E4_2_3_1)</v>
      </c>
      <c r="M284" s="7" t="str">
        <f t="shared" si="58"/>
        <v>mRNA283: -&gt; E4_2_3_1_mRNA | 0.00292 - (0.0093 * E4_2_3_1_mRNA)</v>
      </c>
      <c r="N284" s="33" t="str">
        <f t="shared" si="59"/>
        <v>Peptide283: E4_2_3_1_mRNA -&gt; E4_2_3_1 | (0.278 * E4_2_3_1_mRNA) - (0.000000278 * E4_2_3_1)</v>
      </c>
    </row>
    <row r="285" spans="1:14" x14ac:dyDescent="0.35">
      <c r="A285" s="1">
        <v>284</v>
      </c>
      <c r="B285" s="1" t="s">
        <v>10044</v>
      </c>
      <c r="C285" s="1" t="str">
        <f t="shared" si="48"/>
        <v>E4_2_3_12_mRNA</v>
      </c>
      <c r="D285" s="1" t="str">
        <f t="shared" si="49"/>
        <v>E4_2_3_12</v>
      </c>
      <c r="E285" s="26" t="str">
        <f t="shared" si="50"/>
        <v>E4_2_3_12_kcat : 13.7</v>
      </c>
      <c r="F285" s="27" t="str">
        <f t="shared" si="51"/>
        <v>E4_2_3_12_km : 1</v>
      </c>
      <c r="G285" s="6" t="str">
        <f t="shared" si="52"/>
        <v>E4_2_3_12_mRNA : E4_2_3_12_mRNA</v>
      </c>
      <c r="H285" s="28" t="str">
        <f t="shared" si="53"/>
        <v>E4_2_3_12 : E4_2_3_12</v>
      </c>
      <c r="I285" s="29" t="str">
        <f t="shared" si="54"/>
        <v>E4_2_3_12_mRNA : 0</v>
      </c>
      <c r="J285" s="30" t="str">
        <f t="shared" si="55"/>
        <v>E4_2_3_12 : 0</v>
      </c>
      <c r="K285" s="31" t="str">
        <f t="shared" si="56"/>
        <v>0.00292 - (0.0093 * E4_2_3_12_mRNA)</v>
      </c>
      <c r="L285" s="32" t="str">
        <f t="shared" si="57"/>
        <v>(0.278 * E4_2_3_12_mRNA) - (0.00000278 * E4_2_3_12)</v>
      </c>
      <c r="M285" s="7" t="str">
        <f t="shared" si="58"/>
        <v>mRNA284: -&gt; E4_2_3_12_mRNA | 0.00292 - (0.0093 * E4_2_3_12_mRNA)</v>
      </c>
      <c r="N285" s="33" t="str">
        <f t="shared" si="59"/>
        <v>Peptide284: E4_2_3_12_mRNA -&gt; E4_2_3_12 | (0.278 * E4_2_3_12_mRNA) - (0.000000278 * E4_2_3_12)</v>
      </c>
    </row>
    <row r="286" spans="1:14" x14ac:dyDescent="0.35">
      <c r="A286" s="1">
        <v>285</v>
      </c>
      <c r="B286" s="1" t="s">
        <v>10045</v>
      </c>
      <c r="C286" s="1" t="str">
        <f t="shared" si="48"/>
        <v>E4_2_3_4_mRNA</v>
      </c>
      <c r="D286" s="1" t="str">
        <f t="shared" si="49"/>
        <v>E4_2_3_4</v>
      </c>
      <c r="E286" s="26" t="str">
        <f t="shared" si="50"/>
        <v>E4_2_3_4_kcat : 13.7</v>
      </c>
      <c r="F286" s="27" t="str">
        <f t="shared" si="51"/>
        <v>E4_2_3_4_km : 1</v>
      </c>
      <c r="G286" s="6" t="str">
        <f t="shared" si="52"/>
        <v>E4_2_3_4_mRNA : E4_2_3_4_mRNA</v>
      </c>
      <c r="H286" s="28" t="str">
        <f t="shared" si="53"/>
        <v>E4_2_3_4 : E4_2_3_4</v>
      </c>
      <c r="I286" s="29" t="str">
        <f t="shared" si="54"/>
        <v>E4_2_3_4_mRNA : 0</v>
      </c>
      <c r="J286" s="30" t="str">
        <f t="shared" si="55"/>
        <v>E4_2_3_4 : 0</v>
      </c>
      <c r="K286" s="31" t="str">
        <f t="shared" si="56"/>
        <v>0.00292 - (0.0093 * E4_2_3_4_mRNA)</v>
      </c>
      <c r="L286" s="32" t="str">
        <f t="shared" si="57"/>
        <v>(0.278 * E4_2_3_4_mRNA) - (0.00000278 * E4_2_3_4)</v>
      </c>
      <c r="M286" s="7" t="str">
        <f t="shared" si="58"/>
        <v>mRNA285: -&gt; E4_2_3_4_mRNA | 0.00292 - (0.0093 * E4_2_3_4_mRNA)</v>
      </c>
      <c r="N286" s="33" t="str">
        <f t="shared" si="59"/>
        <v>Peptide285: E4_2_3_4_mRNA -&gt; E4_2_3_4 | (0.278 * E4_2_3_4_mRNA) - (0.000000278 * E4_2_3_4)</v>
      </c>
    </row>
    <row r="287" spans="1:14" x14ac:dyDescent="0.35">
      <c r="A287" s="1">
        <v>286</v>
      </c>
      <c r="B287" s="1" t="s">
        <v>10046</v>
      </c>
      <c r="C287" s="1" t="str">
        <f t="shared" si="48"/>
        <v>E4_2_3_5_mRNA</v>
      </c>
      <c r="D287" s="1" t="str">
        <f t="shared" si="49"/>
        <v>E4_2_3_5</v>
      </c>
      <c r="E287" s="26" t="str">
        <f t="shared" si="50"/>
        <v>E4_2_3_5_kcat : 13.7</v>
      </c>
      <c r="F287" s="27" t="str">
        <f t="shared" si="51"/>
        <v>E4_2_3_5_km : 1</v>
      </c>
      <c r="G287" s="6" t="str">
        <f t="shared" si="52"/>
        <v>E4_2_3_5_mRNA : E4_2_3_5_mRNA</v>
      </c>
      <c r="H287" s="28" t="str">
        <f t="shared" si="53"/>
        <v>E4_2_3_5 : E4_2_3_5</v>
      </c>
      <c r="I287" s="29" t="str">
        <f t="shared" si="54"/>
        <v>E4_2_3_5_mRNA : 0</v>
      </c>
      <c r="J287" s="30" t="str">
        <f t="shared" si="55"/>
        <v>E4_2_3_5 : 0</v>
      </c>
      <c r="K287" s="31" t="str">
        <f t="shared" si="56"/>
        <v>0.00292 - (0.0093 * E4_2_3_5_mRNA)</v>
      </c>
      <c r="L287" s="32" t="str">
        <f t="shared" si="57"/>
        <v>(0.278 * E4_2_3_5_mRNA) - (0.00000278 * E4_2_3_5)</v>
      </c>
      <c r="M287" s="7" t="str">
        <f t="shared" si="58"/>
        <v>mRNA286: -&gt; E4_2_3_5_mRNA | 0.00292 - (0.0093 * E4_2_3_5_mRNA)</v>
      </c>
      <c r="N287" s="33" t="str">
        <f t="shared" si="59"/>
        <v>Peptide286: E4_2_3_5_mRNA -&gt; E4_2_3_5 | (0.278 * E4_2_3_5_mRNA) - (0.000000278 * E4_2_3_5)</v>
      </c>
    </row>
    <row r="288" spans="1:14" x14ac:dyDescent="0.35">
      <c r="A288" s="1">
        <v>287</v>
      </c>
      <c r="B288" s="1" t="s">
        <v>10047</v>
      </c>
      <c r="C288" s="1" t="str">
        <f t="shared" si="48"/>
        <v>E4_2_99_18_mRNA</v>
      </c>
      <c r="D288" s="1" t="str">
        <f t="shared" si="49"/>
        <v>E4_2_99_18</v>
      </c>
      <c r="E288" s="26" t="str">
        <f t="shared" si="50"/>
        <v>E4_2_99_18_kcat : 13.7</v>
      </c>
      <c r="F288" s="27" t="str">
        <f t="shared" si="51"/>
        <v>E4_2_99_18_km : 1</v>
      </c>
      <c r="G288" s="6" t="str">
        <f t="shared" si="52"/>
        <v>E4_2_99_18_mRNA : E4_2_99_18_mRNA</v>
      </c>
      <c r="H288" s="28" t="str">
        <f t="shared" si="53"/>
        <v>E4_2_99_18 : E4_2_99_18</v>
      </c>
      <c r="I288" s="29" t="str">
        <f t="shared" si="54"/>
        <v>E4_2_99_18_mRNA : 0</v>
      </c>
      <c r="J288" s="30" t="str">
        <f t="shared" si="55"/>
        <v>E4_2_99_18 : 0</v>
      </c>
      <c r="K288" s="31" t="str">
        <f t="shared" si="56"/>
        <v>0.00292 - (0.0093 * E4_2_99_18_mRNA)</v>
      </c>
      <c r="L288" s="32" t="str">
        <f t="shared" si="57"/>
        <v>(0.278 * E4_2_99_18_mRNA) - (0.00000278 * E4_2_99_18)</v>
      </c>
      <c r="M288" s="7" t="str">
        <f t="shared" si="58"/>
        <v>mRNA287: -&gt; E4_2_99_18_mRNA | 0.00292 - (0.0093 * E4_2_99_18_mRNA)</v>
      </c>
      <c r="N288" s="33" t="str">
        <f t="shared" si="59"/>
        <v>Peptide287: E4_2_99_18_mRNA -&gt; E4_2_99_18 | (0.278 * E4_2_99_18_mRNA) - (0.000000278 * E4_2_99_18)</v>
      </c>
    </row>
    <row r="289" spans="1:14" x14ac:dyDescent="0.35">
      <c r="A289" s="1">
        <v>288</v>
      </c>
      <c r="B289" s="1" t="s">
        <v>10048</v>
      </c>
      <c r="C289" s="1" t="str">
        <f t="shared" si="48"/>
        <v>E4_3_1_17_mRNA</v>
      </c>
      <c r="D289" s="1" t="str">
        <f t="shared" si="49"/>
        <v>E4_3_1_17</v>
      </c>
      <c r="E289" s="26" t="str">
        <f t="shared" si="50"/>
        <v>E4_3_1_17_kcat : 13.7</v>
      </c>
      <c r="F289" s="27" t="str">
        <f t="shared" si="51"/>
        <v>E4_3_1_17_km : 1</v>
      </c>
      <c r="G289" s="6" t="str">
        <f t="shared" si="52"/>
        <v>E4_3_1_17_mRNA : E4_3_1_17_mRNA</v>
      </c>
      <c r="H289" s="28" t="str">
        <f t="shared" si="53"/>
        <v>E4_3_1_17 : E4_3_1_17</v>
      </c>
      <c r="I289" s="29" t="str">
        <f t="shared" si="54"/>
        <v>E4_3_1_17_mRNA : 0</v>
      </c>
      <c r="J289" s="30" t="str">
        <f t="shared" si="55"/>
        <v>E4_3_1_17 : 0</v>
      </c>
      <c r="K289" s="31" t="str">
        <f t="shared" si="56"/>
        <v>0.00292 - (0.0093 * E4_3_1_17_mRNA)</v>
      </c>
      <c r="L289" s="32" t="str">
        <f t="shared" si="57"/>
        <v>(0.278 * E4_3_1_17_mRNA) - (0.00000278 * E4_3_1_17)</v>
      </c>
      <c r="M289" s="7" t="str">
        <f t="shared" si="58"/>
        <v>mRNA288: -&gt; E4_3_1_17_mRNA | 0.00292 - (0.0093 * E4_3_1_17_mRNA)</v>
      </c>
      <c r="N289" s="33" t="str">
        <f t="shared" si="59"/>
        <v>Peptide288: E4_3_1_17_mRNA -&gt; E4_3_1_17 | (0.278 * E4_3_1_17_mRNA) - (0.000000278 * E4_3_1_17)</v>
      </c>
    </row>
    <row r="290" spans="1:14" x14ac:dyDescent="0.35">
      <c r="A290" s="1">
        <v>289</v>
      </c>
      <c r="B290" s="1" t="s">
        <v>10049</v>
      </c>
      <c r="C290" s="1" t="str">
        <f t="shared" si="48"/>
        <v>E4_3_1_19_mRNA</v>
      </c>
      <c r="D290" s="1" t="str">
        <f t="shared" si="49"/>
        <v>E4_3_1_19</v>
      </c>
      <c r="E290" s="26" t="str">
        <f t="shared" si="50"/>
        <v>E4_3_1_19_kcat : 13.7</v>
      </c>
      <c r="F290" s="27" t="str">
        <f t="shared" si="51"/>
        <v>E4_3_1_19_km : 1</v>
      </c>
      <c r="G290" s="6" t="str">
        <f t="shared" si="52"/>
        <v>E4_3_1_19_mRNA : E4_3_1_19_mRNA</v>
      </c>
      <c r="H290" s="28" t="str">
        <f t="shared" si="53"/>
        <v>E4_3_1_19 : E4_3_1_19</v>
      </c>
      <c r="I290" s="29" t="str">
        <f t="shared" si="54"/>
        <v>E4_3_1_19_mRNA : 0</v>
      </c>
      <c r="J290" s="30" t="str">
        <f t="shared" si="55"/>
        <v>E4_3_1_19 : 0</v>
      </c>
      <c r="K290" s="31" t="str">
        <f t="shared" si="56"/>
        <v>0.00292 - (0.0093 * E4_3_1_19_mRNA)</v>
      </c>
      <c r="L290" s="32" t="str">
        <f t="shared" si="57"/>
        <v>(0.278 * E4_3_1_19_mRNA) - (0.00000278 * E4_3_1_19)</v>
      </c>
      <c r="M290" s="7" t="str">
        <f t="shared" si="58"/>
        <v>mRNA289: -&gt; E4_3_1_19_mRNA | 0.00292 - (0.0093 * E4_3_1_19_mRNA)</v>
      </c>
      <c r="N290" s="33" t="str">
        <f t="shared" si="59"/>
        <v>Peptide289: E4_3_1_19_mRNA -&gt; E4_3_1_19 | (0.278 * E4_3_1_19_mRNA) - (0.000000278 * E4_3_1_19)</v>
      </c>
    </row>
    <row r="291" spans="1:14" x14ac:dyDescent="0.35">
      <c r="A291" s="1">
        <v>290</v>
      </c>
      <c r="B291" s="1" t="s">
        <v>10050</v>
      </c>
      <c r="C291" s="1" t="str">
        <f t="shared" si="48"/>
        <v>E4_3_2_1_mRNA</v>
      </c>
      <c r="D291" s="1" t="str">
        <f t="shared" si="49"/>
        <v>E4_3_2_1</v>
      </c>
      <c r="E291" s="26" t="str">
        <f t="shared" si="50"/>
        <v>E4_3_2_1_kcat : 13.7</v>
      </c>
      <c r="F291" s="27" t="str">
        <f t="shared" si="51"/>
        <v>E4_3_2_1_km : 1</v>
      </c>
      <c r="G291" s="6" t="str">
        <f t="shared" si="52"/>
        <v>E4_3_2_1_mRNA : E4_3_2_1_mRNA</v>
      </c>
      <c r="H291" s="28" t="str">
        <f t="shared" si="53"/>
        <v>E4_3_2_1 : E4_3_2_1</v>
      </c>
      <c r="I291" s="29" t="str">
        <f t="shared" si="54"/>
        <v>E4_3_2_1_mRNA : 0</v>
      </c>
      <c r="J291" s="30" t="str">
        <f t="shared" si="55"/>
        <v>E4_3_2_1 : 0</v>
      </c>
      <c r="K291" s="31" t="str">
        <f t="shared" si="56"/>
        <v>0.00292 - (0.0093 * E4_3_2_1_mRNA)</v>
      </c>
      <c r="L291" s="32" t="str">
        <f t="shared" si="57"/>
        <v>(0.278 * E4_3_2_1_mRNA) - (0.00000278 * E4_3_2_1)</v>
      </c>
      <c r="M291" s="7" t="str">
        <f t="shared" si="58"/>
        <v>mRNA290: -&gt; E4_3_2_1_mRNA | 0.00292 - (0.0093 * E4_3_2_1_mRNA)</v>
      </c>
      <c r="N291" s="33" t="str">
        <f t="shared" si="59"/>
        <v>Peptide290: E4_3_2_1_mRNA -&gt; E4_3_2_1 | (0.278 * E4_3_2_1_mRNA) - (0.000000278 * E4_3_2_1)</v>
      </c>
    </row>
    <row r="292" spans="1:14" x14ac:dyDescent="0.35">
      <c r="A292" s="1">
        <v>291</v>
      </c>
      <c r="B292" s="1" t="s">
        <v>10051</v>
      </c>
      <c r="C292" s="1" t="str">
        <f t="shared" si="48"/>
        <v>E4_3_2_2_mRNA</v>
      </c>
      <c r="D292" s="1" t="str">
        <f t="shared" si="49"/>
        <v>E4_3_2_2</v>
      </c>
      <c r="E292" s="26" t="str">
        <f t="shared" si="50"/>
        <v>E4_3_2_2_kcat : 13.7</v>
      </c>
      <c r="F292" s="27" t="str">
        <f t="shared" si="51"/>
        <v>E4_3_2_2_km : 1</v>
      </c>
      <c r="G292" s="6" t="str">
        <f t="shared" si="52"/>
        <v>E4_3_2_2_mRNA : E4_3_2_2_mRNA</v>
      </c>
      <c r="H292" s="28" t="str">
        <f t="shared" si="53"/>
        <v>E4_3_2_2 : E4_3_2_2</v>
      </c>
      <c r="I292" s="29" t="str">
        <f t="shared" si="54"/>
        <v>E4_3_2_2_mRNA : 0</v>
      </c>
      <c r="J292" s="30" t="str">
        <f t="shared" si="55"/>
        <v>E4_3_2_2 : 0</v>
      </c>
      <c r="K292" s="31" t="str">
        <f t="shared" si="56"/>
        <v>0.00292 - (0.0093 * E4_3_2_2_mRNA)</v>
      </c>
      <c r="L292" s="32" t="str">
        <f t="shared" si="57"/>
        <v>(0.278 * E4_3_2_2_mRNA) - (0.00000278 * E4_3_2_2)</v>
      </c>
      <c r="M292" s="7" t="str">
        <f t="shared" si="58"/>
        <v>mRNA291: -&gt; E4_3_2_2_mRNA | 0.00292 - (0.0093 * E4_3_2_2_mRNA)</v>
      </c>
      <c r="N292" s="33" t="str">
        <f t="shared" si="59"/>
        <v>Peptide291: E4_3_2_2_mRNA -&gt; E4_3_2_2 | (0.278 * E4_3_2_2_mRNA) - (0.000000278 * E4_3_2_2)</v>
      </c>
    </row>
    <row r="293" spans="1:14" x14ac:dyDescent="0.35">
      <c r="A293" s="1">
        <v>292</v>
      </c>
      <c r="B293" s="1" t="s">
        <v>10052</v>
      </c>
      <c r="C293" s="1" t="str">
        <f t="shared" si="48"/>
        <v>E4_3_3_7_mRNA</v>
      </c>
      <c r="D293" s="1" t="str">
        <f t="shared" si="49"/>
        <v>E4_3_3_7</v>
      </c>
      <c r="E293" s="26" t="str">
        <f t="shared" si="50"/>
        <v>E4_3_3_7_kcat : 13.7</v>
      </c>
      <c r="F293" s="27" t="str">
        <f t="shared" si="51"/>
        <v>E4_3_3_7_km : 1</v>
      </c>
      <c r="G293" s="6" t="str">
        <f t="shared" si="52"/>
        <v>E4_3_3_7_mRNA : E4_3_3_7_mRNA</v>
      </c>
      <c r="H293" s="28" t="str">
        <f t="shared" si="53"/>
        <v>E4_3_3_7 : E4_3_3_7</v>
      </c>
      <c r="I293" s="29" t="str">
        <f t="shared" si="54"/>
        <v>E4_3_3_7_mRNA : 0</v>
      </c>
      <c r="J293" s="30" t="str">
        <f t="shared" si="55"/>
        <v>E4_3_3_7 : 0</v>
      </c>
      <c r="K293" s="31" t="str">
        <f t="shared" si="56"/>
        <v>0.00292 - (0.0093 * E4_3_3_7_mRNA)</v>
      </c>
      <c r="L293" s="32" t="str">
        <f t="shared" si="57"/>
        <v>(0.278 * E4_3_3_7_mRNA) - (0.00000278 * E4_3_3_7)</v>
      </c>
      <c r="M293" s="7" t="str">
        <f t="shared" si="58"/>
        <v>mRNA292: -&gt; E4_3_3_7_mRNA | 0.00292 - (0.0093 * E4_3_3_7_mRNA)</v>
      </c>
      <c r="N293" s="33" t="str">
        <f t="shared" si="59"/>
        <v>Peptide292: E4_3_3_7_mRNA -&gt; E4_3_3_7 | (0.278 * E4_3_3_7_mRNA) - (0.000000278 * E4_3_3_7)</v>
      </c>
    </row>
    <row r="294" spans="1:14" x14ac:dyDescent="0.35">
      <c r="A294" s="1">
        <v>293</v>
      </c>
      <c r="B294" s="1" t="s">
        <v>10053</v>
      </c>
      <c r="C294" s="1" t="str">
        <f t="shared" si="48"/>
        <v>E4_4_1_21_mRNA</v>
      </c>
      <c r="D294" s="1" t="str">
        <f t="shared" si="49"/>
        <v>E4_4_1_21</v>
      </c>
      <c r="E294" s="26" t="str">
        <f t="shared" si="50"/>
        <v>E4_4_1_21_kcat : 13.7</v>
      </c>
      <c r="F294" s="27" t="str">
        <f t="shared" si="51"/>
        <v>E4_4_1_21_km : 1</v>
      </c>
      <c r="G294" s="6" t="str">
        <f t="shared" si="52"/>
        <v>E4_4_1_21_mRNA : E4_4_1_21_mRNA</v>
      </c>
      <c r="H294" s="28" t="str">
        <f t="shared" si="53"/>
        <v>E4_4_1_21 : E4_4_1_21</v>
      </c>
      <c r="I294" s="29" t="str">
        <f t="shared" si="54"/>
        <v>E4_4_1_21_mRNA : 0</v>
      </c>
      <c r="J294" s="30" t="str">
        <f t="shared" si="55"/>
        <v>E4_4_1_21 : 0</v>
      </c>
      <c r="K294" s="31" t="str">
        <f t="shared" si="56"/>
        <v>0.00292 - (0.0093 * E4_4_1_21_mRNA)</v>
      </c>
      <c r="L294" s="32" t="str">
        <f t="shared" si="57"/>
        <v>(0.278 * E4_4_1_21_mRNA) - (0.00000278 * E4_4_1_21)</v>
      </c>
      <c r="M294" s="7" t="str">
        <f t="shared" si="58"/>
        <v>mRNA293: -&gt; E4_4_1_21_mRNA | 0.00292 - (0.0093 * E4_4_1_21_mRNA)</v>
      </c>
      <c r="N294" s="33" t="str">
        <f t="shared" si="59"/>
        <v>Peptide293: E4_4_1_21_mRNA -&gt; E4_4_1_21 | (0.278 * E4_4_1_21_mRNA) - (0.000000278 * E4_4_1_21)</v>
      </c>
    </row>
    <row r="295" spans="1:14" x14ac:dyDescent="0.35">
      <c r="A295" s="1">
        <v>294</v>
      </c>
      <c r="B295" s="1" t="s">
        <v>10054</v>
      </c>
      <c r="C295" s="1" t="str">
        <f t="shared" si="48"/>
        <v>E4_4_1_5_mRNA</v>
      </c>
      <c r="D295" s="1" t="str">
        <f t="shared" si="49"/>
        <v>E4_4_1_5</v>
      </c>
      <c r="E295" s="26" t="str">
        <f t="shared" si="50"/>
        <v>E4_4_1_5_kcat : 13.7</v>
      </c>
      <c r="F295" s="27" t="str">
        <f t="shared" si="51"/>
        <v>E4_4_1_5_km : 1</v>
      </c>
      <c r="G295" s="6" t="str">
        <f t="shared" si="52"/>
        <v>E4_4_1_5_mRNA : E4_4_1_5_mRNA</v>
      </c>
      <c r="H295" s="28" t="str">
        <f t="shared" si="53"/>
        <v>E4_4_1_5 : E4_4_1_5</v>
      </c>
      <c r="I295" s="29" t="str">
        <f t="shared" si="54"/>
        <v>E4_4_1_5_mRNA : 0</v>
      </c>
      <c r="J295" s="30" t="str">
        <f t="shared" si="55"/>
        <v>E4_4_1_5 : 0</v>
      </c>
      <c r="K295" s="31" t="str">
        <f t="shared" si="56"/>
        <v>0.00292 - (0.0093 * E4_4_1_5_mRNA)</v>
      </c>
      <c r="L295" s="32" t="str">
        <f t="shared" si="57"/>
        <v>(0.278 * E4_4_1_5_mRNA) - (0.00000278 * E4_4_1_5)</v>
      </c>
      <c r="M295" s="7" t="str">
        <f t="shared" si="58"/>
        <v>mRNA294: -&gt; E4_4_1_5_mRNA | 0.00292 - (0.0093 * E4_4_1_5_mRNA)</v>
      </c>
      <c r="N295" s="33" t="str">
        <f t="shared" si="59"/>
        <v>Peptide294: E4_4_1_5_mRNA -&gt; E4_4_1_5 | (0.278 * E4_4_1_5_mRNA) - (0.000000278 * E4_4_1_5)</v>
      </c>
    </row>
    <row r="296" spans="1:14" x14ac:dyDescent="0.35">
      <c r="A296" s="1">
        <v>295</v>
      </c>
      <c r="B296" s="1" t="s">
        <v>10055</v>
      </c>
      <c r="C296" s="1" t="str">
        <f t="shared" si="48"/>
        <v>E4_99_1_1_mRNA</v>
      </c>
      <c r="D296" s="1" t="str">
        <f t="shared" si="49"/>
        <v>E4_99_1_1</v>
      </c>
      <c r="E296" s="26" t="str">
        <f t="shared" si="50"/>
        <v>E4_99_1_1_kcat : 13.7</v>
      </c>
      <c r="F296" s="27" t="str">
        <f t="shared" si="51"/>
        <v>E4_99_1_1_km : 1</v>
      </c>
      <c r="G296" s="6" t="str">
        <f t="shared" si="52"/>
        <v>E4_99_1_1_mRNA : E4_99_1_1_mRNA</v>
      </c>
      <c r="H296" s="28" t="str">
        <f t="shared" si="53"/>
        <v>E4_99_1_1 : E4_99_1_1</v>
      </c>
      <c r="I296" s="29" t="str">
        <f t="shared" si="54"/>
        <v>E4_99_1_1_mRNA : 0</v>
      </c>
      <c r="J296" s="30" t="str">
        <f t="shared" si="55"/>
        <v>E4_99_1_1 : 0</v>
      </c>
      <c r="K296" s="31" t="str">
        <f t="shared" si="56"/>
        <v>0.00292 - (0.0093 * E4_99_1_1_mRNA)</v>
      </c>
      <c r="L296" s="32" t="str">
        <f t="shared" si="57"/>
        <v>(0.278 * E4_99_1_1_mRNA) - (0.00000278 * E4_99_1_1)</v>
      </c>
      <c r="M296" s="7" t="str">
        <f t="shared" si="58"/>
        <v>mRNA295: -&gt; E4_99_1_1_mRNA | 0.00292 - (0.0093 * E4_99_1_1_mRNA)</v>
      </c>
      <c r="N296" s="33" t="str">
        <f t="shared" si="59"/>
        <v>Peptide295: E4_99_1_1_mRNA -&gt; E4_99_1_1 | (0.278 * E4_99_1_1_mRNA) - (0.000000278 * E4_99_1_1)</v>
      </c>
    </row>
    <row r="297" spans="1:14" x14ac:dyDescent="0.35">
      <c r="A297" s="1">
        <v>296</v>
      </c>
      <c r="B297" s="1" t="s">
        <v>10056</v>
      </c>
      <c r="C297" s="1" t="str">
        <f t="shared" si="48"/>
        <v>E5_1_1_1_mRNA</v>
      </c>
      <c r="D297" s="1" t="str">
        <f t="shared" si="49"/>
        <v>E5_1_1_1</v>
      </c>
      <c r="E297" s="26" t="str">
        <f t="shared" si="50"/>
        <v>E5_1_1_1_kcat : 13.7</v>
      </c>
      <c r="F297" s="27" t="str">
        <f t="shared" si="51"/>
        <v>E5_1_1_1_km : 1</v>
      </c>
      <c r="G297" s="6" t="str">
        <f t="shared" si="52"/>
        <v>E5_1_1_1_mRNA : E5_1_1_1_mRNA</v>
      </c>
      <c r="H297" s="28" t="str">
        <f t="shared" si="53"/>
        <v>E5_1_1_1 : E5_1_1_1</v>
      </c>
      <c r="I297" s="29" t="str">
        <f t="shared" si="54"/>
        <v>E5_1_1_1_mRNA : 0</v>
      </c>
      <c r="J297" s="30" t="str">
        <f t="shared" si="55"/>
        <v>E5_1_1_1 : 0</v>
      </c>
      <c r="K297" s="31" t="str">
        <f t="shared" si="56"/>
        <v>0.00292 - (0.0093 * E5_1_1_1_mRNA)</v>
      </c>
      <c r="L297" s="32" t="str">
        <f t="shared" si="57"/>
        <v>(0.278 * E5_1_1_1_mRNA) - (0.00000278 * E5_1_1_1)</v>
      </c>
      <c r="M297" s="7" t="str">
        <f t="shared" si="58"/>
        <v>mRNA296: -&gt; E5_1_1_1_mRNA | 0.00292 - (0.0093 * E5_1_1_1_mRNA)</v>
      </c>
      <c r="N297" s="33" t="str">
        <f t="shared" si="59"/>
        <v>Peptide296: E5_1_1_1_mRNA -&gt; E5_1_1_1 | (0.278 * E5_1_1_1_mRNA) - (0.000000278 * E5_1_1_1)</v>
      </c>
    </row>
    <row r="298" spans="1:14" x14ac:dyDescent="0.35">
      <c r="A298" s="1">
        <v>297</v>
      </c>
      <c r="B298" s="1" t="s">
        <v>10057</v>
      </c>
      <c r="C298" s="1" t="str">
        <f t="shared" si="48"/>
        <v>E5_1_1_3_mRNA</v>
      </c>
      <c r="D298" s="1" t="str">
        <f t="shared" si="49"/>
        <v>E5_1_1_3</v>
      </c>
      <c r="E298" s="26" t="str">
        <f t="shared" si="50"/>
        <v>E5_1_1_3_kcat : 13.7</v>
      </c>
      <c r="F298" s="27" t="str">
        <f t="shared" si="51"/>
        <v>E5_1_1_3_km : 1</v>
      </c>
      <c r="G298" s="6" t="str">
        <f t="shared" si="52"/>
        <v>E5_1_1_3_mRNA : E5_1_1_3_mRNA</v>
      </c>
      <c r="H298" s="28" t="str">
        <f t="shared" si="53"/>
        <v>E5_1_1_3 : E5_1_1_3</v>
      </c>
      <c r="I298" s="29" t="str">
        <f t="shared" si="54"/>
        <v>E5_1_1_3_mRNA : 0</v>
      </c>
      <c r="J298" s="30" t="str">
        <f t="shared" si="55"/>
        <v>E5_1_1_3 : 0</v>
      </c>
      <c r="K298" s="31" t="str">
        <f t="shared" si="56"/>
        <v>0.00292 - (0.0093 * E5_1_1_3_mRNA)</v>
      </c>
      <c r="L298" s="32" t="str">
        <f t="shared" si="57"/>
        <v>(0.278 * E5_1_1_3_mRNA) - (0.00000278 * E5_1_1_3)</v>
      </c>
      <c r="M298" s="7" t="str">
        <f t="shared" si="58"/>
        <v>mRNA297: -&gt; E5_1_1_3_mRNA | 0.00292 - (0.0093 * E5_1_1_3_mRNA)</v>
      </c>
      <c r="N298" s="33" t="str">
        <f t="shared" si="59"/>
        <v>Peptide297: E5_1_1_3_mRNA -&gt; E5_1_1_3 | (0.278 * E5_1_1_3_mRNA) - (0.000000278 * E5_1_1_3)</v>
      </c>
    </row>
    <row r="299" spans="1:14" x14ac:dyDescent="0.35">
      <c r="A299" s="1">
        <v>298</v>
      </c>
      <c r="B299" s="1" t="s">
        <v>10058</v>
      </c>
      <c r="C299" s="1" t="str">
        <f t="shared" si="48"/>
        <v>E5_1_3_1_mRNA</v>
      </c>
      <c r="D299" s="1" t="str">
        <f t="shared" si="49"/>
        <v>E5_1_3_1</v>
      </c>
      <c r="E299" s="26" t="str">
        <f t="shared" si="50"/>
        <v>E5_1_3_1_kcat : 13.7</v>
      </c>
      <c r="F299" s="27" t="str">
        <f t="shared" si="51"/>
        <v>E5_1_3_1_km : 1</v>
      </c>
      <c r="G299" s="6" t="str">
        <f t="shared" si="52"/>
        <v>E5_1_3_1_mRNA : E5_1_3_1_mRNA</v>
      </c>
      <c r="H299" s="28" t="str">
        <f t="shared" si="53"/>
        <v>E5_1_3_1 : E5_1_3_1</v>
      </c>
      <c r="I299" s="29" t="str">
        <f t="shared" si="54"/>
        <v>E5_1_3_1_mRNA : 0</v>
      </c>
      <c r="J299" s="30" t="str">
        <f t="shared" si="55"/>
        <v>E5_1_3_1 : 0</v>
      </c>
      <c r="K299" s="31" t="str">
        <f t="shared" si="56"/>
        <v>0.00292 - (0.0093 * E5_1_3_1_mRNA)</v>
      </c>
      <c r="L299" s="32" t="str">
        <f t="shared" si="57"/>
        <v>(0.278 * E5_1_3_1_mRNA) - (0.00000278 * E5_1_3_1)</v>
      </c>
      <c r="M299" s="7" t="str">
        <f t="shared" si="58"/>
        <v>mRNA298: -&gt; E5_1_3_1_mRNA | 0.00292 - (0.0093 * E5_1_3_1_mRNA)</v>
      </c>
      <c r="N299" s="33" t="str">
        <f t="shared" si="59"/>
        <v>Peptide298: E5_1_3_1_mRNA -&gt; E5_1_3_1 | (0.278 * E5_1_3_1_mRNA) - (0.000000278 * E5_1_3_1)</v>
      </c>
    </row>
    <row r="300" spans="1:14" x14ac:dyDescent="0.35">
      <c r="A300" s="1">
        <v>299</v>
      </c>
      <c r="B300" s="1" t="s">
        <v>10059</v>
      </c>
      <c r="C300" s="1" t="str">
        <f t="shared" si="48"/>
        <v>E5_1_3_13_mRNA</v>
      </c>
      <c r="D300" s="1" t="str">
        <f t="shared" si="49"/>
        <v>E5_1_3_13</v>
      </c>
      <c r="E300" s="26" t="str">
        <f t="shared" si="50"/>
        <v>E5_1_3_13_kcat : 13.7</v>
      </c>
      <c r="F300" s="27" t="str">
        <f t="shared" si="51"/>
        <v>E5_1_3_13_km : 1</v>
      </c>
      <c r="G300" s="6" t="str">
        <f t="shared" si="52"/>
        <v>E5_1_3_13_mRNA : E5_1_3_13_mRNA</v>
      </c>
      <c r="H300" s="28" t="str">
        <f t="shared" si="53"/>
        <v>E5_1_3_13 : E5_1_3_13</v>
      </c>
      <c r="I300" s="29" t="str">
        <f t="shared" si="54"/>
        <v>E5_1_3_13_mRNA : 0</v>
      </c>
      <c r="J300" s="30" t="str">
        <f t="shared" si="55"/>
        <v>E5_1_3_13 : 0</v>
      </c>
      <c r="K300" s="31" t="str">
        <f t="shared" si="56"/>
        <v>0.00292 - (0.0093 * E5_1_3_13_mRNA)</v>
      </c>
      <c r="L300" s="32" t="str">
        <f t="shared" si="57"/>
        <v>(0.278 * E5_1_3_13_mRNA) - (0.00000278 * E5_1_3_13)</v>
      </c>
      <c r="M300" s="7" t="str">
        <f t="shared" si="58"/>
        <v>mRNA299: -&gt; E5_1_3_13_mRNA | 0.00292 - (0.0093 * E5_1_3_13_mRNA)</v>
      </c>
      <c r="N300" s="33" t="str">
        <f t="shared" si="59"/>
        <v>Peptide299: E5_1_3_13_mRNA -&gt; E5_1_3_13 | (0.278 * E5_1_3_13_mRNA) - (0.000000278 * E5_1_3_13)</v>
      </c>
    </row>
    <row r="301" spans="1:14" x14ac:dyDescent="0.35">
      <c r="A301" s="1">
        <v>300</v>
      </c>
      <c r="B301" s="1" t="s">
        <v>10060</v>
      </c>
      <c r="C301" s="1" t="str">
        <f t="shared" si="48"/>
        <v>E5_1_3_2_mRNA</v>
      </c>
      <c r="D301" s="1" t="str">
        <f t="shared" si="49"/>
        <v>E5_1_3_2</v>
      </c>
      <c r="E301" s="26" t="str">
        <f t="shared" si="50"/>
        <v>E5_1_3_2_kcat : 13.7</v>
      </c>
      <c r="F301" s="27" t="str">
        <f t="shared" si="51"/>
        <v>E5_1_3_2_km : 1</v>
      </c>
      <c r="G301" s="6" t="str">
        <f t="shared" si="52"/>
        <v>E5_1_3_2_mRNA : E5_1_3_2_mRNA</v>
      </c>
      <c r="H301" s="28" t="str">
        <f t="shared" si="53"/>
        <v>E5_1_3_2 : E5_1_3_2</v>
      </c>
      <c r="I301" s="29" t="str">
        <f t="shared" si="54"/>
        <v>E5_1_3_2_mRNA : 0</v>
      </c>
      <c r="J301" s="30" t="str">
        <f t="shared" si="55"/>
        <v>E5_1_3_2 : 0</v>
      </c>
      <c r="K301" s="31" t="str">
        <f t="shared" si="56"/>
        <v>0.00292 - (0.0093 * E5_1_3_2_mRNA)</v>
      </c>
      <c r="L301" s="32" t="str">
        <f t="shared" si="57"/>
        <v>(0.278 * E5_1_3_2_mRNA) - (0.00000278 * E5_1_3_2)</v>
      </c>
      <c r="M301" s="7" t="str">
        <f t="shared" si="58"/>
        <v>mRNA300: -&gt; E5_1_3_2_mRNA | 0.00292 - (0.0093 * E5_1_3_2_mRNA)</v>
      </c>
      <c r="N301" s="33" t="str">
        <f t="shared" si="59"/>
        <v>Peptide300: E5_1_3_2_mRNA -&gt; E5_1_3_2 | (0.278 * E5_1_3_2_mRNA) - (0.000000278 * E5_1_3_2)</v>
      </c>
    </row>
    <row r="302" spans="1:14" x14ac:dyDescent="0.35">
      <c r="A302" s="1">
        <v>301</v>
      </c>
      <c r="B302" s="1" t="s">
        <v>10061</v>
      </c>
      <c r="C302" s="1" t="str">
        <f t="shared" si="48"/>
        <v>E5_1_3_3_mRNA</v>
      </c>
      <c r="D302" s="1" t="str">
        <f t="shared" si="49"/>
        <v>E5_1_3_3</v>
      </c>
      <c r="E302" s="26" t="str">
        <f t="shared" si="50"/>
        <v>E5_1_3_3_kcat : 13.7</v>
      </c>
      <c r="F302" s="27" t="str">
        <f t="shared" si="51"/>
        <v>E5_1_3_3_km : 1</v>
      </c>
      <c r="G302" s="6" t="str">
        <f t="shared" si="52"/>
        <v>E5_1_3_3_mRNA : E5_1_3_3_mRNA</v>
      </c>
      <c r="H302" s="28" t="str">
        <f t="shared" si="53"/>
        <v>E5_1_3_3 : E5_1_3_3</v>
      </c>
      <c r="I302" s="29" t="str">
        <f t="shared" si="54"/>
        <v>E5_1_3_3_mRNA : 0</v>
      </c>
      <c r="J302" s="30" t="str">
        <f t="shared" si="55"/>
        <v>E5_1_3_3 : 0</v>
      </c>
      <c r="K302" s="31" t="str">
        <f t="shared" si="56"/>
        <v>0.00292 - (0.0093 * E5_1_3_3_mRNA)</v>
      </c>
      <c r="L302" s="32" t="str">
        <f t="shared" si="57"/>
        <v>(0.278 * E5_1_3_3_mRNA) - (0.00000278 * E5_1_3_3)</v>
      </c>
      <c r="M302" s="7" t="str">
        <f t="shared" si="58"/>
        <v>mRNA301: -&gt; E5_1_3_3_mRNA | 0.00292 - (0.0093 * E5_1_3_3_mRNA)</v>
      </c>
      <c r="N302" s="33" t="str">
        <f t="shared" si="59"/>
        <v>Peptide301: E5_1_3_3_mRNA -&gt; E5_1_3_3 | (0.278 * E5_1_3_3_mRNA) - (0.000000278 * E5_1_3_3)</v>
      </c>
    </row>
    <row r="303" spans="1:14" x14ac:dyDescent="0.35">
      <c r="A303" s="1">
        <v>302</v>
      </c>
      <c r="B303" s="1" t="s">
        <v>10062</v>
      </c>
      <c r="C303" s="1" t="str">
        <f t="shared" si="48"/>
        <v>E5_2_1_8_mRNA</v>
      </c>
      <c r="D303" s="1" t="str">
        <f t="shared" si="49"/>
        <v>E5_2_1_8</v>
      </c>
      <c r="E303" s="26" t="str">
        <f t="shared" si="50"/>
        <v>E5_2_1_8_kcat : 13.7</v>
      </c>
      <c r="F303" s="27" t="str">
        <f t="shared" si="51"/>
        <v>E5_2_1_8_km : 1</v>
      </c>
      <c r="G303" s="6" t="str">
        <f t="shared" si="52"/>
        <v>E5_2_1_8_mRNA : E5_2_1_8_mRNA</v>
      </c>
      <c r="H303" s="28" t="str">
        <f t="shared" si="53"/>
        <v>E5_2_1_8 : E5_2_1_8</v>
      </c>
      <c r="I303" s="29" t="str">
        <f t="shared" si="54"/>
        <v>E5_2_1_8_mRNA : 0</v>
      </c>
      <c r="J303" s="30" t="str">
        <f t="shared" si="55"/>
        <v>E5_2_1_8 : 0</v>
      </c>
      <c r="K303" s="31" t="str">
        <f t="shared" si="56"/>
        <v>0.00292 - (0.0093 * E5_2_1_8_mRNA)</v>
      </c>
      <c r="L303" s="32" t="str">
        <f t="shared" si="57"/>
        <v>(0.278 * E5_2_1_8_mRNA) - (0.00000278 * E5_2_1_8)</v>
      </c>
      <c r="M303" s="7" t="str">
        <f t="shared" si="58"/>
        <v>mRNA302: -&gt; E5_2_1_8_mRNA | 0.00292 - (0.0093 * E5_2_1_8_mRNA)</v>
      </c>
      <c r="N303" s="33" t="str">
        <f t="shared" si="59"/>
        <v>Peptide302: E5_2_1_8_mRNA -&gt; E5_2_1_8 | (0.278 * E5_2_1_8_mRNA) - (0.000000278 * E5_2_1_8)</v>
      </c>
    </row>
    <row r="304" spans="1:14" x14ac:dyDescent="0.35">
      <c r="A304" s="1">
        <v>303</v>
      </c>
      <c r="B304" s="1" t="s">
        <v>10063</v>
      </c>
      <c r="C304" s="1" t="str">
        <f t="shared" si="48"/>
        <v>E5_3_1_1_mRNA</v>
      </c>
      <c r="D304" s="1" t="str">
        <f t="shared" si="49"/>
        <v>E5_3_1_1</v>
      </c>
      <c r="E304" s="26" t="str">
        <f t="shared" si="50"/>
        <v>E5_3_1_1_kcat : 13.7</v>
      </c>
      <c r="F304" s="27" t="str">
        <f t="shared" si="51"/>
        <v>E5_3_1_1_km : 1</v>
      </c>
      <c r="G304" s="6" t="str">
        <f t="shared" si="52"/>
        <v>E5_3_1_1_mRNA : E5_3_1_1_mRNA</v>
      </c>
      <c r="H304" s="28" t="str">
        <f t="shared" si="53"/>
        <v>E5_3_1_1 : E5_3_1_1</v>
      </c>
      <c r="I304" s="29" t="str">
        <f t="shared" si="54"/>
        <v>E5_3_1_1_mRNA : 0</v>
      </c>
      <c r="J304" s="30" t="str">
        <f t="shared" si="55"/>
        <v>E5_3_1_1 : 0</v>
      </c>
      <c r="K304" s="31" t="str">
        <f t="shared" si="56"/>
        <v>0.00292 - (0.0093 * E5_3_1_1_mRNA)</v>
      </c>
      <c r="L304" s="32" t="str">
        <f t="shared" si="57"/>
        <v>(0.278 * E5_3_1_1_mRNA) - (0.00000278 * E5_3_1_1)</v>
      </c>
      <c r="M304" s="7" t="str">
        <f t="shared" si="58"/>
        <v>mRNA303: -&gt; E5_3_1_1_mRNA | 0.00292 - (0.0093 * E5_3_1_1_mRNA)</v>
      </c>
      <c r="N304" s="33" t="str">
        <f t="shared" si="59"/>
        <v>Peptide303: E5_3_1_1_mRNA -&gt; E5_3_1_1 | (0.278 * E5_3_1_1_mRNA) - (0.000000278 * E5_3_1_1)</v>
      </c>
    </row>
    <row r="305" spans="1:14" x14ac:dyDescent="0.35">
      <c r="A305" s="1">
        <v>304</v>
      </c>
      <c r="B305" s="1" t="s">
        <v>10064</v>
      </c>
      <c r="C305" s="1" t="str">
        <f t="shared" si="48"/>
        <v>E5_3_1_16_mRNA</v>
      </c>
      <c r="D305" s="1" t="str">
        <f t="shared" si="49"/>
        <v>E5_3_1_16</v>
      </c>
      <c r="E305" s="26" t="str">
        <f t="shared" si="50"/>
        <v>E5_3_1_16_kcat : 13.7</v>
      </c>
      <c r="F305" s="27" t="str">
        <f t="shared" si="51"/>
        <v>E5_3_1_16_km : 1</v>
      </c>
      <c r="G305" s="6" t="str">
        <f t="shared" si="52"/>
        <v>E5_3_1_16_mRNA : E5_3_1_16_mRNA</v>
      </c>
      <c r="H305" s="28" t="str">
        <f t="shared" si="53"/>
        <v>E5_3_1_16 : E5_3_1_16</v>
      </c>
      <c r="I305" s="29" t="str">
        <f t="shared" si="54"/>
        <v>E5_3_1_16_mRNA : 0</v>
      </c>
      <c r="J305" s="30" t="str">
        <f t="shared" si="55"/>
        <v>E5_3_1_16 : 0</v>
      </c>
      <c r="K305" s="31" t="str">
        <f t="shared" si="56"/>
        <v>0.00292 - (0.0093 * E5_3_1_16_mRNA)</v>
      </c>
      <c r="L305" s="32" t="str">
        <f t="shared" si="57"/>
        <v>(0.278 * E5_3_1_16_mRNA) - (0.00000278 * E5_3_1_16)</v>
      </c>
      <c r="M305" s="7" t="str">
        <f t="shared" si="58"/>
        <v>mRNA304: -&gt; E5_3_1_16_mRNA | 0.00292 - (0.0093 * E5_3_1_16_mRNA)</v>
      </c>
      <c r="N305" s="33" t="str">
        <f t="shared" si="59"/>
        <v>Peptide304: E5_3_1_16_mRNA -&gt; E5_3_1_16 | (0.278 * E5_3_1_16_mRNA) - (0.000000278 * E5_3_1_16)</v>
      </c>
    </row>
    <row r="306" spans="1:14" x14ac:dyDescent="0.35">
      <c r="A306" s="1">
        <v>305</v>
      </c>
      <c r="B306" s="1" t="s">
        <v>10065</v>
      </c>
      <c r="C306" s="1" t="str">
        <f t="shared" si="48"/>
        <v>E5_3_1_24_mRNA</v>
      </c>
      <c r="D306" s="1" t="str">
        <f t="shared" si="49"/>
        <v>E5_3_1_24</v>
      </c>
      <c r="E306" s="26" t="str">
        <f t="shared" si="50"/>
        <v>E5_3_1_24_kcat : 13.7</v>
      </c>
      <c r="F306" s="27" t="str">
        <f t="shared" si="51"/>
        <v>E5_3_1_24_km : 1</v>
      </c>
      <c r="G306" s="6" t="str">
        <f t="shared" si="52"/>
        <v>E5_3_1_24_mRNA : E5_3_1_24_mRNA</v>
      </c>
      <c r="H306" s="28" t="str">
        <f t="shared" si="53"/>
        <v>E5_3_1_24 : E5_3_1_24</v>
      </c>
      <c r="I306" s="29" t="str">
        <f t="shared" si="54"/>
        <v>E5_3_1_24_mRNA : 0</v>
      </c>
      <c r="J306" s="30" t="str">
        <f t="shared" si="55"/>
        <v>E5_3_1_24 : 0</v>
      </c>
      <c r="K306" s="31" t="str">
        <f t="shared" si="56"/>
        <v>0.00292 - (0.0093 * E5_3_1_24_mRNA)</v>
      </c>
      <c r="L306" s="32" t="str">
        <f t="shared" si="57"/>
        <v>(0.278 * E5_3_1_24_mRNA) - (0.00000278 * E5_3_1_24)</v>
      </c>
      <c r="M306" s="7" t="str">
        <f t="shared" si="58"/>
        <v>mRNA305: -&gt; E5_3_1_24_mRNA | 0.00292 - (0.0093 * E5_3_1_24_mRNA)</v>
      </c>
      <c r="N306" s="33" t="str">
        <f t="shared" si="59"/>
        <v>Peptide305: E5_3_1_24_mRNA -&gt; E5_3_1_24 | (0.278 * E5_3_1_24_mRNA) - (0.000000278 * E5_3_1_24)</v>
      </c>
    </row>
    <row r="307" spans="1:14" x14ac:dyDescent="0.35">
      <c r="A307" s="1">
        <v>306</v>
      </c>
      <c r="B307" s="1" t="s">
        <v>10066</v>
      </c>
      <c r="C307" s="1" t="str">
        <f t="shared" si="48"/>
        <v>E5_3_1_6_mRNA</v>
      </c>
      <c r="D307" s="1" t="str">
        <f t="shared" si="49"/>
        <v>E5_3_1_6</v>
      </c>
      <c r="E307" s="26" t="str">
        <f t="shared" si="50"/>
        <v>E5_3_1_6_kcat : 13.7</v>
      </c>
      <c r="F307" s="27" t="str">
        <f t="shared" si="51"/>
        <v>E5_3_1_6_km : 1</v>
      </c>
      <c r="G307" s="6" t="str">
        <f t="shared" si="52"/>
        <v>E5_3_1_6_mRNA : E5_3_1_6_mRNA</v>
      </c>
      <c r="H307" s="28" t="str">
        <f t="shared" si="53"/>
        <v>E5_3_1_6 : E5_3_1_6</v>
      </c>
      <c r="I307" s="29" t="str">
        <f t="shared" si="54"/>
        <v>E5_3_1_6_mRNA : 0</v>
      </c>
      <c r="J307" s="30" t="str">
        <f t="shared" si="55"/>
        <v>E5_3_1_6 : 0</v>
      </c>
      <c r="K307" s="31" t="str">
        <f t="shared" si="56"/>
        <v>0.00292 - (0.0093 * E5_3_1_6_mRNA)</v>
      </c>
      <c r="L307" s="32" t="str">
        <f t="shared" si="57"/>
        <v>(0.278 * E5_3_1_6_mRNA) - (0.00000278 * E5_3_1_6)</v>
      </c>
      <c r="M307" s="7" t="str">
        <f t="shared" si="58"/>
        <v>mRNA306: -&gt; E5_3_1_6_mRNA | 0.00292 - (0.0093 * E5_3_1_6_mRNA)</v>
      </c>
      <c r="N307" s="33" t="str">
        <f t="shared" si="59"/>
        <v>Peptide306: E5_3_1_6_mRNA -&gt; E5_3_1_6 | (0.278 * E5_3_1_6_mRNA) - (0.000000278 * E5_3_1_6)</v>
      </c>
    </row>
    <row r="308" spans="1:14" x14ac:dyDescent="0.35">
      <c r="A308" s="1">
        <v>307</v>
      </c>
      <c r="B308" s="1" t="s">
        <v>10067</v>
      </c>
      <c r="C308" s="1" t="str">
        <f t="shared" si="48"/>
        <v>E5_3_1_8_mRNA</v>
      </c>
      <c r="D308" s="1" t="str">
        <f t="shared" si="49"/>
        <v>E5_3_1_8</v>
      </c>
      <c r="E308" s="26" t="str">
        <f t="shared" si="50"/>
        <v>E5_3_1_8_kcat : 13.7</v>
      </c>
      <c r="F308" s="27" t="str">
        <f t="shared" si="51"/>
        <v>E5_3_1_8_km : 1</v>
      </c>
      <c r="G308" s="6" t="str">
        <f t="shared" si="52"/>
        <v>E5_3_1_8_mRNA : E5_3_1_8_mRNA</v>
      </c>
      <c r="H308" s="28" t="str">
        <f t="shared" si="53"/>
        <v>E5_3_1_8 : E5_3_1_8</v>
      </c>
      <c r="I308" s="29" t="str">
        <f t="shared" si="54"/>
        <v>E5_3_1_8_mRNA : 0</v>
      </c>
      <c r="J308" s="30" t="str">
        <f t="shared" si="55"/>
        <v>E5_3_1_8 : 0</v>
      </c>
      <c r="K308" s="31" t="str">
        <f t="shared" si="56"/>
        <v>0.00292 - (0.0093 * E5_3_1_8_mRNA)</v>
      </c>
      <c r="L308" s="32" t="str">
        <f t="shared" si="57"/>
        <v>(0.278 * E5_3_1_8_mRNA) - (0.00000278 * E5_3_1_8)</v>
      </c>
      <c r="M308" s="7" t="str">
        <f t="shared" si="58"/>
        <v>mRNA307: -&gt; E5_3_1_8_mRNA | 0.00292 - (0.0093 * E5_3_1_8_mRNA)</v>
      </c>
      <c r="N308" s="33" t="str">
        <f t="shared" si="59"/>
        <v>Peptide307: E5_3_1_8_mRNA -&gt; E5_3_1_8 | (0.278 * E5_3_1_8_mRNA) - (0.000000278 * E5_3_1_8)</v>
      </c>
    </row>
    <row r="309" spans="1:14" x14ac:dyDescent="0.35">
      <c r="A309" s="1">
        <v>308</v>
      </c>
      <c r="B309" s="1" t="s">
        <v>10068</v>
      </c>
      <c r="C309" s="1" t="str">
        <f t="shared" si="48"/>
        <v>E5_3_1_9_mRNA</v>
      </c>
      <c r="D309" s="1" t="str">
        <f t="shared" si="49"/>
        <v>E5_3_1_9</v>
      </c>
      <c r="E309" s="26" t="str">
        <f t="shared" si="50"/>
        <v>E5_3_1_9_kcat : 13.7</v>
      </c>
      <c r="F309" s="27" t="str">
        <f t="shared" si="51"/>
        <v>E5_3_1_9_km : 1</v>
      </c>
      <c r="G309" s="6" t="str">
        <f t="shared" si="52"/>
        <v>E5_3_1_9_mRNA : E5_3_1_9_mRNA</v>
      </c>
      <c r="H309" s="28" t="str">
        <f t="shared" si="53"/>
        <v>E5_3_1_9 : E5_3_1_9</v>
      </c>
      <c r="I309" s="29" t="str">
        <f t="shared" si="54"/>
        <v>E5_3_1_9_mRNA : 0</v>
      </c>
      <c r="J309" s="30" t="str">
        <f t="shared" si="55"/>
        <v>E5_3_1_9 : 0</v>
      </c>
      <c r="K309" s="31" t="str">
        <f t="shared" si="56"/>
        <v>0.00292 - (0.0093 * E5_3_1_9_mRNA)</v>
      </c>
      <c r="L309" s="32" t="str">
        <f t="shared" si="57"/>
        <v>(0.278 * E5_3_1_9_mRNA) - (0.00000278 * E5_3_1_9)</v>
      </c>
      <c r="M309" s="7" t="str">
        <f t="shared" si="58"/>
        <v>mRNA308: -&gt; E5_3_1_9_mRNA | 0.00292 - (0.0093 * E5_3_1_9_mRNA)</v>
      </c>
      <c r="N309" s="33" t="str">
        <f t="shared" si="59"/>
        <v>Peptide308: E5_3_1_9_mRNA -&gt; E5_3_1_9 | (0.278 * E5_3_1_9_mRNA) - (0.000000278 * E5_3_1_9)</v>
      </c>
    </row>
    <row r="310" spans="1:14" x14ac:dyDescent="0.35">
      <c r="A310" s="1">
        <v>309</v>
      </c>
      <c r="B310" s="1" t="s">
        <v>10069</v>
      </c>
      <c r="C310" s="1" t="str">
        <f t="shared" si="48"/>
        <v>E5_3_3_2_mRNA</v>
      </c>
      <c r="D310" s="1" t="str">
        <f t="shared" si="49"/>
        <v>E5_3_3_2</v>
      </c>
      <c r="E310" s="26" t="str">
        <f t="shared" si="50"/>
        <v>E5_3_3_2_kcat : 13.7</v>
      </c>
      <c r="F310" s="27" t="str">
        <f t="shared" si="51"/>
        <v>E5_3_3_2_km : 1</v>
      </c>
      <c r="G310" s="6" t="str">
        <f t="shared" si="52"/>
        <v>E5_3_3_2_mRNA : E5_3_3_2_mRNA</v>
      </c>
      <c r="H310" s="28" t="str">
        <f t="shared" si="53"/>
        <v>E5_3_3_2 : E5_3_3_2</v>
      </c>
      <c r="I310" s="29" t="str">
        <f t="shared" si="54"/>
        <v>E5_3_3_2_mRNA : 0</v>
      </c>
      <c r="J310" s="30" t="str">
        <f t="shared" si="55"/>
        <v>E5_3_3_2 : 0</v>
      </c>
      <c r="K310" s="31" t="str">
        <f t="shared" si="56"/>
        <v>0.00292 - (0.0093 * E5_3_3_2_mRNA)</v>
      </c>
      <c r="L310" s="32" t="str">
        <f t="shared" si="57"/>
        <v>(0.278 * E5_3_3_2_mRNA) - (0.00000278 * E5_3_3_2)</v>
      </c>
      <c r="M310" s="7" t="str">
        <f t="shared" si="58"/>
        <v>mRNA309: -&gt; E5_3_3_2_mRNA | 0.00292 - (0.0093 * E5_3_3_2_mRNA)</v>
      </c>
      <c r="N310" s="33" t="str">
        <f t="shared" si="59"/>
        <v>Peptide309: E5_3_3_2_mRNA -&gt; E5_3_3_2 | (0.278 * E5_3_3_2_mRNA) - (0.000000278 * E5_3_3_2)</v>
      </c>
    </row>
    <row r="311" spans="1:14" x14ac:dyDescent="0.35">
      <c r="A311" s="1">
        <v>310</v>
      </c>
      <c r="B311" s="1" t="s">
        <v>10070</v>
      </c>
      <c r="C311" s="1" t="str">
        <f t="shared" si="48"/>
        <v>E5_4_2_1_mRNA</v>
      </c>
      <c r="D311" s="1" t="str">
        <f t="shared" si="49"/>
        <v>E5_4_2_1</v>
      </c>
      <c r="E311" s="26" t="str">
        <f t="shared" si="50"/>
        <v>E5_4_2_1_kcat : 13.7</v>
      </c>
      <c r="F311" s="27" t="str">
        <f t="shared" si="51"/>
        <v>E5_4_2_1_km : 1</v>
      </c>
      <c r="G311" s="6" t="str">
        <f t="shared" si="52"/>
        <v>E5_4_2_1_mRNA : E5_4_2_1_mRNA</v>
      </c>
      <c r="H311" s="28" t="str">
        <f t="shared" si="53"/>
        <v>E5_4_2_1 : E5_4_2_1</v>
      </c>
      <c r="I311" s="29" t="str">
        <f t="shared" si="54"/>
        <v>E5_4_2_1_mRNA : 0</v>
      </c>
      <c r="J311" s="30" t="str">
        <f t="shared" si="55"/>
        <v>E5_4_2_1 : 0</v>
      </c>
      <c r="K311" s="31" t="str">
        <f t="shared" si="56"/>
        <v>0.00292 - (0.0093 * E5_4_2_1_mRNA)</v>
      </c>
      <c r="L311" s="32" t="str">
        <f t="shared" si="57"/>
        <v>(0.278 * E5_4_2_1_mRNA) - (0.00000278 * E5_4_2_1)</v>
      </c>
      <c r="M311" s="7" t="str">
        <f t="shared" si="58"/>
        <v>mRNA310: -&gt; E5_4_2_1_mRNA | 0.00292 - (0.0093 * E5_4_2_1_mRNA)</v>
      </c>
      <c r="N311" s="33" t="str">
        <f t="shared" si="59"/>
        <v>Peptide310: E5_4_2_1_mRNA -&gt; E5_4_2_1 | (0.278 * E5_4_2_1_mRNA) - (0.000000278 * E5_4_2_1)</v>
      </c>
    </row>
    <row r="312" spans="1:14" x14ac:dyDescent="0.35">
      <c r="A312" s="1">
        <v>311</v>
      </c>
      <c r="B312" s="1" t="s">
        <v>10071</v>
      </c>
      <c r="C312" s="1" t="str">
        <f t="shared" si="48"/>
        <v>E5_4_2_10_mRNA</v>
      </c>
      <c r="D312" s="1" t="str">
        <f t="shared" si="49"/>
        <v>E5_4_2_10</v>
      </c>
      <c r="E312" s="26" t="str">
        <f t="shared" si="50"/>
        <v>E5_4_2_10_kcat : 13.7</v>
      </c>
      <c r="F312" s="27" t="str">
        <f t="shared" si="51"/>
        <v>E5_4_2_10_km : 1</v>
      </c>
      <c r="G312" s="6" t="str">
        <f t="shared" si="52"/>
        <v>E5_4_2_10_mRNA : E5_4_2_10_mRNA</v>
      </c>
      <c r="H312" s="28" t="str">
        <f t="shared" si="53"/>
        <v>E5_4_2_10 : E5_4_2_10</v>
      </c>
      <c r="I312" s="29" t="str">
        <f t="shared" si="54"/>
        <v>E5_4_2_10_mRNA : 0</v>
      </c>
      <c r="J312" s="30" t="str">
        <f t="shared" si="55"/>
        <v>E5_4_2_10 : 0</v>
      </c>
      <c r="K312" s="31" t="str">
        <f t="shared" si="56"/>
        <v>0.00292 - (0.0093 * E5_4_2_10_mRNA)</v>
      </c>
      <c r="L312" s="32" t="str">
        <f t="shared" si="57"/>
        <v>(0.278 * E5_4_2_10_mRNA) - (0.00000278 * E5_4_2_10)</v>
      </c>
      <c r="M312" s="7" t="str">
        <f t="shared" si="58"/>
        <v>mRNA311: -&gt; E5_4_2_10_mRNA | 0.00292 - (0.0093 * E5_4_2_10_mRNA)</v>
      </c>
      <c r="N312" s="33" t="str">
        <f t="shared" si="59"/>
        <v>Peptide311: E5_4_2_10_mRNA -&gt; E5_4_2_10 | (0.278 * E5_4_2_10_mRNA) - (0.000000278 * E5_4_2_10)</v>
      </c>
    </row>
    <row r="313" spans="1:14" x14ac:dyDescent="0.35">
      <c r="A313" s="1">
        <v>312</v>
      </c>
      <c r="B313" s="1" t="s">
        <v>10072</v>
      </c>
      <c r="C313" s="1" t="str">
        <f t="shared" si="48"/>
        <v>E5_4_2_2_mRNA</v>
      </c>
      <c r="D313" s="1" t="str">
        <f t="shared" si="49"/>
        <v>E5_4_2_2</v>
      </c>
      <c r="E313" s="26" t="str">
        <f t="shared" si="50"/>
        <v>E5_4_2_2_kcat : 13.7</v>
      </c>
      <c r="F313" s="27" t="str">
        <f t="shared" si="51"/>
        <v>E5_4_2_2_km : 1</v>
      </c>
      <c r="G313" s="6" t="str">
        <f t="shared" si="52"/>
        <v>E5_4_2_2_mRNA : E5_4_2_2_mRNA</v>
      </c>
      <c r="H313" s="28" t="str">
        <f t="shared" si="53"/>
        <v>E5_4_2_2 : E5_4_2_2</v>
      </c>
      <c r="I313" s="29" t="str">
        <f t="shared" si="54"/>
        <v>E5_4_2_2_mRNA : 0</v>
      </c>
      <c r="J313" s="30" t="str">
        <f t="shared" si="55"/>
        <v>E5_4_2_2 : 0</v>
      </c>
      <c r="K313" s="31" t="str">
        <f t="shared" si="56"/>
        <v>0.00292 - (0.0093 * E5_4_2_2_mRNA)</v>
      </c>
      <c r="L313" s="32" t="str">
        <f t="shared" si="57"/>
        <v>(0.278 * E5_4_2_2_mRNA) - (0.00000278 * E5_4_2_2)</v>
      </c>
      <c r="M313" s="7" t="str">
        <f t="shared" si="58"/>
        <v>mRNA312: -&gt; E5_4_2_2_mRNA | 0.00292 - (0.0093 * E5_4_2_2_mRNA)</v>
      </c>
      <c r="N313" s="33" t="str">
        <f t="shared" si="59"/>
        <v>Peptide312: E5_4_2_2_mRNA -&gt; E5_4_2_2 | (0.278 * E5_4_2_2_mRNA) - (0.000000278 * E5_4_2_2)</v>
      </c>
    </row>
    <row r="314" spans="1:14" x14ac:dyDescent="0.35">
      <c r="A314" s="1">
        <v>313</v>
      </c>
      <c r="B314" s="1" t="s">
        <v>10073</v>
      </c>
      <c r="C314" s="1" t="str">
        <f t="shared" si="48"/>
        <v>E5_4_2_7_mRNA</v>
      </c>
      <c r="D314" s="1" t="str">
        <f t="shared" si="49"/>
        <v>E5_4_2_7</v>
      </c>
      <c r="E314" s="26" t="str">
        <f t="shared" si="50"/>
        <v>E5_4_2_7_kcat : 13.7</v>
      </c>
      <c r="F314" s="27" t="str">
        <f t="shared" si="51"/>
        <v>E5_4_2_7_km : 1</v>
      </c>
      <c r="G314" s="6" t="str">
        <f t="shared" si="52"/>
        <v>E5_4_2_7_mRNA : E5_4_2_7_mRNA</v>
      </c>
      <c r="H314" s="28" t="str">
        <f t="shared" si="53"/>
        <v>E5_4_2_7 : E5_4_2_7</v>
      </c>
      <c r="I314" s="29" t="str">
        <f t="shared" si="54"/>
        <v>E5_4_2_7_mRNA : 0</v>
      </c>
      <c r="J314" s="30" t="str">
        <f t="shared" si="55"/>
        <v>E5_4_2_7 : 0</v>
      </c>
      <c r="K314" s="31" t="str">
        <f t="shared" si="56"/>
        <v>0.00292 - (0.0093 * E5_4_2_7_mRNA)</v>
      </c>
      <c r="L314" s="32" t="str">
        <f t="shared" si="57"/>
        <v>(0.278 * E5_4_2_7_mRNA) - (0.00000278 * E5_4_2_7)</v>
      </c>
      <c r="M314" s="7" t="str">
        <f t="shared" si="58"/>
        <v>mRNA313: -&gt; E5_4_2_7_mRNA | 0.00292 - (0.0093 * E5_4_2_7_mRNA)</v>
      </c>
      <c r="N314" s="33" t="str">
        <f t="shared" si="59"/>
        <v>Peptide313: E5_4_2_7_mRNA -&gt; E5_4_2_7 | (0.278 * E5_4_2_7_mRNA) - (0.000000278 * E5_4_2_7)</v>
      </c>
    </row>
    <row r="315" spans="1:14" x14ac:dyDescent="0.35">
      <c r="A315" s="1">
        <v>314</v>
      </c>
      <c r="B315" s="1" t="s">
        <v>10074</v>
      </c>
      <c r="C315" s="1" t="str">
        <f t="shared" si="48"/>
        <v>E5_4_99_12_mRNA</v>
      </c>
      <c r="D315" s="1" t="str">
        <f t="shared" si="49"/>
        <v>E5_4_99_12</v>
      </c>
      <c r="E315" s="26" t="str">
        <f t="shared" si="50"/>
        <v>E5_4_99_12_kcat : 13.7</v>
      </c>
      <c r="F315" s="27" t="str">
        <f t="shared" si="51"/>
        <v>E5_4_99_12_km : 1</v>
      </c>
      <c r="G315" s="6" t="str">
        <f t="shared" si="52"/>
        <v>E5_4_99_12_mRNA : E5_4_99_12_mRNA</v>
      </c>
      <c r="H315" s="28" t="str">
        <f t="shared" si="53"/>
        <v>E5_4_99_12 : E5_4_99_12</v>
      </c>
      <c r="I315" s="29" t="str">
        <f t="shared" si="54"/>
        <v>E5_4_99_12_mRNA : 0</v>
      </c>
      <c r="J315" s="30" t="str">
        <f t="shared" si="55"/>
        <v>E5_4_99_12 : 0</v>
      </c>
      <c r="K315" s="31" t="str">
        <f t="shared" si="56"/>
        <v>0.00292 - (0.0093 * E5_4_99_12_mRNA)</v>
      </c>
      <c r="L315" s="32" t="str">
        <f t="shared" si="57"/>
        <v>(0.278 * E5_4_99_12_mRNA) - (0.00000278 * E5_4_99_12)</v>
      </c>
      <c r="M315" s="7" t="str">
        <f t="shared" si="58"/>
        <v>mRNA314: -&gt; E5_4_99_12_mRNA | 0.00292 - (0.0093 * E5_4_99_12_mRNA)</v>
      </c>
      <c r="N315" s="33" t="str">
        <f t="shared" si="59"/>
        <v>Peptide314: E5_4_99_12_mRNA -&gt; E5_4_99_12 | (0.278 * E5_4_99_12_mRNA) - (0.000000278 * E5_4_99_12)</v>
      </c>
    </row>
    <row r="316" spans="1:14" x14ac:dyDescent="0.35">
      <c r="A316" s="1">
        <v>315</v>
      </c>
      <c r="B316" s="1" t="s">
        <v>10075</v>
      </c>
      <c r="C316" s="1" t="str">
        <f t="shared" si="48"/>
        <v>E5_4_99_5_mRNA</v>
      </c>
      <c r="D316" s="1" t="str">
        <f t="shared" si="49"/>
        <v>E5_4_99_5</v>
      </c>
      <c r="E316" s="26" t="str">
        <f t="shared" si="50"/>
        <v>E5_4_99_5_kcat : 13.7</v>
      </c>
      <c r="F316" s="27" t="str">
        <f t="shared" si="51"/>
        <v>E5_4_99_5_km : 1</v>
      </c>
      <c r="G316" s="6" t="str">
        <f t="shared" si="52"/>
        <v>E5_4_99_5_mRNA : E5_4_99_5_mRNA</v>
      </c>
      <c r="H316" s="28" t="str">
        <f t="shared" si="53"/>
        <v>E5_4_99_5 : E5_4_99_5</v>
      </c>
      <c r="I316" s="29" t="str">
        <f t="shared" si="54"/>
        <v>E5_4_99_5_mRNA : 0</v>
      </c>
      <c r="J316" s="30" t="str">
        <f t="shared" si="55"/>
        <v>E5_4_99_5 : 0</v>
      </c>
      <c r="K316" s="31" t="str">
        <f t="shared" si="56"/>
        <v>0.00292 - (0.0093 * E5_4_99_5_mRNA)</v>
      </c>
      <c r="L316" s="32" t="str">
        <f t="shared" si="57"/>
        <v>(0.278 * E5_4_99_5_mRNA) - (0.00000278 * E5_4_99_5)</v>
      </c>
      <c r="M316" s="7" t="str">
        <f t="shared" si="58"/>
        <v>mRNA315: -&gt; E5_4_99_5_mRNA | 0.00292 - (0.0093 * E5_4_99_5_mRNA)</v>
      </c>
      <c r="N316" s="33" t="str">
        <f t="shared" si="59"/>
        <v>Peptide315: E5_4_99_5_mRNA -&gt; E5_4_99_5 | (0.278 * E5_4_99_5_mRNA) - (0.000000278 * E5_4_99_5)</v>
      </c>
    </row>
    <row r="317" spans="1:14" x14ac:dyDescent="0.35">
      <c r="A317" s="1">
        <v>316</v>
      </c>
      <c r="B317" s="1" t="s">
        <v>10076</v>
      </c>
      <c r="C317" s="1" t="str">
        <f t="shared" si="48"/>
        <v>E5_4_99_9_mRNA</v>
      </c>
      <c r="D317" s="1" t="str">
        <f t="shared" si="49"/>
        <v>E5_4_99_9</v>
      </c>
      <c r="E317" s="26" t="str">
        <f t="shared" si="50"/>
        <v>E5_4_99_9_kcat : 13.7</v>
      </c>
      <c r="F317" s="27" t="str">
        <f t="shared" si="51"/>
        <v>E5_4_99_9_km : 1</v>
      </c>
      <c r="G317" s="6" t="str">
        <f t="shared" si="52"/>
        <v>E5_4_99_9_mRNA : E5_4_99_9_mRNA</v>
      </c>
      <c r="H317" s="28" t="str">
        <f t="shared" si="53"/>
        <v>E5_4_99_9 : E5_4_99_9</v>
      </c>
      <c r="I317" s="29" t="str">
        <f t="shared" si="54"/>
        <v>E5_4_99_9_mRNA : 0</v>
      </c>
      <c r="J317" s="30" t="str">
        <f t="shared" si="55"/>
        <v>E5_4_99_9 : 0</v>
      </c>
      <c r="K317" s="31" t="str">
        <f t="shared" si="56"/>
        <v>0.00292 - (0.0093 * E5_4_99_9_mRNA)</v>
      </c>
      <c r="L317" s="32" t="str">
        <f t="shared" si="57"/>
        <v>(0.278 * E5_4_99_9_mRNA) - (0.00000278 * E5_4_99_9)</v>
      </c>
      <c r="M317" s="7" t="str">
        <f t="shared" si="58"/>
        <v>mRNA316: -&gt; E5_4_99_9_mRNA | 0.00292 - (0.0093 * E5_4_99_9_mRNA)</v>
      </c>
      <c r="N317" s="33" t="str">
        <f t="shared" si="59"/>
        <v>Peptide316: E5_4_99_9_mRNA -&gt; E5_4_99_9 | (0.278 * E5_4_99_9_mRNA) - (0.000000278 * E5_4_99_9)</v>
      </c>
    </row>
    <row r="318" spans="1:14" x14ac:dyDescent="0.35">
      <c r="A318" s="1">
        <v>317</v>
      </c>
      <c r="B318" s="1" t="s">
        <v>10077</v>
      </c>
      <c r="C318" s="1" t="str">
        <f t="shared" si="48"/>
        <v>E5_99_1_2_mRNA</v>
      </c>
      <c r="D318" s="1" t="str">
        <f t="shared" si="49"/>
        <v>E5_99_1_2</v>
      </c>
      <c r="E318" s="26" t="str">
        <f t="shared" si="50"/>
        <v>E5_99_1_2_kcat : 13.7</v>
      </c>
      <c r="F318" s="27" t="str">
        <f t="shared" si="51"/>
        <v>E5_99_1_2_km : 1</v>
      </c>
      <c r="G318" s="6" t="str">
        <f t="shared" si="52"/>
        <v>E5_99_1_2_mRNA : E5_99_1_2_mRNA</v>
      </c>
      <c r="H318" s="28" t="str">
        <f t="shared" si="53"/>
        <v>E5_99_1_2 : E5_99_1_2</v>
      </c>
      <c r="I318" s="29" t="str">
        <f t="shared" si="54"/>
        <v>E5_99_1_2_mRNA : 0</v>
      </c>
      <c r="J318" s="30" t="str">
        <f t="shared" si="55"/>
        <v>E5_99_1_2 : 0</v>
      </c>
      <c r="K318" s="31" t="str">
        <f t="shared" si="56"/>
        <v>0.00292 - (0.0093 * E5_99_1_2_mRNA)</v>
      </c>
      <c r="L318" s="32" t="str">
        <f t="shared" si="57"/>
        <v>(0.278 * E5_99_1_2_mRNA) - (0.00000278 * E5_99_1_2)</v>
      </c>
      <c r="M318" s="7" t="str">
        <f t="shared" si="58"/>
        <v>mRNA317: -&gt; E5_99_1_2_mRNA | 0.00292 - (0.0093 * E5_99_1_2_mRNA)</v>
      </c>
      <c r="N318" s="33" t="str">
        <f t="shared" si="59"/>
        <v>Peptide317: E5_99_1_2_mRNA -&gt; E5_99_1_2 | (0.278 * E5_99_1_2_mRNA) - (0.000000278 * E5_99_1_2)</v>
      </c>
    </row>
    <row r="319" spans="1:14" x14ac:dyDescent="0.35">
      <c r="A319" s="1">
        <v>318</v>
      </c>
      <c r="B319" s="1" t="s">
        <v>10078</v>
      </c>
      <c r="C319" s="1" t="str">
        <f t="shared" si="48"/>
        <v>E5_99_1_3_mRNA</v>
      </c>
      <c r="D319" s="1" t="str">
        <f t="shared" si="49"/>
        <v>E5_99_1_3</v>
      </c>
      <c r="E319" s="26" t="str">
        <f t="shared" si="50"/>
        <v>E5_99_1_3_kcat : 13.7</v>
      </c>
      <c r="F319" s="27" t="str">
        <f t="shared" si="51"/>
        <v>E5_99_1_3_km : 1</v>
      </c>
      <c r="G319" s="6" t="str">
        <f t="shared" si="52"/>
        <v>E5_99_1_3_mRNA : E5_99_1_3_mRNA</v>
      </c>
      <c r="H319" s="28" t="str">
        <f t="shared" si="53"/>
        <v>E5_99_1_3 : E5_99_1_3</v>
      </c>
      <c r="I319" s="29" t="str">
        <f t="shared" si="54"/>
        <v>E5_99_1_3_mRNA : 0</v>
      </c>
      <c r="J319" s="30" t="str">
        <f t="shared" si="55"/>
        <v>E5_99_1_3 : 0</v>
      </c>
      <c r="K319" s="31" t="str">
        <f t="shared" si="56"/>
        <v>0.00292 - (0.0093 * E5_99_1_3_mRNA)</v>
      </c>
      <c r="L319" s="32" t="str">
        <f t="shared" si="57"/>
        <v>(0.278 * E5_99_1_3_mRNA) - (0.00000278 * E5_99_1_3)</v>
      </c>
      <c r="M319" s="7" t="str">
        <f t="shared" si="58"/>
        <v>mRNA318: -&gt; E5_99_1_3_mRNA | 0.00292 - (0.0093 * E5_99_1_3_mRNA)</v>
      </c>
      <c r="N319" s="33" t="str">
        <f t="shared" si="59"/>
        <v>Peptide318: E5_99_1_3_mRNA -&gt; E5_99_1_3 | (0.278 * E5_99_1_3_mRNA) - (0.000000278 * E5_99_1_3)</v>
      </c>
    </row>
    <row r="320" spans="1:14" x14ac:dyDescent="0.35">
      <c r="A320" s="1">
        <v>319</v>
      </c>
      <c r="B320" s="1" t="s">
        <v>10079</v>
      </c>
      <c r="C320" s="1" t="str">
        <f t="shared" si="48"/>
        <v>E6_1_1_1_mRNA</v>
      </c>
      <c r="D320" s="1" t="str">
        <f t="shared" si="49"/>
        <v>E6_1_1_1</v>
      </c>
      <c r="E320" s="26" t="str">
        <f t="shared" si="50"/>
        <v>E6_1_1_1_kcat : 13.7</v>
      </c>
      <c r="F320" s="27" t="str">
        <f t="shared" si="51"/>
        <v>E6_1_1_1_km : 1</v>
      </c>
      <c r="G320" s="6" t="str">
        <f t="shared" si="52"/>
        <v>E6_1_1_1_mRNA : E6_1_1_1_mRNA</v>
      </c>
      <c r="H320" s="28" t="str">
        <f t="shared" si="53"/>
        <v>E6_1_1_1 : E6_1_1_1</v>
      </c>
      <c r="I320" s="29" t="str">
        <f t="shared" si="54"/>
        <v>E6_1_1_1_mRNA : 0</v>
      </c>
      <c r="J320" s="30" t="str">
        <f t="shared" si="55"/>
        <v>E6_1_1_1 : 0</v>
      </c>
      <c r="K320" s="31" t="str">
        <f t="shared" si="56"/>
        <v>0.00292 - (0.0093 * E6_1_1_1_mRNA)</v>
      </c>
      <c r="L320" s="32" t="str">
        <f t="shared" si="57"/>
        <v>(0.278 * E6_1_1_1_mRNA) - (0.00000278 * E6_1_1_1)</v>
      </c>
      <c r="M320" s="7" t="str">
        <f t="shared" si="58"/>
        <v>mRNA319: -&gt; E6_1_1_1_mRNA | 0.00292 - (0.0093 * E6_1_1_1_mRNA)</v>
      </c>
      <c r="N320" s="33" t="str">
        <f t="shared" si="59"/>
        <v>Peptide319: E6_1_1_1_mRNA -&gt; E6_1_1_1 | (0.278 * E6_1_1_1_mRNA) - (0.000000278 * E6_1_1_1)</v>
      </c>
    </row>
    <row r="321" spans="1:14" x14ac:dyDescent="0.35">
      <c r="A321" s="1">
        <v>320</v>
      </c>
      <c r="B321" s="1" t="s">
        <v>10080</v>
      </c>
      <c r="C321" s="1" t="str">
        <f t="shared" si="48"/>
        <v>E6_1_1_10_mRNA</v>
      </c>
      <c r="D321" s="1" t="str">
        <f t="shared" si="49"/>
        <v>E6_1_1_10</v>
      </c>
      <c r="E321" s="26" t="str">
        <f t="shared" si="50"/>
        <v>E6_1_1_10_kcat : 13.7</v>
      </c>
      <c r="F321" s="27" t="str">
        <f t="shared" si="51"/>
        <v>E6_1_1_10_km : 1</v>
      </c>
      <c r="G321" s="6" t="str">
        <f t="shared" si="52"/>
        <v>E6_1_1_10_mRNA : E6_1_1_10_mRNA</v>
      </c>
      <c r="H321" s="28" t="str">
        <f t="shared" si="53"/>
        <v>E6_1_1_10 : E6_1_1_10</v>
      </c>
      <c r="I321" s="29" t="str">
        <f t="shared" si="54"/>
        <v>E6_1_1_10_mRNA : 0</v>
      </c>
      <c r="J321" s="30" t="str">
        <f t="shared" si="55"/>
        <v>E6_1_1_10 : 0</v>
      </c>
      <c r="K321" s="31" t="str">
        <f t="shared" si="56"/>
        <v>0.00292 - (0.0093 * E6_1_1_10_mRNA)</v>
      </c>
      <c r="L321" s="32" t="str">
        <f t="shared" si="57"/>
        <v>(0.278 * E6_1_1_10_mRNA) - (0.00000278 * E6_1_1_10)</v>
      </c>
      <c r="M321" s="7" t="str">
        <f t="shared" si="58"/>
        <v>mRNA320: -&gt; E6_1_1_10_mRNA | 0.00292 - (0.0093 * E6_1_1_10_mRNA)</v>
      </c>
      <c r="N321" s="33" t="str">
        <f t="shared" si="59"/>
        <v>Peptide320: E6_1_1_10_mRNA -&gt; E6_1_1_10 | (0.278 * E6_1_1_10_mRNA) - (0.000000278 * E6_1_1_10)</v>
      </c>
    </row>
    <row r="322" spans="1:14" x14ac:dyDescent="0.35">
      <c r="A322" s="1">
        <v>321</v>
      </c>
      <c r="B322" s="1" t="s">
        <v>10081</v>
      </c>
      <c r="C322" s="1" t="str">
        <f t="shared" ref="C322:C365" si="60">CONCATENATE(D322,"_mRNA")</f>
        <v>E6_1_1_11_mRNA</v>
      </c>
      <c r="D322" s="1" t="str">
        <f t="shared" ref="D322:D365" si="61">CONCATENATE("E",B322)</f>
        <v>E6_1_1_11</v>
      </c>
      <c r="E322" s="26" t="str">
        <f t="shared" ref="E322:E365" si="62">CONCATENATE("E",B322,"_kcat : 13.7")</f>
        <v>E6_1_1_11_kcat : 13.7</v>
      </c>
      <c r="F322" s="27" t="str">
        <f t="shared" ref="F322:F365" si="63">CONCATENATE("E",B322,"_km : 1")</f>
        <v>E6_1_1_11_km : 1</v>
      </c>
      <c r="G322" s="6" t="str">
        <f t="shared" ref="G322:G365" si="64">CONCATENATE(C322," : ",C322)</f>
        <v>E6_1_1_11_mRNA : E6_1_1_11_mRNA</v>
      </c>
      <c r="H322" s="28" t="str">
        <f t="shared" ref="H322:H365" si="65">CONCATENATE(D322," : ",D322)</f>
        <v>E6_1_1_11 : E6_1_1_11</v>
      </c>
      <c r="I322" s="29" t="str">
        <f t="shared" ref="I322:I365" si="66">CONCATENATE(C322," : ","0")</f>
        <v>E6_1_1_11_mRNA : 0</v>
      </c>
      <c r="J322" s="30" t="str">
        <f t="shared" ref="J322:J365" si="67">CONCATENATE(D322," : ","0")</f>
        <v>E6_1_1_11 : 0</v>
      </c>
      <c r="K322" s="31" t="str">
        <f t="shared" ref="K322:K365" si="68">CONCATENATE("0.00292 - (0.0093 * ",C322,")")</f>
        <v>0.00292 - (0.0093 * E6_1_1_11_mRNA)</v>
      </c>
      <c r="L322" s="32" t="str">
        <f t="shared" ref="L322:L365" si="69">CONCATENATE("(0.278 * ",C322,")"," - (0.00000278 * ",D322,")")</f>
        <v>(0.278 * E6_1_1_11_mRNA) - (0.00000278 * E6_1_1_11)</v>
      </c>
      <c r="M322" s="7" t="str">
        <f t="shared" ref="M322:M365" si="70">CONCATENATE("mRNA",A322,": -&gt; ",C322," | ","0.00292"," - ","(","0.0093"," * ",C322,")")</f>
        <v>mRNA321: -&gt; E6_1_1_11_mRNA | 0.00292 - (0.0093 * E6_1_1_11_mRNA)</v>
      </c>
      <c r="N322" s="33" t="str">
        <f t="shared" ref="N322:N363" si="71">CONCATENATE("Peptide",A322,": ",C322," -&gt; ",D322," | ","(","0.278"," * ",C322,")"," - ","(","0.000000278"," * ",D322,")")</f>
        <v>Peptide321: E6_1_1_11_mRNA -&gt; E6_1_1_11 | (0.278 * E6_1_1_11_mRNA) - (0.000000278 * E6_1_1_11)</v>
      </c>
    </row>
    <row r="323" spans="1:14" x14ac:dyDescent="0.35">
      <c r="A323" s="1">
        <v>322</v>
      </c>
      <c r="B323" s="1" t="s">
        <v>10082</v>
      </c>
      <c r="C323" s="1" t="str">
        <f t="shared" si="60"/>
        <v>E6_1_1_12_mRNA</v>
      </c>
      <c r="D323" s="1" t="str">
        <f t="shared" si="61"/>
        <v>E6_1_1_12</v>
      </c>
      <c r="E323" s="26" t="str">
        <f t="shared" si="62"/>
        <v>E6_1_1_12_kcat : 13.7</v>
      </c>
      <c r="F323" s="27" t="str">
        <f t="shared" si="63"/>
        <v>E6_1_1_12_km : 1</v>
      </c>
      <c r="G323" s="6" t="str">
        <f t="shared" si="64"/>
        <v>E6_1_1_12_mRNA : E6_1_1_12_mRNA</v>
      </c>
      <c r="H323" s="28" t="str">
        <f t="shared" si="65"/>
        <v>E6_1_1_12 : E6_1_1_12</v>
      </c>
      <c r="I323" s="29" t="str">
        <f t="shared" si="66"/>
        <v>E6_1_1_12_mRNA : 0</v>
      </c>
      <c r="J323" s="30" t="str">
        <f t="shared" si="67"/>
        <v>E6_1_1_12 : 0</v>
      </c>
      <c r="K323" s="31" t="str">
        <f t="shared" si="68"/>
        <v>0.00292 - (0.0093 * E6_1_1_12_mRNA)</v>
      </c>
      <c r="L323" s="32" t="str">
        <f t="shared" si="69"/>
        <v>(0.278 * E6_1_1_12_mRNA) - (0.00000278 * E6_1_1_12)</v>
      </c>
      <c r="M323" s="7" t="str">
        <f t="shared" si="70"/>
        <v>mRNA322: -&gt; E6_1_1_12_mRNA | 0.00292 - (0.0093 * E6_1_1_12_mRNA)</v>
      </c>
      <c r="N323" s="33" t="str">
        <f t="shared" si="71"/>
        <v>Peptide322: E6_1_1_12_mRNA -&gt; E6_1_1_12 | (0.278 * E6_1_1_12_mRNA) - (0.000000278 * E6_1_1_12)</v>
      </c>
    </row>
    <row r="324" spans="1:14" x14ac:dyDescent="0.35">
      <c r="A324" s="1">
        <v>323</v>
      </c>
      <c r="B324" s="1" t="s">
        <v>10083</v>
      </c>
      <c r="C324" s="1" t="str">
        <f t="shared" si="60"/>
        <v>E6_1_1_13_mRNA</v>
      </c>
      <c r="D324" s="1" t="str">
        <f t="shared" si="61"/>
        <v>E6_1_1_13</v>
      </c>
      <c r="E324" s="26" t="str">
        <f t="shared" si="62"/>
        <v>E6_1_1_13_kcat : 13.7</v>
      </c>
      <c r="F324" s="27" t="str">
        <f t="shared" si="63"/>
        <v>E6_1_1_13_km : 1</v>
      </c>
      <c r="G324" s="6" t="str">
        <f t="shared" si="64"/>
        <v>E6_1_1_13_mRNA : E6_1_1_13_mRNA</v>
      </c>
      <c r="H324" s="28" t="str">
        <f t="shared" si="65"/>
        <v>E6_1_1_13 : E6_1_1_13</v>
      </c>
      <c r="I324" s="29" t="str">
        <f t="shared" si="66"/>
        <v>E6_1_1_13_mRNA : 0</v>
      </c>
      <c r="J324" s="30" t="str">
        <f t="shared" si="67"/>
        <v>E6_1_1_13 : 0</v>
      </c>
      <c r="K324" s="31" t="str">
        <f t="shared" si="68"/>
        <v>0.00292 - (0.0093 * E6_1_1_13_mRNA)</v>
      </c>
      <c r="L324" s="32" t="str">
        <f t="shared" si="69"/>
        <v>(0.278 * E6_1_1_13_mRNA) - (0.00000278 * E6_1_1_13)</v>
      </c>
      <c r="M324" s="7" t="str">
        <f t="shared" si="70"/>
        <v>mRNA323: -&gt; E6_1_1_13_mRNA | 0.00292 - (0.0093 * E6_1_1_13_mRNA)</v>
      </c>
      <c r="N324" s="33" t="str">
        <f t="shared" si="71"/>
        <v>Peptide323: E6_1_1_13_mRNA -&gt; E6_1_1_13 | (0.278 * E6_1_1_13_mRNA) - (0.000000278 * E6_1_1_13)</v>
      </c>
    </row>
    <row r="325" spans="1:14" x14ac:dyDescent="0.35">
      <c r="A325" s="1">
        <v>324</v>
      </c>
      <c r="B325" s="1" t="s">
        <v>10084</v>
      </c>
      <c r="C325" s="1" t="str">
        <f t="shared" si="60"/>
        <v>E6_1_1_14_mRNA</v>
      </c>
      <c r="D325" s="1" t="str">
        <f t="shared" si="61"/>
        <v>E6_1_1_14</v>
      </c>
      <c r="E325" s="26" t="str">
        <f t="shared" si="62"/>
        <v>E6_1_1_14_kcat : 13.7</v>
      </c>
      <c r="F325" s="27" t="str">
        <f t="shared" si="63"/>
        <v>E6_1_1_14_km : 1</v>
      </c>
      <c r="G325" s="6" t="str">
        <f t="shared" si="64"/>
        <v>E6_1_1_14_mRNA : E6_1_1_14_mRNA</v>
      </c>
      <c r="H325" s="28" t="str">
        <f t="shared" si="65"/>
        <v>E6_1_1_14 : E6_1_1_14</v>
      </c>
      <c r="I325" s="29" t="str">
        <f t="shared" si="66"/>
        <v>E6_1_1_14_mRNA : 0</v>
      </c>
      <c r="J325" s="30" t="str">
        <f t="shared" si="67"/>
        <v>E6_1_1_14 : 0</v>
      </c>
      <c r="K325" s="31" t="str">
        <f t="shared" si="68"/>
        <v>0.00292 - (0.0093 * E6_1_1_14_mRNA)</v>
      </c>
      <c r="L325" s="32" t="str">
        <f t="shared" si="69"/>
        <v>(0.278 * E6_1_1_14_mRNA) - (0.00000278 * E6_1_1_14)</v>
      </c>
      <c r="M325" s="7" t="str">
        <f t="shared" si="70"/>
        <v>mRNA324: -&gt; E6_1_1_14_mRNA | 0.00292 - (0.0093 * E6_1_1_14_mRNA)</v>
      </c>
      <c r="N325" s="33" t="str">
        <f t="shared" si="71"/>
        <v>Peptide324: E6_1_1_14_mRNA -&gt; E6_1_1_14 | (0.278 * E6_1_1_14_mRNA) - (0.000000278 * E6_1_1_14)</v>
      </c>
    </row>
    <row r="326" spans="1:14" x14ac:dyDescent="0.35">
      <c r="A326" s="1">
        <v>325</v>
      </c>
      <c r="B326" s="1" t="s">
        <v>10085</v>
      </c>
      <c r="C326" s="1" t="str">
        <f t="shared" si="60"/>
        <v>E6_1_1_15_mRNA</v>
      </c>
      <c r="D326" s="1" t="str">
        <f t="shared" si="61"/>
        <v>E6_1_1_15</v>
      </c>
      <c r="E326" s="26" t="str">
        <f t="shared" si="62"/>
        <v>E6_1_1_15_kcat : 13.7</v>
      </c>
      <c r="F326" s="27" t="str">
        <f t="shared" si="63"/>
        <v>E6_1_1_15_km : 1</v>
      </c>
      <c r="G326" s="6" t="str">
        <f t="shared" si="64"/>
        <v>E6_1_1_15_mRNA : E6_1_1_15_mRNA</v>
      </c>
      <c r="H326" s="28" t="str">
        <f t="shared" si="65"/>
        <v>E6_1_1_15 : E6_1_1_15</v>
      </c>
      <c r="I326" s="29" t="str">
        <f t="shared" si="66"/>
        <v>E6_1_1_15_mRNA : 0</v>
      </c>
      <c r="J326" s="30" t="str">
        <f t="shared" si="67"/>
        <v>E6_1_1_15 : 0</v>
      </c>
      <c r="K326" s="31" t="str">
        <f t="shared" si="68"/>
        <v>0.00292 - (0.0093 * E6_1_1_15_mRNA)</v>
      </c>
      <c r="L326" s="32" t="str">
        <f t="shared" si="69"/>
        <v>(0.278 * E6_1_1_15_mRNA) - (0.00000278 * E6_1_1_15)</v>
      </c>
      <c r="M326" s="7" t="str">
        <f t="shared" si="70"/>
        <v>mRNA325: -&gt; E6_1_1_15_mRNA | 0.00292 - (0.0093 * E6_1_1_15_mRNA)</v>
      </c>
      <c r="N326" s="33" t="str">
        <f t="shared" si="71"/>
        <v>Peptide325: E6_1_1_15_mRNA -&gt; E6_1_1_15 | (0.278 * E6_1_1_15_mRNA) - (0.000000278 * E6_1_1_15)</v>
      </c>
    </row>
    <row r="327" spans="1:14" x14ac:dyDescent="0.35">
      <c r="A327" s="1">
        <v>326</v>
      </c>
      <c r="B327" s="1" t="s">
        <v>10086</v>
      </c>
      <c r="C327" s="1" t="str">
        <f t="shared" si="60"/>
        <v>E6_1_1_16_mRNA</v>
      </c>
      <c r="D327" s="1" t="str">
        <f t="shared" si="61"/>
        <v>E6_1_1_16</v>
      </c>
      <c r="E327" s="26" t="str">
        <f t="shared" si="62"/>
        <v>E6_1_1_16_kcat : 13.7</v>
      </c>
      <c r="F327" s="27" t="str">
        <f t="shared" si="63"/>
        <v>E6_1_1_16_km : 1</v>
      </c>
      <c r="G327" s="6" t="str">
        <f t="shared" si="64"/>
        <v>E6_1_1_16_mRNA : E6_1_1_16_mRNA</v>
      </c>
      <c r="H327" s="28" t="str">
        <f t="shared" si="65"/>
        <v>E6_1_1_16 : E6_1_1_16</v>
      </c>
      <c r="I327" s="29" t="str">
        <f t="shared" si="66"/>
        <v>E6_1_1_16_mRNA : 0</v>
      </c>
      <c r="J327" s="30" t="str">
        <f t="shared" si="67"/>
        <v>E6_1_1_16 : 0</v>
      </c>
      <c r="K327" s="31" t="str">
        <f t="shared" si="68"/>
        <v>0.00292 - (0.0093 * E6_1_1_16_mRNA)</v>
      </c>
      <c r="L327" s="32" t="str">
        <f t="shared" si="69"/>
        <v>(0.278 * E6_1_1_16_mRNA) - (0.00000278 * E6_1_1_16)</v>
      </c>
      <c r="M327" s="7" t="str">
        <f t="shared" si="70"/>
        <v>mRNA326: -&gt; E6_1_1_16_mRNA | 0.00292 - (0.0093 * E6_1_1_16_mRNA)</v>
      </c>
      <c r="N327" s="33" t="str">
        <f t="shared" si="71"/>
        <v>Peptide326: E6_1_1_16_mRNA -&gt; E6_1_1_16 | (0.278 * E6_1_1_16_mRNA) - (0.000000278 * E6_1_1_16)</v>
      </c>
    </row>
    <row r="328" spans="1:14" x14ac:dyDescent="0.35">
      <c r="A328" s="1">
        <v>327</v>
      </c>
      <c r="B328" s="1" t="s">
        <v>10087</v>
      </c>
      <c r="C328" s="1" t="str">
        <f t="shared" si="60"/>
        <v>E6_1_1_17_mRNA</v>
      </c>
      <c r="D328" s="1" t="str">
        <f t="shared" si="61"/>
        <v>E6_1_1_17</v>
      </c>
      <c r="E328" s="26" t="str">
        <f t="shared" si="62"/>
        <v>E6_1_1_17_kcat : 13.7</v>
      </c>
      <c r="F328" s="27" t="str">
        <f t="shared" si="63"/>
        <v>E6_1_1_17_km : 1</v>
      </c>
      <c r="G328" s="6" t="str">
        <f t="shared" si="64"/>
        <v>E6_1_1_17_mRNA : E6_1_1_17_mRNA</v>
      </c>
      <c r="H328" s="28" t="str">
        <f t="shared" si="65"/>
        <v>E6_1_1_17 : E6_1_1_17</v>
      </c>
      <c r="I328" s="29" t="str">
        <f t="shared" si="66"/>
        <v>E6_1_1_17_mRNA : 0</v>
      </c>
      <c r="J328" s="30" t="str">
        <f t="shared" si="67"/>
        <v>E6_1_1_17 : 0</v>
      </c>
      <c r="K328" s="31" t="str">
        <f t="shared" si="68"/>
        <v>0.00292 - (0.0093 * E6_1_1_17_mRNA)</v>
      </c>
      <c r="L328" s="32" t="str">
        <f t="shared" si="69"/>
        <v>(0.278 * E6_1_1_17_mRNA) - (0.00000278 * E6_1_1_17)</v>
      </c>
      <c r="M328" s="7" t="str">
        <f t="shared" si="70"/>
        <v>mRNA327: -&gt; E6_1_1_17_mRNA | 0.00292 - (0.0093 * E6_1_1_17_mRNA)</v>
      </c>
      <c r="N328" s="33" t="str">
        <f t="shared" si="71"/>
        <v>Peptide327: E6_1_1_17_mRNA -&gt; E6_1_1_17 | (0.278 * E6_1_1_17_mRNA) - (0.000000278 * E6_1_1_17)</v>
      </c>
    </row>
    <row r="329" spans="1:14" x14ac:dyDescent="0.35">
      <c r="A329" s="1">
        <v>328</v>
      </c>
      <c r="B329" s="1" t="s">
        <v>10088</v>
      </c>
      <c r="C329" s="1" t="str">
        <f t="shared" si="60"/>
        <v>E6_1_1_19_mRNA</v>
      </c>
      <c r="D329" s="1" t="str">
        <f t="shared" si="61"/>
        <v>E6_1_1_19</v>
      </c>
      <c r="E329" s="26" t="str">
        <f t="shared" si="62"/>
        <v>E6_1_1_19_kcat : 13.7</v>
      </c>
      <c r="F329" s="27" t="str">
        <f t="shared" si="63"/>
        <v>E6_1_1_19_km : 1</v>
      </c>
      <c r="G329" s="6" t="str">
        <f t="shared" si="64"/>
        <v>E6_1_1_19_mRNA : E6_1_1_19_mRNA</v>
      </c>
      <c r="H329" s="28" t="str">
        <f t="shared" si="65"/>
        <v>E6_1_1_19 : E6_1_1_19</v>
      </c>
      <c r="I329" s="29" t="str">
        <f t="shared" si="66"/>
        <v>E6_1_1_19_mRNA : 0</v>
      </c>
      <c r="J329" s="30" t="str">
        <f t="shared" si="67"/>
        <v>E6_1_1_19 : 0</v>
      </c>
      <c r="K329" s="31" t="str">
        <f t="shared" si="68"/>
        <v>0.00292 - (0.0093 * E6_1_1_19_mRNA)</v>
      </c>
      <c r="L329" s="32" t="str">
        <f t="shared" si="69"/>
        <v>(0.278 * E6_1_1_19_mRNA) - (0.00000278 * E6_1_1_19)</v>
      </c>
      <c r="M329" s="7" t="str">
        <f t="shared" si="70"/>
        <v>mRNA328: -&gt; E6_1_1_19_mRNA | 0.00292 - (0.0093 * E6_1_1_19_mRNA)</v>
      </c>
      <c r="N329" s="33" t="str">
        <f t="shared" si="71"/>
        <v>Peptide328: E6_1_1_19_mRNA -&gt; E6_1_1_19 | (0.278 * E6_1_1_19_mRNA) - (0.000000278 * E6_1_1_19)</v>
      </c>
    </row>
    <row r="330" spans="1:14" x14ac:dyDescent="0.35">
      <c r="A330" s="1">
        <v>329</v>
      </c>
      <c r="B330" s="1" t="s">
        <v>10089</v>
      </c>
      <c r="C330" s="1" t="str">
        <f t="shared" si="60"/>
        <v>E6_1_1_2_mRNA</v>
      </c>
      <c r="D330" s="1" t="str">
        <f t="shared" si="61"/>
        <v>E6_1_1_2</v>
      </c>
      <c r="E330" s="26" t="str">
        <f t="shared" si="62"/>
        <v>E6_1_1_2_kcat : 13.7</v>
      </c>
      <c r="F330" s="27" t="str">
        <f t="shared" si="63"/>
        <v>E6_1_1_2_km : 1</v>
      </c>
      <c r="G330" s="6" t="str">
        <f t="shared" si="64"/>
        <v>E6_1_1_2_mRNA : E6_1_1_2_mRNA</v>
      </c>
      <c r="H330" s="28" t="str">
        <f t="shared" si="65"/>
        <v>E6_1_1_2 : E6_1_1_2</v>
      </c>
      <c r="I330" s="29" t="str">
        <f t="shared" si="66"/>
        <v>E6_1_1_2_mRNA : 0</v>
      </c>
      <c r="J330" s="30" t="str">
        <f t="shared" si="67"/>
        <v>E6_1_1_2 : 0</v>
      </c>
      <c r="K330" s="31" t="str">
        <f t="shared" si="68"/>
        <v>0.00292 - (0.0093 * E6_1_1_2_mRNA)</v>
      </c>
      <c r="L330" s="32" t="str">
        <f t="shared" si="69"/>
        <v>(0.278 * E6_1_1_2_mRNA) - (0.00000278 * E6_1_1_2)</v>
      </c>
      <c r="M330" s="7" t="str">
        <f t="shared" si="70"/>
        <v>mRNA329: -&gt; E6_1_1_2_mRNA | 0.00292 - (0.0093 * E6_1_1_2_mRNA)</v>
      </c>
      <c r="N330" s="33" t="str">
        <f t="shared" si="71"/>
        <v>Peptide329: E6_1_1_2_mRNA -&gt; E6_1_1_2 | (0.278 * E6_1_1_2_mRNA) - (0.000000278 * E6_1_1_2)</v>
      </c>
    </row>
    <row r="331" spans="1:14" x14ac:dyDescent="0.35">
      <c r="A331" s="1">
        <v>330</v>
      </c>
      <c r="B331" s="1" t="s">
        <v>10090</v>
      </c>
      <c r="C331" s="1" t="str">
        <f t="shared" si="60"/>
        <v>E6_1_1_20_mRNA</v>
      </c>
      <c r="D331" s="1" t="str">
        <f t="shared" si="61"/>
        <v>E6_1_1_20</v>
      </c>
      <c r="E331" s="26" t="str">
        <f t="shared" si="62"/>
        <v>E6_1_1_20_kcat : 13.7</v>
      </c>
      <c r="F331" s="27" t="str">
        <f t="shared" si="63"/>
        <v>E6_1_1_20_km : 1</v>
      </c>
      <c r="G331" s="6" t="str">
        <f t="shared" si="64"/>
        <v>E6_1_1_20_mRNA : E6_1_1_20_mRNA</v>
      </c>
      <c r="H331" s="28" t="str">
        <f t="shared" si="65"/>
        <v>E6_1_1_20 : E6_1_1_20</v>
      </c>
      <c r="I331" s="29" t="str">
        <f t="shared" si="66"/>
        <v>E6_1_1_20_mRNA : 0</v>
      </c>
      <c r="J331" s="30" t="str">
        <f t="shared" si="67"/>
        <v>E6_1_1_20 : 0</v>
      </c>
      <c r="K331" s="31" t="str">
        <f t="shared" si="68"/>
        <v>0.00292 - (0.0093 * E6_1_1_20_mRNA)</v>
      </c>
      <c r="L331" s="32" t="str">
        <f t="shared" si="69"/>
        <v>(0.278 * E6_1_1_20_mRNA) - (0.00000278 * E6_1_1_20)</v>
      </c>
      <c r="M331" s="7" t="str">
        <f t="shared" si="70"/>
        <v>mRNA330: -&gt; E6_1_1_20_mRNA | 0.00292 - (0.0093 * E6_1_1_20_mRNA)</v>
      </c>
      <c r="N331" s="33" t="str">
        <f t="shared" si="71"/>
        <v>Peptide330: E6_1_1_20_mRNA -&gt; E6_1_1_20 | (0.278 * E6_1_1_20_mRNA) - (0.000000278 * E6_1_1_20)</v>
      </c>
    </row>
    <row r="332" spans="1:14" x14ac:dyDescent="0.35">
      <c r="A332" s="1">
        <v>331</v>
      </c>
      <c r="B332" s="1" t="s">
        <v>10091</v>
      </c>
      <c r="C332" s="1" t="str">
        <f t="shared" si="60"/>
        <v>E6_1_1_21_mRNA</v>
      </c>
      <c r="D332" s="1" t="str">
        <f t="shared" si="61"/>
        <v>E6_1_1_21</v>
      </c>
      <c r="E332" s="26" t="str">
        <f t="shared" si="62"/>
        <v>E6_1_1_21_kcat : 13.7</v>
      </c>
      <c r="F332" s="27" t="str">
        <f t="shared" si="63"/>
        <v>E6_1_1_21_km : 1</v>
      </c>
      <c r="G332" s="6" t="str">
        <f t="shared" si="64"/>
        <v>E6_1_1_21_mRNA : E6_1_1_21_mRNA</v>
      </c>
      <c r="H332" s="28" t="str">
        <f t="shared" si="65"/>
        <v>E6_1_1_21 : E6_1_1_21</v>
      </c>
      <c r="I332" s="29" t="str">
        <f t="shared" si="66"/>
        <v>E6_1_1_21_mRNA : 0</v>
      </c>
      <c r="J332" s="30" t="str">
        <f t="shared" si="67"/>
        <v>E6_1_1_21 : 0</v>
      </c>
      <c r="K332" s="31" t="str">
        <f t="shared" si="68"/>
        <v>0.00292 - (0.0093 * E6_1_1_21_mRNA)</v>
      </c>
      <c r="L332" s="32" t="str">
        <f t="shared" si="69"/>
        <v>(0.278 * E6_1_1_21_mRNA) - (0.00000278 * E6_1_1_21)</v>
      </c>
      <c r="M332" s="7" t="str">
        <f t="shared" si="70"/>
        <v>mRNA331: -&gt; E6_1_1_21_mRNA | 0.00292 - (0.0093 * E6_1_1_21_mRNA)</v>
      </c>
      <c r="N332" s="33" t="str">
        <f t="shared" si="71"/>
        <v>Peptide331: E6_1_1_21_mRNA -&gt; E6_1_1_21 | (0.278 * E6_1_1_21_mRNA) - (0.000000278 * E6_1_1_21)</v>
      </c>
    </row>
    <row r="333" spans="1:14" x14ac:dyDescent="0.35">
      <c r="A333" s="1">
        <v>332</v>
      </c>
      <c r="B333" s="1" t="s">
        <v>10092</v>
      </c>
      <c r="C333" s="1" t="str">
        <f t="shared" si="60"/>
        <v>E6_1_1_22_mRNA</v>
      </c>
      <c r="D333" s="1" t="str">
        <f t="shared" si="61"/>
        <v>E6_1_1_22</v>
      </c>
      <c r="E333" s="26" t="str">
        <f t="shared" si="62"/>
        <v>E6_1_1_22_kcat : 13.7</v>
      </c>
      <c r="F333" s="27" t="str">
        <f t="shared" si="63"/>
        <v>E6_1_1_22_km : 1</v>
      </c>
      <c r="G333" s="6" t="str">
        <f t="shared" si="64"/>
        <v>E6_1_1_22_mRNA : E6_1_1_22_mRNA</v>
      </c>
      <c r="H333" s="28" t="str">
        <f t="shared" si="65"/>
        <v>E6_1_1_22 : E6_1_1_22</v>
      </c>
      <c r="I333" s="29" t="str">
        <f t="shared" si="66"/>
        <v>E6_1_1_22_mRNA : 0</v>
      </c>
      <c r="J333" s="30" t="str">
        <f t="shared" si="67"/>
        <v>E6_1_1_22 : 0</v>
      </c>
      <c r="K333" s="31" t="str">
        <f t="shared" si="68"/>
        <v>0.00292 - (0.0093 * E6_1_1_22_mRNA)</v>
      </c>
      <c r="L333" s="32" t="str">
        <f t="shared" si="69"/>
        <v>(0.278 * E6_1_1_22_mRNA) - (0.00000278 * E6_1_1_22)</v>
      </c>
      <c r="M333" s="7" t="str">
        <f t="shared" si="70"/>
        <v>mRNA332: -&gt; E6_1_1_22_mRNA | 0.00292 - (0.0093 * E6_1_1_22_mRNA)</v>
      </c>
      <c r="N333" s="33" t="str">
        <f t="shared" si="71"/>
        <v>Peptide332: E6_1_1_22_mRNA -&gt; E6_1_1_22 | (0.278 * E6_1_1_22_mRNA) - (0.000000278 * E6_1_1_22)</v>
      </c>
    </row>
    <row r="334" spans="1:14" x14ac:dyDescent="0.35">
      <c r="A334" s="1">
        <v>333</v>
      </c>
      <c r="B334" s="1" t="s">
        <v>10093</v>
      </c>
      <c r="C334" s="1" t="str">
        <f t="shared" si="60"/>
        <v>E6_1_1_3_mRNA</v>
      </c>
      <c r="D334" s="1" t="str">
        <f t="shared" si="61"/>
        <v>E6_1_1_3</v>
      </c>
      <c r="E334" s="26" t="str">
        <f t="shared" si="62"/>
        <v>E6_1_1_3_kcat : 13.7</v>
      </c>
      <c r="F334" s="27" t="str">
        <f t="shared" si="63"/>
        <v>E6_1_1_3_km : 1</v>
      </c>
      <c r="G334" s="6" t="str">
        <f t="shared" si="64"/>
        <v>E6_1_1_3_mRNA : E6_1_1_3_mRNA</v>
      </c>
      <c r="H334" s="28" t="str">
        <f t="shared" si="65"/>
        <v>E6_1_1_3 : E6_1_1_3</v>
      </c>
      <c r="I334" s="29" t="str">
        <f t="shared" si="66"/>
        <v>E6_1_1_3_mRNA : 0</v>
      </c>
      <c r="J334" s="30" t="str">
        <f t="shared" si="67"/>
        <v>E6_1_1_3 : 0</v>
      </c>
      <c r="K334" s="31" t="str">
        <f t="shared" si="68"/>
        <v>0.00292 - (0.0093 * E6_1_1_3_mRNA)</v>
      </c>
      <c r="L334" s="32" t="str">
        <f t="shared" si="69"/>
        <v>(0.278 * E6_1_1_3_mRNA) - (0.00000278 * E6_1_1_3)</v>
      </c>
      <c r="M334" s="7" t="str">
        <f t="shared" si="70"/>
        <v>mRNA333: -&gt; E6_1_1_3_mRNA | 0.00292 - (0.0093 * E6_1_1_3_mRNA)</v>
      </c>
      <c r="N334" s="33" t="str">
        <f t="shared" si="71"/>
        <v>Peptide333: E6_1_1_3_mRNA -&gt; E6_1_1_3 | (0.278 * E6_1_1_3_mRNA) - (0.000000278 * E6_1_1_3)</v>
      </c>
    </row>
    <row r="335" spans="1:14" x14ac:dyDescent="0.35">
      <c r="A335" s="1">
        <v>334</v>
      </c>
      <c r="B335" s="1" t="s">
        <v>10094</v>
      </c>
      <c r="C335" s="1" t="str">
        <f t="shared" si="60"/>
        <v>E6_1_1_4_mRNA</v>
      </c>
      <c r="D335" s="1" t="str">
        <f t="shared" si="61"/>
        <v>E6_1_1_4</v>
      </c>
      <c r="E335" s="26" t="str">
        <f t="shared" si="62"/>
        <v>E6_1_1_4_kcat : 13.7</v>
      </c>
      <c r="F335" s="27" t="str">
        <f t="shared" si="63"/>
        <v>E6_1_1_4_km : 1</v>
      </c>
      <c r="G335" s="6" t="str">
        <f t="shared" si="64"/>
        <v>E6_1_1_4_mRNA : E6_1_1_4_mRNA</v>
      </c>
      <c r="H335" s="28" t="str">
        <f t="shared" si="65"/>
        <v>E6_1_1_4 : E6_1_1_4</v>
      </c>
      <c r="I335" s="29" t="str">
        <f t="shared" si="66"/>
        <v>E6_1_1_4_mRNA : 0</v>
      </c>
      <c r="J335" s="30" t="str">
        <f t="shared" si="67"/>
        <v>E6_1_1_4 : 0</v>
      </c>
      <c r="K335" s="31" t="str">
        <f t="shared" si="68"/>
        <v>0.00292 - (0.0093 * E6_1_1_4_mRNA)</v>
      </c>
      <c r="L335" s="32" t="str">
        <f t="shared" si="69"/>
        <v>(0.278 * E6_1_1_4_mRNA) - (0.00000278 * E6_1_1_4)</v>
      </c>
      <c r="M335" s="7" t="str">
        <f t="shared" si="70"/>
        <v>mRNA334: -&gt; E6_1_1_4_mRNA | 0.00292 - (0.0093 * E6_1_1_4_mRNA)</v>
      </c>
      <c r="N335" s="33" t="str">
        <f t="shared" si="71"/>
        <v>Peptide334: E6_1_1_4_mRNA -&gt; E6_1_1_4 | (0.278 * E6_1_1_4_mRNA) - (0.000000278 * E6_1_1_4)</v>
      </c>
    </row>
    <row r="336" spans="1:14" x14ac:dyDescent="0.35">
      <c r="A336" s="1">
        <v>335</v>
      </c>
      <c r="B336" s="1" t="s">
        <v>10095</v>
      </c>
      <c r="C336" s="1" t="str">
        <f t="shared" si="60"/>
        <v>E6_1_1_5_mRNA</v>
      </c>
      <c r="D336" s="1" t="str">
        <f t="shared" si="61"/>
        <v>E6_1_1_5</v>
      </c>
      <c r="E336" s="26" t="str">
        <f t="shared" si="62"/>
        <v>E6_1_1_5_kcat : 13.7</v>
      </c>
      <c r="F336" s="27" t="str">
        <f t="shared" si="63"/>
        <v>E6_1_1_5_km : 1</v>
      </c>
      <c r="G336" s="6" t="str">
        <f t="shared" si="64"/>
        <v>E6_1_1_5_mRNA : E6_1_1_5_mRNA</v>
      </c>
      <c r="H336" s="28" t="str">
        <f t="shared" si="65"/>
        <v>E6_1_1_5 : E6_1_1_5</v>
      </c>
      <c r="I336" s="29" t="str">
        <f t="shared" si="66"/>
        <v>E6_1_1_5_mRNA : 0</v>
      </c>
      <c r="J336" s="30" t="str">
        <f t="shared" si="67"/>
        <v>E6_1_1_5 : 0</v>
      </c>
      <c r="K336" s="31" t="str">
        <f t="shared" si="68"/>
        <v>0.00292 - (0.0093 * E6_1_1_5_mRNA)</v>
      </c>
      <c r="L336" s="32" t="str">
        <f t="shared" si="69"/>
        <v>(0.278 * E6_1_1_5_mRNA) - (0.00000278 * E6_1_1_5)</v>
      </c>
      <c r="M336" s="7" t="str">
        <f t="shared" si="70"/>
        <v>mRNA335: -&gt; E6_1_1_5_mRNA | 0.00292 - (0.0093 * E6_1_1_5_mRNA)</v>
      </c>
      <c r="N336" s="33" t="str">
        <f t="shared" si="71"/>
        <v>Peptide335: E6_1_1_5_mRNA -&gt; E6_1_1_5 | (0.278 * E6_1_1_5_mRNA) - (0.000000278 * E6_1_1_5)</v>
      </c>
    </row>
    <row r="337" spans="1:14" x14ac:dyDescent="0.35">
      <c r="A337" s="1">
        <v>336</v>
      </c>
      <c r="B337" s="1" t="s">
        <v>10096</v>
      </c>
      <c r="C337" s="1" t="str">
        <f t="shared" si="60"/>
        <v>E6_1_1_6_mRNA</v>
      </c>
      <c r="D337" s="1" t="str">
        <f t="shared" si="61"/>
        <v>E6_1_1_6</v>
      </c>
      <c r="E337" s="26" t="str">
        <f t="shared" si="62"/>
        <v>E6_1_1_6_kcat : 13.7</v>
      </c>
      <c r="F337" s="27" t="str">
        <f t="shared" si="63"/>
        <v>E6_1_1_6_km : 1</v>
      </c>
      <c r="G337" s="6" t="str">
        <f t="shared" si="64"/>
        <v>E6_1_1_6_mRNA : E6_1_1_6_mRNA</v>
      </c>
      <c r="H337" s="28" t="str">
        <f t="shared" si="65"/>
        <v>E6_1_1_6 : E6_1_1_6</v>
      </c>
      <c r="I337" s="29" t="str">
        <f t="shared" si="66"/>
        <v>E6_1_1_6_mRNA : 0</v>
      </c>
      <c r="J337" s="30" t="str">
        <f t="shared" si="67"/>
        <v>E6_1_1_6 : 0</v>
      </c>
      <c r="K337" s="31" t="str">
        <f t="shared" si="68"/>
        <v>0.00292 - (0.0093 * E6_1_1_6_mRNA)</v>
      </c>
      <c r="L337" s="32" t="str">
        <f t="shared" si="69"/>
        <v>(0.278 * E6_1_1_6_mRNA) - (0.00000278 * E6_1_1_6)</v>
      </c>
      <c r="M337" s="7" t="str">
        <f t="shared" si="70"/>
        <v>mRNA336: -&gt; E6_1_1_6_mRNA | 0.00292 - (0.0093 * E6_1_1_6_mRNA)</v>
      </c>
      <c r="N337" s="33" t="str">
        <f t="shared" si="71"/>
        <v>Peptide336: E6_1_1_6_mRNA -&gt; E6_1_1_6 | (0.278 * E6_1_1_6_mRNA) - (0.000000278 * E6_1_1_6)</v>
      </c>
    </row>
    <row r="338" spans="1:14" x14ac:dyDescent="0.35">
      <c r="A338" s="1">
        <v>337</v>
      </c>
      <c r="B338" s="1" t="s">
        <v>10097</v>
      </c>
      <c r="C338" s="1" t="str">
        <f t="shared" si="60"/>
        <v>E6_1_1_7_mRNA</v>
      </c>
      <c r="D338" s="1" t="str">
        <f t="shared" si="61"/>
        <v>E6_1_1_7</v>
      </c>
      <c r="E338" s="26" t="str">
        <f t="shared" si="62"/>
        <v>E6_1_1_7_kcat : 13.7</v>
      </c>
      <c r="F338" s="27" t="str">
        <f t="shared" si="63"/>
        <v>E6_1_1_7_km : 1</v>
      </c>
      <c r="G338" s="6" t="str">
        <f t="shared" si="64"/>
        <v>E6_1_1_7_mRNA : E6_1_1_7_mRNA</v>
      </c>
      <c r="H338" s="28" t="str">
        <f t="shared" si="65"/>
        <v>E6_1_1_7 : E6_1_1_7</v>
      </c>
      <c r="I338" s="29" t="str">
        <f t="shared" si="66"/>
        <v>E6_1_1_7_mRNA : 0</v>
      </c>
      <c r="J338" s="30" t="str">
        <f t="shared" si="67"/>
        <v>E6_1_1_7 : 0</v>
      </c>
      <c r="K338" s="31" t="str">
        <f t="shared" si="68"/>
        <v>0.00292 - (0.0093 * E6_1_1_7_mRNA)</v>
      </c>
      <c r="L338" s="32" t="str">
        <f t="shared" si="69"/>
        <v>(0.278 * E6_1_1_7_mRNA) - (0.00000278 * E6_1_1_7)</v>
      </c>
      <c r="M338" s="7" t="str">
        <f t="shared" si="70"/>
        <v>mRNA337: -&gt; E6_1_1_7_mRNA | 0.00292 - (0.0093 * E6_1_1_7_mRNA)</v>
      </c>
      <c r="N338" s="33" t="str">
        <f t="shared" si="71"/>
        <v>Peptide337: E6_1_1_7_mRNA -&gt; E6_1_1_7 | (0.278 * E6_1_1_7_mRNA) - (0.000000278 * E6_1_1_7)</v>
      </c>
    </row>
    <row r="339" spans="1:14" x14ac:dyDescent="0.35">
      <c r="A339" s="1">
        <v>338</v>
      </c>
      <c r="B339" s="1" t="s">
        <v>10098</v>
      </c>
      <c r="C339" s="1" t="str">
        <f t="shared" si="60"/>
        <v>E6_1_1_9_mRNA</v>
      </c>
      <c r="D339" s="1" t="str">
        <f t="shared" si="61"/>
        <v>E6_1_1_9</v>
      </c>
      <c r="E339" s="26" t="str">
        <f t="shared" si="62"/>
        <v>E6_1_1_9_kcat : 13.7</v>
      </c>
      <c r="F339" s="27" t="str">
        <f t="shared" si="63"/>
        <v>E6_1_1_9_km : 1</v>
      </c>
      <c r="G339" s="6" t="str">
        <f t="shared" si="64"/>
        <v>E6_1_1_9_mRNA : E6_1_1_9_mRNA</v>
      </c>
      <c r="H339" s="28" t="str">
        <f t="shared" si="65"/>
        <v>E6_1_1_9 : E6_1_1_9</v>
      </c>
      <c r="I339" s="29" t="str">
        <f t="shared" si="66"/>
        <v>E6_1_1_9_mRNA : 0</v>
      </c>
      <c r="J339" s="30" t="str">
        <f t="shared" si="67"/>
        <v>E6_1_1_9 : 0</v>
      </c>
      <c r="K339" s="31" t="str">
        <f t="shared" si="68"/>
        <v>0.00292 - (0.0093 * E6_1_1_9_mRNA)</v>
      </c>
      <c r="L339" s="32" t="str">
        <f t="shared" si="69"/>
        <v>(0.278 * E6_1_1_9_mRNA) - (0.00000278 * E6_1_1_9)</v>
      </c>
      <c r="M339" s="7" t="str">
        <f t="shared" si="70"/>
        <v>mRNA338: -&gt; E6_1_1_9_mRNA | 0.00292 - (0.0093 * E6_1_1_9_mRNA)</v>
      </c>
      <c r="N339" s="33" t="str">
        <f t="shared" si="71"/>
        <v>Peptide338: E6_1_1_9_mRNA -&gt; E6_1_1_9 | (0.278 * E6_1_1_9_mRNA) - (0.000000278 * E6_1_1_9)</v>
      </c>
    </row>
    <row r="340" spans="1:14" x14ac:dyDescent="0.35">
      <c r="A340" s="1">
        <v>339</v>
      </c>
      <c r="B340" s="1" t="s">
        <v>10099</v>
      </c>
      <c r="C340" s="1" t="str">
        <f t="shared" si="60"/>
        <v>E6_3_1_1_mRNA</v>
      </c>
      <c r="D340" s="1" t="str">
        <f t="shared" si="61"/>
        <v>E6_3_1_1</v>
      </c>
      <c r="E340" s="26" t="str">
        <f t="shared" si="62"/>
        <v>E6_3_1_1_kcat : 13.7</v>
      </c>
      <c r="F340" s="27" t="str">
        <f t="shared" si="63"/>
        <v>E6_3_1_1_km : 1</v>
      </c>
      <c r="G340" s="6" t="str">
        <f t="shared" si="64"/>
        <v>E6_3_1_1_mRNA : E6_3_1_1_mRNA</v>
      </c>
      <c r="H340" s="28" t="str">
        <f t="shared" si="65"/>
        <v>E6_3_1_1 : E6_3_1_1</v>
      </c>
      <c r="I340" s="29" t="str">
        <f t="shared" si="66"/>
        <v>E6_3_1_1_mRNA : 0</v>
      </c>
      <c r="J340" s="30" t="str">
        <f t="shared" si="67"/>
        <v>E6_3_1_1 : 0</v>
      </c>
      <c r="K340" s="31" t="str">
        <f t="shared" si="68"/>
        <v>0.00292 - (0.0093 * E6_3_1_1_mRNA)</v>
      </c>
      <c r="L340" s="32" t="str">
        <f t="shared" si="69"/>
        <v>(0.278 * E6_3_1_1_mRNA) - (0.00000278 * E6_3_1_1)</v>
      </c>
      <c r="M340" s="7" t="str">
        <f t="shared" si="70"/>
        <v>mRNA339: -&gt; E6_3_1_1_mRNA | 0.00292 - (0.0093 * E6_3_1_1_mRNA)</v>
      </c>
      <c r="N340" s="33" t="str">
        <f t="shared" si="71"/>
        <v>Peptide339: E6_3_1_1_mRNA -&gt; E6_3_1_1 | (0.278 * E6_3_1_1_mRNA) - (0.000000278 * E6_3_1_1)</v>
      </c>
    </row>
    <row r="341" spans="1:14" x14ac:dyDescent="0.35">
      <c r="A341" s="1">
        <v>340</v>
      </c>
      <c r="B341" s="1" t="s">
        <v>10100</v>
      </c>
      <c r="C341" s="1" t="str">
        <f t="shared" si="60"/>
        <v>E6_3_1_2_mRNA</v>
      </c>
      <c r="D341" s="1" t="str">
        <f t="shared" si="61"/>
        <v>E6_3_1_2</v>
      </c>
      <c r="E341" s="26" t="str">
        <f t="shared" si="62"/>
        <v>E6_3_1_2_kcat : 13.7</v>
      </c>
      <c r="F341" s="27" t="str">
        <f t="shared" si="63"/>
        <v>E6_3_1_2_km : 1</v>
      </c>
      <c r="G341" s="6" t="str">
        <f t="shared" si="64"/>
        <v>E6_3_1_2_mRNA : E6_3_1_2_mRNA</v>
      </c>
      <c r="H341" s="28" t="str">
        <f t="shared" si="65"/>
        <v>E6_3_1_2 : E6_3_1_2</v>
      </c>
      <c r="I341" s="29" t="str">
        <f t="shared" si="66"/>
        <v>E6_3_1_2_mRNA : 0</v>
      </c>
      <c r="J341" s="30" t="str">
        <f t="shared" si="67"/>
        <v>E6_3_1_2 : 0</v>
      </c>
      <c r="K341" s="31" t="str">
        <f t="shared" si="68"/>
        <v>0.00292 - (0.0093 * E6_3_1_2_mRNA)</v>
      </c>
      <c r="L341" s="32" t="str">
        <f t="shared" si="69"/>
        <v>(0.278 * E6_3_1_2_mRNA) - (0.00000278 * E6_3_1_2)</v>
      </c>
      <c r="M341" s="7" t="str">
        <f t="shared" si="70"/>
        <v>mRNA340: -&gt; E6_3_1_2_mRNA | 0.00292 - (0.0093 * E6_3_1_2_mRNA)</v>
      </c>
      <c r="N341" s="33" t="str">
        <f t="shared" si="71"/>
        <v>Peptide340: E6_3_1_2_mRNA -&gt; E6_3_1_2 | (0.278 * E6_3_1_2_mRNA) - (0.000000278 * E6_3_1_2)</v>
      </c>
    </row>
    <row r="342" spans="1:14" x14ac:dyDescent="0.35">
      <c r="A342" s="1">
        <v>341</v>
      </c>
      <c r="B342" s="1" t="s">
        <v>10101</v>
      </c>
      <c r="C342" s="1" t="str">
        <f t="shared" si="60"/>
        <v>E6_3_1_5_mRNA</v>
      </c>
      <c r="D342" s="1" t="str">
        <f t="shared" si="61"/>
        <v>E6_3_1_5</v>
      </c>
      <c r="E342" s="26" t="str">
        <f t="shared" si="62"/>
        <v>E6_3_1_5_kcat : 13.7</v>
      </c>
      <c r="F342" s="27" t="str">
        <f t="shared" si="63"/>
        <v>E6_3_1_5_km : 1</v>
      </c>
      <c r="G342" s="6" t="str">
        <f t="shared" si="64"/>
        <v>E6_3_1_5_mRNA : E6_3_1_5_mRNA</v>
      </c>
      <c r="H342" s="28" t="str">
        <f t="shared" si="65"/>
        <v>E6_3_1_5 : E6_3_1_5</v>
      </c>
      <c r="I342" s="29" t="str">
        <f t="shared" si="66"/>
        <v>E6_3_1_5_mRNA : 0</v>
      </c>
      <c r="J342" s="30" t="str">
        <f t="shared" si="67"/>
        <v>E6_3_1_5 : 0</v>
      </c>
      <c r="K342" s="31" t="str">
        <f t="shared" si="68"/>
        <v>0.00292 - (0.0093 * E6_3_1_5_mRNA)</v>
      </c>
      <c r="L342" s="32" t="str">
        <f t="shared" si="69"/>
        <v>(0.278 * E6_3_1_5_mRNA) - (0.00000278 * E6_3_1_5)</v>
      </c>
      <c r="M342" s="7" t="str">
        <f t="shared" si="70"/>
        <v>mRNA341: -&gt; E6_3_1_5_mRNA | 0.00292 - (0.0093 * E6_3_1_5_mRNA)</v>
      </c>
      <c r="N342" s="33" t="str">
        <f t="shared" si="71"/>
        <v>Peptide341: E6_3_1_5_mRNA -&gt; E6_3_1_5 | (0.278 * E6_3_1_5_mRNA) - (0.000000278 * E6_3_1_5)</v>
      </c>
    </row>
    <row r="343" spans="1:14" x14ac:dyDescent="0.35">
      <c r="A343" s="1">
        <v>342</v>
      </c>
      <c r="B343" s="1" t="s">
        <v>10102</v>
      </c>
      <c r="C343" s="1" t="str">
        <f t="shared" si="60"/>
        <v>E6_3_2_10_mRNA</v>
      </c>
      <c r="D343" s="1" t="str">
        <f t="shared" si="61"/>
        <v>E6_3_2_10</v>
      </c>
      <c r="E343" s="26" t="str">
        <f t="shared" si="62"/>
        <v>E6_3_2_10_kcat : 13.7</v>
      </c>
      <c r="F343" s="27" t="str">
        <f t="shared" si="63"/>
        <v>E6_3_2_10_km : 1</v>
      </c>
      <c r="G343" s="6" t="str">
        <f t="shared" si="64"/>
        <v>E6_3_2_10_mRNA : E6_3_2_10_mRNA</v>
      </c>
      <c r="H343" s="28" t="str">
        <f t="shared" si="65"/>
        <v>E6_3_2_10 : E6_3_2_10</v>
      </c>
      <c r="I343" s="29" t="str">
        <f t="shared" si="66"/>
        <v>E6_3_2_10_mRNA : 0</v>
      </c>
      <c r="J343" s="30" t="str">
        <f t="shared" si="67"/>
        <v>E6_3_2_10 : 0</v>
      </c>
      <c r="K343" s="31" t="str">
        <f t="shared" si="68"/>
        <v>0.00292 - (0.0093 * E6_3_2_10_mRNA)</v>
      </c>
      <c r="L343" s="32" t="str">
        <f t="shared" si="69"/>
        <v>(0.278 * E6_3_2_10_mRNA) - (0.00000278 * E6_3_2_10)</v>
      </c>
      <c r="M343" s="7" t="str">
        <f t="shared" si="70"/>
        <v>mRNA342: -&gt; E6_3_2_10_mRNA | 0.00292 - (0.0093 * E6_3_2_10_mRNA)</v>
      </c>
      <c r="N343" s="33" t="str">
        <f t="shared" si="71"/>
        <v>Peptide342: E6_3_2_10_mRNA -&gt; E6_3_2_10 | (0.278 * E6_3_2_10_mRNA) - (0.000000278 * E6_3_2_10)</v>
      </c>
    </row>
    <row r="344" spans="1:14" x14ac:dyDescent="0.35">
      <c r="A344" s="1">
        <v>343</v>
      </c>
      <c r="B344" s="1" t="s">
        <v>10103</v>
      </c>
      <c r="C344" s="1" t="str">
        <f t="shared" si="60"/>
        <v>E6_3_2_13_mRNA</v>
      </c>
      <c r="D344" s="1" t="str">
        <f t="shared" si="61"/>
        <v>E6_3_2_13</v>
      </c>
      <c r="E344" s="26" t="str">
        <f t="shared" si="62"/>
        <v>E6_3_2_13_kcat : 13.7</v>
      </c>
      <c r="F344" s="27" t="str">
        <f t="shared" si="63"/>
        <v>E6_3_2_13_km : 1</v>
      </c>
      <c r="G344" s="6" t="str">
        <f t="shared" si="64"/>
        <v>E6_3_2_13_mRNA : E6_3_2_13_mRNA</v>
      </c>
      <c r="H344" s="28" t="str">
        <f t="shared" si="65"/>
        <v>E6_3_2_13 : E6_3_2_13</v>
      </c>
      <c r="I344" s="29" t="str">
        <f t="shared" si="66"/>
        <v>E6_3_2_13_mRNA : 0</v>
      </c>
      <c r="J344" s="30" t="str">
        <f t="shared" si="67"/>
        <v>E6_3_2_13 : 0</v>
      </c>
      <c r="K344" s="31" t="str">
        <f t="shared" si="68"/>
        <v>0.00292 - (0.0093 * E6_3_2_13_mRNA)</v>
      </c>
      <c r="L344" s="32" t="str">
        <f t="shared" si="69"/>
        <v>(0.278 * E6_3_2_13_mRNA) - (0.00000278 * E6_3_2_13)</v>
      </c>
      <c r="M344" s="7" t="str">
        <f t="shared" si="70"/>
        <v>mRNA343: -&gt; E6_3_2_13_mRNA | 0.00292 - (0.0093 * E6_3_2_13_mRNA)</v>
      </c>
      <c r="N344" s="33" t="str">
        <f t="shared" si="71"/>
        <v>Peptide343: E6_3_2_13_mRNA -&gt; E6_3_2_13 | (0.278 * E6_3_2_13_mRNA) - (0.000000278 * E6_3_2_13)</v>
      </c>
    </row>
    <row r="345" spans="1:14" x14ac:dyDescent="0.35">
      <c r="A345" s="1">
        <v>344</v>
      </c>
      <c r="B345" s="1" t="s">
        <v>10104</v>
      </c>
      <c r="C345" s="1" t="str">
        <f t="shared" si="60"/>
        <v>E6_3_2_17_mRNA</v>
      </c>
      <c r="D345" s="1" t="str">
        <f t="shared" si="61"/>
        <v>E6_3_2_17</v>
      </c>
      <c r="E345" s="26" t="str">
        <f t="shared" si="62"/>
        <v>E6_3_2_17_kcat : 13.7</v>
      </c>
      <c r="F345" s="27" t="str">
        <f t="shared" si="63"/>
        <v>E6_3_2_17_km : 1</v>
      </c>
      <c r="G345" s="6" t="str">
        <f t="shared" si="64"/>
        <v>E6_3_2_17_mRNA : E6_3_2_17_mRNA</v>
      </c>
      <c r="H345" s="28" t="str">
        <f t="shared" si="65"/>
        <v>E6_3_2_17 : E6_3_2_17</v>
      </c>
      <c r="I345" s="29" t="str">
        <f t="shared" si="66"/>
        <v>E6_3_2_17_mRNA : 0</v>
      </c>
      <c r="J345" s="30" t="str">
        <f t="shared" si="67"/>
        <v>E6_3_2_17 : 0</v>
      </c>
      <c r="K345" s="31" t="str">
        <f t="shared" si="68"/>
        <v>0.00292 - (0.0093 * E6_3_2_17_mRNA)</v>
      </c>
      <c r="L345" s="32" t="str">
        <f t="shared" si="69"/>
        <v>(0.278 * E6_3_2_17_mRNA) - (0.00000278 * E6_3_2_17)</v>
      </c>
      <c r="M345" s="7" t="str">
        <f t="shared" si="70"/>
        <v>mRNA344: -&gt; E6_3_2_17_mRNA | 0.00292 - (0.0093 * E6_3_2_17_mRNA)</v>
      </c>
      <c r="N345" s="33" t="str">
        <f t="shared" si="71"/>
        <v>Peptide344: E6_3_2_17_mRNA -&gt; E6_3_2_17 | (0.278 * E6_3_2_17_mRNA) - (0.000000278 * E6_3_2_17)</v>
      </c>
    </row>
    <row r="346" spans="1:14" x14ac:dyDescent="0.35">
      <c r="A346" s="1">
        <v>345</v>
      </c>
      <c r="B346" s="1" t="s">
        <v>10105</v>
      </c>
      <c r="C346" s="1" t="str">
        <f t="shared" si="60"/>
        <v>E6_3_2_3_mRNA</v>
      </c>
      <c r="D346" s="1" t="str">
        <f t="shared" si="61"/>
        <v>E6_3_2_3</v>
      </c>
      <c r="E346" s="26" t="str">
        <f t="shared" si="62"/>
        <v>E6_3_2_3_kcat : 13.7</v>
      </c>
      <c r="F346" s="27" t="str">
        <f t="shared" si="63"/>
        <v>E6_3_2_3_km : 1</v>
      </c>
      <c r="G346" s="6" t="str">
        <f t="shared" si="64"/>
        <v>E6_3_2_3_mRNA : E6_3_2_3_mRNA</v>
      </c>
      <c r="H346" s="28" t="str">
        <f t="shared" si="65"/>
        <v>E6_3_2_3 : E6_3_2_3</v>
      </c>
      <c r="I346" s="29" t="str">
        <f t="shared" si="66"/>
        <v>E6_3_2_3_mRNA : 0</v>
      </c>
      <c r="J346" s="30" t="str">
        <f t="shared" si="67"/>
        <v>E6_3_2_3 : 0</v>
      </c>
      <c r="K346" s="31" t="str">
        <f t="shared" si="68"/>
        <v>0.00292 - (0.0093 * E6_3_2_3_mRNA)</v>
      </c>
      <c r="L346" s="32" t="str">
        <f t="shared" si="69"/>
        <v>(0.278 * E6_3_2_3_mRNA) - (0.00000278 * E6_3_2_3)</v>
      </c>
      <c r="M346" s="7" t="str">
        <f t="shared" si="70"/>
        <v>mRNA345: -&gt; E6_3_2_3_mRNA | 0.00292 - (0.0093 * E6_3_2_3_mRNA)</v>
      </c>
      <c r="N346" s="33" t="str">
        <f t="shared" si="71"/>
        <v>Peptide345: E6_3_2_3_mRNA -&gt; E6_3_2_3 | (0.278 * E6_3_2_3_mRNA) - (0.000000278 * E6_3_2_3)</v>
      </c>
    </row>
    <row r="347" spans="1:14" x14ac:dyDescent="0.35">
      <c r="A347" s="1">
        <v>346</v>
      </c>
      <c r="B347" s="1" t="s">
        <v>10106</v>
      </c>
      <c r="C347" s="1" t="str">
        <f t="shared" si="60"/>
        <v>E6_3_2_4_mRNA</v>
      </c>
      <c r="D347" s="1" t="str">
        <f t="shared" si="61"/>
        <v>E6_3_2_4</v>
      </c>
      <c r="E347" s="26" t="str">
        <f t="shared" si="62"/>
        <v>E6_3_2_4_kcat : 13.7</v>
      </c>
      <c r="F347" s="27" t="str">
        <f t="shared" si="63"/>
        <v>E6_3_2_4_km : 1</v>
      </c>
      <c r="G347" s="6" t="str">
        <f t="shared" si="64"/>
        <v>E6_3_2_4_mRNA : E6_3_2_4_mRNA</v>
      </c>
      <c r="H347" s="28" t="str">
        <f t="shared" si="65"/>
        <v>E6_3_2_4 : E6_3_2_4</v>
      </c>
      <c r="I347" s="29" t="str">
        <f t="shared" si="66"/>
        <v>E6_3_2_4_mRNA : 0</v>
      </c>
      <c r="J347" s="30" t="str">
        <f t="shared" si="67"/>
        <v>E6_3_2_4 : 0</v>
      </c>
      <c r="K347" s="31" t="str">
        <f t="shared" si="68"/>
        <v>0.00292 - (0.0093 * E6_3_2_4_mRNA)</v>
      </c>
      <c r="L347" s="32" t="str">
        <f t="shared" si="69"/>
        <v>(0.278 * E6_3_2_4_mRNA) - (0.00000278 * E6_3_2_4)</v>
      </c>
      <c r="M347" s="7" t="str">
        <f t="shared" si="70"/>
        <v>mRNA346: -&gt; E6_3_2_4_mRNA | 0.00292 - (0.0093 * E6_3_2_4_mRNA)</v>
      </c>
      <c r="N347" s="33" t="str">
        <f t="shared" si="71"/>
        <v>Peptide346: E6_3_2_4_mRNA -&gt; E6_3_2_4 | (0.278 * E6_3_2_4_mRNA) - (0.000000278 * E6_3_2_4)</v>
      </c>
    </row>
    <row r="348" spans="1:14" x14ac:dyDescent="0.35">
      <c r="A348" s="1">
        <v>347</v>
      </c>
      <c r="B348" s="1" t="s">
        <v>10107</v>
      </c>
      <c r="C348" s="1" t="str">
        <f t="shared" si="60"/>
        <v>E6_3_2_5_mRNA</v>
      </c>
      <c r="D348" s="1" t="str">
        <f t="shared" si="61"/>
        <v>E6_3_2_5</v>
      </c>
      <c r="E348" s="26" t="str">
        <f t="shared" si="62"/>
        <v>E6_3_2_5_kcat : 13.7</v>
      </c>
      <c r="F348" s="27" t="str">
        <f t="shared" si="63"/>
        <v>E6_3_2_5_km : 1</v>
      </c>
      <c r="G348" s="6" t="str">
        <f t="shared" si="64"/>
        <v>E6_3_2_5_mRNA : E6_3_2_5_mRNA</v>
      </c>
      <c r="H348" s="28" t="str">
        <f t="shared" si="65"/>
        <v>E6_3_2_5 : E6_3_2_5</v>
      </c>
      <c r="I348" s="29" t="str">
        <f t="shared" si="66"/>
        <v>E6_3_2_5_mRNA : 0</v>
      </c>
      <c r="J348" s="30" t="str">
        <f t="shared" si="67"/>
        <v>E6_3_2_5 : 0</v>
      </c>
      <c r="K348" s="31" t="str">
        <f t="shared" si="68"/>
        <v>0.00292 - (0.0093 * E6_3_2_5_mRNA)</v>
      </c>
      <c r="L348" s="32" t="str">
        <f t="shared" si="69"/>
        <v>(0.278 * E6_3_2_5_mRNA) - (0.00000278 * E6_3_2_5)</v>
      </c>
      <c r="M348" s="7" t="str">
        <f t="shared" si="70"/>
        <v>mRNA347: -&gt; E6_3_2_5_mRNA | 0.00292 - (0.0093 * E6_3_2_5_mRNA)</v>
      </c>
      <c r="N348" s="33" t="str">
        <f t="shared" si="71"/>
        <v>Peptide347: E6_3_2_5_mRNA -&gt; E6_3_2_5 | (0.278 * E6_3_2_5_mRNA) - (0.000000278 * E6_3_2_5)</v>
      </c>
    </row>
    <row r="349" spans="1:14" x14ac:dyDescent="0.35">
      <c r="A349" s="1">
        <v>348</v>
      </c>
      <c r="B349" s="1" t="s">
        <v>10108</v>
      </c>
      <c r="C349" s="1" t="str">
        <f t="shared" si="60"/>
        <v>E6_3_2_6_mRNA</v>
      </c>
      <c r="D349" s="1" t="str">
        <f t="shared" si="61"/>
        <v>E6_3_2_6</v>
      </c>
      <c r="E349" s="26" t="str">
        <f t="shared" si="62"/>
        <v>E6_3_2_6_kcat : 13.7</v>
      </c>
      <c r="F349" s="27" t="str">
        <f t="shared" si="63"/>
        <v>E6_3_2_6_km : 1</v>
      </c>
      <c r="G349" s="6" t="str">
        <f t="shared" si="64"/>
        <v>E6_3_2_6_mRNA : E6_3_2_6_mRNA</v>
      </c>
      <c r="H349" s="28" t="str">
        <f t="shared" si="65"/>
        <v>E6_3_2_6 : E6_3_2_6</v>
      </c>
      <c r="I349" s="29" t="str">
        <f t="shared" si="66"/>
        <v>E6_3_2_6_mRNA : 0</v>
      </c>
      <c r="J349" s="30" t="str">
        <f t="shared" si="67"/>
        <v>E6_3_2_6 : 0</v>
      </c>
      <c r="K349" s="31" t="str">
        <f t="shared" si="68"/>
        <v>0.00292 - (0.0093 * E6_3_2_6_mRNA)</v>
      </c>
      <c r="L349" s="32" t="str">
        <f t="shared" si="69"/>
        <v>(0.278 * E6_3_2_6_mRNA) - (0.00000278 * E6_3_2_6)</v>
      </c>
      <c r="M349" s="7" t="str">
        <f t="shared" si="70"/>
        <v>mRNA348: -&gt; E6_3_2_6_mRNA | 0.00292 - (0.0093 * E6_3_2_6_mRNA)</v>
      </c>
      <c r="N349" s="33" t="str">
        <f t="shared" si="71"/>
        <v>Peptide348: E6_3_2_6_mRNA -&gt; E6_3_2_6 | (0.278 * E6_3_2_6_mRNA) - (0.000000278 * E6_3_2_6)</v>
      </c>
    </row>
    <row r="350" spans="1:14" x14ac:dyDescent="0.35">
      <c r="A350" s="1">
        <v>349</v>
      </c>
      <c r="B350" s="1" t="s">
        <v>10109</v>
      </c>
      <c r="C350" s="1" t="str">
        <f t="shared" si="60"/>
        <v>E6_3_2_7_mRNA</v>
      </c>
      <c r="D350" s="1" t="str">
        <f t="shared" si="61"/>
        <v>E6_3_2_7</v>
      </c>
      <c r="E350" s="26" t="str">
        <f t="shared" si="62"/>
        <v>E6_3_2_7_kcat : 13.7</v>
      </c>
      <c r="F350" s="27" t="str">
        <f t="shared" si="63"/>
        <v>E6_3_2_7_km : 1</v>
      </c>
      <c r="G350" s="6" t="str">
        <f t="shared" si="64"/>
        <v>E6_3_2_7_mRNA : E6_3_2_7_mRNA</v>
      </c>
      <c r="H350" s="28" t="str">
        <f t="shared" si="65"/>
        <v>E6_3_2_7 : E6_3_2_7</v>
      </c>
      <c r="I350" s="29" t="str">
        <f t="shared" si="66"/>
        <v>E6_3_2_7_mRNA : 0</v>
      </c>
      <c r="J350" s="30" t="str">
        <f t="shared" si="67"/>
        <v>E6_3_2_7 : 0</v>
      </c>
      <c r="K350" s="31" t="str">
        <f t="shared" si="68"/>
        <v>0.00292 - (0.0093 * E6_3_2_7_mRNA)</v>
      </c>
      <c r="L350" s="32" t="str">
        <f t="shared" si="69"/>
        <v>(0.278 * E6_3_2_7_mRNA) - (0.00000278 * E6_3_2_7)</v>
      </c>
      <c r="M350" s="7" t="str">
        <f t="shared" si="70"/>
        <v>mRNA349: -&gt; E6_3_2_7_mRNA | 0.00292 - (0.0093 * E6_3_2_7_mRNA)</v>
      </c>
      <c r="N350" s="33" t="str">
        <f t="shared" si="71"/>
        <v>Peptide349: E6_3_2_7_mRNA -&gt; E6_3_2_7 | (0.278 * E6_3_2_7_mRNA) - (0.000000278 * E6_3_2_7)</v>
      </c>
    </row>
    <row r="351" spans="1:14" x14ac:dyDescent="0.35">
      <c r="A351" s="1">
        <v>350</v>
      </c>
      <c r="B351" s="1" t="s">
        <v>10110</v>
      </c>
      <c r="C351" s="1" t="str">
        <f t="shared" si="60"/>
        <v>E6_3_2_8_mRNA</v>
      </c>
      <c r="D351" s="1" t="str">
        <f t="shared" si="61"/>
        <v>E6_3_2_8</v>
      </c>
      <c r="E351" s="26" t="str">
        <f t="shared" si="62"/>
        <v>E6_3_2_8_kcat : 13.7</v>
      </c>
      <c r="F351" s="27" t="str">
        <f t="shared" si="63"/>
        <v>E6_3_2_8_km : 1</v>
      </c>
      <c r="G351" s="6" t="str">
        <f t="shared" si="64"/>
        <v>E6_3_2_8_mRNA : E6_3_2_8_mRNA</v>
      </c>
      <c r="H351" s="28" t="str">
        <f t="shared" si="65"/>
        <v>E6_3_2_8 : E6_3_2_8</v>
      </c>
      <c r="I351" s="29" t="str">
        <f t="shared" si="66"/>
        <v>E6_3_2_8_mRNA : 0</v>
      </c>
      <c r="J351" s="30" t="str">
        <f t="shared" si="67"/>
        <v>E6_3_2_8 : 0</v>
      </c>
      <c r="K351" s="31" t="str">
        <f t="shared" si="68"/>
        <v>0.00292 - (0.0093 * E6_3_2_8_mRNA)</v>
      </c>
      <c r="L351" s="32" t="str">
        <f t="shared" si="69"/>
        <v>(0.278 * E6_3_2_8_mRNA) - (0.00000278 * E6_3_2_8)</v>
      </c>
      <c r="M351" s="7" t="str">
        <f t="shared" si="70"/>
        <v>mRNA350: -&gt; E6_3_2_8_mRNA | 0.00292 - (0.0093 * E6_3_2_8_mRNA)</v>
      </c>
      <c r="N351" s="33" t="str">
        <f t="shared" si="71"/>
        <v>Peptide350: E6_3_2_8_mRNA -&gt; E6_3_2_8 | (0.278 * E6_3_2_8_mRNA) - (0.000000278 * E6_3_2_8)</v>
      </c>
    </row>
    <row r="352" spans="1:14" x14ac:dyDescent="0.35">
      <c r="A352" s="1">
        <v>351</v>
      </c>
      <c r="B352" s="1" t="s">
        <v>10111</v>
      </c>
      <c r="C352" s="1" t="str">
        <f t="shared" si="60"/>
        <v>E6_3_2_9_mRNA</v>
      </c>
      <c r="D352" s="1" t="str">
        <f t="shared" si="61"/>
        <v>E6_3_2_9</v>
      </c>
      <c r="E352" s="26" t="str">
        <f t="shared" si="62"/>
        <v>E6_3_2_9_kcat : 13.7</v>
      </c>
      <c r="F352" s="27" t="str">
        <f t="shared" si="63"/>
        <v>E6_3_2_9_km : 1</v>
      </c>
      <c r="G352" s="6" t="str">
        <f t="shared" si="64"/>
        <v>E6_3_2_9_mRNA : E6_3_2_9_mRNA</v>
      </c>
      <c r="H352" s="28" t="str">
        <f t="shared" si="65"/>
        <v>E6_3_2_9 : E6_3_2_9</v>
      </c>
      <c r="I352" s="29" t="str">
        <f t="shared" si="66"/>
        <v>E6_3_2_9_mRNA : 0</v>
      </c>
      <c r="J352" s="30" t="str">
        <f t="shared" si="67"/>
        <v>E6_3_2_9 : 0</v>
      </c>
      <c r="K352" s="31" t="str">
        <f t="shared" si="68"/>
        <v>0.00292 - (0.0093 * E6_3_2_9_mRNA)</v>
      </c>
      <c r="L352" s="32" t="str">
        <f t="shared" si="69"/>
        <v>(0.278 * E6_3_2_9_mRNA) - (0.00000278 * E6_3_2_9)</v>
      </c>
      <c r="M352" s="7" t="str">
        <f t="shared" si="70"/>
        <v>mRNA351: -&gt; E6_3_2_9_mRNA | 0.00292 - (0.0093 * E6_3_2_9_mRNA)</v>
      </c>
      <c r="N352" s="33" t="str">
        <f t="shared" si="71"/>
        <v>Peptide351: E6_3_2_9_mRNA -&gt; E6_3_2_9 | (0.278 * E6_3_2_9_mRNA) - (0.000000278 * E6_3_2_9)</v>
      </c>
    </row>
    <row r="353" spans="1:14" x14ac:dyDescent="0.35">
      <c r="A353" s="1">
        <v>352</v>
      </c>
      <c r="B353" s="1" t="s">
        <v>10112</v>
      </c>
      <c r="C353" s="1" t="str">
        <f t="shared" si="60"/>
        <v>E6_3_3_1_mRNA</v>
      </c>
      <c r="D353" s="1" t="str">
        <f t="shared" si="61"/>
        <v>E6_3_3_1</v>
      </c>
      <c r="E353" s="26" t="str">
        <f t="shared" si="62"/>
        <v>E6_3_3_1_kcat : 13.7</v>
      </c>
      <c r="F353" s="27" t="str">
        <f t="shared" si="63"/>
        <v>E6_3_3_1_km : 1</v>
      </c>
      <c r="G353" s="6" t="str">
        <f t="shared" si="64"/>
        <v>E6_3_3_1_mRNA : E6_3_3_1_mRNA</v>
      </c>
      <c r="H353" s="28" t="str">
        <f t="shared" si="65"/>
        <v>E6_3_3_1 : E6_3_3_1</v>
      </c>
      <c r="I353" s="29" t="str">
        <f t="shared" si="66"/>
        <v>E6_3_3_1_mRNA : 0</v>
      </c>
      <c r="J353" s="30" t="str">
        <f t="shared" si="67"/>
        <v>E6_3_3_1 : 0</v>
      </c>
      <c r="K353" s="31" t="str">
        <f t="shared" si="68"/>
        <v>0.00292 - (0.0093 * E6_3_3_1_mRNA)</v>
      </c>
      <c r="L353" s="32" t="str">
        <f t="shared" si="69"/>
        <v>(0.278 * E6_3_3_1_mRNA) - (0.00000278 * E6_3_3_1)</v>
      </c>
      <c r="M353" s="7" t="str">
        <f t="shared" si="70"/>
        <v>mRNA352: -&gt; E6_3_3_1_mRNA | 0.00292 - (0.0093 * E6_3_3_1_mRNA)</v>
      </c>
      <c r="N353" s="33" t="str">
        <f t="shared" si="71"/>
        <v>Peptide352: E6_3_3_1_mRNA -&gt; E6_3_3_1 | (0.278 * E6_3_3_1_mRNA) - (0.000000278 * E6_3_3_1)</v>
      </c>
    </row>
    <row r="354" spans="1:14" x14ac:dyDescent="0.35">
      <c r="A354" s="1">
        <v>353</v>
      </c>
      <c r="B354" s="1" t="s">
        <v>10113</v>
      </c>
      <c r="C354" s="1" t="str">
        <f t="shared" si="60"/>
        <v>E6_3_3_2_mRNA</v>
      </c>
      <c r="D354" s="1" t="str">
        <f t="shared" si="61"/>
        <v>E6_3_3_2</v>
      </c>
      <c r="E354" s="26" t="str">
        <f t="shared" si="62"/>
        <v>E6_3_3_2_kcat : 13.7</v>
      </c>
      <c r="F354" s="27" t="str">
        <f t="shared" si="63"/>
        <v>E6_3_3_2_km : 1</v>
      </c>
      <c r="G354" s="6" t="str">
        <f t="shared" si="64"/>
        <v>E6_3_3_2_mRNA : E6_3_3_2_mRNA</v>
      </c>
      <c r="H354" s="28" t="str">
        <f t="shared" si="65"/>
        <v>E6_3_3_2 : E6_3_3_2</v>
      </c>
      <c r="I354" s="29" t="str">
        <f t="shared" si="66"/>
        <v>E6_3_3_2_mRNA : 0</v>
      </c>
      <c r="J354" s="30" t="str">
        <f t="shared" si="67"/>
        <v>E6_3_3_2 : 0</v>
      </c>
      <c r="K354" s="31" t="str">
        <f t="shared" si="68"/>
        <v>0.00292 - (0.0093 * E6_3_3_2_mRNA)</v>
      </c>
      <c r="L354" s="32" t="str">
        <f t="shared" si="69"/>
        <v>(0.278 * E6_3_3_2_mRNA) - (0.00000278 * E6_3_3_2)</v>
      </c>
      <c r="M354" s="7" t="str">
        <f t="shared" si="70"/>
        <v>mRNA353: -&gt; E6_3_3_2_mRNA | 0.00292 - (0.0093 * E6_3_3_2_mRNA)</v>
      </c>
      <c r="N354" s="33" t="str">
        <f t="shared" si="71"/>
        <v>Peptide353: E6_3_3_2_mRNA -&gt; E6_3_3_2 | (0.278 * E6_3_3_2_mRNA) - (0.000000278 * E6_3_3_2)</v>
      </c>
    </row>
    <row r="355" spans="1:14" x14ac:dyDescent="0.35">
      <c r="A355" s="1">
        <v>354</v>
      </c>
      <c r="B355" s="1" t="s">
        <v>10114</v>
      </c>
      <c r="C355" s="1" t="str">
        <f t="shared" si="60"/>
        <v>E6_3_4_13_mRNA</v>
      </c>
      <c r="D355" s="1" t="str">
        <f t="shared" si="61"/>
        <v>E6_3_4_13</v>
      </c>
      <c r="E355" s="26" t="str">
        <f t="shared" si="62"/>
        <v>E6_3_4_13_kcat : 13.7</v>
      </c>
      <c r="F355" s="27" t="str">
        <f t="shared" si="63"/>
        <v>E6_3_4_13_km : 1</v>
      </c>
      <c r="G355" s="6" t="str">
        <f t="shared" si="64"/>
        <v>E6_3_4_13_mRNA : E6_3_4_13_mRNA</v>
      </c>
      <c r="H355" s="28" t="str">
        <f t="shared" si="65"/>
        <v>E6_3_4_13 : E6_3_4_13</v>
      </c>
      <c r="I355" s="29" t="str">
        <f t="shared" si="66"/>
        <v>E6_3_4_13_mRNA : 0</v>
      </c>
      <c r="J355" s="30" t="str">
        <f t="shared" si="67"/>
        <v>E6_3_4_13 : 0</v>
      </c>
      <c r="K355" s="31" t="str">
        <f t="shared" si="68"/>
        <v>0.00292 - (0.0093 * E6_3_4_13_mRNA)</v>
      </c>
      <c r="L355" s="32" t="str">
        <f t="shared" si="69"/>
        <v>(0.278 * E6_3_4_13_mRNA) - (0.00000278 * E6_3_4_13)</v>
      </c>
      <c r="M355" s="7" t="str">
        <f t="shared" si="70"/>
        <v>mRNA354: -&gt; E6_3_4_13_mRNA | 0.00292 - (0.0093 * E6_3_4_13_mRNA)</v>
      </c>
      <c r="N355" s="33" t="str">
        <f t="shared" si="71"/>
        <v>Peptide354: E6_3_4_13_mRNA -&gt; E6_3_4_13 | (0.278 * E6_3_4_13_mRNA) - (0.000000278 * E6_3_4_13)</v>
      </c>
    </row>
    <row r="356" spans="1:14" x14ac:dyDescent="0.35">
      <c r="A356" s="1">
        <v>355</v>
      </c>
      <c r="B356" s="1" t="s">
        <v>10115</v>
      </c>
      <c r="C356" s="1" t="str">
        <f t="shared" si="60"/>
        <v>E6_3_4_15_mRNA</v>
      </c>
      <c r="D356" s="1" t="str">
        <f t="shared" si="61"/>
        <v>E6_3_4_15</v>
      </c>
      <c r="E356" s="26" t="str">
        <f t="shared" si="62"/>
        <v>E6_3_4_15_kcat : 13.7</v>
      </c>
      <c r="F356" s="27" t="str">
        <f t="shared" si="63"/>
        <v>E6_3_4_15_km : 1</v>
      </c>
      <c r="G356" s="6" t="str">
        <f t="shared" si="64"/>
        <v>E6_3_4_15_mRNA : E6_3_4_15_mRNA</v>
      </c>
      <c r="H356" s="28" t="str">
        <f t="shared" si="65"/>
        <v>E6_3_4_15 : E6_3_4_15</v>
      </c>
      <c r="I356" s="29" t="str">
        <f t="shared" si="66"/>
        <v>E6_3_4_15_mRNA : 0</v>
      </c>
      <c r="J356" s="30" t="str">
        <f t="shared" si="67"/>
        <v>E6_3_4_15 : 0</v>
      </c>
      <c r="K356" s="31" t="str">
        <f t="shared" si="68"/>
        <v>0.00292 - (0.0093 * E6_3_4_15_mRNA)</v>
      </c>
      <c r="L356" s="32" t="str">
        <f t="shared" si="69"/>
        <v>(0.278 * E6_3_4_15_mRNA) - (0.00000278 * E6_3_4_15)</v>
      </c>
      <c r="M356" s="7" t="str">
        <f t="shared" si="70"/>
        <v>mRNA355: -&gt; E6_3_4_15_mRNA | 0.00292 - (0.0093 * E6_3_4_15_mRNA)</v>
      </c>
      <c r="N356" s="33" t="str">
        <f t="shared" si="71"/>
        <v>Peptide355: E6_3_4_15_mRNA -&gt; E6_3_4_15 | (0.278 * E6_3_4_15_mRNA) - (0.000000278 * E6_3_4_15)</v>
      </c>
    </row>
    <row r="357" spans="1:14" x14ac:dyDescent="0.35">
      <c r="A357" s="1">
        <v>356</v>
      </c>
      <c r="B357" s="1" t="s">
        <v>10116</v>
      </c>
      <c r="C357" s="1" t="str">
        <f t="shared" si="60"/>
        <v>E6_3_4_2_mRNA</v>
      </c>
      <c r="D357" s="1" t="str">
        <f t="shared" si="61"/>
        <v>E6_3_4_2</v>
      </c>
      <c r="E357" s="26" t="str">
        <f t="shared" si="62"/>
        <v>E6_3_4_2_kcat : 13.7</v>
      </c>
      <c r="F357" s="27" t="str">
        <f t="shared" si="63"/>
        <v>E6_3_4_2_km : 1</v>
      </c>
      <c r="G357" s="6" t="str">
        <f t="shared" si="64"/>
        <v>E6_3_4_2_mRNA : E6_3_4_2_mRNA</v>
      </c>
      <c r="H357" s="28" t="str">
        <f t="shared" si="65"/>
        <v>E6_3_4_2 : E6_3_4_2</v>
      </c>
      <c r="I357" s="29" t="str">
        <f t="shared" si="66"/>
        <v>E6_3_4_2_mRNA : 0</v>
      </c>
      <c r="J357" s="30" t="str">
        <f t="shared" si="67"/>
        <v>E6_3_4_2 : 0</v>
      </c>
      <c r="K357" s="31" t="str">
        <f t="shared" si="68"/>
        <v>0.00292 - (0.0093 * E6_3_4_2_mRNA)</v>
      </c>
      <c r="L357" s="32" t="str">
        <f t="shared" si="69"/>
        <v>(0.278 * E6_3_4_2_mRNA) - (0.00000278 * E6_3_4_2)</v>
      </c>
      <c r="M357" s="7" t="str">
        <f t="shared" si="70"/>
        <v>mRNA356: -&gt; E6_3_4_2_mRNA | 0.00292 - (0.0093 * E6_3_4_2_mRNA)</v>
      </c>
      <c r="N357" s="33" t="str">
        <f t="shared" si="71"/>
        <v>Peptide356: E6_3_4_2_mRNA -&gt; E6_3_4_2 | (0.278 * E6_3_4_2_mRNA) - (0.000000278 * E6_3_4_2)</v>
      </c>
    </row>
    <row r="358" spans="1:14" x14ac:dyDescent="0.35">
      <c r="A358" s="1">
        <v>357</v>
      </c>
      <c r="B358" s="1" t="s">
        <v>10117</v>
      </c>
      <c r="C358" s="1" t="str">
        <f t="shared" si="60"/>
        <v>E6_3_4_21_mRNA</v>
      </c>
      <c r="D358" s="1" t="str">
        <f t="shared" si="61"/>
        <v>E6_3_4_21</v>
      </c>
      <c r="E358" s="26" t="str">
        <f t="shared" si="62"/>
        <v>E6_3_4_21_kcat : 13.7</v>
      </c>
      <c r="F358" s="27" t="str">
        <f t="shared" si="63"/>
        <v>E6_3_4_21_km : 1</v>
      </c>
      <c r="G358" s="6" t="str">
        <f t="shared" si="64"/>
        <v>E6_3_4_21_mRNA : E6_3_4_21_mRNA</v>
      </c>
      <c r="H358" s="28" t="str">
        <f t="shared" si="65"/>
        <v>E6_3_4_21 : E6_3_4_21</v>
      </c>
      <c r="I358" s="29" t="str">
        <f t="shared" si="66"/>
        <v>E6_3_4_21_mRNA : 0</v>
      </c>
      <c r="J358" s="30" t="str">
        <f t="shared" si="67"/>
        <v>E6_3_4_21 : 0</v>
      </c>
      <c r="K358" s="31" t="str">
        <f t="shared" si="68"/>
        <v>0.00292 - (0.0093 * E6_3_4_21_mRNA)</v>
      </c>
      <c r="L358" s="32" t="str">
        <f t="shared" si="69"/>
        <v>(0.278 * E6_3_4_21_mRNA) - (0.00000278 * E6_3_4_21)</v>
      </c>
      <c r="M358" s="7" t="str">
        <f t="shared" si="70"/>
        <v>mRNA357: -&gt; E6_3_4_21_mRNA | 0.00292 - (0.0093 * E6_3_4_21_mRNA)</v>
      </c>
      <c r="N358" s="33" t="str">
        <f t="shared" si="71"/>
        <v>Peptide357: E6_3_4_21_mRNA -&gt; E6_3_4_21 | (0.278 * E6_3_4_21_mRNA) - (0.000000278 * E6_3_4_21)</v>
      </c>
    </row>
    <row r="359" spans="1:14" x14ac:dyDescent="0.35">
      <c r="A359" s="1">
        <v>358</v>
      </c>
      <c r="B359" s="1" t="s">
        <v>10118</v>
      </c>
      <c r="C359" s="1" t="str">
        <f t="shared" si="60"/>
        <v>E6_3_4_3_mRNA</v>
      </c>
      <c r="D359" s="1" t="str">
        <f t="shared" si="61"/>
        <v>E6_3_4_3</v>
      </c>
      <c r="E359" s="26" t="str">
        <f t="shared" si="62"/>
        <v>E6_3_4_3_kcat : 13.7</v>
      </c>
      <c r="F359" s="27" t="str">
        <f t="shared" si="63"/>
        <v>E6_3_4_3_km : 1</v>
      </c>
      <c r="G359" s="6" t="str">
        <f t="shared" si="64"/>
        <v>E6_3_4_3_mRNA : E6_3_4_3_mRNA</v>
      </c>
      <c r="H359" s="28" t="str">
        <f t="shared" si="65"/>
        <v>E6_3_4_3 : E6_3_4_3</v>
      </c>
      <c r="I359" s="29" t="str">
        <f t="shared" si="66"/>
        <v>E6_3_4_3_mRNA : 0</v>
      </c>
      <c r="J359" s="30" t="str">
        <f t="shared" si="67"/>
        <v>E6_3_4_3 : 0</v>
      </c>
      <c r="K359" s="31" t="str">
        <f t="shared" si="68"/>
        <v>0.00292 - (0.0093 * E6_3_4_3_mRNA)</v>
      </c>
      <c r="L359" s="32" t="str">
        <f t="shared" si="69"/>
        <v>(0.278 * E6_3_4_3_mRNA) - (0.00000278 * E6_3_4_3)</v>
      </c>
      <c r="M359" s="7" t="str">
        <f t="shared" si="70"/>
        <v>mRNA358: -&gt; E6_3_4_3_mRNA | 0.00292 - (0.0093 * E6_3_4_3_mRNA)</v>
      </c>
      <c r="N359" s="33" t="str">
        <f t="shared" si="71"/>
        <v>Peptide358: E6_3_4_3_mRNA -&gt; E6_3_4_3 | (0.278 * E6_3_4_3_mRNA) - (0.000000278 * E6_3_4_3)</v>
      </c>
    </row>
    <row r="360" spans="1:14" x14ac:dyDescent="0.35">
      <c r="A360" s="1">
        <v>359</v>
      </c>
      <c r="B360" s="1" t="s">
        <v>10119</v>
      </c>
      <c r="C360" s="1" t="str">
        <f t="shared" si="60"/>
        <v>E6_3_4_4_mRNA</v>
      </c>
      <c r="D360" s="1" t="str">
        <f t="shared" si="61"/>
        <v>E6_3_4_4</v>
      </c>
      <c r="E360" s="26" t="str">
        <f t="shared" si="62"/>
        <v>E6_3_4_4_kcat : 13.7</v>
      </c>
      <c r="F360" s="27" t="str">
        <f t="shared" si="63"/>
        <v>E6_3_4_4_km : 1</v>
      </c>
      <c r="G360" s="6" t="str">
        <f t="shared" si="64"/>
        <v>E6_3_4_4_mRNA : E6_3_4_4_mRNA</v>
      </c>
      <c r="H360" s="28" t="str">
        <f t="shared" si="65"/>
        <v>E6_3_4_4 : E6_3_4_4</v>
      </c>
      <c r="I360" s="29" t="str">
        <f t="shared" si="66"/>
        <v>E6_3_4_4_mRNA : 0</v>
      </c>
      <c r="J360" s="30" t="str">
        <f t="shared" si="67"/>
        <v>E6_3_4_4 : 0</v>
      </c>
      <c r="K360" s="31" t="str">
        <f t="shared" si="68"/>
        <v>0.00292 - (0.0093 * E6_3_4_4_mRNA)</v>
      </c>
      <c r="L360" s="32" t="str">
        <f t="shared" si="69"/>
        <v>(0.278 * E6_3_4_4_mRNA) - (0.00000278 * E6_3_4_4)</v>
      </c>
      <c r="M360" s="7" t="str">
        <f t="shared" si="70"/>
        <v>mRNA359: -&gt; E6_3_4_4_mRNA | 0.00292 - (0.0093 * E6_3_4_4_mRNA)</v>
      </c>
      <c r="N360" s="33" t="str">
        <f t="shared" si="71"/>
        <v>Peptide359: E6_3_4_4_mRNA -&gt; E6_3_4_4 | (0.278 * E6_3_4_4_mRNA) - (0.000000278 * E6_3_4_4)</v>
      </c>
    </row>
    <row r="361" spans="1:14" x14ac:dyDescent="0.35">
      <c r="A361" s="1">
        <v>360</v>
      </c>
      <c r="B361" s="1" t="s">
        <v>10120</v>
      </c>
      <c r="C361" s="1" t="str">
        <f t="shared" si="60"/>
        <v>E6_3_4_5_mRNA</v>
      </c>
      <c r="D361" s="1" t="str">
        <f t="shared" si="61"/>
        <v>E6_3_4_5</v>
      </c>
      <c r="E361" s="26" t="str">
        <f t="shared" si="62"/>
        <v>E6_3_4_5_kcat : 13.7</v>
      </c>
      <c r="F361" s="27" t="str">
        <f t="shared" si="63"/>
        <v>E6_3_4_5_km : 1</v>
      </c>
      <c r="G361" s="6" t="str">
        <f t="shared" si="64"/>
        <v>E6_3_4_5_mRNA : E6_3_4_5_mRNA</v>
      </c>
      <c r="H361" s="28" t="str">
        <f t="shared" si="65"/>
        <v>E6_3_4_5 : E6_3_4_5</v>
      </c>
      <c r="I361" s="29" t="str">
        <f t="shared" si="66"/>
        <v>E6_3_4_5_mRNA : 0</v>
      </c>
      <c r="J361" s="30" t="str">
        <f t="shared" si="67"/>
        <v>E6_3_4_5 : 0</v>
      </c>
      <c r="K361" s="31" t="str">
        <f t="shared" si="68"/>
        <v>0.00292 - (0.0093 * E6_3_4_5_mRNA)</v>
      </c>
      <c r="L361" s="32" t="str">
        <f t="shared" si="69"/>
        <v>(0.278 * E6_3_4_5_mRNA) - (0.00000278 * E6_3_4_5)</v>
      </c>
      <c r="M361" s="7" t="str">
        <f t="shared" si="70"/>
        <v>mRNA360: -&gt; E6_3_4_5_mRNA | 0.00292 - (0.0093 * E6_3_4_5_mRNA)</v>
      </c>
      <c r="N361" s="33" t="str">
        <f t="shared" si="71"/>
        <v>Peptide360: E6_3_4_5_mRNA -&gt; E6_3_4_5 | (0.278 * E6_3_4_5_mRNA) - (0.000000278 * E6_3_4_5)</v>
      </c>
    </row>
    <row r="362" spans="1:14" x14ac:dyDescent="0.35">
      <c r="A362" s="1">
        <v>361</v>
      </c>
      <c r="B362" s="1" t="s">
        <v>10121</v>
      </c>
      <c r="C362" s="1" t="str">
        <f t="shared" si="60"/>
        <v>E6_3_5_2_mRNA</v>
      </c>
      <c r="D362" s="1" t="str">
        <f t="shared" si="61"/>
        <v>E6_3_5_2</v>
      </c>
      <c r="E362" s="26" t="str">
        <f t="shared" si="62"/>
        <v>E6_3_5_2_kcat : 13.7</v>
      </c>
      <c r="F362" s="27" t="str">
        <f t="shared" si="63"/>
        <v>E6_3_5_2_km : 1</v>
      </c>
      <c r="G362" s="6" t="str">
        <f t="shared" si="64"/>
        <v>E6_3_5_2_mRNA : E6_3_5_2_mRNA</v>
      </c>
      <c r="H362" s="28" t="str">
        <f t="shared" si="65"/>
        <v>E6_3_5_2 : E6_3_5_2</v>
      </c>
      <c r="I362" s="29" t="str">
        <f t="shared" si="66"/>
        <v>E6_3_5_2_mRNA : 0</v>
      </c>
      <c r="J362" s="30" t="str">
        <f t="shared" si="67"/>
        <v>E6_3_5_2 : 0</v>
      </c>
      <c r="K362" s="31" t="str">
        <f t="shared" si="68"/>
        <v>0.00292 - (0.0093 * E6_3_5_2_mRNA)</v>
      </c>
      <c r="L362" s="32" t="str">
        <f t="shared" si="69"/>
        <v>(0.278 * E6_3_5_2_mRNA) - (0.00000278 * E6_3_5_2)</v>
      </c>
      <c r="M362" s="7" t="str">
        <f t="shared" si="70"/>
        <v>mRNA361: -&gt; E6_3_5_2_mRNA | 0.00292 - (0.0093 * E6_3_5_2_mRNA)</v>
      </c>
      <c r="N362" s="33" t="str">
        <f t="shared" si="71"/>
        <v>Peptide361: E6_3_5_2_mRNA -&gt; E6_3_5_2 | (0.278 * E6_3_5_2_mRNA) - (0.000000278 * E6_3_5_2)</v>
      </c>
    </row>
    <row r="363" spans="1:14" x14ac:dyDescent="0.35">
      <c r="A363" s="1">
        <v>362</v>
      </c>
      <c r="B363" s="1" t="s">
        <v>10122</v>
      </c>
      <c r="C363" s="1" t="str">
        <f t="shared" si="60"/>
        <v>E6_3_5_3_mRNA</v>
      </c>
      <c r="D363" s="1" t="str">
        <f t="shared" si="61"/>
        <v>E6_3_5_3</v>
      </c>
      <c r="E363" s="26" t="str">
        <f t="shared" si="62"/>
        <v>E6_3_5_3_kcat : 13.7</v>
      </c>
      <c r="F363" s="27" t="str">
        <f t="shared" si="63"/>
        <v>E6_3_5_3_km : 1</v>
      </c>
      <c r="G363" s="6" t="str">
        <f t="shared" si="64"/>
        <v>E6_3_5_3_mRNA : E6_3_5_3_mRNA</v>
      </c>
      <c r="H363" s="28" t="str">
        <f t="shared" si="65"/>
        <v>E6_3_5_3 : E6_3_5_3</v>
      </c>
      <c r="I363" s="29" t="str">
        <f t="shared" si="66"/>
        <v>E6_3_5_3_mRNA : 0</v>
      </c>
      <c r="J363" s="30" t="str">
        <f t="shared" si="67"/>
        <v>E6_3_5_3 : 0</v>
      </c>
      <c r="K363" s="31" t="str">
        <f t="shared" si="68"/>
        <v>0.00292 - (0.0093 * E6_3_5_3_mRNA)</v>
      </c>
      <c r="L363" s="32" t="str">
        <f t="shared" si="69"/>
        <v>(0.278 * E6_3_5_3_mRNA) - (0.00000278 * E6_3_5_3)</v>
      </c>
      <c r="M363" s="7" t="str">
        <f t="shared" si="70"/>
        <v>mRNA362: -&gt; E6_3_5_3_mRNA | 0.00292 - (0.0093 * E6_3_5_3_mRNA)</v>
      </c>
      <c r="N363" s="33" t="str">
        <f t="shared" si="71"/>
        <v>Peptide362: E6_3_5_3_mRNA -&gt; E6_3_5_3 | (0.278 * E6_3_5_3_mRNA) - (0.000000278 * E6_3_5_3)</v>
      </c>
    </row>
    <row r="364" spans="1:14" x14ac:dyDescent="0.35">
      <c r="A364" s="1">
        <v>363</v>
      </c>
      <c r="B364" s="1" t="s">
        <v>10123</v>
      </c>
      <c r="C364" s="1" t="str">
        <f t="shared" si="60"/>
        <v>E6_3_5_5_mRNA</v>
      </c>
      <c r="D364" s="1" t="str">
        <f t="shared" si="61"/>
        <v>E6_3_5_5</v>
      </c>
      <c r="E364" s="26" t="str">
        <f t="shared" si="62"/>
        <v>E6_3_5_5_kcat : 13.7</v>
      </c>
      <c r="F364" s="27" t="str">
        <f t="shared" si="63"/>
        <v>E6_3_5_5_km : 1</v>
      </c>
      <c r="G364" s="6" t="str">
        <f t="shared" si="64"/>
        <v>E6_3_5_5_mRNA : E6_3_5_5_mRNA</v>
      </c>
      <c r="H364" s="28" t="str">
        <f t="shared" si="65"/>
        <v>E6_3_5_5 : E6_3_5_5</v>
      </c>
      <c r="I364" s="29" t="str">
        <f t="shared" si="66"/>
        <v>E6_3_5_5_mRNA : 0</v>
      </c>
      <c r="J364" s="30" t="str">
        <f t="shared" si="67"/>
        <v>E6_3_5_5 : 0</v>
      </c>
      <c r="K364" s="31" t="str">
        <f t="shared" si="68"/>
        <v>0.00292 - (0.0093 * E6_3_5_5_mRNA)</v>
      </c>
      <c r="L364" s="32" t="str">
        <f t="shared" si="69"/>
        <v>(0.278 * E6_3_5_5_mRNA) - (0.00000278 * E6_3_5_5)</v>
      </c>
      <c r="M364" s="7" t="str">
        <f t="shared" si="70"/>
        <v>mRNA363: -&gt; E6_3_5_5_mRNA | 0.00292 - (0.0093 * E6_3_5_5_mRNA)</v>
      </c>
      <c r="N364" s="33" t="str">
        <f>CONCATENATE("Peptide",A364,": ",C364," -&gt; ",D364," | ","(","0.278"," * ",C364,")"," - ","(","0.000000278"," * ",D364,")")</f>
        <v>Peptide363: E6_3_5_5_mRNA -&gt; E6_3_5_5 | (0.278 * E6_3_5_5_mRNA) - (0.000000278 * E6_3_5_5)</v>
      </c>
    </row>
    <row r="365" spans="1:14" x14ac:dyDescent="0.35">
      <c r="A365" s="1">
        <v>364</v>
      </c>
      <c r="B365" s="1" t="s">
        <v>10124</v>
      </c>
      <c r="C365" s="1" t="str">
        <f t="shared" si="60"/>
        <v>E6_4_1_2_mRNA</v>
      </c>
      <c r="D365" s="1" t="str">
        <f t="shared" si="61"/>
        <v>E6_4_1_2</v>
      </c>
      <c r="E365" s="26" t="str">
        <f t="shared" si="62"/>
        <v>E6_4_1_2_kcat : 13.7</v>
      </c>
      <c r="F365" s="27" t="str">
        <f t="shared" si="63"/>
        <v>E6_4_1_2_km : 1</v>
      </c>
      <c r="G365" s="6" t="str">
        <f t="shared" si="64"/>
        <v>E6_4_1_2_mRNA : E6_4_1_2_mRNA</v>
      </c>
      <c r="H365" s="28" t="str">
        <f t="shared" si="65"/>
        <v>E6_4_1_2 : E6_4_1_2</v>
      </c>
      <c r="I365" s="29" t="str">
        <f t="shared" si="66"/>
        <v>E6_4_1_2_mRNA : 0</v>
      </c>
      <c r="J365" s="30" t="str">
        <f t="shared" si="67"/>
        <v>E6_4_1_2 : 0</v>
      </c>
      <c r="K365" s="31" t="str">
        <f t="shared" si="68"/>
        <v>0.00292 - (0.0093 * E6_4_1_2_mRNA)</v>
      </c>
      <c r="L365" s="32" t="str">
        <f t="shared" si="69"/>
        <v>(0.278 * E6_4_1_2_mRNA) - (0.00000278 * E6_4_1_2)</v>
      </c>
      <c r="M365" s="7" t="str">
        <f t="shared" si="70"/>
        <v>mRNA364: -&gt; E6_4_1_2_mRNA | 0.00292 - (0.0093 * E6_4_1_2_mRNA)</v>
      </c>
      <c r="N365" s="33" t="str">
        <f t="shared" ref="N365" si="72">CONCATENATE("Peptide",A365,": ",C365," -&gt; ",D365," | ","(","0.278"," * ",C365,")"," - ","(","0.000000278"," * ",D365,")")</f>
        <v>Peptide364: E6_4_1_2_mRNA -&gt; E6_4_1_2 | (0.278 * E6_4_1_2_mRNA) - (0.000000278 * E6_4_1_2)</v>
      </c>
    </row>
    <row r="366" spans="1:14" x14ac:dyDescent="0.35">
      <c r="K366" s="34"/>
    </row>
    <row r="368" spans="1:14" x14ac:dyDescent="0.35">
      <c r="K368" s="34"/>
    </row>
    <row r="369" spans="11:11" x14ac:dyDescent="0.35">
      <c r="K369" s="34"/>
    </row>
    <row r="370" spans="11:11" x14ac:dyDescent="0.35">
      <c r="K370" s="34"/>
    </row>
    <row r="371" spans="11:11" x14ac:dyDescent="0.35">
      <c r="K371" s="34"/>
    </row>
    <row r="372" spans="11:11" x14ac:dyDescent="0.35">
      <c r="K372" s="34"/>
    </row>
    <row r="374" spans="11:11" x14ac:dyDescent="0.35">
      <c r="K374" s="34"/>
    </row>
    <row r="375" spans="11:11" x14ac:dyDescent="0.35">
      <c r="K375" s="34"/>
    </row>
    <row r="376" spans="11:11" x14ac:dyDescent="0.35">
      <c r="K376" s="34"/>
    </row>
    <row r="378" spans="11:11" x14ac:dyDescent="0.35">
      <c r="K378" s="34"/>
    </row>
    <row r="379" spans="11:11" x14ac:dyDescent="0.35">
      <c r="K379" s="34"/>
    </row>
    <row r="381" spans="11:11" x14ac:dyDescent="0.35">
      <c r="K381" s="34"/>
    </row>
    <row r="383" spans="11:11" x14ac:dyDescent="0.35">
      <c r="K383" s="34"/>
    </row>
    <row r="384" spans="11:11" x14ac:dyDescent="0.35">
      <c r="K384" s="34"/>
    </row>
    <row r="385" spans="11:11" x14ac:dyDescent="0.35">
      <c r="K385" s="34"/>
    </row>
    <row r="386" spans="11:11" x14ac:dyDescent="0.35">
      <c r="K386" s="34"/>
    </row>
    <row r="387" spans="11:11" x14ac:dyDescent="0.35">
      <c r="K387" s="34"/>
    </row>
    <row r="389" spans="11:11" x14ac:dyDescent="0.35">
      <c r="K389" s="34"/>
    </row>
    <row r="390" spans="11:11" x14ac:dyDescent="0.35">
      <c r="K390" s="34"/>
    </row>
    <row r="391" spans="11:11" x14ac:dyDescent="0.35">
      <c r="K391" s="34"/>
    </row>
    <row r="393" spans="11:11" x14ac:dyDescent="0.35">
      <c r="K393" s="34"/>
    </row>
    <row r="394" spans="11:11" x14ac:dyDescent="0.35">
      <c r="K394" s="34"/>
    </row>
    <row r="395" spans="11:11" x14ac:dyDescent="0.35">
      <c r="K395" s="34"/>
    </row>
    <row r="396" spans="11:11" x14ac:dyDescent="0.35">
      <c r="K396" s="34"/>
    </row>
    <row r="397" spans="11:11" x14ac:dyDescent="0.35">
      <c r="K397" s="34"/>
    </row>
    <row r="398" spans="11:11" x14ac:dyDescent="0.35">
      <c r="K398" s="34"/>
    </row>
    <row r="399" spans="11:11" x14ac:dyDescent="0.35">
      <c r="K399" s="34"/>
    </row>
    <row r="400" spans="11:11" x14ac:dyDescent="0.35">
      <c r="K400" s="34"/>
    </row>
    <row r="401" spans="11:11" x14ac:dyDescent="0.35">
      <c r="K401" s="34"/>
    </row>
    <row r="403" spans="11:11" x14ac:dyDescent="0.35">
      <c r="K403" s="34"/>
    </row>
    <row r="405" spans="11:11" x14ac:dyDescent="0.35">
      <c r="K405" s="34"/>
    </row>
    <row r="407" spans="11:11" x14ac:dyDescent="0.35">
      <c r="K407" s="34"/>
    </row>
    <row r="408" spans="11:11" x14ac:dyDescent="0.35">
      <c r="K408" s="34"/>
    </row>
    <row r="410" spans="11:11" x14ac:dyDescent="0.35">
      <c r="K410" s="34"/>
    </row>
    <row r="412" spans="11:11" x14ac:dyDescent="0.35">
      <c r="K412" s="34"/>
    </row>
    <row r="413" spans="11:11" x14ac:dyDescent="0.35">
      <c r="K413" s="34"/>
    </row>
    <row r="414" spans="11:11" x14ac:dyDescent="0.35">
      <c r="K414" s="34"/>
    </row>
    <row r="415" spans="11:11" x14ac:dyDescent="0.35">
      <c r="K415" s="34"/>
    </row>
    <row r="416" spans="11:11" x14ac:dyDescent="0.35">
      <c r="K416" s="34"/>
    </row>
    <row r="417" spans="11:11" x14ac:dyDescent="0.35">
      <c r="K417" s="34"/>
    </row>
    <row r="418" spans="11:11" x14ac:dyDescent="0.35">
      <c r="K418" s="34"/>
    </row>
    <row r="419" spans="11:11" x14ac:dyDescent="0.35">
      <c r="K419" s="34"/>
    </row>
    <row r="420" spans="11:11" x14ac:dyDescent="0.35">
      <c r="K420" s="34"/>
    </row>
    <row r="421" spans="11:11" x14ac:dyDescent="0.35">
      <c r="K421" s="34"/>
    </row>
  </sheetData>
  <sortState xmlns:xlrd2="http://schemas.microsoft.com/office/spreadsheetml/2017/richdata2" ref="M1:M2392">
    <sortCondition ref="M1:M239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881F-69CF-4B0D-87C1-321A667A89DB}">
  <dimension ref="A1:K779"/>
  <sheetViews>
    <sheetView tabSelected="1" workbookViewId="0"/>
  </sheetViews>
  <sheetFormatPr defaultRowHeight="14.5" x14ac:dyDescent="0.35"/>
  <cols>
    <col min="1" max="1" width="18.7265625" style="1" customWidth="1"/>
    <col min="2" max="2" width="15.7265625" style="1" customWidth="1"/>
    <col min="3" max="3" width="11.54296875" style="1" customWidth="1"/>
    <col min="4" max="4" width="4.6328125" style="1" customWidth="1"/>
    <col min="5" max="5" width="18.36328125" style="1" customWidth="1"/>
    <col min="6" max="6" width="37.6328125" style="1" customWidth="1"/>
    <col min="7" max="7" width="33.6328125" style="1" customWidth="1"/>
    <col min="8" max="9" width="33.26953125" style="1" customWidth="1"/>
    <col min="10" max="10" width="43.6328125" style="1" customWidth="1"/>
    <col min="11" max="11" width="68.90625" style="35" customWidth="1"/>
    <col min="12" max="16384" width="8.7265625" style="1"/>
  </cols>
  <sheetData>
    <row r="1" spans="1:11" s="11" customFormat="1" x14ac:dyDescent="0.35">
      <c r="A1" s="11" t="s">
        <v>6742</v>
      </c>
      <c r="B1" s="11" t="s">
        <v>14</v>
      </c>
      <c r="C1" s="11" t="s">
        <v>6743</v>
      </c>
      <c r="D1" s="11" t="s">
        <v>10472</v>
      </c>
      <c r="E1" s="11" t="s">
        <v>13013</v>
      </c>
      <c r="F1" s="11" t="s">
        <v>6746</v>
      </c>
      <c r="G1" s="11" t="s">
        <v>6746</v>
      </c>
      <c r="H1" s="11" t="s">
        <v>6747</v>
      </c>
      <c r="I1" s="11" t="s">
        <v>6747</v>
      </c>
      <c r="J1" s="11" t="s">
        <v>13011</v>
      </c>
      <c r="K1" s="13" t="s">
        <v>13012</v>
      </c>
    </row>
    <row r="2" spans="1:11" ht="58" x14ac:dyDescent="0.35">
      <c r="A2" s="1" t="s">
        <v>3447</v>
      </c>
      <c r="B2" s="1" t="s">
        <v>3448</v>
      </c>
      <c r="C2" s="1" t="s">
        <v>9761</v>
      </c>
      <c r="D2" s="1">
        <v>1</v>
      </c>
      <c r="E2" s="1" t="str">
        <f>CONCATENATE("E",Reactions!C2)</f>
        <v>E1_1_1_1</v>
      </c>
      <c r="F2" s="1" t="s">
        <v>10473</v>
      </c>
      <c r="G2" s="1" t="s">
        <v>11742</v>
      </c>
      <c r="H2" s="1" t="s">
        <v>10474</v>
      </c>
      <c r="I2" s="1" t="s">
        <v>12377</v>
      </c>
      <c r="J2" s="12" t="str">
        <f>CONCATENATE("(${Variables:",E2,"_kcat","} * ",E2," * ",G2,")","/(${Variables:",E2,"_km","} + (",E2," * ",G2,"))")</f>
        <v>(${Variables:E1_1_1_1_kcat} * E1_1_1_1 * C00226*C00003)/(${Variables:E1_1_1_1_km} + (E1_1_1_1 * C00226*C00003))</v>
      </c>
      <c r="K2" s="36" t="str">
        <f>CONCATENATE("r",D2,": ",F2," -&gt; ",H2," | ",J2)</f>
        <v>r1: C00226+C00003 -&gt; C00071+C00004+C00080 | (${Variables:E1_1_1_1_kcat} * E1_1_1_1 * C00226*C00003)/(${Variables:E1_1_1_1_km} + (E1_1_1_1 * C00226*C00003))</v>
      </c>
    </row>
    <row r="3" spans="1:11" ht="58" x14ac:dyDescent="0.35">
      <c r="A3" s="1" t="s">
        <v>3447</v>
      </c>
      <c r="B3" s="1" t="s">
        <v>3448</v>
      </c>
      <c r="C3" s="1" t="s">
        <v>9761</v>
      </c>
      <c r="D3" s="1">
        <v>2</v>
      </c>
      <c r="E3" s="1" t="str">
        <f>CONCATENATE("E",Reactions!C3)</f>
        <v>E1_1_1_1</v>
      </c>
      <c r="F3" s="1" t="s">
        <v>10475</v>
      </c>
      <c r="G3" s="1" t="s">
        <v>11743</v>
      </c>
      <c r="H3" s="1" t="s">
        <v>10476</v>
      </c>
      <c r="I3" s="1" t="s">
        <v>12378</v>
      </c>
      <c r="J3" s="12" t="str">
        <f t="shared" ref="J3:J66" si="0">CONCATENATE("(${Variables:",E3,"_kcat","} * ",E3," * ",G3,")","/(${Variables:",E3,"_km","} + (",E3," * ",G3,"))")</f>
        <v>(${Variables:E1_1_1_1_kcat} * E1_1_1_1 * C00469*C00003)/(${Variables:E1_1_1_1_km} + (E1_1_1_1 * C00469*C00003))</v>
      </c>
      <c r="K3" s="36" t="str">
        <f t="shared" ref="K3:K66" si="1">CONCATENATE("r",D3,": ",F3," -&gt; ",H3," | ",J3)</f>
        <v>r2: C00469+C00003 -&gt; C00084+C00004+C00080 | (${Variables:E1_1_1_1_kcat} * E1_1_1_1 * C00469*C00003)/(${Variables:E1_1_1_1_km} + (E1_1_1_1 * C00469*C00003))</v>
      </c>
    </row>
    <row r="4" spans="1:11" ht="58" x14ac:dyDescent="0.35">
      <c r="A4" s="1" t="s">
        <v>3447</v>
      </c>
      <c r="B4" s="1" t="s">
        <v>3448</v>
      </c>
      <c r="C4" s="1" t="s">
        <v>9761</v>
      </c>
      <c r="D4" s="1">
        <v>3</v>
      </c>
      <c r="E4" s="1" t="str">
        <f>CONCATENATE("E",Reactions!C4)</f>
        <v>E1_1_1_1</v>
      </c>
      <c r="F4" s="1" t="s">
        <v>10477</v>
      </c>
      <c r="G4" s="1" t="s">
        <v>11744</v>
      </c>
      <c r="H4" s="3" t="s">
        <v>10478</v>
      </c>
      <c r="I4" s="3" t="s">
        <v>12379</v>
      </c>
      <c r="J4" s="12" t="str">
        <f t="shared" si="0"/>
        <v>(${Variables:E1_1_1_1_kcat} * E1_1_1_1 * C00473*C00003)/(${Variables:E1_1_1_1_km} + (E1_1_1_1 * C00473*C00003))</v>
      </c>
      <c r="K4" s="36" t="str">
        <f t="shared" si="1"/>
        <v>r3: C00473+C00003 -&gt; C00376+C00004+C00080 | (${Variables:E1_1_1_1_kcat} * E1_1_1_1 * C00473*C00003)/(${Variables:E1_1_1_1_km} + (E1_1_1_1 * C00473*C00003))</v>
      </c>
    </row>
    <row r="5" spans="1:11" ht="58" x14ac:dyDescent="0.35">
      <c r="A5" s="1" t="s">
        <v>3447</v>
      </c>
      <c r="B5" s="1" t="s">
        <v>3448</v>
      </c>
      <c r="C5" s="1" t="s">
        <v>9761</v>
      </c>
      <c r="D5" s="1">
        <v>4</v>
      </c>
      <c r="E5" s="1" t="str">
        <f>CONCATENATE("E",Reactions!C5)</f>
        <v>E1_1_1_1</v>
      </c>
      <c r="F5" s="1" t="s">
        <v>10479</v>
      </c>
      <c r="G5" s="1" t="s">
        <v>11745</v>
      </c>
      <c r="H5" s="1" t="s">
        <v>10480</v>
      </c>
      <c r="I5" s="1" t="s">
        <v>12380</v>
      </c>
      <c r="J5" s="12" t="str">
        <f t="shared" si="0"/>
        <v>(${Variables:E1_1_1_1_kcat} * E1_1_1_1 * C00756*C00003)/(${Variables:E1_1_1_1_km} + (E1_1_1_1 * C00756*C00003))</v>
      </c>
      <c r="K5" s="36" t="str">
        <f t="shared" si="1"/>
        <v>r4: C00756+C00003 -&gt; C01545+C00004+C00080 | (${Variables:E1_1_1_1_kcat} * E1_1_1_1 * C00756*C00003)/(${Variables:E1_1_1_1_km} + (E1_1_1_1 * C00756*C00003))</v>
      </c>
    </row>
    <row r="6" spans="1:11" ht="58" x14ac:dyDescent="0.35">
      <c r="A6" s="1" t="s">
        <v>3447</v>
      </c>
      <c r="B6" s="1" t="s">
        <v>3448</v>
      </c>
      <c r="C6" s="1" t="s">
        <v>9761</v>
      </c>
      <c r="D6" s="1">
        <v>5</v>
      </c>
      <c r="E6" s="1" t="str">
        <f>CONCATENATE("E",Reactions!C6)</f>
        <v>E1_1_1_1</v>
      </c>
      <c r="F6" s="1" t="s">
        <v>10481</v>
      </c>
      <c r="G6" s="1" t="s">
        <v>11746</v>
      </c>
      <c r="H6" s="1" t="s">
        <v>10482</v>
      </c>
      <c r="I6" s="1" t="s">
        <v>12381</v>
      </c>
      <c r="J6" s="12" t="str">
        <f t="shared" si="0"/>
        <v>(${Variables:E1_1_1_1_kcat} * E1_1_1_1 * C05444*C00003)/(${Variables:E1_1_1_1_km} + (E1_1_1_1 * C05444*C00003))</v>
      </c>
      <c r="K6" s="36" t="str">
        <f t="shared" si="1"/>
        <v>r5: C05444+C00003 -&gt; C05445+C00004+C00080 | (${Variables:E1_1_1_1_kcat} * E1_1_1_1 * C05444*C00003)/(${Variables:E1_1_1_1_km} + (E1_1_1_1 * C05444*C00003))</v>
      </c>
    </row>
    <row r="7" spans="1:11" ht="58" x14ac:dyDescent="0.35">
      <c r="A7" s="1" t="s">
        <v>3447</v>
      </c>
      <c r="B7" s="1" t="s">
        <v>3448</v>
      </c>
      <c r="C7" s="1" t="s">
        <v>9761</v>
      </c>
      <c r="D7" s="1">
        <v>6</v>
      </c>
      <c r="E7" s="1" t="str">
        <f>CONCATENATE("E",Reactions!C7)</f>
        <v>E1_1_1_1</v>
      </c>
      <c r="F7" s="1" t="s">
        <v>10483</v>
      </c>
      <c r="G7" s="1" t="s">
        <v>11747</v>
      </c>
      <c r="H7" s="1" t="s">
        <v>10484</v>
      </c>
      <c r="I7" s="1" t="s">
        <v>12382</v>
      </c>
      <c r="J7" s="12" t="str">
        <f t="shared" si="0"/>
        <v>(${Variables:E1_1_1_1_kcat} * E1_1_1_1 * C05576*C00003)/(${Variables:E1_1_1_1_km} + (E1_1_1_1 * C05576*C00003))</v>
      </c>
      <c r="K7" s="36" t="str">
        <f t="shared" si="1"/>
        <v>r6: C05576+C00003 -&gt; C05577+C00004+C00080 | (${Variables:E1_1_1_1_kcat} * E1_1_1_1 * C05576*C00003)/(${Variables:E1_1_1_1_km} + (E1_1_1_1 * C05576*C00003))</v>
      </c>
    </row>
    <row r="8" spans="1:11" ht="58" x14ac:dyDescent="0.35">
      <c r="A8" s="1" t="s">
        <v>3447</v>
      </c>
      <c r="B8" s="1" t="s">
        <v>3448</v>
      </c>
      <c r="C8" s="1" t="s">
        <v>9761</v>
      </c>
      <c r="D8" s="1">
        <v>7</v>
      </c>
      <c r="E8" s="1" t="str">
        <f>CONCATENATE("E",Reactions!C8)</f>
        <v>E1_1_1_1</v>
      </c>
      <c r="F8" s="1" t="s">
        <v>10485</v>
      </c>
      <c r="G8" s="1" t="s">
        <v>11748</v>
      </c>
      <c r="H8" s="1" t="s">
        <v>10486</v>
      </c>
      <c r="I8" s="1" t="s">
        <v>12383</v>
      </c>
      <c r="J8" s="12" t="str">
        <f t="shared" si="0"/>
        <v>(${Variables:E1_1_1_1_kcat} * E1_1_1_1 * C06611*C00003)/(${Variables:E1_1_1_1_km} + (E1_1_1_1 * C06611*C00003))</v>
      </c>
      <c r="K8" s="36" t="str">
        <f t="shared" si="1"/>
        <v>r7: C06611+C00003 -&gt; C06613+C00004+C00080 | (${Variables:E1_1_1_1_kcat} * E1_1_1_1 * C06611*C00003)/(${Variables:E1_1_1_1_km} + (E1_1_1_1 * C06611*C00003))</v>
      </c>
    </row>
    <row r="9" spans="1:11" ht="58" x14ac:dyDescent="0.35">
      <c r="A9" s="1" t="s">
        <v>3447</v>
      </c>
      <c r="B9" s="1" t="s">
        <v>3448</v>
      </c>
      <c r="C9" s="1" t="s">
        <v>9761</v>
      </c>
      <c r="D9" s="1">
        <v>8</v>
      </c>
      <c r="E9" s="1" t="str">
        <f>CONCATENATE("E",Reactions!C9)</f>
        <v>E1_1_1_1</v>
      </c>
      <c r="F9" s="1" t="s">
        <v>10487</v>
      </c>
      <c r="G9" s="1" t="s">
        <v>11749</v>
      </c>
      <c r="H9" s="1" t="s">
        <v>10488</v>
      </c>
      <c r="I9" s="1" t="s">
        <v>12384</v>
      </c>
      <c r="J9" s="12" t="str">
        <f t="shared" si="0"/>
        <v>(${Variables:E1_1_1_1_kcat} * E1_1_1_1 * C06612*C00003 )/(${Variables:E1_1_1_1_km} + (E1_1_1_1 * C06612*C00003 ))</v>
      </c>
      <c r="K9" s="36" t="str">
        <f t="shared" si="1"/>
        <v>r8: C06612+C00003  -&gt; C16348+C00004+C00080 | (${Variables:E1_1_1_1_kcat} * E1_1_1_1 * C06612*C00003 )/(${Variables:E1_1_1_1_km} + (E1_1_1_1 * C06612*C00003 ))</v>
      </c>
    </row>
    <row r="10" spans="1:11" ht="58" x14ac:dyDescent="0.35">
      <c r="A10" s="1" t="s">
        <v>3447</v>
      </c>
      <c r="B10" s="1" t="s">
        <v>3448</v>
      </c>
      <c r="C10" s="1" t="s">
        <v>9761</v>
      </c>
      <c r="D10" s="1">
        <v>9</v>
      </c>
      <c r="E10" s="1" t="str">
        <f>CONCATENATE("E",Reactions!C10)</f>
        <v>E1_1_1_1</v>
      </c>
      <c r="F10" s="1" t="s">
        <v>10489</v>
      </c>
      <c r="G10" s="1" t="s">
        <v>11750</v>
      </c>
      <c r="H10" s="1" t="s">
        <v>10490</v>
      </c>
      <c r="I10" s="1" t="s">
        <v>12385</v>
      </c>
      <c r="J10" s="12" t="str">
        <f t="shared" si="0"/>
        <v>(${Variables:E1_1_1_1_kcat} * E1_1_1_1 * C14089*C00003)/(${Variables:E1_1_1_1_km} + (E1_1_1_1 * C14089*C00003))</v>
      </c>
      <c r="K10" s="36" t="str">
        <f t="shared" si="1"/>
        <v>r9: C14089+C00003 -&gt; C14090+C00004+C00080 | (${Variables:E1_1_1_1_kcat} * E1_1_1_1 * C14089*C00003)/(${Variables:E1_1_1_1_km} + (E1_1_1_1 * C14089*C00003))</v>
      </c>
    </row>
    <row r="11" spans="1:11" ht="58" x14ac:dyDescent="0.35">
      <c r="A11" s="1" t="s">
        <v>3447</v>
      </c>
      <c r="B11" s="1" t="s">
        <v>3448</v>
      </c>
      <c r="C11" s="1" t="s">
        <v>9761</v>
      </c>
      <c r="D11" s="1">
        <v>10</v>
      </c>
      <c r="E11" s="1" t="str">
        <f>CONCATENATE("E",Reactions!C11)</f>
        <v>E1_1_1_1</v>
      </c>
      <c r="F11" s="1" t="s">
        <v>10491</v>
      </c>
      <c r="G11" s="1" t="s">
        <v>11751</v>
      </c>
      <c r="H11" s="1" t="s">
        <v>10492</v>
      </c>
      <c r="I11" s="1" t="s">
        <v>12386</v>
      </c>
      <c r="J11" s="12" t="str">
        <f t="shared" si="0"/>
        <v>(${Variables:E1_1_1_1_kcat} * E1_1_1_1 * C02909*C00003)/(${Variables:E1_1_1_1_km} + (E1_1_1_1 * C02909*C00003))</v>
      </c>
      <c r="K11" s="36" t="str">
        <f t="shared" si="1"/>
        <v>r10: C02909+C00003 -&gt; C14099+C00004+C00080 | (${Variables:E1_1_1_1_kcat} * E1_1_1_1 * C02909*C00003)/(${Variables:E1_1_1_1_km} + (E1_1_1_1 * C02909*C00003))</v>
      </c>
    </row>
    <row r="12" spans="1:11" ht="58" x14ac:dyDescent="0.35">
      <c r="A12" s="1" t="s">
        <v>3447</v>
      </c>
      <c r="B12" s="1" t="s">
        <v>3448</v>
      </c>
      <c r="C12" s="1" t="s">
        <v>9761</v>
      </c>
      <c r="D12" s="1">
        <v>11</v>
      </c>
      <c r="E12" s="1" t="str">
        <f>CONCATENATE("E",Reactions!C12)</f>
        <v>E1_1_1_1</v>
      </c>
      <c r="F12" s="1" t="s">
        <v>10493</v>
      </c>
      <c r="G12" s="1" t="s">
        <v>11752</v>
      </c>
      <c r="H12" s="1" t="s">
        <v>10494</v>
      </c>
      <c r="I12" s="1" t="s">
        <v>12387</v>
      </c>
      <c r="J12" s="12" t="str">
        <f t="shared" si="0"/>
        <v>(${Variables:E1_1_1_1_kcat} * E1_1_1_1 * C16586*C00003)/(${Variables:E1_1_1_1_km} + (E1_1_1_1 * C16586*C00003))</v>
      </c>
      <c r="K12" s="36" t="str">
        <f t="shared" si="1"/>
        <v>r11: C16586+C00003 -&gt; C16587+C00004+C00080 | (${Variables:E1_1_1_1_kcat} * E1_1_1_1 * C16586*C00003)/(${Variables:E1_1_1_1_km} + (E1_1_1_1 * C16586*C00003))</v>
      </c>
    </row>
    <row r="13" spans="1:11" ht="58" x14ac:dyDescent="0.35">
      <c r="A13" s="1" t="s">
        <v>3447</v>
      </c>
      <c r="B13" s="1" t="s">
        <v>3448</v>
      </c>
      <c r="C13" s="1" t="s">
        <v>9761</v>
      </c>
      <c r="D13" s="1">
        <v>12</v>
      </c>
      <c r="E13" s="1" t="str">
        <f>CONCATENATE("E",Reactions!C13)</f>
        <v>E1_1_1_1</v>
      </c>
      <c r="F13" s="1" t="s">
        <v>10495</v>
      </c>
      <c r="G13" s="1" t="s">
        <v>11753</v>
      </c>
      <c r="H13" s="1" t="s">
        <v>10496</v>
      </c>
      <c r="I13" s="1" t="s">
        <v>12388</v>
      </c>
      <c r="J13" s="12" t="str">
        <f t="shared" si="0"/>
        <v>(${Variables:E1_1_1_1_kcat} * E1_1_1_1 * C00114*C00003 )/(${Variables:E1_1_1_1_km} + (E1_1_1_1 * C00114*C00003 ))</v>
      </c>
      <c r="K13" s="36" t="str">
        <f t="shared" si="1"/>
        <v>r12: C00114+C00003  -&gt; C00576+C00004+C00080 | (${Variables:E1_1_1_1_kcat} * E1_1_1_1 * C00114*C00003 )/(${Variables:E1_1_1_1_km} + (E1_1_1_1 * C00114*C00003 ))</v>
      </c>
    </row>
    <row r="14" spans="1:11" ht="58" x14ac:dyDescent="0.35">
      <c r="A14" s="1" t="s">
        <v>3447</v>
      </c>
      <c r="B14" s="1" t="s">
        <v>3448</v>
      </c>
      <c r="C14" s="1" t="s">
        <v>9761</v>
      </c>
      <c r="D14" s="1">
        <v>13</v>
      </c>
      <c r="E14" s="1" t="str">
        <f>CONCATENATE("E",Reactions!C14)</f>
        <v>E1_1_1_1</v>
      </c>
      <c r="F14" s="1" t="s">
        <v>10497</v>
      </c>
      <c r="G14" s="1" t="s">
        <v>11754</v>
      </c>
      <c r="H14" s="1" t="s">
        <v>10498</v>
      </c>
      <c r="I14" s="1" t="s">
        <v>12389</v>
      </c>
      <c r="J14" s="12" t="str">
        <f t="shared" si="0"/>
        <v>(${Variables:E1_1_1_1_kcat} * E1_1_1_1 * C00114*C00006)/(${Variables:E1_1_1_1_km} + (E1_1_1_1 * C00114*C00006))</v>
      </c>
      <c r="K14" s="36" t="str">
        <f t="shared" si="1"/>
        <v>r13: C00114+C00006 -&gt; C00576+C00005+C00080 | (${Variables:E1_1_1_1_kcat} * E1_1_1_1 * C00114*C00006)/(${Variables:E1_1_1_1_km} + (E1_1_1_1 * C00114*C00006))</v>
      </c>
    </row>
    <row r="15" spans="1:11" ht="58" x14ac:dyDescent="0.35">
      <c r="A15" s="1" t="s">
        <v>3447</v>
      </c>
      <c r="B15" s="1" t="s">
        <v>3448</v>
      </c>
      <c r="C15" s="1" t="s">
        <v>9761</v>
      </c>
      <c r="D15" s="1">
        <v>14</v>
      </c>
      <c r="E15" s="1" t="str">
        <f>CONCATENATE("E",Reactions!C15)</f>
        <v>E1_1_1_1</v>
      </c>
      <c r="F15" s="1" t="s">
        <v>10499</v>
      </c>
      <c r="G15" s="1" t="s">
        <v>11755</v>
      </c>
      <c r="H15" s="1" t="s">
        <v>10500</v>
      </c>
      <c r="I15" s="1" t="s">
        <v>12390</v>
      </c>
      <c r="J15" s="12" t="str">
        <f t="shared" si="0"/>
        <v>(${Variables:E1_1_1_1_kcat} * E1_1_1_1 * C16310*C00004*C00080)/(${Variables:E1_1_1_1_km} + (E1_1_1_1 * C16310*C00004*C00080))</v>
      </c>
      <c r="K15" s="36" t="str">
        <f t="shared" si="1"/>
        <v>r14: C16310+C00004+C00080 -&gt; C08492+C00003 | (${Variables:E1_1_1_1_kcat} * E1_1_1_1 * C16310*C00004*C00080)/(${Variables:E1_1_1_1_km} + (E1_1_1_1 * C16310*C00004*C00080))</v>
      </c>
    </row>
    <row r="16" spans="1:11" ht="58" x14ac:dyDescent="0.35">
      <c r="A16" s="1" t="s">
        <v>3447</v>
      </c>
      <c r="B16" s="1" t="s">
        <v>3448</v>
      </c>
      <c r="C16" s="1" t="s">
        <v>9761</v>
      </c>
      <c r="D16" s="1">
        <v>15</v>
      </c>
      <c r="E16" s="1" t="str">
        <f>CONCATENATE("E",Reactions!C16)</f>
        <v>E1_1_1_1</v>
      </c>
      <c r="F16" s="1" t="s">
        <v>10501</v>
      </c>
      <c r="G16" s="1" t="s">
        <v>11756</v>
      </c>
      <c r="H16" s="1" t="s">
        <v>10502</v>
      </c>
      <c r="I16" s="1" t="s">
        <v>12391</v>
      </c>
      <c r="J16" s="12" t="str">
        <f t="shared" si="0"/>
        <v>(${Variables:E1_1_1_1_kcat} * E1_1_1_1 * C01612*C00003 )/(${Variables:E1_1_1_1_km} + (E1_1_1_1 * C01612*C00003 ))</v>
      </c>
      <c r="K16" s="36" t="str">
        <f t="shared" si="1"/>
        <v>r15: C01612+C00003  -&gt; C01450+C00004+C00080 | (${Variables:E1_1_1_1_kcat} * E1_1_1_1 * C01612*C00003 )/(${Variables:E1_1_1_1_km} + (E1_1_1_1 * C01612*C00003 ))</v>
      </c>
    </row>
    <row r="17" spans="1:11" ht="58" x14ac:dyDescent="0.35">
      <c r="A17" s="1" t="s">
        <v>3447</v>
      </c>
      <c r="B17" s="1" t="s">
        <v>3448</v>
      </c>
      <c r="C17" s="1" t="s">
        <v>9761</v>
      </c>
      <c r="D17" s="1">
        <v>16</v>
      </c>
      <c r="E17" s="1" t="str">
        <f>CONCATENATE("E",Reactions!C17)</f>
        <v>E1_1_1_1</v>
      </c>
      <c r="F17" s="1" t="s">
        <v>10503</v>
      </c>
      <c r="G17" s="1" t="s">
        <v>11757</v>
      </c>
      <c r="H17" s="1" t="s">
        <v>10504</v>
      </c>
      <c r="I17" s="1" t="s">
        <v>12392</v>
      </c>
      <c r="J17" s="12" t="str">
        <f t="shared" si="0"/>
        <v>(${Variables:E1_1_1_1_kcat} * E1_1_1_1 * C16595*C00003)/(${Variables:E1_1_1_1_km} + (E1_1_1_1 * C16595*C00003))</v>
      </c>
      <c r="K17" s="36" t="str">
        <f t="shared" si="1"/>
        <v>r16: C16595+C00003 -&gt; C16596+C00004+C00080 | (${Variables:E1_1_1_1_kcat} * E1_1_1_1 * C16595*C00003)/(${Variables:E1_1_1_1_km} + (E1_1_1_1 * C16595*C00003))</v>
      </c>
    </row>
    <row r="18" spans="1:11" ht="58" x14ac:dyDescent="0.35">
      <c r="A18" s="1" t="s">
        <v>3447</v>
      </c>
      <c r="B18" s="1" t="s">
        <v>3448</v>
      </c>
      <c r="C18" s="1" t="s">
        <v>9761</v>
      </c>
      <c r="D18" s="1">
        <v>17</v>
      </c>
      <c r="E18" s="1" t="str">
        <f>CONCATENATE("E",Reactions!C18)</f>
        <v>E1_1_1_1</v>
      </c>
      <c r="F18" s="1" t="s">
        <v>10505</v>
      </c>
      <c r="G18" s="1" t="s">
        <v>11758</v>
      </c>
      <c r="H18" s="1" t="s">
        <v>10506</v>
      </c>
      <c r="I18" s="1" t="s">
        <v>12393</v>
      </c>
      <c r="J18" s="12" t="str">
        <f t="shared" si="0"/>
        <v>(${Variables:E1_1_1_1_kcat} * E1_1_1_1 * C00418*C00003)/(${Variables:E1_1_1_1_km} + (E1_1_1_1 * C00418*C00003))</v>
      </c>
      <c r="K18" s="36" t="str">
        <f t="shared" si="1"/>
        <v>r17: C00418+C00003 -&gt; C00772+C00004+C00080 | (${Variables:E1_1_1_1_kcat} * E1_1_1_1 * C00418*C00003)/(${Variables:E1_1_1_1_km} + (E1_1_1_1 * C00418*C00003))</v>
      </c>
    </row>
    <row r="19" spans="1:11" ht="58" x14ac:dyDescent="0.35">
      <c r="A19" s="1" t="s">
        <v>3447</v>
      </c>
      <c r="B19" s="1" t="s">
        <v>3448</v>
      </c>
      <c r="C19" s="1" t="s">
        <v>9761</v>
      </c>
      <c r="D19" s="1">
        <v>18</v>
      </c>
      <c r="E19" s="1" t="str">
        <f>CONCATENATE("E",Reactions!C19)</f>
        <v>E1_1_1_1</v>
      </c>
      <c r="F19" s="1" t="s">
        <v>10507</v>
      </c>
      <c r="G19" s="1" t="s">
        <v>11759</v>
      </c>
      <c r="H19" s="1" t="s">
        <v>10508</v>
      </c>
      <c r="I19" s="1" t="s">
        <v>12394</v>
      </c>
      <c r="J19" s="12" t="str">
        <f t="shared" si="0"/>
        <v>(${Variables:E1_1_1_1_kcat} * E1_1_1_1 * C06899*C00004*C00080)/(${Variables:E1_1_1_1_km} + (E1_1_1_1 * C06899*C00004*C00080))</v>
      </c>
      <c r="K19" s="36" t="str">
        <f t="shared" si="1"/>
        <v>r18: C06899+C00004+C00080 -&gt; C07490+C00003+C00001 | (${Variables:E1_1_1_1_kcat} * E1_1_1_1 * C06899*C00004*C00080)/(${Variables:E1_1_1_1_km} + (E1_1_1_1 * C06899*C00004*C00080))</v>
      </c>
    </row>
    <row r="20" spans="1:11" ht="58" x14ac:dyDescent="0.35">
      <c r="A20" s="1" t="s">
        <v>1128</v>
      </c>
      <c r="B20" s="1" t="s">
        <v>1129</v>
      </c>
      <c r="C20" s="1" t="s">
        <v>9762</v>
      </c>
      <c r="D20" s="1">
        <v>19</v>
      </c>
      <c r="E20" s="1" t="str">
        <f>CONCATENATE("E",Reactions!C20)</f>
        <v>E1_1_1_100</v>
      </c>
      <c r="F20" s="1" t="s">
        <v>10509</v>
      </c>
      <c r="G20" s="1" t="s">
        <v>11760</v>
      </c>
      <c r="H20" s="1" t="s">
        <v>10510</v>
      </c>
      <c r="I20" s="1" t="s">
        <v>12395</v>
      </c>
      <c r="J20" s="12" t="str">
        <f t="shared" si="0"/>
        <v>(${Variables:E1_1_1_100_kcat} * E1_1_1_100 * C01271*C00006 )/(${Variables:E1_1_1_100_km} + (E1_1_1_100 * C01271*C00006 ))</v>
      </c>
      <c r="K20" s="36" t="str">
        <f t="shared" si="1"/>
        <v>r19: C01271+C00006  -&gt; C00685+C00005+C00080 | (${Variables:E1_1_1_100_kcat} * E1_1_1_100 * C01271*C00006 )/(${Variables:E1_1_1_100_km} + (E1_1_1_100 * C01271*C00006 ))</v>
      </c>
    </row>
    <row r="21" spans="1:11" ht="58" x14ac:dyDescent="0.35">
      <c r="A21" s="1" t="s">
        <v>1128</v>
      </c>
      <c r="B21" s="1" t="s">
        <v>1129</v>
      </c>
      <c r="C21" s="1" t="s">
        <v>9762</v>
      </c>
      <c r="D21" s="1">
        <v>20</v>
      </c>
      <c r="E21" s="1" t="str">
        <f>CONCATENATE("E",Reactions!C21)</f>
        <v>E1_1_1_100</v>
      </c>
      <c r="F21" s="1" t="s">
        <v>10511</v>
      </c>
      <c r="G21" s="1" t="s">
        <v>11761</v>
      </c>
      <c r="H21" s="1" t="s">
        <v>10512</v>
      </c>
      <c r="I21" s="1" t="s">
        <v>12396</v>
      </c>
      <c r="J21" s="12" t="str">
        <f t="shared" si="0"/>
        <v>(${Variables:E1_1_1_100_kcat} * E1_1_1_100 * C04618*C00006 )/(${Variables:E1_1_1_100_km} + (E1_1_1_100 * C04618*C00006 ))</v>
      </c>
      <c r="K21" s="36" t="str">
        <f t="shared" si="1"/>
        <v>r20: C04618+C00006  -&gt; C05744+C00005+C00080 | (${Variables:E1_1_1_100_kcat} * E1_1_1_100 * C04618*C00006 )/(${Variables:E1_1_1_100_km} + (E1_1_1_100 * C04618*C00006 ))</v>
      </c>
    </row>
    <row r="22" spans="1:11" ht="58" x14ac:dyDescent="0.35">
      <c r="A22" s="1" t="s">
        <v>1128</v>
      </c>
      <c r="B22" s="1" t="s">
        <v>1129</v>
      </c>
      <c r="C22" s="1" t="s">
        <v>9762</v>
      </c>
      <c r="D22" s="1">
        <v>21</v>
      </c>
      <c r="E22" s="1" t="str">
        <f>CONCATENATE("E",Reactions!C22)</f>
        <v>E1_1_1_100</v>
      </c>
      <c r="F22" s="1" t="s">
        <v>10513</v>
      </c>
      <c r="G22" s="1" t="s">
        <v>11762</v>
      </c>
      <c r="H22" s="1" t="s">
        <v>10514</v>
      </c>
      <c r="I22" s="1" t="s">
        <v>12397</v>
      </c>
      <c r="J22" s="12" t="str">
        <f t="shared" si="0"/>
        <v>(${Variables:E1_1_1_100_kcat} * E1_1_1_100 * C04619*C00006)/(${Variables:E1_1_1_100_km} + (E1_1_1_100 * C04619*C00006))</v>
      </c>
      <c r="K22" s="36" t="str">
        <f t="shared" si="1"/>
        <v>r21: C04619+C00006 -&gt; C05753+C00005 | (${Variables:E1_1_1_100_kcat} * E1_1_1_100 * C04619*C00006)/(${Variables:E1_1_1_100_km} + (E1_1_1_100 * C04619*C00006))</v>
      </c>
    </row>
    <row r="23" spans="1:11" ht="58" x14ac:dyDescent="0.35">
      <c r="A23" s="1" t="s">
        <v>1128</v>
      </c>
      <c r="B23" s="1" t="s">
        <v>1129</v>
      </c>
      <c r="C23" s="1" t="s">
        <v>9762</v>
      </c>
      <c r="D23" s="1">
        <v>22</v>
      </c>
      <c r="E23" s="1" t="str">
        <f>CONCATENATE("E",Reactions!C23)</f>
        <v>E1_1_1_100</v>
      </c>
      <c r="F23" s="1" t="s">
        <v>10515</v>
      </c>
      <c r="G23" s="1" t="s">
        <v>11763</v>
      </c>
      <c r="H23" s="1" t="s">
        <v>10516</v>
      </c>
      <c r="I23" s="1" t="s">
        <v>12398</v>
      </c>
      <c r="J23" s="12" t="str">
        <f t="shared" si="0"/>
        <v>(${Variables:E1_1_1_100_kcat} * E1_1_1_100 * C04620*C00006)/(${Variables:E1_1_1_100_km} + (E1_1_1_100 * C04620*C00006))</v>
      </c>
      <c r="K23" s="36" t="str">
        <f t="shared" si="1"/>
        <v>r22: C04620+C00006 -&gt; C05750+C00005+C00080 | (${Variables:E1_1_1_100_kcat} * E1_1_1_100 * C04620*C00006)/(${Variables:E1_1_1_100_km} + (E1_1_1_100 * C04620*C00006))</v>
      </c>
    </row>
    <row r="24" spans="1:11" ht="58" x14ac:dyDescent="0.35">
      <c r="A24" s="1" t="s">
        <v>1128</v>
      </c>
      <c r="B24" s="1" t="s">
        <v>1129</v>
      </c>
      <c r="C24" s="1" t="s">
        <v>9762</v>
      </c>
      <c r="D24" s="1">
        <v>23</v>
      </c>
      <c r="E24" s="1" t="str">
        <f>CONCATENATE("E",Reactions!C24)</f>
        <v>E1_1_1_100</v>
      </c>
      <c r="F24" s="1" t="s">
        <v>10517</v>
      </c>
      <c r="G24" s="1" t="s">
        <v>11764</v>
      </c>
      <c r="H24" s="1" t="s">
        <v>10518</v>
      </c>
      <c r="I24" s="1" t="s">
        <v>12399</v>
      </c>
      <c r="J24" s="12" t="str">
        <f t="shared" si="0"/>
        <v>(${Variables:E1_1_1_100_kcat} * E1_1_1_100 * C04633*C00006)/(${Variables:E1_1_1_100_km} + (E1_1_1_100 * C04633*C00006))</v>
      </c>
      <c r="K24" s="36" t="str">
        <f t="shared" si="1"/>
        <v>r23: C04633+C00006 -&gt; C05762+C00005+C00080 | (${Variables:E1_1_1_100_kcat} * E1_1_1_100 * C04633*C00006)/(${Variables:E1_1_1_100_km} + (E1_1_1_100 * C04633*C00006))</v>
      </c>
    </row>
    <row r="25" spans="1:11" ht="58" x14ac:dyDescent="0.35">
      <c r="A25" s="1" t="s">
        <v>1128</v>
      </c>
      <c r="B25" s="1" t="s">
        <v>1129</v>
      </c>
      <c r="C25" s="1" t="s">
        <v>9762</v>
      </c>
      <c r="D25" s="1">
        <v>24</v>
      </c>
      <c r="E25" s="1" t="str">
        <f>CONCATENATE("E",Reactions!C25)</f>
        <v>E1_1_1_100</v>
      </c>
      <c r="F25" s="1" t="s">
        <v>10519</v>
      </c>
      <c r="G25" s="1" t="s">
        <v>11765</v>
      </c>
      <c r="H25" s="1" t="s">
        <v>10520</v>
      </c>
      <c r="I25" s="1" t="s">
        <v>12400</v>
      </c>
      <c r="J25" s="12" t="str">
        <f t="shared" si="0"/>
        <v>(${Variables:E1_1_1_100_kcat} * E1_1_1_100 * C04688*C00006)/(${Variables:E1_1_1_100_km} + (E1_1_1_100 * C04688*C00006))</v>
      </c>
      <c r="K25" s="36" t="str">
        <f t="shared" si="1"/>
        <v>r24: C04688+C00006 -&gt; C05759+C00005+C00080 | (${Variables:E1_1_1_100_kcat} * E1_1_1_100 * C04688*C00006)/(${Variables:E1_1_1_100_km} + (E1_1_1_100 * C04688*C00006))</v>
      </c>
    </row>
    <row r="26" spans="1:11" ht="58" x14ac:dyDescent="0.35">
      <c r="A26" s="1" t="s">
        <v>1128</v>
      </c>
      <c r="B26" s="1" t="s">
        <v>1129</v>
      </c>
      <c r="C26" s="1" t="s">
        <v>9762</v>
      </c>
      <c r="D26" s="1">
        <v>25</v>
      </c>
      <c r="E26" s="1" t="str">
        <f>CONCATENATE("E",Reactions!C26)</f>
        <v>E1_1_1_100</v>
      </c>
      <c r="F26" s="1" t="s">
        <v>10521</v>
      </c>
      <c r="G26" s="1" t="s">
        <v>11766</v>
      </c>
      <c r="H26" s="1" t="s">
        <v>10522</v>
      </c>
      <c r="I26" s="1" t="s">
        <v>12401</v>
      </c>
      <c r="J26" s="12" t="str">
        <f t="shared" si="0"/>
        <v>(${Variables:E1_1_1_100_kcat} * E1_1_1_100 * C05747*C00006)/(${Variables:E1_1_1_100_km} + (E1_1_1_100 * C05747*C00006))</v>
      </c>
      <c r="K26" s="36" t="str">
        <f t="shared" si="1"/>
        <v>r25: C05747+C00006 -&gt; C05746+C00005+C00080 | (${Variables:E1_1_1_100_kcat} * E1_1_1_100 * C05747*C00006)/(${Variables:E1_1_1_100_km} + (E1_1_1_100 * C05747*C00006))</v>
      </c>
    </row>
    <row r="27" spans="1:11" ht="58" x14ac:dyDescent="0.35">
      <c r="A27" s="1" t="s">
        <v>1128</v>
      </c>
      <c r="B27" s="1" t="s">
        <v>1129</v>
      </c>
      <c r="C27" s="1" t="s">
        <v>9762</v>
      </c>
      <c r="D27" s="1">
        <v>26</v>
      </c>
      <c r="E27" s="1" t="str">
        <f>CONCATENATE("E",Reactions!C27)</f>
        <v>E1_1_1_100</v>
      </c>
      <c r="F27" s="1" t="s">
        <v>10523</v>
      </c>
      <c r="G27" s="1" t="s">
        <v>11767</v>
      </c>
      <c r="H27" s="1" t="s">
        <v>10524</v>
      </c>
      <c r="I27" s="1" t="s">
        <v>12402</v>
      </c>
      <c r="J27" s="12" t="str">
        <f t="shared" si="0"/>
        <v>(${Variables:E1_1_1_100_kcat} * E1_1_1_100 * C05757*C00006)/(${Variables:E1_1_1_100_km} + (E1_1_1_100 * C05757*C00006))</v>
      </c>
      <c r="K27" s="36" t="str">
        <f t="shared" si="1"/>
        <v>r26: C05757+C00006 -&gt; C05756+C00005+C00080 | (${Variables:E1_1_1_100_kcat} * E1_1_1_100 * C05757*C00006)/(${Variables:E1_1_1_100_km} + (E1_1_1_100 * C05757*C00006))</v>
      </c>
    </row>
    <row r="28" spans="1:11" ht="58" x14ac:dyDescent="0.35">
      <c r="A28" s="1" t="s">
        <v>1128</v>
      </c>
      <c r="B28" s="1" t="s">
        <v>1129</v>
      </c>
      <c r="C28" s="1" t="s">
        <v>9762</v>
      </c>
      <c r="D28" s="1">
        <v>27</v>
      </c>
      <c r="E28" s="1" t="str">
        <f>CONCATENATE("E",Reactions!C28)</f>
        <v>E1_1_1_100</v>
      </c>
      <c r="F28" s="1" t="s">
        <v>10525</v>
      </c>
      <c r="G28" s="1" t="s">
        <v>11768</v>
      </c>
      <c r="H28" s="1" t="s">
        <v>10526</v>
      </c>
      <c r="I28" s="1" t="s">
        <v>12403</v>
      </c>
      <c r="J28" s="12" t="str">
        <f t="shared" si="0"/>
        <v>(${Variables:E1_1_1_100_kcat} * E1_1_1_100 * C16219*C00005*C00080)/(${Variables:E1_1_1_100_km} + (E1_1_1_100 * C16219*C00005*C00080))</v>
      </c>
      <c r="K28" s="36" t="str">
        <f t="shared" si="1"/>
        <v>r27: C16219+C00005+C00080 -&gt; C16220+C00006 | (${Variables:E1_1_1_100_kcat} * E1_1_1_100 * C16219*C00005*C00080)/(${Variables:E1_1_1_100_km} + (E1_1_1_100 * C16219*C00005*C00080))</v>
      </c>
    </row>
    <row r="29" spans="1:11" ht="58" x14ac:dyDescent="0.35">
      <c r="A29" s="1" t="s">
        <v>1128</v>
      </c>
      <c r="B29" s="1" t="s">
        <v>1129</v>
      </c>
      <c r="C29" s="1" t="s">
        <v>9762</v>
      </c>
      <c r="D29" s="1">
        <v>28</v>
      </c>
      <c r="E29" s="1" t="str">
        <f>CONCATENATE("E",Reactions!C29)</f>
        <v>E1_1_1_100</v>
      </c>
      <c r="F29" s="1" t="s">
        <v>10527</v>
      </c>
      <c r="G29" s="1" t="s">
        <v>11769</v>
      </c>
      <c r="H29" s="1" t="s">
        <v>10528</v>
      </c>
      <c r="I29" s="1" t="s">
        <v>12404</v>
      </c>
      <c r="J29" s="12" t="str">
        <f t="shared" si="0"/>
        <v>(${Variables:E1_1_1_100_kcat} * E1_1_1_100 * C20372*C00005*C00080)/(${Variables:E1_1_1_100_km} + (E1_1_1_100 * C20372*C00005*C00080))</v>
      </c>
      <c r="K29" s="36" t="str">
        <f t="shared" si="1"/>
        <v>r28: C20372+C00005+C00080 -&gt; C20373+C00006 | (${Variables:E1_1_1_100_kcat} * E1_1_1_100 * C20372*C00005*C00080)/(${Variables:E1_1_1_100_km} + (E1_1_1_100 * C20372*C00005*C00080))</v>
      </c>
    </row>
    <row r="30" spans="1:11" ht="58" x14ac:dyDescent="0.35">
      <c r="A30" s="1" t="s">
        <v>1128</v>
      </c>
      <c r="B30" s="1" t="s">
        <v>1129</v>
      </c>
      <c r="C30" s="1" t="s">
        <v>9762</v>
      </c>
      <c r="D30" s="1">
        <v>29</v>
      </c>
      <c r="E30" s="1" t="str">
        <f>CONCATENATE("E",Reactions!C30)</f>
        <v>E1_1_1_100</v>
      </c>
      <c r="F30" s="1" t="s">
        <v>10529</v>
      </c>
      <c r="G30" s="1" t="s">
        <v>11770</v>
      </c>
      <c r="H30" s="1" t="s">
        <v>10530</v>
      </c>
      <c r="I30" s="1" t="s">
        <v>12405</v>
      </c>
      <c r="J30" s="12" t="str">
        <f t="shared" si="0"/>
        <v>(${Variables:E1_1_1_100_kcat} * E1_1_1_100 * C20376*C00005*C00080)/(${Variables:E1_1_1_100_km} + (E1_1_1_100 * C20376*C00005*C00080))</v>
      </c>
      <c r="K30" s="36" t="str">
        <f t="shared" si="1"/>
        <v>r29: C20376+C00005+C00080 -&gt; C20377+C00006 | (${Variables:E1_1_1_100_kcat} * E1_1_1_100 * C20376*C00005*C00080)/(${Variables:E1_1_1_100_km} + (E1_1_1_100 * C20376*C00005*C00080))</v>
      </c>
    </row>
    <row r="31" spans="1:11" ht="58" x14ac:dyDescent="0.35">
      <c r="A31" s="1" t="s">
        <v>4621</v>
      </c>
      <c r="B31" s="1" t="s">
        <v>4622</v>
      </c>
      <c r="C31" s="1" t="s">
        <v>9763</v>
      </c>
      <c r="D31" s="1">
        <v>30</v>
      </c>
      <c r="E31" s="1" t="str">
        <f>CONCATENATE("E",Reactions!C31)</f>
        <v>E1_1_1_133</v>
      </c>
      <c r="F31" s="1" t="s">
        <v>10531</v>
      </c>
      <c r="G31" s="1" t="s">
        <v>11771</v>
      </c>
      <c r="H31" s="1" t="s">
        <v>10532</v>
      </c>
      <c r="I31" s="1" t="s">
        <v>12406</v>
      </c>
      <c r="J31" s="12" t="str">
        <f t="shared" si="0"/>
        <v>(${Variables:E1_1_1_133_kcat} * E1_1_1_133 * C03319*C00006)/(${Variables:E1_1_1_133_km} + (E1_1_1_133 * C03319*C00006))</v>
      </c>
      <c r="K31" s="36" t="str">
        <f t="shared" si="1"/>
        <v>r30: C03319+C00006 -&gt; C00688+C00005+C00080 | (${Variables:E1_1_1_133_kcat} * E1_1_1_133 * C03319*C00006)/(${Variables:E1_1_1_133_km} + (E1_1_1_133 * C03319*C00006))</v>
      </c>
    </row>
    <row r="32" spans="1:11" ht="58" x14ac:dyDescent="0.35">
      <c r="A32" s="1" t="s">
        <v>5075</v>
      </c>
      <c r="B32" s="1" t="s">
        <v>5076</v>
      </c>
      <c r="C32" s="1" t="s">
        <v>9764</v>
      </c>
      <c r="D32" s="1">
        <v>31</v>
      </c>
      <c r="E32" s="1" t="str">
        <f>CONCATENATE("E",Reactions!C32)</f>
        <v>E1_1_1_14</v>
      </c>
      <c r="F32" s="1" t="s">
        <v>10533</v>
      </c>
      <c r="G32" s="1" t="s">
        <v>11772</v>
      </c>
      <c r="H32" s="1" t="s">
        <v>10534</v>
      </c>
      <c r="I32" s="1" t="s">
        <v>12407</v>
      </c>
      <c r="J32" s="12" t="str">
        <f t="shared" si="0"/>
        <v>(${Variables:E1_1_1_14_kcat} * E1_1_1_14 * C01507*C00003)/(${Variables:E1_1_1_14_km} + (E1_1_1_14 * C01507*C00003))</v>
      </c>
      <c r="K32" s="36" t="str">
        <f t="shared" si="1"/>
        <v>r31: C01507+C00003 -&gt; C00247+C00004+C00080 | (${Variables:E1_1_1_14_kcat} * E1_1_1_14 * C01507*C00003)/(${Variables:E1_1_1_14_km} + (E1_1_1_14 * C01507*C00003))</v>
      </c>
    </row>
    <row r="33" spans="1:11" ht="72.5" x14ac:dyDescent="0.35">
      <c r="A33" s="1" t="s">
        <v>4026</v>
      </c>
      <c r="B33" s="1" t="s">
        <v>4027</v>
      </c>
      <c r="C33" s="1" t="s">
        <v>9765</v>
      </c>
      <c r="D33" s="1">
        <v>32</v>
      </c>
      <c r="E33" s="1" t="str">
        <f>CONCATENATE("E",Reactions!C33)</f>
        <v>E1_1_1_170</v>
      </c>
      <c r="F33" s="1" t="s">
        <v>10535</v>
      </c>
      <c r="G33" s="1" t="s">
        <v>11773</v>
      </c>
      <c r="H33" s="1" t="s">
        <v>10536</v>
      </c>
      <c r="I33" s="1" t="s">
        <v>12408</v>
      </c>
      <c r="J33" s="12" t="str">
        <f t="shared" si="0"/>
        <v>(${Variables:E1_1_1_170_kcat} * E1_1_1_170 * C22111*C00003 )/(${Variables:E1_1_1_170_km} + (E1_1_1_170 * C22111*C00003 ))</v>
      </c>
      <c r="K33" s="36" t="str">
        <f t="shared" si="1"/>
        <v>r32: C22111+C00003  -&gt; C01876+C00004+C00011+C00080 | (${Variables:E1_1_1_170_kcat} * E1_1_1_170 * C22111*C00003 )/(${Variables:E1_1_1_170_km} + (E1_1_1_170 * C22111*C00003 ))</v>
      </c>
    </row>
    <row r="34" spans="1:11" ht="58" x14ac:dyDescent="0.35">
      <c r="A34" s="1" t="s">
        <v>4026</v>
      </c>
      <c r="B34" s="1" t="s">
        <v>4027</v>
      </c>
      <c r="C34" s="1" t="s">
        <v>9765</v>
      </c>
      <c r="D34" s="1">
        <v>33</v>
      </c>
      <c r="E34" s="1" t="str">
        <f>CONCATENATE("E",Reactions!C34)</f>
        <v>E1_1_1_170</v>
      </c>
      <c r="F34" s="1" t="s">
        <v>10537</v>
      </c>
      <c r="G34" s="1" t="s">
        <v>11774</v>
      </c>
      <c r="H34" s="1" t="s">
        <v>10538</v>
      </c>
      <c r="I34" s="1" t="s">
        <v>12409</v>
      </c>
      <c r="J34" s="12" t="str">
        <f t="shared" si="0"/>
        <v>(${Variables:E1_1_1_170_kcat} * E1_1_1_170 * C04840*C00003)/(${Variables:E1_1_1_170_km} + (E1_1_1_170 * C04840*C00003))</v>
      </c>
      <c r="K34" s="36" t="str">
        <f t="shared" si="1"/>
        <v>r33: C04840+C00003 -&gt; C04453+C00011+C00004+C00080 | (${Variables:E1_1_1_170_kcat} * E1_1_1_170 * C04840*C00003)/(${Variables:E1_1_1_170_km} + (E1_1_1_170 * C04840*C00003))</v>
      </c>
    </row>
    <row r="35" spans="1:11" ht="58" x14ac:dyDescent="0.35">
      <c r="A35" s="1" t="s">
        <v>4026</v>
      </c>
      <c r="B35" s="1" t="s">
        <v>4027</v>
      </c>
      <c r="C35" s="1" t="s">
        <v>9765</v>
      </c>
      <c r="D35" s="1">
        <v>34</v>
      </c>
      <c r="E35" s="1" t="str">
        <f>CONCATENATE("E",Reactions!C35)</f>
        <v>E1_1_1_170</v>
      </c>
      <c r="F35" s="1" t="s">
        <v>10539</v>
      </c>
      <c r="G35" s="1" t="s">
        <v>11775</v>
      </c>
      <c r="H35" s="1" t="s">
        <v>10540</v>
      </c>
      <c r="I35" s="1" t="s">
        <v>12410</v>
      </c>
      <c r="J35" s="12" t="str">
        <f t="shared" si="0"/>
        <v>(${Variables:E1_1_1_170_kcat} * E1_1_1_170 * C22111*C00006)/(${Variables:E1_1_1_170_km} + (E1_1_1_170 * C22111*C00006))</v>
      </c>
      <c r="K35" s="36" t="str">
        <f t="shared" si="1"/>
        <v>r34: C22111+C00006 -&gt; C01876+C00011+C00005+C00080 | (${Variables:E1_1_1_170_kcat} * E1_1_1_170 * C22111*C00006)/(${Variables:E1_1_1_170_km} + (E1_1_1_170 * C22111*C00006))</v>
      </c>
    </row>
    <row r="36" spans="1:11" ht="58" x14ac:dyDescent="0.35">
      <c r="A36" s="1" t="s">
        <v>4026</v>
      </c>
      <c r="B36" s="1" t="s">
        <v>4027</v>
      </c>
      <c r="C36" s="1" t="s">
        <v>9765</v>
      </c>
      <c r="D36" s="1">
        <v>35</v>
      </c>
      <c r="E36" s="1" t="str">
        <f>CONCATENATE("E",Reactions!C36)</f>
        <v>E1_1_1_170</v>
      </c>
      <c r="F36" s="1" t="s">
        <v>10541</v>
      </c>
      <c r="G36" s="1" t="s">
        <v>11776</v>
      </c>
      <c r="H36" s="1" t="s">
        <v>10542</v>
      </c>
      <c r="I36" s="1" t="s">
        <v>12411</v>
      </c>
      <c r="J36" s="12" t="str">
        <f t="shared" si="0"/>
        <v>(${Variables:E1_1_1_170_kcat} * E1_1_1_170 * C04840*C00006)/(${Variables:E1_1_1_170_km} + (E1_1_1_170 * C04840*C00006))</v>
      </c>
      <c r="K36" s="36" t="str">
        <f t="shared" si="1"/>
        <v>r35: C04840+C00006 -&gt; C04453+C00011+C00005+C00080 | (${Variables:E1_1_1_170_kcat} * E1_1_1_170 * C04840*C00006)/(${Variables:E1_1_1_170_km} + (E1_1_1_170 * C04840*C00006))</v>
      </c>
    </row>
    <row r="37" spans="1:11" ht="58" x14ac:dyDescent="0.35">
      <c r="A37" s="1" t="s">
        <v>4026</v>
      </c>
      <c r="B37" s="1" t="s">
        <v>4027</v>
      </c>
      <c r="C37" s="1" t="s">
        <v>9765</v>
      </c>
      <c r="D37" s="1">
        <v>36</v>
      </c>
      <c r="E37" s="1" t="str">
        <f>CONCATENATE("E",Reactions!C37)</f>
        <v>E1_1_1_170</v>
      </c>
      <c r="F37" s="1" t="s">
        <v>10543</v>
      </c>
      <c r="G37" s="1" t="s">
        <v>11777</v>
      </c>
      <c r="H37" s="1" t="s">
        <v>10544</v>
      </c>
      <c r="I37" s="1" t="s">
        <v>12412</v>
      </c>
      <c r="J37" s="12" t="str">
        <f t="shared" si="0"/>
        <v>(${Variables:E1_1_1_170_kcat} * E1_1_1_170 * C15808*C00006)/(${Variables:E1_1_1_170_km} + (E1_1_1_170 * C15808*C00006))</v>
      </c>
      <c r="K37" s="36" t="str">
        <f t="shared" si="1"/>
        <v>r36: C15808+C00006 -&gt; C15816+C00005+C00080+C00011 | (${Variables:E1_1_1_170_kcat} * E1_1_1_170 * C15808*C00006)/(${Variables:E1_1_1_170_km} + (E1_1_1_170 * C15808*C00006))</v>
      </c>
    </row>
    <row r="38" spans="1:11" ht="58" x14ac:dyDescent="0.35">
      <c r="A38" s="1" t="s">
        <v>4026</v>
      </c>
      <c r="B38" s="1" t="s">
        <v>4027</v>
      </c>
      <c r="C38" s="1" t="s">
        <v>9765</v>
      </c>
      <c r="D38" s="1">
        <v>37</v>
      </c>
      <c r="E38" s="1" t="str">
        <f>CONCATENATE("E",Reactions!C38)</f>
        <v>E1_1_1_170</v>
      </c>
      <c r="F38" s="1" t="s">
        <v>10545</v>
      </c>
      <c r="G38" s="1" t="s">
        <v>11778</v>
      </c>
      <c r="H38" s="1" t="s">
        <v>10546</v>
      </c>
      <c r="I38" s="1" t="s">
        <v>12413</v>
      </c>
      <c r="J38" s="12" t="str">
        <f t="shared" si="0"/>
        <v>(${Variables:E1_1_1_170_kcat} * E1_1_1_170 * C22112*C00006)/(${Variables:E1_1_1_170_km} + (E1_1_1_170 * C22112*C00006))</v>
      </c>
      <c r="K38" s="36" t="str">
        <f t="shared" si="1"/>
        <v>r37: C22112+C00006 -&gt; C22136+C00005+C00080+C00011 | (${Variables:E1_1_1_170_kcat} * E1_1_1_170 * C22112*C00006)/(${Variables:E1_1_1_170_km} + (E1_1_1_170 * C22112*C00006))</v>
      </c>
    </row>
    <row r="39" spans="1:11" ht="87" x14ac:dyDescent="0.35">
      <c r="A39" s="1" t="s">
        <v>4026</v>
      </c>
      <c r="B39" s="1" t="s">
        <v>4027</v>
      </c>
      <c r="C39" s="1" t="s">
        <v>9765</v>
      </c>
      <c r="D39" s="1">
        <v>38</v>
      </c>
      <c r="E39" s="1" t="str">
        <f>CONCATENATE("E",Reactions!C39)</f>
        <v>E1_1_1_170</v>
      </c>
      <c r="F39" s="1" t="s">
        <v>10547</v>
      </c>
      <c r="G39" s="1" t="s">
        <v>11779</v>
      </c>
      <c r="H39" s="1" t="s">
        <v>10548</v>
      </c>
      <c r="I39" s="1" t="s">
        <v>12414</v>
      </c>
      <c r="J39" s="12" t="str">
        <f t="shared" si="0"/>
        <v>(${Variables:E1_1_1_170_kcat} * E1_1_1_170 * C01189*C00011*C00001*C00006)/(${Variables:E1_1_1_170_km} + (E1_1_1_170 * C01189*C00011*C00001*C00006))</v>
      </c>
      <c r="K39" s="36" t="str">
        <f t="shared" si="1"/>
        <v>r38: C01189+C00011+C00001+C00006 -&gt; C05111+C00007+C00005+C00080 | (${Variables:E1_1_1_170_kcat} * E1_1_1_170 * C01189*C00011*C00001*C00006)/(${Variables:E1_1_1_170_km} + (E1_1_1_170 * C01189*C00011*C00001*C00006))</v>
      </c>
    </row>
    <row r="40" spans="1:11" ht="58" x14ac:dyDescent="0.35">
      <c r="A40" s="1" t="s">
        <v>6241</v>
      </c>
      <c r="B40" s="1" t="s">
        <v>6242</v>
      </c>
      <c r="C40" s="1" t="s">
        <v>9766</v>
      </c>
      <c r="D40" s="1">
        <v>39</v>
      </c>
      <c r="E40" s="1" t="str">
        <f>CONCATENATE("E",Reactions!C40)</f>
        <v>E1_1_1_205</v>
      </c>
      <c r="F40" s="1" t="s">
        <v>10549</v>
      </c>
      <c r="G40" s="1" t="s">
        <v>11780</v>
      </c>
      <c r="H40" s="1" t="s">
        <v>10550</v>
      </c>
      <c r="I40" s="1" t="s">
        <v>12415</v>
      </c>
      <c r="J40" s="12" t="str">
        <f t="shared" si="0"/>
        <v>(${Variables:E1_1_1_205_kcat} * E1_1_1_205 * C00130*C00003*C00001)/(${Variables:E1_1_1_205_km} + (E1_1_1_205 * C00130*C00003*C00001))</v>
      </c>
      <c r="K40" s="36" t="str">
        <f t="shared" si="1"/>
        <v>r39: C00130+C00003+C00001 -&gt; C00655+C00004+C00080 | (${Variables:E1_1_1_205_kcat} * E1_1_1_205 * C00130*C00003*C00001)/(${Variables:E1_1_1_205_km} + (E1_1_1_205 * C00130*C00003*C00001))</v>
      </c>
    </row>
    <row r="41" spans="1:11" ht="58" x14ac:dyDescent="0.35">
      <c r="A41" s="1" t="s">
        <v>2533</v>
      </c>
      <c r="B41" s="1" t="s">
        <v>2534</v>
      </c>
      <c r="C41" s="1" t="s">
        <v>9767</v>
      </c>
      <c r="D41" s="1">
        <v>40</v>
      </c>
      <c r="E41" s="1" t="str">
        <f>CONCATENATE("E",Reactions!C41)</f>
        <v>E1_1_1_23</v>
      </c>
      <c r="F41" s="1" t="s">
        <v>10551</v>
      </c>
      <c r="G41" s="1" t="s">
        <v>11781</v>
      </c>
      <c r="H41" s="1" t="s">
        <v>10552</v>
      </c>
      <c r="I41" s="1" t="s">
        <v>12416</v>
      </c>
      <c r="J41" s="12" t="str">
        <f t="shared" si="0"/>
        <v>(${Variables:E1_1_1_23_kcat} * E1_1_1_23 * C00860*C00003*C00001)/(${Variables:E1_1_1_23_km} + (E1_1_1_23 * C00860*C00003*C00001))</v>
      </c>
      <c r="K41" s="36" t="str">
        <f t="shared" si="1"/>
        <v>r40: C00860+C00003+C00001 -&gt; C00135+C00004+C00080 | (${Variables:E1_1_1_23_kcat} * E1_1_1_23 * C00860*C00003*C00001)/(${Variables:E1_1_1_23_km} + (E1_1_1_23 * C00860*C00003*C00001))</v>
      </c>
    </row>
    <row r="42" spans="1:11" ht="58" x14ac:dyDescent="0.35">
      <c r="A42" s="1" t="s">
        <v>1977</v>
      </c>
      <c r="B42" s="1" t="s">
        <v>1978</v>
      </c>
      <c r="C42" s="1" t="s">
        <v>9768</v>
      </c>
      <c r="D42" s="1">
        <v>41</v>
      </c>
      <c r="E42" s="1" t="str">
        <f>CONCATENATE("E",Reactions!C42)</f>
        <v>E1_1_1_25</v>
      </c>
      <c r="F42" s="1" t="s">
        <v>10553</v>
      </c>
      <c r="G42" s="1" t="s">
        <v>11782</v>
      </c>
      <c r="H42" s="1" t="s">
        <v>10554</v>
      </c>
      <c r="I42" s="1" t="s">
        <v>12417</v>
      </c>
      <c r="J42" s="12" t="str">
        <f t="shared" si="0"/>
        <v>(${Variables:E1_1_1_25_kcat} * E1_1_1_25 * C00493*C00006)/(${Variables:E1_1_1_25_km} + (E1_1_1_25 * C00493*C00006))</v>
      </c>
      <c r="K42" s="36" t="str">
        <f t="shared" si="1"/>
        <v>r41: C00493+C00006 -&gt; C02637+C00005+C00080 | (${Variables:E1_1_1_25_kcat} * E1_1_1_25 * C00493*C00006)/(${Variables:E1_1_1_25_km} + (E1_1_1_25 * C00493*C00006))</v>
      </c>
    </row>
    <row r="43" spans="1:11" ht="58" x14ac:dyDescent="0.35">
      <c r="A43" s="1" t="s">
        <v>1977</v>
      </c>
      <c r="B43" s="1" t="s">
        <v>1978</v>
      </c>
      <c r="C43" s="1" t="s">
        <v>9768</v>
      </c>
      <c r="D43" s="1">
        <v>42</v>
      </c>
      <c r="E43" s="1" t="str">
        <f>CONCATENATE("E",Reactions!C43)</f>
        <v>E1_1_1_25</v>
      </c>
      <c r="F43" s="1" t="s">
        <v>10555</v>
      </c>
      <c r="G43" s="1" t="s">
        <v>11783</v>
      </c>
      <c r="H43" s="1" t="s">
        <v>10556</v>
      </c>
      <c r="I43" s="1" t="s">
        <v>12418</v>
      </c>
      <c r="J43" s="12" t="str">
        <f t="shared" si="0"/>
        <v>(${Variables:E1_1_1_25_kcat} * E1_1_1_25 * C02637*C00006 )/(${Variables:E1_1_1_25_km} + (E1_1_1_25 * C02637*C00006 ))</v>
      </c>
      <c r="K43" s="36" t="str">
        <f t="shared" si="1"/>
        <v>r42: C02637+C00006  -&gt; C22438+C00005+C00080 | (${Variables:E1_1_1_25_kcat} * E1_1_1_25 * C02637*C00006 )/(${Variables:E1_1_1_25_km} + (E1_1_1_25 * C02637*C00006 ))</v>
      </c>
    </row>
    <row r="44" spans="1:11" ht="58" x14ac:dyDescent="0.35">
      <c r="A44" s="1" t="s">
        <v>1996</v>
      </c>
      <c r="B44" s="1" t="s">
        <v>1997</v>
      </c>
      <c r="C44" s="1" t="s">
        <v>9769</v>
      </c>
      <c r="D44" s="1">
        <v>43</v>
      </c>
      <c r="E44" s="1" t="str">
        <f>CONCATENATE("E",Reactions!C44)</f>
        <v>E1_1_1_27</v>
      </c>
      <c r="F44" s="1" t="s">
        <v>10557</v>
      </c>
      <c r="G44" s="1" t="s">
        <v>11784</v>
      </c>
      <c r="H44" s="1" t="s">
        <v>10558</v>
      </c>
      <c r="I44" s="1" t="s">
        <v>12419</v>
      </c>
      <c r="J44" s="12" t="str">
        <f t="shared" si="0"/>
        <v>(${Variables:E1_1_1_27_kcat} * E1_1_1_27 * C00186*C00003)/(${Variables:E1_1_1_27_km} + (E1_1_1_27 * C00186*C00003))</v>
      </c>
      <c r="K44" s="36" t="str">
        <f t="shared" si="1"/>
        <v>r43: C00186+C00003 -&gt; C00022+C00004+C00080 | (${Variables:E1_1_1_27_kcat} * E1_1_1_27 * C00186*C00003)/(${Variables:E1_1_1_27_km} + (E1_1_1_27 * C00186*C00003))</v>
      </c>
    </row>
    <row r="45" spans="1:11" ht="58" x14ac:dyDescent="0.35">
      <c r="A45" s="1" t="s">
        <v>1369</v>
      </c>
      <c r="B45" s="1" t="s">
        <v>1370</v>
      </c>
      <c r="C45" s="1" t="s">
        <v>9770</v>
      </c>
      <c r="D45" s="1">
        <v>44</v>
      </c>
      <c r="E45" s="1" t="str">
        <f>CONCATENATE("E",Reactions!C45)</f>
        <v>E1_1_1_3</v>
      </c>
      <c r="F45" s="1" t="s">
        <v>10559</v>
      </c>
      <c r="G45" s="1" t="s">
        <v>11785</v>
      </c>
      <c r="H45" s="1" t="s">
        <v>10560</v>
      </c>
      <c r="I45" s="1" t="s">
        <v>12420</v>
      </c>
      <c r="J45" s="12" t="str">
        <f t="shared" si="0"/>
        <v>(${Variables:E1_1_1_3_kcat} * E1_1_1_3 * C00263*C00003)/(${Variables:E1_1_1_3_km} + (E1_1_1_3 * C00263*C00003))</v>
      </c>
      <c r="K45" s="36" t="str">
        <f t="shared" si="1"/>
        <v>r44: C00263+C00003 -&gt; C00441+C00004+C00080 | (${Variables:E1_1_1_3_kcat} * E1_1_1_3 * C00263*C00003)/(${Variables:E1_1_1_3_km} + (E1_1_1_3 * C00263*C00003))</v>
      </c>
    </row>
    <row r="46" spans="1:11" ht="58" x14ac:dyDescent="0.35">
      <c r="A46" s="1" t="s">
        <v>1369</v>
      </c>
      <c r="B46" s="1" t="s">
        <v>1370</v>
      </c>
      <c r="C46" s="1" t="s">
        <v>9770</v>
      </c>
      <c r="D46" s="1">
        <v>45</v>
      </c>
      <c r="E46" s="1" t="str">
        <f>CONCATENATE("E",Reactions!C46)</f>
        <v>E1_1_1_3</v>
      </c>
      <c r="F46" s="1" t="s">
        <v>10561</v>
      </c>
      <c r="G46" s="1" t="s">
        <v>11786</v>
      </c>
      <c r="H46" s="1" t="s">
        <v>10562</v>
      </c>
      <c r="I46" s="1" t="s">
        <v>12421</v>
      </c>
      <c r="J46" s="12" t="str">
        <f t="shared" si="0"/>
        <v>(${Variables:E1_1_1_3_kcat} * E1_1_1_3 * C00263*C00006)/(${Variables:E1_1_1_3_km} + (E1_1_1_3 * C00263*C00006))</v>
      </c>
      <c r="K46" s="36" t="str">
        <f t="shared" si="1"/>
        <v>r45: C00263+C00006 -&gt; C00441+C00005+C00080 | (${Variables:E1_1_1_3_kcat} * E1_1_1_3 * C00263*C00006)/(${Variables:E1_1_1_3_km} + (E1_1_1_3 * C00263*C00006))</v>
      </c>
    </row>
    <row r="47" spans="1:11" ht="58" x14ac:dyDescent="0.35">
      <c r="A47" s="1" t="s">
        <v>3546</v>
      </c>
      <c r="B47" s="1" t="s">
        <v>3547</v>
      </c>
      <c r="C47" s="1" t="s">
        <v>9771</v>
      </c>
      <c r="D47" s="1">
        <v>46</v>
      </c>
      <c r="E47" s="1" t="str">
        <f>CONCATENATE("E",Reactions!C47)</f>
        <v>E1_1_1_304</v>
      </c>
      <c r="F47" s="1" t="s">
        <v>10563</v>
      </c>
      <c r="G47" s="1" t="s">
        <v>11787</v>
      </c>
      <c r="H47" s="1" t="s">
        <v>10564</v>
      </c>
      <c r="I47" s="1" t="s">
        <v>12422</v>
      </c>
      <c r="J47" s="12" t="str">
        <f t="shared" si="0"/>
        <v>(${Variables:E1_1_1_304_kcat} * E1_1_1_304 * C00741*C00004*C00080)/(${Variables:E1_1_1_304_km} + (E1_1_1_304 * C00741*C00004*C00080))</v>
      </c>
      <c r="K47" s="36" t="str">
        <f t="shared" si="1"/>
        <v>r46: C00741+C00004+C00080 -&gt; C01769+C00003 | (${Variables:E1_1_1_304_kcat} * E1_1_1_304 * C00741*C00004*C00080)/(${Variables:E1_1_1_304_km} + (E1_1_1_304 * C00741*C00004*C00080))</v>
      </c>
    </row>
    <row r="48" spans="1:11" ht="58" x14ac:dyDescent="0.35">
      <c r="A48" s="1" t="s">
        <v>2410</v>
      </c>
      <c r="B48" s="1" t="s">
        <v>2411</v>
      </c>
      <c r="C48" s="1" t="s">
        <v>9772</v>
      </c>
      <c r="D48" s="1">
        <v>47</v>
      </c>
      <c r="E48" s="1" t="str">
        <f>CONCATENATE("E",Reactions!C48)</f>
        <v>E1_1_1_42</v>
      </c>
      <c r="F48" s="1" t="s">
        <v>10565</v>
      </c>
      <c r="G48" s="1" t="s">
        <v>11788</v>
      </c>
      <c r="H48" s="1" t="s">
        <v>10566</v>
      </c>
      <c r="I48" s="1" t="s">
        <v>12423</v>
      </c>
      <c r="J48" s="12" t="str">
        <f t="shared" si="0"/>
        <v>(${Variables:E1_1_1_42_kcat} * E1_1_1_42 * C00311*C00006)/(${Variables:E1_1_1_42_km} + (E1_1_1_42 * C00311*C00006))</v>
      </c>
      <c r="K48" s="36" t="str">
        <f t="shared" si="1"/>
        <v>r47: C00311+C00006 -&gt; C00026+C00011+C00005+C00080 | (${Variables:E1_1_1_42_kcat} * E1_1_1_42 * C00311*C00006)/(${Variables:E1_1_1_42_km} + (E1_1_1_42 * C00311*C00006))</v>
      </c>
    </row>
    <row r="49" spans="1:11" ht="58" x14ac:dyDescent="0.35">
      <c r="A49" s="1" t="s">
        <v>2410</v>
      </c>
      <c r="B49" s="1" t="s">
        <v>2411</v>
      </c>
      <c r="C49" s="1" t="s">
        <v>9772</v>
      </c>
      <c r="D49" s="1">
        <v>48</v>
      </c>
      <c r="E49" s="1" t="str">
        <f>CONCATENATE("E",Reactions!C49)</f>
        <v>E1_1_1_42</v>
      </c>
      <c r="F49" s="1" t="s">
        <v>6896</v>
      </c>
      <c r="G49" s="1" t="s">
        <v>6896</v>
      </c>
      <c r="H49" s="1" t="s">
        <v>10567</v>
      </c>
      <c r="I49" s="1" t="s">
        <v>12424</v>
      </c>
      <c r="J49" s="12" t="str">
        <f t="shared" si="0"/>
        <v>(${Variables:E1_1_1_42_kcat} * E1_1_1_42 * C05379)/(${Variables:E1_1_1_42_km} + (E1_1_1_42 * C05379))</v>
      </c>
      <c r="K49" s="36" t="str">
        <f t="shared" si="1"/>
        <v>r48: C05379 -&gt; C00026+C00011 | (${Variables:E1_1_1_42_kcat} * E1_1_1_42 * C05379)/(${Variables:E1_1_1_42_km} + (E1_1_1_42 * C05379))</v>
      </c>
    </row>
    <row r="50" spans="1:11" ht="58" x14ac:dyDescent="0.35">
      <c r="A50" s="1" t="s">
        <v>2410</v>
      </c>
      <c r="B50" s="1" t="s">
        <v>2411</v>
      </c>
      <c r="C50" s="1" t="s">
        <v>9772</v>
      </c>
      <c r="D50" s="1">
        <v>49</v>
      </c>
      <c r="E50" s="1" t="str">
        <f>CONCATENATE("E",Reactions!C50)</f>
        <v>E1_1_1_42</v>
      </c>
      <c r="F50" s="1" t="s">
        <v>10565</v>
      </c>
      <c r="G50" s="1" t="s">
        <v>11788</v>
      </c>
      <c r="H50" s="1" t="s">
        <v>10568</v>
      </c>
      <c r="I50" s="1" t="s">
        <v>12425</v>
      </c>
      <c r="J50" s="12" t="str">
        <f t="shared" si="0"/>
        <v>(${Variables:E1_1_1_42_kcat} * E1_1_1_42 * C00311*C00006)/(${Variables:E1_1_1_42_km} + (E1_1_1_42 * C00311*C00006))</v>
      </c>
      <c r="K50" s="36" t="str">
        <f t="shared" si="1"/>
        <v>r49: C00311+C00006 -&gt; C05379+C00005+C00080 | (${Variables:E1_1_1_42_kcat} * E1_1_1_42 * C00311*C00006)/(${Variables:E1_1_1_42_km} + (E1_1_1_42 * C00311*C00006))</v>
      </c>
    </row>
    <row r="51" spans="1:11" ht="58" x14ac:dyDescent="0.35">
      <c r="A51" s="1" t="s">
        <v>4255</v>
      </c>
      <c r="B51" s="1" t="s">
        <v>4256</v>
      </c>
      <c r="C51" s="1" t="s">
        <v>9773</v>
      </c>
      <c r="D51" s="1">
        <v>50</v>
      </c>
      <c r="E51" s="1" t="str">
        <f>CONCATENATE("E",Reactions!C51)</f>
        <v>E1_1_1_6</v>
      </c>
      <c r="F51" s="1" t="s">
        <v>10569</v>
      </c>
      <c r="G51" s="1" t="s">
        <v>11789</v>
      </c>
      <c r="H51" s="1" t="s">
        <v>10570</v>
      </c>
      <c r="I51" s="1" t="s">
        <v>12426</v>
      </c>
      <c r="J51" s="12" t="str">
        <f t="shared" si="0"/>
        <v>(${Variables:E1_1_1_6_kcat} * E1_1_1_6 * C00116*C00003)/(${Variables:E1_1_1_6_km} + (E1_1_1_6 * C00116*C00003))</v>
      </c>
      <c r="K51" s="36" t="str">
        <f t="shared" si="1"/>
        <v>r50: C00116+C00003 -&gt; C00184+C00004+C00080 | (${Variables:E1_1_1_6_kcat} * E1_1_1_6 * C00116*C00003)/(${Variables:E1_1_1_6_km} + (E1_1_1_6 * C00116*C00003))</v>
      </c>
    </row>
    <row r="52" spans="1:11" ht="58" x14ac:dyDescent="0.35">
      <c r="A52" s="1" t="s">
        <v>2676</v>
      </c>
      <c r="B52" s="1" t="s">
        <v>2677</v>
      </c>
      <c r="C52" s="1" t="s">
        <v>9774</v>
      </c>
      <c r="D52" s="1">
        <v>51</v>
      </c>
      <c r="E52" s="1" t="str">
        <f>CONCATENATE("E",Reactions!C52)</f>
        <v>E1_1_1_85</v>
      </c>
      <c r="F52" s="1" t="s">
        <v>10571</v>
      </c>
      <c r="G52" s="1" t="s">
        <v>11790</v>
      </c>
      <c r="H52" s="1" t="s">
        <v>6908</v>
      </c>
      <c r="I52" s="1" t="s">
        <v>6908</v>
      </c>
      <c r="J52" s="12" t="str">
        <f t="shared" si="0"/>
        <v>(${Variables:E1_1_1_85_kcat} * E1_1_1_85 * C00233*C00011)/(${Variables:E1_1_1_85_km} + (E1_1_1_85 * C00233*C00011))</v>
      </c>
      <c r="K52" s="36" t="str">
        <f t="shared" si="1"/>
        <v>r51: C00233+C00011 -&gt; C04236 | (${Variables:E1_1_1_85_kcat} * E1_1_1_85 * C00233*C00011)/(${Variables:E1_1_1_85_km} + (E1_1_1_85 * C00233*C00011))</v>
      </c>
    </row>
    <row r="53" spans="1:11" ht="58" x14ac:dyDescent="0.35">
      <c r="A53" s="1" t="s">
        <v>2676</v>
      </c>
      <c r="B53" s="1" t="s">
        <v>2677</v>
      </c>
      <c r="C53" s="1" t="s">
        <v>9774</v>
      </c>
      <c r="D53" s="1">
        <v>52</v>
      </c>
      <c r="E53" s="1" t="str">
        <f>CONCATENATE("E",Reactions!C53)</f>
        <v>E1_1_1_85</v>
      </c>
      <c r="F53" s="1" t="s">
        <v>10572</v>
      </c>
      <c r="G53" s="1" t="s">
        <v>11791</v>
      </c>
      <c r="H53" s="1" t="s">
        <v>10573</v>
      </c>
      <c r="I53" s="1" t="s">
        <v>12427</v>
      </c>
      <c r="J53" s="12" t="str">
        <f t="shared" si="0"/>
        <v>(${Variables:E1_1_1_85_kcat} * E1_1_1_85 * C04411*C00003)/(${Variables:E1_1_1_85_km} + (E1_1_1_85 * C04411*C00003))</v>
      </c>
      <c r="K53" s="36" t="str">
        <f t="shared" si="1"/>
        <v>r52: C04411+C00003 -&gt; C04236+C00004+C00080 | (${Variables:E1_1_1_85_kcat} * E1_1_1_85 * C04411*C00003)/(${Variables:E1_1_1_85_km} + (E1_1_1_85 * C04411*C00003))</v>
      </c>
    </row>
    <row r="54" spans="1:11" ht="58" x14ac:dyDescent="0.35">
      <c r="A54" s="1" t="s">
        <v>2676</v>
      </c>
      <c r="B54" s="1" t="s">
        <v>2677</v>
      </c>
      <c r="C54" s="1" t="s">
        <v>9774</v>
      </c>
      <c r="D54" s="1">
        <v>53</v>
      </c>
      <c r="E54" s="1" t="str">
        <f>CONCATENATE("E",Reactions!C54)</f>
        <v>E1_1_1_85</v>
      </c>
      <c r="F54" s="1" t="s">
        <v>10572</v>
      </c>
      <c r="G54" s="1" t="s">
        <v>11791</v>
      </c>
      <c r="H54" s="1" t="s">
        <v>10574</v>
      </c>
      <c r="I54" s="1" t="s">
        <v>12428</v>
      </c>
      <c r="J54" s="12" t="str">
        <f t="shared" si="0"/>
        <v>(${Variables:E1_1_1_85_kcat} * E1_1_1_85 * C04411*C00003)/(${Variables:E1_1_1_85_km} + (E1_1_1_85 * C04411*C00003))</v>
      </c>
      <c r="K54" s="36" t="str">
        <f t="shared" si="1"/>
        <v>r53: C04411+C00003 -&gt; C00233+C00011+C00004+C00080 | (${Variables:E1_1_1_85_kcat} * E1_1_1_85 * C04411*C00003)/(${Variables:E1_1_1_85_km} + (E1_1_1_85 * C04411*C00003))</v>
      </c>
    </row>
    <row r="55" spans="1:11" ht="72.5" x14ac:dyDescent="0.35">
      <c r="A55" s="1" t="s">
        <v>2676</v>
      </c>
      <c r="B55" s="1" t="s">
        <v>2677</v>
      </c>
      <c r="C55" s="1" t="s">
        <v>9774</v>
      </c>
      <c r="D55" s="1">
        <v>54</v>
      </c>
      <c r="E55" s="1" t="str">
        <f>CONCATENATE("E",Reactions!C55)</f>
        <v>E1_1_1_85</v>
      </c>
      <c r="F55" s="1" t="s">
        <v>10575</v>
      </c>
      <c r="G55" s="1" t="s">
        <v>11792</v>
      </c>
      <c r="H55" s="1" t="s">
        <v>10576</v>
      </c>
      <c r="I55" s="1" t="s">
        <v>12429</v>
      </c>
      <c r="J55" s="12" t="str">
        <f t="shared" si="0"/>
        <v>(${Variables:E1_1_1_85_kcat} * E1_1_1_85 * C00109*C00011*C00004*C00080)/(${Variables:E1_1_1_85_km} + (E1_1_1_85 * C00109*C00011*C00004*C00080))</v>
      </c>
      <c r="K55" s="36" t="str">
        <f t="shared" si="1"/>
        <v>r54: C00109+C00011+C00004+C00080 -&gt; C06032+C00003 | (${Variables:E1_1_1_85_kcat} * E1_1_1_85 * C00109*C00011*C00004*C00080)/(${Variables:E1_1_1_85_km} + (E1_1_1_85 * C00109*C00011*C00004*C00080))</v>
      </c>
    </row>
    <row r="56" spans="1:11" ht="58" x14ac:dyDescent="0.35">
      <c r="A56" s="1" t="s">
        <v>5809</v>
      </c>
      <c r="B56" s="1" t="s">
        <v>5810</v>
      </c>
      <c r="C56" s="1" t="s">
        <v>9775</v>
      </c>
      <c r="D56" s="1">
        <v>55</v>
      </c>
      <c r="E56" s="1" t="str">
        <f>CONCATENATE("E",Reactions!C56)</f>
        <v>E1_1_1_86</v>
      </c>
      <c r="F56" s="1" t="s">
        <v>10577</v>
      </c>
      <c r="G56" s="1" t="s">
        <v>11793</v>
      </c>
      <c r="H56" s="1" t="s">
        <v>10578</v>
      </c>
      <c r="I56" s="1" t="s">
        <v>12430</v>
      </c>
      <c r="J56" s="12" t="str">
        <f t="shared" si="0"/>
        <v>(${Variables:E1_1_1_86_kcat} * E1_1_1_86 * C04272*C00006)/(${Variables:E1_1_1_86_km} + (E1_1_1_86 * C04272*C00006))</v>
      </c>
      <c r="K56" s="36" t="str">
        <f t="shared" si="1"/>
        <v>r55: C04272+C00006 -&gt; C06010+C00005+C00080 | (${Variables:E1_1_1_86_kcat} * E1_1_1_86 * C04272*C00006)/(${Variables:E1_1_1_86_km} + (E1_1_1_86 * C04272*C00006))</v>
      </c>
    </row>
    <row r="57" spans="1:11" ht="58" x14ac:dyDescent="0.35">
      <c r="A57" s="1" t="s">
        <v>5809</v>
      </c>
      <c r="B57" s="1" t="s">
        <v>5810</v>
      </c>
      <c r="C57" s="1" t="s">
        <v>9775</v>
      </c>
      <c r="D57" s="1">
        <v>56</v>
      </c>
      <c r="E57" s="1" t="str">
        <f>CONCATENATE("E",Reactions!C57)</f>
        <v>E1_1_1_86</v>
      </c>
      <c r="F57" s="1" t="s">
        <v>10579</v>
      </c>
      <c r="G57" s="1" t="s">
        <v>11794</v>
      </c>
      <c r="H57" s="1" t="s">
        <v>10580</v>
      </c>
      <c r="I57" s="1" t="s">
        <v>12431</v>
      </c>
      <c r="J57" s="12" t="str">
        <f t="shared" si="0"/>
        <v>(${Variables:E1_1_1_86_kcat} * E1_1_1_86 * C00900*C00005*C00080)/(${Variables:E1_1_1_86_km} + (E1_1_1_86 * C00900*C00005*C00080))</v>
      </c>
      <c r="K57" s="36" t="str">
        <f t="shared" si="1"/>
        <v>r56: C00900+C00005+C00080 -&gt; C04039+C00006 | (${Variables:E1_1_1_86_kcat} * E1_1_1_86 * C00900*C00005*C00080)/(${Variables:E1_1_1_86_km} + (E1_1_1_86 * C00900*C00005*C00080))</v>
      </c>
    </row>
    <row r="58" spans="1:11" ht="58" x14ac:dyDescent="0.35">
      <c r="A58" s="1" t="s">
        <v>5809</v>
      </c>
      <c r="B58" s="1" t="s">
        <v>5810</v>
      </c>
      <c r="C58" s="1" t="s">
        <v>9775</v>
      </c>
      <c r="D58" s="1">
        <v>57</v>
      </c>
      <c r="E58" s="1" t="str">
        <f>CONCATENATE("E",Reactions!C58)</f>
        <v>E1_1_1_86</v>
      </c>
      <c r="F58" s="1" t="s">
        <v>10577</v>
      </c>
      <c r="G58" s="1" t="s">
        <v>11793</v>
      </c>
      <c r="H58" s="1" t="s">
        <v>10581</v>
      </c>
      <c r="I58" s="1" t="s">
        <v>12432</v>
      </c>
      <c r="J58" s="12" t="str">
        <f t="shared" si="0"/>
        <v>(${Variables:E1_1_1_86_kcat} * E1_1_1_86 * C04272*C00006)/(${Variables:E1_1_1_86_km} + (E1_1_1_86 * C04272*C00006))</v>
      </c>
      <c r="K58" s="36" t="str">
        <f t="shared" si="1"/>
        <v>r57: C04272+C00006 -&gt; C04181+C00005+C00080 | (${Variables:E1_1_1_86_kcat} * E1_1_1_86 * C04272*C00006)/(${Variables:E1_1_1_86_km} + (E1_1_1_86 * C04272*C00006))</v>
      </c>
    </row>
    <row r="59" spans="1:11" ht="58" x14ac:dyDescent="0.35">
      <c r="A59" s="1" t="s">
        <v>5809</v>
      </c>
      <c r="B59" s="1" t="s">
        <v>5810</v>
      </c>
      <c r="C59" s="1" t="s">
        <v>9775</v>
      </c>
      <c r="D59" s="1">
        <v>58</v>
      </c>
      <c r="E59" s="1" t="str">
        <f>CONCATENATE("E",Reactions!C59)</f>
        <v>E1_1_1_86</v>
      </c>
      <c r="F59" s="1" t="s">
        <v>10582</v>
      </c>
      <c r="G59" s="1" t="s">
        <v>11795</v>
      </c>
      <c r="H59" s="1" t="s">
        <v>10583</v>
      </c>
      <c r="I59" s="1" t="s">
        <v>12433</v>
      </c>
      <c r="J59" s="12" t="str">
        <f t="shared" si="0"/>
        <v>(${Variables:E1_1_1_86_kcat} * E1_1_1_86 * C06007*C00006)/(${Variables:E1_1_1_86_km} + (E1_1_1_86 * C06007*C00006))</v>
      </c>
      <c r="K59" s="36" t="str">
        <f t="shared" si="1"/>
        <v>r58: C06007+C00006 -&gt; C14463+C00005+C00080 | (${Variables:E1_1_1_86_kcat} * E1_1_1_86 * C06007*C00006)/(${Variables:E1_1_1_86_km} + (E1_1_1_86 * C06007*C00006))</v>
      </c>
    </row>
    <row r="60" spans="1:11" ht="43.5" x14ac:dyDescent="0.35">
      <c r="A60" s="1" t="s">
        <v>5809</v>
      </c>
      <c r="B60" s="1" t="s">
        <v>5810</v>
      </c>
      <c r="C60" s="1" t="s">
        <v>9775</v>
      </c>
      <c r="D60" s="1">
        <v>59</v>
      </c>
      <c r="E60" s="1" t="str">
        <f>CONCATENATE("E",Reactions!C60)</f>
        <v>E1_1_1_86</v>
      </c>
      <c r="F60" s="1" t="s">
        <v>6928</v>
      </c>
      <c r="G60" s="1" t="s">
        <v>6928</v>
      </c>
      <c r="H60" s="1" t="s">
        <v>6929</v>
      </c>
      <c r="I60" s="1" t="s">
        <v>6929</v>
      </c>
      <c r="J60" s="12" t="str">
        <f t="shared" si="0"/>
        <v>(${Variables:E1_1_1_86_kcat} * E1_1_1_86 * C06006)/(${Variables:E1_1_1_86_km} + (E1_1_1_86 * C06006))</v>
      </c>
      <c r="K60" s="36" t="str">
        <f t="shared" si="1"/>
        <v>r59: C06006 -&gt; C14463 | (${Variables:E1_1_1_86_kcat} * E1_1_1_86 * C06006)/(${Variables:E1_1_1_86_km} + (E1_1_1_86 * C06006))</v>
      </c>
    </row>
    <row r="61" spans="1:11" ht="43.5" x14ac:dyDescent="0.35">
      <c r="A61" s="1" t="s">
        <v>5809</v>
      </c>
      <c r="B61" s="1" t="s">
        <v>5810</v>
      </c>
      <c r="C61" s="1" t="s">
        <v>9775</v>
      </c>
      <c r="D61" s="1">
        <v>60</v>
      </c>
      <c r="E61" s="1" t="str">
        <f>CONCATENATE("E",Reactions!C61)</f>
        <v>E1_1_1_86</v>
      </c>
      <c r="F61" s="1" t="s">
        <v>6931</v>
      </c>
      <c r="G61" s="1" t="s">
        <v>6931</v>
      </c>
      <c r="H61" s="1" t="s">
        <v>6932</v>
      </c>
      <c r="I61" s="1" t="s">
        <v>6932</v>
      </c>
      <c r="J61" s="12" t="str">
        <f t="shared" si="0"/>
        <v>(${Variables:E1_1_1_86_kcat} * E1_1_1_86 * C06010)/(${Variables:E1_1_1_86_km} + (E1_1_1_86 * C06010))</v>
      </c>
      <c r="K61" s="36" t="str">
        <f t="shared" si="1"/>
        <v>r60: C06010 -&gt; C04181 | (${Variables:E1_1_1_86_kcat} * E1_1_1_86 * C06010)/(${Variables:E1_1_1_86_km} + (E1_1_1_86 * C06010))</v>
      </c>
    </row>
    <row r="62" spans="1:11" ht="58" x14ac:dyDescent="0.35">
      <c r="A62" s="1" t="s">
        <v>1771</v>
      </c>
      <c r="B62" s="1" t="s">
        <v>1772</v>
      </c>
      <c r="C62" s="1" t="s">
        <v>9776</v>
      </c>
      <c r="D62" s="1">
        <v>61</v>
      </c>
      <c r="E62" s="1" t="str">
        <f>CONCATENATE("E",Reactions!C62)</f>
        <v>E1_1_1_88</v>
      </c>
      <c r="F62" s="1" t="s">
        <v>10584</v>
      </c>
      <c r="G62" s="1" t="s">
        <v>11796</v>
      </c>
      <c r="H62" s="1" t="s">
        <v>10585</v>
      </c>
      <c r="I62" s="1" t="s">
        <v>12434</v>
      </c>
      <c r="J62" s="12" t="str">
        <f t="shared" si="0"/>
        <v>(${Variables:E1_1_1_88_kcat} * E1_1_1_88 * C00418*C00010*C00003)/(${Variables:E1_1_1_88_km} + (E1_1_1_88 * C00418*C00010*C00003))</v>
      </c>
      <c r="K62" s="36" t="str">
        <f t="shared" si="1"/>
        <v>r61: C00418+C00010+C00003 -&gt; C00356+C00004+C00080 | (${Variables:E1_1_1_88_kcat} * E1_1_1_88 * C00418*C00010*C00003)/(${Variables:E1_1_1_88_km} + (E1_1_1_88 * C00418*C00010*C00003))</v>
      </c>
    </row>
    <row r="63" spans="1:11" ht="58" x14ac:dyDescent="0.35">
      <c r="A63" s="1" t="s">
        <v>5691</v>
      </c>
      <c r="B63" s="1" t="s">
        <v>5692</v>
      </c>
      <c r="C63" s="1" t="s">
        <v>9777</v>
      </c>
      <c r="D63" s="1">
        <v>62</v>
      </c>
      <c r="E63" s="1" t="str">
        <f>CONCATENATE("E",Reactions!C63)</f>
        <v>E1_1_1_94</v>
      </c>
      <c r="F63" s="1" t="s">
        <v>10586</v>
      </c>
      <c r="G63" s="1" t="s">
        <v>11797</v>
      </c>
      <c r="H63" s="1" t="s">
        <v>10587</v>
      </c>
      <c r="I63" s="1" t="s">
        <v>12435</v>
      </c>
      <c r="J63" s="12" t="str">
        <f t="shared" si="0"/>
        <v>(${Variables:E1_1_1_94_kcat} * E1_1_1_94 * C00093*C00003)/(${Variables:E1_1_1_94_km} + (E1_1_1_94 * C00093*C00003))</v>
      </c>
      <c r="K63" s="36" t="str">
        <f t="shared" si="1"/>
        <v>r62: C00093+C00003 -&gt; C00111+C00004+C00080 | (${Variables:E1_1_1_94_kcat} * E1_1_1_94 * C00093*C00003)/(${Variables:E1_1_1_94_km} + (E1_1_1_94 * C00093*C00003))</v>
      </c>
    </row>
    <row r="64" spans="1:11" ht="58" x14ac:dyDescent="0.35">
      <c r="A64" s="1" t="s">
        <v>5691</v>
      </c>
      <c r="B64" s="1" t="s">
        <v>5692</v>
      </c>
      <c r="C64" s="1" t="s">
        <v>9777</v>
      </c>
      <c r="D64" s="1">
        <v>63</v>
      </c>
      <c r="E64" s="1" t="str">
        <f>CONCATENATE("E",Reactions!C64)</f>
        <v>E1_1_1_94</v>
      </c>
      <c r="F64" s="1" t="s">
        <v>10588</v>
      </c>
      <c r="G64" s="1" t="s">
        <v>11798</v>
      </c>
      <c r="H64" s="1" t="s">
        <v>10589</v>
      </c>
      <c r="I64" s="1" t="s">
        <v>12436</v>
      </c>
      <c r="J64" s="12" t="str">
        <f t="shared" si="0"/>
        <v>(${Variables:E1_1_1_94_kcat} * E1_1_1_94 * C00093*C00006)/(${Variables:E1_1_1_94_km} + (E1_1_1_94 * C00093*C00006))</v>
      </c>
      <c r="K64" s="36" t="str">
        <f t="shared" si="1"/>
        <v>r63: C00093+C00006 -&gt; C00111+C00005+C00080 | (${Variables:E1_1_1_94_kcat} * E1_1_1_94 * C00093*C00006)/(${Variables:E1_1_1_94_km} + (E1_1_1_94 * C00093*C00006))</v>
      </c>
    </row>
    <row r="65" spans="1:11" ht="58" x14ac:dyDescent="0.35">
      <c r="A65" s="1" t="s">
        <v>4731</v>
      </c>
      <c r="B65" s="1" t="s">
        <v>4732</v>
      </c>
      <c r="C65" s="1" t="s">
        <v>9778</v>
      </c>
      <c r="D65" s="1">
        <v>64</v>
      </c>
      <c r="E65" s="1" t="str">
        <f>CONCATENATE("E",Reactions!C65)</f>
        <v>E1_1_1_95</v>
      </c>
      <c r="F65" s="1" t="s">
        <v>10590</v>
      </c>
      <c r="G65" s="1" t="s">
        <v>11799</v>
      </c>
      <c r="H65" s="1" t="s">
        <v>10591</v>
      </c>
      <c r="I65" s="1" t="s">
        <v>12437</v>
      </c>
      <c r="J65" s="12" t="str">
        <f t="shared" si="0"/>
        <v>(${Variables:E1_1_1_95_kcat} * E1_1_1_95 * C00197*C00003)/(${Variables:E1_1_1_95_km} + (E1_1_1_95 * C00197*C00003))</v>
      </c>
      <c r="K65" s="36" t="str">
        <f t="shared" si="1"/>
        <v>r64: C00197+C00003 -&gt; C03232+C00004+C00080 | (${Variables:E1_1_1_95_kcat} * E1_1_1_95 * C00197*C00003)/(${Variables:E1_1_1_95_km} + (E1_1_1_95 * C00197*C00003))</v>
      </c>
    </row>
    <row r="66" spans="1:11" ht="58" x14ac:dyDescent="0.35">
      <c r="A66" s="1" t="s">
        <v>4731</v>
      </c>
      <c r="B66" s="1" t="s">
        <v>4732</v>
      </c>
      <c r="C66" s="1" t="s">
        <v>9778</v>
      </c>
      <c r="D66" s="1">
        <v>65</v>
      </c>
      <c r="E66" s="1" t="str">
        <f>CONCATENATE("E",Reactions!C66)</f>
        <v>E1_1_1_95</v>
      </c>
      <c r="F66" s="1" t="s">
        <v>10592</v>
      </c>
      <c r="G66" s="1" t="s">
        <v>11800</v>
      </c>
      <c r="H66" s="1" t="s">
        <v>10593</v>
      </c>
      <c r="I66" s="1" t="s">
        <v>12438</v>
      </c>
      <c r="J66" s="12" t="str">
        <f t="shared" si="0"/>
        <v>(${Variables:E1_1_1_95_kcat} * E1_1_1_95 * C02630*C00003)/(${Variables:E1_1_1_95_km} + (E1_1_1_95 * C02630*C00003))</v>
      </c>
      <c r="K66" s="36" t="str">
        <f t="shared" si="1"/>
        <v>r65: C02630+C00003 -&gt; C00026+C00004+C00080 | (${Variables:E1_1_1_95_kcat} * E1_1_1_95 * C02630*C00003)/(${Variables:E1_1_1_95_km} + (E1_1_1_95 * C02630*C00003))</v>
      </c>
    </row>
    <row r="67" spans="1:11" ht="58" x14ac:dyDescent="0.35">
      <c r="A67" s="1" t="s">
        <v>4130</v>
      </c>
      <c r="B67" s="1" t="s">
        <v>4131</v>
      </c>
      <c r="C67" s="1" t="s">
        <v>9780</v>
      </c>
      <c r="D67" s="1">
        <v>66</v>
      </c>
      <c r="E67" s="1" t="str">
        <f>CONCATENATE("E",Reactions!C67)</f>
        <v>E1_11_1_9</v>
      </c>
      <c r="F67" s="1" t="s">
        <v>10594</v>
      </c>
      <c r="G67" s="1" t="s">
        <v>11801</v>
      </c>
      <c r="H67" s="1" t="s">
        <v>10595</v>
      </c>
      <c r="I67" s="1" t="s">
        <v>12439</v>
      </c>
      <c r="J67" s="12" t="str">
        <f t="shared" ref="J67:J130" si="2">CONCATENATE("(${Variables:",E67,"_kcat","} * ",E67," * ",G67,")","/(${Variables:",E67,"_km","} + (",E67," * ",G67,"))")</f>
        <v>(${Variables:E1_11_1_9_kcat} * E1_11_1_9 * C00027*C00051)/(${Variables:E1_11_1_9_km} + (E1_11_1_9 * C00027*C00051))</v>
      </c>
      <c r="K67" s="36" t="str">
        <f t="shared" ref="K67:K130" si="3">CONCATENATE("r",D67,": ",F67," -&gt; ",H67," | ",J67)</f>
        <v>r66: C00027+C00051 -&gt; C00127+C00001 | (${Variables:E1_11_1_9_kcat} * E1_11_1_9 * C00027*C00051)/(${Variables:E1_11_1_9_km} + (E1_11_1_9 * C00027*C00051))</v>
      </c>
    </row>
    <row r="68" spans="1:11" ht="58" x14ac:dyDescent="0.35">
      <c r="A68" s="1" t="s">
        <v>2326</v>
      </c>
      <c r="B68" s="1" t="s">
        <v>2327</v>
      </c>
      <c r="C68" s="1" t="s">
        <v>9781</v>
      </c>
      <c r="D68" s="1">
        <v>67</v>
      </c>
      <c r="E68" s="1" t="str">
        <f>CONCATENATE("E",Reactions!C68)</f>
        <v>E1_15_1_1</v>
      </c>
      <c r="F68" s="1" t="s">
        <v>10596</v>
      </c>
      <c r="G68" s="1" t="s">
        <v>11802</v>
      </c>
      <c r="H68" s="1" t="s">
        <v>10597</v>
      </c>
      <c r="I68" s="1" t="s">
        <v>12440</v>
      </c>
      <c r="J68" s="12" t="str">
        <f t="shared" si="2"/>
        <v>(${Variables:E1_15_1_1_kcat} * E1_15_1_1 * C00704*C00080)/(${Variables:E1_15_1_1_km} + (E1_15_1_1 * C00704*C00080))</v>
      </c>
      <c r="K68" s="36" t="str">
        <f t="shared" si="3"/>
        <v>r67: C00704+C00080 -&gt; C00027+C00007 | (${Variables:E1_15_1_1_kcat} * E1_15_1_1 * C00704*C00080)/(${Variables:E1_15_1_1_km} + (E1_15_1_1 * C00704*C00080))</v>
      </c>
    </row>
    <row r="69" spans="1:11" ht="58" x14ac:dyDescent="0.35">
      <c r="A69" s="1" t="s">
        <v>1214</v>
      </c>
      <c r="B69" s="1" t="s">
        <v>1215</v>
      </c>
      <c r="C69" s="1" t="s">
        <v>9782</v>
      </c>
      <c r="D69" s="1">
        <v>68</v>
      </c>
      <c r="E69" s="1" t="str">
        <f>CONCATENATE("E",Reactions!C69)</f>
        <v>E1_17_1_8</v>
      </c>
      <c r="F69" s="1" t="s">
        <v>10598</v>
      </c>
      <c r="G69" s="1" t="s">
        <v>11803</v>
      </c>
      <c r="H69" s="1" t="s">
        <v>10599</v>
      </c>
      <c r="I69" s="1" t="s">
        <v>12441</v>
      </c>
      <c r="J69" s="12" t="str">
        <f t="shared" si="2"/>
        <v>(${Variables:E1_17_1_8_kcat} * E1_17_1_8 * C03972*C00003*C00001)/(${Variables:E1_17_1_8_km} + (E1_17_1_8 * C03972*C00003*C00001))</v>
      </c>
      <c r="K69" s="36" t="str">
        <f t="shared" si="3"/>
        <v>r68: C03972+C00003+C00001 -&gt; C20258+C00004+C00080 | (${Variables:E1_17_1_8_kcat} * E1_17_1_8 * C03972*C00003*C00001)/(${Variables:E1_17_1_8_km} + (E1_17_1_8 * C03972*C00003*C00001))</v>
      </c>
    </row>
    <row r="70" spans="1:11" ht="58" x14ac:dyDescent="0.35">
      <c r="A70" s="1" t="s">
        <v>1214</v>
      </c>
      <c r="B70" s="1" t="s">
        <v>1215</v>
      </c>
      <c r="C70" s="1" t="s">
        <v>9782</v>
      </c>
      <c r="D70" s="1">
        <v>69</v>
      </c>
      <c r="E70" s="1" t="str">
        <f>CONCATENATE("E",Reactions!C70)</f>
        <v>E1_17_1_8</v>
      </c>
      <c r="F70" s="1" t="s">
        <v>10600</v>
      </c>
      <c r="G70" s="1" t="s">
        <v>11804</v>
      </c>
      <c r="H70" s="1" t="s">
        <v>10601</v>
      </c>
      <c r="I70" s="1" t="s">
        <v>12442</v>
      </c>
      <c r="J70" s="12" t="str">
        <f t="shared" si="2"/>
        <v>(${Variables:E1_17_1_8_kcat} * E1_17_1_8 * C03972*C00006*C00001)/(${Variables:E1_17_1_8_km} + (E1_17_1_8 * C03972*C00006*C00001))</v>
      </c>
      <c r="K70" s="36" t="str">
        <f t="shared" si="3"/>
        <v>r69: C03972+C00006+C00001 -&gt; C20258+C00005+C00080 | (${Variables:E1_17_1_8_kcat} * E1_17_1_8 * C03972*C00006*C00001)/(${Variables:E1_17_1_8_km} + (E1_17_1_8 * C03972*C00006*C00001))</v>
      </c>
    </row>
    <row r="71" spans="1:11" ht="58" x14ac:dyDescent="0.35">
      <c r="A71" s="1" t="s">
        <v>2391</v>
      </c>
      <c r="B71" s="1" t="s">
        <v>2392</v>
      </c>
      <c r="C71" s="1" t="s">
        <v>9783</v>
      </c>
      <c r="D71" s="1">
        <v>70</v>
      </c>
      <c r="E71" s="1" t="str">
        <f>CONCATENATE("E",Reactions!C71)</f>
        <v>E1_17_4_1</v>
      </c>
      <c r="F71" s="1" t="s">
        <v>10602</v>
      </c>
      <c r="G71" s="1" t="s">
        <v>11805</v>
      </c>
      <c r="H71" s="1" t="s">
        <v>10603</v>
      </c>
      <c r="I71" s="1" t="s">
        <v>12443</v>
      </c>
      <c r="J71" s="12" t="str">
        <f t="shared" si="2"/>
        <v>(${Variables:E1_17_4_1_kcat} * E1_17_4_1 * C04232*C00343*C00001)/(${Variables:E1_17_4_1_km} + (E1_17_4_1 * C04232*C00343*C00001))</v>
      </c>
      <c r="K71" s="36" t="str">
        <f t="shared" si="3"/>
        <v>r70: C04232+C00343+C00001 -&gt; C03723+C00342 | (${Variables:E1_17_4_1_kcat} * E1_17_4_1 * C04232*C00343*C00001)/(${Variables:E1_17_4_1_km} + (E1_17_4_1 * C04232*C00343*C00001))</v>
      </c>
    </row>
    <row r="72" spans="1:11" ht="58" x14ac:dyDescent="0.35">
      <c r="A72" s="1" t="s">
        <v>2391</v>
      </c>
      <c r="B72" s="1" t="s">
        <v>2392</v>
      </c>
      <c r="C72" s="1" t="s">
        <v>9783</v>
      </c>
      <c r="D72" s="1">
        <v>71</v>
      </c>
      <c r="E72" s="1" t="str">
        <f>CONCATENATE("E",Reactions!C72)</f>
        <v>E1_17_4_1</v>
      </c>
      <c r="F72" s="1" t="s">
        <v>10604</v>
      </c>
      <c r="G72" s="1" t="s">
        <v>11806</v>
      </c>
      <c r="H72" s="1" t="s">
        <v>10605</v>
      </c>
      <c r="I72" s="1" t="s">
        <v>12444</v>
      </c>
      <c r="J72" s="12" t="str">
        <f t="shared" si="2"/>
        <v>(${Variables:E1_17_4_1_kcat} * E1_17_4_1 * C00206*C00343*C00001)/(${Variables:E1_17_4_1_km} + (E1_17_4_1 * C00206*C00343*C00001))</v>
      </c>
      <c r="K72" s="36" t="str">
        <f t="shared" si="3"/>
        <v>r71: C00206+C00343+C00001 -&gt; C00342+C00008 | (${Variables:E1_17_4_1_kcat} * E1_17_4_1 * C00206*C00343*C00001)/(${Variables:E1_17_4_1_km} + (E1_17_4_1 * C00206*C00343*C00001))</v>
      </c>
    </row>
    <row r="73" spans="1:11" ht="58" x14ac:dyDescent="0.35">
      <c r="A73" s="1" t="s">
        <v>2391</v>
      </c>
      <c r="B73" s="1" t="s">
        <v>2392</v>
      </c>
      <c r="C73" s="1" t="s">
        <v>9783</v>
      </c>
      <c r="D73" s="1">
        <v>72</v>
      </c>
      <c r="E73" s="1" t="str">
        <f>CONCATENATE("E",Reactions!C73)</f>
        <v>E1_17_4_1</v>
      </c>
      <c r="F73" s="1" t="s">
        <v>10606</v>
      </c>
      <c r="G73" s="1" t="s">
        <v>11807</v>
      </c>
      <c r="H73" s="1" t="s">
        <v>10607</v>
      </c>
      <c r="I73" s="1" t="s">
        <v>12445</v>
      </c>
      <c r="J73" s="12" t="str">
        <f t="shared" si="2"/>
        <v>(${Variables:E1_17_4_1_kcat} * E1_17_4_1 * C01346*C00343*C00001)/(${Variables:E1_17_4_1_km} + (E1_17_4_1 * C01346*C00343*C00001))</v>
      </c>
      <c r="K73" s="36" t="str">
        <f t="shared" si="3"/>
        <v>r72: C01346+C00343+C00001 -&gt; C00342+C00015 | (${Variables:E1_17_4_1_kcat} * E1_17_4_1 * C01346*C00343*C00001)/(${Variables:E1_17_4_1_km} + (E1_17_4_1 * C01346*C00343*C00001))</v>
      </c>
    </row>
    <row r="74" spans="1:11" ht="58" x14ac:dyDescent="0.35">
      <c r="A74" s="1" t="s">
        <v>2391</v>
      </c>
      <c r="B74" s="1" t="s">
        <v>2392</v>
      </c>
      <c r="C74" s="1" t="s">
        <v>9783</v>
      </c>
      <c r="D74" s="1">
        <v>73</v>
      </c>
      <c r="E74" s="1" t="str">
        <f>CONCATENATE("E",Reactions!C74)</f>
        <v>E1_17_4_1</v>
      </c>
      <c r="F74" s="1" t="s">
        <v>10608</v>
      </c>
      <c r="G74" s="1" t="s">
        <v>11808</v>
      </c>
      <c r="H74" s="1" t="s">
        <v>10609</v>
      </c>
      <c r="I74" s="1" t="s">
        <v>12446</v>
      </c>
      <c r="J74" s="12" t="str">
        <f t="shared" si="2"/>
        <v>(${Variables:E1_17_4_1_kcat} * E1_17_4_1 * C00361*C00343*C00001)/(${Variables:E1_17_4_1_km} + (E1_17_4_1 * C00361*C00343*C00001))</v>
      </c>
      <c r="K74" s="36" t="str">
        <f t="shared" si="3"/>
        <v>r73: C00361+C00343+C00001 -&gt; C00035+C00342 | (${Variables:E1_17_4_1_kcat} * E1_17_4_1 * C00361*C00343*C00001)/(${Variables:E1_17_4_1_km} + (E1_17_4_1 * C00361*C00343*C00001))</v>
      </c>
    </row>
    <row r="75" spans="1:11" ht="58" x14ac:dyDescent="0.35">
      <c r="A75" s="1" t="s">
        <v>2391</v>
      </c>
      <c r="B75" s="1" t="s">
        <v>2392</v>
      </c>
      <c r="C75" s="1" t="s">
        <v>9783</v>
      </c>
      <c r="D75" s="1">
        <v>74</v>
      </c>
      <c r="E75" s="1" t="str">
        <f>CONCATENATE("E",Reactions!C75)</f>
        <v>E1_17_4_1</v>
      </c>
      <c r="F75" s="1" t="s">
        <v>10610</v>
      </c>
      <c r="G75" s="1" t="s">
        <v>11809</v>
      </c>
      <c r="H75" s="1" t="s">
        <v>10611</v>
      </c>
      <c r="I75" s="1" t="s">
        <v>12447</v>
      </c>
      <c r="J75" s="12" t="str">
        <f t="shared" si="2"/>
        <v>(${Variables:E1_17_4_1_kcat} * E1_17_4_1 * C00705*C00343*C00001)/(${Variables:E1_17_4_1_km} + (E1_17_4_1 * C00705*C00343*C00001))</v>
      </c>
      <c r="K75" s="36" t="str">
        <f t="shared" si="3"/>
        <v>r74: C00705+C00343+C00001 -&gt; C00342+C00112 | (${Variables:E1_17_4_1_kcat} * E1_17_4_1 * C00705*C00343*C00001)/(${Variables:E1_17_4_1_km} + (E1_17_4_1 * C00705*C00343*C00001))</v>
      </c>
    </row>
    <row r="76" spans="1:11" ht="58" x14ac:dyDescent="0.35">
      <c r="A76" s="1" t="s">
        <v>2391</v>
      </c>
      <c r="B76" s="1" t="s">
        <v>2392</v>
      </c>
      <c r="C76" s="1" t="s">
        <v>9783</v>
      </c>
      <c r="D76" s="1">
        <v>75</v>
      </c>
      <c r="E76" s="1" t="str">
        <f>CONCATENATE("E",Reactions!C76)</f>
        <v>E1_17_4_1</v>
      </c>
      <c r="F76" s="1" t="s">
        <v>10612</v>
      </c>
      <c r="G76" s="1" t="s">
        <v>11810</v>
      </c>
      <c r="H76" s="1" t="s">
        <v>10613</v>
      </c>
      <c r="I76" s="1" t="s">
        <v>12448</v>
      </c>
      <c r="J76" s="12" t="str">
        <f t="shared" si="2"/>
        <v>(${Variables:E1_17_4_1_kcat} * E1_17_4_1 * C04232*C16664*C00001)/(${Variables:E1_17_4_1_km} + (E1_17_4_1 * C04232*C16664*C00001))</v>
      </c>
      <c r="K76" s="36" t="str">
        <f t="shared" si="3"/>
        <v>r75: C04232+C16664+C00001 -&gt; C03723+C16663 | (${Variables:E1_17_4_1_kcat} * E1_17_4_1 * C04232*C16664*C00001)/(${Variables:E1_17_4_1_km} + (E1_17_4_1 * C04232*C16664*C00001))</v>
      </c>
    </row>
    <row r="77" spans="1:11" ht="58" x14ac:dyDescent="0.35">
      <c r="A77" s="1" t="s">
        <v>2391</v>
      </c>
      <c r="B77" s="1" t="s">
        <v>2392</v>
      </c>
      <c r="C77" s="1" t="s">
        <v>9783</v>
      </c>
      <c r="D77" s="1">
        <v>76</v>
      </c>
      <c r="E77" s="1" t="str">
        <f>CONCATENATE("E",Reactions!C77)</f>
        <v>E1_17_4_1</v>
      </c>
      <c r="F77" s="1" t="s">
        <v>10614</v>
      </c>
      <c r="G77" s="1" t="s">
        <v>11811</v>
      </c>
      <c r="H77" s="1" t="s">
        <v>10615</v>
      </c>
      <c r="I77" s="1" t="s">
        <v>12449</v>
      </c>
      <c r="J77" s="12" t="str">
        <f t="shared" si="2"/>
        <v>(${Variables:E1_17_4_1_kcat} * E1_17_4_1 * C04232*C03170*C00001)/(${Variables:E1_17_4_1_km} + (E1_17_4_1 * C04232*C03170*C00001))</v>
      </c>
      <c r="K77" s="36" t="str">
        <f t="shared" si="3"/>
        <v>r76: C04232+C03170+C00001 -&gt; C03723+C02090 | (${Variables:E1_17_4_1_kcat} * E1_17_4_1 * C04232*C03170*C00001)/(${Variables:E1_17_4_1_km} + (E1_17_4_1 * C04232*C03170*C00001))</v>
      </c>
    </row>
    <row r="78" spans="1:11" ht="58" x14ac:dyDescent="0.35">
      <c r="A78" s="1" t="s">
        <v>2391</v>
      </c>
      <c r="B78" s="1" t="s">
        <v>2392</v>
      </c>
      <c r="C78" s="1" t="s">
        <v>9783</v>
      </c>
      <c r="D78" s="1">
        <v>77</v>
      </c>
      <c r="E78" s="1" t="str">
        <f>CONCATENATE("E",Reactions!C78)</f>
        <v>E1_17_4_1</v>
      </c>
      <c r="F78" s="1" t="s">
        <v>10616</v>
      </c>
      <c r="G78" s="1" t="s">
        <v>11812</v>
      </c>
      <c r="H78" s="1" t="s">
        <v>10617</v>
      </c>
      <c r="I78" s="1" t="s">
        <v>12450</v>
      </c>
      <c r="J78" s="12" t="str">
        <f t="shared" si="2"/>
        <v>(${Variables:E1_17_4_1_kcat} * E1_17_4_1 * C21750*C00343*C00001)/(${Variables:E1_17_4_1_km} + (E1_17_4_1 * C21750*C00343*C00001))</v>
      </c>
      <c r="K78" s="36" t="str">
        <f t="shared" si="3"/>
        <v>r77: C21750+C00343+C00001 -&gt; C21748+C00342 | (${Variables:E1_17_4_1_kcat} * E1_17_4_1 * C21750*C00343*C00001)/(${Variables:E1_17_4_1_km} + (E1_17_4_1 * C21750*C00343*C00001))</v>
      </c>
    </row>
    <row r="79" spans="1:11" ht="58" x14ac:dyDescent="0.35">
      <c r="A79" s="1" t="s">
        <v>3888</v>
      </c>
      <c r="B79" s="1" t="s">
        <v>3889</v>
      </c>
      <c r="C79" s="1" t="s">
        <v>9784</v>
      </c>
      <c r="D79" s="1">
        <v>78</v>
      </c>
      <c r="E79" s="1" t="str">
        <f>CONCATENATE("E",Reactions!C79)</f>
        <v>E1_17_4_2</v>
      </c>
      <c r="F79" s="1" t="s">
        <v>10618</v>
      </c>
      <c r="G79" s="1" t="s">
        <v>11813</v>
      </c>
      <c r="H79" s="1" t="s">
        <v>10619</v>
      </c>
      <c r="I79" s="1" t="s">
        <v>12451</v>
      </c>
      <c r="J79" s="12" t="str">
        <f t="shared" si="2"/>
        <v>(${Variables:E1_17_4_2_kcat} * E1_17_4_2 * C00677*C00343*C00001 )/(${Variables:E1_17_4_2_km} + (E1_17_4_2 * C00677*C00343*C00001 ))</v>
      </c>
      <c r="K79" s="36" t="str">
        <f t="shared" si="3"/>
        <v>r78: C00677+C00343+C00001  -&gt; C03802+C00342 | (${Variables:E1_17_4_2_kcat} * E1_17_4_2 * C00677*C00343*C00001 )/(${Variables:E1_17_4_2_km} + (E1_17_4_2 * C00677*C00343*C00001 ))</v>
      </c>
    </row>
    <row r="80" spans="1:11" ht="58" x14ac:dyDescent="0.35">
      <c r="A80" s="1" t="s">
        <v>3888</v>
      </c>
      <c r="B80" s="1" t="s">
        <v>3889</v>
      </c>
      <c r="C80" s="1" t="s">
        <v>9784</v>
      </c>
      <c r="D80" s="1">
        <v>79</v>
      </c>
      <c r="E80" s="1" t="str">
        <f>CONCATENATE("E",Reactions!C80)</f>
        <v>E1_17_4_2</v>
      </c>
      <c r="F80" s="1" t="s">
        <v>10620</v>
      </c>
      <c r="G80" s="1" t="s">
        <v>11814</v>
      </c>
      <c r="H80" s="1" t="s">
        <v>10621</v>
      </c>
      <c r="I80" s="1" t="s">
        <v>12452</v>
      </c>
      <c r="J80" s="12" t="str">
        <f t="shared" si="2"/>
        <v>(${Variables:E1_17_4_2_kcat} * E1_17_4_2 * C00131*C00343*C00001 )/(${Variables:E1_17_4_2_km} + (E1_17_4_2 * C00131*C00343*C00001 ))</v>
      </c>
      <c r="K80" s="36" t="str">
        <f t="shared" si="3"/>
        <v>r79: C00131+C00343+C00001  -&gt; C00002+C00342 | (${Variables:E1_17_4_2_kcat} * E1_17_4_2 * C00131*C00343*C00001 )/(${Variables:E1_17_4_2_km} + (E1_17_4_2 * C00131*C00343*C00001 ))</v>
      </c>
    </row>
    <row r="81" spans="1:11" ht="58" x14ac:dyDescent="0.35">
      <c r="A81" s="1" t="s">
        <v>3888</v>
      </c>
      <c r="B81" s="1" t="s">
        <v>3889</v>
      </c>
      <c r="C81" s="1" t="s">
        <v>9784</v>
      </c>
      <c r="D81" s="1">
        <v>80</v>
      </c>
      <c r="E81" s="1" t="str">
        <f>CONCATENATE("E",Reactions!C81)</f>
        <v>E1_17_4_2</v>
      </c>
      <c r="F81" s="1" t="s">
        <v>10622</v>
      </c>
      <c r="G81" s="1" t="s">
        <v>11815</v>
      </c>
      <c r="H81" s="1" t="s">
        <v>10623</v>
      </c>
      <c r="I81" s="1" t="s">
        <v>12453</v>
      </c>
      <c r="J81" s="12" t="str">
        <f t="shared" si="2"/>
        <v>(${Variables:E1_17_4_2_kcat} * E1_17_4_2 * C00286*C00343*C00001 )/(${Variables:E1_17_4_2_km} + (E1_17_4_2 * C00286*C00343*C00001 ))</v>
      </c>
      <c r="K81" s="36" t="str">
        <f t="shared" si="3"/>
        <v>r80: C00286+C00343+C00001  -&gt; C00044+C00342 | (${Variables:E1_17_4_2_kcat} * E1_17_4_2 * C00286*C00343*C00001 )/(${Variables:E1_17_4_2_km} + (E1_17_4_2 * C00286*C00343*C00001 ))</v>
      </c>
    </row>
    <row r="82" spans="1:11" ht="58" x14ac:dyDescent="0.35">
      <c r="A82" s="1" t="s">
        <v>3888</v>
      </c>
      <c r="B82" s="1" t="s">
        <v>3889</v>
      </c>
      <c r="C82" s="1" t="s">
        <v>9784</v>
      </c>
      <c r="D82" s="1">
        <v>81</v>
      </c>
      <c r="E82" s="1" t="str">
        <f>CONCATENATE("E",Reactions!C82)</f>
        <v>E1_17_4_2</v>
      </c>
      <c r="F82" s="1" t="s">
        <v>10624</v>
      </c>
      <c r="G82" s="1" t="s">
        <v>11816</v>
      </c>
      <c r="H82" s="1" t="s">
        <v>10625</v>
      </c>
      <c r="I82" s="1" t="s">
        <v>12454</v>
      </c>
      <c r="J82" s="12" t="str">
        <f t="shared" si="2"/>
        <v>(${Variables:E1_17_4_2_kcat} * E1_17_4_2 * C00458*C00343*C00001 )/(${Variables:E1_17_4_2_km} + (E1_17_4_2 * C00458*C00343*C00001 ))</v>
      </c>
      <c r="K82" s="36" t="str">
        <f t="shared" si="3"/>
        <v>r81: C00458+C00343+C00001  -&gt; C00063+C00342 | (${Variables:E1_17_4_2_kcat} * E1_17_4_2 * C00458*C00343*C00001 )/(${Variables:E1_17_4_2_km} + (E1_17_4_2 * C00458*C00343*C00001 ))</v>
      </c>
    </row>
    <row r="83" spans="1:11" ht="58" x14ac:dyDescent="0.35">
      <c r="A83" s="1" t="s">
        <v>3888</v>
      </c>
      <c r="B83" s="1" t="s">
        <v>3889</v>
      </c>
      <c r="C83" s="1" t="s">
        <v>9784</v>
      </c>
      <c r="D83" s="1">
        <v>82</v>
      </c>
      <c r="E83" s="1" t="str">
        <f>CONCATENATE("E",Reactions!C83)</f>
        <v>E1_17_4_2</v>
      </c>
      <c r="F83" s="1" t="s">
        <v>10626</v>
      </c>
      <c r="G83" s="1" t="s">
        <v>11817</v>
      </c>
      <c r="H83" s="1" t="s">
        <v>10627</v>
      </c>
      <c r="I83" s="1" t="s">
        <v>13010</v>
      </c>
      <c r="J83" s="12" t="str">
        <f t="shared" si="2"/>
        <v>(${Variables:E1_17_4_2_kcat} * E1_17_4_2 * C00460*C00343*C00001 )/(${Variables:E1_17_4_2_km} + (E1_17_4_2 * C00460*C00343*C00001 ))</v>
      </c>
      <c r="K83" s="36" t="str">
        <f t="shared" si="3"/>
        <v>r82: C00460+C00343+C00001  -&gt; C00075+C00342 | (${Variables:E1_17_4_2_kcat} * E1_17_4_2 * C00460*C00343*C00001 )/(${Variables:E1_17_4_2_km} + (E1_17_4_2 * C00460*C00343*C00001 ))</v>
      </c>
    </row>
    <row r="84" spans="1:11" ht="72.5" x14ac:dyDescent="0.35">
      <c r="A84" s="1" t="s">
        <v>5840</v>
      </c>
      <c r="B84" s="1" t="s">
        <v>5841</v>
      </c>
      <c r="C84" s="1" t="s">
        <v>9785</v>
      </c>
      <c r="D84" s="1">
        <v>83</v>
      </c>
      <c r="E84" s="1" t="str">
        <f>CONCATENATE("E",Reactions!C84)</f>
        <v>E1_2_1_10</v>
      </c>
      <c r="F84" s="1" t="s">
        <v>10628</v>
      </c>
      <c r="G84" s="1" t="s">
        <v>11818</v>
      </c>
      <c r="H84" s="1" t="s">
        <v>10629</v>
      </c>
      <c r="I84" s="1" t="s">
        <v>12455</v>
      </c>
      <c r="J84" s="12" t="str">
        <f t="shared" si="2"/>
        <v>(${Variables:E1_2_1_10_kcat} * E1_2_1_10 * C00084*C00010*C00003 )/(${Variables:E1_2_1_10_km} + (E1_2_1_10 * C00084*C00010*C00003 ))</v>
      </c>
      <c r="K84" s="36" t="str">
        <f t="shared" si="3"/>
        <v>r83: C00084+C00010+C00003  -&gt; C00024+C00004+C00080 | (${Variables:E1_2_1_10_kcat} * E1_2_1_10 * C00084*C00010*C00003 )/(${Variables:E1_2_1_10_km} + (E1_2_1_10 * C00084*C00010*C00003 ))</v>
      </c>
    </row>
    <row r="85" spans="1:11" ht="72.5" x14ac:dyDescent="0.35">
      <c r="A85" s="1" t="s">
        <v>5840</v>
      </c>
      <c r="B85" s="1" t="s">
        <v>5841</v>
      </c>
      <c r="C85" s="1" t="s">
        <v>9785</v>
      </c>
      <c r="D85" s="1">
        <v>84</v>
      </c>
      <c r="E85" s="1" t="str">
        <f>CONCATENATE("E",Reactions!C85)</f>
        <v>E1_2_1_10</v>
      </c>
      <c r="F85" s="1" t="s">
        <v>10630</v>
      </c>
      <c r="G85" s="1" t="s">
        <v>11819</v>
      </c>
      <c r="H85" s="1" t="s">
        <v>10631</v>
      </c>
      <c r="I85" s="1" t="s">
        <v>12456</v>
      </c>
      <c r="J85" s="12" t="str">
        <f t="shared" si="2"/>
        <v>(${Variables:E1_2_1_10_kcat} * E1_2_1_10 * C01412*C00010*C00003 )/(${Variables:E1_2_1_10_km} + (E1_2_1_10 * C01412*C00010*C00003 ))</v>
      </c>
      <c r="K85" s="36" t="str">
        <f t="shared" si="3"/>
        <v>r84: C01412+C00010+C00003  -&gt; C00136+C00004+C00080 | (${Variables:E1_2_1_10_kcat} * E1_2_1_10 * C01412*C00010*C00003 )/(${Variables:E1_2_1_10_km} + (E1_2_1_10 * C01412*C00010*C00003 ))</v>
      </c>
    </row>
    <row r="86" spans="1:11" ht="72.5" x14ac:dyDescent="0.35">
      <c r="A86" s="1" t="s">
        <v>3920</v>
      </c>
      <c r="B86" s="1" t="s">
        <v>3921</v>
      </c>
      <c r="C86" s="1" t="s">
        <v>9786</v>
      </c>
      <c r="D86" s="1">
        <v>85</v>
      </c>
      <c r="E86" s="1" t="str">
        <f>CONCATENATE("E",Reactions!C86)</f>
        <v>E1_2_1_11</v>
      </c>
      <c r="F86" s="1" t="s">
        <v>10632</v>
      </c>
      <c r="G86" s="1" t="s">
        <v>11820</v>
      </c>
      <c r="H86" s="1" t="s">
        <v>10633</v>
      </c>
      <c r="I86" s="1" t="s">
        <v>12457</v>
      </c>
      <c r="J86" s="12" t="str">
        <f t="shared" si="2"/>
        <v>(${Variables:E1_2_1_11_kcat} * E1_2_1_11 * C00441*C00009*C00006 )/(${Variables:E1_2_1_11_km} + (E1_2_1_11 * C00441*C00009*C00006 ))</v>
      </c>
      <c r="K86" s="36" t="str">
        <f t="shared" si="3"/>
        <v>r85: C00441+C00009+C00006  -&gt; C03082+C00005+C00080 | (${Variables:E1_2_1_11_kcat} * E1_2_1_11 * C00441*C00009*C00006 )/(${Variables:E1_2_1_11_km} + (E1_2_1_11 * C00441*C00009*C00006 ))</v>
      </c>
    </row>
    <row r="87" spans="1:11" ht="72.5" x14ac:dyDescent="0.35">
      <c r="A87" s="1" t="s">
        <v>5537</v>
      </c>
      <c r="B87" s="1" t="s">
        <v>5538</v>
      </c>
      <c r="C87" s="1" t="s">
        <v>9787</v>
      </c>
      <c r="D87" s="1">
        <v>86</v>
      </c>
      <c r="E87" s="1" t="str">
        <f>CONCATENATE("E",Reactions!C87)</f>
        <v>E1_2_1_12</v>
      </c>
      <c r="F87" s="1" t="s">
        <v>10634</v>
      </c>
      <c r="G87" s="1" t="s">
        <v>11821</v>
      </c>
      <c r="H87" s="1" t="s">
        <v>10635</v>
      </c>
      <c r="I87" s="1" t="s">
        <v>12458</v>
      </c>
      <c r="J87" s="12" t="str">
        <f t="shared" si="2"/>
        <v>(${Variables:E1_2_1_12_kcat} * E1_2_1_12 * C00118*C00009*C00003 )/(${Variables:E1_2_1_12_km} + (E1_2_1_12 * C00118*C00009*C00003 ))</v>
      </c>
      <c r="K87" s="36" t="str">
        <f t="shared" si="3"/>
        <v>r86: C00118+C00009+C00003  -&gt; C00236+C00004+C00080 | (${Variables:E1_2_1_12_kcat} * E1_2_1_12 * C00118*C00009*C00003 )/(${Variables:E1_2_1_12_km} + (E1_2_1_12 * C00118*C00009*C00003 ))</v>
      </c>
    </row>
    <row r="88" spans="1:11" ht="72.5" x14ac:dyDescent="0.35">
      <c r="A88" s="1" t="s">
        <v>1350</v>
      </c>
      <c r="B88" s="1" t="s">
        <v>1351</v>
      </c>
      <c r="C88" s="1" t="s">
        <v>9788</v>
      </c>
      <c r="D88" s="1">
        <v>87</v>
      </c>
      <c r="E88" s="1" t="str">
        <f>CONCATENATE("E",Reactions!C88)</f>
        <v>E1_2_1_38</v>
      </c>
      <c r="F88" s="1" t="s">
        <v>10636</v>
      </c>
      <c r="G88" s="1" t="s">
        <v>11822</v>
      </c>
      <c r="H88" s="1" t="s">
        <v>10637</v>
      </c>
      <c r="I88" s="1" t="s">
        <v>12459</v>
      </c>
      <c r="J88" s="12" t="str">
        <f t="shared" si="2"/>
        <v>(${Variables:E1_2_1_38_kcat} * E1_2_1_38 * C01250*C00009*C00006 )/(${Variables:E1_2_1_38_km} + (E1_2_1_38 * C01250*C00009*C00006 ))</v>
      </c>
      <c r="K88" s="36" t="str">
        <f t="shared" si="3"/>
        <v>r87: C01250+C00009+C00006  -&gt; C04133+C00005+C00080 | (${Variables:E1_2_1_38_kcat} * E1_2_1_38 * C01250*C00009*C00006 )/(${Variables:E1_2_1_38_km} + (E1_2_1_38 * C01250*C00009*C00006 ))</v>
      </c>
    </row>
    <row r="89" spans="1:11" ht="72.5" x14ac:dyDescent="0.35">
      <c r="A89" s="1" t="s">
        <v>5304</v>
      </c>
      <c r="B89" s="1" t="s">
        <v>5305</v>
      </c>
      <c r="C89" s="1" t="s">
        <v>9789</v>
      </c>
      <c r="D89" s="1">
        <v>88</v>
      </c>
      <c r="E89" s="1" t="str">
        <f>CONCATENATE("E",Reactions!C89)</f>
        <v>E1_2_1_41</v>
      </c>
      <c r="F89" s="1" t="s">
        <v>10638</v>
      </c>
      <c r="G89" s="1" t="s">
        <v>11823</v>
      </c>
      <c r="H89" s="1" t="s">
        <v>10639</v>
      </c>
      <c r="I89" s="1" t="s">
        <v>12460</v>
      </c>
      <c r="J89" s="12" t="str">
        <f t="shared" si="2"/>
        <v>(${Variables:E1_2_1_41_kcat} * E1_2_1_41 * C01165*C00009*C00006 )/(${Variables:E1_2_1_41_km} + (E1_2_1_41 * C01165*C00009*C00006 ))</v>
      </c>
      <c r="K89" s="36" t="str">
        <f t="shared" si="3"/>
        <v>r88: C01165+C00009+C00006  -&gt; C03287+C00005+C00080 | (${Variables:E1_2_1_41_kcat} * E1_2_1_41 * C01165*C00009*C00006 )/(${Variables:E1_2_1_41_km} + (E1_2_1_41 * C01165*C00009*C00006 ))</v>
      </c>
    </row>
    <row r="90" spans="1:11" ht="72.5" x14ac:dyDescent="0.35">
      <c r="A90" s="1" t="s">
        <v>2422</v>
      </c>
      <c r="B90" s="1" t="s">
        <v>2423</v>
      </c>
      <c r="C90" s="1" t="s">
        <v>9790</v>
      </c>
      <c r="D90" s="1">
        <v>89</v>
      </c>
      <c r="E90" s="1" t="str">
        <f>CONCATENATE("E",Reactions!C90)</f>
        <v>E1_2_1_9</v>
      </c>
      <c r="F90" s="1" t="s">
        <v>10640</v>
      </c>
      <c r="G90" s="1" t="s">
        <v>11824</v>
      </c>
      <c r="H90" s="1" t="s">
        <v>10641</v>
      </c>
      <c r="I90" s="1" t="s">
        <v>12461</v>
      </c>
      <c r="J90" s="12" t="str">
        <f t="shared" si="2"/>
        <v>(${Variables:E1_2_1_9_kcat} * E1_2_1_9 * C00118*C00006*C00001 )/(${Variables:E1_2_1_9_km} + (E1_2_1_9 * C00118*C00006*C00001 ))</v>
      </c>
      <c r="K90" s="36" t="str">
        <f t="shared" si="3"/>
        <v>r89: C00118+C00006+C00001  -&gt; C00197+C00005+C00080 | (${Variables:E1_2_1_9_kcat} * E1_2_1_9 * C00118*C00006*C00001 )/(${Variables:E1_2_1_9_km} + (E1_2_1_9 * C00118*C00006*C00001 ))</v>
      </c>
    </row>
    <row r="91" spans="1:11" ht="58" x14ac:dyDescent="0.35">
      <c r="A91" s="1" t="s">
        <v>3210</v>
      </c>
      <c r="B91" s="1" t="s">
        <v>3211</v>
      </c>
      <c r="C91" s="1" t="s">
        <v>9791</v>
      </c>
      <c r="D91" s="1">
        <v>90</v>
      </c>
      <c r="E91" s="1" t="str">
        <f>CONCATENATE("E",Reactions!C91)</f>
        <v>E1_2_4_1</v>
      </c>
      <c r="F91" s="1" t="s">
        <v>10642</v>
      </c>
      <c r="G91" s="1" t="s">
        <v>11825</v>
      </c>
      <c r="H91" s="1" t="s">
        <v>10643</v>
      </c>
      <c r="I91" s="1" t="s">
        <v>12462</v>
      </c>
      <c r="J91" s="12" t="str">
        <f t="shared" si="2"/>
        <v>(${Variables:E1_2_4_1_kcat} * E1_2_4_1 * C00022*C15972 )/(${Variables:E1_2_4_1_km} + (E1_2_4_1 * C00022*C15972 ))</v>
      </c>
      <c r="K91" s="36" t="str">
        <f t="shared" si="3"/>
        <v>r90: C00022+C15972  -&gt; C16255+C00011 | (${Variables:E1_2_4_1_kcat} * E1_2_4_1 * C00022*C15972 )/(${Variables:E1_2_4_1_km} + (E1_2_4_1 * C00022*C15972 ))</v>
      </c>
    </row>
    <row r="92" spans="1:11" ht="58" x14ac:dyDescent="0.35">
      <c r="A92" s="1" t="s">
        <v>3210</v>
      </c>
      <c r="B92" s="1" t="s">
        <v>3211</v>
      </c>
      <c r="C92" s="1" t="s">
        <v>9791</v>
      </c>
      <c r="D92" s="1">
        <v>91</v>
      </c>
      <c r="E92" s="1" t="str">
        <f>CONCATENATE("E",Reactions!C92)</f>
        <v>E1_2_4_1</v>
      </c>
      <c r="F92" s="1" t="s">
        <v>10644</v>
      </c>
      <c r="G92" s="1" t="s">
        <v>11826</v>
      </c>
      <c r="H92" s="1" t="s">
        <v>10645</v>
      </c>
      <c r="I92" s="1" t="s">
        <v>12463</v>
      </c>
      <c r="J92" s="12" t="str">
        <f t="shared" si="2"/>
        <v>(${Variables:E1_2_4_1_kcat} * E1_2_4_1 * C00022*C00068 )/(${Variables:E1_2_4_1_km} + (E1_2_4_1 * C00022*C00068 ))</v>
      </c>
      <c r="K92" s="36" t="str">
        <f t="shared" si="3"/>
        <v>r91: C00022+C00068  -&gt; C05125+C00011 | (${Variables:E1_2_4_1_kcat} * E1_2_4_1 * C00022*C00068 )/(${Variables:E1_2_4_1_km} + (E1_2_4_1 * C00022*C00068 ))</v>
      </c>
    </row>
    <row r="93" spans="1:11" ht="58" x14ac:dyDescent="0.35">
      <c r="A93" s="1" t="s">
        <v>3210</v>
      </c>
      <c r="B93" s="1" t="s">
        <v>3211</v>
      </c>
      <c r="C93" s="1" t="s">
        <v>9791</v>
      </c>
      <c r="D93" s="1">
        <v>92</v>
      </c>
      <c r="E93" s="1" t="str">
        <f>CONCATENATE("E",Reactions!C93)</f>
        <v>E1_2_4_1</v>
      </c>
      <c r="F93" s="1" t="s">
        <v>10646</v>
      </c>
      <c r="G93" s="1" t="s">
        <v>11827</v>
      </c>
      <c r="H93" s="1" t="s">
        <v>10647</v>
      </c>
      <c r="I93" s="1" t="s">
        <v>12464</v>
      </c>
      <c r="J93" s="12" t="str">
        <f t="shared" si="2"/>
        <v>(${Variables:E1_2_4_1_kcat} * E1_2_4_1 * C05125*C15972 )/(${Variables:E1_2_4_1_km} + (E1_2_4_1 * C05125*C15972 ))</v>
      </c>
      <c r="K93" s="36" t="str">
        <f t="shared" si="3"/>
        <v>r92: C05125+C15972  -&gt; C16255+C00068 | (${Variables:E1_2_4_1_kcat} * E1_2_4_1 * C05125*C15972 )/(${Variables:E1_2_4_1_km} + (E1_2_4_1 * C05125*C15972 ))</v>
      </c>
    </row>
    <row r="94" spans="1:11" ht="72.5" x14ac:dyDescent="0.35">
      <c r="A94" s="1" t="s">
        <v>1989</v>
      </c>
      <c r="B94" s="1" t="s">
        <v>1990</v>
      </c>
      <c r="C94" s="1" t="s">
        <v>9792</v>
      </c>
      <c r="D94" s="1">
        <v>93</v>
      </c>
      <c r="E94" s="1" t="str">
        <f>CONCATENATE("E",Reactions!C94)</f>
        <v>E1_3_1_12</v>
      </c>
      <c r="F94" s="1" t="s">
        <v>10648</v>
      </c>
      <c r="G94" s="1" t="s">
        <v>11828</v>
      </c>
      <c r="H94" s="1" t="s">
        <v>10649</v>
      </c>
      <c r="I94" s="1" t="s">
        <v>12465</v>
      </c>
      <c r="J94" s="12" t="str">
        <f t="shared" si="2"/>
        <v>(${Variables:E1_3_1_12_kcat} * E1_3_1_12 * C00254*C00003 )/(${Variables:E1_3_1_12_km} + (E1_3_1_12 * C00254*C00003 ))</v>
      </c>
      <c r="K94" s="36" t="str">
        <f t="shared" si="3"/>
        <v>r93: C00254+C00003  -&gt; C01179+C00011+C00004+C00080 | (${Variables:E1_3_1_12_kcat} * E1_3_1_12 * C00254*C00003 )/(${Variables:E1_3_1_12_km} + (E1_3_1_12 * C00254*C00003 ))</v>
      </c>
    </row>
    <row r="95" spans="1:11" ht="58" x14ac:dyDescent="0.35">
      <c r="A95" s="1" t="s">
        <v>1120</v>
      </c>
      <c r="B95" s="1" t="s">
        <v>1121</v>
      </c>
      <c r="C95" s="1" t="s">
        <v>9793</v>
      </c>
      <c r="D95" s="1">
        <v>94</v>
      </c>
      <c r="E95" s="1" t="str">
        <f>CONCATENATE("E",Reactions!C95)</f>
        <v>E1_3_1_9</v>
      </c>
      <c r="F95" s="1" t="s">
        <v>10650</v>
      </c>
      <c r="G95" s="1" t="s">
        <v>11829</v>
      </c>
      <c r="H95" s="1" t="s">
        <v>10651</v>
      </c>
      <c r="I95" s="1" t="s">
        <v>12466</v>
      </c>
      <c r="J95" s="12" t="str">
        <f t="shared" si="2"/>
        <v>(${Variables:E1_3_1_9_kcat} * E1_3_1_9 * C00173*C00003)/(${Variables:E1_3_1_9_km} + (E1_3_1_9 * C00173*C00003))</v>
      </c>
      <c r="K95" s="36" t="str">
        <f t="shared" si="3"/>
        <v>r94: C00173+C00003 -&gt; C00693+C00004+C00080 | (${Variables:E1_3_1_9_kcat} * E1_3_1_9 * C00173*C00003)/(${Variables:E1_3_1_9_km} + (E1_3_1_9 * C00173*C00003))</v>
      </c>
    </row>
    <row r="96" spans="1:11" ht="58" x14ac:dyDescent="0.35">
      <c r="A96" s="1" t="s">
        <v>1120</v>
      </c>
      <c r="B96" s="1" t="s">
        <v>1121</v>
      </c>
      <c r="C96" s="1" t="s">
        <v>9793</v>
      </c>
      <c r="D96" s="1">
        <v>95</v>
      </c>
      <c r="E96" s="1" t="str">
        <f>CONCATENATE("E",Reactions!C96)</f>
        <v>E1_3_1_9</v>
      </c>
      <c r="F96" s="1" t="s">
        <v>10652</v>
      </c>
      <c r="G96" s="1" t="s">
        <v>11830</v>
      </c>
      <c r="H96" s="1" t="s">
        <v>10653</v>
      </c>
      <c r="I96" s="1" t="s">
        <v>12467</v>
      </c>
      <c r="J96" s="12" t="str">
        <f t="shared" si="2"/>
        <v>(${Variables:E1_3_1_9_kcat} * E1_3_1_9 * C05745*C00003 )/(${Variables:E1_3_1_9_km} + (E1_3_1_9 * C05745*C00003 ))</v>
      </c>
      <c r="K96" s="36" t="str">
        <f t="shared" si="3"/>
        <v>r95: C05745+C00003  -&gt; C04246+C00004+C00080 | (${Variables:E1_3_1_9_kcat} * E1_3_1_9 * C05745*C00003 )/(${Variables:E1_3_1_9_km} + (E1_3_1_9 * C05745*C00003 ))</v>
      </c>
    </row>
    <row r="97" spans="1:11" ht="58" x14ac:dyDescent="0.35">
      <c r="A97" s="1" t="s">
        <v>1120</v>
      </c>
      <c r="B97" s="1" t="s">
        <v>1121</v>
      </c>
      <c r="C97" s="1" t="s">
        <v>9793</v>
      </c>
      <c r="D97" s="1">
        <v>96</v>
      </c>
      <c r="E97" s="1" t="str">
        <f>CONCATENATE("E",Reactions!C97)</f>
        <v>E1_3_1_9</v>
      </c>
      <c r="F97" s="1" t="s">
        <v>10654</v>
      </c>
      <c r="G97" s="1" t="s">
        <v>11831</v>
      </c>
      <c r="H97" s="1" t="s">
        <v>10655</v>
      </c>
      <c r="I97" s="1" t="s">
        <v>12468</v>
      </c>
      <c r="J97" s="12" t="str">
        <f t="shared" si="2"/>
        <v>(${Variables:E1_3_1_9_kcat} * E1_3_1_9 * C05223*C00003 )/(${Variables:E1_3_1_9_km} + (E1_3_1_9 * C05223*C00003 ))</v>
      </c>
      <c r="K97" s="36" t="str">
        <f t="shared" si="3"/>
        <v>r96: C05223+C00003  -&gt; C05758+C00004+C00080 | (${Variables:E1_3_1_9_kcat} * E1_3_1_9 * C05223*C00003 )/(${Variables:E1_3_1_9_km} + (E1_3_1_9 * C05223*C00003 ))</v>
      </c>
    </row>
    <row r="98" spans="1:11" ht="58" x14ac:dyDescent="0.35">
      <c r="A98" s="1" t="s">
        <v>1120</v>
      </c>
      <c r="B98" s="1" t="s">
        <v>1121</v>
      </c>
      <c r="C98" s="1" t="s">
        <v>9793</v>
      </c>
      <c r="D98" s="1">
        <v>97</v>
      </c>
      <c r="E98" s="1" t="str">
        <f>CONCATENATE("E",Reactions!C98)</f>
        <v>E1_3_1_9</v>
      </c>
      <c r="F98" s="1" t="s">
        <v>10656</v>
      </c>
      <c r="G98" s="1" t="s">
        <v>11832</v>
      </c>
      <c r="H98" s="1" t="s">
        <v>10657</v>
      </c>
      <c r="I98" s="1" t="s">
        <v>12469</v>
      </c>
      <c r="J98" s="12" t="str">
        <f t="shared" si="2"/>
        <v>(${Variables:E1_3_1_9_kcat} * E1_3_1_9 * C05749*C00003 )/(${Variables:E1_3_1_9_km} + (E1_3_1_9 * C05749*C00003 ))</v>
      </c>
      <c r="K98" s="36" t="str">
        <f t="shared" si="3"/>
        <v>r97: C05749+C00003  -&gt; C05748+C00004+C00080 | (${Variables:E1_3_1_9_kcat} * E1_3_1_9 * C05749*C00003 )/(${Variables:E1_3_1_9_km} + (E1_3_1_9 * C05749*C00003 ))</v>
      </c>
    </row>
    <row r="99" spans="1:11" ht="58" x14ac:dyDescent="0.35">
      <c r="A99" s="1" t="s">
        <v>1120</v>
      </c>
      <c r="B99" s="1" t="s">
        <v>1121</v>
      </c>
      <c r="C99" s="1" t="s">
        <v>9793</v>
      </c>
      <c r="D99" s="1">
        <v>98</v>
      </c>
      <c r="E99" s="1" t="str">
        <f>CONCATENATE("E",Reactions!C99)</f>
        <v>E1_3_1_9</v>
      </c>
      <c r="F99" s="1" t="s">
        <v>10658</v>
      </c>
      <c r="G99" s="1" t="s">
        <v>11833</v>
      </c>
      <c r="H99" s="1" t="s">
        <v>10659</v>
      </c>
      <c r="I99" s="1" t="s">
        <v>12470</v>
      </c>
      <c r="J99" s="12" t="str">
        <f t="shared" si="2"/>
        <v>(${Variables:E1_3_1_9_kcat} * E1_3_1_9 * C05752*C00003 )/(${Variables:E1_3_1_9_km} + (E1_3_1_9 * C05752*C00003 ))</v>
      </c>
      <c r="K99" s="36" t="str">
        <f t="shared" si="3"/>
        <v>r98: C05752+C00003  -&gt; C05751+C00004+C00080 | (${Variables:E1_3_1_9_kcat} * E1_3_1_9 * C05752*C00003 )/(${Variables:E1_3_1_9_km} + (E1_3_1_9 * C05752*C00003 ))</v>
      </c>
    </row>
    <row r="100" spans="1:11" ht="58" x14ac:dyDescent="0.35">
      <c r="A100" s="1" t="s">
        <v>1120</v>
      </c>
      <c r="B100" s="1" t="s">
        <v>1121</v>
      </c>
      <c r="C100" s="1" t="s">
        <v>9793</v>
      </c>
      <c r="D100" s="1">
        <v>99</v>
      </c>
      <c r="E100" s="1" t="str">
        <f>CONCATENATE("E",Reactions!C100)</f>
        <v>E1_3_1_9</v>
      </c>
      <c r="F100" s="1" t="s">
        <v>10660</v>
      </c>
      <c r="G100" s="1" t="s">
        <v>11834</v>
      </c>
      <c r="H100" s="1" t="s">
        <v>10661</v>
      </c>
      <c r="I100" s="1" t="s">
        <v>12471</v>
      </c>
      <c r="J100" s="12" t="str">
        <f t="shared" si="2"/>
        <v>(${Variables:E1_3_1_9_kcat} * E1_3_1_9 * C05755*C00003 )/(${Variables:E1_3_1_9_km} + (E1_3_1_9 * C05755*C00003 ))</v>
      </c>
      <c r="K100" s="36" t="str">
        <f t="shared" si="3"/>
        <v>r99: C05755+C00003  -&gt; C05754+C00004+C00080 | (${Variables:E1_3_1_9_kcat} * E1_3_1_9 * C05755*C00003 )/(${Variables:E1_3_1_9_km} + (E1_3_1_9 * C05755*C00003 ))</v>
      </c>
    </row>
    <row r="101" spans="1:11" ht="58" x14ac:dyDescent="0.35">
      <c r="A101" s="1" t="s">
        <v>1120</v>
      </c>
      <c r="B101" s="1" t="s">
        <v>1121</v>
      </c>
      <c r="C101" s="1" t="s">
        <v>9793</v>
      </c>
      <c r="D101" s="1">
        <v>100</v>
      </c>
      <c r="E101" s="1" t="str">
        <f>CONCATENATE("E",Reactions!C101)</f>
        <v>E1_3_1_9</v>
      </c>
      <c r="F101" s="1" t="s">
        <v>10662</v>
      </c>
      <c r="G101" s="1" t="s">
        <v>11835</v>
      </c>
      <c r="H101" s="1" t="s">
        <v>10663</v>
      </c>
      <c r="I101" s="1" t="s">
        <v>12472</v>
      </c>
      <c r="J101" s="12" t="str">
        <f t="shared" si="2"/>
        <v>(${Variables:E1_3_1_9_kcat} * E1_3_1_9 * C05761*C00003 )/(${Variables:E1_3_1_9_km} + (E1_3_1_9 * C05761*C00003 ))</v>
      </c>
      <c r="K101" s="36" t="str">
        <f t="shared" si="3"/>
        <v>r100: C05761+C00003  -&gt; C05760+C00004+C00080 | (${Variables:E1_3_1_9_kcat} * E1_3_1_9 * C05761*C00003 )/(${Variables:E1_3_1_9_km} + (E1_3_1_9 * C05761*C00003 ))</v>
      </c>
    </row>
    <row r="102" spans="1:11" ht="58" x14ac:dyDescent="0.35">
      <c r="A102" s="1" t="s">
        <v>1120</v>
      </c>
      <c r="B102" s="1" t="s">
        <v>1121</v>
      </c>
      <c r="C102" s="1" t="s">
        <v>9793</v>
      </c>
      <c r="D102" s="1">
        <v>101</v>
      </c>
      <c r="E102" s="1" t="str">
        <f>CONCATENATE("E",Reactions!C102)</f>
        <v>E1_3_1_9</v>
      </c>
      <c r="F102" s="1" t="s">
        <v>10664</v>
      </c>
      <c r="G102" s="1" t="s">
        <v>11836</v>
      </c>
      <c r="H102" s="1" t="s">
        <v>10665</v>
      </c>
      <c r="I102" s="1" t="s">
        <v>12473</v>
      </c>
      <c r="J102" s="12" t="str">
        <f t="shared" si="2"/>
        <v>(${Variables:E1_3_1_9_kcat} * E1_3_1_9 * C05764*C00003 )/(${Variables:E1_3_1_9_km} + (E1_3_1_9 * C05764*C00003 ))</v>
      </c>
      <c r="K102" s="36" t="str">
        <f t="shared" si="3"/>
        <v>r101: C05764+C00003  -&gt; C05763+C00004+C00080 | (${Variables:E1_3_1_9_kcat} * E1_3_1_9 * C05764*C00003 )/(${Variables:E1_3_1_9_km} + (E1_3_1_9 * C05764*C00003 ))</v>
      </c>
    </row>
    <row r="103" spans="1:11" ht="58" x14ac:dyDescent="0.35">
      <c r="A103" s="1" t="s">
        <v>1120</v>
      </c>
      <c r="B103" s="1" t="s">
        <v>1121</v>
      </c>
      <c r="C103" s="1" t="s">
        <v>9793</v>
      </c>
      <c r="D103" s="1">
        <v>102</v>
      </c>
      <c r="E103" s="1" t="str">
        <f>CONCATENATE("E",Reactions!C103)</f>
        <v>E1_3_1_9</v>
      </c>
      <c r="F103" s="1" t="s">
        <v>10666</v>
      </c>
      <c r="G103" s="1" t="s">
        <v>11837</v>
      </c>
      <c r="H103" s="1" t="s">
        <v>10667</v>
      </c>
      <c r="I103" s="1" t="s">
        <v>12474</v>
      </c>
      <c r="J103" s="12" t="str">
        <f t="shared" si="2"/>
        <v>(${Variables:E1_3_1_9_kcat} * E1_3_1_9 * C16221*C00004*C00080 )/(${Variables:E1_3_1_9_km} + (E1_3_1_9 * C16221*C00004*C00080 ))</v>
      </c>
      <c r="K103" s="36" t="str">
        <f t="shared" si="3"/>
        <v>r102: C16221+C00004+C00080  -&gt; C04088+C00003 | (${Variables:E1_3_1_9_kcat} * E1_3_1_9 * C16221*C00004*C00080 )/(${Variables:E1_3_1_9_km} + (E1_3_1_9 * C16221*C00004*C00080 ))</v>
      </c>
    </row>
    <row r="104" spans="1:11" ht="58" x14ac:dyDescent="0.35">
      <c r="A104" s="1" t="s">
        <v>4766</v>
      </c>
      <c r="B104" s="1" t="s">
        <v>4767</v>
      </c>
      <c r="C104" s="1" t="s">
        <v>9794</v>
      </c>
      <c r="D104" s="1">
        <v>103</v>
      </c>
      <c r="E104" s="1" t="str">
        <f>CONCATENATE("E",Reactions!C104)</f>
        <v>E1_3_1_98</v>
      </c>
      <c r="F104" s="1" t="s">
        <v>10668</v>
      </c>
      <c r="G104" s="1" t="s">
        <v>11838</v>
      </c>
      <c r="H104" s="1" t="s">
        <v>10669</v>
      </c>
      <c r="I104" s="1" t="s">
        <v>12475</v>
      </c>
      <c r="J104" s="12" t="str">
        <f t="shared" si="2"/>
        <v>(${Variables:E1_3_1_98_kcat} * E1_3_1_98 * C01050*C00006 )/(${Variables:E1_3_1_98_km} + (E1_3_1_98 * C01050*C00006 ))</v>
      </c>
      <c r="K104" s="36" t="str">
        <f t="shared" si="3"/>
        <v>r103: C01050+C00006  -&gt; C04631+C00005+C00080 | (${Variables:E1_3_1_98_kcat} * E1_3_1_98 * C01050*C00006 )/(${Variables:E1_3_1_98_km} + (E1_3_1_98 * C01050*C00006 ))</v>
      </c>
    </row>
    <row r="105" spans="1:11" ht="58" x14ac:dyDescent="0.35">
      <c r="A105" s="1" t="s">
        <v>4766</v>
      </c>
      <c r="B105" s="1" t="s">
        <v>4767</v>
      </c>
      <c r="C105" s="1" t="s">
        <v>9794</v>
      </c>
      <c r="D105" s="1">
        <v>104</v>
      </c>
      <c r="E105" s="1" t="str">
        <f>CONCATENATE("E",Reactions!C105)</f>
        <v>E1_3_1_98</v>
      </c>
      <c r="F105" s="1" t="s">
        <v>10670</v>
      </c>
      <c r="G105" s="1" t="s">
        <v>11839</v>
      </c>
      <c r="H105" s="1" t="s">
        <v>10671</v>
      </c>
      <c r="I105" s="1" t="s">
        <v>12476</v>
      </c>
      <c r="J105" s="12" t="str">
        <f t="shared" si="2"/>
        <v>(${Variables:E1_3_1_98_kcat} * E1_3_1_98 * C01050*C00003 )/(${Variables:E1_3_1_98_km} + (E1_3_1_98 * C01050*C00003 ))</v>
      </c>
      <c r="K105" s="36" t="str">
        <f t="shared" si="3"/>
        <v>r104: C01050+C00003  -&gt; C04631+C00004+C00080 | (${Variables:E1_3_1_98_kcat} * E1_3_1_98 * C01050*C00003 )/(${Variables:E1_3_1_98_km} + (E1_3_1_98 * C01050*C00003 ))</v>
      </c>
    </row>
    <row r="106" spans="1:11" ht="58" x14ac:dyDescent="0.35">
      <c r="A106" s="1" t="s">
        <v>2664</v>
      </c>
      <c r="B106" s="1" t="s">
        <v>2665</v>
      </c>
      <c r="C106" s="1" t="s">
        <v>9795</v>
      </c>
      <c r="D106" s="1">
        <v>105</v>
      </c>
      <c r="E106" s="1" t="str">
        <f>CONCATENATE("E",Reactions!C106)</f>
        <v>E1_3_98_1</v>
      </c>
      <c r="F106" s="1" t="s">
        <v>10672</v>
      </c>
      <c r="G106" s="1" t="s">
        <v>11840</v>
      </c>
      <c r="H106" s="1" t="s">
        <v>10673</v>
      </c>
      <c r="I106" s="1" t="s">
        <v>12477</v>
      </c>
      <c r="J106" s="12" t="str">
        <f t="shared" si="2"/>
        <v>(${Variables:E1_3_98_1_kcat} * E1_3_98_1 * C00337*C00122 )/(${Variables:E1_3_98_1_km} + (E1_3_98_1 * C00337*C00122 ))</v>
      </c>
      <c r="K106" s="36" t="str">
        <f t="shared" si="3"/>
        <v>r105: C00337+C00122  -&gt; C00295+C00042 | (${Variables:E1_3_98_1_kcat} * E1_3_98_1 * C00337*C00122 )/(${Variables:E1_3_98_1_km} + (E1_3_98_1 * C00337*C00122 ))</v>
      </c>
    </row>
    <row r="107" spans="1:11" ht="72.5" x14ac:dyDescent="0.35">
      <c r="A107" s="1" t="s">
        <v>1690</v>
      </c>
      <c r="B107" s="1" t="s">
        <v>1691</v>
      </c>
      <c r="C107" s="1" t="s">
        <v>9797</v>
      </c>
      <c r="D107" s="1">
        <v>106</v>
      </c>
      <c r="E107" s="1" t="str">
        <f>CONCATENATE("E",Reactions!C107)</f>
        <v>E1_4_1_1</v>
      </c>
      <c r="F107" s="1" t="s">
        <v>10674</v>
      </c>
      <c r="G107" s="1" t="s">
        <v>11841</v>
      </c>
      <c r="H107" s="1" t="s">
        <v>10675</v>
      </c>
      <c r="I107" s="1" t="s">
        <v>12478</v>
      </c>
      <c r="J107" s="12" t="str">
        <f t="shared" si="2"/>
        <v>(${Variables:E1_4_1_1_kcat} * E1_4_1_1 * C00041*C00003*C00001)/(${Variables:E1_4_1_1_km} + (E1_4_1_1 * C00041*C00003*C00001))</v>
      </c>
      <c r="K107" s="36" t="str">
        <f t="shared" si="3"/>
        <v>r106: C00041+C00003+C00001 -&gt; C00022+C00014+C00004+C00080 | (${Variables:E1_4_1_1_kcat} * E1_4_1_1 * C00041*C00003*C00001)/(${Variables:E1_4_1_1_km} + (E1_4_1_1 * C00041*C00003*C00001))</v>
      </c>
    </row>
    <row r="108" spans="1:11" ht="72.5" x14ac:dyDescent="0.35">
      <c r="A108" s="1" t="s">
        <v>1690</v>
      </c>
      <c r="B108" s="1" t="s">
        <v>1691</v>
      </c>
      <c r="C108" s="1" t="s">
        <v>9797</v>
      </c>
      <c r="D108" s="1">
        <v>107</v>
      </c>
      <c r="E108" s="1" t="str">
        <f>CONCATENATE("E",Reactions!C108)</f>
        <v>E1_4_1_1</v>
      </c>
      <c r="F108" s="1" t="s">
        <v>10676</v>
      </c>
      <c r="G108" s="1" t="s">
        <v>11842</v>
      </c>
      <c r="H108" s="1" t="s">
        <v>10677</v>
      </c>
      <c r="I108" s="1" t="s">
        <v>12479</v>
      </c>
      <c r="J108" s="12" t="str">
        <f t="shared" si="2"/>
        <v>(${Variables:E1_4_1_1_kcat} * E1_4_1_1 * C05167*C00001*C00003)/(${Variables:E1_4_1_1_km} + (E1_4_1_1 * C05167*C00001*C00003))</v>
      </c>
      <c r="K108" s="36" t="str">
        <f t="shared" si="3"/>
        <v>r107: C05167+C00001+C00003 -&gt; C00161+C00014+C00004+C00080 | (${Variables:E1_4_1_1_kcat} * E1_4_1_1 * C05167*C00001*C00003)/(${Variables:E1_4_1_1_km} + (E1_4_1_1 * C05167*C00001*C00003))</v>
      </c>
    </row>
    <row r="109" spans="1:11" ht="72.5" x14ac:dyDescent="0.35">
      <c r="A109" s="1" t="s">
        <v>1690</v>
      </c>
      <c r="B109" s="1" t="s">
        <v>1691</v>
      </c>
      <c r="C109" s="1" t="s">
        <v>9797</v>
      </c>
      <c r="D109" s="1">
        <v>108</v>
      </c>
      <c r="E109" s="1" t="str">
        <f>CONCATENATE("E",Reactions!C109)</f>
        <v>E1_4_1_1</v>
      </c>
      <c r="F109" s="1" t="s">
        <v>10678</v>
      </c>
      <c r="G109" s="1" t="s">
        <v>11843</v>
      </c>
      <c r="H109" s="1" t="s">
        <v>10679</v>
      </c>
      <c r="I109" s="1" t="s">
        <v>12480</v>
      </c>
      <c r="J109" s="12" t="str">
        <f t="shared" si="2"/>
        <v>(${Variables:E1_4_1_1_kcat} * E1_4_1_1 * C05167*C00001*C00006)/(${Variables:E1_4_1_1_km} + (E1_4_1_1 * C05167*C00001*C00006))</v>
      </c>
      <c r="K109" s="36" t="str">
        <f t="shared" si="3"/>
        <v>r108: C05167+C00001+C00006 -&gt; C00161+C00014+C00005+C00080 | (${Variables:E1_4_1_1_kcat} * E1_4_1_1 * C05167*C00001*C00006)/(${Variables:E1_4_1_1_km} + (E1_4_1_1 * C05167*C00001*C00006))</v>
      </c>
    </row>
    <row r="110" spans="1:11" ht="72.5" x14ac:dyDescent="0.35">
      <c r="A110" s="1" t="s">
        <v>1690</v>
      </c>
      <c r="B110" s="1" t="s">
        <v>1691</v>
      </c>
      <c r="C110" s="1" t="s">
        <v>9797</v>
      </c>
      <c r="D110" s="1">
        <v>109</v>
      </c>
      <c r="E110" s="1" t="str">
        <f>CONCATENATE("E",Reactions!C110)</f>
        <v>E1_4_1_1</v>
      </c>
      <c r="F110" s="1" t="s">
        <v>10680</v>
      </c>
      <c r="G110" s="1" t="s">
        <v>11844</v>
      </c>
      <c r="H110" s="1" t="s">
        <v>10681</v>
      </c>
      <c r="I110" s="1" t="s">
        <v>12481</v>
      </c>
      <c r="J110" s="12" t="str">
        <f t="shared" si="2"/>
        <v>(${Variables:E1_4_1_1_kcat} * E1_4_1_1 * C00037*C00001*C00003)/(${Variables:E1_4_1_1_km} + (E1_4_1_1 * C00037*C00001*C00003))</v>
      </c>
      <c r="K110" s="36" t="str">
        <f t="shared" si="3"/>
        <v>r109: C00037+C00001+C00003 -&gt; C00048+C00014+C00004+C00080 | (${Variables:E1_4_1_1_kcat} * E1_4_1_1 * C00037*C00001*C00003)/(${Variables:E1_4_1_1_km} + (E1_4_1_1 * C00037*C00001*C00003))</v>
      </c>
    </row>
    <row r="111" spans="1:11" ht="72.5" x14ac:dyDescent="0.35">
      <c r="A111" s="1" t="s">
        <v>1233</v>
      </c>
      <c r="B111" s="1" t="s">
        <v>1234</v>
      </c>
      <c r="C111" s="1" t="s">
        <v>9798</v>
      </c>
      <c r="D111" s="1">
        <v>110</v>
      </c>
      <c r="E111" s="1" t="str">
        <f>CONCATENATE("E",Reactions!C111)</f>
        <v>E1_4_1_4</v>
      </c>
      <c r="F111" s="1" t="s">
        <v>10682</v>
      </c>
      <c r="G111" s="1" t="s">
        <v>11845</v>
      </c>
      <c r="H111" s="1" t="s">
        <v>10683</v>
      </c>
      <c r="I111" s="1" t="s">
        <v>12482</v>
      </c>
      <c r="J111" s="12" t="str">
        <f t="shared" si="2"/>
        <v>(${Variables:E1_4_1_4_kcat} * E1_4_1_4 * C00025*C00006*C00001 )/(${Variables:E1_4_1_4_km} + (E1_4_1_4 * C00025*C00006*C00001 ))</v>
      </c>
      <c r="K111" s="36" t="str">
        <f t="shared" si="3"/>
        <v>r110: C00025+C00006+C00001  -&gt; C00026+C00014+C00005+C00080 | (${Variables:E1_4_1_4_kcat} * E1_4_1_4 * C00025*C00006*C00001 )/(${Variables:E1_4_1_4_km} + (E1_4_1_4 * C00025*C00006*C00001 ))</v>
      </c>
    </row>
    <row r="112" spans="1:11" ht="72.5" x14ac:dyDescent="0.35">
      <c r="A112" s="1" t="s">
        <v>1233</v>
      </c>
      <c r="B112" s="1" t="s">
        <v>1234</v>
      </c>
      <c r="C112" s="1" t="s">
        <v>9798</v>
      </c>
      <c r="D112" s="1">
        <v>111</v>
      </c>
      <c r="E112" s="1" t="str">
        <f>CONCATENATE("E",Reactions!C112)</f>
        <v>E1_4_1_4</v>
      </c>
      <c r="F112" s="1" t="s">
        <v>10684</v>
      </c>
      <c r="G112" s="1" t="s">
        <v>11846</v>
      </c>
      <c r="H112" s="1" t="s">
        <v>10677</v>
      </c>
      <c r="I112" s="1" t="s">
        <v>12479</v>
      </c>
      <c r="J112" s="12" t="str">
        <f t="shared" si="2"/>
        <v>(${Variables:E1_4_1_4_kcat} * E1_4_1_4 * C05167*C00001*C00003 )/(${Variables:E1_4_1_4_km} + (E1_4_1_4 * C05167*C00001*C00003 ))</v>
      </c>
      <c r="K112" s="36" t="str">
        <f t="shared" si="3"/>
        <v>r111: C05167+C00001+C00003  -&gt; C00161+C00014+C00004+C00080 | (${Variables:E1_4_1_4_kcat} * E1_4_1_4 * C05167*C00001*C00003 )/(${Variables:E1_4_1_4_km} + (E1_4_1_4 * C05167*C00001*C00003 ))</v>
      </c>
    </row>
    <row r="113" spans="1:11" ht="72.5" x14ac:dyDescent="0.35">
      <c r="A113" s="1" t="s">
        <v>1233</v>
      </c>
      <c r="B113" s="1" t="s">
        <v>1234</v>
      </c>
      <c r="C113" s="1" t="s">
        <v>9798</v>
      </c>
      <c r="D113" s="1">
        <v>112</v>
      </c>
      <c r="E113" s="1" t="str">
        <f>CONCATENATE("E",Reactions!C113)</f>
        <v>E1_4_1_4</v>
      </c>
      <c r="F113" s="1" t="s">
        <v>10685</v>
      </c>
      <c r="G113" s="1" t="s">
        <v>11847</v>
      </c>
      <c r="H113" s="1" t="s">
        <v>10679</v>
      </c>
      <c r="I113" s="1" t="s">
        <v>12480</v>
      </c>
      <c r="J113" s="12" t="str">
        <f t="shared" si="2"/>
        <v>(${Variables:E1_4_1_4_kcat} * E1_4_1_4 * C05167*C00001*C00006 )/(${Variables:E1_4_1_4_km} + (E1_4_1_4 * C05167*C00001*C00006 ))</v>
      </c>
      <c r="K113" s="36" t="str">
        <f t="shared" si="3"/>
        <v>r112: C05167+C00001+C00006  -&gt; C00161+C00014+C00005+C00080 | (${Variables:E1_4_1_4_kcat} * E1_4_1_4 * C05167*C00001*C00006 )/(${Variables:E1_4_1_4_km} + (E1_4_1_4 * C05167*C00001*C00006 ))</v>
      </c>
    </row>
    <row r="114" spans="1:11" ht="58" x14ac:dyDescent="0.35">
      <c r="A114" s="1" t="s">
        <v>5748</v>
      </c>
      <c r="B114" s="1" t="s">
        <v>5749</v>
      </c>
      <c r="C114" s="1" t="s">
        <v>9799</v>
      </c>
      <c r="D114" s="1">
        <v>113</v>
      </c>
      <c r="E114" s="1" t="str">
        <f>CONCATENATE("E",Reactions!C114)</f>
        <v>E1_5_1_2</v>
      </c>
      <c r="F114" s="1" t="s">
        <v>10686</v>
      </c>
      <c r="G114" s="1" t="s">
        <v>11848</v>
      </c>
      <c r="H114" s="1" t="s">
        <v>10687</v>
      </c>
      <c r="I114" s="1" t="s">
        <v>12483</v>
      </c>
      <c r="J114" s="12" t="str">
        <f t="shared" si="2"/>
        <v>(${Variables:E1_5_1_2_kcat} * E1_5_1_2 * C00148*C00003 )/(${Variables:E1_5_1_2_km} + (E1_5_1_2 * C00148*C00003 ))</v>
      </c>
      <c r="K114" s="36" t="str">
        <f t="shared" si="3"/>
        <v>r113: C00148+C00003  -&gt; C03912+C00004+C00080 | (${Variables:E1_5_1_2_kcat} * E1_5_1_2 * C00148*C00003 )/(${Variables:E1_5_1_2_km} + (E1_5_1_2 * C00148*C00003 ))</v>
      </c>
    </row>
    <row r="115" spans="1:11" ht="58" x14ac:dyDescent="0.35">
      <c r="A115" s="1" t="s">
        <v>5748</v>
      </c>
      <c r="B115" s="1" t="s">
        <v>5749</v>
      </c>
      <c r="C115" s="1" t="s">
        <v>9799</v>
      </c>
      <c r="D115" s="1">
        <v>114</v>
      </c>
      <c r="E115" s="1" t="str">
        <f>CONCATENATE("E",Reactions!C115)</f>
        <v>E1_5_1_2</v>
      </c>
      <c r="F115" s="1" t="s">
        <v>10688</v>
      </c>
      <c r="G115" s="1" t="s">
        <v>11849</v>
      </c>
      <c r="H115" s="1" t="s">
        <v>10689</v>
      </c>
      <c r="I115" s="1" t="s">
        <v>12484</v>
      </c>
      <c r="J115" s="12" t="str">
        <f t="shared" si="2"/>
        <v>(${Variables:E1_5_1_2_kcat} * E1_5_1_2 * C00148*C00006 )/(${Variables:E1_5_1_2_km} + (E1_5_1_2 * C00148*C00006 ))</v>
      </c>
      <c r="K115" s="36" t="str">
        <f t="shared" si="3"/>
        <v>r114: C00148+C00006  -&gt; C03912+C00005+C00080 | (${Variables:E1_5_1_2_kcat} * E1_5_1_2 * C00148*C00006 )/(${Variables:E1_5_1_2_km} + (E1_5_1_2 * C00148*C00006 ))</v>
      </c>
    </row>
    <row r="116" spans="1:11" ht="58" x14ac:dyDescent="0.35">
      <c r="A116" s="1" t="s">
        <v>5748</v>
      </c>
      <c r="B116" s="1" t="s">
        <v>5749</v>
      </c>
      <c r="C116" s="1" t="s">
        <v>9799</v>
      </c>
      <c r="D116" s="1">
        <v>115</v>
      </c>
      <c r="E116" s="1" t="str">
        <f>CONCATENATE("E",Reactions!C116)</f>
        <v>E1_5_1_2</v>
      </c>
      <c r="F116" s="1" t="s">
        <v>10690</v>
      </c>
      <c r="G116" s="1" t="s">
        <v>11850</v>
      </c>
      <c r="H116" s="1" t="s">
        <v>10691</v>
      </c>
      <c r="I116" s="1" t="s">
        <v>12485</v>
      </c>
      <c r="J116" s="12" t="str">
        <f t="shared" si="2"/>
        <v>(${Variables:E1_5_1_2_kcat} * E1_5_1_2 * C01157*C00003 )/(${Variables:E1_5_1_2_km} + (E1_5_1_2 * C01157*C00003 ))</v>
      </c>
      <c r="K116" s="36" t="str">
        <f t="shared" si="3"/>
        <v>r115: C01157+C00003  -&gt; C04281+C00004+C00080 | (${Variables:E1_5_1_2_kcat} * E1_5_1_2 * C01157*C00003 )/(${Variables:E1_5_1_2_km} + (E1_5_1_2 * C01157*C00003 ))</v>
      </c>
    </row>
    <row r="117" spans="1:11" ht="58" x14ac:dyDescent="0.35">
      <c r="A117" s="1" t="s">
        <v>5748</v>
      </c>
      <c r="B117" s="1" t="s">
        <v>5749</v>
      </c>
      <c r="C117" s="1" t="s">
        <v>9799</v>
      </c>
      <c r="D117" s="1">
        <v>116</v>
      </c>
      <c r="E117" s="1" t="str">
        <f>CONCATENATE("E",Reactions!C117)</f>
        <v>E1_5_1_2</v>
      </c>
      <c r="F117" s="1" t="s">
        <v>10692</v>
      </c>
      <c r="G117" s="1" t="s">
        <v>11851</v>
      </c>
      <c r="H117" s="1" t="s">
        <v>10693</v>
      </c>
      <c r="I117" s="1" t="s">
        <v>12486</v>
      </c>
      <c r="J117" s="12" t="str">
        <f t="shared" si="2"/>
        <v>(${Variables:E1_5_1_2_kcat} * E1_5_1_2 * C01157*C00006 )/(${Variables:E1_5_1_2_km} + (E1_5_1_2 * C01157*C00006 ))</v>
      </c>
      <c r="K117" s="36" t="str">
        <f t="shared" si="3"/>
        <v>r116: C01157+C00006  -&gt; C04281+C00005+C00080 | (${Variables:E1_5_1_2_kcat} * E1_5_1_2 * C01157*C00006 )/(${Variables:E1_5_1_2_km} + (E1_5_1_2 * C01157*C00006 ))</v>
      </c>
    </row>
    <row r="118" spans="1:11" ht="58" x14ac:dyDescent="0.35">
      <c r="A118" s="1" t="s">
        <v>3773</v>
      </c>
      <c r="B118" s="1" t="s">
        <v>3774</v>
      </c>
      <c r="C118" s="1" t="s">
        <v>9800</v>
      </c>
      <c r="D118" s="1">
        <v>117</v>
      </c>
      <c r="E118" s="1" t="str">
        <f>CONCATENATE("E",Reactions!C118)</f>
        <v>E1_5_1_20</v>
      </c>
      <c r="F118" s="1" t="s">
        <v>10694</v>
      </c>
      <c r="G118" s="1" t="s">
        <v>11852</v>
      </c>
      <c r="H118" s="1" t="s">
        <v>10695</v>
      </c>
      <c r="I118" s="1" t="s">
        <v>12487</v>
      </c>
      <c r="J118" s="12" t="str">
        <f t="shared" si="2"/>
        <v>(${Variables:E1_5_1_20_kcat} * E1_5_1_20 * C00440*C00006 )/(${Variables:E1_5_1_20_km} + (E1_5_1_20 * C00440*C00006 ))</v>
      </c>
      <c r="K118" s="36" t="str">
        <f t="shared" si="3"/>
        <v>r117: C00440+C00006  -&gt; C00143+C00005+C00080 | (${Variables:E1_5_1_20_kcat} * E1_5_1_20 * C00440*C00006 )/(${Variables:E1_5_1_20_km} + (E1_5_1_20 * C00440*C00006 ))</v>
      </c>
    </row>
    <row r="119" spans="1:11" ht="58" x14ac:dyDescent="0.35">
      <c r="A119" s="1" t="s">
        <v>3773</v>
      </c>
      <c r="B119" s="1" t="s">
        <v>3774</v>
      </c>
      <c r="C119" s="1" t="s">
        <v>9800</v>
      </c>
      <c r="D119" s="1">
        <v>118</v>
      </c>
      <c r="E119" s="1" t="str">
        <f>CONCATENATE("E",Reactions!C119)</f>
        <v>E1_5_1_20</v>
      </c>
      <c r="F119" s="1" t="s">
        <v>10696</v>
      </c>
      <c r="G119" s="1" t="s">
        <v>11853</v>
      </c>
      <c r="H119" s="1" t="s">
        <v>10697</v>
      </c>
      <c r="I119" s="1" t="s">
        <v>12488</v>
      </c>
      <c r="J119" s="12" t="str">
        <f t="shared" si="2"/>
        <v>(${Variables:E1_5_1_20_kcat} * E1_5_1_20 * C00440*C00003 )/(${Variables:E1_5_1_20_km} + (E1_5_1_20 * C00440*C00003 ))</v>
      </c>
      <c r="K119" s="36" t="str">
        <f t="shared" si="3"/>
        <v>r118: C00440+C00003  -&gt; C00143+C00004+C00080 | (${Variables:E1_5_1_20_kcat} * E1_5_1_20 * C00440*C00003 )/(${Variables:E1_5_1_20_km} + (E1_5_1_20 * C00440*C00003 ))</v>
      </c>
    </row>
    <row r="120" spans="1:11" ht="58" x14ac:dyDescent="0.35">
      <c r="A120" s="1" t="s">
        <v>1783</v>
      </c>
      <c r="B120" s="1" t="s">
        <v>1784</v>
      </c>
      <c r="C120" s="1" t="s">
        <v>9801</v>
      </c>
      <c r="D120" s="1">
        <v>119</v>
      </c>
      <c r="E120" s="1" t="str">
        <f>CONCATENATE("E",Reactions!C120)</f>
        <v>E1_5_1_3</v>
      </c>
      <c r="F120" s="1" t="s">
        <v>10698</v>
      </c>
      <c r="G120" s="1" t="s">
        <v>11854</v>
      </c>
      <c r="H120" s="1" t="s">
        <v>10699</v>
      </c>
      <c r="I120" s="1" t="s">
        <v>12489</v>
      </c>
      <c r="J120" s="12" t="str">
        <f t="shared" si="2"/>
        <v>(${Variables:E1_5_1_3_kcat} * E1_5_1_3 * C00101*C00006 )/(${Variables:E1_5_1_3_km} + (E1_5_1_3 * C00101*C00006 ))</v>
      </c>
      <c r="K120" s="36" t="str">
        <f t="shared" si="3"/>
        <v>r119: C00101+C00006  -&gt; C00415+C00005+C00080 | (${Variables:E1_5_1_3_kcat} * E1_5_1_3 * C00101*C00006 )/(${Variables:E1_5_1_3_km} + (E1_5_1_3 * C00101*C00006 ))</v>
      </c>
    </row>
    <row r="121" spans="1:11" ht="58" x14ac:dyDescent="0.35">
      <c r="A121" s="1" t="s">
        <v>1783</v>
      </c>
      <c r="B121" s="1" t="s">
        <v>1784</v>
      </c>
      <c r="C121" s="1" t="s">
        <v>9801</v>
      </c>
      <c r="D121" s="1">
        <v>120</v>
      </c>
      <c r="E121" s="1" t="str">
        <f>CONCATENATE("E",Reactions!C121)</f>
        <v>E1_5_1_3</v>
      </c>
      <c r="F121" s="1" t="s">
        <v>10700</v>
      </c>
      <c r="G121" s="1" t="s">
        <v>11855</v>
      </c>
      <c r="H121" s="1" t="s">
        <v>10701</v>
      </c>
      <c r="I121" s="1" t="s">
        <v>12490</v>
      </c>
      <c r="J121" s="12" t="str">
        <f t="shared" si="2"/>
        <v>(${Variables:E1_5_1_3_kcat} * E1_5_1_3 * C00101*C00003 )/(${Variables:E1_5_1_3_km} + (E1_5_1_3 * C00101*C00003 ))</v>
      </c>
      <c r="K121" s="36" t="str">
        <f t="shared" si="3"/>
        <v>r120: C00101+C00003  -&gt; C00415+C00004+C00080 | (${Variables:E1_5_1_3_kcat} * E1_5_1_3 * C00101*C00003 )/(${Variables:E1_5_1_3_km} + (E1_5_1_3 * C00101*C00003 ))</v>
      </c>
    </row>
    <row r="122" spans="1:11" ht="58" x14ac:dyDescent="0.35">
      <c r="A122" s="1" t="s">
        <v>1783</v>
      </c>
      <c r="B122" s="1" t="s">
        <v>1784</v>
      </c>
      <c r="C122" s="1" t="s">
        <v>9801</v>
      </c>
      <c r="D122" s="1">
        <v>121</v>
      </c>
      <c r="E122" s="1" t="str">
        <f>CONCATENATE("E",Reactions!C122)</f>
        <v>E1_5_1_3</v>
      </c>
      <c r="F122" s="1" t="s">
        <v>10700</v>
      </c>
      <c r="G122" s="1" t="s">
        <v>11855</v>
      </c>
      <c r="H122" s="1" t="s">
        <v>10702</v>
      </c>
      <c r="I122" s="1" t="s">
        <v>12491</v>
      </c>
      <c r="J122" s="12" t="str">
        <f t="shared" si="2"/>
        <v>(${Variables:E1_5_1_3_kcat} * E1_5_1_3 * C00101*C00003 )/(${Variables:E1_5_1_3_km} + (E1_5_1_3 * C00101*C00003 ))</v>
      </c>
      <c r="K122" s="36" t="str">
        <f t="shared" si="3"/>
        <v>r121: C00101+C00003  -&gt; C00504+C00004+C00080 | (${Variables:E1_5_1_3_kcat} * E1_5_1_3 * C00101*C00003 )/(${Variables:E1_5_1_3_km} + (E1_5_1_3 * C00101*C00003 ))</v>
      </c>
    </row>
    <row r="123" spans="1:11" ht="58" x14ac:dyDescent="0.35">
      <c r="A123" s="1" t="s">
        <v>1783</v>
      </c>
      <c r="B123" s="1" t="s">
        <v>1784</v>
      </c>
      <c r="C123" s="1" t="s">
        <v>9801</v>
      </c>
      <c r="D123" s="1">
        <v>122</v>
      </c>
      <c r="E123" s="1" t="str">
        <f>CONCATENATE("E",Reactions!C123)</f>
        <v>E1_5_1_3</v>
      </c>
      <c r="F123" s="1" t="s">
        <v>10698</v>
      </c>
      <c r="G123" s="1" t="s">
        <v>11854</v>
      </c>
      <c r="H123" s="1" t="s">
        <v>10703</v>
      </c>
      <c r="I123" s="1" t="s">
        <v>12492</v>
      </c>
      <c r="J123" s="12" t="str">
        <f t="shared" si="2"/>
        <v>(${Variables:E1_5_1_3_kcat} * E1_5_1_3 * C00101*C00006 )/(${Variables:E1_5_1_3_km} + (E1_5_1_3 * C00101*C00006 ))</v>
      </c>
      <c r="K123" s="36" t="str">
        <f t="shared" si="3"/>
        <v>r122: C00101+C00006  -&gt; C00504+C00005+C00080 | (${Variables:E1_5_1_3_kcat} * E1_5_1_3 * C00101*C00006 )/(${Variables:E1_5_1_3_km} + (E1_5_1_3 * C00101*C00006 ))</v>
      </c>
    </row>
    <row r="124" spans="1:11" ht="58" x14ac:dyDescent="0.35">
      <c r="A124" s="1" t="s">
        <v>1783</v>
      </c>
      <c r="B124" s="1" t="s">
        <v>1784</v>
      </c>
      <c r="C124" s="1" t="s">
        <v>9801</v>
      </c>
      <c r="D124" s="1">
        <v>123</v>
      </c>
      <c r="E124" s="1" t="str">
        <f>CONCATENATE("E",Reactions!C124)</f>
        <v>E1_5_1_3</v>
      </c>
      <c r="F124" s="1" t="s">
        <v>10704</v>
      </c>
      <c r="G124" s="1" t="s">
        <v>11856</v>
      </c>
      <c r="H124" s="1" t="s">
        <v>10702</v>
      </c>
      <c r="I124" s="1" t="s">
        <v>12491</v>
      </c>
      <c r="J124" s="12" t="str">
        <f t="shared" si="2"/>
        <v>(${Variables:E1_5_1_3_kcat} * E1_5_1_3 * C00415*C00003 )/(${Variables:E1_5_1_3_km} + (E1_5_1_3 * C00415*C00003 ))</v>
      </c>
      <c r="K124" s="36" t="str">
        <f t="shared" si="3"/>
        <v>r123: C00415+C00003  -&gt; C00504+C00004+C00080 | (${Variables:E1_5_1_3_kcat} * E1_5_1_3 * C00415*C00003 )/(${Variables:E1_5_1_3_km} + (E1_5_1_3 * C00415*C00003 ))</v>
      </c>
    </row>
    <row r="125" spans="1:11" ht="58" x14ac:dyDescent="0.35">
      <c r="A125" s="1" t="s">
        <v>1783</v>
      </c>
      <c r="B125" s="1" t="s">
        <v>1784</v>
      </c>
      <c r="C125" s="1" t="s">
        <v>9801</v>
      </c>
      <c r="D125" s="1">
        <v>124</v>
      </c>
      <c r="E125" s="1" t="str">
        <f>CONCATENATE("E",Reactions!C125)</f>
        <v>E1_5_1_3</v>
      </c>
      <c r="F125" s="1" t="s">
        <v>10705</v>
      </c>
      <c r="G125" s="1" t="s">
        <v>11857</v>
      </c>
      <c r="H125" s="1" t="s">
        <v>10703</v>
      </c>
      <c r="I125" s="1" t="s">
        <v>12492</v>
      </c>
      <c r="J125" s="12" t="str">
        <f t="shared" si="2"/>
        <v>(${Variables:E1_5_1_3_kcat} * E1_5_1_3 * C00415*C00006 )/(${Variables:E1_5_1_3_km} + (E1_5_1_3 * C00415*C00006 ))</v>
      </c>
      <c r="K125" s="36" t="str">
        <f t="shared" si="3"/>
        <v>r124: C00415+C00006  -&gt; C00504+C00005+C00080 | (${Variables:E1_5_1_3_kcat} * E1_5_1_3 * C00415*C00006 )/(${Variables:E1_5_1_3_km} + (E1_5_1_3 * C00415*C00006 ))</v>
      </c>
    </row>
    <row r="126" spans="1:11" ht="58" x14ac:dyDescent="0.35">
      <c r="A126" s="1" t="s">
        <v>1783</v>
      </c>
      <c r="B126" s="1" t="s">
        <v>1784</v>
      </c>
      <c r="C126" s="1" t="s">
        <v>9801</v>
      </c>
      <c r="D126" s="1">
        <v>125</v>
      </c>
      <c r="E126" s="1" t="str">
        <f>CONCATENATE("E",Reactions!C126)</f>
        <v>E1_5_1_3</v>
      </c>
      <c r="F126" s="1" t="s">
        <v>10706</v>
      </c>
      <c r="G126" s="1" t="s">
        <v>11858</v>
      </c>
      <c r="H126" s="1" t="s">
        <v>10707</v>
      </c>
      <c r="I126" s="1" t="s">
        <v>12493</v>
      </c>
      <c r="J126" s="12" t="str">
        <f t="shared" si="2"/>
        <v>(${Variables:E1_5_1_3_kcat} * E1_5_1_3 * C00272*C00006)/(${Variables:E1_5_1_3_km} + (E1_5_1_3 * C00272*C00006))</v>
      </c>
      <c r="K126" s="36" t="str">
        <f t="shared" si="3"/>
        <v>r125: C00272+C00006 -&gt; C02953+C00005+C00080 | (${Variables:E1_5_1_3_kcat} * E1_5_1_3 * C00272*C00006)/(${Variables:E1_5_1_3_km} + (E1_5_1_3 * C00272*C00006))</v>
      </c>
    </row>
    <row r="127" spans="1:11" ht="58" x14ac:dyDescent="0.35">
      <c r="A127" s="1" t="s">
        <v>3673</v>
      </c>
      <c r="B127" s="1" t="s">
        <v>3674</v>
      </c>
      <c r="C127" s="1" t="s">
        <v>9803</v>
      </c>
      <c r="D127" s="1">
        <v>126</v>
      </c>
      <c r="E127" s="1" t="str">
        <f>CONCATENATE("E",Reactions!C127)</f>
        <v>E1_7_1_13</v>
      </c>
      <c r="F127" s="1" t="s">
        <v>10708</v>
      </c>
      <c r="G127" s="1" t="s">
        <v>11859</v>
      </c>
      <c r="H127" s="1" t="s">
        <v>10709</v>
      </c>
      <c r="I127" s="1" t="s">
        <v>12494</v>
      </c>
      <c r="J127" s="12" t="str">
        <f t="shared" si="2"/>
        <v>(${Variables:E1_7_1_13_kcat} * E1_7_1_13 * C16675*C00006 )/(${Variables:E1_7_1_13_km} + (E1_7_1_13 * C16675*C00006 ))</v>
      </c>
      <c r="K127" s="36" t="str">
        <f t="shared" si="3"/>
        <v>r126: C16675+C00006  -&gt; C15996+C00005+C00080 | (${Variables:E1_7_1_13_kcat} * E1_7_1_13 * C16675*C00006 )/(${Variables:E1_7_1_13_km} + (E1_7_1_13 * C16675*C00006 ))</v>
      </c>
    </row>
    <row r="128" spans="1:11" ht="58" x14ac:dyDescent="0.35">
      <c r="A128" s="1" t="s">
        <v>1700</v>
      </c>
      <c r="B128" s="1" t="s">
        <v>1701</v>
      </c>
      <c r="C128" s="1" t="s">
        <v>9804</v>
      </c>
      <c r="D128" s="1">
        <v>127</v>
      </c>
      <c r="E128" s="1" t="str">
        <f>CONCATENATE("E",Reactions!C128)</f>
        <v>E1_8_1_4</v>
      </c>
      <c r="F128" s="1" t="s">
        <v>10710</v>
      </c>
      <c r="G128" s="1" t="s">
        <v>11860</v>
      </c>
      <c r="H128" s="1" t="s">
        <v>10711</v>
      </c>
      <c r="I128" s="1" t="s">
        <v>12495</v>
      </c>
      <c r="J128" s="12" t="str">
        <f t="shared" si="2"/>
        <v>(${Variables:E1_8_1_4_kcat} * E1_8_1_4 * C16832*C00003 )/(${Variables:E1_8_1_4_km} + (E1_8_1_4 * C16832*C00003 ))</v>
      </c>
      <c r="K128" s="36" t="str">
        <f t="shared" si="3"/>
        <v>r127: C16832+C00003  -&gt; C16237+C00004+C00080 | (${Variables:E1_8_1_4_kcat} * E1_8_1_4 * C16832*C00003 )/(${Variables:E1_8_1_4_km} + (E1_8_1_4 * C16832*C00003 ))</v>
      </c>
    </row>
    <row r="129" spans="1:11" ht="58" x14ac:dyDescent="0.35">
      <c r="A129" s="1" t="s">
        <v>1700</v>
      </c>
      <c r="B129" s="1" t="s">
        <v>1701</v>
      </c>
      <c r="C129" s="1" t="s">
        <v>9804</v>
      </c>
      <c r="D129" s="1">
        <v>128</v>
      </c>
      <c r="E129" s="1" t="str">
        <f>CONCATENATE("E",Reactions!C129)</f>
        <v>E1_8_1_4</v>
      </c>
      <c r="F129" s="1" t="s">
        <v>10712</v>
      </c>
      <c r="G129" s="1" t="s">
        <v>11861</v>
      </c>
      <c r="H129" s="1" t="s">
        <v>10713</v>
      </c>
      <c r="I129" s="1" t="s">
        <v>12496</v>
      </c>
      <c r="J129" s="12" t="str">
        <f t="shared" si="2"/>
        <v>(${Variables:E1_8_1_4_kcat} * E1_8_1_4 * C02972*C00003 )/(${Variables:E1_8_1_4_km} + (E1_8_1_4 * C02972*C00003 ))</v>
      </c>
      <c r="K129" s="36" t="str">
        <f t="shared" si="3"/>
        <v>r128: C02972+C00003  -&gt; C02051+C00004+C00080 | (${Variables:E1_8_1_4_kcat} * E1_8_1_4 * C02972*C00003 )/(${Variables:E1_8_1_4_km} + (E1_8_1_4 * C02972*C00003 ))</v>
      </c>
    </row>
    <row r="130" spans="1:11" ht="58" x14ac:dyDescent="0.35">
      <c r="A130" s="1" t="s">
        <v>1700</v>
      </c>
      <c r="B130" s="1" t="s">
        <v>1701</v>
      </c>
      <c r="C130" s="1" t="s">
        <v>9804</v>
      </c>
      <c r="D130" s="1">
        <v>129</v>
      </c>
      <c r="E130" s="1" t="str">
        <f>CONCATENATE("E",Reactions!C130)</f>
        <v>E1_8_1_4</v>
      </c>
      <c r="F130" s="1" t="s">
        <v>10714</v>
      </c>
      <c r="G130" s="1" t="s">
        <v>11862</v>
      </c>
      <c r="H130" s="1" t="s">
        <v>10715</v>
      </c>
      <c r="I130" s="1" t="s">
        <v>12497</v>
      </c>
      <c r="J130" s="12" t="str">
        <f t="shared" si="2"/>
        <v>(${Variables:E1_8_1_4_kcat} * E1_8_1_4 * C15973*C00003 )/(${Variables:E1_8_1_4_km} + (E1_8_1_4 * C15973*C00003 ))</v>
      </c>
      <c r="K130" s="36" t="str">
        <f t="shared" si="3"/>
        <v>r129: C15973+C00003  -&gt; C15972+C00004+C00080 | (${Variables:E1_8_1_4_kcat} * E1_8_1_4 * C15973*C00003 )/(${Variables:E1_8_1_4_km} + (E1_8_1_4 * C15973*C00003 ))</v>
      </c>
    </row>
    <row r="131" spans="1:11" ht="58" x14ac:dyDescent="0.35">
      <c r="A131" s="1" t="s">
        <v>1700</v>
      </c>
      <c r="B131" s="1" t="s">
        <v>1701</v>
      </c>
      <c r="C131" s="1" t="s">
        <v>9804</v>
      </c>
      <c r="D131" s="1">
        <v>130</v>
      </c>
      <c r="E131" s="1" t="str">
        <f>CONCATENATE("E",Reactions!C131)</f>
        <v>E1_8_1_4</v>
      </c>
      <c r="F131" s="1" t="s">
        <v>10716</v>
      </c>
      <c r="G131" s="1" t="s">
        <v>11863</v>
      </c>
      <c r="H131" s="1" t="s">
        <v>10717</v>
      </c>
      <c r="I131" s="1" t="s">
        <v>12498</v>
      </c>
      <c r="J131" s="12" t="str">
        <f t="shared" ref="J131:J194" si="4">CONCATENATE("(${Variables:",E131,"_kcat","} * ",E131," * ",G131,")","/(${Variables:",E131,"_km","} + (",E131," * ",G131,"))")</f>
        <v>(${Variables:E1_8_1_4_kcat} * E1_8_1_4 * C00579*C00003 )/(${Variables:E1_8_1_4_km} + (E1_8_1_4 * C00579*C00003 ))</v>
      </c>
      <c r="K131" s="36" t="str">
        <f t="shared" ref="K131:K194" si="5">CONCATENATE("r",D131,": ",F131," -&gt; ",H131," | ",J131)</f>
        <v>r130: C00579+C00003  -&gt; C00248+C00004+C00080 | (${Variables:E1_8_1_4_kcat} * E1_8_1_4 * C00579*C00003 )/(${Variables:E1_8_1_4_km} + (E1_8_1_4 * C00579*C00003 ))</v>
      </c>
    </row>
    <row r="132" spans="1:11" ht="58" x14ac:dyDescent="0.35">
      <c r="A132" s="1" t="s">
        <v>1172</v>
      </c>
      <c r="B132" s="1" t="s">
        <v>1173</v>
      </c>
      <c r="C132" s="1" t="s">
        <v>9805</v>
      </c>
      <c r="D132" s="1">
        <v>131</v>
      </c>
      <c r="E132" s="1" t="str">
        <f>CONCATENATE("E",Reactions!C132)</f>
        <v>E1_8_1_7</v>
      </c>
      <c r="F132" s="1" t="s">
        <v>10718</v>
      </c>
      <c r="G132" s="1" t="s">
        <v>11864</v>
      </c>
      <c r="H132" s="1" t="s">
        <v>10719</v>
      </c>
      <c r="I132" s="1" t="s">
        <v>12499</v>
      </c>
      <c r="J132" s="12" t="str">
        <f t="shared" si="4"/>
        <v>(${Variables:E1_8_1_7_kcat} * E1_8_1_7 * C00051*C00006 )/(${Variables:E1_8_1_7_km} + (E1_8_1_7 * C00051*C00006 ))</v>
      </c>
      <c r="K132" s="36" t="str">
        <f t="shared" si="5"/>
        <v>r131: C00051+C00006  -&gt; C00127+C00005+C00080 | (${Variables:E1_8_1_7_kcat} * E1_8_1_7 * C00051*C00006 )/(${Variables:E1_8_1_7_km} + (E1_8_1_7 * C00051*C00006 ))</v>
      </c>
    </row>
    <row r="133" spans="1:11" ht="58" x14ac:dyDescent="0.35">
      <c r="A133" s="1" t="s">
        <v>1172</v>
      </c>
      <c r="B133" s="1" t="s">
        <v>1173</v>
      </c>
      <c r="C133" s="1" t="s">
        <v>9805</v>
      </c>
      <c r="D133" s="1">
        <v>132</v>
      </c>
      <c r="E133" s="1" t="str">
        <f>CONCATENATE("E",Reactions!C133)</f>
        <v>E1_8_1_7</v>
      </c>
      <c r="F133" s="1" t="s">
        <v>10720</v>
      </c>
      <c r="G133" s="1" t="s">
        <v>11865</v>
      </c>
      <c r="H133" s="1" t="s">
        <v>10721</v>
      </c>
      <c r="I133" s="1" t="s">
        <v>12500</v>
      </c>
      <c r="J133" s="12" t="str">
        <f t="shared" si="4"/>
        <v>(${Variables:E1_8_1_7_kcat} * E1_8_1_7 * C00051*C00003)/(${Variables:E1_8_1_7_km} + (E1_8_1_7 * C00051*C00003))</v>
      </c>
      <c r="K133" s="36" t="str">
        <f t="shared" si="5"/>
        <v>r132: C00051+C00003 -&gt; C00127+C00004+C00080 | (${Variables:E1_8_1_7_kcat} * E1_8_1_7 * C00051*C00003)/(${Variables:E1_8_1_7_km} + (E1_8_1_7 * C00051*C00003))</v>
      </c>
    </row>
    <row r="134" spans="1:11" ht="58" x14ac:dyDescent="0.35">
      <c r="A134" s="1" t="s">
        <v>4465</v>
      </c>
      <c r="B134" s="1" t="s">
        <v>4466</v>
      </c>
      <c r="C134" s="1" t="s">
        <v>9806</v>
      </c>
      <c r="D134" s="1">
        <v>133</v>
      </c>
      <c r="E134" s="1" t="str">
        <f>CONCATENATE("E",Reactions!C134)</f>
        <v>E1_8_1_9</v>
      </c>
      <c r="F134" s="1" t="s">
        <v>10722</v>
      </c>
      <c r="G134" s="1" t="s">
        <v>11866</v>
      </c>
      <c r="H134" s="1" t="s">
        <v>10723</v>
      </c>
      <c r="I134" s="1" t="s">
        <v>12501</v>
      </c>
      <c r="J134" s="12" t="str">
        <f t="shared" si="4"/>
        <v>(${Variables:E1_8_1_9_kcat} * E1_8_1_9 * C00342*C00006 )/(${Variables:E1_8_1_9_km} + (E1_8_1_9 * C00342*C00006 ))</v>
      </c>
      <c r="K134" s="36" t="str">
        <f t="shared" si="5"/>
        <v>r133: C00342+C00006  -&gt; C00343+C00005+C00080 | (${Variables:E1_8_1_9_kcat} * E1_8_1_9 * C00342*C00006 )/(${Variables:E1_8_1_9_km} + (E1_8_1_9 * C00342*C00006 ))</v>
      </c>
    </row>
    <row r="135" spans="1:11" ht="58" x14ac:dyDescent="0.35">
      <c r="A135" s="1" t="s">
        <v>4465</v>
      </c>
      <c r="B135" s="1" t="s">
        <v>4466</v>
      </c>
      <c r="C135" s="1" t="s">
        <v>9806</v>
      </c>
      <c r="D135" s="1">
        <v>134</v>
      </c>
      <c r="E135" s="1" t="str">
        <f>CONCATENATE("E",Reactions!C135)</f>
        <v>E1_8_1_9</v>
      </c>
      <c r="F135" s="1" t="s">
        <v>10724</v>
      </c>
      <c r="G135" s="1" t="s">
        <v>11867</v>
      </c>
      <c r="H135" s="1" t="s">
        <v>10725</v>
      </c>
      <c r="I135" s="1" t="s">
        <v>12502</v>
      </c>
      <c r="J135" s="12" t="str">
        <f t="shared" si="4"/>
        <v>(${Variables:E1_8_1_9_kcat} * E1_8_1_9 * C00097*C00051*C00006 )/(${Variables:E1_8_1_9_km} + (E1_8_1_9 * C00097*C00051*C00006 ))</v>
      </c>
      <c r="K135" s="36" t="str">
        <f t="shared" si="5"/>
        <v>r134: C00097+C00051+C00006  -&gt; C05526+C00005 | (${Variables:E1_8_1_9_kcat} * E1_8_1_9 * C00097*C00051*C00006 )/(${Variables:E1_8_1_9_km} + (E1_8_1_9 * C00097*C00051*C00006 ))</v>
      </c>
    </row>
    <row r="136" spans="1:11" ht="72.5" x14ac:dyDescent="0.35">
      <c r="A136" s="1" t="s">
        <v>4465</v>
      </c>
      <c r="B136" s="1" t="s">
        <v>4466</v>
      </c>
      <c r="C136" s="1" t="s">
        <v>9806</v>
      </c>
      <c r="D136" s="1">
        <v>135</v>
      </c>
      <c r="E136" s="1" t="str">
        <f>CONCATENATE("E",Reactions!C136)</f>
        <v>E1_8_1_9</v>
      </c>
      <c r="F136" s="1" t="s">
        <v>10726</v>
      </c>
      <c r="G136" s="1" t="s">
        <v>11868</v>
      </c>
      <c r="H136" s="1" t="s">
        <v>10727</v>
      </c>
      <c r="I136" s="1" t="s">
        <v>12503</v>
      </c>
      <c r="J136" s="12" t="str">
        <f t="shared" si="4"/>
        <v>(${Variables:E1_8_1_9_kcat} * E1_8_1_9 * C01528*C00006*C00001 )/(${Variables:E1_8_1_9_km} + (E1_8_1_9 * C01528*C00006*C00001 ))</v>
      </c>
      <c r="K136" s="36" t="str">
        <f t="shared" si="5"/>
        <v>r135: C01528+C00006+C00001  -&gt; C05684+C00005+C00080 | (${Variables:E1_8_1_9_kcat} * E1_8_1_9 * C01528*C00006*C00001 )/(${Variables:E1_8_1_9_km} + (E1_8_1_9 * C01528*C00006*C00001 ))</v>
      </c>
    </row>
    <row r="137" spans="1:11" ht="72.5" x14ac:dyDescent="0.35">
      <c r="A137" s="1" t="s">
        <v>4465</v>
      </c>
      <c r="B137" s="1" t="s">
        <v>4466</v>
      </c>
      <c r="C137" s="1" t="s">
        <v>9806</v>
      </c>
      <c r="D137" s="1">
        <v>136</v>
      </c>
      <c r="E137" s="1" t="str">
        <f>CONCATENATE("E",Reactions!C137)</f>
        <v>E1_8_1_9</v>
      </c>
      <c r="F137" s="1" t="s">
        <v>10728</v>
      </c>
      <c r="G137" s="1" t="s">
        <v>11869</v>
      </c>
      <c r="H137" s="1" t="s">
        <v>10729</v>
      </c>
      <c r="I137" s="1" t="s">
        <v>12504</v>
      </c>
      <c r="J137" s="12" t="str">
        <f t="shared" si="4"/>
        <v>(${Variables:E1_8_1_9_kcat} * E1_8_1_9 * C00005*C00080*C18902 )/(${Variables:E1_8_1_9_km} + (E1_8_1_9 * C00005*C00080*C18902 ))</v>
      </c>
      <c r="K137" s="36" t="str">
        <f t="shared" si="5"/>
        <v>r136: C00005+C00080+C18902  -&gt; C00006+C00001+C05703 | (${Variables:E1_8_1_9_kcat} * E1_8_1_9 * C00005*C00080*C18902 )/(${Variables:E1_8_1_9_km} + (E1_8_1_9 * C00005*C00080*C18902 ))</v>
      </c>
    </row>
    <row r="138" spans="1:11" ht="58" x14ac:dyDescent="0.35">
      <c r="A138" s="1" t="s">
        <v>4103</v>
      </c>
      <c r="B138" s="1" t="s">
        <v>4104</v>
      </c>
      <c r="C138" s="1" t="s">
        <v>9807</v>
      </c>
      <c r="D138" s="1">
        <v>137</v>
      </c>
      <c r="E138" s="1" t="str">
        <f>CONCATENATE("E",Reactions!C138)</f>
        <v>E1_8_4_12</v>
      </c>
      <c r="F138" s="1" t="s">
        <v>10730</v>
      </c>
      <c r="G138" s="1" t="s">
        <v>11870</v>
      </c>
      <c r="H138" s="1" t="s">
        <v>10731</v>
      </c>
      <c r="I138" s="1" t="s">
        <v>12505</v>
      </c>
      <c r="J138" s="12" t="str">
        <f t="shared" si="4"/>
        <v>(${Variables:E1_8_4_12_kcat} * E1_8_4_12 * C03023*C00343*C00001 )/(${Variables:E1_8_4_12_km} + (E1_8_4_12 * C03023*C00343*C00001 ))</v>
      </c>
      <c r="K138" s="36" t="str">
        <f t="shared" si="5"/>
        <v>r137: C03023+C00343+C00001  -&gt; C15653+C00342 | (${Variables:E1_8_4_12_kcat} * E1_8_4_12 * C03023*C00343*C00001 )/(${Variables:E1_8_4_12_km} + (E1_8_4_12 * C03023*C00343*C00001 ))</v>
      </c>
    </row>
    <row r="139" spans="1:11" ht="72.5" x14ac:dyDescent="0.35">
      <c r="A139" s="1" t="s">
        <v>5125</v>
      </c>
      <c r="B139" s="1" t="s">
        <v>5126</v>
      </c>
      <c r="C139" s="1" t="s">
        <v>9808</v>
      </c>
      <c r="D139" s="1">
        <v>138</v>
      </c>
      <c r="E139" s="1" t="str">
        <f>CONCATENATE("E",Reactions!C139)</f>
        <v>E1_97_1_4</v>
      </c>
      <c r="F139" s="1" t="s">
        <v>10732</v>
      </c>
      <c r="G139" s="1" t="s">
        <v>11871</v>
      </c>
      <c r="H139" s="1" t="s">
        <v>10733</v>
      </c>
      <c r="I139" s="1" t="s">
        <v>12506</v>
      </c>
      <c r="J139" s="12" t="str">
        <f t="shared" si="4"/>
        <v>(${Variables:E1_97_1_4_kcat} * E1_97_1_4 * C00019*C05196*C05197 )/(${Variables:E1_97_1_4_km} + (E1_97_1_4 * C00019*C05196*C05197 ))</v>
      </c>
      <c r="K139" s="36" t="str">
        <f t="shared" si="5"/>
        <v>r138: C00019+C05196+C05197  -&gt; C05198+C00073+C05199+C05312 | (${Variables:E1_97_1_4_kcat} * E1_97_1_4 * C00019*C05196*C05197 )/(${Variables:E1_97_1_4_km} + (E1_97_1_4 * C00019*C05196*C05197 ))</v>
      </c>
    </row>
    <row r="140" spans="1:11" ht="58" x14ac:dyDescent="0.35">
      <c r="A140" s="1" t="s">
        <v>1800</v>
      </c>
      <c r="B140" s="1" t="s">
        <v>1801</v>
      </c>
      <c r="C140" s="1" t="s">
        <v>9809</v>
      </c>
      <c r="D140" s="1">
        <v>139</v>
      </c>
      <c r="E140" s="1" t="str">
        <f>CONCATENATE("E",Reactions!C140)</f>
        <v>E2_1_1_10</v>
      </c>
      <c r="F140" s="1" t="s">
        <v>10734</v>
      </c>
      <c r="G140" s="1" t="s">
        <v>11872</v>
      </c>
      <c r="H140" s="1" t="s">
        <v>9058</v>
      </c>
      <c r="I140" s="1" t="s">
        <v>9058</v>
      </c>
      <c r="J140" s="12" t="str">
        <f t="shared" si="4"/>
        <v>(${Variables:E2_1_1_10_kcat} * E2_1_1_10 * C03172*C00155)/(${Variables:E2_1_1_10_km} + (E2_1_1_10 * C03172*C00155))</v>
      </c>
      <c r="K140" s="36" t="str">
        <f t="shared" si="5"/>
        <v>r139: C03172+C00155 -&gt; C00073 | (${Variables:E2_1_1_10_kcat} * E2_1_1_10 * C03172*C00155)/(${Variables:E2_1_1_10_km} + (E2_1_1_10 * C03172*C00155))</v>
      </c>
    </row>
    <row r="141" spans="1:11" ht="58" x14ac:dyDescent="0.35">
      <c r="A141" s="1" t="s">
        <v>1800</v>
      </c>
      <c r="B141" s="1" t="s">
        <v>1801</v>
      </c>
      <c r="C141" s="1" t="s">
        <v>9809</v>
      </c>
      <c r="D141" s="1">
        <v>140</v>
      </c>
      <c r="E141" s="1" t="str">
        <f>CONCATENATE("E",Reactions!C141)</f>
        <v>E2_1_1_10</v>
      </c>
      <c r="F141" s="1" t="s">
        <v>10735</v>
      </c>
      <c r="G141" s="1" t="s">
        <v>11873</v>
      </c>
      <c r="H141" s="1" t="s">
        <v>10736</v>
      </c>
      <c r="I141" s="1" t="s">
        <v>12507</v>
      </c>
      <c r="J141" s="12" t="str">
        <f t="shared" si="4"/>
        <v>(${Variables:E2_1_1_10_kcat} * E2_1_1_10 * C00019*C00155 )/(${Variables:E2_1_1_10_km} + (E2_1_1_10 * C00019*C00155 ))</v>
      </c>
      <c r="K141" s="36" t="str">
        <f t="shared" si="5"/>
        <v>r140: C00019+C00155  -&gt; C00021+C00073 | (${Variables:E2_1_1_10_kcat} * E2_1_1_10 * C00019*C00155 )/(${Variables:E2_1_1_10_km} + (E2_1_1_10 * C00019*C00155 ))</v>
      </c>
    </row>
    <row r="142" spans="1:11" ht="58" x14ac:dyDescent="0.35">
      <c r="A142" s="1" t="s">
        <v>1323</v>
      </c>
      <c r="B142" s="1" t="s">
        <v>1324</v>
      </c>
      <c r="C142" s="1" t="s">
        <v>9810</v>
      </c>
      <c r="D142" s="1">
        <v>141</v>
      </c>
      <c r="E142" s="1" t="str">
        <f>CONCATENATE("E",Reactions!C142)</f>
        <v>E2_1_1_104</v>
      </c>
      <c r="F142" s="1" t="s">
        <v>10737</v>
      </c>
      <c r="G142" s="1" t="s">
        <v>11874</v>
      </c>
      <c r="H142" s="1" t="s">
        <v>10738</v>
      </c>
      <c r="I142" s="1" t="s">
        <v>12508</v>
      </c>
      <c r="J142" s="12" t="str">
        <f t="shared" si="4"/>
        <v>(${Variables:E2_1_1_104_kcat} * E2_1_1_104 * C00019*C00323 )/(${Variables:E2_1_1_104_km} + (E2_1_1_104 * C00019*C00323 ))</v>
      </c>
      <c r="K142" s="36" t="str">
        <f t="shared" si="5"/>
        <v>r141: C00019+C00323  -&gt; C00021+C00406 | (${Variables:E2_1_1_104_kcat} * E2_1_1_104 * C00019*C00323 )/(${Variables:E2_1_1_104_km} + (E2_1_1_104 * C00019*C00323 ))</v>
      </c>
    </row>
    <row r="143" spans="1:11" ht="58" x14ac:dyDescent="0.35">
      <c r="A143" s="1" t="s">
        <v>1323</v>
      </c>
      <c r="B143" s="1" t="s">
        <v>1324</v>
      </c>
      <c r="C143" s="1" t="s">
        <v>9810</v>
      </c>
      <c r="D143" s="1">
        <v>142</v>
      </c>
      <c r="E143" s="1" t="str">
        <f>CONCATENATE("E",Reactions!C143)</f>
        <v>E2_1_1_104</v>
      </c>
      <c r="F143" s="1" t="s">
        <v>10739</v>
      </c>
      <c r="G143" s="1" t="s">
        <v>11875</v>
      </c>
      <c r="H143" s="1" t="s">
        <v>10740</v>
      </c>
      <c r="I143" s="1" t="s">
        <v>12509</v>
      </c>
      <c r="J143" s="12" t="str">
        <f t="shared" si="4"/>
        <v>(${Variables:E2_1_1_104_kcat} * E2_1_1_104 * C12203*C00019)/(${Variables:E2_1_1_104_km} + (E2_1_1_104 * C12203*C00019))</v>
      </c>
      <c r="K143" s="36" t="str">
        <f t="shared" si="5"/>
        <v>r142: C12203+C00019 -&gt; C00411+C00021 | (${Variables:E2_1_1_104_kcat} * E2_1_1_104 * C12203*C00019)/(${Variables:E2_1_1_104_km} + (E2_1_1_104 * C12203*C00019))</v>
      </c>
    </row>
    <row r="144" spans="1:11" ht="58" x14ac:dyDescent="0.35">
      <c r="A144" s="1" t="s">
        <v>3777</v>
      </c>
      <c r="B144" s="1" t="s">
        <v>3778</v>
      </c>
      <c r="C144" s="1" t="s">
        <v>9811</v>
      </c>
      <c r="D144" s="1">
        <v>143</v>
      </c>
      <c r="E144" s="1" t="str">
        <f>CONCATENATE("E",Reactions!C144)</f>
        <v>E2_1_1_14</v>
      </c>
      <c r="F144" s="1" t="s">
        <v>10741</v>
      </c>
      <c r="G144" s="1" t="s">
        <v>11876</v>
      </c>
      <c r="H144" s="1" t="s">
        <v>10742</v>
      </c>
      <c r="I144" s="1" t="s">
        <v>12510</v>
      </c>
      <c r="J144" s="12" t="str">
        <f t="shared" si="4"/>
        <v>(${Variables:E2_1_1_14_kcat} * E2_1_1_14 * C04489*C00155 )/(${Variables:E2_1_1_14_km} + (E2_1_1_14 * C04489*C00155 ))</v>
      </c>
      <c r="K144" s="36" t="str">
        <f t="shared" si="5"/>
        <v>r143: C04489+C00155  -&gt; C04144+C00073 | (${Variables:E2_1_1_14_kcat} * E2_1_1_14 * C04489*C00155 )/(${Variables:E2_1_1_14_km} + (E2_1_1_14 * C04489*C00155 ))</v>
      </c>
    </row>
    <row r="145" spans="1:11" ht="58" x14ac:dyDescent="0.35">
      <c r="A145" s="1" t="s">
        <v>3777</v>
      </c>
      <c r="B145" s="1" t="s">
        <v>3778</v>
      </c>
      <c r="C145" s="1" t="s">
        <v>9811</v>
      </c>
      <c r="D145" s="1">
        <v>144</v>
      </c>
      <c r="E145" s="1" t="str">
        <f>CONCATENATE("E",Reactions!C145)</f>
        <v>E2_1_1_14</v>
      </c>
      <c r="F145" s="1" t="s">
        <v>10743</v>
      </c>
      <c r="G145" s="1" t="s">
        <v>11877</v>
      </c>
      <c r="H145" s="1" t="s">
        <v>10744</v>
      </c>
      <c r="I145" s="1" t="s">
        <v>12511</v>
      </c>
      <c r="J145" s="12" t="str">
        <f t="shared" si="4"/>
        <v>(${Variables:E2_1_1_14_kcat} * E2_1_1_14 * C05698*C04489 )/(${Variables:E2_1_1_14_km} + (E2_1_1_14 * C05698*C04489 ))</v>
      </c>
      <c r="K145" s="36" t="str">
        <f t="shared" si="5"/>
        <v>r144: C05698+C04489  -&gt; C05335+C04144 | (${Variables:E2_1_1_14_kcat} * E2_1_1_14 * C05698*C04489 )/(${Variables:E2_1_1_14_km} + (E2_1_1_14 * C05698*C04489 ))</v>
      </c>
    </row>
    <row r="146" spans="1:11" ht="58" x14ac:dyDescent="0.35">
      <c r="A146" s="1" t="s">
        <v>3733</v>
      </c>
      <c r="B146" s="1" t="s">
        <v>3734</v>
      </c>
      <c r="C146" s="1" t="s">
        <v>9812</v>
      </c>
      <c r="D146" s="1">
        <v>145</v>
      </c>
      <c r="E146" s="1" t="str">
        <f>CONCATENATE("E",Reactions!C146)</f>
        <v>E2_1_1_171</v>
      </c>
      <c r="F146" s="1" t="s">
        <v>10745</v>
      </c>
      <c r="G146" s="1" t="s">
        <v>11878</v>
      </c>
      <c r="H146" s="1" t="s">
        <v>10746</v>
      </c>
      <c r="I146" s="1" t="s">
        <v>12512</v>
      </c>
      <c r="J146" s="12" t="str">
        <f t="shared" si="4"/>
        <v>(${Variables:E2_1_1_171_kcat} * E2_1_1_171 * C00019*C00240 )/(${Variables:E2_1_1_171_km} + (E2_1_1_171 * C00019*C00240 ))</v>
      </c>
      <c r="K146" s="36" t="str">
        <f t="shared" si="5"/>
        <v>r145: C00019+C00240  -&gt; C00021+C04153 | (${Variables:E2_1_1_171_kcat} * E2_1_1_171 * C00019*C00240 )/(${Variables:E2_1_1_171_km} + (E2_1_1_171 * C00019*C00240 ))</v>
      </c>
    </row>
    <row r="147" spans="1:11" ht="58" x14ac:dyDescent="0.35">
      <c r="A147" s="1" t="s">
        <v>5016</v>
      </c>
      <c r="B147" s="1" t="s">
        <v>5017</v>
      </c>
      <c r="C147" s="1" t="s">
        <v>9814</v>
      </c>
      <c r="D147" s="1">
        <v>146</v>
      </c>
      <c r="E147" s="1" t="str">
        <f>CONCATENATE("E",Reactions!C147)</f>
        <v>E2_1_1_33</v>
      </c>
      <c r="F147" s="1" t="s">
        <v>10747</v>
      </c>
      <c r="G147" s="1" t="s">
        <v>11879</v>
      </c>
      <c r="H147" s="1" t="s">
        <v>10748</v>
      </c>
      <c r="I147" s="1" t="s">
        <v>12513</v>
      </c>
      <c r="J147" s="12" t="str">
        <f t="shared" si="4"/>
        <v>(${Variables:E2_1_1_33_kcat} * E2_1_1_33 * C00019*C01977 )/(${Variables:E2_1_1_33_km} + (E2_1_1_33 * C00019*C01977 ))</v>
      </c>
      <c r="K147" s="36" t="str">
        <f t="shared" si="5"/>
        <v>r146: C00019+C01977  -&gt; C00021+C04160 | (${Variables:E2_1_1_33_kcat} * E2_1_1_33 * C00019*C01977 )/(${Variables:E2_1_1_33_km} + (E2_1_1_33 * C00019*C01977 ))</v>
      </c>
    </row>
    <row r="148" spans="1:11" ht="58" x14ac:dyDescent="0.35">
      <c r="A148" s="1" t="s">
        <v>1779</v>
      </c>
      <c r="B148" s="1" t="s">
        <v>1780</v>
      </c>
      <c r="C148" s="1" t="s">
        <v>9815</v>
      </c>
      <c r="D148" s="1">
        <v>147</v>
      </c>
      <c r="E148" s="1" t="str">
        <f>CONCATENATE("E",Reactions!C148)</f>
        <v>E2_1_1_45</v>
      </c>
      <c r="F148" s="1" t="s">
        <v>10749</v>
      </c>
      <c r="G148" s="1" t="s">
        <v>11880</v>
      </c>
      <c r="H148" s="1" t="s">
        <v>10750</v>
      </c>
      <c r="I148" s="1" t="s">
        <v>12514</v>
      </c>
      <c r="J148" s="12" t="str">
        <f t="shared" si="4"/>
        <v>(${Variables:E2_1_1_45_kcat} * E2_1_1_45 * C00365*C00143 )/(${Variables:E2_1_1_45_km} + (E2_1_1_45 * C00365*C00143 ))</v>
      </c>
      <c r="K148" s="36" t="str">
        <f t="shared" si="5"/>
        <v>r147: C00365+C00143  -&gt; C00415+C00364 | (${Variables:E2_1_1_45_kcat} * E2_1_1_45 * C00365*C00143 )/(${Variables:E2_1_1_45_km} + (E2_1_1_45 * C00365*C00143 ))</v>
      </c>
    </row>
    <row r="149" spans="1:11" ht="58" x14ac:dyDescent="0.35">
      <c r="A149" s="1" t="s">
        <v>6201</v>
      </c>
      <c r="B149" s="1" t="s">
        <v>6202</v>
      </c>
      <c r="C149" s="1" t="s">
        <v>9816</v>
      </c>
      <c r="D149" s="1">
        <v>148</v>
      </c>
      <c r="E149" s="1" t="str">
        <f>CONCATENATE("E",Reactions!C149)</f>
        <v>E2_1_1_61</v>
      </c>
      <c r="F149" s="1" t="s">
        <v>10751</v>
      </c>
      <c r="G149" s="1" t="s">
        <v>11881</v>
      </c>
      <c r="H149" s="1" t="s">
        <v>10752</v>
      </c>
      <c r="I149" s="1" t="s">
        <v>12515</v>
      </c>
      <c r="J149" s="12" t="str">
        <f t="shared" si="4"/>
        <v>(${Variables:E2_1_1_61_kcat} * E2_1_1_61 * C00019*C11478 )/(${Variables:E2_1_1_61_km} + (E2_1_1_61 * C00019*C11478 ))</v>
      </c>
      <c r="K149" s="36" t="str">
        <f t="shared" si="5"/>
        <v>r148: C00019+C11478  -&gt; C00021+C04728 | (${Variables:E2_1_1_61_kcat} * E2_1_1_61 * C00019*C11478 )/(${Variables:E2_1_1_61_km} + (E2_1_1_61 * C00019*C11478 ))</v>
      </c>
    </row>
    <row r="150" spans="1:11" ht="58" x14ac:dyDescent="0.35">
      <c r="A150" s="1" t="s">
        <v>4727</v>
      </c>
      <c r="B150" s="1" t="s">
        <v>4728</v>
      </c>
      <c r="C150" s="1" t="s">
        <v>9817</v>
      </c>
      <c r="D150" s="1">
        <v>149</v>
      </c>
      <c r="E150" s="1" t="str">
        <f>CONCATENATE("E",Reactions!C150)</f>
        <v>E2_1_1_63</v>
      </c>
      <c r="F150" s="1" t="s">
        <v>10753</v>
      </c>
      <c r="G150" s="1" t="s">
        <v>11882</v>
      </c>
      <c r="H150" s="1" t="s">
        <v>10754</v>
      </c>
      <c r="I150" s="1" t="s">
        <v>12516</v>
      </c>
      <c r="J150" s="12" t="str">
        <f t="shared" si="4"/>
        <v>(${Variables:E2_1_1_63_kcat} * E2_1_1_63 * C04250*C02743 )/(${Variables:E2_1_1_63_km} + (E2_1_1_63 * C04250*C02743 ))</v>
      </c>
      <c r="K150" s="36" t="str">
        <f t="shared" si="5"/>
        <v>r149: C04250+C02743  -&gt; C03800+C11475 | (${Variables:E2_1_1_63_kcat} * E2_1_1_63 * C04250*C02743 )/(${Variables:E2_1_1_63_km} + (E2_1_1_63 * C04250*C02743 ))</v>
      </c>
    </row>
    <row r="151" spans="1:11" ht="58" x14ac:dyDescent="0.35">
      <c r="A151" s="1" t="s">
        <v>2267</v>
      </c>
      <c r="B151" s="1" t="s">
        <v>2268</v>
      </c>
      <c r="C151" s="1" t="s">
        <v>9818</v>
      </c>
      <c r="D151" s="1">
        <v>150</v>
      </c>
      <c r="E151" s="1" t="str">
        <f>CONCATENATE("E",Reactions!C151)</f>
        <v>E2_1_1_72</v>
      </c>
      <c r="F151" s="1" t="s">
        <v>10755</v>
      </c>
      <c r="G151" s="1" t="s">
        <v>11883</v>
      </c>
      <c r="H151" s="1" t="s">
        <v>10756</v>
      </c>
      <c r="I151" s="1" t="s">
        <v>12517</v>
      </c>
      <c r="J151" s="12" t="str">
        <f t="shared" si="4"/>
        <v>(${Variables:E2_1_1_72_kcat} * E2_1_1_72 * C00019*C00821 )/(${Variables:E2_1_1_72_km} + (E2_1_1_72 * C00019*C00821 ))</v>
      </c>
      <c r="K151" s="36" t="str">
        <f t="shared" si="5"/>
        <v>r150: C00019+C00821  -&gt; C00021+C03391 | (${Variables:E2_1_1_72_kcat} * E2_1_1_72 * C00019*C00821 )/(${Variables:E2_1_1_72_km} + (E2_1_1_72 * C00019*C00821 ))</v>
      </c>
    </row>
    <row r="152" spans="1:11" ht="58" x14ac:dyDescent="0.35">
      <c r="A152" s="1" t="s">
        <v>3815</v>
      </c>
      <c r="B152" s="1" t="s">
        <v>3816</v>
      </c>
      <c r="C152" s="1" t="s">
        <v>9819</v>
      </c>
      <c r="D152" s="1">
        <v>151</v>
      </c>
      <c r="E152" s="1" t="str">
        <f>CONCATENATE("E",Reactions!C152)</f>
        <v>E2_1_2_1</v>
      </c>
      <c r="F152" s="1" t="s">
        <v>10757</v>
      </c>
      <c r="G152" s="1" t="s">
        <v>11884</v>
      </c>
      <c r="H152" s="1" t="s">
        <v>10758</v>
      </c>
      <c r="I152" s="1" t="s">
        <v>12518</v>
      </c>
      <c r="J152" s="12" t="str">
        <f t="shared" si="4"/>
        <v>(${Variables:E2_1_2_1_kcat} * E2_1_2_1 * C00143*C00037*C00001 )/(${Variables:E2_1_2_1_km} + (E2_1_2_1 * C00143*C00037*C00001 ))</v>
      </c>
      <c r="K152" s="36" t="str">
        <f t="shared" si="5"/>
        <v>r151: C00143+C00037+C00001  -&gt; C00101+C00065 | (${Variables:E2_1_2_1_kcat} * E2_1_2_1 * C00143*C00037*C00001 )/(${Variables:E2_1_2_1_km} + (E2_1_2_1 * C00143*C00037*C00001 ))</v>
      </c>
    </row>
    <row r="153" spans="1:11" ht="58" x14ac:dyDescent="0.35">
      <c r="A153" s="1" t="s">
        <v>3815</v>
      </c>
      <c r="B153" s="1" t="s">
        <v>3816</v>
      </c>
      <c r="C153" s="1" t="s">
        <v>9819</v>
      </c>
      <c r="D153" s="1">
        <v>152</v>
      </c>
      <c r="E153" s="1" t="str">
        <f>CONCATENATE("E",Reactions!C153)</f>
        <v>E2_1_2_1</v>
      </c>
      <c r="F153" s="1" t="s">
        <v>10759</v>
      </c>
      <c r="G153" s="1" t="s">
        <v>11885</v>
      </c>
      <c r="H153" s="1" t="s">
        <v>10760</v>
      </c>
      <c r="I153" s="1" t="s">
        <v>12519</v>
      </c>
      <c r="J153" s="12" t="str">
        <f t="shared" si="4"/>
        <v>(${Variables:E2_1_2_1_kcat} * E2_1_2_1 * C00065*C01217 )/(${Variables:E2_1_2_1_km} + (E2_1_2_1 * C00065*C01217 ))</v>
      </c>
      <c r="K153" s="36" t="str">
        <f t="shared" si="5"/>
        <v>r152: C00065+C01217  -&gt; C04377+C00037+C00001 | (${Variables:E2_1_2_1_kcat} * E2_1_2_1 * C00065*C01217 )/(${Variables:E2_1_2_1_km} + (E2_1_2_1 * C00065*C01217 ))</v>
      </c>
    </row>
    <row r="154" spans="1:11" ht="58" x14ac:dyDescent="0.35">
      <c r="A154" s="1" t="s">
        <v>162</v>
      </c>
      <c r="B154" s="1" t="s">
        <v>163</v>
      </c>
      <c r="C154" s="1" t="s">
        <v>9820</v>
      </c>
      <c r="D154" s="1">
        <v>153</v>
      </c>
      <c r="E154" s="1" t="str">
        <f>CONCATENATE("E",Reactions!C154)</f>
        <v>E2_1_2_2</v>
      </c>
      <c r="F154" s="1" t="s">
        <v>10761</v>
      </c>
      <c r="G154" s="1" t="s">
        <v>11886</v>
      </c>
      <c r="H154" s="1" t="s">
        <v>10762</v>
      </c>
      <c r="I154" s="1" t="s">
        <v>12520</v>
      </c>
      <c r="J154" s="12" t="str">
        <f t="shared" si="4"/>
        <v>(${Variables:E2_1_2_2_kcat} * E2_1_2_2 * C00234*C03838 )/(${Variables:E2_1_2_2_km} + (E2_1_2_2 * C00234*C03838 ))</v>
      </c>
      <c r="K154" s="36" t="str">
        <f t="shared" si="5"/>
        <v>r153: C00234+C03838  -&gt; C00101+C04376 | (${Variables:E2_1_2_2_kcat} * E2_1_2_2 * C00234*C03838 )/(${Variables:E2_1_2_2_km} + (E2_1_2_2 * C00234*C03838 ))</v>
      </c>
    </row>
    <row r="155" spans="1:11" ht="58" x14ac:dyDescent="0.35">
      <c r="A155" s="1" t="s">
        <v>162</v>
      </c>
      <c r="B155" s="1" t="s">
        <v>163</v>
      </c>
      <c r="C155" s="1" t="s">
        <v>9820</v>
      </c>
      <c r="D155" s="1">
        <v>154</v>
      </c>
      <c r="E155" s="1" t="str">
        <f>CONCATENATE("E",Reactions!C155)</f>
        <v>E2_1_2_2</v>
      </c>
      <c r="F155" s="1" t="s">
        <v>10763</v>
      </c>
      <c r="G155" s="1" t="s">
        <v>11887</v>
      </c>
      <c r="H155" s="1" t="s">
        <v>10764</v>
      </c>
      <c r="I155" s="1" t="s">
        <v>12521</v>
      </c>
      <c r="J155" s="12" t="str">
        <f t="shared" si="4"/>
        <v>(${Variables:E2_1_2_2_kcat} * E2_1_2_2 * C03838*C00445*C00001 )/(${Variables:E2_1_2_2_km} + (E2_1_2_2 * C03838*C00445*C00001 ))</v>
      </c>
      <c r="K155" s="36" t="str">
        <f t="shared" si="5"/>
        <v>r154: C03838+C00445+C00001  -&gt; C04376+C00101 | (${Variables:E2_1_2_2_kcat} * E2_1_2_2 * C03838*C00445*C00001 )/(${Variables:E2_1_2_2_km} + (E2_1_2_2 * C03838*C00445*C00001 ))</v>
      </c>
    </row>
    <row r="156" spans="1:11" ht="58" x14ac:dyDescent="0.35">
      <c r="A156" s="1" t="s">
        <v>4502</v>
      </c>
      <c r="B156" s="1" t="s">
        <v>4503</v>
      </c>
      <c r="C156" s="1" t="s">
        <v>9821</v>
      </c>
      <c r="D156" s="1">
        <v>155</v>
      </c>
      <c r="E156" s="1" t="str">
        <f>CONCATENATE("E",Reactions!C156)</f>
        <v>E2_1_2_9</v>
      </c>
      <c r="F156" s="1" t="s">
        <v>10765</v>
      </c>
      <c r="G156" s="1" t="s">
        <v>11888</v>
      </c>
      <c r="H156" s="1" t="s">
        <v>10766</v>
      </c>
      <c r="I156" s="1" t="s">
        <v>12522</v>
      </c>
      <c r="J156" s="12" t="str">
        <f t="shared" si="4"/>
        <v>(${Variables:E2_1_2_9_kcat} * E2_1_2_9 * C02430*C00234)/(${Variables:E2_1_2_9_km} + (E2_1_2_9 * C02430*C00234))</v>
      </c>
      <c r="K156" s="36" t="str">
        <f t="shared" si="5"/>
        <v>r155: C02430+C00234 -&gt; C00101+C03294 | (${Variables:E2_1_2_9_kcat} * E2_1_2_9 * C02430*C00234)/(${Variables:E2_1_2_9_km} + (E2_1_2_9 * C02430*C00234))</v>
      </c>
    </row>
    <row r="157" spans="1:11" ht="58" x14ac:dyDescent="0.35">
      <c r="A157" s="1" t="s">
        <v>1539</v>
      </c>
      <c r="B157" s="1" t="s">
        <v>1540</v>
      </c>
      <c r="C157" s="1" t="s">
        <v>9822</v>
      </c>
      <c r="D157" s="1">
        <v>156</v>
      </c>
      <c r="E157" s="1" t="str">
        <f>CONCATENATE("E",Reactions!C157)</f>
        <v>E2_1_3_2</v>
      </c>
      <c r="F157" s="1" t="s">
        <v>10767</v>
      </c>
      <c r="G157" s="1" t="s">
        <v>11889</v>
      </c>
      <c r="H157" s="1" t="s">
        <v>10768</v>
      </c>
      <c r="I157" s="1" t="s">
        <v>12523</v>
      </c>
      <c r="J157" s="12" t="str">
        <f t="shared" si="4"/>
        <v>(${Variables:E2_1_3_2_kcat} * E2_1_3_2 * C00169*C00049 )/(${Variables:E2_1_3_2_km} + (E2_1_3_2 * C00169*C00049 ))</v>
      </c>
      <c r="K157" s="36" t="str">
        <f t="shared" si="5"/>
        <v>r156: C00169+C00049  -&gt; C00009+C00438 | (${Variables:E2_1_3_2_kcat} * E2_1_3_2 * C00169*C00049 )/(${Variables:E2_1_3_2_km} + (E2_1_3_2 * C00169*C00049 ))</v>
      </c>
    </row>
    <row r="158" spans="1:11" ht="58" x14ac:dyDescent="0.35">
      <c r="A158" s="1" t="s">
        <v>1858</v>
      </c>
      <c r="B158" s="1" t="s">
        <v>1859</v>
      </c>
      <c r="C158" s="1" t="s">
        <v>9823</v>
      </c>
      <c r="D158" s="1">
        <v>157</v>
      </c>
      <c r="E158" s="1" t="str">
        <f>CONCATENATE("E",Reactions!C158)</f>
        <v>E2_1_3_3</v>
      </c>
      <c r="F158" s="1" t="s">
        <v>10769</v>
      </c>
      <c r="G158" s="1" t="s">
        <v>11890</v>
      </c>
      <c r="H158" s="1" t="s">
        <v>10770</v>
      </c>
      <c r="I158" s="1" t="s">
        <v>12524</v>
      </c>
      <c r="J158" s="12" t="str">
        <f t="shared" si="4"/>
        <v>(${Variables:E2_1_3_3_kcat} * E2_1_3_3 * C00169*C00077 )/(${Variables:E2_1_3_3_km} + (E2_1_3_3 * C00169*C00077 ))</v>
      </c>
      <c r="K158" s="36" t="str">
        <f t="shared" si="5"/>
        <v>r157: C00169+C00077  -&gt; C00009+C00327 | (${Variables:E2_1_3_3_kcat} * E2_1_3_3 * C00169*C00077 )/(${Variables:E2_1_3_3_km} + (E2_1_3_3 * C00169*C00077 ))</v>
      </c>
    </row>
    <row r="159" spans="1:11" ht="58" x14ac:dyDescent="0.35">
      <c r="A159" s="1" t="s">
        <v>1439</v>
      </c>
      <c r="B159" s="1" t="s">
        <v>1440</v>
      </c>
      <c r="C159" s="1" t="s">
        <v>9824</v>
      </c>
      <c r="D159" s="1">
        <v>158</v>
      </c>
      <c r="E159" s="1" t="str">
        <f>CONCATENATE("E",Reactions!C159)</f>
        <v>E2_2_1_1</v>
      </c>
      <c r="F159" s="1" t="s">
        <v>10771</v>
      </c>
      <c r="G159" s="1" t="s">
        <v>11891</v>
      </c>
      <c r="H159" s="1" t="s">
        <v>10772</v>
      </c>
      <c r="I159" s="1" t="s">
        <v>12525</v>
      </c>
      <c r="J159" s="12" t="str">
        <f t="shared" si="4"/>
        <v>(${Variables:E2_2_1_1_kcat} * E2_2_1_1 * C05382*C00118 )/(${Variables:E2_2_1_1_km} + (E2_2_1_1 * C05382*C00118 ))</v>
      </c>
      <c r="K159" s="36" t="str">
        <f t="shared" si="5"/>
        <v>r158: C05382+C00118  -&gt; C00117+C00231 | (${Variables:E2_2_1_1_kcat} * E2_2_1_1 * C05382*C00118 )/(${Variables:E2_2_1_1_km} + (E2_2_1_1 * C05382*C00118 ))</v>
      </c>
    </row>
    <row r="160" spans="1:11" ht="58" x14ac:dyDescent="0.35">
      <c r="A160" s="1" t="s">
        <v>1439</v>
      </c>
      <c r="B160" s="1" t="s">
        <v>1440</v>
      </c>
      <c r="C160" s="1" t="s">
        <v>9824</v>
      </c>
      <c r="D160" s="1">
        <v>159</v>
      </c>
      <c r="E160" s="1" t="str">
        <f>CONCATENATE("E",Reactions!C160)</f>
        <v>E2_2_1_1</v>
      </c>
      <c r="F160" s="1" t="s">
        <v>10773</v>
      </c>
      <c r="G160" s="1" t="s">
        <v>11892</v>
      </c>
      <c r="H160" s="1" t="s">
        <v>10774</v>
      </c>
      <c r="I160" s="1" t="s">
        <v>12526</v>
      </c>
      <c r="J160" s="12" t="str">
        <f t="shared" si="4"/>
        <v>(${Variables:E2_2_1_1_kcat} * E2_2_1_1 * C00085*C00118 )/(${Variables:E2_2_1_1_km} + (E2_2_1_1 * C00085*C00118 ))</v>
      </c>
      <c r="K160" s="36" t="str">
        <f t="shared" si="5"/>
        <v>r159: C00085+C00118  -&gt; C00279+C00231 | (${Variables:E2_2_1_1_kcat} * E2_2_1_1 * C00085*C00118 )/(${Variables:E2_2_1_1_km} + (E2_2_1_1 * C00085*C00118 ))</v>
      </c>
    </row>
    <row r="161" spans="1:11" ht="58" x14ac:dyDescent="0.35">
      <c r="A161" s="1" t="s">
        <v>1439</v>
      </c>
      <c r="B161" s="1" t="s">
        <v>1440</v>
      </c>
      <c r="C161" s="1" t="s">
        <v>9824</v>
      </c>
      <c r="D161" s="1">
        <v>160</v>
      </c>
      <c r="E161" s="1" t="str">
        <f>CONCATENATE("E",Reactions!C161)</f>
        <v>E2_2_1_1</v>
      </c>
      <c r="F161" s="1" t="s">
        <v>10775</v>
      </c>
      <c r="G161" s="1" t="s">
        <v>11893</v>
      </c>
      <c r="H161" s="1" t="s">
        <v>10774</v>
      </c>
      <c r="I161" s="1" t="s">
        <v>12526</v>
      </c>
      <c r="J161" s="12" t="str">
        <f t="shared" si="4"/>
        <v>(${Variables:E2_2_1_1_kcat} * E2_2_1_1 * C05345*C00118)/(${Variables:E2_2_1_1_km} + (E2_2_1_1 * C05345*C00118))</v>
      </c>
      <c r="K161" s="36" t="str">
        <f t="shared" si="5"/>
        <v>r160: C05345+C00118 -&gt; C00279+C00231 | (${Variables:E2_2_1_1_kcat} * E2_2_1_1 * C05345*C00118)/(${Variables:E2_2_1_1_km} + (E2_2_1_1 * C05345*C00118))</v>
      </c>
    </row>
    <row r="162" spans="1:11" ht="58" x14ac:dyDescent="0.35">
      <c r="A162" s="1" t="s">
        <v>1439</v>
      </c>
      <c r="B162" s="1" t="s">
        <v>1440</v>
      </c>
      <c r="C162" s="1" t="s">
        <v>9824</v>
      </c>
      <c r="D162" s="1">
        <v>161</v>
      </c>
      <c r="E162" s="1" t="str">
        <f>CONCATENATE("E",Reactions!C162)</f>
        <v>E2_2_1_1</v>
      </c>
      <c r="F162" s="1" t="s">
        <v>10776</v>
      </c>
      <c r="G162" s="1" t="s">
        <v>11894</v>
      </c>
      <c r="H162" s="1" t="s">
        <v>10777</v>
      </c>
      <c r="I162" s="1" t="s">
        <v>12527</v>
      </c>
      <c r="J162" s="12" t="str">
        <f t="shared" si="4"/>
        <v>(${Variables:E2_2_1_1_kcat} * E2_2_1_1 * C12214*C00117 )/(${Variables:E2_2_1_1_km} + (E2_2_1_1 * C12214*C00117 ))</v>
      </c>
      <c r="K162" s="36" t="str">
        <f t="shared" si="5"/>
        <v>r161: C12214+C00117  -&gt; C12215+C05382 | (${Variables:E2_2_1_1_kcat} * E2_2_1_1 * C12214*C00117 )/(${Variables:E2_2_1_1_km} + (E2_2_1_1 * C12214*C00117 ))</v>
      </c>
    </row>
    <row r="163" spans="1:11" ht="58" x14ac:dyDescent="0.35">
      <c r="A163" s="1" t="s">
        <v>1439</v>
      </c>
      <c r="B163" s="1" t="s">
        <v>1440</v>
      </c>
      <c r="C163" s="1" t="s">
        <v>9824</v>
      </c>
      <c r="D163" s="1">
        <v>162</v>
      </c>
      <c r="E163" s="1" t="str">
        <f>CONCATENATE("E",Reactions!C163)</f>
        <v>E2_2_1_1</v>
      </c>
      <c r="F163" s="1" t="s">
        <v>10778</v>
      </c>
      <c r="G163" s="1" t="s">
        <v>11895</v>
      </c>
      <c r="H163" s="1" t="s">
        <v>10779</v>
      </c>
      <c r="I163" s="1" t="s">
        <v>12528</v>
      </c>
      <c r="J163" s="12" t="str">
        <f t="shared" si="4"/>
        <v>(${Variables:E2_2_1_1_kcat} * E2_2_1_1 * C00231*C00068)/(${Variables:E2_2_1_1_km} + (E2_2_1_1 * C00231*C00068))</v>
      </c>
      <c r="K163" s="36" t="str">
        <f t="shared" si="5"/>
        <v>r162: C00231+C00068 -&gt; C13378+C00118 | (${Variables:E2_2_1_1_kcat} * E2_2_1_1 * C00231*C00068)/(${Variables:E2_2_1_1_km} + (E2_2_1_1 * C00231*C00068))</v>
      </c>
    </row>
    <row r="164" spans="1:11" ht="58" x14ac:dyDescent="0.35">
      <c r="A164" s="1" t="s">
        <v>1439</v>
      </c>
      <c r="B164" s="1" t="s">
        <v>1440</v>
      </c>
      <c r="C164" s="1" t="s">
        <v>9824</v>
      </c>
      <c r="D164" s="1">
        <v>163</v>
      </c>
      <c r="E164" s="1" t="str">
        <f>CONCATENATE("E",Reactions!C164)</f>
        <v>E2_2_1_1</v>
      </c>
      <c r="F164" s="1" t="s">
        <v>10780</v>
      </c>
      <c r="G164" s="1" t="s">
        <v>11896</v>
      </c>
      <c r="H164" s="1" t="s">
        <v>10781</v>
      </c>
      <c r="I164" s="1" t="s">
        <v>12529</v>
      </c>
      <c r="J164" s="12" t="str">
        <f t="shared" si="4"/>
        <v>(${Variables:E2_2_1_1_kcat} * E2_2_1_1 * C05382*C00068 )/(${Variables:E2_2_1_1_km} + (E2_2_1_1 * C05382*C00068 ))</v>
      </c>
      <c r="K164" s="36" t="str">
        <f t="shared" si="5"/>
        <v>r163: C05382+C00068  -&gt; C13378+C00117 | (${Variables:E2_2_1_1_kcat} * E2_2_1_1 * C05382*C00068 )/(${Variables:E2_2_1_1_km} + (E2_2_1_1 * C05382*C00068 ))</v>
      </c>
    </row>
    <row r="165" spans="1:11" ht="58" x14ac:dyDescent="0.35">
      <c r="A165" s="1" t="s">
        <v>3532</v>
      </c>
      <c r="B165" s="1" t="s">
        <v>3533</v>
      </c>
      <c r="C165" s="1" t="s">
        <v>9825</v>
      </c>
      <c r="D165" s="1">
        <v>164</v>
      </c>
      <c r="E165" s="1" t="str">
        <f>CONCATENATE("E",Reactions!C165)</f>
        <v>E2_2_1_6</v>
      </c>
      <c r="F165" s="1" t="s">
        <v>10782</v>
      </c>
      <c r="G165" s="1" t="s">
        <v>11897</v>
      </c>
      <c r="H165" s="1" t="s">
        <v>9059</v>
      </c>
      <c r="I165" s="1" t="s">
        <v>9059</v>
      </c>
      <c r="J165" s="12" t="str">
        <f t="shared" si="4"/>
        <v>(${Variables:E2_2_1_6_kcat} * E2_2_1_6 * C00900*C00011 )/(${Variables:E2_2_1_6_km} + (E2_2_1_6 * C00900*C00011 ))</v>
      </c>
      <c r="K165" s="36" t="str">
        <f t="shared" si="5"/>
        <v>r164: C00900+C00011  -&gt; C00022 | (${Variables:E2_2_1_6_kcat} * E2_2_1_6 * C00900*C00011 )/(${Variables:E2_2_1_6_km} + (E2_2_1_6 * C00900*C00011 ))</v>
      </c>
    </row>
    <row r="166" spans="1:11" ht="58" x14ac:dyDescent="0.35">
      <c r="A166" s="1" t="s">
        <v>3532</v>
      </c>
      <c r="B166" s="1" t="s">
        <v>3533</v>
      </c>
      <c r="C166" s="1" t="s">
        <v>9825</v>
      </c>
      <c r="D166" s="1">
        <v>165</v>
      </c>
      <c r="E166" s="1" t="str">
        <f>CONCATENATE("E",Reactions!C166)</f>
        <v>E2_2_1_6</v>
      </c>
      <c r="F166" s="1" t="s">
        <v>10783</v>
      </c>
      <c r="G166" s="1" t="s">
        <v>11898</v>
      </c>
      <c r="H166" s="1" t="s">
        <v>9059</v>
      </c>
      <c r="I166" s="1" t="s">
        <v>9059</v>
      </c>
      <c r="J166" s="12" t="str">
        <f t="shared" si="4"/>
        <v>(${Variables:E2_2_1_6_kcat} * E2_2_1_6 * C06010*C00011 )/(${Variables:E2_2_1_6_km} + (E2_2_1_6 * C06010*C00011 ))</v>
      </c>
      <c r="K166" s="36" t="str">
        <f t="shared" si="5"/>
        <v>r165: C06010+C00011  -&gt; C00022 | (${Variables:E2_2_1_6_kcat} * E2_2_1_6 * C06010*C00011 )/(${Variables:E2_2_1_6_km} + (E2_2_1_6 * C06010*C00011 ))</v>
      </c>
    </row>
    <row r="167" spans="1:11" ht="58" x14ac:dyDescent="0.35">
      <c r="A167" s="1" t="s">
        <v>3532</v>
      </c>
      <c r="B167" s="1" t="s">
        <v>3533</v>
      </c>
      <c r="C167" s="1" t="s">
        <v>9825</v>
      </c>
      <c r="D167" s="1">
        <v>166</v>
      </c>
      <c r="E167" s="1" t="str">
        <f>CONCATENATE("E",Reactions!C167)</f>
        <v>E2_2_1_6</v>
      </c>
      <c r="F167" s="1" t="s">
        <v>10784</v>
      </c>
      <c r="G167" s="1" t="s">
        <v>11899</v>
      </c>
      <c r="H167" s="1" t="s">
        <v>10645</v>
      </c>
      <c r="I167" s="1" t="s">
        <v>12463</v>
      </c>
      <c r="J167" s="12" t="str">
        <f t="shared" si="4"/>
        <v>(${Variables:E2_2_1_6_kcat} * E2_2_1_6 * C00022*C00068)/(${Variables:E2_2_1_6_km} + (E2_2_1_6 * C00022*C00068))</v>
      </c>
      <c r="K167" s="36" t="str">
        <f t="shared" si="5"/>
        <v>r166: C00022+C00068 -&gt; C05125+C00011 | (${Variables:E2_2_1_6_kcat} * E2_2_1_6 * C00022*C00068)/(${Variables:E2_2_1_6_km} + (E2_2_1_6 * C00022*C00068))</v>
      </c>
    </row>
    <row r="168" spans="1:11" ht="58" x14ac:dyDescent="0.35">
      <c r="A168" s="1" t="s">
        <v>3532</v>
      </c>
      <c r="B168" s="1" t="s">
        <v>3533</v>
      </c>
      <c r="C168" s="1" t="s">
        <v>9825</v>
      </c>
      <c r="D168" s="1">
        <v>167</v>
      </c>
      <c r="E168" s="1" t="str">
        <f>CONCATENATE("E",Reactions!C168)</f>
        <v>E2_2_1_6</v>
      </c>
      <c r="F168" s="1" t="s">
        <v>10785</v>
      </c>
      <c r="G168" s="1" t="s">
        <v>11900</v>
      </c>
      <c r="H168" s="1" t="s">
        <v>10786</v>
      </c>
      <c r="I168" s="1" t="s">
        <v>12530</v>
      </c>
      <c r="J168" s="12" t="str">
        <f t="shared" si="4"/>
        <v>(${Variables:E2_2_1_6_kcat} * E2_2_1_6 * C00900*C00068)/(${Variables:E2_2_1_6_km} + (E2_2_1_6 * C00900*C00068))</v>
      </c>
      <c r="K168" s="36" t="str">
        <f t="shared" si="5"/>
        <v>r167: C00900+C00068 -&gt; C05125+C00022 | (${Variables:E2_2_1_6_kcat} * E2_2_1_6 * C00900*C00068)/(${Variables:E2_2_1_6_km} + (E2_2_1_6 * C00900*C00068))</v>
      </c>
    </row>
    <row r="169" spans="1:11" ht="58" x14ac:dyDescent="0.35">
      <c r="A169" s="1" t="s">
        <v>3532</v>
      </c>
      <c r="B169" s="1" t="s">
        <v>3533</v>
      </c>
      <c r="C169" s="1" t="s">
        <v>9825</v>
      </c>
      <c r="D169" s="1">
        <v>168</v>
      </c>
      <c r="E169" s="1" t="str">
        <f>CONCATENATE("E",Reactions!C169)</f>
        <v>E2_2_1_6</v>
      </c>
      <c r="F169" s="1" t="s">
        <v>10787</v>
      </c>
      <c r="G169" s="1" t="s">
        <v>11901</v>
      </c>
      <c r="H169" s="1" t="s">
        <v>10786</v>
      </c>
      <c r="I169" s="1" t="s">
        <v>12530</v>
      </c>
      <c r="J169" s="12" t="str">
        <f t="shared" si="4"/>
        <v>(${Variables:E2_2_1_6_kcat} * E2_2_1_6 * C06010*C00068)/(${Variables:E2_2_1_6_km} + (E2_2_1_6 * C06010*C00068))</v>
      </c>
      <c r="K169" s="36" t="str">
        <f t="shared" si="5"/>
        <v>r168: C06010+C00068 -&gt; C05125+C00022 | (${Variables:E2_2_1_6_kcat} * E2_2_1_6 * C06010*C00068)/(${Variables:E2_2_1_6_km} + (E2_2_1_6 * C06010*C00068))</v>
      </c>
    </row>
    <row r="170" spans="1:11" ht="58" x14ac:dyDescent="0.35">
      <c r="A170" s="1" t="s">
        <v>3532</v>
      </c>
      <c r="B170" s="1" t="s">
        <v>3533</v>
      </c>
      <c r="C170" s="1" t="s">
        <v>9825</v>
      </c>
      <c r="D170" s="1">
        <v>169</v>
      </c>
      <c r="E170" s="1" t="str">
        <f>CONCATENATE("E",Reactions!C170)</f>
        <v>E2_2_1_6</v>
      </c>
      <c r="F170" s="1" t="s">
        <v>10788</v>
      </c>
      <c r="G170" s="1" t="s">
        <v>11902</v>
      </c>
      <c r="H170" s="1" t="s">
        <v>10789</v>
      </c>
      <c r="I170" s="1" t="s">
        <v>12531</v>
      </c>
      <c r="J170" s="12" t="str">
        <f t="shared" si="4"/>
        <v>(${Variables:E2_2_1_6_kcat} * E2_2_1_6 * C00109*C05125)/(${Variables:E2_2_1_6_km} + (E2_2_1_6 * C00109*C05125))</v>
      </c>
      <c r="K170" s="36" t="str">
        <f t="shared" si="5"/>
        <v>r169: C00109+C05125 -&gt; C06006+C00068 | (${Variables:E2_2_1_6_kcat} * E2_2_1_6 * C00109*C05125)/(${Variables:E2_2_1_6_km} + (E2_2_1_6 * C00109*C05125))</v>
      </c>
    </row>
    <row r="171" spans="1:11" ht="58" x14ac:dyDescent="0.35">
      <c r="A171" s="1" t="s">
        <v>3532</v>
      </c>
      <c r="B171" s="1" t="s">
        <v>3533</v>
      </c>
      <c r="C171" s="1" t="s">
        <v>9825</v>
      </c>
      <c r="D171" s="1">
        <v>170</v>
      </c>
      <c r="E171" s="1" t="str">
        <f>CONCATENATE("E",Reactions!C171)</f>
        <v>E2_2_1_6</v>
      </c>
      <c r="F171" s="1" t="s">
        <v>10790</v>
      </c>
      <c r="G171" s="1" t="s">
        <v>11903</v>
      </c>
      <c r="H171" s="1" t="s">
        <v>10791</v>
      </c>
      <c r="I171" s="1" t="s">
        <v>12532</v>
      </c>
      <c r="J171" s="12" t="str">
        <f t="shared" si="4"/>
        <v>(${Variables:E2_2_1_6_kcat} * E2_2_1_6 * C00022*C00109 )/(${Variables:E2_2_1_6_km} + (E2_2_1_6 * C00022*C00109 ))</v>
      </c>
      <c r="K171" s="36" t="str">
        <f t="shared" si="5"/>
        <v>r170: C00022+C00109  -&gt; C06006+C00011 | (${Variables:E2_2_1_6_kcat} * E2_2_1_6 * C00022*C00109 )/(${Variables:E2_2_1_6_km} + (E2_2_1_6 * C00022*C00109 ))</v>
      </c>
    </row>
    <row r="172" spans="1:11" ht="58" x14ac:dyDescent="0.35">
      <c r="A172" s="1" t="s">
        <v>1354</v>
      </c>
      <c r="B172" s="1" t="s">
        <v>1355</v>
      </c>
      <c r="C172" s="1" t="s">
        <v>9826</v>
      </c>
      <c r="D172" s="1">
        <v>171</v>
      </c>
      <c r="E172" s="1" t="str">
        <f>CONCATENATE("E",Reactions!C172)</f>
        <v>E2_3_1_1</v>
      </c>
      <c r="F172" s="1" t="s">
        <v>10792</v>
      </c>
      <c r="G172" s="1" t="s">
        <v>11904</v>
      </c>
      <c r="H172" s="1" t="s">
        <v>10793</v>
      </c>
      <c r="I172" s="1" t="s">
        <v>12533</v>
      </c>
      <c r="J172" s="12" t="str">
        <f t="shared" si="4"/>
        <v>(${Variables:E2_3_1_1_kcat} * E2_3_1_1 * C00024*C00025 )/(${Variables:E2_3_1_1_km} + (E2_3_1_1 * C00024*C00025 ))</v>
      </c>
      <c r="K172" s="36" t="str">
        <f t="shared" si="5"/>
        <v>r171: C00024+C00025  -&gt; C00010+C00624 | (${Variables:E2_3_1_1_kcat} * E2_3_1_1 * C00024*C00025 )/(${Variables:E2_3_1_1_km} + (E2_3_1_1 * C00024*C00025 ))</v>
      </c>
    </row>
    <row r="173" spans="1:11" ht="58" x14ac:dyDescent="0.35">
      <c r="A173" s="1" t="s">
        <v>5709</v>
      </c>
      <c r="B173" s="1" t="s">
        <v>5710</v>
      </c>
      <c r="C173" s="1" t="s">
        <v>9827</v>
      </c>
      <c r="D173" s="1">
        <v>172</v>
      </c>
      <c r="E173" s="1" t="str">
        <f>CONCATENATE("E",Reactions!C173)</f>
        <v>E2_3_1_117</v>
      </c>
      <c r="F173" s="1" t="s">
        <v>10794</v>
      </c>
      <c r="G173" s="1" t="s">
        <v>11905</v>
      </c>
      <c r="H173" s="1" t="s">
        <v>10795</v>
      </c>
      <c r="I173" s="1" t="s">
        <v>12534</v>
      </c>
      <c r="J173" s="12" t="str">
        <f t="shared" si="4"/>
        <v>(${Variables:E2_3_1_117_kcat} * E2_3_1_117 * C00091*C03972*C00001 )/(${Variables:E2_3_1_117_km} + (E2_3_1_117 * C00091*C03972*C00001 ))</v>
      </c>
      <c r="K173" s="36" t="str">
        <f t="shared" si="5"/>
        <v>r172: C00091+C03972+C00001  -&gt; C00010+C04462 | (${Variables:E2_3_1_117_kcat} * E2_3_1_117 * C00091*C03972*C00001 )/(${Variables:E2_3_1_117_km} + (E2_3_1_117 * C00091*C03972*C00001 ))</v>
      </c>
    </row>
    <row r="174" spans="1:11" ht="58" x14ac:dyDescent="0.35">
      <c r="A174" s="1" t="s">
        <v>2112</v>
      </c>
      <c r="B174" s="1" t="s">
        <v>2113</v>
      </c>
      <c r="C174" s="1" t="s">
        <v>9828</v>
      </c>
      <c r="D174" s="1">
        <v>173</v>
      </c>
      <c r="E174" s="1" t="str">
        <f>CONCATENATE("E",Reactions!C174)</f>
        <v>E2_3_1_12</v>
      </c>
      <c r="F174" s="1" t="s">
        <v>10796</v>
      </c>
      <c r="G174" s="1" t="s">
        <v>11906</v>
      </c>
      <c r="H174" s="1" t="s">
        <v>10797</v>
      </c>
      <c r="I174" s="1" t="s">
        <v>12535</v>
      </c>
      <c r="J174" s="12" t="str">
        <f t="shared" si="4"/>
        <v>(${Variables:E2_3_1_12_kcat} * E2_3_1_12 * C00024*C15973)/(${Variables:E2_3_1_12_km} + (E2_3_1_12 * C00024*C15973))</v>
      </c>
      <c r="K174" s="36" t="str">
        <f t="shared" si="5"/>
        <v>r173: C00024+C15973 -&gt; C00010+C16255 | (${Variables:E2_3_1_12_kcat} * E2_3_1_12 * C00024*C15973)/(${Variables:E2_3_1_12_km} + (E2_3_1_12 * C00024*C15973))</v>
      </c>
    </row>
    <row r="175" spans="1:11" ht="58" x14ac:dyDescent="0.35">
      <c r="A175" s="1" t="s">
        <v>1729</v>
      </c>
      <c r="B175" s="1" t="s">
        <v>1730</v>
      </c>
      <c r="C175" s="1" t="s">
        <v>9830</v>
      </c>
      <c r="D175" s="1">
        <v>174</v>
      </c>
      <c r="E175" s="1" t="str">
        <f>CONCATENATE("E",Reactions!C175)</f>
        <v>E2_3_1_157</v>
      </c>
      <c r="F175" s="1" t="s">
        <v>10798</v>
      </c>
      <c r="G175" s="1" t="s">
        <v>11907</v>
      </c>
      <c r="H175" s="1" t="s">
        <v>10799</v>
      </c>
      <c r="I175" s="1" t="s">
        <v>12536</v>
      </c>
      <c r="J175" s="12" t="str">
        <f t="shared" si="4"/>
        <v>(${Variables:E2_3_1_157_kcat} * E2_3_1_157 * C00024*C06156)/(${Variables:E2_3_1_157_km} + (E2_3_1_157 * C00024*C06156))</v>
      </c>
      <c r="K175" s="36" t="str">
        <f t="shared" si="5"/>
        <v>r174: C00024+C06156 -&gt; C00010+C04501 | (${Variables:E2_3_1_157_kcat} * E2_3_1_157 * C00024*C06156)/(${Variables:E2_3_1_157_km} + (E2_3_1_157 * C00024*C06156))</v>
      </c>
    </row>
    <row r="176" spans="1:11" ht="58" x14ac:dyDescent="0.35">
      <c r="A176" s="1" t="s">
        <v>1132</v>
      </c>
      <c r="B176" s="1" t="s">
        <v>1133</v>
      </c>
      <c r="C176" s="1" t="s">
        <v>9831</v>
      </c>
      <c r="D176" s="1">
        <v>175</v>
      </c>
      <c r="E176" s="1" t="str">
        <f>CONCATENATE("E",Reactions!C176)</f>
        <v>E2_3_1_179</v>
      </c>
      <c r="F176" s="1" t="s">
        <v>10800</v>
      </c>
      <c r="G176" s="1" t="s">
        <v>11908</v>
      </c>
      <c r="H176" s="1" t="s">
        <v>10801</v>
      </c>
      <c r="I176" s="1" t="s">
        <v>12537</v>
      </c>
      <c r="J176" s="12" t="str">
        <f t="shared" si="4"/>
        <v>(${Variables:E2_3_1_179_kcat} * E2_3_1_179 * C00173*C01209 )/(${Variables:E2_3_1_179_km} + (E2_3_1_179 * C00173*C01209 ))</v>
      </c>
      <c r="K176" s="36" t="str">
        <f t="shared" si="5"/>
        <v>r175: C00173+C01209  -&gt; C00685+C00011+C00229 | (${Variables:E2_3_1_179_kcat} * E2_3_1_179 * C00173*C01209 )/(${Variables:E2_3_1_179_km} + (E2_3_1_179 * C00173*C01209 ))</v>
      </c>
    </row>
    <row r="177" spans="1:11" ht="58" x14ac:dyDescent="0.35">
      <c r="A177" s="1" t="s">
        <v>1132</v>
      </c>
      <c r="B177" s="1" t="s">
        <v>1133</v>
      </c>
      <c r="C177" s="1" t="s">
        <v>9831</v>
      </c>
      <c r="D177" s="1">
        <v>176</v>
      </c>
      <c r="E177" s="1" t="str">
        <f>CONCATENATE("E",Reactions!C177)</f>
        <v>E2_3_1_179</v>
      </c>
      <c r="F177" s="1" t="s">
        <v>10802</v>
      </c>
      <c r="G177" s="1" t="s">
        <v>11909</v>
      </c>
      <c r="H177" s="1" t="s">
        <v>10803</v>
      </c>
      <c r="I177" s="1" t="s">
        <v>12538</v>
      </c>
      <c r="J177" s="12" t="str">
        <f t="shared" si="4"/>
        <v>(${Variables:E2_3_1_179_kcat} * E2_3_1_179 * C03939*C01209)/(${Variables:E2_3_1_179_km} + (E2_3_1_179 * C03939*C01209))</v>
      </c>
      <c r="K177" s="36" t="str">
        <f t="shared" si="5"/>
        <v>r176: C03939+C01209 -&gt; C05744+C00011+C00229 | (${Variables:E2_3_1_179_kcat} * E2_3_1_179 * C03939*C01209)/(${Variables:E2_3_1_179_km} + (E2_3_1_179 * C03939*C01209))</v>
      </c>
    </row>
    <row r="178" spans="1:11" ht="58" x14ac:dyDescent="0.35">
      <c r="A178" s="1" t="s">
        <v>1132</v>
      </c>
      <c r="B178" s="1" t="s">
        <v>1133</v>
      </c>
      <c r="C178" s="1" t="s">
        <v>9831</v>
      </c>
      <c r="D178" s="1">
        <v>177</v>
      </c>
      <c r="E178" s="1" t="str">
        <f>CONCATENATE("E",Reactions!C178)</f>
        <v>E2_3_1_179</v>
      </c>
      <c r="F178" s="1" t="s">
        <v>10804</v>
      </c>
      <c r="G178" s="1" t="s">
        <v>11910</v>
      </c>
      <c r="H178" s="1" t="s">
        <v>10805</v>
      </c>
      <c r="I178" s="1" t="s">
        <v>12539</v>
      </c>
      <c r="J178" s="12" t="str">
        <f t="shared" si="4"/>
        <v>(${Variables:E2_3_1_179_kcat} * E2_3_1_179 * C05223*C01209 )/(${Variables:E2_3_1_179_km} + (E2_3_1_179 * C05223*C01209 ))</v>
      </c>
      <c r="K178" s="36" t="str">
        <f t="shared" si="5"/>
        <v>r177: C05223+C01209  -&gt; C05759+C00011+C00229 | (${Variables:E2_3_1_179_kcat} * E2_3_1_179 * C05223*C01209 )/(${Variables:E2_3_1_179_km} + (E2_3_1_179 * C05223*C01209 ))</v>
      </c>
    </row>
    <row r="179" spans="1:11" ht="58" x14ac:dyDescent="0.35">
      <c r="A179" s="1" t="s">
        <v>1132</v>
      </c>
      <c r="B179" s="1" t="s">
        <v>1133</v>
      </c>
      <c r="C179" s="1" t="s">
        <v>9831</v>
      </c>
      <c r="D179" s="1">
        <v>178</v>
      </c>
      <c r="E179" s="1" t="str">
        <f>CONCATENATE("E",Reactions!C179)</f>
        <v>E2_3_1_179</v>
      </c>
      <c r="F179" s="1" t="s">
        <v>10806</v>
      </c>
      <c r="G179" s="1" t="s">
        <v>11911</v>
      </c>
      <c r="H179" s="1" t="s">
        <v>10807</v>
      </c>
      <c r="I179" s="1" t="s">
        <v>12540</v>
      </c>
      <c r="J179" s="12" t="str">
        <f t="shared" si="4"/>
        <v>(${Variables:E2_3_1_179_kcat} * E2_3_1_179 * C05745*C01209 )/(${Variables:E2_3_1_179_km} + (E2_3_1_179 * C05745*C01209 ))</v>
      </c>
      <c r="K179" s="36" t="str">
        <f t="shared" si="5"/>
        <v>r178: C05745+C01209  -&gt; C05746+C00011+C00229 | (${Variables:E2_3_1_179_kcat} * E2_3_1_179 * C05745*C01209 )/(${Variables:E2_3_1_179_km} + (E2_3_1_179 * C05745*C01209 ))</v>
      </c>
    </row>
    <row r="180" spans="1:11" ht="58" x14ac:dyDescent="0.35">
      <c r="A180" s="1" t="s">
        <v>1132</v>
      </c>
      <c r="B180" s="1" t="s">
        <v>1133</v>
      </c>
      <c r="C180" s="1" t="s">
        <v>9831</v>
      </c>
      <c r="D180" s="1">
        <v>179</v>
      </c>
      <c r="E180" s="1" t="str">
        <f>CONCATENATE("E",Reactions!C180)</f>
        <v>E2_3_1_179</v>
      </c>
      <c r="F180" s="1" t="s">
        <v>10808</v>
      </c>
      <c r="G180" s="1" t="s">
        <v>11912</v>
      </c>
      <c r="H180" s="1" t="s">
        <v>10809</v>
      </c>
      <c r="I180" s="1" t="s">
        <v>12541</v>
      </c>
      <c r="J180" s="12" t="str">
        <f t="shared" si="4"/>
        <v>(${Variables:E2_3_1_179_kcat} * E2_3_1_179 * C05749*C01209 )/(${Variables:E2_3_1_179_km} + (E2_3_1_179 * C05749*C01209 ))</v>
      </c>
      <c r="K180" s="36" t="str">
        <f t="shared" si="5"/>
        <v>r179: C05749+C01209  -&gt; C05750+C00011+C00229 | (${Variables:E2_3_1_179_kcat} * E2_3_1_179 * C05749*C01209 )/(${Variables:E2_3_1_179_km} + (E2_3_1_179 * C05749*C01209 ))</v>
      </c>
    </row>
    <row r="181" spans="1:11" ht="58" x14ac:dyDescent="0.35">
      <c r="A181" s="1" t="s">
        <v>1132</v>
      </c>
      <c r="B181" s="1" t="s">
        <v>1133</v>
      </c>
      <c r="C181" s="1" t="s">
        <v>9831</v>
      </c>
      <c r="D181" s="1">
        <v>180</v>
      </c>
      <c r="E181" s="1" t="str">
        <f>CONCATENATE("E",Reactions!C181)</f>
        <v>E2_3_1_179</v>
      </c>
      <c r="F181" s="1" t="s">
        <v>10810</v>
      </c>
      <c r="G181" s="1" t="s">
        <v>11913</v>
      </c>
      <c r="H181" s="1" t="s">
        <v>10811</v>
      </c>
      <c r="I181" s="1" t="s">
        <v>12542</v>
      </c>
      <c r="J181" s="12" t="str">
        <f t="shared" si="4"/>
        <v>(${Variables:E2_3_1_179_kcat} * E2_3_1_179 * C05752*C01209)/(${Variables:E2_3_1_179_km} + (E2_3_1_179 * C05752*C01209))</v>
      </c>
      <c r="K181" s="36" t="str">
        <f t="shared" si="5"/>
        <v>r180: C05752+C01209 -&gt; C05753+C00011+C00229 | (${Variables:E2_3_1_179_kcat} * E2_3_1_179 * C05752*C01209)/(${Variables:E2_3_1_179_km} + (E2_3_1_179 * C05752*C01209))</v>
      </c>
    </row>
    <row r="182" spans="1:11" ht="58" x14ac:dyDescent="0.35">
      <c r="A182" s="1" t="s">
        <v>1132</v>
      </c>
      <c r="B182" s="1" t="s">
        <v>1133</v>
      </c>
      <c r="C182" s="1" t="s">
        <v>9831</v>
      </c>
      <c r="D182" s="1">
        <v>181</v>
      </c>
      <c r="E182" s="1" t="str">
        <f>CONCATENATE("E",Reactions!C182)</f>
        <v>E2_3_1_179</v>
      </c>
      <c r="F182" s="1" t="s">
        <v>10812</v>
      </c>
      <c r="G182" s="1" t="s">
        <v>11914</v>
      </c>
      <c r="H182" s="1" t="s">
        <v>10813</v>
      </c>
      <c r="I182" s="1" t="s">
        <v>12543</v>
      </c>
      <c r="J182" s="12" t="str">
        <f t="shared" si="4"/>
        <v>(${Variables:E2_3_1_179_kcat} * E2_3_1_179 * C05755*C01209)/(${Variables:E2_3_1_179_km} + (E2_3_1_179 * C05755*C01209))</v>
      </c>
      <c r="K182" s="36" t="str">
        <f t="shared" si="5"/>
        <v>r181: C05755+C01209 -&gt; C05756+C00011+C00229 | (${Variables:E2_3_1_179_kcat} * E2_3_1_179 * C05755*C01209)/(${Variables:E2_3_1_179_km} + (E2_3_1_179 * C05755*C01209))</v>
      </c>
    </row>
    <row r="183" spans="1:11" ht="58" x14ac:dyDescent="0.35">
      <c r="A183" s="1" t="s">
        <v>1132</v>
      </c>
      <c r="B183" s="1" t="s">
        <v>1133</v>
      </c>
      <c r="C183" s="1" t="s">
        <v>9831</v>
      </c>
      <c r="D183" s="1">
        <v>182</v>
      </c>
      <c r="E183" s="1" t="str">
        <f>CONCATENATE("E",Reactions!C183)</f>
        <v>E2_3_1_179</v>
      </c>
      <c r="F183" s="1" t="s">
        <v>10814</v>
      </c>
      <c r="G183" s="1" t="s">
        <v>11915</v>
      </c>
      <c r="H183" s="1" t="s">
        <v>10815</v>
      </c>
      <c r="I183" s="1" t="s">
        <v>12544</v>
      </c>
      <c r="J183" s="12" t="str">
        <f t="shared" si="4"/>
        <v>(${Variables:E2_3_1_179_kcat} * E2_3_1_179 * C05761*C01209 )/(${Variables:E2_3_1_179_km} + (E2_3_1_179 * C05761*C01209 ))</v>
      </c>
      <c r="K183" s="36" t="str">
        <f t="shared" si="5"/>
        <v>r182: C05761+C01209  -&gt; C05762+C00011+C00229 | (${Variables:E2_3_1_179_kcat} * E2_3_1_179 * C05761*C01209 )/(${Variables:E2_3_1_179_km} + (E2_3_1_179 * C05761*C01209 ))</v>
      </c>
    </row>
    <row r="184" spans="1:11" ht="58" x14ac:dyDescent="0.35">
      <c r="A184" s="1" t="s">
        <v>1132</v>
      </c>
      <c r="B184" s="1" t="s">
        <v>1133</v>
      </c>
      <c r="C184" s="1" t="s">
        <v>9831</v>
      </c>
      <c r="D184" s="1">
        <v>183</v>
      </c>
      <c r="E184" s="1" t="str">
        <f>CONCATENATE("E",Reactions!C184)</f>
        <v>E2_3_1_179</v>
      </c>
      <c r="F184" s="1" t="s">
        <v>10816</v>
      </c>
      <c r="G184" s="1" t="s">
        <v>11916</v>
      </c>
      <c r="H184" s="1" t="s">
        <v>10817</v>
      </c>
      <c r="I184" s="1" t="s">
        <v>12545</v>
      </c>
      <c r="J184" s="12" t="str">
        <f t="shared" si="4"/>
        <v>(${Variables:E2_3_1_179_kcat} * E2_3_1_179 * C05764*C01209)/(${Variables:E2_3_1_179_km} + (E2_3_1_179 * C05764*C01209))</v>
      </c>
      <c r="K184" s="36" t="str">
        <f t="shared" si="5"/>
        <v>r183: C05764+C01209 -&gt; C16219+C00229+C00011 | (${Variables:E2_3_1_179_kcat} * E2_3_1_179 * C05764*C01209)/(${Variables:E2_3_1_179_km} + (E2_3_1_179 * C05764*C01209))</v>
      </c>
    </row>
    <row r="185" spans="1:11" ht="58" x14ac:dyDescent="0.35">
      <c r="A185" s="1" t="s">
        <v>1132</v>
      </c>
      <c r="B185" s="1" t="s">
        <v>1133</v>
      </c>
      <c r="C185" s="1" t="s">
        <v>9831</v>
      </c>
      <c r="D185" s="1">
        <v>184</v>
      </c>
      <c r="E185" s="1" t="str">
        <f>CONCATENATE("E",Reactions!C185)</f>
        <v>E2_3_1_179</v>
      </c>
      <c r="F185" s="1" t="s">
        <v>10818</v>
      </c>
      <c r="G185" s="1" t="s">
        <v>11917</v>
      </c>
      <c r="H185" s="1" t="s">
        <v>10819</v>
      </c>
      <c r="I185" s="1" t="s">
        <v>12546</v>
      </c>
      <c r="J185" s="12" t="str">
        <f t="shared" si="4"/>
        <v>(${Variables:E2_3_1_179_kcat} * E2_3_1_179 * C19673*C01209 )/(${Variables:E2_3_1_179_km} + (E2_3_1_179 * C19673*C01209 ))</v>
      </c>
      <c r="K185" s="36" t="str">
        <f t="shared" si="5"/>
        <v>r184: C19673+C01209  -&gt; C20372+C00011+C00229 | (${Variables:E2_3_1_179_kcat} * E2_3_1_179 * C19673*C01209 )/(${Variables:E2_3_1_179_km} + (E2_3_1_179 * C19673*C01209 ))</v>
      </c>
    </row>
    <row r="186" spans="1:11" ht="58" x14ac:dyDescent="0.35">
      <c r="A186" s="1" t="s">
        <v>1132</v>
      </c>
      <c r="B186" s="1" t="s">
        <v>1133</v>
      </c>
      <c r="C186" s="1" t="s">
        <v>9831</v>
      </c>
      <c r="D186" s="1">
        <v>185</v>
      </c>
      <c r="E186" s="1" t="str">
        <f>CONCATENATE("E",Reactions!C186)</f>
        <v>E2_3_1_179</v>
      </c>
      <c r="F186" s="1" t="s">
        <v>10820</v>
      </c>
      <c r="G186" s="1" t="s">
        <v>11918</v>
      </c>
      <c r="H186" s="1" t="s">
        <v>10821</v>
      </c>
      <c r="I186" s="1" t="s">
        <v>12547</v>
      </c>
      <c r="J186" s="12" t="str">
        <f t="shared" si="4"/>
        <v>(${Variables:E2_3_1_179_kcat} * E2_3_1_179 * C20375*C01209 )/(${Variables:E2_3_1_179_km} + (E2_3_1_179 * C20375*C01209 ))</v>
      </c>
      <c r="K186" s="36" t="str">
        <f t="shared" si="5"/>
        <v>r185: C20375+C01209  -&gt; C20376+C00011+C00229 | (${Variables:E2_3_1_179_kcat} * E2_3_1_179 * C20375*C01209 )/(${Variables:E2_3_1_179_km} + (E2_3_1_179 * C20375*C01209 ))</v>
      </c>
    </row>
    <row r="187" spans="1:11" ht="58" x14ac:dyDescent="0.35">
      <c r="A187" s="1" t="s">
        <v>4017</v>
      </c>
      <c r="B187" s="1" t="s">
        <v>4018</v>
      </c>
      <c r="C187" s="1" t="s">
        <v>9832</v>
      </c>
      <c r="D187" s="1">
        <v>186</v>
      </c>
      <c r="E187" s="1" t="str">
        <f>CONCATENATE("E",Reactions!C187)</f>
        <v>E2_3_1_180</v>
      </c>
      <c r="F187" s="1" t="s">
        <v>10822</v>
      </c>
      <c r="G187" s="1" t="s">
        <v>11919</v>
      </c>
      <c r="H187" s="1" t="s">
        <v>10823</v>
      </c>
      <c r="I187" s="1" t="s">
        <v>12548</v>
      </c>
      <c r="J187" s="12" t="str">
        <f t="shared" si="4"/>
        <v>(${Variables:E2_3_1_180_kcat} * E2_3_1_180 * C00024*C01209 )/(${Variables:E2_3_1_180_km} + (E2_3_1_180 * C00024*C01209 ))</v>
      </c>
      <c r="K187" s="36" t="str">
        <f t="shared" si="5"/>
        <v>r186: C00024+C01209  -&gt; C05744+C00010+C00011 | (${Variables:E2_3_1_180_kcat} * E2_3_1_180 * C00024*C01209 )/(${Variables:E2_3_1_180_km} + (E2_3_1_180 * C00024*C01209 ))</v>
      </c>
    </row>
    <row r="188" spans="1:11" ht="58" x14ac:dyDescent="0.35">
      <c r="A188" s="1" t="s">
        <v>3930</v>
      </c>
      <c r="B188" s="1" t="s">
        <v>3931</v>
      </c>
      <c r="C188" s="1" t="s">
        <v>9833</v>
      </c>
      <c r="D188" s="1">
        <v>187</v>
      </c>
      <c r="E188" s="1" t="str">
        <f>CONCATENATE("E",Reactions!C188)</f>
        <v>E2_3_1_183</v>
      </c>
      <c r="F188" s="1" t="s">
        <v>10824</v>
      </c>
      <c r="G188" s="1" t="s">
        <v>11920</v>
      </c>
      <c r="H188" s="1" t="s">
        <v>10825</v>
      </c>
      <c r="I188" s="1" t="s">
        <v>12549</v>
      </c>
      <c r="J188" s="12" t="str">
        <f t="shared" si="4"/>
        <v>(${Variables:E2_3_1_183_kcat} * E2_3_1_183 * C00024*C04650 )/(${Variables:E2_3_1_183_km} + (E2_3_1_183 * C00024*C04650 ))</v>
      </c>
      <c r="K188" s="36" t="str">
        <f t="shared" si="5"/>
        <v>r187: C00024+C04650  -&gt; C00010+C17952 | (${Variables:E2_3_1_183_kcat} * E2_3_1_183 * C00024*C04650 )/(${Variables:E2_3_1_183_km} + (E2_3_1_183 * C00024*C04650 ))</v>
      </c>
    </row>
    <row r="189" spans="1:11" ht="58" x14ac:dyDescent="0.35">
      <c r="A189" s="1" t="s">
        <v>3930</v>
      </c>
      <c r="B189" s="1" t="s">
        <v>3931</v>
      </c>
      <c r="C189" s="1" t="s">
        <v>9833</v>
      </c>
      <c r="D189" s="1">
        <v>188</v>
      </c>
      <c r="E189" s="1" t="str">
        <f>CONCATENATE("E",Reactions!C189)</f>
        <v>E2_3_1_183</v>
      </c>
      <c r="F189" s="1" t="s">
        <v>10826</v>
      </c>
      <c r="G189" s="1" t="s">
        <v>11921</v>
      </c>
      <c r="H189" s="1" t="s">
        <v>10827</v>
      </c>
      <c r="I189" s="1" t="s">
        <v>12550</v>
      </c>
      <c r="J189" s="12" t="str">
        <f t="shared" si="4"/>
        <v>(${Variables:E2_3_1_183_kcat} * E2_3_1_183 * C17962*C00024 )/(${Variables:E2_3_1_183_km} + (E2_3_1_183 * C17962*C00024 ))</v>
      </c>
      <c r="K189" s="36" t="str">
        <f t="shared" si="5"/>
        <v>r188: C17962+C00024  -&gt; C17949+C00010 | (${Variables:E2_3_1_183_kcat} * E2_3_1_183 * C17962*C00024 )/(${Variables:E2_3_1_183_km} + (E2_3_1_183 * C17962*C00024 ))</v>
      </c>
    </row>
    <row r="190" spans="1:11" ht="58" x14ac:dyDescent="0.35">
      <c r="A190" s="1" t="s">
        <v>336</v>
      </c>
      <c r="B190" s="1" t="s">
        <v>337</v>
      </c>
      <c r="C190" s="1" t="s">
        <v>9834</v>
      </c>
      <c r="D190" s="1">
        <v>189</v>
      </c>
      <c r="E190" s="1" t="str">
        <f>CONCATENATE("E",Reactions!C190)</f>
        <v>E2_3_1_30</v>
      </c>
      <c r="F190" s="1" t="s">
        <v>10828</v>
      </c>
      <c r="G190" s="1" t="s">
        <v>11922</v>
      </c>
      <c r="H190" s="1" t="s">
        <v>10829</v>
      </c>
      <c r="I190" s="1" t="s">
        <v>12551</v>
      </c>
      <c r="J190" s="12" t="str">
        <f t="shared" si="4"/>
        <v>(${Variables:E2_3_1_30_kcat} * E2_3_1_30 * C00065*C00024 )/(${Variables:E2_3_1_30_km} + (E2_3_1_30 * C00065*C00024 ))</v>
      </c>
      <c r="K190" s="36" t="str">
        <f t="shared" si="5"/>
        <v>r189: C00065+C00024  -&gt; C00979+C00010 | (${Variables:E2_3_1_30_kcat} * E2_3_1_30 * C00065*C00024 )/(${Variables:E2_3_1_30_km} + (E2_3_1_30 * C00065*C00024 ))</v>
      </c>
    </row>
    <row r="191" spans="1:11" ht="58" x14ac:dyDescent="0.35">
      <c r="A191" s="1" t="s">
        <v>2616</v>
      </c>
      <c r="B191" s="1" t="s">
        <v>2617</v>
      </c>
      <c r="C191" s="1" t="s">
        <v>9835</v>
      </c>
      <c r="D191" s="1">
        <v>190</v>
      </c>
      <c r="E191" s="1" t="str">
        <f>CONCATENATE("E",Reactions!C191)</f>
        <v>E2_3_1_31</v>
      </c>
      <c r="F191" s="1" t="s">
        <v>10830</v>
      </c>
      <c r="G191" s="1" t="s">
        <v>11923</v>
      </c>
      <c r="H191" s="1" t="s">
        <v>10831</v>
      </c>
      <c r="I191" s="1" t="s">
        <v>12552</v>
      </c>
      <c r="J191" s="12" t="str">
        <f t="shared" si="4"/>
        <v>(${Variables:E2_3_1_31_kcat} * E2_3_1_31 * C00024*C00263)/(${Variables:E2_3_1_31_km} + (E2_3_1_31 * C00024*C00263))</v>
      </c>
      <c r="K191" s="36" t="str">
        <f t="shared" si="5"/>
        <v>r190: C00024+C00263 -&gt; C00010+C01077 | (${Variables:E2_3_1_31_kcat} * E2_3_1_31 * C00024*C00263)/(${Variables:E2_3_1_31_km} + (E2_3_1_31 * C00024*C00263))</v>
      </c>
    </row>
    <row r="192" spans="1:11" ht="58" x14ac:dyDescent="0.35">
      <c r="A192" s="1" t="s">
        <v>1124</v>
      </c>
      <c r="B192" s="1" t="s">
        <v>1125</v>
      </c>
      <c r="C192" s="1" t="s">
        <v>9836</v>
      </c>
      <c r="D192" s="1">
        <v>191</v>
      </c>
      <c r="E192" s="1" t="str">
        <f>CONCATENATE("E",Reactions!C192)</f>
        <v>E2_3_1_39</v>
      </c>
      <c r="F192" s="1" t="s">
        <v>10832</v>
      </c>
      <c r="G192" s="1" t="s">
        <v>11924</v>
      </c>
      <c r="H192" s="1" t="s">
        <v>10833</v>
      </c>
      <c r="I192" s="1" t="s">
        <v>12553</v>
      </c>
      <c r="J192" s="12" t="str">
        <f t="shared" si="4"/>
        <v>(${Variables:E2_3_1_39_kcat} * E2_3_1_39 * C00083*C00229 )/(${Variables:E2_3_1_39_km} + (E2_3_1_39 * C00083*C00229 ))</v>
      </c>
      <c r="K192" s="36" t="str">
        <f t="shared" si="5"/>
        <v>r191: C00083+C00229  -&gt; C00010+C01209 | (${Variables:E2_3_1_39_kcat} * E2_3_1_39 * C00083*C00229 )/(${Variables:E2_3_1_39_km} + (E2_3_1_39 * C00083*C00229 ))</v>
      </c>
    </row>
    <row r="193" spans="1:11" ht="58" x14ac:dyDescent="0.35">
      <c r="A193" s="1" t="s">
        <v>1113</v>
      </c>
      <c r="B193" s="1" t="s">
        <v>1114</v>
      </c>
      <c r="C193" s="1" t="s">
        <v>9837</v>
      </c>
      <c r="D193" s="1">
        <v>192</v>
      </c>
      <c r="E193" s="1" t="str">
        <f>CONCATENATE("E",Reactions!C193)</f>
        <v>E2_3_1_41</v>
      </c>
      <c r="F193" s="1" t="s">
        <v>10800</v>
      </c>
      <c r="G193" s="1" t="s">
        <v>11908</v>
      </c>
      <c r="H193" s="1" t="s">
        <v>10801</v>
      </c>
      <c r="I193" s="1" t="s">
        <v>12537</v>
      </c>
      <c r="J193" s="12" t="str">
        <f t="shared" si="4"/>
        <v>(${Variables:E2_3_1_41_kcat} * E2_3_1_41 * C00173*C01209 )/(${Variables:E2_3_1_41_km} + (E2_3_1_41 * C00173*C01209 ))</v>
      </c>
      <c r="K193" s="36" t="str">
        <f t="shared" si="5"/>
        <v>r192: C00173+C01209  -&gt; C00685+C00011+C00229 | (${Variables:E2_3_1_41_kcat} * E2_3_1_41 * C00173*C01209 )/(${Variables:E2_3_1_41_km} + (E2_3_1_41 * C00173*C01209 ))</v>
      </c>
    </row>
    <row r="194" spans="1:11" ht="58" x14ac:dyDescent="0.35">
      <c r="A194" s="1" t="s">
        <v>1113</v>
      </c>
      <c r="B194" s="1" t="s">
        <v>1114</v>
      </c>
      <c r="C194" s="1" t="s">
        <v>9837</v>
      </c>
      <c r="D194" s="1">
        <v>193</v>
      </c>
      <c r="E194" s="1" t="str">
        <f>CONCATENATE("E",Reactions!C194)</f>
        <v>E2_3_1_41</v>
      </c>
      <c r="F194" s="1" t="s">
        <v>10802</v>
      </c>
      <c r="G194" s="1" t="s">
        <v>11909</v>
      </c>
      <c r="H194" s="1" t="s">
        <v>10803</v>
      </c>
      <c r="I194" s="1" t="s">
        <v>12538</v>
      </c>
      <c r="J194" s="12" t="str">
        <f t="shared" si="4"/>
        <v>(${Variables:E2_3_1_41_kcat} * E2_3_1_41 * C03939*C01209)/(${Variables:E2_3_1_41_km} + (E2_3_1_41 * C03939*C01209))</v>
      </c>
      <c r="K194" s="36" t="str">
        <f t="shared" si="5"/>
        <v>r193: C03939+C01209 -&gt; C05744+C00011+C00229 | (${Variables:E2_3_1_41_kcat} * E2_3_1_41 * C03939*C01209)/(${Variables:E2_3_1_41_km} + (E2_3_1_41 * C03939*C01209))</v>
      </c>
    </row>
    <row r="195" spans="1:11" ht="58" x14ac:dyDescent="0.35">
      <c r="A195" s="1" t="s">
        <v>1113</v>
      </c>
      <c r="B195" s="1" t="s">
        <v>1114</v>
      </c>
      <c r="C195" s="1" t="s">
        <v>9837</v>
      </c>
      <c r="D195" s="1">
        <v>194</v>
      </c>
      <c r="E195" s="1" t="str">
        <f>CONCATENATE("E",Reactions!C195)</f>
        <v>E2_3_1_41</v>
      </c>
      <c r="F195" s="1" t="s">
        <v>10834</v>
      </c>
      <c r="G195" s="1" t="s">
        <v>11925</v>
      </c>
      <c r="H195" s="1" t="s">
        <v>10805</v>
      </c>
      <c r="I195" s="1" t="s">
        <v>12539</v>
      </c>
      <c r="J195" s="12" t="str">
        <f t="shared" ref="J195:J258" si="6">CONCATENATE("(${Variables:",E195,"_kcat","} * ",E195," * ",G195,")","/(${Variables:",E195,"_km","} + (",E195," * ",G195,"))")</f>
        <v>(${Variables:E2_3_1_41_kcat} * E2_3_1_41 * C05223*C01209)/(${Variables:E2_3_1_41_km} + (E2_3_1_41 * C05223*C01209))</v>
      </c>
      <c r="K195" s="36" t="str">
        <f t="shared" ref="K195:K258" si="7">CONCATENATE("r",D195,": ",F195," -&gt; ",H195," | ",J195)</f>
        <v>r194: C05223+C01209 -&gt; C05759+C00011+C00229 | (${Variables:E2_3_1_41_kcat} * E2_3_1_41 * C05223*C01209)/(${Variables:E2_3_1_41_km} + (E2_3_1_41 * C05223*C01209))</v>
      </c>
    </row>
    <row r="196" spans="1:11" ht="58" x14ac:dyDescent="0.35">
      <c r="A196" s="1" t="s">
        <v>1113</v>
      </c>
      <c r="B196" s="1" t="s">
        <v>1114</v>
      </c>
      <c r="C196" s="1" t="s">
        <v>9837</v>
      </c>
      <c r="D196" s="1">
        <v>195</v>
      </c>
      <c r="E196" s="1" t="str">
        <f>CONCATENATE("E",Reactions!C196)</f>
        <v>E2_3_1_41</v>
      </c>
      <c r="F196" s="1" t="s">
        <v>10835</v>
      </c>
      <c r="G196" s="1" t="s">
        <v>11926</v>
      </c>
      <c r="H196" s="1" t="s">
        <v>10807</v>
      </c>
      <c r="I196" s="1" t="s">
        <v>12540</v>
      </c>
      <c r="J196" s="12" t="str">
        <f t="shared" si="6"/>
        <v>(${Variables:E2_3_1_41_kcat} * E2_3_1_41 * C05745*C01209)/(${Variables:E2_3_1_41_km} + (E2_3_1_41 * C05745*C01209))</v>
      </c>
      <c r="K196" s="36" t="str">
        <f t="shared" si="7"/>
        <v>r195: C05745+C01209 -&gt; C05746+C00011+C00229 | (${Variables:E2_3_1_41_kcat} * E2_3_1_41 * C05745*C01209)/(${Variables:E2_3_1_41_km} + (E2_3_1_41 * C05745*C01209))</v>
      </c>
    </row>
    <row r="197" spans="1:11" ht="58" x14ac:dyDescent="0.35">
      <c r="A197" s="1" t="s">
        <v>1113</v>
      </c>
      <c r="B197" s="1" t="s">
        <v>1114</v>
      </c>
      <c r="C197" s="1" t="s">
        <v>9837</v>
      </c>
      <c r="D197" s="1">
        <v>196</v>
      </c>
      <c r="E197" s="1" t="str">
        <f>CONCATENATE("E",Reactions!C197)</f>
        <v>E2_3_1_41</v>
      </c>
      <c r="F197" s="1" t="s">
        <v>10836</v>
      </c>
      <c r="G197" s="1" t="s">
        <v>11927</v>
      </c>
      <c r="H197" s="1" t="s">
        <v>10809</v>
      </c>
      <c r="I197" s="1" t="s">
        <v>12541</v>
      </c>
      <c r="J197" s="12" t="str">
        <f t="shared" si="6"/>
        <v>(${Variables:E2_3_1_41_kcat} * E2_3_1_41 * C05749*C01209)/(${Variables:E2_3_1_41_km} + (E2_3_1_41 * C05749*C01209))</v>
      </c>
      <c r="K197" s="36" t="str">
        <f t="shared" si="7"/>
        <v>r196: C05749+C01209 -&gt; C05750+C00011+C00229 | (${Variables:E2_3_1_41_kcat} * E2_3_1_41 * C05749*C01209)/(${Variables:E2_3_1_41_km} + (E2_3_1_41 * C05749*C01209))</v>
      </c>
    </row>
    <row r="198" spans="1:11" ht="58" x14ac:dyDescent="0.35">
      <c r="A198" s="1" t="s">
        <v>1113</v>
      </c>
      <c r="B198" s="1" t="s">
        <v>1114</v>
      </c>
      <c r="C198" s="1" t="s">
        <v>9837</v>
      </c>
      <c r="D198" s="1">
        <v>197</v>
      </c>
      <c r="E198" s="1" t="str">
        <f>CONCATENATE("E",Reactions!C198)</f>
        <v>E2_3_1_41</v>
      </c>
      <c r="F198" s="1" t="s">
        <v>10810</v>
      </c>
      <c r="G198" s="1" t="s">
        <v>11913</v>
      </c>
      <c r="H198" s="1" t="s">
        <v>10811</v>
      </c>
      <c r="I198" s="1" t="s">
        <v>12542</v>
      </c>
      <c r="J198" s="12" t="str">
        <f t="shared" si="6"/>
        <v>(${Variables:E2_3_1_41_kcat} * E2_3_1_41 * C05752*C01209)/(${Variables:E2_3_1_41_km} + (E2_3_1_41 * C05752*C01209))</v>
      </c>
      <c r="K198" s="36" t="str">
        <f t="shared" si="7"/>
        <v>r197: C05752+C01209 -&gt; C05753+C00011+C00229 | (${Variables:E2_3_1_41_kcat} * E2_3_1_41 * C05752*C01209)/(${Variables:E2_3_1_41_km} + (E2_3_1_41 * C05752*C01209))</v>
      </c>
    </row>
    <row r="199" spans="1:11" ht="58" x14ac:dyDescent="0.35">
      <c r="A199" s="1" t="s">
        <v>1113</v>
      </c>
      <c r="B199" s="1" t="s">
        <v>1114</v>
      </c>
      <c r="C199" s="1" t="s">
        <v>9837</v>
      </c>
      <c r="D199" s="1">
        <v>198</v>
      </c>
      <c r="E199" s="1" t="str">
        <f>CONCATENATE("E",Reactions!C199)</f>
        <v>E2_3_1_41</v>
      </c>
      <c r="F199" s="1" t="s">
        <v>10812</v>
      </c>
      <c r="G199" s="1" t="s">
        <v>11914</v>
      </c>
      <c r="H199" s="1" t="s">
        <v>10813</v>
      </c>
      <c r="I199" s="1" t="s">
        <v>12543</v>
      </c>
      <c r="J199" s="12" t="str">
        <f t="shared" si="6"/>
        <v>(${Variables:E2_3_1_41_kcat} * E2_3_1_41 * C05755*C01209)/(${Variables:E2_3_1_41_km} + (E2_3_1_41 * C05755*C01209))</v>
      </c>
      <c r="K199" s="36" t="str">
        <f t="shared" si="7"/>
        <v>r198: C05755+C01209 -&gt; C05756+C00011+C00229 | (${Variables:E2_3_1_41_kcat} * E2_3_1_41 * C05755*C01209)/(${Variables:E2_3_1_41_km} + (E2_3_1_41 * C05755*C01209))</v>
      </c>
    </row>
    <row r="200" spans="1:11" ht="58" x14ac:dyDescent="0.35">
      <c r="A200" s="1" t="s">
        <v>1113</v>
      </c>
      <c r="B200" s="1" t="s">
        <v>1114</v>
      </c>
      <c r="C200" s="1" t="s">
        <v>9837</v>
      </c>
      <c r="D200" s="1">
        <v>199</v>
      </c>
      <c r="E200" s="1" t="str">
        <f>CONCATENATE("E",Reactions!C200)</f>
        <v>E2_3_1_41</v>
      </c>
      <c r="F200" s="1" t="s">
        <v>10837</v>
      </c>
      <c r="G200" s="1" t="s">
        <v>11928</v>
      </c>
      <c r="H200" s="1" t="s">
        <v>10815</v>
      </c>
      <c r="I200" s="1" t="s">
        <v>12544</v>
      </c>
      <c r="J200" s="12" t="str">
        <f t="shared" si="6"/>
        <v>(${Variables:E2_3_1_41_kcat} * E2_3_1_41 * C05761*C01209)/(${Variables:E2_3_1_41_km} + (E2_3_1_41 * C05761*C01209))</v>
      </c>
      <c r="K200" s="36" t="str">
        <f t="shared" si="7"/>
        <v>r199: C05761+C01209 -&gt; C05762+C00011+C00229 | (${Variables:E2_3_1_41_kcat} * E2_3_1_41 * C05761*C01209)/(${Variables:E2_3_1_41_km} + (E2_3_1_41 * C05761*C01209))</v>
      </c>
    </row>
    <row r="201" spans="1:11" ht="58" x14ac:dyDescent="0.35">
      <c r="A201" s="1" t="s">
        <v>1113</v>
      </c>
      <c r="B201" s="1" t="s">
        <v>1114</v>
      </c>
      <c r="C201" s="1" t="s">
        <v>9837</v>
      </c>
      <c r="D201" s="1">
        <v>200</v>
      </c>
      <c r="E201" s="1" t="str">
        <f>CONCATENATE("E",Reactions!C201)</f>
        <v>E2_3_1_41</v>
      </c>
      <c r="F201" s="1" t="s">
        <v>10816</v>
      </c>
      <c r="G201" s="1" t="s">
        <v>11916</v>
      </c>
      <c r="H201" s="1" t="s">
        <v>10817</v>
      </c>
      <c r="I201" s="1" t="s">
        <v>12545</v>
      </c>
      <c r="J201" s="12" t="str">
        <f t="shared" si="6"/>
        <v>(${Variables:E2_3_1_41_kcat} * E2_3_1_41 * C05764*C01209)/(${Variables:E2_3_1_41_km} + (E2_3_1_41 * C05764*C01209))</v>
      </c>
      <c r="K201" s="36" t="str">
        <f t="shared" si="7"/>
        <v>r200: C05764+C01209 -&gt; C16219+C00229+C00011 | (${Variables:E2_3_1_41_kcat} * E2_3_1_41 * C05764*C01209)/(${Variables:E2_3_1_41_km} + (E2_3_1_41 * C05764*C01209))</v>
      </c>
    </row>
    <row r="202" spans="1:11" ht="58" x14ac:dyDescent="0.35">
      <c r="A202" s="1" t="s">
        <v>1113</v>
      </c>
      <c r="B202" s="1" t="s">
        <v>1114</v>
      </c>
      <c r="C202" s="1" t="s">
        <v>9837</v>
      </c>
      <c r="D202" s="1">
        <v>201</v>
      </c>
      <c r="E202" s="1" t="str">
        <f>CONCATENATE("E",Reactions!C202)</f>
        <v>E2_3_1_41</v>
      </c>
      <c r="F202" s="1" t="s">
        <v>10838</v>
      </c>
      <c r="G202" s="1" t="s">
        <v>11929</v>
      </c>
      <c r="H202" s="1" t="s">
        <v>10819</v>
      </c>
      <c r="I202" s="1" t="s">
        <v>12546</v>
      </c>
      <c r="J202" s="12" t="str">
        <f t="shared" si="6"/>
        <v>(${Variables:E2_3_1_41_kcat} * E2_3_1_41 * C19673*C01209)/(${Variables:E2_3_1_41_km} + (E2_3_1_41 * C19673*C01209))</v>
      </c>
      <c r="K202" s="36" t="str">
        <f t="shared" si="7"/>
        <v>r201: C19673+C01209 -&gt; C20372+C00011+C00229 | (${Variables:E2_3_1_41_kcat} * E2_3_1_41 * C19673*C01209)/(${Variables:E2_3_1_41_km} + (E2_3_1_41 * C19673*C01209))</v>
      </c>
    </row>
    <row r="203" spans="1:11" ht="58" x14ac:dyDescent="0.35">
      <c r="A203" s="1" t="s">
        <v>1113</v>
      </c>
      <c r="B203" s="1" t="s">
        <v>1114</v>
      </c>
      <c r="C203" s="1" t="s">
        <v>9837</v>
      </c>
      <c r="D203" s="1">
        <v>202</v>
      </c>
      <c r="E203" s="1" t="str">
        <f>CONCATENATE("E",Reactions!C203)</f>
        <v>E2_3_1_41</v>
      </c>
      <c r="F203" s="1" t="s">
        <v>10839</v>
      </c>
      <c r="G203" s="1" t="s">
        <v>11930</v>
      </c>
      <c r="H203" s="1" t="s">
        <v>10821</v>
      </c>
      <c r="I203" s="1" t="s">
        <v>12547</v>
      </c>
      <c r="J203" s="12" t="str">
        <f t="shared" si="6"/>
        <v>(${Variables:E2_3_1_41_kcat} * E2_3_1_41 * C20375*C01209)/(${Variables:E2_3_1_41_km} + (E2_3_1_41 * C20375*C01209))</v>
      </c>
      <c r="K203" s="36" t="str">
        <f t="shared" si="7"/>
        <v>r202: C20375+C01209 -&gt; C20376+C00011+C00229 | (${Variables:E2_3_1_41_kcat} * E2_3_1_41 * C20375*C01209)/(${Variables:E2_3_1_41_km} + (E2_3_1_41 * C20375*C01209))</v>
      </c>
    </row>
    <row r="204" spans="1:11" ht="58" x14ac:dyDescent="0.35">
      <c r="A204" s="1" t="s">
        <v>4870</v>
      </c>
      <c r="B204" s="1" t="s">
        <v>4871</v>
      </c>
      <c r="C204" s="1" t="s">
        <v>9838</v>
      </c>
      <c r="D204" s="1">
        <v>203</v>
      </c>
      <c r="E204" s="1" t="str">
        <f>CONCATENATE("E",Reactions!C204)</f>
        <v>E2_3_1_51</v>
      </c>
      <c r="F204" s="1" t="s">
        <v>10840</v>
      </c>
      <c r="G204" s="1" t="s">
        <v>11931</v>
      </c>
      <c r="H204" s="1" t="s">
        <v>10841</v>
      </c>
      <c r="I204" s="1" t="s">
        <v>12554</v>
      </c>
      <c r="J204" s="12" t="str">
        <f t="shared" si="6"/>
        <v>(${Variables:E2_3_1_51_kcat} * E2_3_1_51 * C00416*C00010)/(${Variables:E2_3_1_51_km} + (E2_3_1_51 * C00416*C00010))</v>
      </c>
      <c r="K204" s="36" t="str">
        <f t="shared" si="7"/>
        <v>r203: C00416+C00010 -&gt; C00681+C00040 | (${Variables:E2_3_1_51_kcat} * E2_3_1_51 * C00416*C00010)/(${Variables:E2_3_1_51_km} + (E2_3_1_51 * C00416*C00010))</v>
      </c>
    </row>
    <row r="205" spans="1:11" ht="58" x14ac:dyDescent="0.35">
      <c r="A205" s="1" t="s">
        <v>4870</v>
      </c>
      <c r="B205" s="1" t="s">
        <v>4871</v>
      </c>
      <c r="C205" s="1" t="s">
        <v>9838</v>
      </c>
      <c r="D205" s="1">
        <v>204</v>
      </c>
      <c r="E205" s="1" t="str">
        <f>CONCATENATE("E",Reactions!C205)</f>
        <v>E2_3_1_51</v>
      </c>
      <c r="F205" s="1" t="s">
        <v>10842</v>
      </c>
      <c r="G205" s="1" t="s">
        <v>11932</v>
      </c>
      <c r="H205" s="1" t="s">
        <v>10843</v>
      </c>
      <c r="I205" s="1" t="s">
        <v>12555</v>
      </c>
      <c r="J205" s="12" t="str">
        <f t="shared" si="6"/>
        <v>(${Variables:E2_3_1_51_kcat} * E2_3_1_51 * C00605*C00681)/(${Variables:E2_3_1_51_km} + (E2_3_1_51 * C00605*C00681))</v>
      </c>
      <c r="K205" s="36" t="str">
        <f t="shared" si="7"/>
        <v>r204: C00605+C00681 -&gt; C00010+C00416 | (${Variables:E2_3_1_51_kcat} * E2_3_1_51 * C00605*C00681)/(${Variables:E2_3_1_51_km} + (E2_3_1_51 * C00605*C00681))</v>
      </c>
    </row>
    <row r="206" spans="1:11" ht="58" x14ac:dyDescent="0.35">
      <c r="A206" s="1" t="s">
        <v>4870</v>
      </c>
      <c r="B206" s="1" t="s">
        <v>4871</v>
      </c>
      <c r="C206" s="1" t="s">
        <v>9838</v>
      </c>
      <c r="D206" s="1">
        <v>205</v>
      </c>
      <c r="E206" s="1" t="str">
        <f>CONCATENATE("E",Reactions!C206)</f>
        <v>E2_3_1_51</v>
      </c>
      <c r="F206" s="1" t="s">
        <v>10844</v>
      </c>
      <c r="G206" s="1" t="s">
        <v>11933</v>
      </c>
      <c r="H206" s="1" t="s">
        <v>10845</v>
      </c>
      <c r="I206" s="1" t="s">
        <v>12556</v>
      </c>
      <c r="J206" s="12" t="str">
        <f t="shared" si="6"/>
        <v>(${Variables:E2_3_1_51_kcat} * E2_3_1_51 * C00173*C00681)/(${Variables:E2_3_1_51_km} + (E2_3_1_51 * C00173*C00681))</v>
      </c>
      <c r="K206" s="36" t="str">
        <f t="shared" si="7"/>
        <v>r205: C00173+C00681 -&gt; C00229+C00416 | (${Variables:E2_3_1_51_kcat} * E2_3_1_51 * C00173*C00681)/(${Variables:E2_3_1_51_km} + (E2_3_1_51 * C00173*C00681))</v>
      </c>
    </row>
    <row r="207" spans="1:11" ht="58" x14ac:dyDescent="0.35">
      <c r="A207" s="1" t="s">
        <v>5186</v>
      </c>
      <c r="B207" s="1" t="s">
        <v>5187</v>
      </c>
      <c r="C207" s="1" t="s">
        <v>9839</v>
      </c>
      <c r="D207" s="1">
        <v>206</v>
      </c>
      <c r="E207" s="1" t="str">
        <f>CONCATENATE("E",Reactions!C207)</f>
        <v>E2_3_1_54</v>
      </c>
      <c r="F207" s="1" t="s">
        <v>10846</v>
      </c>
      <c r="G207" s="1" t="s">
        <v>11934</v>
      </c>
      <c r="H207" s="1" t="s">
        <v>10847</v>
      </c>
      <c r="I207" s="1" t="s">
        <v>12557</v>
      </c>
      <c r="J207" s="12" t="str">
        <f t="shared" si="6"/>
        <v>(${Variables:E2_3_1_54_kcat} * E2_3_1_54 * C00024*C00058)/(${Variables:E2_3_1_54_km} + (E2_3_1_54 * C00024*C00058))</v>
      </c>
      <c r="K207" s="36" t="str">
        <f t="shared" si="7"/>
        <v>r206: C00024+C00058 -&gt; C00010+C00022 | (${Variables:E2_3_1_54_kcat} * E2_3_1_54 * C00024*C00058)/(${Variables:E2_3_1_54_km} + (E2_3_1_54 * C00024*C00058))</v>
      </c>
    </row>
    <row r="208" spans="1:11" ht="58" x14ac:dyDescent="0.35">
      <c r="A208" s="1" t="s">
        <v>5186</v>
      </c>
      <c r="B208" s="1" t="s">
        <v>5187</v>
      </c>
      <c r="C208" s="1" t="s">
        <v>9839</v>
      </c>
      <c r="D208" s="1">
        <v>207</v>
      </c>
      <c r="E208" s="1" t="str">
        <f>CONCATENATE("E",Reactions!C208)</f>
        <v>E2_3_1_54</v>
      </c>
      <c r="F208" s="1" t="s">
        <v>10848</v>
      </c>
      <c r="G208" s="1" t="s">
        <v>11935</v>
      </c>
      <c r="H208" s="1" t="s">
        <v>10849</v>
      </c>
      <c r="I208" s="1" t="s">
        <v>12558</v>
      </c>
      <c r="J208" s="12" t="str">
        <f t="shared" si="6"/>
        <v>(${Variables:E2_3_1_54_kcat} * E2_3_1_54 * C00109*C00010)/(${Variables:E2_3_1_54_km} + (E2_3_1_54 * C00109*C00010))</v>
      </c>
      <c r="K208" s="36" t="str">
        <f t="shared" si="7"/>
        <v>r207: C00109+C00010 -&gt; C00100+C00058 | (${Variables:E2_3_1_54_kcat} * E2_3_1_54 * C00109*C00010)/(${Variables:E2_3_1_54_km} + (E2_3_1_54 * C00109*C00010))</v>
      </c>
    </row>
    <row r="209" spans="1:11" ht="58" x14ac:dyDescent="0.35">
      <c r="A209" s="1" t="s">
        <v>4351</v>
      </c>
      <c r="B209" s="1" t="s">
        <v>4352</v>
      </c>
      <c r="C209" s="1" t="s">
        <v>9840</v>
      </c>
      <c r="D209" s="1">
        <v>208</v>
      </c>
      <c r="E209" s="1" t="str">
        <f>CONCATENATE("E",Reactions!C209)</f>
        <v>E2_3_1_79</v>
      </c>
      <c r="F209" s="1" t="s">
        <v>10850</v>
      </c>
      <c r="G209" s="1" t="s">
        <v>11936</v>
      </c>
      <c r="H209" s="1" t="s">
        <v>10851</v>
      </c>
      <c r="I209" s="1" t="s">
        <v>12559</v>
      </c>
      <c r="J209" s="12" t="str">
        <f t="shared" si="6"/>
        <v>(${Variables:E2_3_1_79_kcat} * E2_3_1_79 * C00024*C00208)/(${Variables:E2_3_1_79_km} + (E2_3_1_79 * C00024*C00208))</v>
      </c>
      <c r="K209" s="36" t="str">
        <f t="shared" si="7"/>
        <v>r208: C00024+C00208 -&gt; C00010+C02130 | (${Variables:E2_3_1_79_kcat} * E2_3_1_79 * C00024*C00208)/(${Variables:E2_3_1_79_km} + (E2_3_1_79 * C00024*C00208))</v>
      </c>
    </row>
    <row r="210" spans="1:11" ht="58" x14ac:dyDescent="0.35">
      <c r="A210" s="1" t="s">
        <v>4351</v>
      </c>
      <c r="B210" s="1" t="s">
        <v>4352</v>
      </c>
      <c r="C210" s="1" t="s">
        <v>9840</v>
      </c>
      <c r="D210" s="1">
        <v>209</v>
      </c>
      <c r="E210" s="1" t="str">
        <f>CONCATENATE("E",Reactions!C210)</f>
        <v>E2_3_1_79</v>
      </c>
      <c r="F210" s="1" t="s">
        <v>10852</v>
      </c>
      <c r="G210" s="1" t="s">
        <v>11937</v>
      </c>
      <c r="H210" s="1" t="s">
        <v>10853</v>
      </c>
      <c r="I210" s="1" t="s">
        <v>12560</v>
      </c>
      <c r="J210" s="12" t="str">
        <f t="shared" si="6"/>
        <v>(${Variables:E2_3_1_79_kcat} * E2_3_1_79 * C00024*G00275)/(${Variables:E2_3_1_79_km} + (E2_3_1_79 * C00024*G00275))</v>
      </c>
      <c r="K210" s="36" t="str">
        <f t="shared" si="7"/>
        <v>r209: C00024+G00275 -&gt; C00010+G10592 | (${Variables:E2_3_1_79_kcat} * E2_3_1_79 * C00024*G00275)/(${Variables:E2_3_1_79_km} + (E2_3_1_79 * C00024*G00275))</v>
      </c>
    </row>
    <row r="211" spans="1:11" ht="58" x14ac:dyDescent="0.35">
      <c r="A211" s="1" t="s">
        <v>4554</v>
      </c>
      <c r="B211" s="1" t="s">
        <v>4555</v>
      </c>
      <c r="C211" s="1" t="s">
        <v>9841</v>
      </c>
      <c r="D211" s="1">
        <v>210</v>
      </c>
      <c r="E211" s="1" t="str">
        <f>CONCATENATE("E",Reactions!C211)</f>
        <v>E2_3_1_8</v>
      </c>
      <c r="F211" s="1" t="s">
        <v>10854</v>
      </c>
      <c r="G211" s="1" t="s">
        <v>11938</v>
      </c>
      <c r="H211" s="1" t="s">
        <v>10855</v>
      </c>
      <c r="I211" s="1" t="s">
        <v>12561</v>
      </c>
      <c r="J211" s="12" t="str">
        <f t="shared" si="6"/>
        <v>(${Variables:E2_3_1_8_kcat} * E2_3_1_8 * C00024*C00009)/(${Variables:E2_3_1_8_km} + (E2_3_1_8 * C00024*C00009))</v>
      </c>
      <c r="K211" s="36" t="str">
        <f t="shared" si="7"/>
        <v>r210: C00024+C00009 -&gt; C00010+C00227 | (${Variables:E2_3_1_8_kcat} * E2_3_1_8 * C00024*C00009)/(${Variables:E2_3_1_8_km} + (E2_3_1_8 * C00024*C00009))</v>
      </c>
    </row>
    <row r="212" spans="1:11" ht="58" x14ac:dyDescent="0.35">
      <c r="A212" s="1" t="s">
        <v>4554</v>
      </c>
      <c r="B212" s="1" t="s">
        <v>4555</v>
      </c>
      <c r="C212" s="1" t="s">
        <v>9841</v>
      </c>
      <c r="D212" s="1">
        <v>211</v>
      </c>
      <c r="E212" s="1" t="str">
        <f>CONCATENATE("E",Reactions!C212)</f>
        <v>E2_3_1_8</v>
      </c>
      <c r="F212" s="1" t="s">
        <v>10856</v>
      </c>
      <c r="G212" s="1" t="s">
        <v>11939</v>
      </c>
      <c r="H212" s="1" t="s">
        <v>10857</v>
      </c>
      <c r="I212" s="1" t="s">
        <v>12562</v>
      </c>
      <c r="J212" s="12" t="str">
        <f t="shared" si="6"/>
        <v>(${Variables:E2_3_1_8_kcat} * E2_3_1_8 * C00100*C00009)/(${Variables:E2_3_1_8_km} + (E2_3_1_8 * C00100*C00009))</v>
      </c>
      <c r="K212" s="36" t="str">
        <f t="shared" si="7"/>
        <v>r211: C00100+C00009 -&gt; C02876+C00010 | (${Variables:E2_3_1_8_kcat} * E2_3_1_8 * C00100*C00009)/(${Variables:E2_3_1_8_km} + (E2_3_1_8 * C00100*C00009))</v>
      </c>
    </row>
    <row r="213" spans="1:11" ht="58" x14ac:dyDescent="0.35">
      <c r="A213" s="1" t="s">
        <v>2406</v>
      </c>
      <c r="B213" s="1" t="s">
        <v>2407</v>
      </c>
      <c r="C213" s="1" t="s">
        <v>9842</v>
      </c>
      <c r="D213" s="1">
        <v>212</v>
      </c>
      <c r="E213" s="1" t="str">
        <f>CONCATENATE("E",Reactions!C213)</f>
        <v>E2_3_3_1</v>
      </c>
      <c r="F213" s="1" t="s">
        <v>10858</v>
      </c>
      <c r="G213" s="1" t="s">
        <v>11940</v>
      </c>
      <c r="H213" s="1" t="s">
        <v>10859</v>
      </c>
      <c r="I213" s="1" t="s">
        <v>12563</v>
      </c>
      <c r="J213" s="12" t="str">
        <f t="shared" si="6"/>
        <v>(${Variables:E2_3_3_1_kcat} * E2_3_3_1 * C00158*C00010)/(${Variables:E2_3_3_1_km} + (E2_3_3_1 * C00158*C00010))</v>
      </c>
      <c r="K213" s="36" t="str">
        <f t="shared" si="7"/>
        <v>r212: C00158+C00010 -&gt; C00024+C00001+C00036 | (${Variables:E2_3_3_1_kcat} * E2_3_3_1 * C00158*C00010)/(${Variables:E2_3_3_1_km} + (E2_3_3_1 * C00158*C00010))</v>
      </c>
    </row>
    <row r="214" spans="1:11" ht="58" x14ac:dyDescent="0.35">
      <c r="A214" s="1" t="s">
        <v>1775</v>
      </c>
      <c r="B214" s="1" t="s">
        <v>1776</v>
      </c>
      <c r="C214" s="1" t="s">
        <v>9843</v>
      </c>
      <c r="D214" s="1">
        <v>213</v>
      </c>
      <c r="E214" s="1" t="str">
        <f>CONCATENATE("E",Reactions!C214)</f>
        <v>E2_3_3_10</v>
      </c>
      <c r="F214" s="1" t="s">
        <v>10860</v>
      </c>
      <c r="G214" s="1" t="s">
        <v>11941</v>
      </c>
      <c r="H214" s="1" t="s">
        <v>10861</v>
      </c>
      <c r="I214" s="1" t="s">
        <v>12564</v>
      </c>
      <c r="J214" s="12" t="str">
        <f t="shared" si="6"/>
        <v>(${Variables:E2_3_3_10_kcat} * E2_3_3_10 * C00356*C00010)/(${Variables:E2_3_3_10_km} + (E2_3_3_10 * C00356*C00010))</v>
      </c>
      <c r="K214" s="36" t="str">
        <f t="shared" si="7"/>
        <v>r213: C00356+C00010 -&gt; C00024+C00001+C00332 | (${Variables:E2_3_3_10_kcat} * E2_3_3_10 * C00356*C00010)/(${Variables:E2_3_3_10_km} + (E2_3_3_10 * C00356*C00010))</v>
      </c>
    </row>
    <row r="215" spans="1:11" ht="58" x14ac:dyDescent="0.35">
      <c r="A215" s="1" t="s">
        <v>2672</v>
      </c>
      <c r="B215" s="1" t="s">
        <v>2673</v>
      </c>
      <c r="C215" s="1" t="s">
        <v>9844</v>
      </c>
      <c r="D215" s="1">
        <v>214</v>
      </c>
      <c r="E215" s="1" t="str">
        <f>CONCATENATE("E",Reactions!C215)</f>
        <v>E2_3_3_13</v>
      </c>
      <c r="F215" s="1" t="s">
        <v>10862</v>
      </c>
      <c r="G215" s="1" t="s">
        <v>11942</v>
      </c>
      <c r="H215" s="1" t="s">
        <v>10863</v>
      </c>
      <c r="I215" s="1" t="s">
        <v>12565</v>
      </c>
      <c r="J215" s="12" t="str">
        <f t="shared" si="6"/>
        <v>(${Variables:E2_3_3_13_kcat} * E2_3_3_13 * C02504*C00010)/(${Variables:E2_3_3_13_km} + (E2_3_3_13 * C02504*C00010))</v>
      </c>
      <c r="K215" s="36" t="str">
        <f t="shared" si="7"/>
        <v>r214: C02504+C00010 -&gt; C00024+C00141+C00001 | (${Variables:E2_3_3_13_kcat} * E2_3_3_13 * C02504*C00010)/(${Variables:E2_3_3_13_km} + (E2_3_3_13 * C02504*C00010))</v>
      </c>
    </row>
    <row r="216" spans="1:11" ht="58" x14ac:dyDescent="0.35">
      <c r="A216" s="1" t="s">
        <v>3271</v>
      </c>
      <c r="B216" s="1" t="s">
        <v>3272</v>
      </c>
      <c r="C216" s="1" t="s">
        <v>9845</v>
      </c>
      <c r="D216" s="1">
        <v>215</v>
      </c>
      <c r="E216" s="1" t="str">
        <f>CONCATENATE("E",Reactions!C216)</f>
        <v>E2_4_1_1</v>
      </c>
      <c r="F216" s="1" t="s">
        <v>10864</v>
      </c>
      <c r="G216" s="1" t="s">
        <v>11943</v>
      </c>
      <c r="H216" s="1" t="s">
        <v>10865</v>
      </c>
      <c r="I216" s="1" t="s">
        <v>12566</v>
      </c>
      <c r="J216" s="12" t="str">
        <f t="shared" si="6"/>
        <v>(${Variables:E2_4_1_1_kcat} * E2_4_1_1 * C00718*C00009)/(${Variables:E2_4_1_1_km} + (E2_4_1_1 * C00718*C00009))</v>
      </c>
      <c r="K216" s="36" t="str">
        <f t="shared" si="7"/>
        <v>r215: C00718+C00009 -&gt; C00718+C00103 | (${Variables:E2_4_1_1_kcat} * E2_4_1_1 * C00718*C00009)/(${Variables:E2_4_1_1_km} + (E2_4_1_1 * C00718*C00009))</v>
      </c>
    </row>
    <row r="217" spans="1:11" ht="58" x14ac:dyDescent="0.35">
      <c r="A217" s="1" t="s">
        <v>3271</v>
      </c>
      <c r="B217" s="1" t="s">
        <v>3272</v>
      </c>
      <c r="C217" s="1" t="s">
        <v>9845</v>
      </c>
      <c r="D217" s="1">
        <v>216</v>
      </c>
      <c r="E217" s="1" t="str">
        <f>CONCATENATE("E",Reactions!C217)</f>
        <v>E2_4_1_1</v>
      </c>
      <c r="F217" s="5" t="s">
        <v>10866</v>
      </c>
      <c r="G217" s="5" t="s">
        <v>11944</v>
      </c>
      <c r="H217" s="5" t="s">
        <v>10867</v>
      </c>
      <c r="I217" s="5" t="s">
        <v>12567</v>
      </c>
      <c r="J217" s="12" t="str">
        <f t="shared" si="6"/>
        <v>(${Variables:E2_4_1_1_kcat} * E2_4_1_1 * G10495*C00009)/(${Variables:E2_4_1_1_km} + (E2_4_1_1 * G10495*C00009))</v>
      </c>
      <c r="K217" s="36" t="str">
        <f t="shared" si="7"/>
        <v>r216: G10495+C00009 -&gt; G10495+C00103 | (${Variables:E2_4_1_1_kcat} * E2_4_1_1 * G10495*C00009)/(${Variables:E2_4_1_1_km} + (E2_4_1_1 * G10495*C00009))</v>
      </c>
    </row>
    <row r="218" spans="1:11" ht="58" x14ac:dyDescent="0.35">
      <c r="A218" s="1" t="s">
        <v>3271</v>
      </c>
      <c r="B218" s="1" t="s">
        <v>3272</v>
      </c>
      <c r="C218" s="1" t="s">
        <v>9845</v>
      </c>
      <c r="D218" s="1">
        <v>217</v>
      </c>
      <c r="E218" s="1" t="str">
        <f>CONCATENATE("E",Reactions!C218)</f>
        <v>E2_4_1_1</v>
      </c>
      <c r="F218" s="1" t="s">
        <v>10868</v>
      </c>
      <c r="G218" s="1" t="s">
        <v>11945</v>
      </c>
      <c r="H218" s="5" t="s">
        <v>10865</v>
      </c>
      <c r="I218" s="5" t="s">
        <v>12566</v>
      </c>
      <c r="J218" s="12" t="str">
        <f t="shared" si="6"/>
        <v>(${Variables:E2_4_1_1_kcat} * E2_4_1_1 * C00369*C00009)/(${Variables:E2_4_1_1_km} + (E2_4_1_1 * C00369*C00009))</v>
      </c>
      <c r="K218" s="36" t="str">
        <f t="shared" si="7"/>
        <v>r217: C00369+C00009 -&gt; C00718+C00103 | (${Variables:E2_4_1_1_kcat} * E2_4_1_1 * C00369*C00009)/(${Variables:E2_4_1_1_km} + (E2_4_1_1 * C00369*C00009))</v>
      </c>
    </row>
    <row r="219" spans="1:11" ht="58" x14ac:dyDescent="0.35">
      <c r="A219" s="1" t="s">
        <v>3271</v>
      </c>
      <c r="B219" s="1" t="s">
        <v>3272</v>
      </c>
      <c r="C219" s="1" t="s">
        <v>9845</v>
      </c>
      <c r="D219" s="1">
        <v>218</v>
      </c>
      <c r="E219" s="1" t="str">
        <f>CONCATENATE("E",Reactions!C219)</f>
        <v>E2_4_1_1</v>
      </c>
      <c r="F219" s="1" t="s">
        <v>10869</v>
      </c>
      <c r="G219" s="1" t="s">
        <v>11946</v>
      </c>
      <c r="H219" s="5" t="s">
        <v>10867</v>
      </c>
      <c r="I219" s="5" t="s">
        <v>12567</v>
      </c>
      <c r="J219" s="12" t="str">
        <f t="shared" si="6"/>
        <v>(${Variables:E2_4_1_1_kcat} * E2_4_1_1 * G10545*C00009 )/(${Variables:E2_4_1_1_km} + (E2_4_1_1 * G10545*C00009 ))</v>
      </c>
      <c r="K219" s="36" t="str">
        <f t="shared" si="7"/>
        <v>r218: G10545+C00009  -&gt; G10495+C00103 | (${Variables:E2_4_1_1_kcat} * E2_4_1_1 * G10545*C00009 )/(${Variables:E2_4_1_1_km} + (E2_4_1_1 * G10545*C00009 ))</v>
      </c>
    </row>
    <row r="220" spans="1:11" ht="58" x14ac:dyDescent="0.35">
      <c r="A220" s="1" t="s">
        <v>6376</v>
      </c>
      <c r="B220" s="1" t="s">
        <v>1031</v>
      </c>
      <c r="C220" s="1" t="s">
        <v>9846</v>
      </c>
      <c r="D220" s="1">
        <v>219</v>
      </c>
      <c r="E220" s="1" t="str">
        <f>CONCATENATE("E",Reactions!C220)</f>
        <v>E2_4_1_10</v>
      </c>
      <c r="F220" s="1" t="s">
        <v>10870</v>
      </c>
      <c r="G220" s="1" t="s">
        <v>11947</v>
      </c>
      <c r="H220" s="5" t="s">
        <v>10871</v>
      </c>
      <c r="I220" s="5" t="s">
        <v>12568</v>
      </c>
      <c r="J220" s="12" t="str">
        <f t="shared" si="6"/>
        <v>(${Variables:E2_4_1_10_kcat} * E2_4_1_10 * C00031*C06215)/(${Variables:E2_4_1_10_km} + (E2_4_1_10 * C00031*C06215))</v>
      </c>
      <c r="K220" s="36" t="str">
        <f t="shared" si="7"/>
        <v>r219: C00031+C06215 -&gt; C00089+C06215 | (${Variables:E2_4_1_10_kcat} * E2_4_1_10 * C00031*C06215)/(${Variables:E2_4_1_10_km} + (E2_4_1_10 * C00031*C06215))</v>
      </c>
    </row>
    <row r="221" spans="1:11" ht="58" x14ac:dyDescent="0.35">
      <c r="A221" s="1" t="s">
        <v>6376</v>
      </c>
      <c r="B221" s="1" t="s">
        <v>1031</v>
      </c>
      <c r="C221" s="1" t="s">
        <v>9846</v>
      </c>
      <c r="D221" s="1">
        <v>220</v>
      </c>
      <c r="E221" s="1" t="str">
        <f>CONCATENATE("E",Reactions!C221)</f>
        <v>E2_4_1_10</v>
      </c>
      <c r="F221" s="5" t="s">
        <v>10872</v>
      </c>
      <c r="G221" s="5" t="s">
        <v>11948</v>
      </c>
      <c r="H221" s="5" t="s">
        <v>10873</v>
      </c>
      <c r="I221" s="5" t="s">
        <v>12569</v>
      </c>
      <c r="J221" s="12" t="str">
        <f t="shared" si="6"/>
        <v>(${Variables:E2_4_1_10_kcat} * E2_4_1_10 * C00031*G10499)/(${Variables:E2_4_1_10_km} + (E2_4_1_10 * C00031*G10499))</v>
      </c>
      <c r="K221" s="36" t="str">
        <f t="shared" si="7"/>
        <v>r220: C00031+G10499 -&gt; G00370+G10499 | (${Variables:E2_4_1_10_kcat} * E2_4_1_10 * C00031*G10499)/(${Variables:E2_4_1_10_km} + (E2_4_1_10 * C00031*G10499))</v>
      </c>
    </row>
    <row r="222" spans="1:11" ht="58" x14ac:dyDescent="0.35">
      <c r="A222" s="1" t="s">
        <v>6376</v>
      </c>
      <c r="B222" s="1" t="s">
        <v>1031</v>
      </c>
      <c r="C222" s="1" t="s">
        <v>9846</v>
      </c>
      <c r="D222" s="1">
        <v>221</v>
      </c>
      <c r="E222" s="1" t="str">
        <f>CONCATENATE("E",Reactions!C222)</f>
        <v>E2_4_1_10</v>
      </c>
      <c r="F222" s="5" t="s">
        <v>10872</v>
      </c>
      <c r="G222" s="5" t="s">
        <v>11948</v>
      </c>
      <c r="H222" s="5" t="s">
        <v>10873</v>
      </c>
      <c r="I222" s="5" t="s">
        <v>12569</v>
      </c>
      <c r="J222" s="12" t="str">
        <f t="shared" si="6"/>
        <v>(${Variables:E2_4_1_10_kcat} * E2_4_1_10 * C00031*G10499)/(${Variables:E2_4_1_10_km} + (E2_4_1_10 * C00031*G10499))</v>
      </c>
      <c r="K222" s="36" t="str">
        <f t="shared" si="7"/>
        <v>r221: C00031+G10499 -&gt; G00370+G10499 | (${Variables:E2_4_1_10_kcat} * E2_4_1_10 * C00031*G10499)/(${Variables:E2_4_1_10_km} + (E2_4_1_10 * C00031*G10499))</v>
      </c>
    </row>
    <row r="223" spans="1:11" ht="58" x14ac:dyDescent="0.35">
      <c r="A223" s="1" t="s">
        <v>6143</v>
      </c>
      <c r="B223" s="1" t="s">
        <v>6144</v>
      </c>
      <c r="C223" s="1" t="s">
        <v>9847</v>
      </c>
      <c r="D223" s="1">
        <v>222</v>
      </c>
      <c r="E223" s="1" t="str">
        <f>CONCATENATE("E",Reactions!C223)</f>
        <v>E2_4_1_12</v>
      </c>
      <c r="F223" s="5" t="s">
        <v>10874</v>
      </c>
      <c r="G223" s="5" t="s">
        <v>11949</v>
      </c>
      <c r="H223" s="5" t="s">
        <v>10875</v>
      </c>
      <c r="I223" s="5" t="s">
        <v>12570</v>
      </c>
      <c r="J223" s="12" t="str">
        <f t="shared" si="6"/>
        <v>(${Variables:E2_4_1_12_kcat} * E2_4_1_12 * C00029*C00760)/(${Variables:E2_4_1_12_km} + (E2_4_1_12 * C00029*C00760))</v>
      </c>
      <c r="K223" s="36" t="str">
        <f t="shared" si="7"/>
        <v>r222: C00029+C00760 -&gt; C00015+C00760 | (${Variables:E2_4_1_12_kcat} * E2_4_1_12 * C00029*C00760)/(${Variables:E2_4_1_12_km} + (E2_4_1_12 * C00029*C00760))</v>
      </c>
    </row>
    <row r="224" spans="1:11" ht="58" x14ac:dyDescent="0.35">
      <c r="A224" s="1" t="s">
        <v>6143</v>
      </c>
      <c r="B224" s="1" t="s">
        <v>6144</v>
      </c>
      <c r="C224" s="1" t="s">
        <v>9847</v>
      </c>
      <c r="D224" s="1">
        <v>223</v>
      </c>
      <c r="E224" s="1" t="str">
        <f>CONCATENATE("E",Reactions!C224)</f>
        <v>E2_4_1_12</v>
      </c>
      <c r="F224" s="5" t="s">
        <v>10876</v>
      </c>
      <c r="G224" s="5" t="s">
        <v>11950</v>
      </c>
      <c r="H224" s="5" t="s">
        <v>10877</v>
      </c>
      <c r="I224" s="5" t="s">
        <v>12571</v>
      </c>
      <c r="J224" s="12" t="str">
        <f t="shared" si="6"/>
        <v>(${Variables:E2_4_1_12_kcat} * E2_4_1_12 * G10481*G10608 )/(${Variables:E2_4_1_12_km} + (E2_4_1_12 * G10481*G10608 ))</v>
      </c>
      <c r="K224" s="36" t="str">
        <f t="shared" si="7"/>
        <v>r223: G10481+G10608  -&gt; G10481+G10619 | (${Variables:E2_4_1_12_kcat} * E2_4_1_12 * G10481*G10608 )/(${Variables:E2_4_1_12_km} + (E2_4_1_12 * G10481*G10608 ))</v>
      </c>
    </row>
    <row r="225" spans="1:11" ht="43.5" x14ac:dyDescent="0.35">
      <c r="A225" s="1" t="s">
        <v>4454</v>
      </c>
      <c r="B225" s="1" t="s">
        <v>4455</v>
      </c>
      <c r="C225" s="1" t="s">
        <v>9849</v>
      </c>
      <c r="D225" s="1">
        <v>224</v>
      </c>
      <c r="E225" s="1" t="str">
        <f>CONCATENATE("E",Reactions!C225)</f>
        <v>E2_4_1_18</v>
      </c>
      <c r="F225" s="1" t="s">
        <v>7343</v>
      </c>
      <c r="G225" s="1" t="s">
        <v>7343</v>
      </c>
      <c r="H225" s="1" t="s">
        <v>7344</v>
      </c>
      <c r="I225" s="1" t="s">
        <v>7344</v>
      </c>
      <c r="J225" s="12" t="str">
        <f t="shared" si="6"/>
        <v>(${Variables:E2_4_1_18_kcat} * E2_4_1_18 * C00718)/(${Variables:E2_4_1_18_km} + (E2_4_1_18 * C00718))</v>
      </c>
      <c r="K225" s="36" t="str">
        <f t="shared" si="7"/>
        <v>r224: C00718 -&gt; C00369 | (${Variables:E2_4_1_18_kcat} * E2_4_1_18 * C00718)/(${Variables:E2_4_1_18_km} + (E2_4_1_18 * C00718))</v>
      </c>
    </row>
    <row r="226" spans="1:11" ht="43.5" x14ac:dyDescent="0.35">
      <c r="A226" s="1" t="s">
        <v>4454</v>
      </c>
      <c r="B226" s="1" t="s">
        <v>4455</v>
      </c>
      <c r="C226" s="1" t="s">
        <v>9849</v>
      </c>
      <c r="D226" s="1">
        <v>225</v>
      </c>
      <c r="E226" s="1" t="str">
        <f>CONCATENATE("E",Reactions!C226)</f>
        <v>E2_4_1_18</v>
      </c>
      <c r="F226" s="1" t="s">
        <v>7347</v>
      </c>
      <c r="G226" s="1" t="s">
        <v>7347</v>
      </c>
      <c r="H226" s="1" t="s">
        <v>7346</v>
      </c>
      <c r="I226" s="1" t="s">
        <v>7346</v>
      </c>
      <c r="J226" s="12" t="str">
        <f t="shared" si="6"/>
        <v>(${Variables:E2_4_1_18_kcat} * E2_4_1_18 * G10495 )/(${Variables:E2_4_1_18_km} + (E2_4_1_18 * G10495 ))</v>
      </c>
      <c r="K226" s="36" t="str">
        <f t="shared" si="7"/>
        <v>r225: G10495  -&gt; G10545 | (${Variables:E2_4_1_18_kcat} * E2_4_1_18 * G10495 )/(${Variables:E2_4_1_18_km} + (E2_4_1_18 * G10495 ))</v>
      </c>
    </row>
    <row r="227" spans="1:11" ht="58" x14ac:dyDescent="0.35">
      <c r="A227" s="1" t="s">
        <v>1958</v>
      </c>
      <c r="B227" s="1" t="s">
        <v>1959</v>
      </c>
      <c r="C227" s="1" t="s">
        <v>9850</v>
      </c>
      <c r="D227" s="1">
        <v>226</v>
      </c>
      <c r="E227" s="1" t="str">
        <f>CONCATENATE("E",Reactions!C227)</f>
        <v>E2_4_1_21</v>
      </c>
      <c r="F227" s="1" t="s">
        <v>10878</v>
      </c>
      <c r="G227" s="1" t="s">
        <v>11951</v>
      </c>
      <c r="H227" s="1" t="s">
        <v>10879</v>
      </c>
      <c r="I227" s="1" t="s">
        <v>12572</v>
      </c>
      <c r="J227" s="12" t="str">
        <f t="shared" si="6"/>
        <v>(${Variables:E2_4_1_21_kcat} * E2_4_1_21 * C00498*C00718 )/(${Variables:E2_4_1_21_km} + (E2_4_1_21 * C00498*C00718 ))</v>
      </c>
      <c r="K227" s="36" t="str">
        <f t="shared" si="7"/>
        <v>r226: C00498+C00718  -&gt; C00008+C00718 | (${Variables:E2_4_1_21_kcat} * E2_4_1_21 * C00498*C00718 )/(${Variables:E2_4_1_21_km} + (E2_4_1_21 * C00498*C00718 ))</v>
      </c>
    </row>
    <row r="228" spans="1:11" ht="58" x14ac:dyDescent="0.35">
      <c r="A228" s="1" t="s">
        <v>1958</v>
      </c>
      <c r="B228" s="1" t="s">
        <v>1959</v>
      </c>
      <c r="C228" s="1" t="s">
        <v>9850</v>
      </c>
      <c r="D228" s="1">
        <v>227</v>
      </c>
      <c r="E228" s="1" t="str">
        <f>CONCATENATE("E",Reactions!C228)</f>
        <v>E2_4_1_21</v>
      </c>
      <c r="F228" s="5" t="s">
        <v>10880</v>
      </c>
      <c r="G228" s="5" t="s">
        <v>11952</v>
      </c>
      <c r="H228" s="5" t="s">
        <v>10881</v>
      </c>
      <c r="I228" s="5" t="s">
        <v>12573</v>
      </c>
      <c r="J228" s="12" t="str">
        <f t="shared" si="6"/>
        <v>(${Variables:E2_4_1_21_kcat} * E2_4_1_21 * G10495*G11109 )/(${Variables:E2_4_1_21_km} + (E2_4_1_21 * G10495*G11109 ))</v>
      </c>
      <c r="K228" s="36" t="str">
        <f t="shared" si="7"/>
        <v>r227: G10495+G11109  -&gt; G10495+G11113 | (${Variables:E2_4_1_21_kcat} * E2_4_1_21 * G10495*G11109 )/(${Variables:E2_4_1_21_km} + (E2_4_1_21 * G10495*G11109 ))</v>
      </c>
    </row>
    <row r="229" spans="1:11" ht="58" x14ac:dyDescent="0.35">
      <c r="A229" s="1" t="s">
        <v>2358</v>
      </c>
      <c r="B229" s="1" t="s">
        <v>2359</v>
      </c>
      <c r="C229" s="1" t="s">
        <v>9851</v>
      </c>
      <c r="D229" s="1">
        <v>228</v>
      </c>
      <c r="E229" s="1" t="str">
        <f>CONCATENATE("E",Reactions!C229)</f>
        <v>E2_4_1_227</v>
      </c>
      <c r="F229" s="5" t="s">
        <v>10882</v>
      </c>
      <c r="G229" s="5" t="s">
        <v>11953</v>
      </c>
      <c r="H229" s="5" t="s">
        <v>10883</v>
      </c>
      <c r="I229" s="5" t="s">
        <v>12574</v>
      </c>
      <c r="J229" s="12" t="str">
        <f t="shared" si="6"/>
        <v>(${Variables:E2_4_1_227_kcat} * E2_4_1_227 * C04851*C00043)/(${Variables:E2_4_1_227_km} + (E2_4_1_227 * C04851*C00043))</v>
      </c>
      <c r="K229" s="36" t="str">
        <f t="shared" si="7"/>
        <v>r228: C04851+C00043 -&gt; C05893+C00015 | (${Variables:E2_4_1_227_kcat} * E2_4_1_227 * C04851*C00043)/(${Variables:E2_4_1_227_km} + (E2_4_1_227 * C04851*C00043))</v>
      </c>
    </row>
    <row r="230" spans="1:11" ht="58" x14ac:dyDescent="0.35">
      <c r="A230" s="1" t="s">
        <v>2358</v>
      </c>
      <c r="B230" s="1" t="s">
        <v>2359</v>
      </c>
      <c r="C230" s="1" t="s">
        <v>9851</v>
      </c>
      <c r="D230" s="1">
        <v>229</v>
      </c>
      <c r="E230" s="1" t="str">
        <f>CONCATENATE("E",Reactions!C230)</f>
        <v>E2_4_1_227</v>
      </c>
      <c r="F230" s="5" t="s">
        <v>10884</v>
      </c>
      <c r="G230" s="5" t="s">
        <v>11954</v>
      </c>
      <c r="H230" s="5" t="s">
        <v>10885</v>
      </c>
      <c r="I230" s="5" t="s">
        <v>12575</v>
      </c>
      <c r="J230" s="12" t="str">
        <f t="shared" si="6"/>
        <v>(${Variables:E2_4_1_227_kcat} * E2_4_1_227 * G10552*G10610)/(${Variables:E2_4_1_227_km} + (E2_4_1_227 * G10552*G10610))</v>
      </c>
      <c r="K230" s="36" t="str">
        <f t="shared" si="7"/>
        <v>r229: G10552+G10610 -&gt; G10553+G10619 | (${Variables:E2_4_1_227_kcat} * E2_4_1_227 * G10552*G10610)/(${Variables:E2_4_1_227_km} + (E2_4_1_227 * G10552*G10610))</v>
      </c>
    </row>
    <row r="231" spans="1:11" ht="58" x14ac:dyDescent="0.35">
      <c r="A231" s="1" t="s">
        <v>2358</v>
      </c>
      <c r="B231" s="1" t="s">
        <v>2359</v>
      </c>
      <c r="C231" s="1" t="s">
        <v>9851</v>
      </c>
      <c r="D231" s="1">
        <v>230</v>
      </c>
      <c r="E231" s="1" t="str">
        <f>CONCATENATE("E",Reactions!C231)</f>
        <v>E2_4_1_227</v>
      </c>
      <c r="F231" s="5" t="s">
        <v>10886</v>
      </c>
      <c r="G231" s="5" t="s">
        <v>11955</v>
      </c>
      <c r="H231" s="5" t="s">
        <v>10887</v>
      </c>
      <c r="I231" s="5" t="s">
        <v>12576</v>
      </c>
      <c r="J231" s="12" t="str">
        <f t="shared" si="6"/>
        <v>(${Variables:E2_4_1_227_kcat} * E2_4_1_227 * C05897*C00043)/(${Variables:E2_4_1_227_km} + (E2_4_1_227 * C05897*C00043))</v>
      </c>
      <c r="K231" s="36" t="str">
        <f t="shared" si="7"/>
        <v>r230: C05897+C00043 -&gt; C05898+C00015 | (${Variables:E2_4_1_227_kcat} * E2_4_1_227 * C05897*C00043)/(${Variables:E2_4_1_227_km} + (E2_4_1_227 * C05897*C00043))</v>
      </c>
    </row>
    <row r="232" spans="1:11" ht="58" x14ac:dyDescent="0.35">
      <c r="A232" s="1" t="s">
        <v>2358</v>
      </c>
      <c r="B232" s="1" t="s">
        <v>2359</v>
      </c>
      <c r="C232" s="1" t="s">
        <v>9851</v>
      </c>
      <c r="D232" s="1">
        <v>231</v>
      </c>
      <c r="E232" s="1" t="str">
        <f>CONCATENATE("E",Reactions!C232)</f>
        <v>E2_4_1_227</v>
      </c>
      <c r="F232" s="5" t="s">
        <v>10888</v>
      </c>
      <c r="G232" s="5" t="s">
        <v>11956</v>
      </c>
      <c r="H232" s="5" t="s">
        <v>10889</v>
      </c>
      <c r="I232" s="5" t="s">
        <v>12577</v>
      </c>
      <c r="J232" s="12" t="str">
        <f t="shared" si="6"/>
        <v>(${Variables:E2_4_1_227_kcat} * E2_4_1_227 * G10551*G10610)/(${Variables:E2_4_1_227_km} + (E2_4_1_227 * G10551*G10610))</v>
      </c>
      <c r="K232" s="36" t="str">
        <f t="shared" si="7"/>
        <v>r231: G10551+G10610 -&gt; G10550+G10619 | (${Variables:E2_4_1_227_kcat} * E2_4_1_227 * G10551*G10610)/(${Variables:E2_4_1_227_km} + (E2_4_1_227 * G10551*G10610))</v>
      </c>
    </row>
    <row r="233" spans="1:11" ht="58" x14ac:dyDescent="0.35">
      <c r="A233" s="1" t="s">
        <v>2358</v>
      </c>
      <c r="B233" s="1" t="s">
        <v>2359</v>
      </c>
      <c r="C233" s="1" t="s">
        <v>9851</v>
      </c>
      <c r="D233" s="1">
        <v>232</v>
      </c>
      <c r="E233" s="1" t="str">
        <f>CONCATENATE("E",Reactions!C233)</f>
        <v>E2_4_1_227</v>
      </c>
      <c r="F233" s="5" t="s">
        <v>10890</v>
      </c>
      <c r="G233" s="5" t="s">
        <v>11957</v>
      </c>
      <c r="H233" s="5" t="s">
        <v>10891</v>
      </c>
      <c r="I233" s="5" t="s">
        <v>12578</v>
      </c>
      <c r="J233" s="12" t="str">
        <f t="shared" si="6"/>
        <v>(${Variables:E2_4_1_227_kcat} * E2_4_1_227 * G10556*G10610)/(${Variables:E2_4_1_227_km} + (E2_4_1_227 * G10556*G10610))</v>
      </c>
      <c r="K233" s="36" t="str">
        <f t="shared" si="7"/>
        <v>r232: G10556+G10610 -&gt; G10555+G10619 | (${Variables:E2_4_1_227_kcat} * E2_4_1_227 * G10556*G10610)/(${Variables:E2_4_1_227_km} + (E2_4_1_227 * G10556*G10610))</v>
      </c>
    </row>
    <row r="234" spans="1:11" ht="58" x14ac:dyDescent="0.35">
      <c r="A234" s="1" t="s">
        <v>3267</v>
      </c>
      <c r="B234" s="1" t="s">
        <v>3268</v>
      </c>
      <c r="C234" s="1" t="s">
        <v>9852</v>
      </c>
      <c r="D234" s="1">
        <v>233</v>
      </c>
      <c r="E234" s="1" t="str">
        <f>CONCATENATE("E",Reactions!C234)</f>
        <v>E2_4_1_25</v>
      </c>
      <c r="F234" s="5" t="s">
        <v>10892</v>
      </c>
      <c r="G234" s="5" t="s">
        <v>11958</v>
      </c>
      <c r="H234" s="5" t="s">
        <v>8186</v>
      </c>
      <c r="I234" s="5" t="s">
        <v>8186</v>
      </c>
      <c r="J234" s="12" t="str">
        <f t="shared" si="6"/>
        <v>(${Variables:E2_4_1_25_kcat} * E2_4_1_25 * C00718*C00031 )/(${Variables:E2_4_1_25_km} + (E2_4_1_25 * C00718*C00031 ))</v>
      </c>
      <c r="K234" s="36" t="str">
        <f t="shared" si="7"/>
        <v>r233: C00718+C00031  -&gt; C00208 | (${Variables:E2_4_1_25_kcat} * E2_4_1_25 * C00718*C00031 )/(${Variables:E2_4_1_25_km} + (E2_4_1_25 * C00718*C00031 ))</v>
      </c>
    </row>
    <row r="235" spans="1:11" ht="58" x14ac:dyDescent="0.35">
      <c r="A235" s="1" t="s">
        <v>3267</v>
      </c>
      <c r="B235" s="1" t="s">
        <v>3268</v>
      </c>
      <c r="C235" s="1" t="s">
        <v>9852</v>
      </c>
      <c r="D235" s="1">
        <v>234</v>
      </c>
      <c r="E235" s="1" t="str">
        <f>CONCATENATE("E",Reactions!C235)</f>
        <v>E2_4_1_25</v>
      </c>
      <c r="F235" s="5" t="s">
        <v>10893</v>
      </c>
      <c r="G235" s="5" t="s">
        <v>11959</v>
      </c>
      <c r="H235" s="5" t="s">
        <v>9063</v>
      </c>
      <c r="I235" s="5" t="s">
        <v>9063</v>
      </c>
      <c r="J235" s="12" t="str">
        <f t="shared" si="6"/>
        <v>(${Variables:E2_4_1_25_kcat} * E2_4_1_25 * G10495*C00031 )/(${Variables:E2_4_1_25_km} + (E2_4_1_25 * G10495*C00031 ))</v>
      </c>
      <c r="K235" s="36" t="str">
        <f t="shared" si="7"/>
        <v>r234: G10495+C00031  -&gt; G00275 | (${Variables:E2_4_1_25_kcat} * E2_4_1_25 * G10495*C00031 )/(${Variables:E2_4_1_25_km} + (E2_4_1_25 * G10495*C00031 ))</v>
      </c>
    </row>
    <row r="236" spans="1:11" ht="58" x14ac:dyDescent="0.35">
      <c r="A236" s="1" t="s">
        <v>2573</v>
      </c>
      <c r="B236" s="1" t="s">
        <v>2574</v>
      </c>
      <c r="C236" s="1" t="s">
        <v>9853</v>
      </c>
      <c r="D236" s="1">
        <v>235</v>
      </c>
      <c r="E236" s="1" t="str">
        <f>CONCATENATE("E",Reactions!C236)</f>
        <v>E2_4_1_5</v>
      </c>
      <c r="F236" s="5" t="s">
        <v>10894</v>
      </c>
      <c r="G236" s="5" t="s">
        <v>11960</v>
      </c>
      <c r="H236" s="5" t="s">
        <v>10895</v>
      </c>
      <c r="I236" s="5" t="s">
        <v>12579</v>
      </c>
      <c r="J236" s="12" t="str">
        <f t="shared" si="6"/>
        <v>(${Variables:E2_4_1_5_kcat} * E2_4_1_5 * C00089*C00372)/(${Variables:E2_4_1_5_km} + (E2_4_1_5 * C00089*C00372))</v>
      </c>
      <c r="K236" s="36" t="str">
        <f t="shared" si="7"/>
        <v>r235: C00089+C00372 -&gt; C00095+C00372 | (${Variables:E2_4_1_5_kcat} * E2_4_1_5 * C00089*C00372)/(${Variables:E2_4_1_5_km} + (E2_4_1_5 * C00089*C00372))</v>
      </c>
    </row>
    <row r="237" spans="1:11" ht="58" x14ac:dyDescent="0.35">
      <c r="A237" s="1" t="s">
        <v>2573</v>
      </c>
      <c r="B237" s="1" t="s">
        <v>2574</v>
      </c>
      <c r="C237" s="1" t="s">
        <v>9853</v>
      </c>
      <c r="D237" s="1">
        <v>236</v>
      </c>
      <c r="E237" s="1" t="str">
        <f>CONCATENATE("E",Reactions!C237)</f>
        <v>E2_4_1_5</v>
      </c>
      <c r="F237" s="5" t="s">
        <v>10896</v>
      </c>
      <c r="G237" s="5" t="s">
        <v>11961</v>
      </c>
      <c r="H237" s="5" t="s">
        <v>10897</v>
      </c>
      <c r="I237" s="5" t="s">
        <v>12580</v>
      </c>
      <c r="J237" s="12" t="str">
        <f t="shared" si="6"/>
        <v>(${Variables:E2_4_1_5_kcat} * E2_4_1_5 * G10502*G00370)/(${Variables:E2_4_1_5_km} + (E2_4_1_5 * G10502*G00370))</v>
      </c>
      <c r="K237" s="36" t="str">
        <f t="shared" si="7"/>
        <v>r236: G10502+G00370 -&gt; G10502+C00095 | (${Variables:E2_4_1_5_kcat} * E2_4_1_5 * G10502*G00370)/(${Variables:E2_4_1_5_km} + (E2_4_1_5 * G10502*G00370))</v>
      </c>
    </row>
    <row r="238" spans="1:11" ht="58" x14ac:dyDescent="0.35">
      <c r="A238" s="1" t="s">
        <v>4037</v>
      </c>
      <c r="B238" s="1" t="s">
        <v>4038</v>
      </c>
      <c r="C238" s="1" t="s">
        <v>9854</v>
      </c>
      <c r="D238" s="1">
        <v>237</v>
      </c>
      <c r="E238" s="1" t="str">
        <f>CONCATENATE("E",Reactions!C238)</f>
        <v>E2_4_1_80</v>
      </c>
      <c r="F238" s="1" t="s">
        <v>10898</v>
      </c>
      <c r="G238" s="1" t="s">
        <v>11962</v>
      </c>
      <c r="H238" s="1" t="s">
        <v>10899</v>
      </c>
      <c r="I238" s="1" t="s">
        <v>12581</v>
      </c>
      <c r="J238" s="12" t="str">
        <f t="shared" si="6"/>
        <v>(${Variables:E2_4_1_80_kcat} * E2_4_1_80 * C00029*C00195)/(${Variables:E2_4_1_80_km} + (E2_4_1_80 * C00029*C00195))</v>
      </c>
      <c r="K238" s="36" t="str">
        <f t="shared" si="7"/>
        <v>r237: C00029+C00195 -&gt; C00015+C01190 | (${Variables:E2_4_1_80_kcat} * E2_4_1_80 * C00029*C00195)/(${Variables:E2_4_1_80_km} + (E2_4_1_80 * C00029*C00195))</v>
      </c>
    </row>
    <row r="239" spans="1:11" ht="58" x14ac:dyDescent="0.35">
      <c r="A239" s="1" t="s">
        <v>4037</v>
      </c>
      <c r="B239" s="1" t="s">
        <v>4038</v>
      </c>
      <c r="C239" s="1" t="s">
        <v>9854</v>
      </c>
      <c r="D239" s="1">
        <v>238</v>
      </c>
      <c r="E239" s="1" t="str">
        <f>CONCATENATE("E",Reactions!C239)</f>
        <v>E2_4_1_80</v>
      </c>
      <c r="F239" s="1" t="s">
        <v>10900</v>
      </c>
      <c r="G239" s="1" t="s">
        <v>11963</v>
      </c>
      <c r="H239" s="1" t="s">
        <v>10901</v>
      </c>
      <c r="I239" s="1" t="s">
        <v>12582</v>
      </c>
      <c r="J239" s="12" t="str">
        <f t="shared" si="6"/>
        <v>(${Variables:E2_4_1_80_kcat} * E2_4_1_80 * G10608*C00195)/(${Variables:E2_4_1_80_km} + (E2_4_1_80 * G10608*C00195))</v>
      </c>
      <c r="K239" s="36" t="str">
        <f t="shared" si="7"/>
        <v>r238: G10608+C00195 -&gt; G10619+G10238 | (${Variables:E2_4_1_80_kcat} * E2_4_1_80 * G10608*C00195)/(${Variables:E2_4_1_80_km} + (E2_4_1_80 * G10608*C00195))</v>
      </c>
    </row>
    <row r="240" spans="1:11" ht="58" x14ac:dyDescent="0.35">
      <c r="A240" s="1" t="s">
        <v>6139</v>
      </c>
      <c r="B240" s="1" t="s">
        <v>6140</v>
      </c>
      <c r="C240" s="1" t="s">
        <v>9855</v>
      </c>
      <c r="D240" s="1">
        <v>239</v>
      </c>
      <c r="E240" s="1" t="str">
        <f>CONCATENATE("E",Reactions!C240)</f>
        <v>E2_4_1_83</v>
      </c>
      <c r="F240" s="1" t="s">
        <v>10902</v>
      </c>
      <c r="G240" s="1" t="s">
        <v>11964</v>
      </c>
      <c r="H240" s="1" t="s">
        <v>10903</v>
      </c>
      <c r="I240" s="1" t="s">
        <v>12583</v>
      </c>
      <c r="J240" s="12" t="str">
        <f t="shared" si="6"/>
        <v>(${Variables:E2_4_1_83_kcat} * E2_4_1_83 * C00096*C00110 )/(${Variables:E2_4_1_83_km} + (E2_4_1_83 * C00096*C00110 ))</v>
      </c>
      <c r="K240" s="36" t="str">
        <f t="shared" si="7"/>
        <v>r239: C00096+C00110  -&gt; C00035+C03862 | (${Variables:E2_4_1_83_kcat} * E2_4_1_83 * C00096*C00110 )/(${Variables:E2_4_1_83_km} + (E2_4_1_83 * C00096*C00110 ))</v>
      </c>
    </row>
    <row r="241" spans="1:11" ht="58" x14ac:dyDescent="0.35">
      <c r="A241" s="1" t="s">
        <v>3080</v>
      </c>
      <c r="B241" s="1" t="s">
        <v>3081</v>
      </c>
      <c r="C241" s="1" t="s">
        <v>9856</v>
      </c>
      <c r="D241" s="1">
        <v>240</v>
      </c>
      <c r="E241" s="1" t="str">
        <f>CONCATENATE("E",Reactions!C241)</f>
        <v>E2_4_2_1</v>
      </c>
      <c r="F241" s="1" t="s">
        <v>10904</v>
      </c>
      <c r="G241" s="1" t="s">
        <v>11965</v>
      </c>
      <c r="H241" s="1" t="s">
        <v>10905</v>
      </c>
      <c r="I241" s="1" t="s">
        <v>12584</v>
      </c>
      <c r="J241" s="12" t="str">
        <f t="shared" si="6"/>
        <v>(${Variables:E2_4_2_1_kcat} * E2_4_2_1 * C15586*C00009 )/(${Variables:E2_4_2_1_km} + (E2_4_2_1 * C15586*C00009 ))</v>
      </c>
      <c r="K241" s="36" t="str">
        <f t="shared" si="7"/>
        <v>r240: C15586+C00009  -&gt; C15587+C00620 | (${Variables:E2_4_2_1_kcat} * E2_4_2_1 * C15586*C00009 )/(${Variables:E2_4_2_1_km} + (E2_4_2_1 * C15586*C00009 ))</v>
      </c>
    </row>
    <row r="242" spans="1:11" ht="58" x14ac:dyDescent="0.35">
      <c r="A242" s="1" t="s">
        <v>3080</v>
      </c>
      <c r="B242" s="1" t="s">
        <v>3081</v>
      </c>
      <c r="C242" s="1" t="s">
        <v>9856</v>
      </c>
      <c r="D242" s="1">
        <v>241</v>
      </c>
      <c r="E242" s="1" t="str">
        <f>CONCATENATE("E",Reactions!C242)</f>
        <v>E2_4_2_1</v>
      </c>
      <c r="F242" s="1" t="s">
        <v>10906</v>
      </c>
      <c r="G242" s="1" t="s">
        <v>11966</v>
      </c>
      <c r="H242" s="1" t="s">
        <v>10907</v>
      </c>
      <c r="I242" s="1" t="s">
        <v>12585</v>
      </c>
      <c r="J242" s="12" t="str">
        <f t="shared" si="6"/>
        <v>(${Variables:E2_4_2_1_kcat} * E2_4_2_1 * C00212*C00009)/(${Variables:E2_4_2_1_km} + (E2_4_2_1 * C00212*C00009))</v>
      </c>
      <c r="K242" s="36" t="str">
        <f t="shared" si="7"/>
        <v>r241: C00212+C00009 -&gt; C00147+C00620 | (${Variables:E2_4_2_1_kcat} * E2_4_2_1 * C00212*C00009)/(${Variables:E2_4_2_1_km} + (E2_4_2_1 * C00212*C00009))</v>
      </c>
    </row>
    <row r="243" spans="1:11" ht="58" x14ac:dyDescent="0.35">
      <c r="A243" s="1" t="s">
        <v>3080</v>
      </c>
      <c r="B243" s="1" t="s">
        <v>3081</v>
      </c>
      <c r="C243" s="1" t="s">
        <v>9856</v>
      </c>
      <c r="D243" s="1">
        <v>242</v>
      </c>
      <c r="E243" s="1" t="str">
        <f>CONCATENATE("E",Reactions!C243)</f>
        <v>E2_4_2_1</v>
      </c>
      <c r="F243" s="1" t="s">
        <v>10908</v>
      </c>
      <c r="G243" s="1" t="s">
        <v>11967</v>
      </c>
      <c r="H243" s="1" t="s">
        <v>10909</v>
      </c>
      <c r="I243" s="1" t="s">
        <v>12586</v>
      </c>
      <c r="J243" s="12" t="str">
        <f t="shared" si="6"/>
        <v>(${Variables:E2_4_2_1_kcat} * E2_4_2_1 * C00294*C00009)/(${Variables:E2_4_2_1_km} + (E2_4_2_1 * C00294*C00009))</v>
      </c>
      <c r="K243" s="36" t="str">
        <f t="shared" si="7"/>
        <v>r242: C00294+C00009 -&gt; C00262+C00620 | (${Variables:E2_4_2_1_kcat} * E2_4_2_1 * C00294*C00009)/(${Variables:E2_4_2_1_km} + (E2_4_2_1 * C00294*C00009))</v>
      </c>
    </row>
    <row r="244" spans="1:11" ht="58" x14ac:dyDescent="0.35">
      <c r="A244" s="1" t="s">
        <v>3080</v>
      </c>
      <c r="B244" s="1" t="s">
        <v>3081</v>
      </c>
      <c r="C244" s="1" t="s">
        <v>9856</v>
      </c>
      <c r="D244" s="1">
        <v>243</v>
      </c>
      <c r="E244" s="1" t="str">
        <f>CONCATENATE("E",Reactions!C244)</f>
        <v>E2_4_2_1</v>
      </c>
      <c r="F244" s="1" t="s">
        <v>10910</v>
      </c>
      <c r="G244" s="1" t="s">
        <v>11968</v>
      </c>
      <c r="H244" s="1" t="s">
        <v>10911</v>
      </c>
      <c r="I244" s="1" t="s">
        <v>12587</v>
      </c>
      <c r="J244" s="12" t="str">
        <f t="shared" si="6"/>
        <v>(${Variables:E2_4_2_1_kcat} * E2_4_2_1 * C00387*C00009)/(${Variables:E2_4_2_1_km} + (E2_4_2_1 * C00387*C00009))</v>
      </c>
      <c r="K244" s="36" t="str">
        <f t="shared" si="7"/>
        <v>r243: C00387+C00009 -&gt; C00242+C00620 | (${Variables:E2_4_2_1_kcat} * E2_4_2_1 * C00387*C00009)/(${Variables:E2_4_2_1_km} + (E2_4_2_1 * C00387*C00009))</v>
      </c>
    </row>
    <row r="245" spans="1:11" ht="58" x14ac:dyDescent="0.35">
      <c r="A245" s="1" t="s">
        <v>3080</v>
      </c>
      <c r="B245" s="1" t="s">
        <v>3081</v>
      </c>
      <c r="C245" s="1" t="s">
        <v>9856</v>
      </c>
      <c r="D245" s="1">
        <v>244</v>
      </c>
      <c r="E245" s="1" t="str">
        <f>CONCATENATE("E",Reactions!C245)</f>
        <v>E2_4_2_1</v>
      </c>
      <c r="F245" s="1" t="s">
        <v>10912</v>
      </c>
      <c r="G245" s="1" t="s">
        <v>11969</v>
      </c>
      <c r="H245" s="1" t="s">
        <v>10913</v>
      </c>
      <c r="I245" s="1" t="s">
        <v>12588</v>
      </c>
      <c r="J245" s="12" t="str">
        <f t="shared" si="6"/>
        <v>(${Variables:E2_4_2_1_kcat} * E2_4_2_1 * C01762*C00009 )/(${Variables:E2_4_2_1_km} + (E2_4_2_1 * C01762*C00009 ))</v>
      </c>
      <c r="K245" s="36" t="str">
        <f t="shared" si="7"/>
        <v>r244: C01762+C00009  -&gt; C00385+C00620 | (${Variables:E2_4_2_1_kcat} * E2_4_2_1 * C01762*C00009 )/(${Variables:E2_4_2_1_km} + (E2_4_2_1 * C01762*C00009 ))</v>
      </c>
    </row>
    <row r="246" spans="1:11" ht="58" x14ac:dyDescent="0.35">
      <c r="A246" s="1" t="s">
        <v>3080</v>
      </c>
      <c r="B246" s="1" t="s">
        <v>3081</v>
      </c>
      <c r="C246" s="1" t="s">
        <v>9856</v>
      </c>
      <c r="D246" s="1">
        <v>245</v>
      </c>
      <c r="E246" s="1" t="str">
        <f>CONCATENATE("E",Reactions!C246)</f>
        <v>E2_4_2_1</v>
      </c>
      <c r="F246" s="1" t="s">
        <v>10914</v>
      </c>
      <c r="G246" s="1" t="s">
        <v>11970</v>
      </c>
      <c r="H246" s="1" t="s">
        <v>10915</v>
      </c>
      <c r="I246" s="1" t="s">
        <v>12589</v>
      </c>
      <c r="J246" s="12" t="str">
        <f t="shared" si="6"/>
        <v>(${Variables:E2_4_2_1_kcat} * E2_4_2_1 * C20463*C00009 )/(${Variables:E2_4_2_1_km} + (E2_4_2_1 * C20463*C00009 ))</v>
      </c>
      <c r="K246" s="36" t="str">
        <f t="shared" si="7"/>
        <v>r245: C20463+C00009  -&gt; C15587+C00672 | (${Variables:E2_4_2_1_kcat} * E2_4_2_1 * C20463*C00009 )/(${Variables:E2_4_2_1_km} + (E2_4_2_1 * C20463*C00009 ))</v>
      </c>
    </row>
    <row r="247" spans="1:11" ht="58" x14ac:dyDescent="0.35">
      <c r="A247" s="1" t="s">
        <v>3080</v>
      </c>
      <c r="B247" s="1" t="s">
        <v>3081</v>
      </c>
      <c r="C247" s="1" t="s">
        <v>9856</v>
      </c>
      <c r="D247" s="1">
        <v>246</v>
      </c>
      <c r="E247" s="1" t="str">
        <f>CONCATENATE("E",Reactions!C247)</f>
        <v>E2_4_2_1</v>
      </c>
      <c r="F247" s="1" t="s">
        <v>10916</v>
      </c>
      <c r="G247" s="1" t="s">
        <v>11971</v>
      </c>
      <c r="H247" s="1" t="s">
        <v>10917</v>
      </c>
      <c r="I247" s="1" t="s">
        <v>12590</v>
      </c>
      <c r="J247" s="12" t="str">
        <f t="shared" si="6"/>
        <v>(${Variables:E2_4_2_1_kcat} * E2_4_2_1 * C00330*C00009 )/(${Variables:E2_4_2_1_km} + (E2_4_2_1 * C00330*C00009 ))</v>
      </c>
      <c r="K247" s="36" t="str">
        <f t="shared" si="7"/>
        <v>r246: C00330+C00009  -&gt; C00242+C00672 | (${Variables:E2_4_2_1_kcat} * E2_4_2_1 * C00330*C00009 )/(${Variables:E2_4_2_1_km} + (E2_4_2_1 * C00330*C00009 ))</v>
      </c>
    </row>
    <row r="248" spans="1:11" ht="58" x14ac:dyDescent="0.35">
      <c r="A248" s="1" t="s">
        <v>3080</v>
      </c>
      <c r="B248" s="1" t="s">
        <v>3081</v>
      </c>
      <c r="C248" s="1" t="s">
        <v>9856</v>
      </c>
      <c r="D248" s="1">
        <v>247</v>
      </c>
      <c r="E248" s="1" t="str">
        <f>CONCATENATE("E",Reactions!C248)</f>
        <v>E2_4_2_1</v>
      </c>
      <c r="F248" s="1" t="s">
        <v>10918</v>
      </c>
      <c r="G248" s="1" t="s">
        <v>11972</v>
      </c>
      <c r="H248" s="1" t="s">
        <v>10919</v>
      </c>
      <c r="I248" s="1" t="s">
        <v>12591</v>
      </c>
      <c r="J248" s="12" t="str">
        <f t="shared" si="6"/>
        <v>(${Variables:E2_4_2_1_kcat} * E2_4_2_1 * C00559*C00009 )/(${Variables:E2_4_2_1_km} + (E2_4_2_1 * C00559*C00009 ))</v>
      </c>
      <c r="K248" s="36" t="str">
        <f t="shared" si="7"/>
        <v>r247: C00559+C00009  -&gt; C00147+C00672 | (${Variables:E2_4_2_1_kcat} * E2_4_2_1 * C00559*C00009 )/(${Variables:E2_4_2_1_km} + (E2_4_2_1 * C00559*C00009 ))</v>
      </c>
    </row>
    <row r="249" spans="1:11" ht="58" x14ac:dyDescent="0.35">
      <c r="A249" s="1" t="s">
        <v>3080</v>
      </c>
      <c r="B249" s="1" t="s">
        <v>3081</v>
      </c>
      <c r="C249" s="1" t="s">
        <v>9856</v>
      </c>
      <c r="D249" s="1">
        <v>248</v>
      </c>
      <c r="E249" s="1" t="str">
        <f>CONCATENATE("E",Reactions!C249)</f>
        <v>E2_4_2_1</v>
      </c>
      <c r="F249" s="1" t="s">
        <v>10920</v>
      </c>
      <c r="G249" s="1" t="s">
        <v>11973</v>
      </c>
      <c r="H249" s="1" t="s">
        <v>10921</v>
      </c>
      <c r="I249" s="1" t="s">
        <v>12592</v>
      </c>
      <c r="J249" s="12" t="str">
        <f t="shared" si="6"/>
        <v>(${Variables:E2_4_2_1_kcat} * E2_4_2_1 * C05512*C00009 )/(${Variables:E2_4_2_1_km} + (E2_4_2_1 * C05512*C00009 ))</v>
      </c>
      <c r="K249" s="36" t="str">
        <f t="shared" si="7"/>
        <v>r248: C05512+C00009  -&gt; C00262+C00672 | (${Variables:E2_4_2_1_kcat} * E2_4_2_1 * C05512*C00009 )/(${Variables:E2_4_2_1_km} + (E2_4_2_1 * C05512*C00009 ))</v>
      </c>
    </row>
    <row r="250" spans="1:11" ht="58" x14ac:dyDescent="0.35">
      <c r="A250" s="1" t="s">
        <v>3080</v>
      </c>
      <c r="B250" s="1" t="s">
        <v>3081</v>
      </c>
      <c r="C250" s="1" t="s">
        <v>9856</v>
      </c>
      <c r="D250" s="1">
        <v>249</v>
      </c>
      <c r="E250" s="1" t="str">
        <f>CONCATENATE("E",Reactions!C250)</f>
        <v>E2_4_2_1</v>
      </c>
      <c r="F250" s="1" t="s">
        <v>10922</v>
      </c>
      <c r="G250" s="1" t="s">
        <v>11974</v>
      </c>
      <c r="H250" s="1" t="s">
        <v>10923</v>
      </c>
      <c r="I250" s="1" t="s">
        <v>12593</v>
      </c>
      <c r="J250" s="12" t="str">
        <f t="shared" si="6"/>
        <v>(${Variables:E2_4_2_1_kcat} * E2_4_2_1 * C03150*C00009)/(${Variables:E2_4_2_1_km} + (E2_4_2_1 * C03150*C00009))</v>
      </c>
      <c r="K250" s="36" t="str">
        <f t="shared" si="7"/>
        <v>r249: C03150+C00009 -&gt; C00153+C00620 | (${Variables:E2_4_2_1_kcat} * E2_4_2_1 * C03150*C00009)/(${Variables:E2_4_2_1_km} + (E2_4_2_1 * C03150*C00009))</v>
      </c>
    </row>
    <row r="251" spans="1:11" ht="58" x14ac:dyDescent="0.35">
      <c r="A251" s="1" t="s">
        <v>3080</v>
      </c>
      <c r="B251" s="1" t="s">
        <v>3081</v>
      </c>
      <c r="C251" s="1" t="s">
        <v>9856</v>
      </c>
      <c r="D251" s="1">
        <v>250</v>
      </c>
      <c r="E251" s="1" t="str">
        <f>CONCATENATE("E",Reactions!C251)</f>
        <v>E2_4_2_1</v>
      </c>
      <c r="F251" s="1" t="s">
        <v>10924</v>
      </c>
      <c r="G251" s="1" t="s">
        <v>11975</v>
      </c>
      <c r="H251" s="1" t="s">
        <v>10925</v>
      </c>
      <c r="I251" s="1" t="s">
        <v>12594</v>
      </c>
      <c r="J251" s="12" t="str">
        <f t="shared" si="6"/>
        <v>(${Variables:E2_4_2_1_kcat} * E2_4_2_1 * C05841*C00009 )/(${Variables:E2_4_2_1_km} + (E2_4_2_1 * C05841*C00009 ))</v>
      </c>
      <c r="K251" s="36" t="str">
        <f t="shared" si="7"/>
        <v>r250: C05841+C00009  -&gt; C00253+C00620+C00080 | (${Variables:E2_4_2_1_kcat} * E2_4_2_1 * C05841*C00009 )/(${Variables:E2_4_2_1_km} + (E2_4_2_1 * C05841*C00009 ))</v>
      </c>
    </row>
    <row r="252" spans="1:11" ht="58" x14ac:dyDescent="0.35">
      <c r="A252" s="1" t="s">
        <v>3383</v>
      </c>
      <c r="B252" s="1" t="s">
        <v>3384</v>
      </c>
      <c r="C252" s="1" t="s">
        <v>9857</v>
      </c>
      <c r="D252" s="1">
        <v>251</v>
      </c>
      <c r="E252" s="1" t="str">
        <f>CONCATENATE("E",Reactions!C252)</f>
        <v>E2_4_2_10</v>
      </c>
      <c r="F252" s="1" t="s">
        <v>10926</v>
      </c>
      <c r="G252" s="1" t="s">
        <v>11976</v>
      </c>
      <c r="H252" s="1" t="s">
        <v>10927</v>
      </c>
      <c r="I252" s="1" t="s">
        <v>12595</v>
      </c>
      <c r="J252" s="12" t="str">
        <f t="shared" si="6"/>
        <v>(${Variables:E2_4_2_10_kcat} * E2_4_2_10 * C01103*C00013)/(${Variables:E2_4_2_10_km} + (E2_4_2_10 * C01103*C00013))</v>
      </c>
      <c r="K252" s="36" t="str">
        <f t="shared" si="7"/>
        <v>r251: C01103+C00013 -&gt; C00295+C00119 | (${Variables:E2_4_2_10_kcat} * E2_4_2_10 * C01103*C00013)/(${Variables:E2_4_2_10_km} + (E2_4_2_10 * C01103*C00013))</v>
      </c>
    </row>
    <row r="253" spans="1:11" ht="58" x14ac:dyDescent="0.35">
      <c r="A253" s="1" t="s">
        <v>3383</v>
      </c>
      <c r="B253" s="1" t="s">
        <v>3384</v>
      </c>
      <c r="C253" s="1" t="s">
        <v>9857</v>
      </c>
      <c r="D253" s="1">
        <v>252</v>
      </c>
      <c r="E253" s="1" t="str">
        <f>CONCATENATE("E",Reactions!C253)</f>
        <v>E2_4_2_10</v>
      </c>
      <c r="F253" s="1" t="s">
        <v>10928</v>
      </c>
      <c r="G253" s="1" t="s">
        <v>11977</v>
      </c>
      <c r="H253" s="1" t="s">
        <v>10929</v>
      </c>
      <c r="I253" s="1" t="s">
        <v>12596</v>
      </c>
      <c r="J253" s="12" t="str">
        <f t="shared" si="6"/>
        <v>(${Variables:E2_4_2_10_kcat} * E2_4_2_10 * C07649*C00119 )/(${Variables:E2_4_2_10_km} + (E2_4_2_10 * C07649*C00119 ))</v>
      </c>
      <c r="K253" s="36" t="str">
        <f t="shared" si="7"/>
        <v>r252: C07649+C00119  -&gt; C16634+C00013 | (${Variables:E2_4_2_10_kcat} * E2_4_2_10 * C07649*C00119 )/(${Variables:E2_4_2_10_km} + (E2_4_2_10 * C07649*C00119 ))</v>
      </c>
    </row>
    <row r="254" spans="1:11" ht="72.5" x14ac:dyDescent="0.35">
      <c r="A254" s="1" t="s">
        <v>154</v>
      </c>
      <c r="B254" s="1" t="s">
        <v>155</v>
      </c>
      <c r="C254" s="1" t="s">
        <v>9858</v>
      </c>
      <c r="D254" s="1">
        <v>253</v>
      </c>
      <c r="E254" s="1" t="str">
        <f>CONCATENATE("E",Reactions!C254)</f>
        <v>E2_4_2_14</v>
      </c>
      <c r="F254" s="1" t="s">
        <v>10930</v>
      </c>
      <c r="G254" s="1" t="s">
        <v>11978</v>
      </c>
      <c r="H254" s="1" t="s">
        <v>10931</v>
      </c>
      <c r="I254" s="1" t="s">
        <v>12597</v>
      </c>
      <c r="J254" s="12" t="str">
        <f t="shared" si="6"/>
        <v>(${Variables:E2_4_2_14_kcat} * E2_4_2_14 * C03090*C00013*C00025 )/(${Variables:E2_4_2_14_km} + (E2_4_2_14 * C03090*C00013*C00025 ))</v>
      </c>
      <c r="K254" s="36" t="str">
        <f t="shared" si="7"/>
        <v>r253: C03090+C00013+C00025  -&gt; C00064+C00119+C00001 | (${Variables:E2_4_2_14_kcat} * E2_4_2_14 * C03090*C00013*C00025 )/(${Variables:E2_4_2_14_km} + (E2_4_2_14 * C03090*C00013*C00025 ))</v>
      </c>
    </row>
    <row r="255" spans="1:11" ht="58" x14ac:dyDescent="0.35">
      <c r="A255" s="1" t="s">
        <v>2529</v>
      </c>
      <c r="B255" s="1" t="s">
        <v>2530</v>
      </c>
      <c r="C255" s="1" t="s">
        <v>9859</v>
      </c>
      <c r="D255" s="1">
        <v>254</v>
      </c>
      <c r="E255" s="1" t="str">
        <f>CONCATENATE("E",Reactions!C255)</f>
        <v>E2_4_2_17</v>
      </c>
      <c r="F255" s="1" t="s">
        <v>10932</v>
      </c>
      <c r="G255" s="1" t="s">
        <v>11979</v>
      </c>
      <c r="H255" s="1" t="s">
        <v>10933</v>
      </c>
      <c r="I255" s="1" t="s">
        <v>12598</v>
      </c>
      <c r="J255" s="12" t="str">
        <f t="shared" si="6"/>
        <v>(${Variables:E2_4_2_17_kcat} * E2_4_2_17 * C02739*C00013 )/(${Variables:E2_4_2_17_km} + (E2_4_2_17 * C02739*C00013 ))</v>
      </c>
      <c r="K255" s="36" t="str">
        <f t="shared" si="7"/>
        <v>r254: C02739+C00013  -&gt; C00002+C00119 | (${Variables:E2_4_2_17_kcat} * E2_4_2_17 * C02739*C00013 )/(${Variables:E2_4_2_17_km} + (E2_4_2_17 * C02739*C00013 ))</v>
      </c>
    </row>
    <row r="256" spans="1:11" ht="58" x14ac:dyDescent="0.35">
      <c r="A256" s="1" t="s">
        <v>4956</v>
      </c>
      <c r="B256" s="1" t="s">
        <v>4957</v>
      </c>
      <c r="C256" s="1" t="s">
        <v>9860</v>
      </c>
      <c r="D256" s="1">
        <v>255</v>
      </c>
      <c r="E256" s="1" t="str">
        <f>CONCATENATE("E",Reactions!C256)</f>
        <v>E2_4_2_18</v>
      </c>
      <c r="F256" s="1" t="s">
        <v>10934</v>
      </c>
      <c r="G256" s="1" t="s">
        <v>11980</v>
      </c>
      <c r="H256" s="1" t="s">
        <v>10935</v>
      </c>
      <c r="I256" s="1" t="s">
        <v>12599</v>
      </c>
      <c r="J256" s="12" t="str">
        <f t="shared" si="6"/>
        <v>(${Variables:E2_4_2_18_kcat} * E2_4_2_18 * C04302*C00013 )/(${Variables:E2_4_2_18_km} + (E2_4_2_18 * C04302*C00013 ))</v>
      </c>
      <c r="K256" s="36" t="str">
        <f t="shared" si="7"/>
        <v>r255: C04302+C00013  -&gt; C00108+C00119 | (${Variables:E2_4_2_18_kcat} * E2_4_2_18 * C04302*C00013 )/(${Variables:E2_4_2_18_km} + (E2_4_2_18 * C04302*C00013 ))</v>
      </c>
    </row>
    <row r="257" spans="1:11" ht="58" x14ac:dyDescent="0.35">
      <c r="A257" s="1" t="s">
        <v>3730</v>
      </c>
      <c r="B257" s="1" t="s">
        <v>3731</v>
      </c>
      <c r="C257" s="1" t="s">
        <v>9861</v>
      </c>
      <c r="D257" s="1">
        <v>256</v>
      </c>
      <c r="E257" s="1" t="str">
        <f>CONCATENATE("E",Reactions!C257)</f>
        <v>E2_4_2_2</v>
      </c>
      <c r="F257" s="1" t="s">
        <v>10936</v>
      </c>
      <c r="G257" s="1" t="s">
        <v>11981</v>
      </c>
      <c r="H257" s="1" t="s">
        <v>10937</v>
      </c>
      <c r="I257" s="1" t="s">
        <v>12600</v>
      </c>
      <c r="J257" s="12" t="str">
        <f t="shared" si="6"/>
        <v>(${Variables:E2_4_2_2_kcat} * E2_4_2_2 * C00214*C00009 )/(${Variables:E2_4_2_2_km} + (E2_4_2_2 * C00214*C00009 ))</v>
      </c>
      <c r="K257" s="36" t="str">
        <f t="shared" si="7"/>
        <v>r256: C00214+C00009  -&gt; C00178+C00672 | (${Variables:E2_4_2_2_kcat} * E2_4_2_2 * C00214*C00009 )/(${Variables:E2_4_2_2_km} + (E2_4_2_2 * C00214*C00009 ))</v>
      </c>
    </row>
    <row r="258" spans="1:11" ht="58" x14ac:dyDescent="0.35">
      <c r="A258" s="1" t="s">
        <v>3730</v>
      </c>
      <c r="B258" s="1" t="s">
        <v>3731</v>
      </c>
      <c r="C258" s="1" t="s">
        <v>9861</v>
      </c>
      <c r="D258" s="1">
        <v>257</v>
      </c>
      <c r="E258" s="1" t="str">
        <f>CONCATENATE("E",Reactions!C258)</f>
        <v>E2_4_2_2</v>
      </c>
      <c r="F258" s="1" t="s">
        <v>10938</v>
      </c>
      <c r="G258" s="1" t="s">
        <v>11982</v>
      </c>
      <c r="H258" s="1" t="s">
        <v>10939</v>
      </c>
      <c r="I258" s="1" t="s">
        <v>12601</v>
      </c>
      <c r="J258" s="12" t="str">
        <f t="shared" si="6"/>
        <v>(${Variables:E2_4_2_2_kcat} * E2_4_2_2 * C00299*C00009)/(${Variables:E2_4_2_2_km} + (E2_4_2_2 * C00299*C00009))</v>
      </c>
      <c r="K258" s="36" t="str">
        <f t="shared" si="7"/>
        <v>r257: C00299+C00009 -&gt; C00106+C00620 | (${Variables:E2_4_2_2_kcat} * E2_4_2_2 * C00299*C00009)/(${Variables:E2_4_2_2_km} + (E2_4_2_2 * C00299*C00009))</v>
      </c>
    </row>
    <row r="259" spans="1:11" ht="58" x14ac:dyDescent="0.35">
      <c r="A259" s="1" t="s">
        <v>3730</v>
      </c>
      <c r="B259" s="1" t="s">
        <v>3731</v>
      </c>
      <c r="C259" s="1" t="s">
        <v>9861</v>
      </c>
      <c r="D259" s="1">
        <v>258</v>
      </c>
      <c r="E259" s="1" t="str">
        <f>CONCATENATE("E",Reactions!C259)</f>
        <v>E2_4_2_2</v>
      </c>
      <c r="F259" s="1" t="s">
        <v>10940</v>
      </c>
      <c r="G259" s="1" t="s">
        <v>11983</v>
      </c>
      <c r="H259" s="1" t="s">
        <v>10941</v>
      </c>
      <c r="I259" s="1" t="s">
        <v>12602</v>
      </c>
      <c r="J259" s="12" t="str">
        <f t="shared" ref="J259:J322" si="8">CONCATENATE("(${Variables:",E259,"_kcat","} * ",E259," * ",G259,")","/(${Variables:",E259,"_km","} + (",E259," * ",G259,"))")</f>
        <v>(${Variables:E2_4_2_2_kcat} * E2_4_2_2 * C00475*C00009 )/(${Variables:E2_4_2_2_km} + (E2_4_2_2 * C00475*C00009 ))</v>
      </c>
      <c r="K259" s="36" t="str">
        <f t="shared" ref="K259:K322" si="9">CONCATENATE("r",D259,": ",F259," -&gt; ",H259," | ",J259)</f>
        <v>r258: C00475+C00009  -&gt; C00380+C00620 | (${Variables:E2_4_2_2_kcat} * E2_4_2_2 * C00475*C00009 )/(${Variables:E2_4_2_2_km} + (E2_4_2_2 * C00475*C00009 ))</v>
      </c>
    </row>
    <row r="260" spans="1:11" ht="58" x14ac:dyDescent="0.35">
      <c r="A260" s="1" t="s">
        <v>3730</v>
      </c>
      <c r="B260" s="1" t="s">
        <v>3731</v>
      </c>
      <c r="C260" s="1" t="s">
        <v>9861</v>
      </c>
      <c r="D260" s="1">
        <v>259</v>
      </c>
      <c r="E260" s="1" t="str">
        <f>CONCATENATE("E",Reactions!C260)</f>
        <v>E2_4_2_2</v>
      </c>
      <c r="F260" s="1" t="s">
        <v>10942</v>
      </c>
      <c r="G260" s="1" t="s">
        <v>11984</v>
      </c>
      <c r="H260" s="1" t="s">
        <v>10943</v>
      </c>
      <c r="I260" s="1" t="s">
        <v>12603</v>
      </c>
      <c r="J260" s="12" t="str">
        <f t="shared" si="8"/>
        <v>(${Variables:E2_4_2_2_kcat} * E2_4_2_2 * C00526*C00009 )/(${Variables:E2_4_2_2_km} + (E2_4_2_2 * C00526*C00009 ))</v>
      </c>
      <c r="K260" s="36" t="str">
        <f t="shared" si="9"/>
        <v>r259: C00526+C00009  -&gt; C00106+C00672 | (${Variables:E2_4_2_2_kcat} * E2_4_2_2 * C00526*C00009 )/(${Variables:E2_4_2_2_km} + (E2_4_2_2 * C00526*C00009 ))</v>
      </c>
    </row>
    <row r="261" spans="1:11" ht="58" x14ac:dyDescent="0.35">
      <c r="A261" s="1" t="s">
        <v>3730</v>
      </c>
      <c r="B261" s="1" t="s">
        <v>3731</v>
      </c>
      <c r="C261" s="1" t="s">
        <v>9861</v>
      </c>
      <c r="D261" s="1">
        <v>260</v>
      </c>
      <c r="E261" s="1" t="str">
        <f>CONCATENATE("E",Reactions!C261)</f>
        <v>E2_4_2_2</v>
      </c>
      <c r="F261" s="1" t="s">
        <v>10944</v>
      </c>
      <c r="G261" s="1" t="s">
        <v>11985</v>
      </c>
      <c r="H261" s="1" t="s">
        <v>10945</v>
      </c>
      <c r="I261" s="1" t="s">
        <v>12604</v>
      </c>
      <c r="J261" s="12" t="str">
        <f t="shared" si="8"/>
        <v>(${Variables:E2_4_2_2_kcat} * E2_4_2_2 * C03169*C00009 )/(${Variables:E2_4_2_2_km} + (E2_4_2_2 * C03169*C00009 ))</v>
      </c>
      <c r="K261" s="36" t="str">
        <f t="shared" si="9"/>
        <v>r260: C03169+C00009  -&gt; C00396+C00620+C00080 | (${Variables:E2_4_2_2_kcat} * E2_4_2_2 * C03169*C00009 )/(${Variables:E2_4_2_2_km} + (E2_4_2_2 * C03169*C00009 ))</v>
      </c>
    </row>
    <row r="262" spans="1:11" ht="58" x14ac:dyDescent="0.35">
      <c r="A262" s="1" t="s">
        <v>4084</v>
      </c>
      <c r="B262" s="1" t="s">
        <v>4085</v>
      </c>
      <c r="C262" s="1" t="s">
        <v>9862</v>
      </c>
      <c r="D262" s="1">
        <v>261</v>
      </c>
      <c r="E262" s="1" t="str">
        <f>CONCATENATE("E",Reactions!C262)</f>
        <v>E2_4_2_22</v>
      </c>
      <c r="F262" s="1" t="s">
        <v>10946</v>
      </c>
      <c r="G262" s="1" t="s">
        <v>11986</v>
      </c>
      <c r="H262" s="1" t="s">
        <v>10947</v>
      </c>
      <c r="I262" s="1" t="s">
        <v>12605</v>
      </c>
      <c r="J262" s="12" t="str">
        <f t="shared" si="8"/>
        <v>(${Variables:E2_4_2_22_kcat} * E2_4_2_22 * C00655*C00013 )/(${Variables:E2_4_2_22_km} + (E2_4_2_22 * C00655*C00013 ))</v>
      </c>
      <c r="K262" s="36" t="str">
        <f t="shared" si="9"/>
        <v>r261: C00655+C00013  -&gt; C00385+C00119 | (${Variables:E2_4_2_22_kcat} * E2_4_2_22 * C00655*C00013 )/(${Variables:E2_4_2_22_km} + (E2_4_2_22 * C00655*C00013 ))</v>
      </c>
    </row>
    <row r="263" spans="1:11" ht="58" x14ac:dyDescent="0.35">
      <c r="A263" s="1" t="s">
        <v>4084</v>
      </c>
      <c r="B263" s="1" t="s">
        <v>4085</v>
      </c>
      <c r="C263" s="1" t="s">
        <v>9862</v>
      </c>
      <c r="D263" s="1">
        <v>262</v>
      </c>
      <c r="E263" s="1" t="str">
        <f>CONCATENATE("E",Reactions!C263)</f>
        <v>E2_4_2_22</v>
      </c>
      <c r="F263" s="1" t="s">
        <v>10948</v>
      </c>
      <c r="G263" s="1" t="s">
        <v>11987</v>
      </c>
      <c r="H263" s="1" t="s">
        <v>10949</v>
      </c>
      <c r="I263" s="1" t="s">
        <v>12606</v>
      </c>
      <c r="J263" s="12" t="str">
        <f t="shared" si="8"/>
        <v>(${Variables:E2_4_2_22_kcat} * E2_4_2_22 * C00144*C00013 )/(${Variables:E2_4_2_22_km} + (E2_4_2_22 * C00144*C00013 ))</v>
      </c>
      <c r="K263" s="36" t="str">
        <f t="shared" si="9"/>
        <v>r262: C00144+C00013  -&gt; C00242+C00119 | (${Variables:E2_4_2_22_kcat} * E2_4_2_22 * C00144*C00013 )/(${Variables:E2_4_2_22_km} + (E2_4_2_22 * C00144*C00013 ))</v>
      </c>
    </row>
    <row r="264" spans="1:11" ht="58" x14ac:dyDescent="0.35">
      <c r="A264" s="1" t="s">
        <v>5608</v>
      </c>
      <c r="B264" s="1" t="s">
        <v>5609</v>
      </c>
      <c r="C264" s="1" t="s">
        <v>9863</v>
      </c>
      <c r="D264" s="1">
        <v>263</v>
      </c>
      <c r="E264" s="1" t="str">
        <f>CONCATENATE("E",Reactions!C264)</f>
        <v>E2_4_2_29</v>
      </c>
      <c r="F264" s="1" t="s">
        <v>10950</v>
      </c>
      <c r="G264" s="1" t="s">
        <v>11988</v>
      </c>
      <c r="H264" s="1" t="s">
        <v>10951</v>
      </c>
      <c r="I264" s="1" t="s">
        <v>12607</v>
      </c>
      <c r="J264" s="12" t="str">
        <f t="shared" si="8"/>
        <v>(${Variables:E2_4_2_29_kcat} * E2_4_2_29 * C01977*C16675)/(${Variables:E2_4_2_29_km} + (E2_4_2_29 * C01977*C16675))</v>
      </c>
      <c r="K264" s="36" t="str">
        <f t="shared" si="9"/>
        <v>r263: C01977+C16675 -&gt; C20446+C00242 | (${Variables:E2_4_2_29_kcat} * E2_4_2_29 * C01977*C16675)/(${Variables:E2_4_2_29_km} + (E2_4_2_29 * C01977*C16675))</v>
      </c>
    </row>
    <row r="265" spans="1:11" ht="58" x14ac:dyDescent="0.35">
      <c r="A265" s="1" t="s">
        <v>2612</v>
      </c>
      <c r="B265" s="1" t="s">
        <v>2613</v>
      </c>
      <c r="C265" s="1" t="s">
        <v>9864</v>
      </c>
      <c r="D265" s="1">
        <v>264</v>
      </c>
      <c r="E265" s="1" t="str">
        <f>CONCATENATE("E",Reactions!C265)</f>
        <v>E2_4_2_7</v>
      </c>
      <c r="F265" s="1" t="s">
        <v>10952</v>
      </c>
      <c r="G265" s="1" t="s">
        <v>11989</v>
      </c>
      <c r="H265" s="1" t="s">
        <v>10953</v>
      </c>
      <c r="I265" s="1" t="s">
        <v>12608</v>
      </c>
      <c r="J265" s="12" t="str">
        <f t="shared" si="8"/>
        <v>(${Variables:E2_4_2_7_kcat} * E2_4_2_7 * C00020*C00013 )/(${Variables:E2_4_2_7_km} + (E2_4_2_7 * C00020*C00013 ))</v>
      </c>
      <c r="K265" s="36" t="str">
        <f t="shared" si="9"/>
        <v>r264: C00020+C00013  -&gt; C00147+C00119 | (${Variables:E2_4_2_7_kcat} * E2_4_2_7 * C00020*C00013 )/(${Variables:E2_4_2_7_km} + (E2_4_2_7 * C00020*C00013 ))</v>
      </c>
    </row>
    <row r="266" spans="1:11" ht="58" x14ac:dyDescent="0.35">
      <c r="A266" s="1" t="s">
        <v>2612</v>
      </c>
      <c r="B266" s="1" t="s">
        <v>2613</v>
      </c>
      <c r="C266" s="1" t="s">
        <v>9864</v>
      </c>
      <c r="D266" s="1">
        <v>265</v>
      </c>
      <c r="E266" s="1" t="str">
        <f>CONCATENATE("E",Reactions!C266)</f>
        <v>E2_4_2_7</v>
      </c>
      <c r="F266" s="1" t="s">
        <v>10954</v>
      </c>
      <c r="G266" s="1" t="s">
        <v>11990</v>
      </c>
      <c r="H266" s="1" t="s">
        <v>10955</v>
      </c>
      <c r="I266" s="1" t="s">
        <v>12609</v>
      </c>
      <c r="J266" s="12" t="str">
        <f t="shared" si="8"/>
        <v>(${Variables:E2_4_2_7_kcat} * E2_4_2_7 * C04677*C00013 )/(${Variables:E2_4_2_7_km} + (E2_4_2_7 * C04677*C00013 ))</v>
      </c>
      <c r="K266" s="36" t="str">
        <f t="shared" si="9"/>
        <v>r265: C04677+C00013  -&gt; C04051+C00119 | (${Variables:E2_4_2_7_kcat} * E2_4_2_7 * C04677*C00013 )/(${Variables:E2_4_2_7_km} + (E2_4_2_7 * C04677*C00013 ))</v>
      </c>
    </row>
    <row r="267" spans="1:11" ht="58" x14ac:dyDescent="0.35">
      <c r="A267" s="1" t="s">
        <v>64</v>
      </c>
      <c r="B267" s="1" t="s">
        <v>65</v>
      </c>
      <c r="C267" s="1" t="s">
        <v>9865</v>
      </c>
      <c r="D267" s="1">
        <v>266</v>
      </c>
      <c r="E267" s="1" t="str">
        <f>CONCATENATE("E",Reactions!C267)</f>
        <v>E2_4_2_8</v>
      </c>
      <c r="F267" s="1" t="s">
        <v>10956</v>
      </c>
      <c r="G267" s="1" t="s">
        <v>11991</v>
      </c>
      <c r="H267" s="1" t="s">
        <v>10957</v>
      </c>
      <c r="I267" s="1" t="s">
        <v>12610</v>
      </c>
      <c r="J267" s="12" t="str">
        <f t="shared" si="8"/>
        <v>(${Variables:E2_4_2_8_kcat} * E2_4_2_8 * C00130*C00013 )/(${Variables:E2_4_2_8_km} + (E2_4_2_8 * C00130*C00013 ))</v>
      </c>
      <c r="K267" s="36" t="str">
        <f t="shared" si="9"/>
        <v>r266: C00130+C00013  -&gt; C00262+C00119 | (${Variables:E2_4_2_8_kcat} * E2_4_2_8 * C00130*C00013 )/(${Variables:E2_4_2_8_km} + (E2_4_2_8 * C00130*C00013 ))</v>
      </c>
    </row>
    <row r="268" spans="1:11" ht="58" x14ac:dyDescent="0.35">
      <c r="A268" s="1" t="s">
        <v>64</v>
      </c>
      <c r="B268" s="1" t="s">
        <v>65</v>
      </c>
      <c r="C268" s="1" t="s">
        <v>9865</v>
      </c>
      <c r="D268" s="1">
        <v>267</v>
      </c>
      <c r="E268" s="1" t="str">
        <f>CONCATENATE("E",Reactions!C268)</f>
        <v>E2_4_2_8</v>
      </c>
      <c r="F268" s="1" t="s">
        <v>10958</v>
      </c>
      <c r="G268" s="1" t="s">
        <v>11992</v>
      </c>
      <c r="H268" s="1" t="s">
        <v>10949</v>
      </c>
      <c r="I268" s="1" t="s">
        <v>12606</v>
      </c>
      <c r="J268" s="12" t="str">
        <f t="shared" si="8"/>
        <v>(${Variables:E2_4_2_8_kcat} * E2_4_2_8 * C00144*C00013)/(${Variables:E2_4_2_8_km} + (E2_4_2_8 * C00144*C00013))</v>
      </c>
      <c r="K268" s="36" t="str">
        <f t="shared" si="9"/>
        <v>r267: C00144+C00013 -&gt; C00242+C00119 | (${Variables:E2_4_2_8_kcat} * E2_4_2_8 * C00144*C00013)/(${Variables:E2_4_2_8_km} + (E2_4_2_8 * C00144*C00013))</v>
      </c>
    </row>
    <row r="269" spans="1:11" ht="58" x14ac:dyDescent="0.35">
      <c r="A269" s="1" t="s">
        <v>64</v>
      </c>
      <c r="B269" s="1" t="s">
        <v>65</v>
      </c>
      <c r="C269" s="1" t="s">
        <v>9865</v>
      </c>
      <c r="D269" s="1">
        <v>268</v>
      </c>
      <c r="E269" s="1" t="str">
        <f>CONCATENATE("E",Reactions!C269)</f>
        <v>E2_4_2_8</v>
      </c>
      <c r="F269" s="1" t="s">
        <v>10959</v>
      </c>
      <c r="G269" s="1" t="s">
        <v>11993</v>
      </c>
      <c r="H269" s="1" t="s">
        <v>10947</v>
      </c>
      <c r="I269" s="1" t="s">
        <v>12605</v>
      </c>
      <c r="J269" s="12" t="str">
        <f t="shared" si="8"/>
        <v>(${Variables:E2_4_2_8_kcat} * E2_4_2_8 * C00655*C00013)/(${Variables:E2_4_2_8_km} + (E2_4_2_8 * C00655*C00013))</v>
      </c>
      <c r="K269" s="36" t="str">
        <f t="shared" si="9"/>
        <v>r268: C00655+C00013 -&gt; C00385+C00119 | (${Variables:E2_4_2_8_kcat} * E2_4_2_8 * C00655*C00013)/(${Variables:E2_4_2_8_km} + (E2_4_2_8 * C00655*C00013))</v>
      </c>
    </row>
    <row r="270" spans="1:11" ht="58" x14ac:dyDescent="0.35">
      <c r="A270" s="1" t="s">
        <v>64</v>
      </c>
      <c r="B270" s="1" t="s">
        <v>65</v>
      </c>
      <c r="C270" s="1" t="s">
        <v>9865</v>
      </c>
      <c r="D270" s="1">
        <v>269</v>
      </c>
      <c r="E270" s="1" t="str">
        <f>CONCATENATE("E",Reactions!C270)</f>
        <v>E2_4_2_8</v>
      </c>
      <c r="F270" s="1" t="s">
        <v>10960</v>
      </c>
      <c r="G270" s="1" t="s">
        <v>11994</v>
      </c>
      <c r="H270" s="1" t="s">
        <v>10961</v>
      </c>
      <c r="I270" s="1" t="s">
        <v>12611</v>
      </c>
      <c r="J270" s="12" t="str">
        <f t="shared" si="8"/>
        <v>(${Variables:E2_4_2_8_kcat} * E2_4_2_8 * C02380*C00119)/(${Variables:E2_4_2_8_km} + (E2_4_2_8 * C02380*C00119))</v>
      </c>
      <c r="K270" s="36" t="str">
        <f t="shared" si="9"/>
        <v>r269: C02380+C00119 -&gt; C04646+C00013 | (${Variables:E2_4_2_8_kcat} * E2_4_2_8 * C02380*C00119)/(${Variables:E2_4_2_8_km} + (E2_4_2_8 * C02380*C00119))</v>
      </c>
    </row>
    <row r="271" spans="1:11" ht="58" x14ac:dyDescent="0.35">
      <c r="A271" s="1" t="s">
        <v>64</v>
      </c>
      <c r="B271" s="1" t="s">
        <v>65</v>
      </c>
      <c r="C271" s="1" t="s">
        <v>9865</v>
      </c>
      <c r="D271" s="1">
        <v>270</v>
      </c>
      <c r="E271" s="1" t="str">
        <f>CONCATENATE("E",Reactions!C271)</f>
        <v>E2_4_2_8</v>
      </c>
      <c r="F271" s="1" t="s">
        <v>10962</v>
      </c>
      <c r="G271" s="1" t="s">
        <v>11995</v>
      </c>
      <c r="H271" s="1" t="s">
        <v>10963</v>
      </c>
      <c r="I271" s="1" t="s">
        <v>12612</v>
      </c>
      <c r="J271" s="12" t="str">
        <f t="shared" si="8"/>
        <v>(${Variables:E2_4_2_8_kcat} * E2_4_2_8 * C16614*C00119)/(${Variables:E2_4_2_8_km} + (E2_4_2_8 * C16614*C00119))</v>
      </c>
      <c r="K271" s="36" t="str">
        <f t="shared" si="9"/>
        <v>r270: C16614+C00119 -&gt; C16615+C00013 | (${Variables:E2_4_2_8_kcat} * E2_4_2_8 * C16614*C00119)/(${Variables:E2_4_2_8_km} + (E2_4_2_8 * C16614*C00119))</v>
      </c>
    </row>
    <row r="272" spans="1:11" ht="58" x14ac:dyDescent="0.35">
      <c r="A272" s="1" t="s">
        <v>64</v>
      </c>
      <c r="B272" s="1" t="s">
        <v>65</v>
      </c>
      <c r="C272" s="1" t="s">
        <v>9865</v>
      </c>
      <c r="D272" s="1">
        <v>271</v>
      </c>
      <c r="E272" s="1" t="str">
        <f>CONCATENATE("E",Reactions!C272)</f>
        <v>E2_4_2_8</v>
      </c>
      <c r="F272" s="1" t="s">
        <v>10964</v>
      </c>
      <c r="G272" s="1" t="s">
        <v>11996</v>
      </c>
      <c r="H272" s="1" t="s">
        <v>10965</v>
      </c>
      <c r="I272" s="1" t="s">
        <v>12613</v>
      </c>
      <c r="J272" s="12" t="str">
        <f t="shared" si="8"/>
        <v>(${Variables:E2_4_2_8_kcat} * E2_4_2_8 * C07648*C00119)/(${Variables:E2_4_2_8_km} + (E2_4_2_8 * C07648*C00119))</v>
      </c>
      <c r="K272" s="36" t="str">
        <f t="shared" si="9"/>
        <v>r271: C07648+C00119 -&gt; C16619+C00013 | (${Variables:E2_4_2_8_kcat} * E2_4_2_8 * C07648*C00119)/(${Variables:E2_4_2_8_km} + (E2_4_2_8 * C07648*C00119))</v>
      </c>
    </row>
    <row r="273" spans="1:11" ht="58" x14ac:dyDescent="0.35">
      <c r="A273" s="1" t="s">
        <v>6377</v>
      </c>
      <c r="B273" s="1" t="s">
        <v>1034</v>
      </c>
      <c r="C273" s="1" t="s">
        <v>9866</v>
      </c>
      <c r="D273" s="1">
        <v>272</v>
      </c>
      <c r="E273" s="1" t="str">
        <f>CONCATENATE("E",Reactions!C273)</f>
        <v>E2_4_2_9</v>
      </c>
      <c r="F273" s="1" t="s">
        <v>10966</v>
      </c>
      <c r="G273" s="1" t="s">
        <v>11997</v>
      </c>
      <c r="H273" s="1" t="s">
        <v>10967</v>
      </c>
      <c r="I273" s="1" t="s">
        <v>12614</v>
      </c>
      <c r="J273" s="12" t="str">
        <f t="shared" si="8"/>
        <v>(${Variables:E2_4_2_9_kcat} * E2_4_2_9 * C00105*C00013)/(${Variables:E2_4_2_9_km} + (E2_4_2_9 * C00105*C00013))</v>
      </c>
      <c r="K273" s="36" t="str">
        <f t="shared" si="9"/>
        <v>r272: C00105+C00013 -&gt; C00106+C00119 | (${Variables:E2_4_2_9_kcat} * E2_4_2_9 * C00105*C00013)/(${Variables:E2_4_2_9_km} + (E2_4_2_9 * C00105*C00013))</v>
      </c>
    </row>
    <row r="274" spans="1:11" ht="58" x14ac:dyDescent="0.35">
      <c r="A274" s="1" t="s">
        <v>2638</v>
      </c>
      <c r="B274" s="1" t="s">
        <v>2639</v>
      </c>
      <c r="C274" s="1" t="s">
        <v>9867</v>
      </c>
      <c r="D274" s="1">
        <v>273</v>
      </c>
      <c r="E274" s="1" t="str">
        <f>CONCATENATE("E",Reactions!C274)</f>
        <v>E2_5_1_10</v>
      </c>
      <c r="F274" s="1" t="s">
        <v>10968</v>
      </c>
      <c r="G274" s="1" t="s">
        <v>11998</v>
      </c>
      <c r="H274" s="1" t="s">
        <v>10969</v>
      </c>
      <c r="I274" s="1" t="s">
        <v>12615</v>
      </c>
      <c r="J274" s="12" t="str">
        <f t="shared" si="8"/>
        <v>(${Variables:E2_5_1_10_kcat} * E2_5_1_10 * C00341*C00129)/(${Variables:E2_5_1_10_km} + (E2_5_1_10 * C00341*C00129))</v>
      </c>
      <c r="K274" s="36" t="str">
        <f t="shared" si="9"/>
        <v>r273: C00341+C00129 -&gt; C00013+C00448 | (${Variables:E2_5_1_10_kcat} * E2_5_1_10 * C00341*C00129)/(${Variables:E2_5_1_10_km} + (E2_5_1_10 * C00341*C00129))</v>
      </c>
    </row>
    <row r="275" spans="1:11" ht="58" x14ac:dyDescent="0.35">
      <c r="A275" s="1" t="s">
        <v>4782</v>
      </c>
      <c r="B275" s="1" t="s">
        <v>4783</v>
      </c>
      <c r="C275" s="1" t="s">
        <v>9868</v>
      </c>
      <c r="D275" s="1">
        <v>274</v>
      </c>
      <c r="E275" s="1" t="str">
        <f>CONCATENATE("E",Reactions!C275)</f>
        <v>E2_5_1_15</v>
      </c>
      <c r="F275" s="1" t="s">
        <v>10970</v>
      </c>
      <c r="G275" s="1" t="s">
        <v>11999</v>
      </c>
      <c r="H275" s="1" t="s">
        <v>10971</v>
      </c>
      <c r="I275" s="1" t="s">
        <v>12616</v>
      </c>
      <c r="J275" s="12" t="str">
        <f t="shared" si="8"/>
        <v>(${Variables:E2_5_1_15_kcat} * E2_5_1_15 * C04807*C00568)/(${Variables:E2_5_1_15_km} + (E2_5_1_15 * C04807*C00568))</v>
      </c>
      <c r="K275" s="36" t="str">
        <f t="shared" si="9"/>
        <v>r274: C04807+C00568 -&gt; C00013+C00921 | (${Variables:E2_5_1_15_kcat} * E2_5_1_15 * C04807*C00568)/(${Variables:E2_5_1_15_km} + (E2_5_1_15 * C04807*C00568))</v>
      </c>
    </row>
    <row r="276" spans="1:11" ht="58" x14ac:dyDescent="0.35">
      <c r="A276" s="1" t="s">
        <v>4782</v>
      </c>
      <c r="B276" s="1" t="s">
        <v>4783</v>
      </c>
      <c r="C276" s="1" t="s">
        <v>9868</v>
      </c>
      <c r="D276" s="1">
        <v>275</v>
      </c>
      <c r="E276" s="1" t="str">
        <f>CONCATENATE("E",Reactions!C276)</f>
        <v>E2_5_1_15</v>
      </c>
      <c r="F276" s="1" t="s">
        <v>10972</v>
      </c>
      <c r="G276" s="1" t="s">
        <v>12000</v>
      </c>
      <c r="H276" s="1" t="s">
        <v>10973</v>
      </c>
      <c r="I276" s="1" t="s">
        <v>12617</v>
      </c>
      <c r="J276" s="12" t="str">
        <f t="shared" si="8"/>
        <v>(${Variables:E2_5_1_15_kcat} * E2_5_1_15 * C01300*C00568)/(${Variables:E2_5_1_15_km} + (E2_5_1_15 * C01300*C00568))</v>
      </c>
      <c r="K276" s="36" t="str">
        <f t="shared" si="9"/>
        <v>r275: C01300+C00568 -&gt; C00921+C00001 | (${Variables:E2_5_1_15_kcat} * E2_5_1_15 * C01300*C00568)/(${Variables:E2_5_1_15_km} + (E2_5_1_15 * C01300*C00568))</v>
      </c>
    </row>
    <row r="277" spans="1:11" ht="58" x14ac:dyDescent="0.35">
      <c r="A277" s="1" t="s">
        <v>2000</v>
      </c>
      <c r="B277" s="1" t="s">
        <v>2001</v>
      </c>
      <c r="C277" s="1" t="s">
        <v>9869</v>
      </c>
      <c r="D277" s="1">
        <v>276</v>
      </c>
      <c r="E277" s="1" t="str">
        <f>CONCATENATE("E",Reactions!C277)</f>
        <v>E2_5_1_19</v>
      </c>
      <c r="F277" s="1" t="s">
        <v>10974</v>
      </c>
      <c r="G277" s="1" t="s">
        <v>12001</v>
      </c>
      <c r="H277" s="1" t="s">
        <v>10975</v>
      </c>
      <c r="I277" s="1" t="s">
        <v>12618</v>
      </c>
      <c r="J277" s="12" t="str">
        <f t="shared" si="8"/>
        <v>(${Variables:E2_5_1_19_kcat} * E2_5_1_19 * C00074*C03175)/(${Variables:E2_5_1_19_km} + (E2_5_1_19 * C00074*C03175))</v>
      </c>
      <c r="K277" s="36" t="str">
        <f t="shared" si="9"/>
        <v>r276: C00074+C03175 -&gt; C00009+C01269 | (${Variables:E2_5_1_19_kcat} * E2_5_1_19 * C00074*C03175)/(${Variables:E2_5_1_19_km} + (E2_5_1_19 * C00074*C03175))</v>
      </c>
    </row>
    <row r="278" spans="1:11" ht="58" x14ac:dyDescent="0.35">
      <c r="A278" s="1" t="s">
        <v>618</v>
      </c>
      <c r="B278" s="1" t="s">
        <v>619</v>
      </c>
      <c r="C278" s="1" t="s">
        <v>9870</v>
      </c>
      <c r="D278" s="1">
        <v>277</v>
      </c>
      <c r="E278" s="1" t="str">
        <f>CONCATENATE("E",Reactions!C278)</f>
        <v>E2_5_1_31</v>
      </c>
      <c r="F278" s="1" t="s">
        <v>10976</v>
      </c>
      <c r="G278" s="1" t="s">
        <v>12002</v>
      </c>
      <c r="H278" s="1" t="s">
        <v>10977</v>
      </c>
      <c r="I278" s="1" t="s">
        <v>12619</v>
      </c>
      <c r="J278" s="12" t="str">
        <f t="shared" si="8"/>
        <v>(${Variables:E2_5_1_31_kcat} * E2_5_1_31 * C00448*C00129)/(${Variables:E2_5_1_31_km} + (E2_5_1_31 * C00448*C00129))</v>
      </c>
      <c r="K278" s="36" t="str">
        <f t="shared" si="9"/>
        <v>r277: C00448+C00129 -&gt; C04574+C00013 | (${Variables:E2_5_1_31_kcat} * E2_5_1_31 * C00448*C00129)/(${Variables:E2_5_1_31_km} + (E2_5_1_31 * C00448*C00129))</v>
      </c>
    </row>
    <row r="279" spans="1:11" ht="58" x14ac:dyDescent="0.35">
      <c r="A279" s="1" t="s">
        <v>6387</v>
      </c>
      <c r="B279" s="1" t="s">
        <v>1058</v>
      </c>
      <c r="C279" s="1" t="s">
        <v>9871</v>
      </c>
      <c r="D279" s="1">
        <v>278</v>
      </c>
      <c r="E279" s="1" t="str">
        <f>CONCATENATE("E",Reactions!C279)</f>
        <v>E2_5_1_47</v>
      </c>
      <c r="F279" s="1" t="s">
        <v>10978</v>
      </c>
      <c r="G279" s="1" t="s">
        <v>12003</v>
      </c>
      <c r="H279" s="1" t="s">
        <v>10979</v>
      </c>
      <c r="I279" s="1" t="s">
        <v>12620</v>
      </c>
      <c r="J279" s="12" t="str">
        <f t="shared" si="8"/>
        <v>(${Variables:E2_5_1_47_kcat} * E2_5_1_47 * C00979*C00283)/(${Variables:E2_5_1_47_km} + (E2_5_1_47 * C00979*C00283))</v>
      </c>
      <c r="K279" s="36" t="str">
        <f t="shared" si="9"/>
        <v>r278: C00979+C00283 -&gt; C00097+C00033 | (${Variables:E2_5_1_47_kcat} * E2_5_1_47 * C00979*C00283)/(${Variables:E2_5_1_47_km} + (E2_5_1_47 * C00979*C00283))</v>
      </c>
    </row>
    <row r="280" spans="1:11" ht="58" x14ac:dyDescent="0.35">
      <c r="A280" s="1" t="s">
        <v>6387</v>
      </c>
      <c r="B280" s="1" t="s">
        <v>1058</v>
      </c>
      <c r="C280" s="1" t="s">
        <v>9871</v>
      </c>
      <c r="D280" s="1">
        <v>279</v>
      </c>
      <c r="E280" s="1" t="str">
        <f>CONCATENATE("E",Reactions!C280)</f>
        <v>E2_5_1_47</v>
      </c>
      <c r="F280" s="1" t="s">
        <v>10980</v>
      </c>
      <c r="G280" s="1" t="s">
        <v>12004</v>
      </c>
      <c r="H280" s="1" t="s">
        <v>10981</v>
      </c>
      <c r="I280" s="1" t="s">
        <v>12621</v>
      </c>
      <c r="J280" s="12" t="str">
        <f t="shared" si="8"/>
        <v>(${Variables:E2_5_1_47_kcat} * E2_5_1_47 * C00979*C01528)/(${Variables:E2_5_1_47_km} + (E2_5_1_47 * C00979*C01528))</v>
      </c>
      <c r="K280" s="36" t="str">
        <f t="shared" si="9"/>
        <v>r279: C00979+C01528 -&gt; C05688+C00033 | (${Variables:E2_5_1_47_kcat} * E2_5_1_47 * C00979*C01528)/(${Variables:E2_5_1_47_km} + (E2_5_1_47 * C00979*C01528))</v>
      </c>
    </row>
    <row r="281" spans="1:11" ht="87" x14ac:dyDescent="0.35">
      <c r="A281" s="1" t="s">
        <v>6387</v>
      </c>
      <c r="B281" s="1" t="s">
        <v>1058</v>
      </c>
      <c r="C281" s="1" t="s">
        <v>9871</v>
      </c>
      <c r="D281" s="1">
        <v>280</v>
      </c>
      <c r="E281" s="1" t="str">
        <f>CONCATENATE("E",Reactions!C281)</f>
        <v>E2_5_1_47</v>
      </c>
      <c r="F281" s="1" t="s">
        <v>10982</v>
      </c>
      <c r="G281" s="1" t="s">
        <v>12005</v>
      </c>
      <c r="H281" s="1" t="s">
        <v>10983</v>
      </c>
      <c r="I281" s="1" t="s">
        <v>12622</v>
      </c>
      <c r="J281" s="12" t="str">
        <f t="shared" si="8"/>
        <v>(${Variables:E2_5_1_47_kcat} * E2_5_1_47 * C00979*C00320*C00342*C00080)/(${Variables:E2_5_1_47_km} + (E2_5_1_47 * C00979*C00320*C00342*C00080))</v>
      </c>
      <c r="K281" s="36" t="str">
        <f t="shared" si="9"/>
        <v>r280: C00979+C00320+C00342+C00080 -&gt; C00097+C00094+C00343+C00033 | (${Variables:E2_5_1_47_kcat} * E2_5_1_47 * C00979*C00320*C00342*C00080)/(${Variables:E2_5_1_47_km} + (E2_5_1_47 * C00979*C00320*C00342*C00080))</v>
      </c>
    </row>
    <row r="282" spans="1:11" ht="58" x14ac:dyDescent="0.35">
      <c r="A282" s="1" t="s">
        <v>6387</v>
      </c>
      <c r="B282" s="1" t="s">
        <v>1058</v>
      </c>
      <c r="C282" s="1" t="s">
        <v>9871</v>
      </c>
      <c r="D282" s="1">
        <v>281</v>
      </c>
      <c r="E282" s="1" t="str">
        <f>CONCATENATE("E",Reactions!C282)</f>
        <v>E2_5_1_47</v>
      </c>
      <c r="F282" s="1" t="s">
        <v>10984</v>
      </c>
      <c r="G282" s="1" t="s">
        <v>12006</v>
      </c>
      <c r="H282" s="1" t="s">
        <v>10985</v>
      </c>
      <c r="I282" s="1" t="s">
        <v>12623</v>
      </c>
      <c r="J282" s="12" t="str">
        <f t="shared" si="8"/>
        <v>(${Variables:E2_5_1_47_kcat} * E2_5_1_47 * C01005*C00283)/(${Variables:E2_5_1_47_km} + (E2_5_1_47 * C01005*C00283))</v>
      </c>
      <c r="K282" s="36" t="str">
        <f t="shared" si="9"/>
        <v>r281: C01005+C00283 -&gt; C00097+C00009 | (${Variables:E2_5_1_47_kcat} * E2_5_1_47 * C01005*C00283)/(${Variables:E2_5_1_47_km} + (E2_5_1_47 * C01005*C00283))</v>
      </c>
    </row>
    <row r="283" spans="1:11" ht="58" x14ac:dyDescent="0.35">
      <c r="A283" s="1" t="s">
        <v>6373</v>
      </c>
      <c r="B283" s="1" t="s">
        <v>1022</v>
      </c>
      <c r="C283" s="1" t="s">
        <v>9872</v>
      </c>
      <c r="D283" s="1">
        <v>282</v>
      </c>
      <c r="E283" s="1" t="str">
        <f>CONCATENATE("E",Reactions!C283)</f>
        <v>E2_5_1_48</v>
      </c>
      <c r="F283" s="1" t="s">
        <v>10986</v>
      </c>
      <c r="G283" s="1" t="s">
        <v>12007</v>
      </c>
      <c r="H283" s="1" t="s">
        <v>10987</v>
      </c>
      <c r="I283" s="1" t="s">
        <v>12624</v>
      </c>
      <c r="J283" s="12" t="str">
        <f t="shared" si="8"/>
        <v>(${Variables:E2_5_1_48_kcat} * E2_5_1_48 * C01118*C00097)/(${Variables:E2_5_1_48_km} + (E2_5_1_48 * C01118*C00097))</v>
      </c>
      <c r="K283" s="36" t="str">
        <f t="shared" si="9"/>
        <v>r282: C01118+C00097 -&gt; C02291+C00042 | (${Variables:E2_5_1_48_kcat} * E2_5_1_48 * C01118*C00097)/(${Variables:E2_5_1_48_km} + (E2_5_1_48 * C01118*C00097))</v>
      </c>
    </row>
    <row r="284" spans="1:11" ht="58" x14ac:dyDescent="0.35">
      <c r="A284" s="1" t="s">
        <v>6373</v>
      </c>
      <c r="B284" s="1" t="s">
        <v>1022</v>
      </c>
      <c r="C284" s="1" t="s">
        <v>9872</v>
      </c>
      <c r="D284" s="1">
        <v>283</v>
      </c>
      <c r="E284" s="1" t="str">
        <f>CONCATENATE("E",Reactions!C284)</f>
        <v>E2_5_1_48</v>
      </c>
      <c r="F284" s="1" t="s">
        <v>10988</v>
      </c>
      <c r="G284" s="1" t="s">
        <v>12008</v>
      </c>
      <c r="H284" s="1" t="s">
        <v>10989</v>
      </c>
      <c r="I284" s="1" t="s">
        <v>12625</v>
      </c>
      <c r="J284" s="12" t="str">
        <f t="shared" si="8"/>
        <v>(${Variables:E2_5_1_48_kcat} * E2_5_1_48 * C01118*C00001)/(${Variables:E2_5_1_48_km} + (E2_5_1_48 * C01118*C00001))</v>
      </c>
      <c r="K284" s="36" t="str">
        <f t="shared" si="9"/>
        <v>r283: C01118+C00001 -&gt; C00109+C00042+C00014 | (${Variables:E2_5_1_48_kcat} * E2_5_1_48 * C01118*C00001)/(${Variables:E2_5_1_48_km} + (E2_5_1_48 * C01118*C00001))</v>
      </c>
    </row>
    <row r="285" spans="1:11" ht="58" x14ac:dyDescent="0.35">
      <c r="A285" s="1" t="s">
        <v>6373</v>
      </c>
      <c r="B285" s="1" t="s">
        <v>1022</v>
      </c>
      <c r="C285" s="1" t="s">
        <v>9872</v>
      </c>
      <c r="D285" s="1">
        <v>284</v>
      </c>
      <c r="E285" s="1" t="str">
        <f>CONCATENATE("E",Reactions!C285)</f>
        <v>E2_5_1_48</v>
      </c>
      <c r="F285" s="1" t="s">
        <v>10990</v>
      </c>
      <c r="G285" s="1" t="s">
        <v>12009</v>
      </c>
      <c r="H285" s="1" t="s">
        <v>10990</v>
      </c>
      <c r="I285" s="1" t="s">
        <v>12009</v>
      </c>
      <c r="J285" s="12" t="str">
        <f t="shared" si="8"/>
        <v>(${Variables:E2_5_1_48_kcat} * E2_5_1_48 * C01118*C00283)/(${Variables:E2_5_1_48_km} + (E2_5_1_48 * C01118*C00283))</v>
      </c>
      <c r="K285" s="36" t="str">
        <f t="shared" si="9"/>
        <v>r284: C01118+C00283 -&gt; C01118+C00283 | (${Variables:E2_5_1_48_kcat} * E2_5_1_48 * C01118*C00283)/(${Variables:E2_5_1_48_km} + (E2_5_1_48 * C01118*C00283))</v>
      </c>
    </row>
    <row r="286" spans="1:11" ht="58" x14ac:dyDescent="0.35">
      <c r="A286" s="1" t="s">
        <v>6373</v>
      </c>
      <c r="B286" s="1" t="s">
        <v>1022</v>
      </c>
      <c r="C286" s="1" t="s">
        <v>9872</v>
      </c>
      <c r="D286" s="1">
        <v>285</v>
      </c>
      <c r="E286" s="1" t="str">
        <f>CONCATENATE("E",Reactions!C286)</f>
        <v>E2_5_1_48</v>
      </c>
      <c r="F286" s="1" t="s">
        <v>10991</v>
      </c>
      <c r="G286" s="1" t="s">
        <v>12010</v>
      </c>
      <c r="H286" s="1" t="s">
        <v>10986</v>
      </c>
      <c r="I286" s="1" t="s">
        <v>12007</v>
      </c>
      <c r="J286" s="12" t="str">
        <f t="shared" si="8"/>
        <v>(${Variables:E2_5_1_48_kcat} * E2_5_1_48 * C00542*C00042)/(${Variables:E2_5_1_48_km} + (E2_5_1_48 * C00542*C00042))</v>
      </c>
      <c r="K286" s="36" t="str">
        <f t="shared" si="9"/>
        <v>r285: C00542+C00042 -&gt; C01118+C00097 | (${Variables:E2_5_1_48_kcat} * E2_5_1_48 * C00542*C00042)/(${Variables:E2_5_1_48_km} + (E2_5_1_48 * C00542*C00042))</v>
      </c>
    </row>
    <row r="287" spans="1:11" ht="58" x14ac:dyDescent="0.35">
      <c r="A287" s="1" t="s">
        <v>6373</v>
      </c>
      <c r="B287" s="1" t="s">
        <v>1022</v>
      </c>
      <c r="C287" s="1" t="s">
        <v>9872</v>
      </c>
      <c r="D287" s="1">
        <v>286</v>
      </c>
      <c r="E287" s="1" t="str">
        <f>CONCATENATE("E",Reactions!C287)</f>
        <v>E2_5_1_48</v>
      </c>
      <c r="F287" s="1" t="s">
        <v>10992</v>
      </c>
      <c r="G287" s="1" t="s">
        <v>12011</v>
      </c>
      <c r="H287" s="1" t="s">
        <v>10993</v>
      </c>
      <c r="I287" s="1" t="s">
        <v>12626</v>
      </c>
      <c r="J287" s="12" t="str">
        <f t="shared" si="8"/>
        <v>(${Variables:E2_5_1_48_kcat} * E2_5_1_48 * C01077*C00097)/(${Variables:E2_5_1_48_km} + (E2_5_1_48 * C01077*C00097))</v>
      </c>
      <c r="K287" s="36" t="str">
        <f t="shared" si="9"/>
        <v>r286: C01077+C00097 -&gt; C02291+C00033 | (${Variables:E2_5_1_48_kcat} * E2_5_1_48 * C01077*C00097)/(${Variables:E2_5_1_48_km} + (E2_5_1_48 * C01077*C00097))</v>
      </c>
    </row>
    <row r="288" spans="1:11" ht="58" x14ac:dyDescent="0.35">
      <c r="A288" s="1" t="s">
        <v>6373</v>
      </c>
      <c r="B288" s="1" t="s">
        <v>1022</v>
      </c>
      <c r="C288" s="1" t="s">
        <v>9872</v>
      </c>
      <c r="D288" s="1">
        <v>287</v>
      </c>
      <c r="E288" s="1" t="str">
        <f>CONCATENATE("E",Reactions!C288)</f>
        <v>E2_5_1_48</v>
      </c>
      <c r="F288" s="1" t="s">
        <v>10994</v>
      </c>
      <c r="G288" s="1" t="s">
        <v>12012</v>
      </c>
      <c r="H288" s="1" t="s">
        <v>10995</v>
      </c>
      <c r="I288" s="1" t="s">
        <v>12627</v>
      </c>
      <c r="J288" s="12" t="str">
        <f t="shared" si="8"/>
        <v>(${Variables:E2_5_1_48_kcat} * E2_5_1_48 * C05702*C05688)/(${Variables:E2_5_1_48_km} + (E2_5_1_48 * C05702*C05688))</v>
      </c>
      <c r="K288" s="36" t="str">
        <f t="shared" si="9"/>
        <v>r287: C05702+C05688 -&gt; C05699+C00009 | (${Variables:E2_5_1_48_kcat} * E2_5_1_48 * C05702*C05688)/(${Variables:E2_5_1_48_km} + (E2_5_1_48 * C05702*C05688))</v>
      </c>
    </row>
    <row r="289" spans="1:11" ht="58" x14ac:dyDescent="0.35">
      <c r="A289" s="1" t="s">
        <v>6373</v>
      </c>
      <c r="B289" s="1" t="s">
        <v>1022</v>
      </c>
      <c r="C289" s="1" t="s">
        <v>9872</v>
      </c>
      <c r="D289" s="1">
        <v>288</v>
      </c>
      <c r="E289" s="1" t="str">
        <f>CONCATENATE("E",Reactions!C289)</f>
        <v>E2_5_1_48</v>
      </c>
      <c r="F289" s="1" t="s">
        <v>10996</v>
      </c>
      <c r="G289" s="1" t="s">
        <v>12013</v>
      </c>
      <c r="H289" s="1" t="s">
        <v>10997</v>
      </c>
      <c r="I289" s="1" t="s">
        <v>12628</v>
      </c>
      <c r="J289" s="12" t="str">
        <f t="shared" si="8"/>
        <v>(${Variables:E2_5_1_48_kcat} * E2_5_1_48 * C01077*C05688)/(${Variables:E2_5_1_48_km} + (E2_5_1_48 * C01077*C05688))</v>
      </c>
      <c r="K289" s="36" t="str">
        <f t="shared" si="9"/>
        <v>r288: C01077+C05688 -&gt; C05699+C00033 | (${Variables:E2_5_1_48_kcat} * E2_5_1_48 * C01077*C05688)/(${Variables:E2_5_1_48_km} + (E2_5_1_48 * C01077*C05688))</v>
      </c>
    </row>
    <row r="290" spans="1:11" ht="58" x14ac:dyDescent="0.35">
      <c r="A290" s="1" t="s">
        <v>6373</v>
      </c>
      <c r="B290" s="1" t="s">
        <v>1022</v>
      </c>
      <c r="C290" s="1" t="s">
        <v>9872</v>
      </c>
      <c r="D290" s="1">
        <v>289</v>
      </c>
      <c r="E290" s="1" t="str">
        <f>CONCATENATE("E",Reactions!C290)</f>
        <v>E2_5_1_48</v>
      </c>
      <c r="F290" s="1" t="s">
        <v>10998</v>
      </c>
      <c r="G290" s="1" t="s">
        <v>12014</v>
      </c>
      <c r="H290" s="1" t="s">
        <v>10999</v>
      </c>
      <c r="I290" s="1" t="s">
        <v>12629</v>
      </c>
      <c r="J290" s="12" t="str">
        <f t="shared" si="8"/>
        <v>(${Variables:E2_5_1_48_kcat} * E2_5_1_48 * C01118*C05688)/(${Variables:E2_5_1_48_km} + (E2_5_1_48 * C01118*C05688))</v>
      </c>
      <c r="K290" s="36" t="str">
        <f t="shared" si="9"/>
        <v>r289: C01118+C05688 -&gt; C05699+C00042 | (${Variables:E2_5_1_48_kcat} * E2_5_1_48 * C01118*C05688)/(${Variables:E2_5_1_48_km} + (E2_5_1_48 * C01118*C05688))</v>
      </c>
    </row>
    <row r="291" spans="1:11" ht="58" x14ac:dyDescent="0.35">
      <c r="A291" s="1" t="s">
        <v>3347</v>
      </c>
      <c r="B291" s="1" t="s">
        <v>3348</v>
      </c>
      <c r="C291" s="1" t="s">
        <v>9873</v>
      </c>
      <c r="D291" s="1">
        <v>290</v>
      </c>
      <c r="E291" s="1" t="str">
        <f>CONCATENATE("E",Reactions!C291)</f>
        <v>E2_5_1_49</v>
      </c>
      <c r="F291" s="1" t="s">
        <v>11000</v>
      </c>
      <c r="G291" s="1" t="s">
        <v>12015</v>
      </c>
      <c r="H291" s="1" t="s">
        <v>11001</v>
      </c>
      <c r="I291" s="1" t="s">
        <v>12630</v>
      </c>
      <c r="J291" s="12" t="str">
        <f t="shared" si="8"/>
        <v>(${Variables:E2_5_1_49_kcat} * E2_5_1_49 * C01077*C00409)/(${Variables:E2_5_1_49_km} + (E2_5_1_49 * C01077*C00409))</v>
      </c>
      <c r="K291" s="36" t="str">
        <f t="shared" si="9"/>
        <v>r290: C01077+C00409 -&gt; C00073+C00033 | (${Variables:E2_5_1_49_kcat} * E2_5_1_49 * C01077*C00409)/(${Variables:E2_5_1_49_km} + (E2_5_1_49 * C01077*C00409))</v>
      </c>
    </row>
    <row r="292" spans="1:11" ht="58" x14ac:dyDescent="0.35">
      <c r="A292" s="1" t="s">
        <v>3347</v>
      </c>
      <c r="B292" s="1" t="s">
        <v>3348</v>
      </c>
      <c r="C292" s="1" t="s">
        <v>9873</v>
      </c>
      <c r="D292" s="1">
        <v>291</v>
      </c>
      <c r="E292" s="1" t="str">
        <f>CONCATENATE("E",Reactions!C292)</f>
        <v>E2_5_1_49</v>
      </c>
      <c r="F292" s="1" t="s">
        <v>11002</v>
      </c>
      <c r="G292" s="1" t="s">
        <v>12016</v>
      </c>
      <c r="H292" s="1" t="s">
        <v>11003</v>
      </c>
      <c r="I292" s="1" t="s">
        <v>12631</v>
      </c>
      <c r="J292" s="12" t="str">
        <f t="shared" si="8"/>
        <v>(${Variables:E2_5_1_49_kcat} * E2_5_1_49 * C01077*C00283)/(${Variables:E2_5_1_49_km} + (E2_5_1_49 * C01077*C00283))</v>
      </c>
      <c r="K292" s="36" t="str">
        <f t="shared" si="9"/>
        <v>r291: C01077+C00283 -&gt; C00155+C00033 | (${Variables:E2_5_1_49_kcat} * E2_5_1_49 * C01077*C00283)/(${Variables:E2_5_1_49_km} + (E2_5_1_49 * C01077*C00283))</v>
      </c>
    </row>
    <row r="293" spans="1:11" ht="87" x14ac:dyDescent="0.35">
      <c r="A293" s="1" t="s">
        <v>3347</v>
      </c>
      <c r="B293" s="1" t="s">
        <v>3348</v>
      </c>
      <c r="C293" s="1" t="s">
        <v>9873</v>
      </c>
      <c r="D293" s="1">
        <v>292</v>
      </c>
      <c r="E293" s="1" t="str">
        <f>CONCATENATE("E",Reactions!C293)</f>
        <v>E2_5_1_49</v>
      </c>
      <c r="F293" s="1" t="s">
        <v>10982</v>
      </c>
      <c r="G293" s="1" t="s">
        <v>12005</v>
      </c>
      <c r="H293" s="1" t="s">
        <v>10983</v>
      </c>
      <c r="I293" s="1" t="s">
        <v>12622</v>
      </c>
      <c r="J293" s="12" t="str">
        <f t="shared" si="8"/>
        <v>(${Variables:E2_5_1_49_kcat} * E2_5_1_49 * C00979*C00320*C00342*C00080)/(${Variables:E2_5_1_49_km} + (E2_5_1_49 * C00979*C00320*C00342*C00080))</v>
      </c>
      <c r="K293" s="36" t="str">
        <f t="shared" si="9"/>
        <v>r292: C00979+C00320+C00342+C00080 -&gt; C00097+C00094+C00343+C00033 | (${Variables:E2_5_1_49_kcat} * E2_5_1_49 * C00979*C00320*C00342*C00080)/(${Variables:E2_5_1_49_km} + (E2_5_1_49 * C00979*C00320*C00342*C00080))</v>
      </c>
    </row>
    <row r="294" spans="1:11" ht="58" x14ac:dyDescent="0.35">
      <c r="A294" s="1" t="s">
        <v>5385</v>
      </c>
      <c r="B294" s="1" t="s">
        <v>5386</v>
      </c>
      <c r="C294" s="1" t="s">
        <v>9874</v>
      </c>
      <c r="D294" s="1">
        <v>293</v>
      </c>
      <c r="E294" s="1" t="str">
        <f>CONCATENATE("E",Reactions!C294)</f>
        <v>E2_5_1_54</v>
      </c>
      <c r="F294" s="1" t="s">
        <v>11004</v>
      </c>
      <c r="G294" s="1" t="s">
        <v>12017</v>
      </c>
      <c r="H294" s="1" t="s">
        <v>11005</v>
      </c>
      <c r="I294" s="1" t="s">
        <v>12632</v>
      </c>
      <c r="J294" s="12" t="str">
        <f t="shared" si="8"/>
        <v>(${Variables:E2_5_1_54_kcat} * E2_5_1_54 * C00074*C00279*C00001)/(${Variables:E2_5_1_54_km} + (E2_5_1_54 * C00074*C00279*C00001))</v>
      </c>
      <c r="K294" s="36" t="str">
        <f t="shared" si="9"/>
        <v>r293: C00074+C00279+C00001 -&gt; C04691+C00009 | (${Variables:E2_5_1_54_kcat} * E2_5_1_54 * C00074*C00279*C00001)/(${Variables:E2_5_1_54_km} + (E2_5_1_54 * C00074*C00279*C00001))</v>
      </c>
    </row>
    <row r="295" spans="1:11" ht="72.5" x14ac:dyDescent="0.35">
      <c r="A295" s="1" t="s">
        <v>2905</v>
      </c>
      <c r="B295" s="1" t="s">
        <v>2906</v>
      </c>
      <c r="C295" s="1" t="s">
        <v>9875</v>
      </c>
      <c r="D295" s="1">
        <v>294</v>
      </c>
      <c r="E295" s="1" t="str">
        <f>CONCATENATE("E",Reactions!C295)</f>
        <v>E2_5_1_6</v>
      </c>
      <c r="F295" s="1" t="s">
        <v>11006</v>
      </c>
      <c r="G295" s="1" t="s">
        <v>12018</v>
      </c>
      <c r="H295" s="1" t="s">
        <v>11007</v>
      </c>
      <c r="I295" s="1" t="s">
        <v>12633</v>
      </c>
      <c r="J295" s="12" t="str">
        <f t="shared" si="8"/>
        <v>(${Variables:E2_5_1_6_kcat} * E2_5_1_6 * C00009*C00013*C00019 )/(${Variables:E2_5_1_6_km} + (E2_5_1_6 * C00009*C00013*C00019 ))</v>
      </c>
      <c r="K295" s="36" t="str">
        <f t="shared" si="9"/>
        <v>r294: C00009+C00013+C00019  -&gt; C00002+C00073+C00001 | (${Variables:E2_5_1_6_kcat} * E2_5_1_6 * C00009*C00013*C00019 )/(${Variables:E2_5_1_6_km} + (E2_5_1_6 * C00009*C00013*C00019 ))</v>
      </c>
    </row>
    <row r="296" spans="1:11" ht="72.5" x14ac:dyDescent="0.35">
      <c r="A296" s="1" t="s">
        <v>2905</v>
      </c>
      <c r="B296" s="1" t="s">
        <v>2906</v>
      </c>
      <c r="C296" s="1" t="s">
        <v>9875</v>
      </c>
      <c r="D296" s="1">
        <v>295</v>
      </c>
      <c r="E296" s="1" t="str">
        <f>CONCATENATE("E",Reactions!C296)</f>
        <v>E2_5_1_6</v>
      </c>
      <c r="F296" s="1" t="s">
        <v>11008</v>
      </c>
      <c r="G296" s="1" t="s">
        <v>12019</v>
      </c>
      <c r="H296" s="1" t="s">
        <v>11009</v>
      </c>
      <c r="I296" s="1" t="s">
        <v>12634</v>
      </c>
      <c r="J296" s="12" t="str">
        <f t="shared" si="8"/>
        <v>(${Variables:E2_5_1_6_kcat} * E2_5_1_6 * C00002*C05335*C00001)/(${Variables:E2_5_1_6_km} + (E2_5_1_6 * C00002*C05335*C00001))</v>
      </c>
      <c r="K296" s="36" t="str">
        <f t="shared" si="9"/>
        <v>r295: C00002+C05335+C00001 -&gt; C00009+C00013+C05691 | (${Variables:E2_5_1_6_kcat} * E2_5_1_6 * C00002*C05335*C00001)/(${Variables:E2_5_1_6_km} + (E2_5_1_6 * C00002*C05335*C00001))</v>
      </c>
    </row>
    <row r="297" spans="1:11" ht="58" x14ac:dyDescent="0.35">
      <c r="A297" s="1" t="s">
        <v>2936</v>
      </c>
      <c r="B297" s="1" t="s">
        <v>2937</v>
      </c>
      <c r="C297" s="1" t="s">
        <v>9876</v>
      </c>
      <c r="D297" s="1">
        <v>296</v>
      </c>
      <c r="E297" s="1" t="str">
        <f>CONCATENATE("E",Reactions!C297)</f>
        <v>E2_5_1_7</v>
      </c>
      <c r="F297" s="1" t="s">
        <v>11010</v>
      </c>
      <c r="G297" s="1" t="s">
        <v>12020</v>
      </c>
      <c r="H297" s="1" t="s">
        <v>11011</v>
      </c>
      <c r="I297" s="1" t="s">
        <v>12635</v>
      </c>
      <c r="J297" s="12" t="str">
        <f t="shared" si="8"/>
        <v>(${Variables:E2_5_1_7_kcat} * E2_5_1_7 * C00074*C00043)/(${Variables:E2_5_1_7_km} + (E2_5_1_7 * C00074*C00043))</v>
      </c>
      <c r="K297" s="36" t="str">
        <f t="shared" si="9"/>
        <v>r296: C00074+C00043 -&gt; C04631+C00009 | (${Variables:E2_5_1_7_kcat} * E2_5_1_7 * C00074*C00043)/(${Variables:E2_5_1_7_km} + (E2_5_1_7 * C00074*C00043))</v>
      </c>
    </row>
    <row r="298" spans="1:11" ht="58" x14ac:dyDescent="0.35">
      <c r="A298" s="1" t="s">
        <v>2589</v>
      </c>
      <c r="B298" s="1" t="s">
        <v>2590</v>
      </c>
      <c r="C298" s="1" t="s">
        <v>9877</v>
      </c>
      <c r="D298" s="1">
        <v>297</v>
      </c>
      <c r="E298" s="1" t="str">
        <f>CONCATENATE("E",Reactions!C298)</f>
        <v>E2_5_1_75</v>
      </c>
      <c r="F298" s="1" t="s">
        <v>11012</v>
      </c>
      <c r="G298" s="1" t="s">
        <v>12021</v>
      </c>
      <c r="H298" s="1" t="s">
        <v>11013</v>
      </c>
      <c r="I298" s="1" t="s">
        <v>12636</v>
      </c>
      <c r="J298" s="12" t="str">
        <f t="shared" si="8"/>
        <v>(${Variables:E2_5_1_75_kcat} * E2_5_1_75 * C00235*C17324)/(${Variables:E2_5_1_75_km} + (E2_5_1_75 * C00235*C17324))</v>
      </c>
      <c r="K298" s="36" t="str">
        <f t="shared" si="9"/>
        <v>r297: C00235+C17324 -&gt; C00013+C04432 | (${Variables:E2_5_1_75_kcat} * E2_5_1_75 * C00235*C17324)/(${Variables:E2_5_1_75_km} + (E2_5_1_75 * C00235*C17324))</v>
      </c>
    </row>
    <row r="299" spans="1:11" ht="58" x14ac:dyDescent="0.35">
      <c r="A299" s="1" t="s">
        <v>3698</v>
      </c>
      <c r="B299" s="1" t="s">
        <v>3699</v>
      </c>
      <c r="C299" s="1" t="s">
        <v>9878</v>
      </c>
      <c r="D299" s="1">
        <v>298</v>
      </c>
      <c r="E299" s="1" t="str">
        <f>CONCATENATE("E",Reactions!C299)</f>
        <v>E2_6_1_1</v>
      </c>
      <c r="F299" s="1" t="s">
        <v>11014</v>
      </c>
      <c r="G299" s="1" t="s">
        <v>12022</v>
      </c>
      <c r="H299" s="1" t="s">
        <v>11015</v>
      </c>
      <c r="I299" s="1" t="s">
        <v>12637</v>
      </c>
      <c r="J299" s="12" t="str">
        <f t="shared" si="8"/>
        <v>(${Variables:E2_6_1_1_kcat} * E2_6_1_1 * C00049*C00026)/(${Variables:E2_6_1_1_km} + (E2_6_1_1 * C00049*C00026))</v>
      </c>
      <c r="K299" s="36" t="str">
        <f t="shared" si="9"/>
        <v>r298: C00049+C00026 -&gt; C00036+C00025 | (${Variables:E2_6_1_1_kcat} * E2_6_1_1 * C00049*C00026)/(${Variables:E2_6_1_1_km} + (E2_6_1_1 * C00049*C00026))</v>
      </c>
    </row>
    <row r="300" spans="1:11" ht="58" x14ac:dyDescent="0.35">
      <c r="A300" s="1" t="s">
        <v>3698</v>
      </c>
      <c r="B300" s="1" t="s">
        <v>3699</v>
      </c>
      <c r="C300" s="1" t="s">
        <v>9878</v>
      </c>
      <c r="D300" s="1">
        <v>299</v>
      </c>
      <c r="E300" s="1" t="str">
        <f>CONCATENATE("E",Reactions!C300)</f>
        <v>E2_6_1_1</v>
      </c>
      <c r="F300" s="1" t="s">
        <v>11016</v>
      </c>
      <c r="G300" s="1" t="s">
        <v>12023</v>
      </c>
      <c r="H300" s="1" t="s">
        <v>11017</v>
      </c>
      <c r="I300" s="1" t="s">
        <v>12638</v>
      </c>
      <c r="J300" s="12" t="str">
        <f t="shared" si="8"/>
        <v>(${Variables:E2_6_1_1_kcat} * E2_6_1_1 * C00079*C00026)/(${Variables:E2_6_1_1_km} + (E2_6_1_1 * C00079*C00026))</v>
      </c>
      <c r="K300" s="36" t="str">
        <f t="shared" si="9"/>
        <v>r299: C00079+C00026 -&gt; C00166+C00025 | (${Variables:E2_6_1_1_kcat} * E2_6_1_1 * C00079*C00026)/(${Variables:E2_6_1_1_km} + (E2_6_1_1 * C00079*C00026))</v>
      </c>
    </row>
    <row r="301" spans="1:11" ht="58" x14ac:dyDescent="0.35">
      <c r="A301" s="1" t="s">
        <v>3698</v>
      </c>
      <c r="B301" s="1" t="s">
        <v>3699</v>
      </c>
      <c r="C301" s="1" t="s">
        <v>9878</v>
      </c>
      <c r="D301" s="1">
        <v>300</v>
      </c>
      <c r="E301" s="1" t="str">
        <f>CONCATENATE("E",Reactions!C301)</f>
        <v>E2_6_1_1</v>
      </c>
      <c r="F301" s="1" t="s">
        <v>11018</v>
      </c>
      <c r="G301" s="1" t="s">
        <v>12024</v>
      </c>
      <c r="H301" s="1" t="s">
        <v>11019</v>
      </c>
      <c r="I301" s="1" t="s">
        <v>12639</v>
      </c>
      <c r="J301" s="12" t="str">
        <f t="shared" si="8"/>
        <v>(${Variables:E2_6_1_1_kcat} * E2_6_1_1 * C00082*C00026)/(${Variables:E2_6_1_1_km} + (E2_6_1_1 * C00082*C00026))</v>
      </c>
      <c r="K301" s="36" t="str">
        <f t="shared" si="9"/>
        <v>r300: C00082+C00026 -&gt; C01179+C00025 | (${Variables:E2_6_1_1_kcat} * E2_6_1_1 * C00082*C00026)/(${Variables:E2_6_1_1_km} + (E2_6_1_1 * C00082*C00026))</v>
      </c>
    </row>
    <row r="302" spans="1:11" ht="58" x14ac:dyDescent="0.35">
      <c r="A302" s="1" t="s">
        <v>3698</v>
      </c>
      <c r="B302" s="1" t="s">
        <v>3699</v>
      </c>
      <c r="C302" s="1" t="s">
        <v>9878</v>
      </c>
      <c r="D302" s="1">
        <v>301</v>
      </c>
      <c r="E302" s="1" t="str">
        <f>CONCATENATE("E",Reactions!C302)</f>
        <v>E2_6_1_1</v>
      </c>
      <c r="F302" s="1" t="s">
        <v>11020</v>
      </c>
      <c r="G302" s="1" t="s">
        <v>12025</v>
      </c>
      <c r="H302" s="1" t="s">
        <v>11021</v>
      </c>
      <c r="I302" s="1" t="s">
        <v>12640</v>
      </c>
      <c r="J302" s="12" t="str">
        <f t="shared" si="8"/>
        <v>(${Variables:E2_6_1_1_kcat} * E2_6_1_1 * C00097*C00026)/(${Variables:E2_6_1_1_km} + (E2_6_1_1 * C00097*C00026))</v>
      </c>
      <c r="K302" s="36" t="str">
        <f t="shared" si="9"/>
        <v>r301: C00097+C00026 -&gt; C00957+C00025 | (${Variables:E2_6_1_1_kcat} * E2_6_1_1 * C00097*C00026)/(${Variables:E2_6_1_1_km} + (E2_6_1_1 * C00097*C00026))</v>
      </c>
    </row>
    <row r="303" spans="1:11" ht="58" x14ac:dyDescent="0.35">
      <c r="A303" s="1" t="s">
        <v>3698</v>
      </c>
      <c r="B303" s="1" t="s">
        <v>3699</v>
      </c>
      <c r="C303" s="1" t="s">
        <v>9878</v>
      </c>
      <c r="D303" s="1">
        <v>302</v>
      </c>
      <c r="E303" s="1" t="str">
        <f>CONCATENATE("E",Reactions!C303)</f>
        <v>E2_6_1_1</v>
      </c>
      <c r="F303" s="1" t="s">
        <v>11020</v>
      </c>
      <c r="G303" s="1" t="s">
        <v>12025</v>
      </c>
      <c r="H303" s="1" t="s">
        <v>11022</v>
      </c>
      <c r="I303" s="1" t="s">
        <v>12641</v>
      </c>
      <c r="J303" s="12" t="str">
        <f t="shared" si="8"/>
        <v>(${Variables:E2_6_1_1_kcat} * E2_6_1_1 * C00097*C00026)/(${Variables:E2_6_1_1_km} + (E2_6_1_1 * C00097*C00026))</v>
      </c>
      <c r="K303" s="36" t="str">
        <f t="shared" si="9"/>
        <v>r302: C00097+C00026 -&gt; C00957+C00302 | (${Variables:E2_6_1_1_kcat} * E2_6_1_1 * C00097*C00026)/(${Variables:E2_6_1_1_km} + (E2_6_1_1 * C00097*C00026))</v>
      </c>
    </row>
    <row r="304" spans="1:11" ht="58" x14ac:dyDescent="0.35">
      <c r="A304" s="1" t="s">
        <v>3698</v>
      </c>
      <c r="B304" s="1" t="s">
        <v>3699</v>
      </c>
      <c r="C304" s="1" t="s">
        <v>9878</v>
      </c>
      <c r="D304" s="1">
        <v>303</v>
      </c>
      <c r="E304" s="1" t="str">
        <f>CONCATENATE("E",Reactions!C304)</f>
        <v>E2_6_1_1</v>
      </c>
      <c r="F304" s="1" t="s">
        <v>11023</v>
      </c>
      <c r="G304" s="1" t="s">
        <v>12026</v>
      </c>
      <c r="H304" s="1" t="s">
        <v>11024</v>
      </c>
      <c r="I304" s="1" t="s">
        <v>12642</v>
      </c>
      <c r="J304" s="12" t="str">
        <f t="shared" si="8"/>
        <v>(${Variables:E2_6_1_1_kcat} * E2_6_1_1 * C00506*C00026)/(${Variables:E2_6_1_1_km} + (E2_6_1_1 * C00506*C00026))</v>
      </c>
      <c r="K304" s="36" t="str">
        <f t="shared" si="9"/>
        <v>r303: C00506+C00026 -&gt; C05528+C00025 | (${Variables:E2_6_1_1_kcat} * E2_6_1_1 * C00506*C00026)/(${Variables:E2_6_1_1_km} + (E2_6_1_1 * C00506*C00026))</v>
      </c>
    </row>
    <row r="305" spans="1:11" ht="58" x14ac:dyDescent="0.35">
      <c r="A305" s="1" t="s">
        <v>3698</v>
      </c>
      <c r="B305" s="1" t="s">
        <v>3699</v>
      </c>
      <c r="C305" s="1" t="s">
        <v>9878</v>
      </c>
      <c r="D305" s="1">
        <v>304</v>
      </c>
      <c r="E305" s="1" t="str">
        <f>CONCATENATE("E",Reactions!C305)</f>
        <v>E2_6_1_1</v>
      </c>
      <c r="F305" s="1" t="s">
        <v>11025</v>
      </c>
      <c r="G305" s="1" t="s">
        <v>12027</v>
      </c>
      <c r="H305" s="1" t="s">
        <v>11026</v>
      </c>
      <c r="I305" s="1" t="s">
        <v>12643</v>
      </c>
      <c r="J305" s="12" t="str">
        <f t="shared" si="8"/>
        <v>(${Variables:E2_6_1_1_kcat} * E2_6_1_1 * C00606*C00026)/(${Variables:E2_6_1_1_km} + (E2_6_1_1 * C00606*C00026))</v>
      </c>
      <c r="K305" s="36" t="str">
        <f t="shared" si="9"/>
        <v>r304: C00606+C00026 -&gt; C05527+C00025 | (${Variables:E2_6_1_1_kcat} * E2_6_1_1 * C00606*C00026)/(${Variables:E2_6_1_1_km} + (E2_6_1_1 * C00606*C00026))</v>
      </c>
    </row>
    <row r="306" spans="1:11" ht="58" x14ac:dyDescent="0.35">
      <c r="A306" s="1" t="s">
        <v>3698</v>
      </c>
      <c r="B306" s="1" t="s">
        <v>3699</v>
      </c>
      <c r="C306" s="1" t="s">
        <v>9878</v>
      </c>
      <c r="D306" s="1">
        <v>305</v>
      </c>
      <c r="E306" s="1" t="str">
        <f>CONCATENATE("E",Reactions!C306)</f>
        <v>E2_6_1_1</v>
      </c>
      <c r="F306" s="1" t="s">
        <v>11027</v>
      </c>
      <c r="G306" s="1" t="s">
        <v>12028</v>
      </c>
      <c r="H306" s="1" t="s">
        <v>11028</v>
      </c>
      <c r="I306" s="1" t="s">
        <v>12644</v>
      </c>
      <c r="J306" s="12" t="str">
        <f t="shared" si="8"/>
        <v>(${Variables:E2_6_1_1_kcat} * E2_6_1_1 * C05947*C00026)/(${Variables:E2_6_1_1_km} + (E2_6_1_1 * C05947*C00026))</v>
      </c>
      <c r="K306" s="36" t="str">
        <f t="shared" si="9"/>
        <v>r305: C05947+C00026 -&gt; C05946+C00025 | (${Variables:E2_6_1_1_kcat} * E2_6_1_1 * C05947*C00026)/(${Variables:E2_6_1_1_km} + (E2_6_1_1 * C05947*C00026))</v>
      </c>
    </row>
    <row r="307" spans="1:11" ht="58" x14ac:dyDescent="0.35">
      <c r="A307" s="1" t="s">
        <v>1362</v>
      </c>
      <c r="B307" s="1" t="s">
        <v>1363</v>
      </c>
      <c r="C307" s="1" t="s">
        <v>9879</v>
      </c>
      <c r="D307" s="1">
        <v>306</v>
      </c>
      <c r="E307" s="1" t="str">
        <f>CONCATENATE("E",Reactions!C307)</f>
        <v>E2_6_1_11</v>
      </c>
      <c r="F307" s="1" t="s">
        <v>11029</v>
      </c>
      <c r="G307" s="1" t="s">
        <v>12029</v>
      </c>
      <c r="H307" s="1" t="s">
        <v>11030</v>
      </c>
      <c r="I307" s="1" t="s">
        <v>12645</v>
      </c>
      <c r="J307" s="12" t="str">
        <f t="shared" si="8"/>
        <v>(${Variables:E2_6_1_11_kcat} * E2_6_1_11 * C00437*C00026)/(${Variables:E2_6_1_11_km} + (E2_6_1_11 * C00437*C00026))</v>
      </c>
      <c r="K307" s="36" t="str">
        <f t="shared" si="9"/>
        <v>r306: C00437+C00026 -&gt; C01250+C00025 | (${Variables:E2_6_1_11_kcat} * E2_6_1_11 * C00437*C00026)/(${Variables:E2_6_1_11_km} + (E2_6_1_11 * C00437*C00026))</v>
      </c>
    </row>
    <row r="308" spans="1:11" ht="58" x14ac:dyDescent="0.35">
      <c r="A308" s="1" t="s">
        <v>3633</v>
      </c>
      <c r="B308" s="1" t="s">
        <v>3634</v>
      </c>
      <c r="C308" s="1" t="s">
        <v>9880</v>
      </c>
      <c r="D308" s="1">
        <v>307</v>
      </c>
      <c r="E308" s="1" t="str">
        <f>CONCATENATE("E",Reactions!C308)</f>
        <v>E2_6_1_16</v>
      </c>
      <c r="F308" s="1" t="s">
        <v>11031</v>
      </c>
      <c r="G308" s="1" t="s">
        <v>12030</v>
      </c>
      <c r="H308" s="1" t="s">
        <v>11032</v>
      </c>
      <c r="I308" s="1" t="s">
        <v>12646</v>
      </c>
      <c r="J308" s="12" t="str">
        <f t="shared" si="8"/>
        <v>(${Variables:E2_6_1_16_kcat} * E2_6_1_16 * C00064*C00085)/(${Variables:E2_6_1_16_km} + (E2_6_1_16 * C00064*C00085))</v>
      </c>
      <c r="K308" s="36" t="str">
        <f t="shared" si="9"/>
        <v>r307: C00064+C00085 -&gt; C00025+C00352 | (${Variables:E2_6_1_16_kcat} * E2_6_1_16 * C00064*C00085)/(${Variables:E2_6_1_16_km} + (E2_6_1_16 * C00064*C00085))</v>
      </c>
    </row>
    <row r="309" spans="1:11" ht="58" x14ac:dyDescent="0.35">
      <c r="A309" s="1" t="s">
        <v>1823</v>
      </c>
      <c r="B309" s="1" t="s">
        <v>1824</v>
      </c>
      <c r="C309" s="1" t="s">
        <v>9881</v>
      </c>
      <c r="D309" s="1">
        <v>308</v>
      </c>
      <c r="E309" s="1" t="str">
        <f>CONCATENATE("E",Reactions!C309)</f>
        <v>E2_6_1_42</v>
      </c>
      <c r="F309" s="1" t="s">
        <v>11033</v>
      </c>
      <c r="G309" s="1" t="s">
        <v>12031</v>
      </c>
      <c r="H309" s="1" t="s">
        <v>11034</v>
      </c>
      <c r="I309" s="1" t="s">
        <v>12647</v>
      </c>
      <c r="J309" s="12" t="str">
        <f t="shared" si="8"/>
        <v>(${Variables:E2_6_1_42_kcat} * E2_6_1_42 * C00123*C00026)/(${Variables:E2_6_1_42_km} + (E2_6_1_42 * C00123*C00026))</v>
      </c>
      <c r="K309" s="36" t="str">
        <f t="shared" si="9"/>
        <v>r308: C00123+C00026 -&gt; C00233+C00025 | (${Variables:E2_6_1_42_kcat} * E2_6_1_42 * C00123*C00026)/(${Variables:E2_6_1_42_km} + (E2_6_1_42 * C00123*C00026))</v>
      </c>
    </row>
    <row r="310" spans="1:11" ht="58" x14ac:dyDescent="0.35">
      <c r="A310" s="1" t="s">
        <v>1823</v>
      </c>
      <c r="B310" s="1" t="s">
        <v>1824</v>
      </c>
      <c r="C310" s="1" t="s">
        <v>9881</v>
      </c>
      <c r="D310" s="1">
        <v>309</v>
      </c>
      <c r="E310" s="1" t="str">
        <f>CONCATENATE("E",Reactions!C310)</f>
        <v>E2_6_1_42</v>
      </c>
      <c r="F310" s="1" t="s">
        <v>11035</v>
      </c>
      <c r="G310" s="1" t="s">
        <v>12032</v>
      </c>
      <c r="H310" s="1" t="s">
        <v>11036</v>
      </c>
      <c r="I310" s="1" t="s">
        <v>12648</v>
      </c>
      <c r="J310" s="12" t="str">
        <f t="shared" si="8"/>
        <v>(${Variables:E2_6_1_42_kcat} * E2_6_1_42 * C00183*C00026)/(${Variables:E2_6_1_42_km} + (E2_6_1_42 * C00183*C00026))</v>
      </c>
      <c r="K310" s="36" t="str">
        <f t="shared" si="9"/>
        <v>r309: C00183+C00026 -&gt; C00141+C00025 | (${Variables:E2_6_1_42_kcat} * E2_6_1_42 * C00183*C00026)/(${Variables:E2_6_1_42_km} + (E2_6_1_42 * C00183*C00026))</v>
      </c>
    </row>
    <row r="311" spans="1:11" ht="58" x14ac:dyDescent="0.35">
      <c r="A311" s="1" t="s">
        <v>1823</v>
      </c>
      <c r="B311" s="1" t="s">
        <v>1824</v>
      </c>
      <c r="C311" s="1" t="s">
        <v>9881</v>
      </c>
      <c r="D311" s="1">
        <v>310</v>
      </c>
      <c r="E311" s="1" t="str">
        <f>CONCATENATE("E",Reactions!C311)</f>
        <v>E2_6_1_42</v>
      </c>
      <c r="F311" s="1" t="s">
        <v>11037</v>
      </c>
      <c r="G311" s="1" t="s">
        <v>12033</v>
      </c>
      <c r="H311" s="1" t="s">
        <v>11038</v>
      </c>
      <c r="I311" s="1" t="s">
        <v>12649</v>
      </c>
      <c r="J311" s="12" t="str">
        <f t="shared" si="8"/>
        <v>(${Variables:E2_6_1_42_kcat} * E2_6_1_42 * C00407*C00026)/(${Variables:E2_6_1_42_km} + (E2_6_1_42 * C00407*C00026))</v>
      </c>
      <c r="K311" s="36" t="str">
        <f t="shared" si="9"/>
        <v>r310: C00407+C00026 -&gt; C00671+C00025 | (${Variables:E2_6_1_42_kcat} * E2_6_1_42 * C00407*C00026)/(${Variables:E2_6_1_42_km} + (E2_6_1_42 * C00407*C00026))</v>
      </c>
    </row>
    <row r="312" spans="1:11" ht="58" x14ac:dyDescent="0.35">
      <c r="A312" s="1" t="s">
        <v>1823</v>
      </c>
      <c r="B312" s="1" t="s">
        <v>1824</v>
      </c>
      <c r="C312" s="1" t="s">
        <v>9881</v>
      </c>
      <c r="D312" s="1">
        <v>311</v>
      </c>
      <c r="E312" s="1" t="str">
        <f>CONCATENATE("E",Reactions!C312)</f>
        <v>E2_6_1_42</v>
      </c>
      <c r="F312" s="1" t="s">
        <v>11039</v>
      </c>
      <c r="G312" s="1" t="s">
        <v>12034</v>
      </c>
      <c r="H312" s="1" t="s">
        <v>11040</v>
      </c>
      <c r="I312" s="1" t="s">
        <v>12650</v>
      </c>
      <c r="J312" s="12" t="str">
        <f t="shared" si="8"/>
        <v>(${Variables:E2_6_1_42_kcat} * E2_6_1_42 * C02356*C00026)/(${Variables:E2_6_1_42_km} + (E2_6_1_42 * C02356*C00026))</v>
      </c>
      <c r="K312" s="36" t="str">
        <f t="shared" si="9"/>
        <v>r311: C02356+C00026 -&gt; C00109+C00025 | (${Variables:E2_6_1_42_kcat} * E2_6_1_42 * C02356*C00026)/(${Variables:E2_6_1_42_km} + (E2_6_1_42 * C02356*C00026))</v>
      </c>
    </row>
    <row r="313" spans="1:11" ht="58" x14ac:dyDescent="0.35">
      <c r="A313" s="1" t="s">
        <v>4737</v>
      </c>
      <c r="B313" s="1" t="s">
        <v>4738</v>
      </c>
      <c r="C313" s="1" t="s">
        <v>9882</v>
      </c>
      <c r="D313" s="1">
        <v>312</v>
      </c>
      <c r="E313" s="1" t="str">
        <f>CONCATENATE("E",Reactions!C313)</f>
        <v>E2_6_1_52</v>
      </c>
      <c r="F313" s="1" t="s">
        <v>11041</v>
      </c>
      <c r="G313" s="1" t="s">
        <v>12035</v>
      </c>
      <c r="H313" s="1" t="s">
        <v>11042</v>
      </c>
      <c r="I313" s="1" t="s">
        <v>12651</v>
      </c>
      <c r="J313" s="12" t="str">
        <f t="shared" si="8"/>
        <v>(${Variables:E2_6_1_52_kcat} * E2_6_1_52 * C01005*C00026)/(${Variables:E2_6_1_52_km} + (E2_6_1_52 * C01005*C00026))</v>
      </c>
      <c r="K313" s="36" t="str">
        <f t="shared" si="9"/>
        <v>r312: C01005+C00026 -&gt; C03232+C00025 | (${Variables:E2_6_1_52_kcat} * E2_6_1_52 * C01005*C00026)/(${Variables:E2_6_1_52_km} + (E2_6_1_52 * C01005*C00026))</v>
      </c>
    </row>
    <row r="314" spans="1:11" ht="58" x14ac:dyDescent="0.35">
      <c r="A314" s="1" t="s">
        <v>4737</v>
      </c>
      <c r="B314" s="1" t="s">
        <v>4738</v>
      </c>
      <c r="C314" s="1" t="s">
        <v>9882</v>
      </c>
      <c r="D314" s="1">
        <v>313</v>
      </c>
      <c r="E314" s="1" t="str">
        <f>CONCATENATE("E",Reactions!C314)</f>
        <v>E2_6_1_52</v>
      </c>
      <c r="F314" s="1" t="s">
        <v>11043</v>
      </c>
      <c r="G314" s="1" t="s">
        <v>12036</v>
      </c>
      <c r="H314" s="1" t="s">
        <v>11044</v>
      </c>
      <c r="I314" s="1" t="s">
        <v>12652</v>
      </c>
      <c r="J314" s="12" t="str">
        <f t="shared" si="8"/>
        <v>(${Variables:E2_6_1_52_kcat} * E2_6_1_52 * C06055*C00026)/(${Variables:E2_6_1_52_km} + (E2_6_1_52 * C06055*C00026))</v>
      </c>
      <c r="K314" s="36" t="str">
        <f t="shared" si="9"/>
        <v>r313: C06055+C00026 -&gt; C06054+C00025 | (${Variables:E2_6_1_52_kcat} * E2_6_1_52 * C06055*C00026)/(${Variables:E2_6_1_52_km} + (E2_6_1_52 * C06055*C00026))</v>
      </c>
    </row>
    <row r="315" spans="1:11" ht="58" x14ac:dyDescent="0.35">
      <c r="A315" s="1" t="s">
        <v>130</v>
      </c>
      <c r="B315" s="1" t="s">
        <v>131</v>
      </c>
      <c r="C315" s="1" t="s">
        <v>9883</v>
      </c>
      <c r="D315" s="1">
        <v>314</v>
      </c>
      <c r="E315" s="1" t="str">
        <f>CONCATENATE("E",Reactions!C315)</f>
        <v>E2_6_1_57</v>
      </c>
      <c r="F315" s="1" t="s">
        <v>11045</v>
      </c>
      <c r="G315" s="1" t="s">
        <v>12037</v>
      </c>
      <c r="H315" s="1" t="s">
        <v>11046</v>
      </c>
      <c r="I315" s="1" t="s">
        <v>12653</v>
      </c>
      <c r="J315" s="12" t="str">
        <f t="shared" si="8"/>
        <v>(${Variables:E2_6_1_57_kcat} * E2_6_1_57 * C01021*C00026)/(${Variables:E2_6_1_57_km} + (E2_6_1_57 * C01021*C00026))</v>
      </c>
      <c r="K315" s="36" t="str">
        <f t="shared" si="9"/>
        <v>r314: C01021+C00026 -&gt; C00972+C00025 | (${Variables:E2_6_1_57_kcat} * E2_6_1_57 * C01021*C00026)/(${Variables:E2_6_1_57_km} + (E2_6_1_57 * C01021*C00026))</v>
      </c>
    </row>
    <row r="316" spans="1:11" ht="58" x14ac:dyDescent="0.35">
      <c r="A316" s="1" t="s">
        <v>130</v>
      </c>
      <c r="B316" s="1" t="s">
        <v>131</v>
      </c>
      <c r="C316" s="1" t="s">
        <v>9883</v>
      </c>
      <c r="D316" s="1">
        <v>315</v>
      </c>
      <c r="E316" s="1" t="str">
        <f>CONCATENATE("E",Reactions!C316)</f>
        <v>E2_6_1_57</v>
      </c>
      <c r="F316" s="1" t="s">
        <v>11016</v>
      </c>
      <c r="G316" s="1" t="s">
        <v>12023</v>
      </c>
      <c r="H316" s="1" t="s">
        <v>11017</v>
      </c>
      <c r="I316" s="1" t="s">
        <v>12638</v>
      </c>
      <c r="J316" s="12" t="str">
        <f t="shared" si="8"/>
        <v>(${Variables:E2_6_1_57_kcat} * E2_6_1_57 * C00079*C00026)/(${Variables:E2_6_1_57_km} + (E2_6_1_57 * C00079*C00026))</v>
      </c>
      <c r="K316" s="36" t="str">
        <f t="shared" si="9"/>
        <v>r315: C00079+C00026 -&gt; C00166+C00025 | (${Variables:E2_6_1_57_kcat} * E2_6_1_57 * C00079*C00026)/(${Variables:E2_6_1_57_km} + (E2_6_1_57 * C00079*C00026))</v>
      </c>
    </row>
    <row r="317" spans="1:11" ht="58" x14ac:dyDescent="0.35">
      <c r="A317" s="1" t="s">
        <v>130</v>
      </c>
      <c r="B317" s="1" t="s">
        <v>131</v>
      </c>
      <c r="C317" s="1" t="s">
        <v>9883</v>
      </c>
      <c r="D317" s="1">
        <v>316</v>
      </c>
      <c r="E317" s="1" t="str">
        <f>CONCATENATE("E",Reactions!C317)</f>
        <v>E2_6_1_57</v>
      </c>
      <c r="F317" s="1" t="s">
        <v>11018</v>
      </c>
      <c r="G317" s="1" t="s">
        <v>12024</v>
      </c>
      <c r="H317" s="1" t="s">
        <v>11019</v>
      </c>
      <c r="I317" s="1" t="s">
        <v>12639</v>
      </c>
      <c r="J317" s="12" t="str">
        <f t="shared" si="8"/>
        <v>(${Variables:E2_6_1_57_kcat} * E2_6_1_57 * C00082*C00026)/(${Variables:E2_6_1_57_km} + (E2_6_1_57 * C00082*C00026))</v>
      </c>
      <c r="K317" s="36" t="str">
        <f t="shared" si="9"/>
        <v>r316: C00082+C00026 -&gt; C01179+C00025 | (${Variables:E2_6_1_57_kcat} * E2_6_1_57 * C00082*C00026)/(${Variables:E2_6_1_57_km} + (E2_6_1_57 * C00082*C00026))</v>
      </c>
    </row>
    <row r="318" spans="1:11" ht="58" x14ac:dyDescent="0.35">
      <c r="A318" s="1" t="s">
        <v>130</v>
      </c>
      <c r="B318" s="1" t="s">
        <v>131</v>
      </c>
      <c r="C318" s="1" t="s">
        <v>9883</v>
      </c>
      <c r="D318" s="1">
        <v>317</v>
      </c>
      <c r="E318" s="1" t="str">
        <f>CONCATENATE("E",Reactions!C318)</f>
        <v>E2_6_1_57</v>
      </c>
      <c r="F318" s="1" t="s">
        <v>11047</v>
      </c>
      <c r="G318" s="1" t="s">
        <v>12038</v>
      </c>
      <c r="H318" s="1" t="s">
        <v>11048</v>
      </c>
      <c r="I318" s="1" t="s">
        <v>12654</v>
      </c>
      <c r="J318" s="12" t="str">
        <f t="shared" si="8"/>
        <v>(${Variables:E2_6_1_57_kcat} * E2_6_1_57 * C20895*C00026)/(${Variables:E2_6_1_57_km} + (E2_6_1_57 * C20895*C00026))</v>
      </c>
      <c r="K318" s="36" t="str">
        <f t="shared" si="9"/>
        <v>r317: C20895+C00026 -&gt; C20646+C00025 | (${Variables:E2_6_1_57_kcat} * E2_6_1_57 * C20895*C00026)/(${Variables:E2_6_1_57_km} + (E2_6_1_57 * C20895*C00026))</v>
      </c>
    </row>
    <row r="319" spans="1:11" ht="58" x14ac:dyDescent="0.35">
      <c r="A319" s="1" t="s">
        <v>130</v>
      </c>
      <c r="B319" s="1" t="s">
        <v>131</v>
      </c>
      <c r="C319" s="1" t="s">
        <v>9883</v>
      </c>
      <c r="D319" s="1">
        <v>318</v>
      </c>
      <c r="E319" s="1" t="str">
        <f>CONCATENATE("E",Reactions!C319)</f>
        <v>E2_6_1_57</v>
      </c>
      <c r="F319" s="1" t="s">
        <v>11049</v>
      </c>
      <c r="G319" s="1" t="s">
        <v>12039</v>
      </c>
      <c r="H319" s="1" t="s">
        <v>11050</v>
      </c>
      <c r="I319" s="1" t="s">
        <v>12655</v>
      </c>
      <c r="J319" s="12" t="str">
        <f t="shared" si="8"/>
        <v>(${Variables:E2_6_1_57_kcat} * E2_6_1_57 * C00036*C00826)/(${Variables:E2_6_1_57_km} + (E2_6_1_57 * C00036*C00826))</v>
      </c>
      <c r="K319" s="36" t="str">
        <f t="shared" si="9"/>
        <v>r318: C00036+C00826 -&gt; C00049+C00254 | (${Variables:E2_6_1_57_kcat} * E2_6_1_57 * C00036*C00826)/(${Variables:E2_6_1_57_km} + (E2_6_1_57 * C00036*C00826))</v>
      </c>
    </row>
    <row r="320" spans="1:11" ht="58" x14ac:dyDescent="0.35">
      <c r="A320" s="1" t="s">
        <v>130</v>
      </c>
      <c r="B320" s="1" t="s">
        <v>131</v>
      </c>
      <c r="C320" s="1" t="s">
        <v>9883</v>
      </c>
      <c r="D320" s="1">
        <v>319</v>
      </c>
      <c r="E320" s="1" t="str">
        <f>CONCATENATE("E",Reactions!C320)</f>
        <v>E2_6_1_57</v>
      </c>
      <c r="F320" s="1" t="s">
        <v>11051</v>
      </c>
      <c r="G320" s="1" t="s">
        <v>12040</v>
      </c>
      <c r="H320" s="1" t="s">
        <v>11052</v>
      </c>
      <c r="I320" s="1" t="s">
        <v>12656</v>
      </c>
      <c r="J320" s="12" t="str">
        <f t="shared" si="8"/>
        <v>(${Variables:E2_6_1_57_kcat} * E2_6_1_57 * C01180*C00025)/(${Variables:E2_6_1_57_km} + (E2_6_1_57 * C01180*C00025))</v>
      </c>
      <c r="K320" s="36" t="str">
        <f t="shared" si="9"/>
        <v>r319: C01180+C00025 -&gt; C00073+C00026 | (${Variables:E2_6_1_57_kcat} * E2_6_1_57 * C01180*C00025)/(${Variables:E2_6_1_57_km} + (E2_6_1_57 * C01180*C00025))</v>
      </c>
    </row>
    <row r="321" spans="1:11" ht="58" x14ac:dyDescent="0.35">
      <c r="A321" s="1" t="s">
        <v>2521</v>
      </c>
      <c r="B321" s="1" t="s">
        <v>2522</v>
      </c>
      <c r="C321" s="1" t="s">
        <v>9884</v>
      </c>
      <c r="D321" s="1">
        <v>320</v>
      </c>
      <c r="E321" s="1" t="str">
        <f>CONCATENATE("E",Reactions!C321)</f>
        <v>E2_6_1_9</v>
      </c>
      <c r="F321" s="1" t="s">
        <v>11053</v>
      </c>
      <c r="G321" s="1" t="s">
        <v>12041</v>
      </c>
      <c r="H321" s="1" t="s">
        <v>11054</v>
      </c>
      <c r="I321" s="1" t="s">
        <v>12657</v>
      </c>
      <c r="J321" s="12" t="str">
        <f t="shared" si="8"/>
        <v>(${Variables:E2_6_1_9_kcat} * E2_6_1_9 * C01100*C00026)/(${Variables:E2_6_1_9_km} + (E2_6_1_9 * C01100*C00026))</v>
      </c>
      <c r="K321" s="36" t="str">
        <f t="shared" si="9"/>
        <v>r320: C01100+C00026 -&gt; C01267+C00025 | (${Variables:E2_6_1_9_kcat} * E2_6_1_9 * C01100*C00026)/(${Variables:E2_6_1_9_km} + (E2_6_1_9 * C01100*C00026))</v>
      </c>
    </row>
    <row r="322" spans="1:11" ht="58" x14ac:dyDescent="0.35">
      <c r="A322" s="1" t="s">
        <v>2521</v>
      </c>
      <c r="B322" s="1" t="s">
        <v>2522</v>
      </c>
      <c r="C322" s="1" t="s">
        <v>9884</v>
      </c>
      <c r="D322" s="1">
        <v>321</v>
      </c>
      <c r="E322" s="1" t="str">
        <f>CONCATENATE("E",Reactions!C322)</f>
        <v>E2_6_1_9</v>
      </c>
      <c r="F322" s="1" t="s">
        <v>11016</v>
      </c>
      <c r="G322" s="1" t="s">
        <v>12023</v>
      </c>
      <c r="H322" s="1" t="s">
        <v>11017</v>
      </c>
      <c r="I322" s="1" t="s">
        <v>12638</v>
      </c>
      <c r="J322" s="12" t="str">
        <f t="shared" si="8"/>
        <v>(${Variables:E2_6_1_9_kcat} * E2_6_1_9 * C00079*C00026)/(${Variables:E2_6_1_9_km} + (E2_6_1_9 * C00079*C00026))</v>
      </c>
      <c r="K322" s="36" t="str">
        <f t="shared" si="9"/>
        <v>r321: C00079+C00026 -&gt; C00166+C00025 | (${Variables:E2_6_1_9_kcat} * E2_6_1_9 * C00079*C00026)/(${Variables:E2_6_1_9_km} + (E2_6_1_9 * C00079*C00026))</v>
      </c>
    </row>
    <row r="323" spans="1:11" ht="58" x14ac:dyDescent="0.35">
      <c r="A323" s="1" t="s">
        <v>2521</v>
      </c>
      <c r="B323" s="1" t="s">
        <v>2522</v>
      </c>
      <c r="C323" s="1" t="s">
        <v>9884</v>
      </c>
      <c r="D323" s="1">
        <v>322</v>
      </c>
      <c r="E323" s="1" t="str">
        <f>CONCATENATE("E",Reactions!C323)</f>
        <v>E2_6_1_9</v>
      </c>
      <c r="F323" s="1" t="s">
        <v>11018</v>
      </c>
      <c r="G323" s="1" t="s">
        <v>12024</v>
      </c>
      <c r="H323" s="1" t="s">
        <v>11019</v>
      </c>
      <c r="I323" s="1" t="s">
        <v>12639</v>
      </c>
      <c r="J323" s="12" t="str">
        <f t="shared" ref="J323:J386" si="10">CONCATENATE("(${Variables:",E323,"_kcat","} * ",E323," * ",G323,")","/(${Variables:",E323,"_km","} + (",E323," * ",G323,"))")</f>
        <v>(${Variables:E2_6_1_9_kcat} * E2_6_1_9 * C00082*C00026)/(${Variables:E2_6_1_9_km} + (E2_6_1_9 * C00082*C00026))</v>
      </c>
      <c r="K323" s="36" t="str">
        <f t="shared" ref="K323:K386" si="11">CONCATENATE("r",D323,": ",F323," -&gt; ",H323," | ",J323)</f>
        <v>r322: C00082+C00026 -&gt; C01179+C00025 | (${Variables:E2_6_1_9_kcat} * E2_6_1_9 * C00082*C00026)/(${Variables:E2_6_1_9_km} + (E2_6_1_9 * C00082*C00026))</v>
      </c>
    </row>
    <row r="324" spans="1:11" ht="58" x14ac:dyDescent="0.35">
      <c r="A324" s="1" t="s">
        <v>1906</v>
      </c>
      <c r="B324" s="1" t="s">
        <v>1907</v>
      </c>
      <c r="C324" s="1" t="s">
        <v>9885</v>
      </c>
      <c r="D324" s="1">
        <v>323</v>
      </c>
      <c r="E324" s="1" t="str">
        <f>CONCATENATE("E",Reactions!C324)</f>
        <v>E2_7_1_107</v>
      </c>
      <c r="F324" s="1" t="s">
        <v>11055</v>
      </c>
      <c r="G324" s="1" t="s">
        <v>12042</v>
      </c>
      <c r="H324" s="1" t="s">
        <v>11056</v>
      </c>
      <c r="I324" s="1" t="s">
        <v>12658</v>
      </c>
      <c r="J324" s="12" t="str">
        <f t="shared" si="10"/>
        <v>(${Variables:E2_7_1_107_kcat} * E2_7_1_107 * C00002*C00641)/(${Variables:E2_7_1_107_km} + (E2_7_1_107 * C00002*C00641))</v>
      </c>
      <c r="K324" s="36" t="str">
        <f t="shared" si="11"/>
        <v>r323: C00002+C00641 -&gt; C00008+C00416 | (${Variables:E2_7_1_107_kcat} * E2_7_1_107 * C00002*C00641)/(${Variables:E2_7_1_107_km} + (E2_7_1_107 * C00002*C00641))</v>
      </c>
    </row>
    <row r="325" spans="1:11" ht="58" x14ac:dyDescent="0.35">
      <c r="A325" s="1" t="s">
        <v>2694</v>
      </c>
      <c r="B325" s="1" t="s">
        <v>2695</v>
      </c>
      <c r="C325" s="1" t="s">
        <v>9886</v>
      </c>
      <c r="D325" s="1">
        <v>324</v>
      </c>
      <c r="E325" s="1" t="str">
        <f>CONCATENATE("E",Reactions!C325)</f>
        <v>E2_7_1_11</v>
      </c>
      <c r="F325" s="1" t="s">
        <v>11057</v>
      </c>
      <c r="G325" s="1" t="s">
        <v>12043</v>
      </c>
      <c r="H325" s="1" t="s">
        <v>11058</v>
      </c>
      <c r="I325" s="1" t="s">
        <v>12659</v>
      </c>
      <c r="J325" s="12" t="str">
        <f t="shared" si="10"/>
        <v>(${Variables:E2_7_1_11_kcat} * E2_7_1_11 * C00002*C05345)/(${Variables:E2_7_1_11_km} + (E2_7_1_11 * C00002*C05345))</v>
      </c>
      <c r="K325" s="36" t="str">
        <f t="shared" si="11"/>
        <v>r324: C00002+C05345 -&gt; C00008+C05378 | (${Variables:E2_7_1_11_kcat} * E2_7_1_11 * C00002*C05345)/(${Variables:E2_7_1_11_km} + (E2_7_1_11 * C00002*C05345))</v>
      </c>
    </row>
    <row r="326" spans="1:11" ht="58" x14ac:dyDescent="0.35">
      <c r="A326" s="1" t="s">
        <v>2694</v>
      </c>
      <c r="B326" s="1" t="s">
        <v>2695</v>
      </c>
      <c r="C326" s="1" t="s">
        <v>9886</v>
      </c>
      <c r="D326" s="1">
        <v>325</v>
      </c>
      <c r="E326" s="1" t="str">
        <f>CONCATENATE("E",Reactions!C326)</f>
        <v>E2_7_1_11</v>
      </c>
      <c r="F326" s="1" t="s">
        <v>11059</v>
      </c>
      <c r="G326" s="1" t="s">
        <v>12044</v>
      </c>
      <c r="H326" s="1" t="s">
        <v>11060</v>
      </c>
      <c r="I326" s="1" t="s">
        <v>12660</v>
      </c>
      <c r="J326" s="12" t="str">
        <f t="shared" si="10"/>
        <v>(${Variables:E2_7_1_11_kcat} * E2_7_1_11 * C00002*C00085)/(${Variables:E2_7_1_11_km} + (E2_7_1_11 * C00002*C00085))</v>
      </c>
      <c r="K326" s="36" t="str">
        <f t="shared" si="11"/>
        <v>r325: C00002+C00085 -&gt; C00008+C00354 | (${Variables:E2_7_1_11_kcat} * E2_7_1_11 * C00002*C00085)/(${Variables:E2_7_1_11_km} + (E2_7_1_11 * C00002*C00085))</v>
      </c>
    </row>
    <row r="327" spans="1:11" ht="58" x14ac:dyDescent="0.35">
      <c r="A327" s="1" t="s">
        <v>2694</v>
      </c>
      <c r="B327" s="1" t="s">
        <v>2695</v>
      </c>
      <c r="C327" s="1" t="s">
        <v>9886</v>
      </c>
      <c r="D327" s="1">
        <v>326</v>
      </c>
      <c r="E327" s="1" t="str">
        <f>CONCATENATE("E",Reactions!C327)</f>
        <v>E2_7_1_11</v>
      </c>
      <c r="F327" s="1" t="s">
        <v>11061</v>
      </c>
      <c r="G327" s="1" t="s">
        <v>12045</v>
      </c>
      <c r="H327" s="1" t="s">
        <v>11062</v>
      </c>
      <c r="I327" s="1" t="s">
        <v>12661</v>
      </c>
      <c r="J327" s="12" t="str">
        <f t="shared" si="10"/>
        <v>(${Variables:E2_7_1_11_kcat} * E2_7_1_11 * C00063*C00085)/(${Variables:E2_7_1_11_km} + (E2_7_1_11 * C00063*C00085))</v>
      </c>
      <c r="K327" s="36" t="str">
        <f t="shared" si="11"/>
        <v>r326: C00063+C00085 -&gt; C00112+C00354 | (${Variables:E2_7_1_11_kcat} * E2_7_1_11 * C00063*C00085)/(${Variables:E2_7_1_11_km} + (E2_7_1_11 * C00063*C00085))</v>
      </c>
    </row>
    <row r="328" spans="1:11" ht="58" x14ac:dyDescent="0.35">
      <c r="A328" s="1" t="s">
        <v>2694</v>
      </c>
      <c r="B328" s="1" t="s">
        <v>2695</v>
      </c>
      <c r="C328" s="1" t="s">
        <v>9886</v>
      </c>
      <c r="D328" s="1">
        <v>327</v>
      </c>
      <c r="E328" s="1" t="str">
        <f>CONCATENATE("E",Reactions!C328)</f>
        <v>E2_7_1_11</v>
      </c>
      <c r="F328" s="1" t="s">
        <v>11063</v>
      </c>
      <c r="G328" s="1" t="s">
        <v>12046</v>
      </c>
      <c r="H328" s="1" t="s">
        <v>11064</v>
      </c>
      <c r="I328" s="1" t="s">
        <v>12662</v>
      </c>
      <c r="J328" s="12" t="str">
        <f t="shared" si="10"/>
        <v>(${Variables:E2_7_1_11_kcat} * E2_7_1_11 * C00075*C00085)/(${Variables:E2_7_1_11_km} + (E2_7_1_11 * C00075*C00085))</v>
      </c>
      <c r="K328" s="36" t="str">
        <f t="shared" si="11"/>
        <v>r327: C00075+C00085 -&gt; C00015+C00354 | (${Variables:E2_7_1_11_kcat} * E2_7_1_11 * C00075*C00085)/(${Variables:E2_7_1_11_km} + (E2_7_1_11 * C00075*C00085))</v>
      </c>
    </row>
    <row r="329" spans="1:11" ht="58" x14ac:dyDescent="0.35">
      <c r="A329" s="1" t="s">
        <v>2694</v>
      </c>
      <c r="B329" s="1" t="s">
        <v>2695</v>
      </c>
      <c r="C329" s="1" t="s">
        <v>9886</v>
      </c>
      <c r="D329" s="1">
        <v>328</v>
      </c>
      <c r="E329" s="1" t="str">
        <f>CONCATENATE("E",Reactions!C329)</f>
        <v>E2_7_1_11</v>
      </c>
      <c r="F329" s="1" t="s">
        <v>11065</v>
      </c>
      <c r="G329" s="1" t="s">
        <v>12047</v>
      </c>
      <c r="H329" s="1" t="s">
        <v>11066</v>
      </c>
      <c r="I329" s="1" t="s">
        <v>12663</v>
      </c>
      <c r="J329" s="12" t="str">
        <f t="shared" si="10"/>
        <v>(${Variables:E2_7_1_11_kcat} * E2_7_1_11 * C00081*C00085)/(${Variables:E2_7_1_11_km} + (E2_7_1_11 * C00081*C00085))</v>
      </c>
      <c r="K329" s="36" t="str">
        <f t="shared" si="11"/>
        <v>r328: C00081+C00085 -&gt; C00104+C00354 | (${Variables:E2_7_1_11_kcat} * E2_7_1_11 * C00081*C00085)/(${Variables:E2_7_1_11_km} + (E2_7_1_11 * C00081*C00085))</v>
      </c>
    </row>
    <row r="330" spans="1:11" ht="58" x14ac:dyDescent="0.35">
      <c r="A330" s="1" t="s">
        <v>2694</v>
      </c>
      <c r="B330" s="1" t="s">
        <v>2695</v>
      </c>
      <c r="C330" s="1" t="s">
        <v>9886</v>
      </c>
      <c r="D330" s="1">
        <v>329</v>
      </c>
      <c r="E330" s="1" t="str">
        <f>CONCATENATE("E",Reactions!C330)</f>
        <v>E2_7_1_11</v>
      </c>
      <c r="F330" s="1" t="s">
        <v>11067</v>
      </c>
      <c r="G330" s="1" t="s">
        <v>12048</v>
      </c>
      <c r="H330" s="1" t="s">
        <v>11068</v>
      </c>
      <c r="I330" s="1" t="s">
        <v>12664</v>
      </c>
      <c r="J330" s="12" t="str">
        <f t="shared" si="10"/>
        <v>(${Variables:E2_7_1_11_kcat} * E2_7_1_11 * C00002*C05382)/(${Variables:E2_7_1_11_km} + (E2_7_1_11 * C00002*C05382))</v>
      </c>
      <c r="K330" s="36" t="str">
        <f t="shared" si="11"/>
        <v>r329: C00002+C05382 -&gt; C00008+C00447 | (${Variables:E2_7_1_11_kcat} * E2_7_1_11 * C00002*C05382)/(${Variables:E2_7_1_11_km} + (E2_7_1_11 * C00002*C05382))</v>
      </c>
    </row>
    <row r="331" spans="1:11" ht="58" x14ac:dyDescent="0.35">
      <c r="A331" s="1" t="s">
        <v>2694</v>
      </c>
      <c r="B331" s="1" t="s">
        <v>2695</v>
      </c>
      <c r="C331" s="1" t="s">
        <v>9886</v>
      </c>
      <c r="D331" s="1">
        <v>330</v>
      </c>
      <c r="E331" s="1" t="str">
        <f>CONCATENATE("E",Reactions!C331)</f>
        <v>E2_7_1_11</v>
      </c>
      <c r="F331" s="1" t="s">
        <v>11069</v>
      </c>
      <c r="G331" s="1" t="s">
        <v>12049</v>
      </c>
      <c r="H331" s="1" t="s">
        <v>11070</v>
      </c>
      <c r="I331" s="1" t="s">
        <v>12665</v>
      </c>
      <c r="J331" s="12" t="str">
        <f t="shared" si="10"/>
        <v>(${Variables:E2_7_1_11_kcat} * E2_7_1_11 * C01097*C00002)/(${Variables:E2_7_1_11_km} + (E2_7_1_11 * C01097*C00002))</v>
      </c>
      <c r="K331" s="36" t="str">
        <f t="shared" si="11"/>
        <v>r330: C01097+C00002 -&gt; C03785+C00008 | (${Variables:E2_7_1_11_kcat} * E2_7_1_11 * C01097*C00002)/(${Variables:E2_7_1_11_km} + (E2_7_1_11 * C01097*C00002))</v>
      </c>
    </row>
    <row r="332" spans="1:11" ht="58" x14ac:dyDescent="0.35">
      <c r="A332" s="1" t="s">
        <v>2694</v>
      </c>
      <c r="B332" s="1" t="s">
        <v>2695</v>
      </c>
      <c r="C332" s="1" t="s">
        <v>9886</v>
      </c>
      <c r="D332" s="1">
        <v>331</v>
      </c>
      <c r="E332" s="1" t="str">
        <f>CONCATENATE("E",Reactions!C332)</f>
        <v>E2_7_1_11</v>
      </c>
      <c r="F332" s="1" t="s">
        <v>11071</v>
      </c>
      <c r="G332" s="1" t="s">
        <v>12050</v>
      </c>
      <c r="H332" s="1" t="s">
        <v>11072</v>
      </c>
      <c r="I332" s="1" t="s">
        <v>12666</v>
      </c>
      <c r="J332" s="12" t="str">
        <f t="shared" si="10"/>
        <v>(${Variables:E2_7_1_11_kcat} * E2_7_1_11 * C00063*C01097)/(${Variables:E2_7_1_11_km} + (E2_7_1_11 * C00063*C01097))</v>
      </c>
      <c r="K332" s="36" t="str">
        <f t="shared" si="11"/>
        <v>r331: C00063+C01097 -&gt; C00112+C03785 | (${Variables:E2_7_1_11_kcat} * E2_7_1_11 * C00063*C01097)/(${Variables:E2_7_1_11_km} + (E2_7_1_11 * C00063*C01097))</v>
      </c>
    </row>
    <row r="333" spans="1:11" ht="58" x14ac:dyDescent="0.35">
      <c r="A333" s="1" t="s">
        <v>2694</v>
      </c>
      <c r="B333" s="1" t="s">
        <v>2695</v>
      </c>
      <c r="C333" s="1" t="s">
        <v>9886</v>
      </c>
      <c r="D333" s="1">
        <v>332</v>
      </c>
      <c r="E333" s="1" t="str">
        <f>CONCATENATE("E",Reactions!C333)</f>
        <v>E2_7_1_11</v>
      </c>
      <c r="F333" s="1" t="s">
        <v>11073</v>
      </c>
      <c r="G333" s="1" t="s">
        <v>12051</v>
      </c>
      <c r="H333" s="1" t="s">
        <v>11074</v>
      </c>
      <c r="I333" s="1" t="s">
        <v>12667</v>
      </c>
      <c r="J333" s="12" t="str">
        <f t="shared" si="10"/>
        <v>(${Variables:E2_7_1_11_kcat} * E2_7_1_11 * C00075*C01097 )/(${Variables:E2_7_1_11_km} + (E2_7_1_11 * C00075*C01097 ))</v>
      </c>
      <c r="K333" s="36" t="str">
        <f t="shared" si="11"/>
        <v>r332: C00075+C01097  -&gt; C00015+C03785 | (${Variables:E2_7_1_11_kcat} * E2_7_1_11 * C00075*C01097 )/(${Variables:E2_7_1_11_km} + (E2_7_1_11 * C00075*C01097 ))</v>
      </c>
    </row>
    <row r="334" spans="1:11" ht="58" x14ac:dyDescent="0.35">
      <c r="A334" s="1" t="s">
        <v>2694</v>
      </c>
      <c r="B334" s="1" t="s">
        <v>2695</v>
      </c>
      <c r="C334" s="1" t="s">
        <v>9886</v>
      </c>
      <c r="D334" s="1">
        <v>333</v>
      </c>
      <c r="E334" s="1" t="str">
        <f>CONCATENATE("E",Reactions!C334)</f>
        <v>E2_7_1_11</v>
      </c>
      <c r="F334" s="1" t="s">
        <v>11075</v>
      </c>
      <c r="G334" s="1" t="s">
        <v>12052</v>
      </c>
      <c r="H334" s="1" t="s">
        <v>11076</v>
      </c>
      <c r="I334" s="1" t="s">
        <v>12668</v>
      </c>
      <c r="J334" s="12" t="str">
        <f t="shared" si="10"/>
        <v>(${Variables:E2_7_1_11_kcat} * E2_7_1_11 * C00081*C01097)/(${Variables:E2_7_1_11_km} + (E2_7_1_11 * C00081*C01097))</v>
      </c>
      <c r="K334" s="36" t="str">
        <f t="shared" si="11"/>
        <v>r333: C00081+C01097 -&gt; C00104+C03785 | (${Variables:E2_7_1_11_kcat} * E2_7_1_11 * C00081*C01097)/(${Variables:E2_7_1_11_km} + (E2_7_1_11 * C00081*C01097))</v>
      </c>
    </row>
    <row r="335" spans="1:11" ht="58" x14ac:dyDescent="0.35">
      <c r="A335" s="1" t="s">
        <v>2344</v>
      </c>
      <c r="B335" s="1" t="s">
        <v>2345</v>
      </c>
      <c r="C335" s="1" t="s">
        <v>9887</v>
      </c>
      <c r="D335" s="1">
        <v>334</v>
      </c>
      <c r="E335" s="1" t="str">
        <f>CONCATENATE("E",Reactions!C335)</f>
        <v>E2_7_1_2</v>
      </c>
      <c r="F335" s="1" t="s">
        <v>11077</v>
      </c>
      <c r="G335" s="1" t="s">
        <v>12053</v>
      </c>
      <c r="H335" s="1" t="s">
        <v>11078</v>
      </c>
      <c r="I335" s="1" t="s">
        <v>12669</v>
      </c>
      <c r="J335" s="12" t="str">
        <f t="shared" si="10"/>
        <v>(${Variables:E2_7_1_2_kcat} * E2_7_1_2 * C00002*C00031 )/(${Variables:E2_7_1_2_km} + (E2_7_1_2 * C00002*C00031 ))</v>
      </c>
      <c r="K335" s="36" t="str">
        <f t="shared" si="11"/>
        <v>r334: C00002+C00031  -&gt; C00008+C00092 | (${Variables:E2_7_1_2_kcat} * E2_7_1_2 * C00002*C00031 )/(${Variables:E2_7_1_2_km} + (E2_7_1_2 * C00002*C00031 ))</v>
      </c>
    </row>
    <row r="336" spans="1:11" ht="58" x14ac:dyDescent="0.35">
      <c r="A336" s="1" t="s">
        <v>2344</v>
      </c>
      <c r="B336" s="1" t="s">
        <v>2345</v>
      </c>
      <c r="C336" s="1" t="s">
        <v>9887</v>
      </c>
      <c r="D336" s="1">
        <v>335</v>
      </c>
      <c r="E336" s="1" t="str">
        <f>CONCATENATE("E",Reactions!C336)</f>
        <v>E2_7_1_2</v>
      </c>
      <c r="F336" s="1" t="s">
        <v>11079</v>
      </c>
      <c r="G336" s="1" t="s">
        <v>12054</v>
      </c>
      <c r="H336" s="1" t="s">
        <v>11080</v>
      </c>
      <c r="I336" s="1" t="s">
        <v>12670</v>
      </c>
      <c r="J336" s="12" t="str">
        <f t="shared" si="10"/>
        <v>(${Variables:E2_7_1_2_kcat} * E2_7_1_2 * C00002*C00221)/(${Variables:E2_7_1_2_km} + (E2_7_1_2 * C00002*C00221))</v>
      </c>
      <c r="K336" s="36" t="str">
        <f t="shared" si="11"/>
        <v>r335: C00002+C00221 -&gt; C00008+C01172 | (${Variables:E2_7_1_2_kcat} * E2_7_1_2 * C00002*C00221)/(${Variables:E2_7_1_2_km} + (E2_7_1_2 * C00002*C00221))</v>
      </c>
    </row>
    <row r="337" spans="1:11" ht="58" x14ac:dyDescent="0.35">
      <c r="A337" s="1" t="s">
        <v>2344</v>
      </c>
      <c r="B337" s="1" t="s">
        <v>2345</v>
      </c>
      <c r="C337" s="1" t="s">
        <v>9887</v>
      </c>
      <c r="D337" s="1">
        <v>336</v>
      </c>
      <c r="E337" s="1" t="str">
        <f>CONCATENATE("E",Reactions!C337)</f>
        <v>E2_7_1_2</v>
      </c>
      <c r="F337" s="1" t="s">
        <v>11081</v>
      </c>
      <c r="G337" s="1" t="s">
        <v>12055</v>
      </c>
      <c r="H337" s="1" t="s">
        <v>11082</v>
      </c>
      <c r="I337" s="1" t="s">
        <v>12671</v>
      </c>
      <c r="J337" s="12" t="str">
        <f t="shared" si="10"/>
        <v>(${Variables:E2_7_1_2_kcat} * E2_7_1_2 * C00002*C00267)/(${Variables:E2_7_1_2_km} + (E2_7_1_2 * C00002*C00267))</v>
      </c>
      <c r="K337" s="36" t="str">
        <f t="shared" si="11"/>
        <v>r336: C00002+C00267 -&gt; C00008+C00668 | (${Variables:E2_7_1_2_kcat} * E2_7_1_2 * C00002*C00267)/(${Variables:E2_7_1_2_km} + (E2_7_1_2 * C00002*C00267))</v>
      </c>
    </row>
    <row r="338" spans="1:11" ht="58" x14ac:dyDescent="0.35">
      <c r="A338" s="1" t="s">
        <v>3829</v>
      </c>
      <c r="B338" s="1" t="s">
        <v>3830</v>
      </c>
      <c r="C338" s="1" t="s">
        <v>9888</v>
      </c>
      <c r="D338" s="1">
        <v>337</v>
      </c>
      <c r="E338" s="1" t="str">
        <f>CONCATENATE("E",Reactions!C338)</f>
        <v>E2_7_1_21</v>
      </c>
      <c r="F338" s="1" t="s">
        <v>11083</v>
      </c>
      <c r="G338" s="1" t="s">
        <v>12056</v>
      </c>
      <c r="H338" s="1" t="s">
        <v>11084</v>
      </c>
      <c r="I338" s="1" t="s">
        <v>12672</v>
      </c>
      <c r="J338" s="12" t="str">
        <f t="shared" si="10"/>
        <v>(${Variables:E2_7_1_21_kcat} * E2_7_1_21 * C00002*C00214)/(${Variables:E2_7_1_21_km} + (E2_7_1_21 * C00002*C00214))</v>
      </c>
      <c r="K338" s="36" t="str">
        <f t="shared" si="11"/>
        <v>r337: C00002+C00214 -&gt; C00008+C00364 | (${Variables:E2_7_1_21_kcat} * E2_7_1_21 * C00002*C00214)/(${Variables:E2_7_1_21_km} + (E2_7_1_21 * C00002*C00214))</v>
      </c>
    </row>
    <row r="339" spans="1:11" ht="58" x14ac:dyDescent="0.35">
      <c r="A339" s="1" t="s">
        <v>3829</v>
      </c>
      <c r="B339" s="1" t="s">
        <v>3830</v>
      </c>
      <c r="C339" s="1" t="s">
        <v>9888</v>
      </c>
      <c r="D339" s="1">
        <v>338</v>
      </c>
      <c r="E339" s="1" t="str">
        <f>CONCATENATE("E",Reactions!C339)</f>
        <v>E2_7_1_21</v>
      </c>
      <c r="F339" s="1" t="s">
        <v>11085</v>
      </c>
      <c r="G339" s="1" t="s">
        <v>12057</v>
      </c>
      <c r="H339" s="1" t="s">
        <v>11086</v>
      </c>
      <c r="I339" s="1" t="s">
        <v>12673</v>
      </c>
      <c r="J339" s="12" t="str">
        <f t="shared" si="10"/>
        <v>(${Variables:E2_7_1_21_kcat} * E2_7_1_21 * C00002*C00526)/(${Variables:E2_7_1_21_km} + (E2_7_1_21 * C00002*C00526))</v>
      </c>
      <c r="K339" s="36" t="str">
        <f t="shared" si="11"/>
        <v>r338: C00002+C00526 -&gt; C00008+C00365 | (${Variables:E2_7_1_21_kcat} * E2_7_1_21 * C00002*C00526)/(${Variables:E2_7_1_21_km} + (E2_7_1_21 * C00002*C00526))</v>
      </c>
    </row>
    <row r="340" spans="1:11" ht="58" x14ac:dyDescent="0.35">
      <c r="A340" s="1" t="s">
        <v>3829</v>
      </c>
      <c r="B340" s="1" t="s">
        <v>3830</v>
      </c>
      <c r="C340" s="1" t="s">
        <v>9888</v>
      </c>
      <c r="D340" s="1">
        <v>339</v>
      </c>
      <c r="E340" s="1" t="str">
        <f>CONCATENATE("E",Reactions!C340)</f>
        <v>E2_7_1_21</v>
      </c>
      <c r="F340" s="1" t="s">
        <v>11087</v>
      </c>
      <c r="G340" s="1" t="s">
        <v>12058</v>
      </c>
      <c r="H340" s="1" t="s">
        <v>11088</v>
      </c>
      <c r="I340" s="1" t="s">
        <v>12674</v>
      </c>
      <c r="J340" s="12" t="str">
        <f t="shared" si="10"/>
        <v>(${Variables:E2_7_1_21_kcat} * E2_7_1_21 * C11736*C00002)/(${Variables:E2_7_1_21_km} + (E2_7_1_21 * C11736*C00002))</v>
      </c>
      <c r="K340" s="36" t="str">
        <f t="shared" si="11"/>
        <v>r339: C11736+C00002 -&gt; C04242+C00008 | (${Variables:E2_7_1_21_kcat} * E2_7_1_21 * C11736*C00002)/(${Variables:E2_7_1_21_km} + (E2_7_1_21 * C11736*C00002))</v>
      </c>
    </row>
    <row r="341" spans="1:11" ht="58" x14ac:dyDescent="0.35">
      <c r="A341" s="1" t="s">
        <v>4562</v>
      </c>
      <c r="B341" s="1" t="s">
        <v>4563</v>
      </c>
      <c r="C341" s="1" t="s">
        <v>9889</v>
      </c>
      <c r="D341" s="1">
        <v>340</v>
      </c>
      <c r="E341" s="1" t="str">
        <f>CONCATENATE("E",Reactions!C341)</f>
        <v>E2_7_1_23</v>
      </c>
      <c r="F341" s="1" t="s">
        <v>11089</v>
      </c>
      <c r="G341" s="1" t="s">
        <v>12059</v>
      </c>
      <c r="H341" s="1" t="s">
        <v>11090</v>
      </c>
      <c r="I341" s="1" t="s">
        <v>12675</v>
      </c>
      <c r="J341" s="12" t="str">
        <f t="shared" si="10"/>
        <v>(${Variables:E2_7_1_23_kcat} * E2_7_1_23 * C00002*C00003)/(${Variables:E2_7_1_23_km} + (E2_7_1_23 * C00002*C00003))</v>
      </c>
      <c r="K341" s="36" t="str">
        <f t="shared" si="11"/>
        <v>r340: C00002+C00003 -&gt; C00008+C00006 | (${Variables:E2_7_1_23_kcat} * E2_7_1_23 * C00002*C00003)/(${Variables:E2_7_1_23_km} + (E2_7_1_23 * C00002*C00003))</v>
      </c>
    </row>
    <row r="342" spans="1:11" ht="58" x14ac:dyDescent="0.35">
      <c r="A342" s="1" t="s">
        <v>1918</v>
      </c>
      <c r="B342" s="1" t="s">
        <v>1919</v>
      </c>
      <c r="C342" s="1" t="s">
        <v>9890</v>
      </c>
      <c r="D342" s="1">
        <v>341</v>
      </c>
      <c r="E342" s="1" t="str">
        <f>CONCATENATE("E",Reactions!C342)</f>
        <v>E2_7_1_24</v>
      </c>
      <c r="F342" s="1" t="s">
        <v>11091</v>
      </c>
      <c r="G342" s="1" t="s">
        <v>12060</v>
      </c>
      <c r="H342" s="1" t="s">
        <v>11092</v>
      </c>
      <c r="I342" s="1" t="s">
        <v>12676</v>
      </c>
      <c r="J342" s="12" t="str">
        <f t="shared" si="10"/>
        <v>(${Variables:E2_7_1_24_kcat} * E2_7_1_24 * C00002*C00882)/(${Variables:E2_7_1_24_km} + (E2_7_1_24 * C00002*C00882))</v>
      </c>
      <c r="K342" s="36" t="str">
        <f t="shared" si="11"/>
        <v>r341: C00002+C00882 -&gt; C00008+C00010 | (${Variables:E2_7_1_24_kcat} * E2_7_1_24 * C00002*C00882)/(${Variables:E2_7_1_24_km} + (E2_7_1_24 * C00002*C00882))</v>
      </c>
    </row>
    <row r="343" spans="1:11" ht="58" x14ac:dyDescent="0.35">
      <c r="A343" s="1" t="s">
        <v>1954</v>
      </c>
      <c r="B343" s="1" t="s">
        <v>1955</v>
      </c>
      <c r="C343" s="1" t="s">
        <v>9891</v>
      </c>
      <c r="D343" s="1">
        <v>342</v>
      </c>
      <c r="E343" s="1" t="str">
        <f>CONCATENATE("E",Reactions!C343)</f>
        <v>E2_7_1_31</v>
      </c>
      <c r="F343" s="1" t="s">
        <v>11093</v>
      </c>
      <c r="G343" s="1" t="s">
        <v>12061</v>
      </c>
      <c r="H343" s="1" t="s">
        <v>11094</v>
      </c>
      <c r="I343" s="1" t="s">
        <v>12677</v>
      </c>
      <c r="J343" s="12" t="str">
        <f t="shared" si="10"/>
        <v>(${Variables:E2_7_1_31_kcat} * E2_7_1_31 * C00002*C00258)/(${Variables:E2_7_1_31_km} + (E2_7_1_31 * C00002*C00258))</v>
      </c>
      <c r="K343" s="36" t="str">
        <f t="shared" si="11"/>
        <v>r342: C00002+C00258 -&gt; C00008+C00197 | (${Variables:E2_7_1_31_kcat} * E2_7_1_31 * C00002*C00258)/(${Variables:E2_7_1_31_km} + (E2_7_1_31 * C00002*C00258))</v>
      </c>
    </row>
    <row r="344" spans="1:11" ht="58" x14ac:dyDescent="0.35">
      <c r="A344" s="1" t="s">
        <v>3737</v>
      </c>
      <c r="B344" s="1" t="s">
        <v>3738</v>
      </c>
      <c r="C344" s="1" t="s">
        <v>9892</v>
      </c>
      <c r="D344" s="1">
        <v>343</v>
      </c>
      <c r="E344" s="1" t="str">
        <f>CONCATENATE("E",Reactions!C344)</f>
        <v>E2_7_1_33</v>
      </c>
      <c r="F344" s="1" t="s">
        <v>11095</v>
      </c>
      <c r="G344" s="1" t="s">
        <v>12062</v>
      </c>
      <c r="H344" s="1" t="s">
        <v>11096</v>
      </c>
      <c r="I344" s="1" t="s">
        <v>12678</v>
      </c>
      <c r="J344" s="12" t="str">
        <f t="shared" si="10"/>
        <v>(${Variables:E2_7_1_33_kcat} * E2_7_1_33 * C00002*C00864)/(${Variables:E2_7_1_33_km} + (E2_7_1_33 * C00002*C00864))</v>
      </c>
      <c r="K344" s="36" t="str">
        <f t="shared" si="11"/>
        <v>r343: C00002+C00864 -&gt; C00008+C03492 | (${Variables:E2_7_1_33_kcat} * E2_7_1_33 * C00002*C00864)/(${Variables:E2_7_1_33_km} + (E2_7_1_33 * C00002*C00864))</v>
      </c>
    </row>
    <row r="345" spans="1:11" ht="58" x14ac:dyDescent="0.35">
      <c r="A345" s="1" t="s">
        <v>3737</v>
      </c>
      <c r="B345" s="1" t="s">
        <v>3738</v>
      </c>
      <c r="C345" s="1" t="s">
        <v>9892</v>
      </c>
      <c r="D345" s="1">
        <v>344</v>
      </c>
      <c r="E345" s="1" t="str">
        <f>CONCATENATE("E",Reactions!C345)</f>
        <v>E2_7_1_33</v>
      </c>
      <c r="F345" s="1" t="s">
        <v>11097</v>
      </c>
      <c r="G345" s="1" t="s">
        <v>12063</v>
      </c>
      <c r="H345" s="1" t="s">
        <v>11098</v>
      </c>
      <c r="I345" s="1" t="s">
        <v>12679</v>
      </c>
      <c r="J345" s="12" t="str">
        <f t="shared" si="10"/>
        <v>(${Variables:E2_7_1_33_kcat} * E2_7_1_33 * C00002*C00831)/(${Variables:E2_7_1_33_km} + (E2_7_1_33 * C00002*C00831))</v>
      </c>
      <c r="K345" s="36" t="str">
        <f t="shared" si="11"/>
        <v>r344: C00002+C00831 -&gt; C00008+C01134 | (${Variables:E2_7_1_33_kcat} * E2_7_1_33 * C00002*C00831)/(${Variables:E2_7_1_33_km} + (E2_7_1_33 * C00002*C00831))</v>
      </c>
    </row>
    <row r="346" spans="1:11" ht="58" x14ac:dyDescent="0.35">
      <c r="A346" s="1" t="s">
        <v>3737</v>
      </c>
      <c r="B346" s="1" t="s">
        <v>3738</v>
      </c>
      <c r="C346" s="1" t="s">
        <v>9892</v>
      </c>
      <c r="D346" s="1">
        <v>345</v>
      </c>
      <c r="E346" s="1" t="str">
        <f>CONCATENATE("E",Reactions!C346)</f>
        <v>E2_7_1_33</v>
      </c>
      <c r="F346" s="1" t="s">
        <v>11099</v>
      </c>
      <c r="G346" s="1" t="s">
        <v>12064</v>
      </c>
      <c r="H346" s="1" t="s">
        <v>11100</v>
      </c>
      <c r="I346" s="1" t="s">
        <v>12680</v>
      </c>
      <c r="J346" s="12" t="str">
        <f t="shared" si="10"/>
        <v>(${Variables:E2_7_1_33_kcat} * E2_7_1_33 * C00002*C04079)/(${Variables:E2_7_1_33_km} + (E2_7_1_33 * C00002*C04079))</v>
      </c>
      <c r="K346" s="36" t="str">
        <f t="shared" si="11"/>
        <v>r345: C00002+C04079 -&gt; C00008+C04352 | (${Variables:E2_7_1_33_kcat} * E2_7_1_33 * C00002*C04079)/(${Variables:E2_7_1_33_km} + (E2_7_1_33 * C00002*C04079))</v>
      </c>
    </row>
    <row r="347" spans="1:11" ht="58" x14ac:dyDescent="0.35">
      <c r="A347" s="1" t="s">
        <v>3879</v>
      </c>
      <c r="B347" s="1" t="s">
        <v>3880</v>
      </c>
      <c r="C347" s="1" t="s">
        <v>9893</v>
      </c>
      <c r="D347" s="1">
        <v>346</v>
      </c>
      <c r="E347" s="1" t="str">
        <f>CONCATENATE("E",Reactions!C347)</f>
        <v>E2_7_1_35</v>
      </c>
      <c r="F347" s="1" t="s">
        <v>11101</v>
      </c>
      <c r="G347" s="1" t="s">
        <v>12065</v>
      </c>
      <c r="H347" s="1" t="s">
        <v>11102</v>
      </c>
      <c r="I347" s="1" t="s">
        <v>12681</v>
      </c>
      <c r="J347" s="12" t="str">
        <f t="shared" si="10"/>
        <v>(${Variables:E2_7_1_35_kcat} * E2_7_1_35 * C00002*C00250)/(${Variables:E2_7_1_35_km} + (E2_7_1_35 * C00002*C00250))</v>
      </c>
      <c r="K347" s="36" t="str">
        <f t="shared" si="11"/>
        <v>r346: C00002+C00250 -&gt; C00008+C00018 | (${Variables:E2_7_1_35_kcat} * E2_7_1_35 * C00002*C00250)/(${Variables:E2_7_1_35_km} + (E2_7_1_35 * C00002*C00250))</v>
      </c>
    </row>
    <row r="348" spans="1:11" ht="58" x14ac:dyDescent="0.35">
      <c r="A348" s="1" t="s">
        <v>3879</v>
      </c>
      <c r="B348" s="1" t="s">
        <v>3880</v>
      </c>
      <c r="C348" s="1" t="s">
        <v>9893</v>
      </c>
      <c r="D348" s="1">
        <v>347</v>
      </c>
      <c r="E348" s="1" t="str">
        <f>CONCATENATE("E",Reactions!C348)</f>
        <v>E2_7_1_35</v>
      </c>
      <c r="F348" s="1" t="s">
        <v>11103</v>
      </c>
      <c r="G348" s="1" t="s">
        <v>12066</v>
      </c>
      <c r="H348" s="1" t="s">
        <v>11104</v>
      </c>
      <c r="I348" s="1" t="s">
        <v>12682</v>
      </c>
      <c r="J348" s="12" t="str">
        <f t="shared" si="10"/>
        <v>(${Variables:E2_7_1_35_kcat} * E2_7_1_35 * C00002*C00314)/(${Variables:E2_7_1_35_km} + (E2_7_1_35 * C00002*C00314))</v>
      </c>
      <c r="K348" s="36" t="str">
        <f t="shared" si="11"/>
        <v>r347: C00002+C00314 -&gt; C00008+C00627 | (${Variables:E2_7_1_35_kcat} * E2_7_1_35 * C00002*C00314)/(${Variables:E2_7_1_35_km} + (E2_7_1_35 * C00002*C00314))</v>
      </c>
    </row>
    <row r="349" spans="1:11" ht="58" x14ac:dyDescent="0.35">
      <c r="A349" s="1" t="s">
        <v>3879</v>
      </c>
      <c r="B349" s="1" t="s">
        <v>3880</v>
      </c>
      <c r="C349" s="1" t="s">
        <v>9893</v>
      </c>
      <c r="D349" s="1">
        <v>348</v>
      </c>
      <c r="E349" s="1" t="str">
        <f>CONCATENATE("E",Reactions!C349)</f>
        <v>E2_7_1_35</v>
      </c>
      <c r="F349" s="1" t="s">
        <v>11105</v>
      </c>
      <c r="G349" s="1" t="s">
        <v>12067</v>
      </c>
      <c r="H349" s="1" t="s">
        <v>11106</v>
      </c>
      <c r="I349" s="1" t="s">
        <v>12683</v>
      </c>
      <c r="J349" s="12" t="str">
        <f t="shared" si="10"/>
        <v>(${Variables:E2_7_1_35_kcat} * E2_7_1_35 * C00002*C00534)/(${Variables:E2_7_1_35_km} + (E2_7_1_35 * C00002*C00534))</v>
      </c>
      <c r="K349" s="36" t="str">
        <f t="shared" si="11"/>
        <v>r348: C00002+C00534 -&gt; C00008+C00647 | (${Variables:E2_7_1_35_kcat} * E2_7_1_35 * C00002*C00534)/(${Variables:E2_7_1_35_km} + (E2_7_1_35 * C00002*C00534))</v>
      </c>
    </row>
    <row r="350" spans="1:11" ht="58" x14ac:dyDescent="0.35">
      <c r="A350" s="1" t="s">
        <v>1704</v>
      </c>
      <c r="B350" s="1" t="s">
        <v>1705</v>
      </c>
      <c r="C350" s="1" t="s">
        <v>9894</v>
      </c>
      <c r="D350" s="1">
        <v>349</v>
      </c>
      <c r="E350" s="1" t="str">
        <f>CONCATENATE("E",Reactions!C350)</f>
        <v>E2_7_1_36</v>
      </c>
      <c r="F350" s="1" t="s">
        <v>11107</v>
      </c>
      <c r="G350" s="1" t="s">
        <v>12068</v>
      </c>
      <c r="H350" s="1" t="s">
        <v>11108</v>
      </c>
      <c r="I350" s="1" t="s">
        <v>12684</v>
      </c>
      <c r="J350" s="12" t="str">
        <f t="shared" si="10"/>
        <v>(${Variables:E2_7_1_36_kcat} * E2_7_1_36 * C00002*C00418)/(${Variables:E2_7_1_36_km} + (E2_7_1_36 * C00002*C00418))</v>
      </c>
      <c r="K350" s="36" t="str">
        <f t="shared" si="11"/>
        <v>r349: C00002+C00418 -&gt; C00008+C01107 | (${Variables:E2_7_1_36_kcat} * E2_7_1_36 * C00002*C00418)/(${Variables:E2_7_1_36_km} + (E2_7_1_36 * C00002*C00418))</v>
      </c>
    </row>
    <row r="351" spans="1:11" ht="58" x14ac:dyDescent="0.35">
      <c r="A351" s="1" t="s">
        <v>1373</v>
      </c>
      <c r="B351" s="1" t="s">
        <v>1374</v>
      </c>
      <c r="C351" s="1" t="s">
        <v>9895</v>
      </c>
      <c r="D351" s="1">
        <v>350</v>
      </c>
      <c r="E351" s="1" t="str">
        <f>CONCATENATE("E",Reactions!C351)</f>
        <v>E2_7_1_39</v>
      </c>
      <c r="F351" s="1" t="s">
        <v>11109</v>
      </c>
      <c r="G351" s="1" t="s">
        <v>12069</v>
      </c>
      <c r="H351" s="1" t="s">
        <v>11110</v>
      </c>
      <c r="I351" s="1" t="s">
        <v>12685</v>
      </c>
      <c r="J351" s="12" t="str">
        <f t="shared" si="10"/>
        <v>(${Variables:E2_7_1_39_kcat} * E2_7_1_39 * C00002*C00263)/(${Variables:E2_7_1_39_km} + (E2_7_1_39 * C00002*C00263))</v>
      </c>
      <c r="K351" s="36" t="str">
        <f t="shared" si="11"/>
        <v>r350: C00002+C00263 -&gt; C00008+C01102 | (${Variables:E2_7_1_39_kcat} * E2_7_1_39 * C00002*C00263)/(${Variables:E2_7_1_39_km} + (E2_7_1_39 * C00002*C00263))</v>
      </c>
    </row>
    <row r="352" spans="1:11" ht="58" x14ac:dyDescent="0.35">
      <c r="A352" s="1" t="s">
        <v>5397</v>
      </c>
      <c r="B352" s="1" t="s">
        <v>5398</v>
      </c>
      <c r="C352" s="1" t="s">
        <v>9896</v>
      </c>
      <c r="D352" s="1">
        <v>351</v>
      </c>
      <c r="E352" s="1" t="str">
        <f>CONCATENATE("E",Reactions!C352)</f>
        <v>E2_7_1_4</v>
      </c>
      <c r="F352" s="1" t="s">
        <v>11111</v>
      </c>
      <c r="G352" s="1" t="s">
        <v>12070</v>
      </c>
      <c r="H352" s="1" t="s">
        <v>11112</v>
      </c>
      <c r="I352" s="1" t="s">
        <v>12686</v>
      </c>
      <c r="J352" s="12" t="str">
        <f t="shared" si="10"/>
        <v>(${Variables:E2_7_1_4_kcat} * E2_7_1_4 * C00002*C00095)/(${Variables:E2_7_1_4_km} + (E2_7_1_4 * C00002*C00095))</v>
      </c>
      <c r="K352" s="36" t="str">
        <f t="shared" si="11"/>
        <v>r351: C00002+C00095 -&gt; C00008+C00085 | (${Variables:E2_7_1_4_kcat} * E2_7_1_4 * C00002*C00095)/(${Variables:E2_7_1_4_km} + (E2_7_1_4 * C00002*C00095))</v>
      </c>
    </row>
    <row r="353" spans="1:11" ht="58" x14ac:dyDescent="0.35">
      <c r="A353" s="1" t="s">
        <v>5397</v>
      </c>
      <c r="B353" s="1" t="s">
        <v>5398</v>
      </c>
      <c r="C353" s="1" t="s">
        <v>9896</v>
      </c>
      <c r="D353" s="1">
        <v>352</v>
      </c>
      <c r="E353" s="1" t="str">
        <f>CONCATENATE("E",Reactions!C353)</f>
        <v>E2_7_1_4</v>
      </c>
      <c r="F353" s="1" t="s">
        <v>11111</v>
      </c>
      <c r="G353" s="1" t="s">
        <v>12070</v>
      </c>
      <c r="H353" s="1" t="s">
        <v>11113</v>
      </c>
      <c r="I353" s="1" t="s">
        <v>12687</v>
      </c>
      <c r="J353" s="12" t="str">
        <f t="shared" si="10"/>
        <v>(${Variables:E2_7_1_4_kcat} * E2_7_1_4 * C00002*C00095)/(${Variables:E2_7_1_4_km} + (E2_7_1_4 * C00002*C00095))</v>
      </c>
      <c r="K353" s="36" t="str">
        <f t="shared" si="11"/>
        <v>r352: C00002+C00095 -&gt; C00008+C05345 | (${Variables:E2_7_1_4_kcat} * E2_7_1_4 * C00002*C00095)/(${Variables:E2_7_1_4_km} + (E2_7_1_4 * C00002*C00095))</v>
      </c>
    </row>
    <row r="354" spans="1:11" ht="58" x14ac:dyDescent="0.35">
      <c r="A354" s="1" t="s">
        <v>5397</v>
      </c>
      <c r="B354" s="1" t="s">
        <v>5398</v>
      </c>
      <c r="C354" s="1" t="s">
        <v>9896</v>
      </c>
      <c r="D354" s="1">
        <v>353</v>
      </c>
      <c r="E354" s="1" t="str">
        <f>CONCATENATE("E",Reactions!C354)</f>
        <v>E2_7_1_4</v>
      </c>
      <c r="F354" s="1" t="s">
        <v>11114</v>
      </c>
      <c r="G354" s="1" t="s">
        <v>12071</v>
      </c>
      <c r="H354" s="1" t="s">
        <v>11113</v>
      </c>
      <c r="I354" s="1" t="s">
        <v>12687</v>
      </c>
      <c r="J354" s="12" t="str">
        <f t="shared" si="10"/>
        <v>(${Variables:E2_7_1_4_kcat} * E2_7_1_4 * C00002*C02336)/(${Variables:E2_7_1_4_km} + (E2_7_1_4 * C00002*C02336))</v>
      </c>
      <c r="K354" s="36" t="str">
        <f t="shared" si="11"/>
        <v>r353: C00002+C02336 -&gt; C00008+C05345 | (${Variables:E2_7_1_4_kcat} * E2_7_1_4 * C00002*C02336)/(${Variables:E2_7_1_4_km} + (E2_7_1_4 * C00002*C02336))</v>
      </c>
    </row>
    <row r="355" spans="1:11" ht="58" x14ac:dyDescent="0.35">
      <c r="A355" s="1" t="s">
        <v>2698</v>
      </c>
      <c r="B355" s="1" t="s">
        <v>2699</v>
      </c>
      <c r="C355" s="1" t="s">
        <v>9897</v>
      </c>
      <c r="D355" s="1">
        <v>354</v>
      </c>
      <c r="E355" s="1" t="str">
        <f>CONCATENATE("E",Reactions!C355)</f>
        <v>E2_7_1_40</v>
      </c>
      <c r="F355" s="1" t="s">
        <v>11115</v>
      </c>
      <c r="G355" s="1" t="s">
        <v>12072</v>
      </c>
      <c r="H355" s="1" t="s">
        <v>11116</v>
      </c>
      <c r="I355" s="1" t="s">
        <v>12688</v>
      </c>
      <c r="J355" s="12" t="str">
        <f t="shared" si="10"/>
        <v>(${Variables:E2_7_1_40_kcat} * E2_7_1_40 * C00002*C00022)/(${Variables:E2_7_1_40_km} + (E2_7_1_40 * C00002*C00022))</v>
      </c>
      <c r="K355" s="36" t="str">
        <f t="shared" si="11"/>
        <v>r354: C00002+C00022 -&gt; C00008+C00074 | (${Variables:E2_7_1_40_kcat} * E2_7_1_40 * C00002*C00022)/(${Variables:E2_7_1_40_km} + (E2_7_1_40 * C00002*C00022))</v>
      </c>
    </row>
    <row r="356" spans="1:11" ht="58" x14ac:dyDescent="0.35">
      <c r="A356" s="1" t="s">
        <v>2698</v>
      </c>
      <c r="B356" s="1" t="s">
        <v>2699</v>
      </c>
      <c r="C356" s="1" t="s">
        <v>9897</v>
      </c>
      <c r="D356" s="1">
        <v>355</v>
      </c>
      <c r="E356" s="1" t="str">
        <f>CONCATENATE("E",Reactions!C356)</f>
        <v>E2_7_1_40</v>
      </c>
      <c r="F356" s="1" t="s">
        <v>11117</v>
      </c>
      <c r="G356" s="1" t="s">
        <v>12073</v>
      </c>
      <c r="H356" s="1" t="s">
        <v>11118</v>
      </c>
      <c r="I356" s="1" t="s">
        <v>12689</v>
      </c>
      <c r="J356" s="12" t="str">
        <f t="shared" si="10"/>
        <v>(${Variables:E2_7_1_40_kcat} * E2_7_1_40 * C00044*C00022)/(${Variables:E2_7_1_40_km} + (E2_7_1_40 * C00044*C00022))</v>
      </c>
      <c r="K356" s="36" t="str">
        <f t="shared" si="11"/>
        <v>r355: C00044+C00022 -&gt; C00035+C00074 | (${Variables:E2_7_1_40_kcat} * E2_7_1_40 * C00044*C00022)/(${Variables:E2_7_1_40_km} + (E2_7_1_40 * C00044*C00022))</v>
      </c>
    </row>
    <row r="357" spans="1:11" ht="58" x14ac:dyDescent="0.35">
      <c r="A357" s="1" t="s">
        <v>2698</v>
      </c>
      <c r="B357" s="1" t="s">
        <v>2699</v>
      </c>
      <c r="C357" s="1" t="s">
        <v>9897</v>
      </c>
      <c r="D357" s="1">
        <v>356</v>
      </c>
      <c r="E357" s="1" t="str">
        <f>CONCATENATE("E",Reactions!C357)</f>
        <v>E2_7_1_40</v>
      </c>
      <c r="F357" s="1" t="s">
        <v>11119</v>
      </c>
      <c r="G357" s="1" t="s">
        <v>12074</v>
      </c>
      <c r="H357" s="1" t="s">
        <v>11120</v>
      </c>
      <c r="I357" s="1" t="s">
        <v>12690</v>
      </c>
      <c r="J357" s="12" t="str">
        <f t="shared" si="10"/>
        <v>(${Variables:E2_7_1_40_kcat} * E2_7_1_40 * C00063*C00022)/(${Variables:E2_7_1_40_km} + (E2_7_1_40 * C00063*C00022))</v>
      </c>
      <c r="K357" s="36" t="str">
        <f t="shared" si="11"/>
        <v>r356: C00063+C00022 -&gt; C00112+C00074 | (${Variables:E2_7_1_40_kcat} * E2_7_1_40 * C00063*C00022)/(${Variables:E2_7_1_40_km} + (E2_7_1_40 * C00063*C00022))</v>
      </c>
    </row>
    <row r="358" spans="1:11" ht="58" x14ac:dyDescent="0.35">
      <c r="A358" s="1" t="s">
        <v>2698</v>
      </c>
      <c r="B358" s="1" t="s">
        <v>2699</v>
      </c>
      <c r="C358" s="1" t="s">
        <v>9897</v>
      </c>
      <c r="D358" s="1">
        <v>357</v>
      </c>
      <c r="E358" s="1" t="str">
        <f>CONCATENATE("E",Reactions!C358)</f>
        <v>E2_7_1_40</v>
      </c>
      <c r="F358" s="1" t="s">
        <v>11121</v>
      </c>
      <c r="G358" s="1" t="s">
        <v>12075</v>
      </c>
      <c r="H358" s="1" t="s">
        <v>11122</v>
      </c>
      <c r="I358" s="1" t="s">
        <v>12691</v>
      </c>
      <c r="J358" s="12" t="str">
        <f t="shared" si="10"/>
        <v>(${Variables:E2_7_1_40_kcat} * E2_7_1_40 * C00075*C00022)/(${Variables:E2_7_1_40_km} + (E2_7_1_40 * C00075*C00022))</v>
      </c>
      <c r="K358" s="36" t="str">
        <f t="shared" si="11"/>
        <v>r357: C00075+C00022 -&gt; C00015+C00074 | (${Variables:E2_7_1_40_kcat} * E2_7_1_40 * C00075*C00022)/(${Variables:E2_7_1_40_km} + (E2_7_1_40 * C00075*C00022))</v>
      </c>
    </row>
    <row r="359" spans="1:11" ht="58" x14ac:dyDescent="0.35">
      <c r="A359" s="1" t="s">
        <v>2698</v>
      </c>
      <c r="B359" s="1" t="s">
        <v>2699</v>
      </c>
      <c r="C359" s="1" t="s">
        <v>9897</v>
      </c>
      <c r="D359" s="1">
        <v>358</v>
      </c>
      <c r="E359" s="1" t="str">
        <f>CONCATENATE("E",Reactions!C359)</f>
        <v>E2_7_1_40</v>
      </c>
      <c r="F359" s="1" t="s">
        <v>11123</v>
      </c>
      <c r="G359" s="1" t="s">
        <v>12076</v>
      </c>
      <c r="H359" s="1" t="s">
        <v>11124</v>
      </c>
      <c r="I359" s="1" t="s">
        <v>12692</v>
      </c>
      <c r="J359" s="12" t="str">
        <f t="shared" si="10"/>
        <v>(${Variables:E2_7_1_40_kcat} * E2_7_1_40 * C00081*C00022)/(${Variables:E2_7_1_40_km} + (E2_7_1_40 * C00081*C00022))</v>
      </c>
      <c r="K359" s="36" t="str">
        <f t="shared" si="11"/>
        <v>r358: C00081+C00022 -&gt; C00104+C00074 | (${Variables:E2_7_1_40_kcat} * E2_7_1_40 * C00081*C00022)/(${Variables:E2_7_1_40_km} + (E2_7_1_40 * C00081*C00022))</v>
      </c>
    </row>
    <row r="360" spans="1:11" ht="58" x14ac:dyDescent="0.35">
      <c r="A360" s="1" t="s">
        <v>2698</v>
      </c>
      <c r="B360" s="1" t="s">
        <v>2699</v>
      </c>
      <c r="C360" s="1" t="s">
        <v>9897</v>
      </c>
      <c r="D360" s="1">
        <v>359</v>
      </c>
      <c r="E360" s="1" t="str">
        <f>CONCATENATE("E",Reactions!C360)</f>
        <v>E2_7_1_40</v>
      </c>
      <c r="F360" s="1" t="s">
        <v>11125</v>
      </c>
      <c r="G360" s="1" t="s">
        <v>12077</v>
      </c>
      <c r="H360" s="1" t="s">
        <v>11126</v>
      </c>
      <c r="I360" s="1" t="s">
        <v>12693</v>
      </c>
      <c r="J360" s="12" t="str">
        <f t="shared" si="10"/>
        <v>(${Variables:E2_7_1_40_kcat} * E2_7_1_40 * C00131*C00022)/(${Variables:E2_7_1_40_km} + (E2_7_1_40 * C00131*C00022))</v>
      </c>
      <c r="K360" s="36" t="str">
        <f t="shared" si="11"/>
        <v>r359: C00131+C00022 -&gt; C00206+C00074 | (${Variables:E2_7_1_40_kcat} * E2_7_1_40 * C00131*C00022)/(${Variables:E2_7_1_40_km} + (E2_7_1_40 * C00131*C00022))</v>
      </c>
    </row>
    <row r="361" spans="1:11" ht="58" x14ac:dyDescent="0.35">
      <c r="A361" s="1" t="s">
        <v>2698</v>
      </c>
      <c r="B361" s="1" t="s">
        <v>2699</v>
      </c>
      <c r="C361" s="1" t="s">
        <v>9897</v>
      </c>
      <c r="D361" s="1">
        <v>360</v>
      </c>
      <c r="E361" s="1" t="str">
        <f>CONCATENATE("E",Reactions!C361)</f>
        <v>E2_7_1_40</v>
      </c>
      <c r="F361" s="1" t="s">
        <v>11127</v>
      </c>
      <c r="G361" s="1" t="s">
        <v>12078</v>
      </c>
      <c r="H361" s="1" t="s">
        <v>11128</v>
      </c>
      <c r="I361" s="1" t="s">
        <v>12694</v>
      </c>
      <c r="J361" s="12" t="str">
        <f t="shared" si="10"/>
        <v>(${Variables:E2_7_1_40_kcat} * E2_7_1_40 * C00286*C00022)/(${Variables:E2_7_1_40_km} + (E2_7_1_40 * C00286*C00022))</v>
      </c>
      <c r="K361" s="36" t="str">
        <f t="shared" si="11"/>
        <v>r360: C00286+C00022 -&gt; C00361+C00074 | (${Variables:E2_7_1_40_kcat} * E2_7_1_40 * C00286*C00022)/(${Variables:E2_7_1_40_km} + (E2_7_1_40 * C00286*C00022))</v>
      </c>
    </row>
    <row r="362" spans="1:11" ht="58" x14ac:dyDescent="0.35">
      <c r="A362" s="1" t="s">
        <v>2698</v>
      </c>
      <c r="B362" s="1" t="s">
        <v>2699</v>
      </c>
      <c r="C362" s="1" t="s">
        <v>9897</v>
      </c>
      <c r="D362" s="1">
        <v>361</v>
      </c>
      <c r="E362" s="1" t="str">
        <f>CONCATENATE("E",Reactions!C362)</f>
        <v>E2_7_1_40</v>
      </c>
      <c r="F362" s="1" t="s">
        <v>11129</v>
      </c>
      <c r="G362" s="1" t="s">
        <v>12079</v>
      </c>
      <c r="H362" s="1" t="s">
        <v>11130</v>
      </c>
      <c r="I362" s="1" t="s">
        <v>12695</v>
      </c>
      <c r="J362" s="12" t="str">
        <f t="shared" si="10"/>
        <v>(${Variables:E2_7_1_40_kcat} * E2_7_1_40 * C00201*C00022)/(${Variables:E2_7_1_40_km} + (E2_7_1_40 * C00201*C00022))</v>
      </c>
      <c r="K362" s="36" t="str">
        <f t="shared" si="11"/>
        <v>r361: C00201+C00022 -&gt; C00454+C00074 | (${Variables:E2_7_1_40_kcat} * E2_7_1_40 * C00201*C00022)/(${Variables:E2_7_1_40_km} + (E2_7_1_40 * C00201*C00022))</v>
      </c>
    </row>
    <row r="363" spans="1:11" ht="58" x14ac:dyDescent="0.35">
      <c r="A363" s="1" t="s">
        <v>2438</v>
      </c>
      <c r="B363" s="1" t="s">
        <v>2439</v>
      </c>
      <c r="C363" s="1" t="s">
        <v>9898</v>
      </c>
      <c r="D363" s="1">
        <v>362</v>
      </c>
      <c r="E363" s="1" t="str">
        <f>CONCATENATE("E",Reactions!C363)</f>
        <v>E2_7_1_48</v>
      </c>
      <c r="F363" s="1" t="s">
        <v>11131</v>
      </c>
      <c r="G363" s="1" t="s">
        <v>12080</v>
      </c>
      <c r="H363" s="1" t="s">
        <v>11132</v>
      </c>
      <c r="I363" s="1" t="s">
        <v>12696</v>
      </c>
      <c r="J363" s="12" t="str">
        <f t="shared" si="10"/>
        <v>(${Variables:E2_7_1_48_kcat} * E2_7_1_48 * C00002*C00475)/(${Variables:E2_7_1_48_km} + (E2_7_1_48 * C00002*C00475))</v>
      </c>
      <c r="K363" s="36" t="str">
        <f t="shared" si="11"/>
        <v>r362: C00002+C00475 -&gt; C00008+C00055 | (${Variables:E2_7_1_48_kcat} * E2_7_1_48 * C00002*C00475)/(${Variables:E2_7_1_48_km} + (E2_7_1_48 * C00002*C00475))</v>
      </c>
    </row>
    <row r="364" spans="1:11" ht="58" x14ac:dyDescent="0.35">
      <c r="A364" s="1" t="s">
        <v>2438</v>
      </c>
      <c r="B364" s="1" t="s">
        <v>2439</v>
      </c>
      <c r="C364" s="1" t="s">
        <v>9898</v>
      </c>
      <c r="D364" s="1">
        <v>363</v>
      </c>
      <c r="E364" s="1" t="str">
        <f>CONCATENATE("E",Reactions!C364)</f>
        <v>E2_7_1_48</v>
      </c>
      <c r="F364" s="1" t="s">
        <v>11133</v>
      </c>
      <c r="G364" s="1" t="s">
        <v>12081</v>
      </c>
      <c r="H364" s="1" t="s">
        <v>11134</v>
      </c>
      <c r="I364" s="1" t="s">
        <v>12697</v>
      </c>
      <c r="J364" s="12" t="str">
        <f t="shared" si="10"/>
        <v>(${Variables:E2_7_1_48_kcat} * E2_7_1_48 * C00002*C00299)/(${Variables:E2_7_1_48_km} + (E2_7_1_48 * C00002*C00299))</v>
      </c>
      <c r="K364" s="36" t="str">
        <f t="shared" si="11"/>
        <v>r363: C00002+C00299 -&gt; C00008+C00105 | (${Variables:E2_7_1_48_kcat} * E2_7_1_48 * C00002*C00299)/(${Variables:E2_7_1_48_km} + (E2_7_1_48 * C00002*C00299))</v>
      </c>
    </row>
    <row r="365" spans="1:11" ht="58" x14ac:dyDescent="0.35">
      <c r="A365" s="1" t="s">
        <v>2438</v>
      </c>
      <c r="B365" s="1" t="s">
        <v>2439</v>
      </c>
      <c r="C365" s="1" t="s">
        <v>9898</v>
      </c>
      <c r="D365" s="1">
        <v>364</v>
      </c>
      <c r="E365" s="1" t="str">
        <f>CONCATENATE("E",Reactions!C365)</f>
        <v>E2_7_1_48</v>
      </c>
      <c r="F365" s="1" t="s">
        <v>11135</v>
      </c>
      <c r="G365" s="1" t="s">
        <v>12082</v>
      </c>
      <c r="H365" s="1" t="s">
        <v>11136</v>
      </c>
      <c r="I365" s="1" t="s">
        <v>12698</v>
      </c>
      <c r="J365" s="12" t="str">
        <f t="shared" si="10"/>
        <v>(${Variables:E2_7_1_48_kcat} * E2_7_1_48 * C00044*C00475)/(${Variables:E2_7_1_48_km} + (E2_7_1_48 * C00044*C00475))</v>
      </c>
      <c r="K365" s="36" t="str">
        <f t="shared" si="11"/>
        <v>r364: C00044+C00475 -&gt; C00035+C00055 | (${Variables:E2_7_1_48_kcat} * E2_7_1_48 * C00044*C00475)/(${Variables:E2_7_1_48_km} + (E2_7_1_48 * C00044*C00475))</v>
      </c>
    </row>
    <row r="366" spans="1:11" ht="58" x14ac:dyDescent="0.35">
      <c r="A366" s="1" t="s">
        <v>2438</v>
      </c>
      <c r="B366" s="1" t="s">
        <v>2439</v>
      </c>
      <c r="C366" s="1" t="s">
        <v>9898</v>
      </c>
      <c r="D366" s="1">
        <v>365</v>
      </c>
      <c r="E366" s="1" t="str">
        <f>CONCATENATE("E",Reactions!C366)</f>
        <v>E2_7_1_48</v>
      </c>
      <c r="F366" s="1" t="s">
        <v>11137</v>
      </c>
      <c r="G366" s="1" t="s">
        <v>12083</v>
      </c>
      <c r="H366" s="1" t="s">
        <v>11138</v>
      </c>
      <c r="I366" s="1" t="s">
        <v>12699</v>
      </c>
      <c r="J366" s="12" t="str">
        <f t="shared" si="10"/>
        <v>(${Variables:E2_7_1_48_kcat} * E2_7_1_48 * C00044*C00299)/(${Variables:E2_7_1_48_km} + (E2_7_1_48 * C00044*C00299))</v>
      </c>
      <c r="K366" s="36" t="str">
        <f t="shared" si="11"/>
        <v>r365: C00044+C00299 -&gt; C00035+C00105 | (${Variables:E2_7_1_48_kcat} * E2_7_1_48 * C00044*C00299)/(${Variables:E2_7_1_48_km} + (E2_7_1_48 * C00044*C00299))</v>
      </c>
    </row>
    <row r="367" spans="1:11" ht="58" x14ac:dyDescent="0.35">
      <c r="A367" s="1" t="s">
        <v>2438</v>
      </c>
      <c r="B367" s="1" t="s">
        <v>2439</v>
      </c>
      <c r="C367" s="1" t="s">
        <v>9898</v>
      </c>
      <c r="D367" s="1">
        <v>366</v>
      </c>
      <c r="E367" s="1" t="str">
        <f>CONCATENATE("E",Reactions!C367)</f>
        <v>E2_7_1_48</v>
      </c>
      <c r="F367" s="1" t="s">
        <v>11139</v>
      </c>
      <c r="G367" s="1" t="s">
        <v>12084</v>
      </c>
      <c r="H367" s="1" t="s">
        <v>11140</v>
      </c>
      <c r="I367" s="1" t="s">
        <v>12700</v>
      </c>
      <c r="J367" s="12" t="str">
        <f t="shared" si="10"/>
        <v>(${Variables:E2_7_1_48_kcat} * E2_7_1_48 * C16633*C00002)/(${Variables:E2_7_1_48_km} + (E2_7_1_48 * C16633*C00002))</v>
      </c>
      <c r="K367" s="36" t="str">
        <f t="shared" si="11"/>
        <v>r366: C16633+C00002 -&gt; C16634+C00008 | (${Variables:E2_7_1_48_kcat} * E2_7_1_48 * C16633*C00002)/(${Variables:E2_7_1_48_km} + (E2_7_1_48 * C16633*C00002))</v>
      </c>
    </row>
    <row r="368" spans="1:11" ht="58" x14ac:dyDescent="0.35">
      <c r="A368" s="1" t="s">
        <v>1164</v>
      </c>
      <c r="B368" s="1" t="s">
        <v>1165</v>
      </c>
      <c r="C368" s="1" t="s">
        <v>9899</v>
      </c>
      <c r="D368" s="1">
        <v>367</v>
      </c>
      <c r="E368" s="1" t="str">
        <f>CONCATENATE("E",Reactions!C368)</f>
        <v>E2_7_1_56</v>
      </c>
      <c r="F368" s="1" t="s">
        <v>11141</v>
      </c>
      <c r="G368" s="1" t="s">
        <v>12085</v>
      </c>
      <c r="H368" s="1" t="s">
        <v>11060</v>
      </c>
      <c r="I368" s="1" t="s">
        <v>12660</v>
      </c>
      <c r="J368" s="12" t="str">
        <f t="shared" si="10"/>
        <v>(${Variables:E2_7_1_56_kcat} * E2_7_1_56 * C00002*C01094)/(${Variables:E2_7_1_56_km} + (E2_7_1_56 * C00002*C01094))</v>
      </c>
      <c r="K368" s="36" t="str">
        <f t="shared" si="11"/>
        <v>r367: C00002+C01094 -&gt; C00008+C00354 | (${Variables:E2_7_1_56_kcat} * E2_7_1_56 * C00002*C01094)/(${Variables:E2_7_1_56_km} + (E2_7_1_56 * C00002*C01094))</v>
      </c>
    </row>
    <row r="369" spans="1:11" ht="58" x14ac:dyDescent="0.35">
      <c r="A369" s="1" t="s">
        <v>1164</v>
      </c>
      <c r="B369" s="1" t="s">
        <v>1165</v>
      </c>
      <c r="C369" s="1" t="s">
        <v>9899</v>
      </c>
      <c r="D369" s="1">
        <v>368</v>
      </c>
      <c r="E369" s="1" t="str">
        <f>CONCATENATE("E",Reactions!C369)</f>
        <v>E2_7_1_56</v>
      </c>
      <c r="F369" s="1" t="s">
        <v>11141</v>
      </c>
      <c r="G369" s="1" t="s">
        <v>12085</v>
      </c>
      <c r="H369" s="1" t="s">
        <v>11058</v>
      </c>
      <c r="I369" s="1" t="s">
        <v>12659</v>
      </c>
      <c r="J369" s="12" t="str">
        <f t="shared" si="10"/>
        <v>(${Variables:E2_7_1_56_kcat} * E2_7_1_56 * C00002*C01094)/(${Variables:E2_7_1_56_km} + (E2_7_1_56 * C00002*C01094))</v>
      </c>
      <c r="K369" s="36" t="str">
        <f t="shared" si="11"/>
        <v>r368: C00002+C01094 -&gt; C00008+C05378 | (${Variables:E2_7_1_56_kcat} * E2_7_1_56 * C00002*C01094)/(${Variables:E2_7_1_56_km} + (E2_7_1_56 * C00002*C01094))</v>
      </c>
    </row>
    <row r="370" spans="1:11" ht="58" x14ac:dyDescent="0.35">
      <c r="A370" s="1" t="s">
        <v>1164</v>
      </c>
      <c r="B370" s="1" t="s">
        <v>1165</v>
      </c>
      <c r="C370" s="1" t="s">
        <v>9899</v>
      </c>
      <c r="D370" s="1">
        <v>369</v>
      </c>
      <c r="E370" s="1" t="str">
        <f>CONCATENATE("E",Reactions!C370)</f>
        <v>E2_7_1_56</v>
      </c>
      <c r="F370" s="1" t="s">
        <v>11069</v>
      </c>
      <c r="G370" s="1" t="s">
        <v>12049</v>
      </c>
      <c r="H370" s="1" t="s">
        <v>11070</v>
      </c>
      <c r="I370" s="1" t="s">
        <v>12665</v>
      </c>
      <c r="J370" s="12" t="str">
        <f t="shared" si="10"/>
        <v>(${Variables:E2_7_1_56_kcat} * E2_7_1_56 * C01097*C00002)/(${Variables:E2_7_1_56_km} + (E2_7_1_56 * C01097*C00002))</v>
      </c>
      <c r="K370" s="36" t="str">
        <f t="shared" si="11"/>
        <v>r369: C01097+C00002 -&gt; C03785+C00008 | (${Variables:E2_7_1_56_kcat} * E2_7_1_56 * C01097*C00002)/(${Variables:E2_7_1_56_km} + (E2_7_1_56 * C01097*C00002))</v>
      </c>
    </row>
    <row r="371" spans="1:11" ht="58" x14ac:dyDescent="0.35">
      <c r="A371" s="1" t="s">
        <v>4221</v>
      </c>
      <c r="B371" s="1" t="s">
        <v>4222</v>
      </c>
      <c r="C371" s="1" t="s">
        <v>9900</v>
      </c>
      <c r="D371" s="1">
        <v>370</v>
      </c>
      <c r="E371" s="1" t="str">
        <f>CONCATENATE("E",Reactions!C371)</f>
        <v>E2_7_1_6</v>
      </c>
      <c r="F371" s="1" t="s">
        <v>11142</v>
      </c>
      <c r="G371" s="1" t="s">
        <v>12086</v>
      </c>
      <c r="H371" s="1" t="s">
        <v>11143</v>
      </c>
      <c r="I371" s="1" t="s">
        <v>12701</v>
      </c>
      <c r="J371" s="12" t="str">
        <f t="shared" si="10"/>
        <v>(${Variables:E2_7_1_6_kcat} * E2_7_1_6 * C00002*C00984)/(${Variables:E2_7_1_6_km} + (E2_7_1_6 * C00002*C00984))</v>
      </c>
      <c r="K371" s="36" t="str">
        <f t="shared" si="11"/>
        <v>r370: C00002+C00984 -&gt; C00008+C00446 | (${Variables:E2_7_1_6_kcat} * E2_7_1_6 * C00002*C00984)/(${Variables:E2_7_1_6_km} + (E2_7_1_6 * C00002*C00984))</v>
      </c>
    </row>
    <row r="372" spans="1:11" ht="58" x14ac:dyDescent="0.35">
      <c r="A372" s="1" t="s">
        <v>2004</v>
      </c>
      <c r="B372" s="1" t="s">
        <v>2005</v>
      </c>
      <c r="C372" s="1" t="s">
        <v>9902</v>
      </c>
      <c r="D372" s="1">
        <v>371</v>
      </c>
      <c r="E372" s="1" t="str">
        <f>CONCATENATE("E",Reactions!C372)</f>
        <v>E2_7_1_71</v>
      </c>
      <c r="F372" s="1" t="s">
        <v>11144</v>
      </c>
      <c r="G372" s="1" t="s">
        <v>12087</v>
      </c>
      <c r="H372" s="1" t="s">
        <v>11145</v>
      </c>
      <c r="I372" s="1" t="s">
        <v>12702</v>
      </c>
      <c r="J372" s="12" t="str">
        <f t="shared" si="10"/>
        <v>(${Variables:E2_7_1_71_kcat} * E2_7_1_71 * C00002*C00493)/(${Variables:E2_7_1_71_km} + (E2_7_1_71 * C00002*C00493))</v>
      </c>
      <c r="K372" s="36" t="str">
        <f t="shared" si="11"/>
        <v>r371: C00002+C00493 -&gt; C00008+C03175 | (${Variables:E2_7_1_71_kcat} * E2_7_1_71 * C00002*C00493)/(${Variables:E2_7_1_71_km} + (E2_7_1_71 * C00002*C00493))</v>
      </c>
    </row>
    <row r="373" spans="1:11" ht="58" x14ac:dyDescent="0.35">
      <c r="A373" s="1" t="s">
        <v>3110</v>
      </c>
      <c r="B373" s="1" t="s">
        <v>3111</v>
      </c>
      <c r="C373" s="1" t="s">
        <v>9903</v>
      </c>
      <c r="D373" s="1">
        <v>372</v>
      </c>
      <c r="E373" s="1" t="str">
        <f>CONCATENATE("E",Reactions!C373)</f>
        <v>E2_7_10_2</v>
      </c>
      <c r="F373" s="1" t="s">
        <v>11146</v>
      </c>
      <c r="G373" s="1" t="s">
        <v>12088</v>
      </c>
      <c r="H373" s="1" t="s">
        <v>11147</v>
      </c>
      <c r="I373" s="1" t="s">
        <v>12703</v>
      </c>
      <c r="J373" s="12" t="str">
        <f t="shared" si="10"/>
        <v>(${Variables:E2_7_10_2_kcat} * E2_7_10_2 * C00002*C00585)/(${Variables:E2_7_10_2_km} + (E2_7_10_2 * C00002*C00585))</v>
      </c>
      <c r="K373" s="36" t="str">
        <f t="shared" si="11"/>
        <v>r372: C00002+C00585 -&gt; C00008+C01167 | (${Variables:E2_7_10_2_kcat} * E2_7_10_2 * C00002*C00585)/(${Variables:E2_7_10_2_km} + (E2_7_10_2 * C00002*C00585))</v>
      </c>
    </row>
    <row r="374" spans="1:11" ht="58" x14ac:dyDescent="0.35">
      <c r="A374" s="1" t="s">
        <v>4490</v>
      </c>
      <c r="B374" s="1" t="s">
        <v>4491</v>
      </c>
      <c r="C374" s="1" t="s">
        <v>9904</v>
      </c>
      <c r="D374" s="1">
        <v>373</v>
      </c>
      <c r="E374" s="1" t="str">
        <f>CONCATENATE("E",Reactions!C374)</f>
        <v>E2_7_11_1</v>
      </c>
      <c r="F374" s="1" t="s">
        <v>11148</v>
      </c>
      <c r="G374" s="1" t="s">
        <v>12089</v>
      </c>
      <c r="H374" s="1" t="s">
        <v>11149</v>
      </c>
      <c r="I374" s="1" t="s">
        <v>12704</v>
      </c>
      <c r="J374" s="12" t="str">
        <f t="shared" si="10"/>
        <v>(${Variables:E2_7_11_1_kcat} * E2_7_11_1 * C00002*C00017)/(${Variables:E2_7_11_1_km} + (E2_7_11_1 * C00002*C00017))</v>
      </c>
      <c r="K374" s="36" t="str">
        <f t="shared" si="11"/>
        <v>r373: C00002+C00017 -&gt; C00008+C00562 | (${Variables:E2_7_11_1_kcat} * E2_7_11_1 * C00002*C00017)/(${Variables:E2_7_11_1_km} + (E2_7_11_1 * C00002*C00017))</v>
      </c>
    </row>
    <row r="375" spans="1:11" ht="58" x14ac:dyDescent="0.35">
      <c r="A375" s="1" t="s">
        <v>4490</v>
      </c>
      <c r="B375" s="1" t="s">
        <v>4491</v>
      </c>
      <c r="C375" s="1" t="s">
        <v>9904</v>
      </c>
      <c r="D375" s="1">
        <v>374</v>
      </c>
      <c r="E375" s="1" t="str">
        <f>CONCATENATE("E",Reactions!C375)</f>
        <v>E2_7_11_1</v>
      </c>
      <c r="F375" s="1" t="s">
        <v>11150</v>
      </c>
      <c r="G375" s="1" t="s">
        <v>12090</v>
      </c>
      <c r="H375" s="1" t="s">
        <v>11151</v>
      </c>
      <c r="I375" s="1" t="s">
        <v>12705</v>
      </c>
      <c r="J375" s="12" t="str">
        <f t="shared" si="10"/>
        <v>(${Variables:E2_7_11_1_kcat} * E2_7_11_1 * C00002*C01609)/(${Variables:E2_7_11_1_km} + (E2_7_11_1 * C00002*C01609))</v>
      </c>
      <c r="K375" s="36" t="str">
        <f t="shared" si="11"/>
        <v>r374: C00002+C01609 -&gt; C00008+C02729 | (${Variables:E2_7_11_1_kcat} * E2_7_11_1 * C00002*C01609)/(${Variables:E2_7_11_1_km} + (E2_7_11_1 * C00002*C01609))</v>
      </c>
    </row>
    <row r="376" spans="1:11" ht="58" x14ac:dyDescent="0.35">
      <c r="A376" s="1" t="s">
        <v>5761</v>
      </c>
      <c r="B376" s="1" t="s">
        <v>5762</v>
      </c>
      <c r="C376" s="1" t="s">
        <v>9906</v>
      </c>
      <c r="D376" s="1">
        <v>375</v>
      </c>
      <c r="E376" s="1" t="str">
        <f>CONCATENATE("E",Reactions!C376)</f>
        <v>E2_7_2_1</v>
      </c>
      <c r="F376" s="1" t="s">
        <v>11152</v>
      </c>
      <c r="G376" s="1" t="s">
        <v>12091</v>
      </c>
      <c r="H376" s="1" t="s">
        <v>11153</v>
      </c>
      <c r="I376" s="1" t="s">
        <v>12706</v>
      </c>
      <c r="J376" s="12" t="str">
        <f t="shared" si="10"/>
        <v>(${Variables:E2_7_2_1_kcat} * E2_7_2_1 * C00002*C00033)/(${Variables:E2_7_2_1_km} + (E2_7_2_1 * C00002*C00033))</v>
      </c>
      <c r="K376" s="36" t="str">
        <f t="shared" si="11"/>
        <v>r375: C00002+C00033 -&gt; C00008+C00227 | (${Variables:E2_7_2_1_kcat} * E2_7_2_1 * C00002*C00033)/(${Variables:E2_7_2_1_km} + (E2_7_2_1 * C00002*C00033))</v>
      </c>
    </row>
    <row r="377" spans="1:11" ht="58" x14ac:dyDescent="0.35">
      <c r="A377" s="1" t="s">
        <v>5761</v>
      </c>
      <c r="B377" s="1" t="s">
        <v>5762</v>
      </c>
      <c r="C377" s="1" t="s">
        <v>9906</v>
      </c>
      <c r="D377" s="1">
        <v>376</v>
      </c>
      <c r="E377" s="1" t="str">
        <f>CONCATENATE("E",Reactions!C377)</f>
        <v>E2_7_2_1</v>
      </c>
      <c r="F377" s="1" t="s">
        <v>11154</v>
      </c>
      <c r="G377" s="1" t="s">
        <v>12092</v>
      </c>
      <c r="H377" s="1" t="s">
        <v>11155</v>
      </c>
      <c r="I377" s="1" t="s">
        <v>12707</v>
      </c>
      <c r="J377" s="12" t="str">
        <f t="shared" si="10"/>
        <v>(${Variables:E2_7_2_1_kcat} * E2_7_2_1 * C00002*C00163)/(${Variables:E2_7_2_1_km} + (E2_7_2_1 * C00002*C00163))</v>
      </c>
      <c r="K377" s="36" t="str">
        <f t="shared" si="11"/>
        <v>r376: C00002+C00163 -&gt; C00008+C02876 | (${Variables:E2_7_2_1_kcat} * E2_7_2_1 * C00002*C00163)/(${Variables:E2_7_2_1_km} + (E2_7_2_1 * C00002*C00163))</v>
      </c>
    </row>
    <row r="378" spans="1:11" ht="58" x14ac:dyDescent="0.35">
      <c r="A378" s="1" t="s">
        <v>5308</v>
      </c>
      <c r="B378" s="1" t="s">
        <v>5309</v>
      </c>
      <c r="C378" s="1" t="s">
        <v>9907</v>
      </c>
      <c r="D378" s="1">
        <v>377</v>
      </c>
      <c r="E378" s="1" t="str">
        <f>CONCATENATE("E",Reactions!C378)</f>
        <v>E2_7_2_11</v>
      </c>
      <c r="F378" s="1" t="s">
        <v>11156</v>
      </c>
      <c r="G378" s="1" t="s">
        <v>12093</v>
      </c>
      <c r="H378" s="1" t="s">
        <v>11157</v>
      </c>
      <c r="I378" s="1" t="s">
        <v>12708</v>
      </c>
      <c r="J378" s="12" t="str">
        <f t="shared" si="10"/>
        <v>(${Variables:E2_7_2_11_kcat} * E2_7_2_11 * C00002*C00025)/(${Variables:E2_7_2_11_km} + (E2_7_2_11 * C00002*C00025))</v>
      </c>
      <c r="K378" s="36" t="str">
        <f t="shared" si="11"/>
        <v>r377: C00002+C00025 -&gt; C00008+C03287 | (${Variables:E2_7_2_11_kcat} * E2_7_2_11 * C00002*C00025)/(${Variables:E2_7_2_11_km} + (E2_7_2_11 * C00002*C00025))</v>
      </c>
    </row>
    <row r="379" spans="1:11" ht="58" x14ac:dyDescent="0.35">
      <c r="A379" s="1" t="s">
        <v>1476</v>
      </c>
      <c r="B379" s="1" t="s">
        <v>1477</v>
      </c>
      <c r="C379" s="1" t="s">
        <v>9908</v>
      </c>
      <c r="D379" s="1">
        <v>378</v>
      </c>
      <c r="E379" s="1" t="str">
        <f>CONCATENATE("E",Reactions!C379)</f>
        <v>E2_7_2_3</v>
      </c>
      <c r="F379" s="1" t="s">
        <v>11158</v>
      </c>
      <c r="G379" s="1" t="s">
        <v>12094</v>
      </c>
      <c r="H379" s="1" t="s">
        <v>11159</v>
      </c>
      <c r="I379" s="1" t="s">
        <v>12709</v>
      </c>
      <c r="J379" s="12" t="str">
        <f t="shared" si="10"/>
        <v>(${Variables:E2_7_2_3_kcat} * E2_7_2_3 * C00002*C00197)/(${Variables:E2_7_2_3_km} + (E2_7_2_3 * C00002*C00197))</v>
      </c>
      <c r="K379" s="36" t="str">
        <f t="shared" si="11"/>
        <v>r378: C00002+C00197 -&gt; C00008+C00236 | (${Variables:E2_7_2_3_kcat} * E2_7_2_3 * C00002*C00197)/(${Variables:E2_7_2_3_km} + (E2_7_2_3 * C00002*C00197))</v>
      </c>
    </row>
    <row r="380" spans="1:11" ht="58" x14ac:dyDescent="0.35">
      <c r="A380" s="1" t="s">
        <v>1100</v>
      </c>
      <c r="B380" s="1" t="s">
        <v>1101</v>
      </c>
      <c r="C380" s="1" t="s">
        <v>9909</v>
      </c>
      <c r="D380" s="1">
        <v>379</v>
      </c>
      <c r="E380" s="1" t="str">
        <f>CONCATENATE("E",Reactions!C380)</f>
        <v>E2_7_2_4</v>
      </c>
      <c r="F380" s="1" t="s">
        <v>11160</v>
      </c>
      <c r="G380" s="1" t="s">
        <v>12095</v>
      </c>
      <c r="H380" s="1" t="s">
        <v>11161</v>
      </c>
      <c r="I380" s="1" t="s">
        <v>12710</v>
      </c>
      <c r="J380" s="12" t="str">
        <f t="shared" si="10"/>
        <v>(${Variables:E2_7_2_4_kcat} * E2_7_2_4 * C00002*C00049)/(${Variables:E2_7_2_4_km} + (E2_7_2_4 * C00002*C00049))</v>
      </c>
      <c r="K380" s="36" t="str">
        <f t="shared" si="11"/>
        <v>r379: C00002+C00049 -&gt; C00008+C03082 | (${Variables:E2_7_2_4_kcat} * E2_7_2_4 * C00002*C00049)/(${Variables:E2_7_2_4_km} + (E2_7_2_4 * C00002*C00049))</v>
      </c>
    </row>
    <row r="381" spans="1:11" ht="58" x14ac:dyDescent="0.35">
      <c r="A381" s="1" t="s">
        <v>1358</v>
      </c>
      <c r="B381" s="1" t="s">
        <v>1359</v>
      </c>
      <c r="C381" s="1" t="s">
        <v>9910</v>
      </c>
      <c r="D381" s="1">
        <v>380</v>
      </c>
      <c r="E381" s="1" t="str">
        <f>CONCATENATE("E",Reactions!C381)</f>
        <v>E2_7_2_8</v>
      </c>
      <c r="F381" s="1" t="s">
        <v>11162</v>
      </c>
      <c r="G381" s="1" t="s">
        <v>12096</v>
      </c>
      <c r="H381" s="1" t="s">
        <v>11163</v>
      </c>
      <c r="I381" s="1" t="s">
        <v>12711</v>
      </c>
      <c r="J381" s="12" t="str">
        <f t="shared" si="10"/>
        <v>(${Variables:E2_7_2_8_kcat} * E2_7_2_8 * C00002*C00624)/(${Variables:E2_7_2_8_km} + (E2_7_2_8 * C00002*C00624))</v>
      </c>
      <c r="K381" s="36" t="str">
        <f t="shared" si="11"/>
        <v>r380: C00002+C00624 -&gt; C00008+C04133 | (${Variables:E2_7_2_8_kcat} * E2_7_2_8 * C00002*C00624)/(${Variables:E2_7_2_8_km} + (E2_7_2_8 * C00002*C00624))</v>
      </c>
    </row>
    <row r="382" spans="1:11" ht="58" x14ac:dyDescent="0.35">
      <c r="A382" s="1" t="s">
        <v>2418</v>
      </c>
      <c r="B382" s="1" t="s">
        <v>2419</v>
      </c>
      <c r="C382" s="1" t="s">
        <v>9911</v>
      </c>
      <c r="D382" s="1">
        <v>381</v>
      </c>
      <c r="E382" s="1" t="str">
        <f>CONCATENATE("E",Reactions!C382)</f>
        <v>E2_7_3_9</v>
      </c>
      <c r="F382" s="1" t="s">
        <v>11164</v>
      </c>
      <c r="G382" s="1" t="s">
        <v>12097</v>
      </c>
      <c r="H382" s="1" t="s">
        <v>11165</v>
      </c>
      <c r="I382" s="1" t="s">
        <v>12712</v>
      </c>
      <c r="J382" s="12" t="str">
        <f t="shared" si="10"/>
        <v>(${Variables:E2_7_3_9_kcat} * E2_7_3_9 * C00074*C00615)/(${Variables:E2_7_3_9_km} + (E2_7_3_9 * C00074*C00615))</v>
      </c>
      <c r="K382" s="36" t="str">
        <f t="shared" si="11"/>
        <v>r381: C00074+C00615 -&gt; C00022+C04261 | (${Variables:E2_7_3_9_kcat} * E2_7_3_9 * C00074*C00615)/(${Variables:E2_7_3_9_km} + (E2_7_3_9 * C00074*C00615))</v>
      </c>
    </row>
    <row r="383" spans="1:11" ht="58" x14ac:dyDescent="0.35">
      <c r="A383" s="1" t="s">
        <v>3033</v>
      </c>
      <c r="B383" s="1" t="s">
        <v>3034</v>
      </c>
      <c r="C383" s="1" t="s">
        <v>9912</v>
      </c>
      <c r="D383" s="1">
        <v>382</v>
      </c>
      <c r="E383" s="1" t="str">
        <f>CONCATENATE("E",Reactions!C383)</f>
        <v>E2_7_4_14</v>
      </c>
      <c r="F383" s="1" t="s">
        <v>11166</v>
      </c>
      <c r="G383" s="1" t="s">
        <v>12098</v>
      </c>
      <c r="H383" s="1" t="s">
        <v>11167</v>
      </c>
      <c r="I383" s="1" t="s">
        <v>12713</v>
      </c>
      <c r="J383" s="12" t="str">
        <f t="shared" si="10"/>
        <v>(${Variables:E2_7_4_14_kcat} * E2_7_4_14 * C00002*C00105)/(${Variables:E2_7_4_14_km} + (E2_7_4_14 * C00002*C00105))</v>
      </c>
      <c r="K383" s="36" t="str">
        <f t="shared" si="11"/>
        <v>r382: C00002+C00105 -&gt; C00008+C00015 | (${Variables:E2_7_4_14_kcat} * E2_7_4_14 * C00002*C00105)/(${Variables:E2_7_4_14_km} + (E2_7_4_14 * C00002*C00105))</v>
      </c>
    </row>
    <row r="384" spans="1:11" ht="58" x14ac:dyDescent="0.35">
      <c r="A384" s="1" t="s">
        <v>3033</v>
      </c>
      <c r="B384" s="1" t="s">
        <v>3034</v>
      </c>
      <c r="C384" s="1" t="s">
        <v>9912</v>
      </c>
      <c r="D384" s="1">
        <v>383</v>
      </c>
      <c r="E384" s="1" t="str">
        <f>CONCATENATE("E",Reactions!C384)</f>
        <v>E2_7_4_14</v>
      </c>
      <c r="F384" s="1" t="s">
        <v>11168</v>
      </c>
      <c r="G384" s="1" t="s">
        <v>12099</v>
      </c>
      <c r="H384" s="1" t="s">
        <v>11169</v>
      </c>
      <c r="I384" s="1" t="s">
        <v>12714</v>
      </c>
      <c r="J384" s="12" t="str">
        <f t="shared" si="10"/>
        <v>(${Variables:E2_7_4_14_kcat} * E2_7_4_14 * C00002*C00055)/(${Variables:E2_7_4_14_km} + (E2_7_4_14 * C00002*C00055))</v>
      </c>
      <c r="K384" s="36" t="str">
        <f t="shared" si="11"/>
        <v>r383: C00002+C00055 -&gt; C00008+C00112 | (${Variables:E2_7_4_14_kcat} * E2_7_4_14 * C00002*C00055)/(${Variables:E2_7_4_14_km} + (E2_7_4_14 * C00002*C00055))</v>
      </c>
    </row>
    <row r="385" spans="1:11" ht="58" x14ac:dyDescent="0.35">
      <c r="A385" s="1" t="s">
        <v>3033</v>
      </c>
      <c r="B385" s="1" t="s">
        <v>3034</v>
      </c>
      <c r="C385" s="1" t="s">
        <v>9912</v>
      </c>
      <c r="D385" s="1">
        <v>384</v>
      </c>
      <c r="E385" s="1" t="str">
        <f>CONCATENATE("E",Reactions!C385)</f>
        <v>E2_7_4_14</v>
      </c>
      <c r="F385" s="1" t="s">
        <v>11170</v>
      </c>
      <c r="G385" s="1" t="s">
        <v>12100</v>
      </c>
      <c r="H385" s="1" t="s">
        <v>11171</v>
      </c>
      <c r="I385" s="1" t="s">
        <v>12715</v>
      </c>
      <c r="J385" s="12" t="str">
        <f t="shared" si="10"/>
        <v>(${Variables:E2_7_4_14_kcat} * E2_7_4_14 * C00002*C00239)/(${Variables:E2_7_4_14_km} + (E2_7_4_14 * C00002*C00239))</v>
      </c>
      <c r="K385" s="36" t="str">
        <f t="shared" si="11"/>
        <v>r384: C00002+C00239 -&gt; C00008+C00705 | (${Variables:E2_7_4_14_kcat} * E2_7_4_14 * C00002*C00239)/(${Variables:E2_7_4_14_km} + (E2_7_4_14 * C00002*C00239))</v>
      </c>
    </row>
    <row r="386" spans="1:11" ht="58" x14ac:dyDescent="0.35">
      <c r="A386" s="1" t="s">
        <v>3033</v>
      </c>
      <c r="B386" s="1" t="s">
        <v>3034</v>
      </c>
      <c r="C386" s="1" t="s">
        <v>9912</v>
      </c>
      <c r="D386" s="1">
        <v>385</v>
      </c>
      <c r="E386" s="1" t="str">
        <f>CONCATENATE("E",Reactions!C386)</f>
        <v>E2_7_4_14</v>
      </c>
      <c r="F386" s="1" t="s">
        <v>11172</v>
      </c>
      <c r="G386" s="1" t="s">
        <v>12101</v>
      </c>
      <c r="H386" s="1" t="s">
        <v>11173</v>
      </c>
      <c r="I386" s="1" t="s">
        <v>12716</v>
      </c>
      <c r="J386" s="12" t="str">
        <f t="shared" si="10"/>
        <v>(${Variables:E2_7_4_14_kcat} * E2_7_4_14 * C00002*C16634)/(${Variables:E2_7_4_14_km} + (E2_7_4_14 * C00002*C16634))</v>
      </c>
      <c r="K386" s="36" t="str">
        <f t="shared" si="11"/>
        <v>r385: C00002+C16634 -&gt; C00008+C21748 | (${Variables:E2_7_4_14_kcat} * E2_7_4_14 * C00002*C16634)/(${Variables:E2_7_4_14_km} + (E2_7_4_14 * C00002*C16634))</v>
      </c>
    </row>
    <row r="387" spans="1:11" ht="58" x14ac:dyDescent="0.35">
      <c r="A387" s="1" t="s">
        <v>3033</v>
      </c>
      <c r="B387" s="1" t="s">
        <v>3034</v>
      </c>
      <c r="C387" s="1" t="s">
        <v>9912</v>
      </c>
      <c r="D387" s="1">
        <v>386</v>
      </c>
      <c r="E387" s="1" t="str">
        <f>CONCATENATE("E",Reactions!C387)</f>
        <v>E2_7_4_14</v>
      </c>
      <c r="F387" s="1" t="s">
        <v>11174</v>
      </c>
      <c r="G387" s="1" t="s">
        <v>12102</v>
      </c>
      <c r="H387" s="1" t="s">
        <v>11175</v>
      </c>
      <c r="I387" s="1" t="s">
        <v>12717</v>
      </c>
      <c r="J387" s="12" t="str">
        <f t="shared" ref="J387:J450" si="12">CONCATENATE("(${Variables:",E387,"_kcat","} * ",E387," * ",G387,")","/(${Variables:",E387,"_km","} + (",E387," * ",G387,"))")</f>
        <v>(${Variables:E2_7_4_14_kcat} * E2_7_4_14 * C00002*C04242)/(${Variables:E2_7_4_14_km} + (E2_7_4_14 * C00002*C04242))</v>
      </c>
      <c r="K387" s="36" t="str">
        <f t="shared" ref="K387:K450" si="13">CONCATENATE("r",D387,": ",F387," -&gt; ",H387," | ",J387)</f>
        <v>r386: C00002+C04242 -&gt; C00008+C21750 | (${Variables:E2_7_4_14_kcat} * E2_7_4_14 * C00002*C04242)/(${Variables:E2_7_4_14_km} + (E2_7_4_14 * C00002*C04242))</v>
      </c>
    </row>
    <row r="388" spans="1:11" ht="58" x14ac:dyDescent="0.35">
      <c r="A388" s="1" t="s">
        <v>1712</v>
      </c>
      <c r="B388" s="1" t="s">
        <v>1713</v>
      </c>
      <c r="C388" s="1" t="s">
        <v>9913</v>
      </c>
      <c r="D388" s="1">
        <v>387</v>
      </c>
      <c r="E388" s="1" t="str">
        <f>CONCATENATE("E",Reactions!C388)</f>
        <v>E2_7_4_2</v>
      </c>
      <c r="F388" s="1" t="s">
        <v>11176</v>
      </c>
      <c r="G388" s="1" t="s">
        <v>12103</v>
      </c>
      <c r="H388" s="1" t="s">
        <v>11177</v>
      </c>
      <c r="I388" s="1" t="s">
        <v>12718</v>
      </c>
      <c r="J388" s="12" t="str">
        <f t="shared" si="12"/>
        <v>(${Variables:E2_7_4_2_kcat} * E2_7_4_2 * C00002*C01107)/(${Variables:E2_7_4_2_km} + (E2_7_4_2 * C00002*C01107))</v>
      </c>
      <c r="K388" s="36" t="str">
        <f t="shared" si="13"/>
        <v>r387: C00002+C01107 -&gt; C00008+C01143 | (${Variables:E2_7_4_2_kcat} * E2_7_4_2 * C00002*C01107)/(${Variables:E2_7_4_2_km} + (E2_7_4_2 * C00002*C01107))</v>
      </c>
    </row>
    <row r="389" spans="1:11" ht="58" x14ac:dyDescent="0.35">
      <c r="A389" s="1" t="s">
        <v>1266</v>
      </c>
      <c r="B389" s="1" t="s">
        <v>1267</v>
      </c>
      <c r="C389" s="1" t="s">
        <v>9914</v>
      </c>
      <c r="D389" s="1">
        <v>388</v>
      </c>
      <c r="E389" s="1" t="str">
        <f>CONCATENATE("E",Reactions!C389)</f>
        <v>E2_7_4_22</v>
      </c>
      <c r="F389" s="1" t="s">
        <v>11166</v>
      </c>
      <c r="G389" s="1" t="s">
        <v>12098</v>
      </c>
      <c r="H389" s="1" t="s">
        <v>11167</v>
      </c>
      <c r="I389" s="1" t="s">
        <v>12713</v>
      </c>
      <c r="J389" s="12" t="str">
        <f t="shared" si="12"/>
        <v>(${Variables:E2_7_4_22_kcat} * E2_7_4_22 * C00002*C00105)/(${Variables:E2_7_4_22_km} + (E2_7_4_22 * C00002*C00105))</v>
      </c>
      <c r="K389" s="36" t="str">
        <f t="shared" si="13"/>
        <v>r388: C00002+C00105 -&gt; C00008+C00015 | (${Variables:E2_7_4_22_kcat} * E2_7_4_22 * C00002*C00105)/(${Variables:E2_7_4_22_km} + (E2_7_4_22 * C00002*C00105))</v>
      </c>
    </row>
    <row r="390" spans="1:11" ht="58" x14ac:dyDescent="0.35">
      <c r="A390" s="1" t="s">
        <v>5899</v>
      </c>
      <c r="B390" s="1" t="s">
        <v>5900</v>
      </c>
      <c r="C390" s="1" t="s">
        <v>9915</v>
      </c>
      <c r="D390" s="1">
        <v>389</v>
      </c>
      <c r="E390" s="1" t="str">
        <f>CONCATENATE("E",Reactions!C390)</f>
        <v>E2_7_4_3</v>
      </c>
      <c r="F390" s="1" t="s">
        <v>11178</v>
      </c>
      <c r="G390" s="1" t="s">
        <v>12104</v>
      </c>
      <c r="H390" s="1" t="s">
        <v>9066</v>
      </c>
      <c r="I390" s="1" t="s">
        <v>9066</v>
      </c>
      <c r="J390" s="12" t="str">
        <f t="shared" si="12"/>
        <v>(${Variables:E2_7_4_3_kcat} * E2_7_4_3 * C00002*C00020)/(${Variables:E2_7_4_3_km} + (E2_7_4_3 * C00002*C00020))</v>
      </c>
      <c r="K390" s="36" t="str">
        <f t="shared" si="13"/>
        <v>r389: C00002+C00020 -&gt; C00008 | (${Variables:E2_7_4_3_kcat} * E2_7_4_3 * C00002*C00020)/(${Variables:E2_7_4_3_km} + (E2_7_4_3 * C00002*C00020))</v>
      </c>
    </row>
    <row r="391" spans="1:11" ht="58" x14ac:dyDescent="0.35">
      <c r="A391" s="1" t="s">
        <v>5899</v>
      </c>
      <c r="B391" s="1" t="s">
        <v>5900</v>
      </c>
      <c r="C391" s="1" t="s">
        <v>9915</v>
      </c>
      <c r="D391" s="1">
        <v>390</v>
      </c>
      <c r="E391" s="1" t="str">
        <f>CONCATENATE("E",Reactions!C391)</f>
        <v>E2_7_4_3</v>
      </c>
      <c r="F391" s="1" t="s">
        <v>11179</v>
      </c>
      <c r="G391" s="1" t="s">
        <v>12105</v>
      </c>
      <c r="H391" s="1" t="s">
        <v>11180</v>
      </c>
      <c r="I391" s="1" t="s">
        <v>12719</v>
      </c>
      <c r="J391" s="12" t="str">
        <f t="shared" si="12"/>
        <v>(${Variables:E2_7_4_3_kcat} * E2_7_4_3 * C00002*C00360)/(${Variables:E2_7_4_3_km} + (E2_7_4_3 * C00002*C00360))</v>
      </c>
      <c r="K391" s="36" t="str">
        <f t="shared" si="13"/>
        <v>r390: C00002+C00360 -&gt; C00008+C00206 | (${Variables:E2_7_4_3_kcat} * E2_7_4_3 * C00002*C00360)/(${Variables:E2_7_4_3_km} + (E2_7_4_3 * C00002*C00360))</v>
      </c>
    </row>
    <row r="392" spans="1:11" ht="58" x14ac:dyDescent="0.35">
      <c r="A392" s="1" t="s">
        <v>5899</v>
      </c>
      <c r="B392" s="1" t="s">
        <v>5900</v>
      </c>
      <c r="C392" s="1" t="s">
        <v>9915</v>
      </c>
      <c r="D392" s="1">
        <v>391</v>
      </c>
      <c r="E392" s="1" t="str">
        <f>CONCATENATE("E",Reactions!C392)</f>
        <v>E2_7_4_3</v>
      </c>
      <c r="F392" s="1" t="s">
        <v>11181</v>
      </c>
      <c r="G392" s="1" t="s">
        <v>12106</v>
      </c>
      <c r="H392" s="1" t="s">
        <v>11182</v>
      </c>
      <c r="I392" s="1" t="s">
        <v>12720</v>
      </c>
      <c r="J392" s="12" t="str">
        <f t="shared" si="12"/>
        <v>(${Variables:E2_7_4_3_kcat} * E2_7_4_3 * C00068*C00008)/(${Variables:E2_7_4_3_km} + (E2_7_4_3 * C00068*C00008))</v>
      </c>
      <c r="K392" s="36" t="str">
        <f t="shared" si="13"/>
        <v>r391: C00068+C00008 -&gt; C03028+C00020 | (${Variables:E2_7_4_3_kcat} * E2_7_4_3 * C00068*C00008)/(${Variables:E2_7_4_3_km} + (E2_7_4_3 * C00068*C00008))</v>
      </c>
    </row>
    <row r="393" spans="1:11" ht="58" x14ac:dyDescent="0.35">
      <c r="A393" s="1" t="s">
        <v>3553</v>
      </c>
      <c r="B393" s="1" t="s">
        <v>3554</v>
      </c>
      <c r="C393" s="1" t="s">
        <v>9916</v>
      </c>
      <c r="D393" s="1">
        <v>392</v>
      </c>
      <c r="E393" s="1" t="str">
        <f>CONCATENATE("E",Reactions!C393)</f>
        <v>E2_7_4_6</v>
      </c>
      <c r="F393" s="1" t="s">
        <v>11183</v>
      </c>
      <c r="G393" s="1" t="s">
        <v>12107</v>
      </c>
      <c r="H393" s="1" t="s">
        <v>11184</v>
      </c>
      <c r="I393" s="1" t="s">
        <v>12721</v>
      </c>
      <c r="J393" s="12" t="str">
        <f t="shared" si="12"/>
        <v>(${Variables:E2_7_4_6_kcat} * E2_7_4_6 * C00002*C00454)/(${Variables:E2_7_4_6_km} + (E2_7_4_6 * C00002*C00454))</v>
      </c>
      <c r="K393" s="36" t="str">
        <f t="shared" si="13"/>
        <v>r392: C00002+C00454 -&gt; C00008+C00201 | (${Variables:E2_7_4_6_kcat} * E2_7_4_6 * C00002*C00454)/(${Variables:E2_7_4_6_km} + (E2_7_4_6 * C00002*C00454))</v>
      </c>
    </row>
    <row r="394" spans="1:11" ht="58" x14ac:dyDescent="0.35">
      <c r="A394" s="1" t="s">
        <v>3553</v>
      </c>
      <c r="B394" s="1" t="s">
        <v>3554</v>
      </c>
      <c r="C394" s="1" t="s">
        <v>9916</v>
      </c>
      <c r="D394" s="1">
        <v>393</v>
      </c>
      <c r="E394" s="1" t="str">
        <f>CONCATENATE("E",Reactions!C394)</f>
        <v>E2_7_4_6</v>
      </c>
      <c r="F394" s="1" t="s">
        <v>11185</v>
      </c>
      <c r="G394" s="1" t="s">
        <v>12108</v>
      </c>
      <c r="H394" s="1" t="s">
        <v>11186</v>
      </c>
      <c r="I394" s="1" t="s">
        <v>12722</v>
      </c>
      <c r="J394" s="12" t="str">
        <f t="shared" si="12"/>
        <v>(${Variables:E2_7_4_6_kcat} * E2_7_4_6 * C00002*C00008)/(${Variables:E2_7_4_6_km} + (E2_7_4_6 * C00002*C00008))</v>
      </c>
      <c r="K394" s="36" t="str">
        <f t="shared" si="13"/>
        <v>r393: C00002+C00008 -&gt; C00008+C00002 | (${Variables:E2_7_4_6_kcat} * E2_7_4_6 * C00002*C00008)/(${Variables:E2_7_4_6_km} + (E2_7_4_6 * C00002*C00008))</v>
      </c>
    </row>
    <row r="395" spans="1:11" ht="58" x14ac:dyDescent="0.35">
      <c r="A395" s="1" t="s">
        <v>3553</v>
      </c>
      <c r="B395" s="1" t="s">
        <v>3554</v>
      </c>
      <c r="C395" s="1" t="s">
        <v>9916</v>
      </c>
      <c r="D395" s="1">
        <v>394</v>
      </c>
      <c r="E395" s="1" t="str">
        <f>CONCATENATE("E",Reactions!C395)</f>
        <v>E2_7_4_6</v>
      </c>
      <c r="F395" s="1" t="s">
        <v>11187</v>
      </c>
      <c r="G395" s="1" t="s">
        <v>12109</v>
      </c>
      <c r="H395" s="1" t="s">
        <v>11188</v>
      </c>
      <c r="I395" s="1" t="s">
        <v>12723</v>
      </c>
      <c r="J395" s="12" t="str">
        <f t="shared" si="12"/>
        <v>(${Variables:E2_7_4_6_kcat} * E2_7_4_6 * C11038*C00002)/(${Variables:E2_7_4_6_km} + (E2_7_4_6 * C11038*C00002))</v>
      </c>
      <c r="K395" s="36" t="str">
        <f t="shared" si="13"/>
        <v>r394: C11038+C00002 -&gt; C11039+C00008 | (${Variables:E2_7_4_6_kcat} * E2_7_4_6 * C11038*C00002)/(${Variables:E2_7_4_6_km} + (E2_7_4_6 * C11038*C00002))</v>
      </c>
    </row>
    <row r="396" spans="1:11" ht="58" x14ac:dyDescent="0.35">
      <c r="A396" s="1" t="s">
        <v>3553</v>
      </c>
      <c r="B396" s="1" t="s">
        <v>3554</v>
      </c>
      <c r="C396" s="1" t="s">
        <v>9916</v>
      </c>
      <c r="D396" s="1">
        <v>395</v>
      </c>
      <c r="E396" s="1" t="str">
        <f>CONCATENATE("E",Reactions!C396)</f>
        <v>E2_7_4_6</v>
      </c>
      <c r="F396" s="1" t="s">
        <v>11189</v>
      </c>
      <c r="G396" s="1" t="s">
        <v>12110</v>
      </c>
      <c r="H396" s="1" t="s">
        <v>11190</v>
      </c>
      <c r="I396" s="1" t="s">
        <v>12724</v>
      </c>
      <c r="J396" s="12" t="str">
        <f t="shared" si="12"/>
        <v>(${Variables:E2_7_4_6_kcat} * E2_7_4_6 * C00002*C00015)/(${Variables:E2_7_4_6_km} + (E2_7_4_6 * C00002*C00015))</v>
      </c>
      <c r="K396" s="36" t="str">
        <f t="shared" si="13"/>
        <v>r395: C00002+C00015 -&gt; C00008+C00075 | (${Variables:E2_7_4_6_kcat} * E2_7_4_6 * C00002*C00015)/(${Variables:E2_7_4_6_km} + (E2_7_4_6 * C00002*C00015))</v>
      </c>
    </row>
    <row r="397" spans="1:11" ht="58" x14ac:dyDescent="0.35">
      <c r="A397" s="1" t="s">
        <v>3553</v>
      </c>
      <c r="B397" s="1" t="s">
        <v>3554</v>
      </c>
      <c r="C397" s="1" t="s">
        <v>9916</v>
      </c>
      <c r="D397" s="1">
        <v>396</v>
      </c>
      <c r="E397" s="1" t="str">
        <f>CONCATENATE("E",Reactions!C397)</f>
        <v>E2_7_4_6</v>
      </c>
      <c r="F397" s="1" t="s">
        <v>11191</v>
      </c>
      <c r="G397" s="1" t="s">
        <v>12111</v>
      </c>
      <c r="H397" s="1" t="s">
        <v>11192</v>
      </c>
      <c r="I397" s="1" t="s">
        <v>12725</v>
      </c>
      <c r="J397" s="12" t="str">
        <f t="shared" si="12"/>
        <v>(${Variables:E2_7_4_6_kcat} * E2_7_4_6 * C00002*C00035)/(${Variables:E2_7_4_6_km} + (E2_7_4_6 * C00002*C00035))</v>
      </c>
      <c r="K397" s="36" t="str">
        <f t="shared" si="13"/>
        <v>r396: C00002+C00035 -&gt; C00008+C00044 | (${Variables:E2_7_4_6_kcat} * E2_7_4_6 * C00002*C00035)/(${Variables:E2_7_4_6_km} + (E2_7_4_6 * C00002*C00035))</v>
      </c>
    </row>
    <row r="398" spans="1:11" ht="58" x14ac:dyDescent="0.35">
      <c r="A398" s="1" t="s">
        <v>3553</v>
      </c>
      <c r="B398" s="1" t="s">
        <v>3554</v>
      </c>
      <c r="C398" s="1" t="s">
        <v>9916</v>
      </c>
      <c r="D398" s="1">
        <v>397</v>
      </c>
      <c r="E398" s="1" t="str">
        <f>CONCATENATE("E",Reactions!C398)</f>
        <v>E2_7_4_6</v>
      </c>
      <c r="F398" s="1" t="s">
        <v>11193</v>
      </c>
      <c r="G398" s="1" t="s">
        <v>12112</v>
      </c>
      <c r="H398" s="1" t="s">
        <v>11194</v>
      </c>
      <c r="I398" s="1" t="s">
        <v>12726</v>
      </c>
      <c r="J398" s="12" t="str">
        <f t="shared" si="12"/>
        <v>(${Variables:E2_7_4_6_kcat} * E2_7_4_6 * C00002*C00112)/(${Variables:E2_7_4_6_km} + (E2_7_4_6 * C00002*C00112))</v>
      </c>
      <c r="K398" s="36" t="str">
        <f t="shared" si="13"/>
        <v>r397: C00002+C00112 -&gt; C00008+C00063 | (${Variables:E2_7_4_6_kcat} * E2_7_4_6 * C00002*C00112)/(${Variables:E2_7_4_6_km} + (E2_7_4_6 * C00002*C00112))</v>
      </c>
    </row>
    <row r="399" spans="1:11" ht="58" x14ac:dyDescent="0.35">
      <c r="A399" s="1" t="s">
        <v>3553</v>
      </c>
      <c r="B399" s="1" t="s">
        <v>3554</v>
      </c>
      <c r="C399" s="1" t="s">
        <v>9916</v>
      </c>
      <c r="D399" s="1">
        <v>398</v>
      </c>
      <c r="E399" s="1" t="str">
        <f>CONCATENATE("E",Reactions!C399)</f>
        <v>E2_7_4_6</v>
      </c>
      <c r="F399" s="1" t="s">
        <v>11195</v>
      </c>
      <c r="G399" s="1" t="s">
        <v>12113</v>
      </c>
      <c r="H399" s="1" t="s">
        <v>11196</v>
      </c>
      <c r="I399" s="1" t="s">
        <v>12727</v>
      </c>
      <c r="J399" s="12" t="str">
        <f t="shared" si="12"/>
        <v>(${Variables:E2_7_4_6_kcat} * E2_7_4_6 * C00002*C00104)/(${Variables:E2_7_4_6_km} + (E2_7_4_6 * C00002*C00104))</v>
      </c>
      <c r="K399" s="36" t="str">
        <f t="shared" si="13"/>
        <v>r398: C00002+C00104 -&gt; C00008+C00081 | (${Variables:E2_7_4_6_kcat} * E2_7_4_6 * C00002*C00104)/(${Variables:E2_7_4_6_km} + (E2_7_4_6 * C00002*C00104))</v>
      </c>
    </row>
    <row r="400" spans="1:11" ht="58" x14ac:dyDescent="0.35">
      <c r="A400" s="1" t="s">
        <v>3553</v>
      </c>
      <c r="B400" s="1" t="s">
        <v>3554</v>
      </c>
      <c r="C400" s="1" t="s">
        <v>9916</v>
      </c>
      <c r="D400" s="1">
        <v>399</v>
      </c>
      <c r="E400" s="1" t="str">
        <f>CONCATENATE("E",Reactions!C400)</f>
        <v>E2_7_4_6</v>
      </c>
      <c r="F400" s="1" t="s">
        <v>11197</v>
      </c>
      <c r="G400" s="1" t="s">
        <v>12114</v>
      </c>
      <c r="H400" s="1" t="s">
        <v>11198</v>
      </c>
      <c r="I400" s="1" t="s">
        <v>12728</v>
      </c>
      <c r="J400" s="12" t="str">
        <f t="shared" si="12"/>
        <v>(${Variables:E2_7_4_6_kcat} * E2_7_4_6 * C00002*C00206)/(${Variables:E2_7_4_6_km} + (E2_7_4_6 * C00002*C00206))</v>
      </c>
      <c r="K400" s="36" t="str">
        <f t="shared" si="13"/>
        <v>r399: C00002+C00206 -&gt; C00008+C00131 | (${Variables:E2_7_4_6_kcat} * E2_7_4_6 * C00002*C00206)/(${Variables:E2_7_4_6_km} + (E2_7_4_6 * C00002*C00206))</v>
      </c>
    </row>
    <row r="401" spans="1:11" ht="58" x14ac:dyDescent="0.35">
      <c r="A401" s="1" t="s">
        <v>3553</v>
      </c>
      <c r="B401" s="1" t="s">
        <v>3554</v>
      </c>
      <c r="C401" s="1" t="s">
        <v>9916</v>
      </c>
      <c r="D401" s="1">
        <v>400</v>
      </c>
      <c r="E401" s="1" t="str">
        <f>CONCATENATE("E",Reactions!C401)</f>
        <v>E2_7_4_6</v>
      </c>
      <c r="F401" s="1" t="s">
        <v>11199</v>
      </c>
      <c r="G401" s="1" t="s">
        <v>12115</v>
      </c>
      <c r="H401" s="1" t="s">
        <v>11200</v>
      </c>
      <c r="I401" s="1" t="s">
        <v>12729</v>
      </c>
      <c r="J401" s="12" t="str">
        <f t="shared" si="12"/>
        <v>(${Variables:E2_7_4_6_kcat} * E2_7_4_6 * C00002*C00361)/(${Variables:E2_7_4_6_km} + (E2_7_4_6 * C00002*C00361))</v>
      </c>
      <c r="K401" s="36" t="str">
        <f t="shared" si="13"/>
        <v>r400: C00002+C00361 -&gt; C00008+C00286 | (${Variables:E2_7_4_6_kcat} * E2_7_4_6 * C00002*C00361)/(${Variables:E2_7_4_6_km} + (E2_7_4_6 * C00002*C00361))</v>
      </c>
    </row>
    <row r="402" spans="1:11" ht="58" x14ac:dyDescent="0.35">
      <c r="A402" s="1" t="s">
        <v>3553</v>
      </c>
      <c r="B402" s="1" t="s">
        <v>3554</v>
      </c>
      <c r="C402" s="1" t="s">
        <v>9916</v>
      </c>
      <c r="D402" s="1">
        <v>401</v>
      </c>
      <c r="E402" s="1" t="str">
        <f>CONCATENATE("E",Reactions!C402)</f>
        <v>E2_7_4_6</v>
      </c>
      <c r="F402" s="1" t="s">
        <v>11201</v>
      </c>
      <c r="G402" s="1" t="s">
        <v>12116</v>
      </c>
      <c r="H402" s="1" t="s">
        <v>11202</v>
      </c>
      <c r="I402" s="1" t="s">
        <v>12730</v>
      </c>
      <c r="J402" s="12" t="str">
        <f t="shared" si="12"/>
        <v>(${Variables:E2_7_4_6_kcat} * E2_7_4_6 * C00002*C00363)/(${Variables:E2_7_4_6_km} + (E2_7_4_6 * C00002*C00363))</v>
      </c>
      <c r="K402" s="36" t="str">
        <f t="shared" si="13"/>
        <v>r401: C00002+C00363 -&gt; C00008+C00459 | (${Variables:E2_7_4_6_kcat} * E2_7_4_6 * C00002*C00363)/(${Variables:E2_7_4_6_km} + (E2_7_4_6 * C00002*C00363))</v>
      </c>
    </row>
    <row r="403" spans="1:11" ht="58" x14ac:dyDescent="0.35">
      <c r="A403" s="1" t="s">
        <v>3553</v>
      </c>
      <c r="B403" s="1" t="s">
        <v>3554</v>
      </c>
      <c r="C403" s="1" t="s">
        <v>9916</v>
      </c>
      <c r="D403" s="1">
        <v>402</v>
      </c>
      <c r="E403" s="1" t="str">
        <f>CONCATENATE("E",Reactions!C403)</f>
        <v>E2_7_4_6</v>
      </c>
      <c r="F403" s="1" t="s">
        <v>11203</v>
      </c>
      <c r="G403" s="1" t="s">
        <v>12117</v>
      </c>
      <c r="H403" s="1" t="s">
        <v>11204</v>
      </c>
      <c r="I403" s="1" t="s">
        <v>12731</v>
      </c>
      <c r="J403" s="12" t="str">
        <f t="shared" si="12"/>
        <v>(${Variables:E2_7_4_6_kcat} * E2_7_4_6 * C00002*C00705)/(${Variables:E2_7_4_6_km} + (E2_7_4_6 * C00002*C00705))</v>
      </c>
      <c r="K403" s="36" t="str">
        <f t="shared" si="13"/>
        <v>r402: C00002+C00705 -&gt; C00008+C00458 | (${Variables:E2_7_4_6_kcat} * E2_7_4_6 * C00002*C00705)/(${Variables:E2_7_4_6_km} + (E2_7_4_6 * C00002*C00705))</v>
      </c>
    </row>
    <row r="404" spans="1:11" ht="58" x14ac:dyDescent="0.35">
      <c r="A404" s="1" t="s">
        <v>3553</v>
      </c>
      <c r="B404" s="1" t="s">
        <v>3554</v>
      </c>
      <c r="C404" s="1" t="s">
        <v>9916</v>
      </c>
      <c r="D404" s="1">
        <v>403</v>
      </c>
      <c r="E404" s="1" t="str">
        <f>CONCATENATE("E",Reactions!C404)</f>
        <v>E2_7_4_6</v>
      </c>
      <c r="F404" s="1" t="s">
        <v>11205</v>
      </c>
      <c r="G404" s="1" t="s">
        <v>12118</v>
      </c>
      <c r="H404" s="1" t="s">
        <v>11206</v>
      </c>
      <c r="I404" s="1" t="s">
        <v>12732</v>
      </c>
      <c r="J404" s="12" t="str">
        <f t="shared" si="12"/>
        <v>(${Variables:E2_7_4_6_kcat} * E2_7_4_6 * C00002*C01346)/(${Variables:E2_7_4_6_km} + (E2_7_4_6 * C00002*C01346))</v>
      </c>
      <c r="K404" s="36" t="str">
        <f t="shared" si="13"/>
        <v>r403: C00002+C01346 -&gt; C00008+C00460 | (${Variables:E2_7_4_6_kcat} * E2_7_4_6 * C00002*C01346)/(${Variables:E2_7_4_6_km} + (E2_7_4_6 * C00002*C01346))</v>
      </c>
    </row>
    <row r="405" spans="1:11" ht="58" x14ac:dyDescent="0.35">
      <c r="A405" s="1" t="s">
        <v>3553</v>
      </c>
      <c r="B405" s="1" t="s">
        <v>3554</v>
      </c>
      <c r="C405" s="1" t="s">
        <v>9916</v>
      </c>
      <c r="D405" s="1">
        <v>404</v>
      </c>
      <c r="E405" s="1" t="str">
        <f>CONCATENATE("E",Reactions!C405)</f>
        <v>E2_7_4_6</v>
      </c>
      <c r="F405" s="1" t="s">
        <v>11207</v>
      </c>
      <c r="G405" s="1" t="s">
        <v>12119</v>
      </c>
      <c r="H405" s="1" t="s">
        <v>11208</v>
      </c>
      <c r="I405" s="1" t="s">
        <v>12733</v>
      </c>
      <c r="J405" s="12" t="str">
        <f t="shared" si="12"/>
        <v>(${Variables:E2_7_4_6_kcat} * E2_7_4_6 * C00002*C01344)/(${Variables:E2_7_4_6_km} + (E2_7_4_6 * C00002*C01344))</v>
      </c>
      <c r="K405" s="36" t="str">
        <f t="shared" si="13"/>
        <v>r404: C00002+C01344 -&gt; C00008+C01345 | (${Variables:E2_7_4_6_kcat} * E2_7_4_6 * C00002*C01344)/(${Variables:E2_7_4_6_km} + (E2_7_4_6 * C00002*C01344))</v>
      </c>
    </row>
    <row r="406" spans="1:11" ht="58" x14ac:dyDescent="0.35">
      <c r="A406" s="1" t="s">
        <v>3553</v>
      </c>
      <c r="B406" s="1" t="s">
        <v>3554</v>
      </c>
      <c r="C406" s="1" t="s">
        <v>9916</v>
      </c>
      <c r="D406" s="1">
        <v>405</v>
      </c>
      <c r="E406" s="1" t="str">
        <f>CONCATENATE("E",Reactions!C406)</f>
        <v>E2_7_4_6</v>
      </c>
      <c r="F406" s="1" t="s">
        <v>11209</v>
      </c>
      <c r="G406" s="1" t="s">
        <v>12120</v>
      </c>
      <c r="H406" s="1" t="s">
        <v>11210</v>
      </c>
      <c r="I406" s="1" t="s">
        <v>12734</v>
      </c>
      <c r="J406" s="12" t="str">
        <f t="shared" si="12"/>
        <v>(${Variables:E2_7_4_6_kcat} * E2_7_4_6 * C22442*C00002)/(${Variables:E2_7_4_6_km} + (E2_7_4_6 * C22442*C00002))</v>
      </c>
      <c r="K406" s="36" t="str">
        <f t="shared" si="13"/>
        <v>r405: C22442+C00002 -&gt; C22443+C00008 | (${Variables:E2_7_4_6_kcat} * E2_7_4_6 * C22442*C00002)/(${Variables:E2_7_4_6_km} + (E2_7_4_6 * C22442*C00002))</v>
      </c>
    </row>
    <row r="407" spans="1:11" ht="58" x14ac:dyDescent="0.35">
      <c r="A407" s="1" t="s">
        <v>3553</v>
      </c>
      <c r="B407" s="1" t="s">
        <v>3554</v>
      </c>
      <c r="C407" s="1" t="s">
        <v>9916</v>
      </c>
      <c r="D407" s="1">
        <v>406</v>
      </c>
      <c r="E407" s="1" t="str">
        <f>CONCATENATE("E",Reactions!C407)</f>
        <v>E2_7_4_6</v>
      </c>
      <c r="F407" s="1" t="s">
        <v>11211</v>
      </c>
      <c r="G407" s="1" t="s">
        <v>12121</v>
      </c>
      <c r="H407" s="1" t="s">
        <v>11212</v>
      </c>
      <c r="I407" s="1" t="s">
        <v>12735</v>
      </c>
      <c r="J407" s="12" t="str">
        <f t="shared" si="12"/>
        <v>(${Variables:E2_7_4_6_kcat} * E2_7_4_6 * C00002*C21748)/(${Variables:E2_7_4_6_km} + (E2_7_4_6 * C00002*C21748))</v>
      </c>
      <c r="K407" s="36" t="str">
        <f t="shared" si="13"/>
        <v>r406: C00002+C21748 -&gt; C00008+C21749 | (${Variables:E2_7_4_6_kcat} * E2_7_4_6 * C00002*C21748)/(${Variables:E2_7_4_6_km} + (E2_7_4_6 * C00002*C21748))</v>
      </c>
    </row>
    <row r="408" spans="1:11" ht="58" x14ac:dyDescent="0.35">
      <c r="A408" s="1" t="s">
        <v>3553</v>
      </c>
      <c r="B408" s="1" t="s">
        <v>3554</v>
      </c>
      <c r="C408" s="1" t="s">
        <v>9916</v>
      </c>
      <c r="D408" s="1">
        <v>407</v>
      </c>
      <c r="E408" s="1" t="str">
        <f>CONCATENATE("E",Reactions!C408)</f>
        <v>E2_7_4_6</v>
      </c>
      <c r="F408" s="1" t="s">
        <v>11213</v>
      </c>
      <c r="G408" s="1" t="s">
        <v>12122</v>
      </c>
      <c r="H408" s="1" t="s">
        <v>11214</v>
      </c>
      <c r="I408" s="1" t="s">
        <v>12736</v>
      </c>
      <c r="J408" s="12" t="str">
        <f t="shared" si="12"/>
        <v>(${Variables:E2_7_4_6_kcat} * E2_7_4_6 * C00002*C21750)/(${Variables:E2_7_4_6_km} + (E2_7_4_6 * C00002*C21750))</v>
      </c>
      <c r="K408" s="36" t="str">
        <f t="shared" si="13"/>
        <v>r407: C00002+C21750 -&gt; C00008+C21751 | (${Variables:E2_7_4_6_kcat} * E2_7_4_6 * C00002*C21750)/(${Variables:E2_7_4_6_km} + (E2_7_4_6 * C00002*C21750))</v>
      </c>
    </row>
    <row r="409" spans="1:11" ht="58" x14ac:dyDescent="0.35">
      <c r="A409" s="1" t="s">
        <v>440</v>
      </c>
      <c r="B409" s="1" t="s">
        <v>441</v>
      </c>
      <c r="C409" s="1" t="s">
        <v>9917</v>
      </c>
      <c r="D409" s="1">
        <v>408</v>
      </c>
      <c r="E409" s="1" t="str">
        <f>CONCATENATE("E",Reactions!C409)</f>
        <v>E2_7_4_7</v>
      </c>
      <c r="F409" s="1" t="s">
        <v>11215</v>
      </c>
      <c r="G409" s="1" t="s">
        <v>12123</v>
      </c>
      <c r="H409" s="1" t="s">
        <v>11216</v>
      </c>
      <c r="I409" s="1" t="s">
        <v>12737</v>
      </c>
      <c r="J409" s="12" t="str">
        <f t="shared" si="12"/>
        <v>(${Variables:E2_7_4_7_kcat} * E2_7_4_7 * C00002*C04556)/(${Variables:E2_7_4_7_km} + (E2_7_4_7 * C00002*C04556))</v>
      </c>
      <c r="K409" s="36" t="str">
        <f t="shared" si="13"/>
        <v>r408: C00002+C04556 -&gt; C00008+C04752 | (${Variables:E2_7_4_7_kcat} * E2_7_4_7 * C00002*C04556)/(${Variables:E2_7_4_7_km} + (E2_7_4_7 * C00002*C04556))</v>
      </c>
    </row>
    <row r="410" spans="1:11" ht="58" x14ac:dyDescent="0.35">
      <c r="A410" s="1" t="s">
        <v>4514</v>
      </c>
      <c r="B410" s="1" t="s">
        <v>4515</v>
      </c>
      <c r="C410" s="1" t="s">
        <v>9918</v>
      </c>
      <c r="D410" s="1">
        <v>409</v>
      </c>
      <c r="E410" s="1" t="str">
        <f>CONCATENATE("E",Reactions!C410)</f>
        <v>E2_7_4_8</v>
      </c>
      <c r="F410" s="1" t="s">
        <v>11217</v>
      </c>
      <c r="G410" s="1" t="s">
        <v>12124</v>
      </c>
      <c r="H410" s="1" t="s">
        <v>11218</v>
      </c>
      <c r="I410" s="1" t="s">
        <v>12738</v>
      </c>
      <c r="J410" s="12" t="str">
        <f t="shared" si="12"/>
        <v>(${Variables:E2_7_4_8_kcat} * E2_7_4_8 * C00002*C00144)/(${Variables:E2_7_4_8_km} + (E2_7_4_8 * C00002*C00144))</v>
      </c>
      <c r="K410" s="36" t="str">
        <f t="shared" si="13"/>
        <v>r409: C00002+C00144 -&gt; C00008+C00035 | (${Variables:E2_7_4_8_kcat} * E2_7_4_8 * C00002*C00144)/(${Variables:E2_7_4_8_km} + (E2_7_4_8 * C00002*C00144))</v>
      </c>
    </row>
    <row r="411" spans="1:11" ht="58" x14ac:dyDescent="0.35">
      <c r="A411" s="1" t="s">
        <v>4514</v>
      </c>
      <c r="B411" s="1" t="s">
        <v>4515</v>
      </c>
      <c r="C411" s="1" t="s">
        <v>9918</v>
      </c>
      <c r="D411" s="1">
        <v>410</v>
      </c>
      <c r="E411" s="1" t="str">
        <f>CONCATENATE("E",Reactions!C411)</f>
        <v>E2_7_4_8</v>
      </c>
      <c r="F411" s="1" t="s">
        <v>11219</v>
      </c>
      <c r="G411" s="1" t="s">
        <v>12125</v>
      </c>
      <c r="H411" s="1" t="s">
        <v>11220</v>
      </c>
      <c r="I411" s="1" t="s">
        <v>12739</v>
      </c>
      <c r="J411" s="12" t="str">
        <f t="shared" si="12"/>
        <v>(${Variables:E2_7_4_8_kcat} * E2_7_4_8 * C00002*C00362)/(${Variables:E2_7_4_8_km} + (E2_7_4_8 * C00002*C00362))</v>
      </c>
      <c r="K411" s="36" t="str">
        <f t="shared" si="13"/>
        <v>r410: C00002+C00362 -&gt; C00008+C00361 | (${Variables:E2_7_4_8_kcat} * E2_7_4_8 * C00002*C00362)/(${Variables:E2_7_4_8_km} + (E2_7_4_8 * C00002*C00362))</v>
      </c>
    </row>
    <row r="412" spans="1:11" ht="58" x14ac:dyDescent="0.35">
      <c r="A412" s="1" t="s">
        <v>4514</v>
      </c>
      <c r="B412" s="1" t="s">
        <v>4515</v>
      </c>
      <c r="C412" s="1" t="s">
        <v>9918</v>
      </c>
      <c r="D412" s="1">
        <v>411</v>
      </c>
      <c r="E412" s="1" t="str">
        <f>CONCATENATE("E",Reactions!C412)</f>
        <v>E2_7_4_8</v>
      </c>
      <c r="F412" s="1" t="s">
        <v>11221</v>
      </c>
      <c r="G412" s="1" t="s">
        <v>12126</v>
      </c>
      <c r="H412" s="1" t="s">
        <v>11222</v>
      </c>
      <c r="I412" s="1" t="s">
        <v>12740</v>
      </c>
      <c r="J412" s="12" t="str">
        <f t="shared" si="12"/>
        <v>(${Variables:E2_7_4_8_kcat} * E2_7_4_8 * C22441*C00002)/(${Variables:E2_7_4_8_km} + (E2_7_4_8 * C22441*C00002))</v>
      </c>
      <c r="K412" s="36" t="str">
        <f t="shared" si="13"/>
        <v>r411: C22441+C00002 -&gt; C22442+C00008 | (${Variables:E2_7_4_8_kcat} * E2_7_4_8 * C22441*C00002)/(${Variables:E2_7_4_8_km} + (E2_7_4_8 * C22441*C00002))</v>
      </c>
    </row>
    <row r="413" spans="1:11" ht="58" x14ac:dyDescent="0.35">
      <c r="A413" s="1" t="s">
        <v>1444</v>
      </c>
      <c r="B413" s="1" t="s">
        <v>1445</v>
      </c>
      <c r="C413" s="1" t="s">
        <v>9919</v>
      </c>
      <c r="D413" s="1">
        <v>412</v>
      </c>
      <c r="E413" s="1" t="str">
        <f>CONCATENATE("E",Reactions!C413)</f>
        <v>E2_7_4_9</v>
      </c>
      <c r="F413" s="1" t="s">
        <v>11223</v>
      </c>
      <c r="G413" s="1" t="s">
        <v>12127</v>
      </c>
      <c r="H413" s="1" t="s">
        <v>11224</v>
      </c>
      <c r="I413" s="1" t="s">
        <v>12741</v>
      </c>
      <c r="J413" s="12" t="str">
        <f t="shared" si="12"/>
        <v>(${Variables:E2_7_4_9_kcat} * E2_7_4_9 * C00002*C00364)/(${Variables:E2_7_4_9_km} + (E2_7_4_9 * C00002*C00364))</v>
      </c>
      <c r="K413" s="36" t="str">
        <f t="shared" si="13"/>
        <v>r412: C00002+C00364 -&gt; C00008+C00363 | (${Variables:E2_7_4_9_kcat} * E2_7_4_9 * C00002*C00364)/(${Variables:E2_7_4_9_km} + (E2_7_4_9 * C00002*C00364))</v>
      </c>
    </row>
    <row r="414" spans="1:11" ht="58" x14ac:dyDescent="0.35">
      <c r="A414" s="1" t="s">
        <v>1444</v>
      </c>
      <c r="B414" s="1" t="s">
        <v>1445</v>
      </c>
      <c r="C414" s="1" t="s">
        <v>9919</v>
      </c>
      <c r="D414" s="1">
        <v>413</v>
      </c>
      <c r="E414" s="1" t="str">
        <f>CONCATENATE("E",Reactions!C414)</f>
        <v>E2_7_4_9</v>
      </c>
      <c r="F414" s="1" t="s">
        <v>11225</v>
      </c>
      <c r="G414" s="1" t="s">
        <v>12128</v>
      </c>
      <c r="H414" s="1" t="s">
        <v>11226</v>
      </c>
      <c r="I414" s="1" t="s">
        <v>12742</v>
      </c>
      <c r="J414" s="12" t="str">
        <f t="shared" si="12"/>
        <v>(${Variables:E2_7_4_9_kcat} * E2_7_4_9 * C00002*C00365)/(${Variables:E2_7_4_9_km} + (E2_7_4_9 * C00002*C00365))</v>
      </c>
      <c r="K414" s="36" t="str">
        <f t="shared" si="13"/>
        <v>r413: C00002+C00365 -&gt; C00008+C01346 | (${Variables:E2_7_4_9_kcat} * E2_7_4_9 * C00002*C00365)/(${Variables:E2_7_4_9_km} + (E2_7_4_9 * C00002*C00365))</v>
      </c>
    </row>
    <row r="415" spans="1:11" ht="58" x14ac:dyDescent="0.35">
      <c r="A415" s="1" t="s">
        <v>126</v>
      </c>
      <c r="B415" s="1" t="s">
        <v>127</v>
      </c>
      <c r="C415" s="1" t="s">
        <v>9920</v>
      </c>
      <c r="D415" s="1">
        <v>414</v>
      </c>
      <c r="E415" s="1" t="str">
        <f>CONCATENATE("E",Reactions!C415)</f>
        <v>E2_7_6_1</v>
      </c>
      <c r="F415" s="1" t="s">
        <v>11227</v>
      </c>
      <c r="G415" s="1" t="s">
        <v>12129</v>
      </c>
      <c r="H415" s="1" t="s">
        <v>11228</v>
      </c>
      <c r="I415" s="1" t="s">
        <v>12743</v>
      </c>
      <c r="J415" s="12" t="str">
        <f t="shared" si="12"/>
        <v>(${Variables:E2_7_6_1_kcat} * E2_7_6_1 * C00002*C00117)/(${Variables:E2_7_6_1_km} + (E2_7_6_1 * C00002*C00117))</v>
      </c>
      <c r="K415" s="36" t="str">
        <f t="shared" si="13"/>
        <v>r414: C00002+C00117 -&gt; C00020+C00119 | (${Variables:E2_7_6_1_kcat} * E2_7_6_1 * C00002*C00117)/(${Variables:E2_7_6_1_km} + (E2_7_6_1 * C00002*C00117))</v>
      </c>
    </row>
    <row r="416" spans="1:11" ht="58" x14ac:dyDescent="0.35">
      <c r="A416" s="1" t="s">
        <v>5564</v>
      </c>
      <c r="B416" s="1" t="s">
        <v>5565</v>
      </c>
      <c r="C416" s="1" t="s">
        <v>9921</v>
      </c>
      <c r="D416" s="1">
        <v>415</v>
      </c>
      <c r="E416" s="1" t="str">
        <f>CONCATENATE("E",Reactions!C416)</f>
        <v>E2_7_6_2</v>
      </c>
      <c r="F416" s="1" t="s">
        <v>11229</v>
      </c>
      <c r="G416" s="1" t="s">
        <v>12130</v>
      </c>
      <c r="H416" s="1" t="s">
        <v>11230</v>
      </c>
      <c r="I416" s="1" t="s">
        <v>12744</v>
      </c>
      <c r="J416" s="12" t="str">
        <f t="shared" si="12"/>
        <v>(${Variables:E2_7_6_2_kcat} * E2_7_6_2 * C00002*C00378)/(${Variables:E2_7_6_2_km} + (E2_7_6_2 * C00002*C00378))</v>
      </c>
      <c r="K416" s="36" t="str">
        <f t="shared" si="13"/>
        <v>r415: C00002+C00378 -&gt; C00020+C00068 | (${Variables:E2_7_6_2_kcat} * E2_7_6_2 * C00002*C00378)/(${Variables:E2_7_6_2_km} + (E2_7_6_2 * C00002*C00378))</v>
      </c>
    </row>
    <row r="417" spans="1:11" ht="58" x14ac:dyDescent="0.35">
      <c r="A417" s="1" t="s">
        <v>4770</v>
      </c>
      <c r="B417" s="1" t="s">
        <v>4771</v>
      </c>
      <c r="C417" s="1" t="s">
        <v>9922</v>
      </c>
      <c r="D417" s="1">
        <v>416</v>
      </c>
      <c r="E417" s="1" t="str">
        <f>CONCATENATE("E",Reactions!C417)</f>
        <v>E2_7_6_3</v>
      </c>
      <c r="F417" s="1" t="s">
        <v>11231</v>
      </c>
      <c r="G417" s="1" t="s">
        <v>12131</v>
      </c>
      <c r="H417" s="1" t="s">
        <v>11232</v>
      </c>
      <c r="I417" s="1" t="s">
        <v>12745</v>
      </c>
      <c r="J417" s="12" t="str">
        <f t="shared" si="12"/>
        <v>(${Variables:E2_7_6_3_kcat} * E2_7_6_3 * C00002*C01300)/(${Variables:E2_7_6_3_km} + (E2_7_6_3 * C00002*C01300))</v>
      </c>
      <c r="K417" s="36" t="str">
        <f t="shared" si="13"/>
        <v>r416: C00002+C01300 -&gt; C00020+C04807 | (${Variables:E2_7_6_3_kcat} * E2_7_6_3 * C00002*C01300)/(${Variables:E2_7_6_3_km} + (E2_7_6_3 * C00002*C01300))</v>
      </c>
    </row>
    <row r="418" spans="1:11" ht="58" x14ac:dyDescent="0.35">
      <c r="A418" s="1" t="s">
        <v>504</v>
      </c>
      <c r="B418" s="1" t="s">
        <v>505</v>
      </c>
      <c r="C418" s="1" t="s">
        <v>9923</v>
      </c>
      <c r="D418" s="1">
        <v>417</v>
      </c>
      <c r="E418" s="1" t="str">
        <f>CONCATENATE("E",Reactions!C418)</f>
        <v>E2_7_6_5</v>
      </c>
      <c r="F418" s="1" t="s">
        <v>11233</v>
      </c>
      <c r="G418" s="1" t="s">
        <v>12132</v>
      </c>
      <c r="H418" s="1" t="s">
        <v>11234</v>
      </c>
      <c r="I418" s="1" t="s">
        <v>12746</v>
      </c>
      <c r="J418" s="12" t="str">
        <f t="shared" si="12"/>
        <v>(${Variables:E2_7_6_5_kcat} * E2_7_6_5 * C00002*C00044)/(${Variables:E2_7_6_5_km} + (E2_7_6_5 * C00002*C00044))</v>
      </c>
      <c r="K418" s="36" t="str">
        <f t="shared" si="13"/>
        <v>r417: C00002+C00044 -&gt; C00020+C04494 | (${Variables:E2_7_6_5_kcat} * E2_7_6_5 * C00002*C00044)/(${Variables:E2_7_6_5_km} + (E2_7_6_5 * C00002*C00044))</v>
      </c>
    </row>
    <row r="419" spans="1:11" ht="58" x14ac:dyDescent="0.35">
      <c r="A419" s="1" t="s">
        <v>1229</v>
      </c>
      <c r="B419" s="1" t="s">
        <v>1230</v>
      </c>
      <c r="C419" s="1" t="s">
        <v>9924</v>
      </c>
      <c r="D419" s="1">
        <v>418</v>
      </c>
      <c r="E419" s="1" t="str">
        <f>CONCATENATE("E",Reactions!C419)</f>
        <v>E2_7_7_1</v>
      </c>
      <c r="F419" s="1" t="s">
        <v>11235</v>
      </c>
      <c r="G419" s="1" t="s">
        <v>12133</v>
      </c>
      <c r="H419" s="1" t="s">
        <v>11236</v>
      </c>
      <c r="I419" s="1" t="s">
        <v>12747</v>
      </c>
      <c r="J419" s="12" t="str">
        <f t="shared" si="12"/>
        <v>(${Variables:E2_7_7_1_kcat} * E2_7_7_1 * C00002*C00455)/(${Variables:E2_7_7_1_km} + (E2_7_7_1 * C00002*C00455))</v>
      </c>
      <c r="K419" s="36" t="str">
        <f t="shared" si="13"/>
        <v>r418: C00002+C00455 -&gt; C00013+C00003 | (${Variables:E2_7_7_1_kcat} * E2_7_7_1 * C00002*C00455)/(${Variables:E2_7_7_1_km} + (E2_7_7_1 * C00002*C00455))</v>
      </c>
    </row>
    <row r="420" spans="1:11" ht="58" x14ac:dyDescent="0.35">
      <c r="A420" s="1" t="s">
        <v>1229</v>
      </c>
      <c r="B420" s="1" t="s">
        <v>1230</v>
      </c>
      <c r="C420" s="1" t="s">
        <v>9924</v>
      </c>
      <c r="D420" s="1">
        <v>419</v>
      </c>
      <c r="E420" s="1" t="str">
        <f>CONCATENATE("E",Reactions!C420)</f>
        <v>E2_7_7_1</v>
      </c>
      <c r="F420" s="1" t="s">
        <v>11237</v>
      </c>
      <c r="G420" s="1" t="s">
        <v>12134</v>
      </c>
      <c r="H420" s="1" t="s">
        <v>11238</v>
      </c>
      <c r="I420" s="1" t="s">
        <v>12748</v>
      </c>
      <c r="J420" s="12" t="str">
        <f t="shared" si="12"/>
        <v>(${Variables:E2_7_7_1_kcat} * E2_7_7_1 * C00002*C01185)/(${Variables:E2_7_7_1_km} + (E2_7_7_1 * C00002*C01185))</v>
      </c>
      <c r="K420" s="36" t="str">
        <f t="shared" si="13"/>
        <v>r419: C00002+C01185 -&gt; C00013+C00857 | (${Variables:E2_7_7_1_kcat} * E2_7_7_1 * C00002*C01185)/(${Variables:E2_7_7_1_km} + (E2_7_7_1 * C00002*C01185))</v>
      </c>
    </row>
    <row r="421" spans="1:11" ht="58" x14ac:dyDescent="0.35">
      <c r="A421" s="1" t="s">
        <v>4217</v>
      </c>
      <c r="B421" s="1" t="s">
        <v>4218</v>
      </c>
      <c r="C421" s="1" t="s">
        <v>9925</v>
      </c>
      <c r="D421" s="1">
        <v>420</v>
      </c>
      <c r="E421" s="1" t="str">
        <f>CONCATENATE("E",Reactions!C421)</f>
        <v>E2_7_7_12</v>
      </c>
      <c r="F421" s="1" t="s">
        <v>11239</v>
      </c>
      <c r="G421" s="1" t="s">
        <v>12135</v>
      </c>
      <c r="H421" s="1" t="s">
        <v>11240</v>
      </c>
      <c r="I421" s="1" t="s">
        <v>12749</v>
      </c>
      <c r="J421" s="12" t="str">
        <f t="shared" si="12"/>
        <v>(${Variables:E2_7_7_12_kcat} * E2_7_7_12 * C00029*C00446)/(${Variables:E2_7_7_12_km} + (E2_7_7_12 * C00029*C00446))</v>
      </c>
      <c r="K421" s="36" t="str">
        <f t="shared" si="13"/>
        <v>r420: C00029+C00446 -&gt; C00103+C00052 | (${Variables:E2_7_7_12_kcat} * E2_7_7_12 * C00029*C00446)/(${Variables:E2_7_7_12_km} + (E2_7_7_12 * C00029*C00446))</v>
      </c>
    </row>
    <row r="422" spans="1:11" ht="58" x14ac:dyDescent="0.35">
      <c r="A422" s="1" t="s">
        <v>5060</v>
      </c>
      <c r="B422" s="1" t="s">
        <v>5061</v>
      </c>
      <c r="C422" s="1" t="s">
        <v>9926</v>
      </c>
      <c r="D422" s="1">
        <v>421</v>
      </c>
      <c r="E422" s="1" t="str">
        <f>CONCATENATE("E",Reactions!C422)</f>
        <v>E2_7_7_18</v>
      </c>
      <c r="F422" s="1" t="s">
        <v>11237</v>
      </c>
      <c r="G422" s="1" t="s">
        <v>12134</v>
      </c>
      <c r="H422" s="1" t="s">
        <v>11238</v>
      </c>
      <c r="I422" s="1" t="s">
        <v>12748</v>
      </c>
      <c r="J422" s="12" t="str">
        <f t="shared" si="12"/>
        <v>(${Variables:E2_7_7_18_kcat} * E2_7_7_18 * C00002*C01185)/(${Variables:E2_7_7_18_km} + (E2_7_7_18 * C00002*C01185))</v>
      </c>
      <c r="K422" s="36" t="str">
        <f t="shared" si="13"/>
        <v>r421: C00002+C01185 -&gt; C00013+C00857 | (${Variables:E2_7_7_18_kcat} * E2_7_7_18 * C00002*C01185)/(${Variables:E2_7_7_18_km} + (E2_7_7_18 * C00002*C01185))</v>
      </c>
    </row>
    <row r="423" spans="1:11" ht="58" x14ac:dyDescent="0.35">
      <c r="A423" s="1" t="s">
        <v>5060</v>
      </c>
      <c r="B423" s="1" t="s">
        <v>5061</v>
      </c>
      <c r="C423" s="1" t="s">
        <v>9926</v>
      </c>
      <c r="D423" s="1">
        <v>422</v>
      </c>
      <c r="E423" s="1" t="str">
        <f>CONCATENATE("E",Reactions!C423)</f>
        <v>E2_7_7_18</v>
      </c>
      <c r="F423" s="1" t="s">
        <v>11235</v>
      </c>
      <c r="G423" s="1" t="s">
        <v>12133</v>
      </c>
      <c r="H423" s="1" t="s">
        <v>11236</v>
      </c>
      <c r="I423" s="1" t="s">
        <v>12747</v>
      </c>
      <c r="J423" s="12" t="str">
        <f t="shared" si="12"/>
        <v>(${Variables:E2_7_7_18_kcat} * E2_7_7_18 * C00002*C00455)/(${Variables:E2_7_7_18_km} + (E2_7_7_18 * C00002*C00455))</v>
      </c>
      <c r="K423" s="36" t="str">
        <f t="shared" si="13"/>
        <v>r422: C00002+C00455 -&gt; C00013+C00003 | (${Variables:E2_7_7_18_kcat} * E2_7_7_18 * C00002*C00455)/(${Variables:E2_7_7_18_km} + (E2_7_7_18 * C00002*C00455))</v>
      </c>
    </row>
    <row r="424" spans="1:11" ht="58" x14ac:dyDescent="0.35">
      <c r="A424" s="1" t="s">
        <v>3325</v>
      </c>
      <c r="B424" s="1" t="s">
        <v>3326</v>
      </c>
      <c r="C424" s="1" t="s">
        <v>9927</v>
      </c>
      <c r="D424" s="1">
        <v>423</v>
      </c>
      <c r="E424" s="1" t="str">
        <f>CONCATENATE("E",Reactions!C424)</f>
        <v>E2_7_7_2</v>
      </c>
      <c r="F424" s="1" t="s">
        <v>11241</v>
      </c>
      <c r="G424" s="1" t="s">
        <v>12136</v>
      </c>
      <c r="H424" s="1" t="s">
        <v>11242</v>
      </c>
      <c r="I424" s="1" t="s">
        <v>12750</v>
      </c>
      <c r="J424" s="12" t="str">
        <f t="shared" si="12"/>
        <v>(${Variables:E2_7_7_2_kcat} * E2_7_7_2 * C00002*C00061)/(${Variables:E2_7_7_2_km} + (E2_7_7_2 * C00002*C00061))</v>
      </c>
      <c r="K424" s="36" t="str">
        <f t="shared" si="13"/>
        <v>r423: C00002+C00061 -&gt; C00013+C00016 | (${Variables:E2_7_7_2_kcat} * E2_7_7_2 * C00002*C00061)/(${Variables:E2_7_7_2_km} + (E2_7_7_2 * C00002*C00061))</v>
      </c>
    </row>
    <row r="425" spans="1:11" ht="58" x14ac:dyDescent="0.35">
      <c r="A425" s="1" t="s">
        <v>2482</v>
      </c>
      <c r="B425" s="1" t="s">
        <v>2483</v>
      </c>
      <c r="C425" s="1" t="s">
        <v>9928</v>
      </c>
      <c r="D425" s="1">
        <v>424</v>
      </c>
      <c r="E425" s="1" t="str">
        <f>CONCATENATE("E",Reactions!C425)</f>
        <v>E2_7_7_24</v>
      </c>
      <c r="F425" s="1" t="s">
        <v>11243</v>
      </c>
      <c r="G425" s="1" t="s">
        <v>12137</v>
      </c>
      <c r="H425" s="1" t="s">
        <v>11244</v>
      </c>
      <c r="I425" s="1" t="s">
        <v>12751</v>
      </c>
      <c r="J425" s="12" t="str">
        <f t="shared" si="12"/>
        <v>(${Variables:E2_7_7_24_kcat} * E2_7_7_24 * C00459*C00103)/(${Variables:E2_7_7_24_km} + (E2_7_7_24 * C00459*C00103))</v>
      </c>
      <c r="K425" s="36" t="str">
        <f t="shared" si="13"/>
        <v>r424: C00459+C00103 -&gt; C00013+C00842 | (${Variables:E2_7_7_24_kcat} * E2_7_7_24 * C00459*C00103)/(${Variables:E2_7_7_24_km} + (E2_7_7_24 * C00459*C00103))</v>
      </c>
    </row>
    <row r="426" spans="1:11" ht="58" x14ac:dyDescent="0.35">
      <c r="A426" s="1" t="s">
        <v>4448</v>
      </c>
      <c r="B426" s="1" t="s">
        <v>4449</v>
      </c>
      <c r="C426" s="1" t="s">
        <v>9929</v>
      </c>
      <c r="D426" s="1">
        <v>425</v>
      </c>
      <c r="E426" s="1" t="str">
        <f>CONCATENATE("E",Reactions!C426)</f>
        <v>E2_7_7_27</v>
      </c>
      <c r="F426" s="1" t="s">
        <v>11245</v>
      </c>
      <c r="G426" s="1" t="s">
        <v>12138</v>
      </c>
      <c r="H426" s="1" t="s">
        <v>11246</v>
      </c>
      <c r="I426" s="1" t="s">
        <v>12752</v>
      </c>
      <c r="J426" s="12" t="str">
        <f t="shared" si="12"/>
        <v>(${Variables:E2_7_7_27_kcat} * E2_7_7_27 * C00002*C00103)/(${Variables:E2_7_7_27_km} + (E2_7_7_27 * C00002*C00103))</v>
      </c>
      <c r="K426" s="36" t="str">
        <f t="shared" si="13"/>
        <v>r425: C00002+C00103 -&gt; C00013+C00498 | (${Variables:E2_7_7_27_kcat} * E2_7_7_27 * C00002*C00103)/(${Variables:E2_7_7_27_km} + (E2_7_7_27 * C00002*C00103))</v>
      </c>
    </row>
    <row r="427" spans="1:11" ht="58" x14ac:dyDescent="0.35">
      <c r="A427" s="1" t="s">
        <v>5153</v>
      </c>
      <c r="B427" s="1" t="s">
        <v>5154</v>
      </c>
      <c r="C427" s="1" t="s">
        <v>9930</v>
      </c>
      <c r="D427" s="1">
        <v>426</v>
      </c>
      <c r="E427" s="1" t="str">
        <f>CONCATENATE("E",Reactions!C427)</f>
        <v>E2_7_7_3</v>
      </c>
      <c r="F427" s="1" t="s">
        <v>11247</v>
      </c>
      <c r="G427" s="1" t="s">
        <v>12139</v>
      </c>
      <c r="H427" s="1" t="s">
        <v>11248</v>
      </c>
      <c r="I427" s="1" t="s">
        <v>12753</v>
      </c>
      <c r="J427" s="12" t="str">
        <f t="shared" si="12"/>
        <v>(${Variables:E2_7_7_3_kcat} * E2_7_7_3 * C00002*C01134)/(${Variables:E2_7_7_3_km} + (E2_7_7_3 * C00002*C01134))</v>
      </c>
      <c r="K427" s="36" t="str">
        <f t="shared" si="13"/>
        <v>r426: C00002+C01134 -&gt; C00013+C00882 | (${Variables:E2_7_7_3_kcat} * E2_7_7_3 * C00002*C01134)/(${Variables:E2_7_7_3_km} + (E2_7_7_3 * C00002*C01134))</v>
      </c>
    </row>
    <row r="428" spans="1:11" ht="58" x14ac:dyDescent="0.35">
      <c r="A428" s="1" t="s">
        <v>622</v>
      </c>
      <c r="B428" s="1" t="s">
        <v>623</v>
      </c>
      <c r="C428" s="1" t="s">
        <v>9931</v>
      </c>
      <c r="D428" s="1">
        <v>427</v>
      </c>
      <c r="E428" s="1" t="str">
        <f>CONCATENATE("E",Reactions!C428)</f>
        <v>E2_7_7_41</v>
      </c>
      <c r="F428" s="1" t="s">
        <v>11249</v>
      </c>
      <c r="G428" s="1" t="s">
        <v>12140</v>
      </c>
      <c r="H428" s="1" t="s">
        <v>11250</v>
      </c>
      <c r="I428" s="1" t="s">
        <v>12754</v>
      </c>
      <c r="J428" s="12" t="str">
        <f t="shared" si="12"/>
        <v>(${Variables:E2_7_7_41_kcat} * E2_7_7_41 * C00063*C00416)/(${Variables:E2_7_7_41_km} + (E2_7_7_41 * C00063*C00416))</v>
      </c>
      <c r="K428" s="36" t="str">
        <f t="shared" si="13"/>
        <v>r427: C00063+C00416 -&gt; C00013+C00269 | (${Variables:E2_7_7_41_kcat} * E2_7_7_41 * C00063*C00416)/(${Variables:E2_7_7_41_km} + (E2_7_7_41 * C00063*C00416))</v>
      </c>
    </row>
    <row r="429" spans="1:11" ht="58" x14ac:dyDescent="0.35">
      <c r="A429" s="1" t="s">
        <v>176</v>
      </c>
      <c r="B429" s="1" t="s">
        <v>177</v>
      </c>
      <c r="C429" s="1" t="s">
        <v>9932</v>
      </c>
      <c r="D429" s="1">
        <v>428</v>
      </c>
      <c r="E429" s="1" t="str">
        <f>CONCATENATE("E",Reactions!C429)</f>
        <v>E2_7_7_49</v>
      </c>
      <c r="F429" s="1" t="s">
        <v>11251</v>
      </c>
      <c r="G429" s="1" t="s">
        <v>12141</v>
      </c>
      <c r="H429" s="5" t="s">
        <v>11252</v>
      </c>
      <c r="I429" s="5" t="s">
        <v>12755</v>
      </c>
      <c r="J429" s="12" t="str">
        <f t="shared" si="12"/>
        <v>(${Variables:E2_7_7_49_kcat} * E2_7_7_49 * C00677*C00039)/(${Variables:E2_7_7_49_km} + (E2_7_7_49 * C00677*C00039))</v>
      </c>
      <c r="K429" s="36" t="str">
        <f t="shared" si="13"/>
        <v>r428: C00677+C00039 -&gt; C00013+C00039 | (${Variables:E2_7_7_49_kcat} * E2_7_7_49 * C00677*C00039)/(${Variables:E2_7_7_49_km} + (E2_7_7_49 * C00677*C00039))</v>
      </c>
    </row>
    <row r="430" spans="1:11" ht="58" x14ac:dyDescent="0.35">
      <c r="A430" s="1" t="s">
        <v>476</v>
      </c>
      <c r="B430" s="1" t="s">
        <v>477</v>
      </c>
      <c r="C430" s="1" t="s">
        <v>9933</v>
      </c>
      <c r="D430" s="1">
        <v>429</v>
      </c>
      <c r="E430" s="1" t="str">
        <f>CONCATENATE("E",Reactions!C430)</f>
        <v>E2_7_7_6</v>
      </c>
      <c r="F430" s="1" t="s">
        <v>11253</v>
      </c>
      <c r="G430" s="1" t="s">
        <v>12142</v>
      </c>
      <c r="H430" s="5" t="s">
        <v>11254</v>
      </c>
      <c r="I430" s="5" t="s">
        <v>12756</v>
      </c>
      <c r="J430" s="12" t="str">
        <f t="shared" si="12"/>
        <v>(${Variables:E2_7_7_6_kcat} * E2_7_7_6 * C00201*C00046)/(${Variables:E2_7_7_6_km} + (E2_7_7_6 * C00201*C00046))</v>
      </c>
      <c r="K430" s="36" t="str">
        <f t="shared" si="13"/>
        <v>r429: C00201+C00046 -&gt; C00013+C00046 | (${Variables:E2_7_7_6_kcat} * E2_7_7_6 * C00201*C00046)/(${Variables:E2_7_7_6_km} + (E2_7_7_6 * C00201*C00046))</v>
      </c>
    </row>
    <row r="431" spans="1:11" ht="58" x14ac:dyDescent="0.35">
      <c r="A431" s="1" t="s">
        <v>476</v>
      </c>
      <c r="B431" s="1" t="s">
        <v>477</v>
      </c>
      <c r="C431" s="1" t="s">
        <v>9933</v>
      </c>
      <c r="D431" s="1">
        <v>430</v>
      </c>
      <c r="E431" s="1" t="str">
        <f>CONCATENATE("E",Reactions!C431)</f>
        <v>E2_7_7_6</v>
      </c>
      <c r="F431" s="1" t="s">
        <v>11255</v>
      </c>
      <c r="G431" s="1" t="s">
        <v>12143</v>
      </c>
      <c r="H431" s="5" t="s">
        <v>11254</v>
      </c>
      <c r="I431" s="5" t="s">
        <v>12756</v>
      </c>
      <c r="J431" s="12" t="str">
        <f t="shared" si="12"/>
        <v>(${Variables:E2_7_7_6_kcat} * E2_7_7_6 * C00002*C00046)/(${Variables:E2_7_7_6_km} + (E2_7_7_6 * C00002*C00046))</v>
      </c>
      <c r="K431" s="36" t="str">
        <f t="shared" si="13"/>
        <v>r430: C00002+C00046 -&gt; C00013+C00046 | (${Variables:E2_7_7_6_kcat} * E2_7_7_6 * C00002*C00046)/(${Variables:E2_7_7_6_km} + (E2_7_7_6 * C00002*C00046))</v>
      </c>
    </row>
    <row r="432" spans="1:11" ht="58" x14ac:dyDescent="0.35">
      <c r="A432" s="1" t="s">
        <v>476</v>
      </c>
      <c r="B432" s="1" t="s">
        <v>477</v>
      </c>
      <c r="C432" s="1" t="s">
        <v>9933</v>
      </c>
      <c r="D432" s="1">
        <v>431</v>
      </c>
      <c r="E432" s="1" t="str">
        <f>CONCATENATE("E",Reactions!C432)</f>
        <v>E2_7_7_6</v>
      </c>
      <c r="F432" s="1" t="s">
        <v>11256</v>
      </c>
      <c r="G432" s="1" t="s">
        <v>12144</v>
      </c>
      <c r="H432" s="5" t="s">
        <v>11254</v>
      </c>
      <c r="I432" s="5" t="s">
        <v>12756</v>
      </c>
      <c r="J432" s="12" t="str">
        <f t="shared" si="12"/>
        <v>(${Variables:E2_7_7_6_kcat} * E2_7_7_6 * C00044*C00046)/(${Variables:E2_7_7_6_km} + (E2_7_7_6 * C00044*C00046))</v>
      </c>
      <c r="K432" s="36" t="str">
        <f t="shared" si="13"/>
        <v>r431: C00044+C00046 -&gt; C00013+C00046 | (${Variables:E2_7_7_6_kcat} * E2_7_7_6 * C00044*C00046)/(${Variables:E2_7_7_6_km} + (E2_7_7_6 * C00044*C00046))</v>
      </c>
    </row>
    <row r="433" spans="1:11" ht="58" x14ac:dyDescent="0.35">
      <c r="A433" s="1" t="s">
        <v>476</v>
      </c>
      <c r="B433" s="1" t="s">
        <v>477</v>
      </c>
      <c r="C433" s="1" t="s">
        <v>9933</v>
      </c>
      <c r="D433" s="1">
        <v>432</v>
      </c>
      <c r="E433" s="1" t="str">
        <f>CONCATENATE("E",Reactions!C433)</f>
        <v>E2_7_7_6</v>
      </c>
      <c r="F433" s="1" t="s">
        <v>11257</v>
      </c>
      <c r="G433" s="1" t="s">
        <v>12145</v>
      </c>
      <c r="H433" s="5" t="s">
        <v>11254</v>
      </c>
      <c r="I433" s="5" t="s">
        <v>12756</v>
      </c>
      <c r="J433" s="12" t="str">
        <f t="shared" si="12"/>
        <v>(${Variables:E2_7_7_6_kcat} * E2_7_7_6 * C00063*C00046)/(${Variables:E2_7_7_6_km} + (E2_7_7_6 * C00063*C00046))</v>
      </c>
      <c r="K433" s="36" t="str">
        <f t="shared" si="13"/>
        <v>r432: C00063+C00046 -&gt; C00013+C00046 | (${Variables:E2_7_7_6_kcat} * E2_7_7_6 * C00063*C00046)/(${Variables:E2_7_7_6_km} + (E2_7_7_6 * C00063*C00046))</v>
      </c>
    </row>
    <row r="434" spans="1:11" ht="58" x14ac:dyDescent="0.35">
      <c r="A434" s="1" t="s">
        <v>476</v>
      </c>
      <c r="B434" s="1" t="s">
        <v>477</v>
      </c>
      <c r="C434" s="1" t="s">
        <v>9933</v>
      </c>
      <c r="D434" s="1">
        <v>433</v>
      </c>
      <c r="E434" s="1" t="str">
        <f>CONCATENATE("E",Reactions!C434)</f>
        <v>E2_7_7_6</v>
      </c>
      <c r="F434" s="1" t="s">
        <v>11258</v>
      </c>
      <c r="G434" s="1" t="s">
        <v>12146</v>
      </c>
      <c r="H434" s="5" t="s">
        <v>11254</v>
      </c>
      <c r="I434" s="5" t="s">
        <v>12756</v>
      </c>
      <c r="J434" s="12" t="str">
        <f t="shared" si="12"/>
        <v>(${Variables:E2_7_7_6_kcat} * E2_7_7_6 * C00075*C00046)/(${Variables:E2_7_7_6_km} + (E2_7_7_6 * C00075*C00046))</v>
      </c>
      <c r="K434" s="36" t="str">
        <f t="shared" si="13"/>
        <v>r433: C00075+C00046 -&gt; C00013+C00046 | (${Variables:E2_7_7_6_kcat} * E2_7_7_6 * C00075*C00046)/(${Variables:E2_7_7_6_km} + (E2_7_7_6 * C00075*C00046))</v>
      </c>
    </row>
    <row r="435" spans="1:11" ht="58" x14ac:dyDescent="0.35">
      <c r="A435" s="1" t="s">
        <v>476</v>
      </c>
      <c r="B435" s="1" t="s">
        <v>477</v>
      </c>
      <c r="C435" s="1" t="s">
        <v>9933</v>
      </c>
      <c r="D435" s="1">
        <v>434</v>
      </c>
      <c r="E435" s="1" t="str">
        <f>CONCATENATE("E",Reactions!C435)</f>
        <v>E2_7_7_6</v>
      </c>
      <c r="F435" s="1" t="s">
        <v>9039</v>
      </c>
      <c r="G435" s="1" t="s">
        <v>9039</v>
      </c>
      <c r="H435" s="1" t="s">
        <v>11259</v>
      </c>
      <c r="I435" s="1" t="s">
        <v>12757</v>
      </c>
      <c r="J435" s="12" t="str">
        <f t="shared" si="12"/>
        <v>(${Variables:E2_7_7_6_kcat} * E2_7_7_6 * C00201 )/(${Variables:E2_7_7_6_km} + (E2_7_7_6 * C00201 ))</v>
      </c>
      <c r="K435" s="36" t="str">
        <f t="shared" si="13"/>
        <v>r434: C00201  -&gt; C20864+C00013 | (${Variables:E2_7_7_6_kcat} * E2_7_7_6 * C00201 )/(${Variables:E2_7_7_6_km} + (E2_7_7_6 * C00201 ))</v>
      </c>
    </row>
    <row r="436" spans="1:11" ht="58" x14ac:dyDescent="0.35">
      <c r="A436" s="1" t="s">
        <v>277</v>
      </c>
      <c r="B436" s="1" t="s">
        <v>278</v>
      </c>
      <c r="C436" s="1" t="s">
        <v>9935</v>
      </c>
      <c r="D436" s="1">
        <v>435</v>
      </c>
      <c r="E436" s="1" t="str">
        <f>CONCATENATE("E",Reactions!C436)</f>
        <v>E2_7_7_7</v>
      </c>
      <c r="F436" s="5" t="s">
        <v>11251</v>
      </c>
      <c r="G436" s="5" t="s">
        <v>12141</v>
      </c>
      <c r="H436" s="5" t="s">
        <v>11252</v>
      </c>
      <c r="I436" s="5" t="s">
        <v>12755</v>
      </c>
      <c r="J436" s="12" t="str">
        <f t="shared" si="12"/>
        <v>(${Variables:E2_7_7_7_kcat} * E2_7_7_7 * C00677*C00039)/(${Variables:E2_7_7_7_km} + (E2_7_7_7 * C00677*C00039))</v>
      </c>
      <c r="K436" s="36" t="str">
        <f t="shared" si="13"/>
        <v>r435: C00677+C00039 -&gt; C00013+C00039 | (${Variables:E2_7_7_7_kcat} * E2_7_7_7 * C00677*C00039)/(${Variables:E2_7_7_7_km} + (E2_7_7_7 * C00677*C00039))</v>
      </c>
    </row>
    <row r="437" spans="1:11" ht="58" x14ac:dyDescent="0.35">
      <c r="A437" s="1" t="s">
        <v>277</v>
      </c>
      <c r="B437" s="1" t="s">
        <v>278</v>
      </c>
      <c r="C437" s="1" t="s">
        <v>9935</v>
      </c>
      <c r="D437" s="1">
        <v>436</v>
      </c>
      <c r="E437" s="1" t="str">
        <f>CONCATENATE("E",Reactions!C437)</f>
        <v>E2_7_7_7</v>
      </c>
      <c r="F437" s="5" t="s">
        <v>11260</v>
      </c>
      <c r="G437" s="5" t="s">
        <v>12147</v>
      </c>
      <c r="H437" s="5" t="s">
        <v>11252</v>
      </c>
      <c r="I437" s="5" t="s">
        <v>12755</v>
      </c>
      <c r="J437" s="12" t="str">
        <f t="shared" si="12"/>
        <v>(${Variables:E2_7_7_7_kcat} * E2_7_7_7 * C00131*C00039)/(${Variables:E2_7_7_7_km} + (E2_7_7_7 * C00131*C00039))</v>
      </c>
      <c r="K437" s="36" t="str">
        <f t="shared" si="13"/>
        <v>r436: C00131+C00039 -&gt; C00013+C00039 | (${Variables:E2_7_7_7_kcat} * E2_7_7_7 * C00131*C00039)/(${Variables:E2_7_7_7_km} + (E2_7_7_7 * C00131*C00039))</v>
      </c>
    </row>
    <row r="438" spans="1:11" ht="58" x14ac:dyDescent="0.35">
      <c r="A438" s="1" t="s">
        <v>277</v>
      </c>
      <c r="B438" s="1" t="s">
        <v>278</v>
      </c>
      <c r="C438" s="1" t="s">
        <v>9935</v>
      </c>
      <c r="D438" s="1">
        <v>437</v>
      </c>
      <c r="E438" s="1" t="str">
        <f>CONCATENATE("E",Reactions!C438)</f>
        <v>E2_7_7_7</v>
      </c>
      <c r="F438" s="5" t="s">
        <v>11261</v>
      </c>
      <c r="G438" s="5" t="s">
        <v>12148</v>
      </c>
      <c r="H438" s="5" t="s">
        <v>11252</v>
      </c>
      <c r="I438" s="5" t="s">
        <v>12755</v>
      </c>
      <c r="J438" s="12" t="str">
        <f t="shared" si="12"/>
        <v>(${Variables:E2_7_7_7_kcat} * E2_7_7_7 * C00286*C00039)/(${Variables:E2_7_7_7_km} + (E2_7_7_7 * C00286*C00039))</v>
      </c>
      <c r="K438" s="36" t="str">
        <f t="shared" si="13"/>
        <v>r437: C00286+C00039 -&gt; C00013+C00039 | (${Variables:E2_7_7_7_kcat} * E2_7_7_7 * C00286*C00039)/(${Variables:E2_7_7_7_km} + (E2_7_7_7 * C00286*C00039))</v>
      </c>
    </row>
    <row r="439" spans="1:11" ht="58" x14ac:dyDescent="0.35">
      <c r="A439" s="1" t="s">
        <v>277</v>
      </c>
      <c r="B439" s="1" t="s">
        <v>278</v>
      </c>
      <c r="C439" s="1" t="s">
        <v>9935</v>
      </c>
      <c r="D439" s="1">
        <v>438</v>
      </c>
      <c r="E439" s="1" t="str">
        <f>CONCATENATE("E",Reactions!C439)</f>
        <v>E2_7_7_7</v>
      </c>
      <c r="F439" s="5" t="s">
        <v>11262</v>
      </c>
      <c r="G439" s="5" t="s">
        <v>12149</v>
      </c>
      <c r="H439" s="5" t="s">
        <v>11252</v>
      </c>
      <c r="I439" s="5" t="s">
        <v>12755</v>
      </c>
      <c r="J439" s="12" t="str">
        <f t="shared" si="12"/>
        <v>(${Variables:E2_7_7_7_kcat} * E2_7_7_7 * C00458*C00039)/(${Variables:E2_7_7_7_km} + (E2_7_7_7 * C00458*C00039))</v>
      </c>
      <c r="K439" s="36" t="str">
        <f t="shared" si="13"/>
        <v>r438: C00458+C00039 -&gt; C00013+C00039 | (${Variables:E2_7_7_7_kcat} * E2_7_7_7 * C00458*C00039)/(${Variables:E2_7_7_7_km} + (E2_7_7_7 * C00458*C00039))</v>
      </c>
    </row>
    <row r="440" spans="1:11" ht="58" x14ac:dyDescent="0.35">
      <c r="A440" s="1" t="s">
        <v>277</v>
      </c>
      <c r="B440" s="1" t="s">
        <v>278</v>
      </c>
      <c r="C440" s="1" t="s">
        <v>9935</v>
      </c>
      <c r="D440" s="1">
        <v>439</v>
      </c>
      <c r="E440" s="1" t="str">
        <f>CONCATENATE("E",Reactions!C440)</f>
        <v>E2_7_7_7</v>
      </c>
      <c r="F440" s="5" t="s">
        <v>11263</v>
      </c>
      <c r="G440" s="5" t="s">
        <v>12150</v>
      </c>
      <c r="H440" s="5" t="s">
        <v>11252</v>
      </c>
      <c r="I440" s="5" t="s">
        <v>12755</v>
      </c>
      <c r="J440" s="12" t="str">
        <f t="shared" si="12"/>
        <v>(${Variables:E2_7_7_7_kcat} * E2_7_7_7 * C00459*C00039)/(${Variables:E2_7_7_7_km} + (E2_7_7_7 * C00459*C00039))</v>
      </c>
      <c r="K440" s="36" t="str">
        <f t="shared" si="13"/>
        <v>r439: C00459+C00039 -&gt; C00013+C00039 | (${Variables:E2_7_7_7_kcat} * E2_7_7_7 * C00459*C00039)/(${Variables:E2_7_7_7_km} + (E2_7_7_7 * C00459*C00039))</v>
      </c>
    </row>
    <row r="441" spans="1:11" ht="43.5" x14ac:dyDescent="0.35">
      <c r="A441" s="1" t="s">
        <v>277</v>
      </c>
      <c r="B441" s="1" t="s">
        <v>278</v>
      </c>
      <c r="C441" s="1" t="s">
        <v>9935</v>
      </c>
      <c r="D441" s="1">
        <v>440</v>
      </c>
      <c r="E441" s="1" t="str">
        <f>CONCATENATE("E",Reactions!C441)</f>
        <v>E2_7_7_7</v>
      </c>
      <c r="F441" s="5" t="s">
        <v>7982</v>
      </c>
      <c r="G441" s="5" t="s">
        <v>7982</v>
      </c>
      <c r="H441" s="5" t="s">
        <v>7983</v>
      </c>
      <c r="I441" s="5" t="s">
        <v>7983</v>
      </c>
      <c r="J441" s="12" t="str">
        <f t="shared" si="12"/>
        <v>(${Variables:E2_7_7_7_kcat} * E2_7_7_7 * C11039)/(${Variables:E2_7_7_7_km} + (E2_7_7_7 * C11039))</v>
      </c>
      <c r="K441" s="36" t="str">
        <f t="shared" si="13"/>
        <v>r440: C11039 -&gt; C21031 | (${Variables:E2_7_7_7_kcat} * E2_7_7_7 * C11039)/(${Variables:E2_7_7_7_km} + (E2_7_7_7 * C11039))</v>
      </c>
    </row>
    <row r="442" spans="1:11" ht="58" x14ac:dyDescent="0.35">
      <c r="A442" s="1" t="s">
        <v>330</v>
      </c>
      <c r="B442" s="1" t="s">
        <v>331</v>
      </c>
      <c r="C442" s="1" t="s">
        <v>9936</v>
      </c>
      <c r="D442" s="1">
        <v>441</v>
      </c>
      <c r="E442" s="1" t="str">
        <f>CONCATENATE("E",Reactions!C442)</f>
        <v>E2_7_7_8</v>
      </c>
      <c r="F442" s="5" t="s">
        <v>11264</v>
      </c>
      <c r="G442" s="5" t="s">
        <v>12151</v>
      </c>
      <c r="H442" s="5" t="s">
        <v>11265</v>
      </c>
      <c r="I442" s="5" t="s">
        <v>12758</v>
      </c>
      <c r="J442" s="12" t="str">
        <f t="shared" si="12"/>
        <v>(${Variables:E2_7_7_8_kcat} * E2_7_7_8 * C00046*C00009)/(${Variables:E2_7_7_8_km} + (E2_7_7_8 * C00046*C00009))</v>
      </c>
      <c r="K442" s="36" t="str">
        <f t="shared" si="13"/>
        <v>r441: C00046+C00009 -&gt; C00046+C00454 | (${Variables:E2_7_7_8_kcat} * E2_7_7_8 * C00046*C00009)/(${Variables:E2_7_7_8_km} + (E2_7_7_8 * C00046*C00009))</v>
      </c>
    </row>
    <row r="443" spans="1:11" ht="58" x14ac:dyDescent="0.35">
      <c r="A443" s="1" t="s">
        <v>330</v>
      </c>
      <c r="B443" s="1" t="s">
        <v>331</v>
      </c>
      <c r="C443" s="1" t="s">
        <v>9936</v>
      </c>
      <c r="D443" s="1">
        <v>442</v>
      </c>
      <c r="E443" s="1" t="str">
        <f>CONCATENATE("E",Reactions!C443)</f>
        <v>E2_7_7_8</v>
      </c>
      <c r="F443" s="5" t="s">
        <v>11264</v>
      </c>
      <c r="G443" s="5" t="s">
        <v>12151</v>
      </c>
      <c r="H443" s="5" t="s">
        <v>11266</v>
      </c>
      <c r="I443" s="5" t="s">
        <v>12759</v>
      </c>
      <c r="J443" s="12" t="str">
        <f t="shared" si="12"/>
        <v>(${Variables:E2_7_7_8_kcat} * E2_7_7_8 * C00046*C00009)/(${Variables:E2_7_7_8_km} + (E2_7_7_8 * C00046*C00009))</v>
      </c>
      <c r="K443" s="36" t="str">
        <f t="shared" si="13"/>
        <v>r442: C00046+C00009 -&gt; C00046+C00008 | (${Variables:E2_7_7_8_kcat} * E2_7_7_8 * C00046*C00009)/(${Variables:E2_7_7_8_km} + (E2_7_7_8 * C00046*C00009))</v>
      </c>
    </row>
    <row r="444" spans="1:11" ht="58" x14ac:dyDescent="0.35">
      <c r="A444" s="1" t="s">
        <v>330</v>
      </c>
      <c r="B444" s="1" t="s">
        <v>331</v>
      </c>
      <c r="C444" s="1" t="s">
        <v>9936</v>
      </c>
      <c r="D444" s="1">
        <v>443</v>
      </c>
      <c r="E444" s="1" t="str">
        <f>CONCATENATE("E",Reactions!C444)</f>
        <v>E2_7_7_8</v>
      </c>
      <c r="F444" s="5" t="s">
        <v>11264</v>
      </c>
      <c r="G444" s="5" t="s">
        <v>12151</v>
      </c>
      <c r="H444" s="5" t="s">
        <v>11267</v>
      </c>
      <c r="I444" s="5" t="s">
        <v>12760</v>
      </c>
      <c r="J444" s="12" t="str">
        <f t="shared" si="12"/>
        <v>(${Variables:E2_7_7_8_kcat} * E2_7_7_8 * C00046*C00009)/(${Variables:E2_7_7_8_km} + (E2_7_7_8 * C00046*C00009))</v>
      </c>
      <c r="K444" s="36" t="str">
        <f t="shared" si="13"/>
        <v>r443: C00046+C00009 -&gt; C00046+C00015 | (${Variables:E2_7_7_8_kcat} * E2_7_7_8 * C00046*C00009)/(${Variables:E2_7_7_8_km} + (E2_7_7_8 * C00046*C00009))</v>
      </c>
    </row>
    <row r="445" spans="1:11" ht="58" x14ac:dyDescent="0.35">
      <c r="A445" s="1" t="s">
        <v>330</v>
      </c>
      <c r="B445" s="1" t="s">
        <v>331</v>
      </c>
      <c r="C445" s="1" t="s">
        <v>9936</v>
      </c>
      <c r="D445" s="1">
        <v>444</v>
      </c>
      <c r="E445" s="1" t="str">
        <f>CONCATENATE("E",Reactions!C445)</f>
        <v>E2_7_7_8</v>
      </c>
      <c r="F445" s="5" t="s">
        <v>11264</v>
      </c>
      <c r="G445" s="5" t="s">
        <v>12151</v>
      </c>
      <c r="H445" s="5" t="s">
        <v>11268</v>
      </c>
      <c r="I445" s="5" t="s">
        <v>12761</v>
      </c>
      <c r="J445" s="12" t="str">
        <f t="shared" si="12"/>
        <v>(${Variables:E2_7_7_8_kcat} * E2_7_7_8 * C00046*C00009)/(${Variables:E2_7_7_8_km} + (E2_7_7_8 * C00046*C00009))</v>
      </c>
      <c r="K445" s="36" t="str">
        <f t="shared" si="13"/>
        <v>r444: C00046+C00009 -&gt; C00046+C00035 | (${Variables:E2_7_7_8_kcat} * E2_7_7_8 * C00046*C00009)/(${Variables:E2_7_7_8_km} + (E2_7_7_8 * C00046*C00009))</v>
      </c>
    </row>
    <row r="446" spans="1:11" ht="58" x14ac:dyDescent="0.35">
      <c r="A446" s="1" t="s">
        <v>330</v>
      </c>
      <c r="B446" s="1" t="s">
        <v>331</v>
      </c>
      <c r="C446" s="1" t="s">
        <v>9936</v>
      </c>
      <c r="D446" s="1">
        <v>445</v>
      </c>
      <c r="E446" s="1" t="str">
        <f>CONCATENATE("E",Reactions!C446)</f>
        <v>E2_7_7_8</v>
      </c>
      <c r="F446" s="5" t="s">
        <v>11264</v>
      </c>
      <c r="G446" s="5" t="s">
        <v>12151</v>
      </c>
      <c r="H446" s="5" t="s">
        <v>11269</v>
      </c>
      <c r="I446" s="5" t="s">
        <v>12762</v>
      </c>
      <c r="J446" s="12" t="str">
        <f t="shared" si="12"/>
        <v>(${Variables:E2_7_7_8_kcat} * E2_7_7_8 * C00046*C00009)/(${Variables:E2_7_7_8_km} + (E2_7_7_8 * C00046*C00009))</v>
      </c>
      <c r="K446" s="36" t="str">
        <f t="shared" si="13"/>
        <v>r445: C00046+C00009 -&gt; C00046+C00112 | (${Variables:E2_7_7_8_kcat} * E2_7_7_8 * C00046*C00009)/(${Variables:E2_7_7_8_km} + (E2_7_7_8 * C00046*C00009))</v>
      </c>
    </row>
    <row r="447" spans="1:11" ht="58" x14ac:dyDescent="0.35">
      <c r="A447" s="1" t="s">
        <v>5695</v>
      </c>
      <c r="B447" s="1" t="s">
        <v>5696</v>
      </c>
      <c r="C447" s="1" t="s">
        <v>9937</v>
      </c>
      <c r="D447" s="1">
        <v>446</v>
      </c>
      <c r="E447" s="1" t="str">
        <f>CONCATENATE("E",Reactions!C447)</f>
        <v>E2_7_7_9</v>
      </c>
      <c r="F447" s="5" t="s">
        <v>11270</v>
      </c>
      <c r="G447" s="5" t="s">
        <v>12152</v>
      </c>
      <c r="H447" s="5" t="s">
        <v>11271</v>
      </c>
      <c r="I447" s="5" t="s">
        <v>12763</v>
      </c>
      <c r="J447" s="12" t="str">
        <f t="shared" si="12"/>
        <v>(${Variables:E2_7_7_9_kcat} * E2_7_7_9 * C00075*C00103)/(${Variables:E2_7_7_9_km} + (E2_7_7_9 * C00075*C00103))</v>
      </c>
      <c r="K447" s="36" t="str">
        <f t="shared" si="13"/>
        <v>r446: C00075+C00103 -&gt; C00013+C00029 | (${Variables:E2_7_7_9_kcat} * E2_7_7_9 * C00075*C00103)/(${Variables:E2_7_7_9_km} + (E2_7_7_9 * C00075*C00103))</v>
      </c>
    </row>
    <row r="448" spans="1:11" ht="58" x14ac:dyDescent="0.35">
      <c r="A448" s="1" t="s">
        <v>5275</v>
      </c>
      <c r="B448" s="1" t="s">
        <v>5276</v>
      </c>
      <c r="C448" s="1" t="s">
        <v>9938</v>
      </c>
      <c r="D448" s="1">
        <v>447</v>
      </c>
      <c r="E448" s="1" t="str">
        <f>CONCATENATE("E",Reactions!C448)</f>
        <v>E2_7_8_13</v>
      </c>
      <c r="F448" s="5" t="s">
        <v>11272</v>
      </c>
      <c r="G448" s="5" t="s">
        <v>12153</v>
      </c>
      <c r="H448" s="5" t="s">
        <v>11273</v>
      </c>
      <c r="I448" s="5" t="s">
        <v>12764</v>
      </c>
      <c r="J448" s="12" t="str">
        <f t="shared" si="12"/>
        <v>(${Variables:E2_7_8_13_kcat} * E2_7_8_13 * C04702*C17556)/(${Variables:E2_7_8_13_km} + (E2_7_8_13 * C04702*C17556))</v>
      </c>
      <c r="K448" s="36" t="str">
        <f t="shared" si="13"/>
        <v>r447: C04702+C17556 -&gt; C00105+C04851 | (${Variables:E2_7_8_13_kcat} * E2_7_8_13 * C04702*C17556)/(${Variables:E2_7_8_13_km} + (E2_7_8_13 * C04702*C17556))</v>
      </c>
    </row>
    <row r="449" spans="1:11" ht="58" x14ac:dyDescent="0.35">
      <c r="A449" s="1" t="s">
        <v>5275</v>
      </c>
      <c r="B449" s="1" t="s">
        <v>5276</v>
      </c>
      <c r="C449" s="1" t="s">
        <v>9938</v>
      </c>
      <c r="D449" s="1">
        <v>448</v>
      </c>
      <c r="E449" s="1" t="str">
        <f>CONCATENATE("E",Reactions!C449)</f>
        <v>E2_7_8_13</v>
      </c>
      <c r="F449" s="5" t="s">
        <v>11274</v>
      </c>
      <c r="G449" s="5" t="s">
        <v>12154</v>
      </c>
      <c r="H449" s="5" t="s">
        <v>11275</v>
      </c>
      <c r="I449" s="5" t="s">
        <v>12765</v>
      </c>
      <c r="J449" s="12" t="str">
        <f t="shared" si="12"/>
        <v>(${Variables:E2_7_8_13_kcat} * E2_7_8_13 * C04882*C17556)/(${Variables:E2_7_8_13_km} + (E2_7_8_13 * C04882*C17556))</v>
      </c>
      <c r="K449" s="36" t="str">
        <f t="shared" si="13"/>
        <v>r448: C04882+C17556 -&gt; C00105+C05897 | (${Variables:E2_7_8_13_kcat} * E2_7_8_13 * C04882*C17556)/(${Variables:E2_7_8_13_km} + (E2_7_8_13 * C04882*C17556))</v>
      </c>
    </row>
    <row r="450" spans="1:11" ht="58" x14ac:dyDescent="0.35">
      <c r="A450" s="1" t="s">
        <v>6221</v>
      </c>
      <c r="B450" s="1" t="s">
        <v>6222</v>
      </c>
      <c r="C450" s="1" t="s">
        <v>9939</v>
      </c>
      <c r="D450" s="1">
        <v>449</v>
      </c>
      <c r="E450" s="1" t="str">
        <f>CONCATENATE("E",Reactions!C450)</f>
        <v>E2_7_8_5</v>
      </c>
      <c r="F450" s="5" t="s">
        <v>11276</v>
      </c>
      <c r="G450" s="5" t="s">
        <v>12155</v>
      </c>
      <c r="H450" s="5" t="s">
        <v>11277</v>
      </c>
      <c r="I450" s="5" t="s">
        <v>12766</v>
      </c>
      <c r="J450" s="12" t="str">
        <f t="shared" si="12"/>
        <v>(${Variables:E2_7_8_5_kcat} * E2_7_8_5 * C00269*C00093)/(${Variables:E2_7_8_5_km} + (E2_7_8_5 * C00269*C00093))</v>
      </c>
      <c r="K450" s="36" t="str">
        <f t="shared" si="13"/>
        <v>r449: C00269+C00093 -&gt; C00055+C03892 | (${Variables:E2_7_8_5_kcat} * E2_7_8_5 * C00269*C00093)/(${Variables:E2_7_8_5_km} + (E2_7_8_5 * C00269*C00093))</v>
      </c>
    </row>
    <row r="451" spans="1:11" ht="58" x14ac:dyDescent="0.35">
      <c r="A451" s="1" t="s">
        <v>5381</v>
      </c>
      <c r="B451" s="1" t="s">
        <v>5382</v>
      </c>
      <c r="C451" s="1" t="s">
        <v>9940</v>
      </c>
      <c r="D451" s="1">
        <v>450</v>
      </c>
      <c r="E451" s="1" t="str">
        <f>CONCATENATE("E",Reactions!C451)</f>
        <v>E2_7_8_7</v>
      </c>
      <c r="F451" s="5" t="s">
        <v>11278</v>
      </c>
      <c r="G451" s="5" t="s">
        <v>12156</v>
      </c>
      <c r="H451" s="5" t="s">
        <v>11279</v>
      </c>
      <c r="I451" s="5" t="s">
        <v>12767</v>
      </c>
      <c r="J451" s="12" t="str">
        <f t="shared" ref="J451:J514" si="14">CONCATENATE("(${Variables:",E451,"_kcat","} * ",E451," * ",G451,")","/(${Variables:",E451,"_km","} + (",E451," * ",G451,"))")</f>
        <v>(${Variables:E2_7_8_7_kcat} * E2_7_8_7 * C00010*C03688 )/(${Variables:E2_7_8_7_km} + (E2_7_8_7 * C00010*C03688 ))</v>
      </c>
      <c r="K451" s="36" t="str">
        <f t="shared" ref="K451:K514" si="15">CONCATENATE("r",D451,": ",F451," -&gt; ",H451," | ",J451)</f>
        <v>r450: C00010+C03688  -&gt; C00054+C00229 | (${Variables:E2_7_8_7_kcat} * E2_7_8_7 * C00010*C03688 )/(${Variables:E2_7_8_7_km} + (E2_7_8_7 * C00010*C03688 ))</v>
      </c>
    </row>
    <row r="452" spans="1:11" ht="87" x14ac:dyDescent="0.35">
      <c r="A452" s="1" t="s">
        <v>2206</v>
      </c>
      <c r="B452" s="1" t="s">
        <v>2207</v>
      </c>
      <c r="C452" s="1" t="s">
        <v>9941</v>
      </c>
      <c r="D452" s="1">
        <v>451</v>
      </c>
      <c r="E452" s="1" t="str">
        <f>CONCATENATE("E",Reactions!C452)</f>
        <v>E2_8_1_6</v>
      </c>
      <c r="F452" s="5" t="s">
        <v>11280</v>
      </c>
      <c r="G452" s="5" t="s">
        <v>12157</v>
      </c>
      <c r="H452" s="5" t="s">
        <v>11281</v>
      </c>
      <c r="I452" s="5" t="s">
        <v>12768</v>
      </c>
      <c r="J452" s="12" t="str">
        <f t="shared" si="14"/>
        <v>(${Variables:E2_8_1_6_kcat} * E2_8_1_6 * C01909*C17023*C00019*C05359*C00080 )/(${Variables:E2_8_1_6_km} + (E2_8_1_6 * C01909*C17023*C00019*C05359*C00080 ))</v>
      </c>
      <c r="K452" s="36" t="str">
        <f t="shared" si="15"/>
        <v>r451: C01909+C17023+C00019+C05359+C00080  -&gt; C00120+C00073+C05198 | (${Variables:E2_8_1_6_kcat} * E2_8_1_6 * C01909*C17023*C00019*C05359*C00080 )/(${Variables:E2_8_1_6_km} + (E2_8_1_6 * C01909*C17023*C00019*C05359*C00080 ))</v>
      </c>
    </row>
    <row r="453" spans="1:11" ht="58" x14ac:dyDescent="0.35">
      <c r="A453" s="1" t="s">
        <v>562</v>
      </c>
      <c r="B453" s="1" t="s">
        <v>563</v>
      </c>
      <c r="C453" s="1" t="s">
        <v>9942</v>
      </c>
      <c r="D453" s="1">
        <v>452</v>
      </c>
      <c r="E453" s="1" t="str">
        <f>CONCATENATE("E",Reactions!C453)</f>
        <v>E2_8_1_7</v>
      </c>
      <c r="F453" s="5" t="s">
        <v>11282</v>
      </c>
      <c r="G453" s="5" t="s">
        <v>12158</v>
      </c>
      <c r="H453" s="5" t="s">
        <v>11283</v>
      </c>
      <c r="I453" s="5" t="s">
        <v>12769</v>
      </c>
      <c r="J453" s="12" t="str">
        <f t="shared" si="14"/>
        <v>(${Variables:E2_8_1_7_kcat} * E2_8_1_7 * C15811*C00097)/(${Variables:E2_8_1_7_km} + (E2_8_1_7 * C15811*C00097))</v>
      </c>
      <c r="K453" s="36" t="str">
        <f t="shared" si="15"/>
        <v>r452: C15811+C00097 -&gt; C15812+C00041 | (${Variables:E2_8_1_7_kcat} * E2_8_1_7 * C15811*C00097)/(${Variables:E2_8_1_7_km} + (E2_8_1_7 * C15811*C00097))</v>
      </c>
    </row>
    <row r="454" spans="1:11" ht="58" x14ac:dyDescent="0.35">
      <c r="A454" s="1" t="s">
        <v>562</v>
      </c>
      <c r="B454" s="1" t="s">
        <v>563</v>
      </c>
      <c r="C454" s="1" t="s">
        <v>9942</v>
      </c>
      <c r="D454" s="1">
        <v>453</v>
      </c>
      <c r="E454" s="1" t="str">
        <f>CONCATENATE("E",Reactions!C454)</f>
        <v>E2_8_1_7</v>
      </c>
      <c r="F454" s="5" t="s">
        <v>11284</v>
      </c>
      <c r="G454" s="5" t="s">
        <v>12159</v>
      </c>
      <c r="H454" s="5" t="s">
        <v>11285</v>
      </c>
      <c r="I454" s="5" t="s">
        <v>12770</v>
      </c>
      <c r="J454" s="12" t="str">
        <f t="shared" si="14"/>
        <v>(${Variables:E2_8_1_7_kcat} * E2_8_1_7 * C00097*C02743)/(${Variables:E2_8_1_7_km} + (E2_8_1_7 * C00097*C02743))</v>
      </c>
      <c r="K454" s="36" t="str">
        <f t="shared" si="15"/>
        <v>r453: C00097+C02743 -&gt; C00041+C21440 | (${Variables:E2_8_1_7_kcat} * E2_8_1_7 * C00097*C02743)/(${Variables:E2_8_1_7_km} + (E2_8_1_7 * C00097*C02743))</v>
      </c>
    </row>
    <row r="455" spans="1:11" ht="58" x14ac:dyDescent="0.35">
      <c r="A455" s="1" t="s">
        <v>562</v>
      </c>
      <c r="B455" s="1" t="s">
        <v>563</v>
      </c>
      <c r="C455" s="1" t="s">
        <v>9942</v>
      </c>
      <c r="D455" s="1">
        <v>454</v>
      </c>
      <c r="E455" s="1" t="str">
        <f>CONCATENATE("E",Reactions!C455)</f>
        <v>E2_8_1_7</v>
      </c>
      <c r="F455" s="5" t="s">
        <v>11286</v>
      </c>
      <c r="G455" s="5" t="s">
        <v>12160</v>
      </c>
      <c r="H455" s="5" t="s">
        <v>11287</v>
      </c>
      <c r="I455" s="5" t="s">
        <v>12771</v>
      </c>
      <c r="J455" s="12" t="str">
        <f t="shared" si="14"/>
        <v>(${Variables:E2_8_1_7_kcat} * E2_8_1_7 * C15812*C02743)/(${Variables:E2_8_1_7_km} + (E2_8_1_7 * C15812*C02743))</v>
      </c>
      <c r="K455" s="36" t="str">
        <f t="shared" si="15"/>
        <v>r454: C15812+C02743 -&gt; C15811+C21440 | (${Variables:E2_8_1_7_kcat} * E2_8_1_7 * C15812*C02743)/(${Variables:E2_8_1_7_km} + (E2_8_1_7 * C15812*C02743))</v>
      </c>
    </row>
    <row r="456" spans="1:11" ht="58" x14ac:dyDescent="0.35">
      <c r="A456" s="1" t="s">
        <v>1696</v>
      </c>
      <c r="B456" s="1" t="s">
        <v>1697</v>
      </c>
      <c r="C456" s="1" t="s">
        <v>9943</v>
      </c>
      <c r="D456" s="1">
        <v>455</v>
      </c>
      <c r="E456" s="1" t="str">
        <f>CONCATENATE("E",Reactions!C456)</f>
        <v>E3_1_1_24</v>
      </c>
      <c r="F456" s="5" t="s">
        <v>11288</v>
      </c>
      <c r="G456" s="5" t="s">
        <v>12161</v>
      </c>
      <c r="H456" s="5" t="s">
        <v>8034</v>
      </c>
      <c r="I456" s="5" t="s">
        <v>8034</v>
      </c>
      <c r="J456" s="12" t="str">
        <f t="shared" si="14"/>
        <v>(${Variables:E3_1_1_24_kcat} * E3_1_1_24 * C03586*C00001)/(${Variables:E3_1_1_24_km} + (E3_1_1_24 * C03586*C00001))</v>
      </c>
      <c r="K456" s="36" t="str">
        <f t="shared" si="15"/>
        <v>r455: C03586+C00001 -&gt; C00846 | (${Variables:E3_1_1_24_kcat} * E3_1_1_24 * C03586*C00001)/(${Variables:E3_1_1_24_km} + (E3_1_1_24 * C03586*C00001))</v>
      </c>
    </row>
    <row r="457" spans="1:11" ht="58" x14ac:dyDescent="0.35">
      <c r="A457" s="1" t="s">
        <v>36</v>
      </c>
      <c r="B457" s="1" t="s">
        <v>37</v>
      </c>
      <c r="C457" s="1" t="s">
        <v>9944</v>
      </c>
      <c r="D457" s="1">
        <v>456</v>
      </c>
      <c r="E457" s="1" t="str">
        <f>CONCATENATE("E",Reactions!C457)</f>
        <v>E3_1_1_29</v>
      </c>
      <c r="F457" s="5" t="s">
        <v>11289</v>
      </c>
      <c r="G457" s="5" t="s">
        <v>12162</v>
      </c>
      <c r="H457" s="5" t="s">
        <v>11290</v>
      </c>
      <c r="I457" s="5" t="s">
        <v>12772</v>
      </c>
      <c r="J457" s="12" t="str">
        <f t="shared" si="14"/>
        <v>(${Variables:E3_1_1_29_kcat} * E3_1_1_29 * C03880*C00001)/(${Variables:E3_1_1_29_km} + (E3_1_1_29 * C03880*C00001))</v>
      </c>
      <c r="K457" s="36" t="str">
        <f t="shared" si="15"/>
        <v>r456: C03880+C00001 -&gt; C03523+C00066 | (${Variables:E3_1_1_29_kcat} * E3_1_1_29 * C03880*C00001)/(${Variables:E3_1_1_29_km} + (E3_1_1_29 * C03880*C00001))</v>
      </c>
    </row>
    <row r="458" spans="1:11" ht="58" x14ac:dyDescent="0.35">
      <c r="A458" s="1" t="s">
        <v>2502</v>
      </c>
      <c r="B458" s="1" t="s">
        <v>2503</v>
      </c>
      <c r="C458" s="1" t="s">
        <v>9948</v>
      </c>
      <c r="D458" s="1">
        <v>457</v>
      </c>
      <c r="E458" s="1" t="str">
        <f>CONCATENATE("E",Reactions!C458)</f>
        <v>E3_1_2_14</v>
      </c>
      <c r="F458" s="5" t="s">
        <v>11291</v>
      </c>
      <c r="G458" s="5" t="s">
        <v>12163</v>
      </c>
      <c r="H458" s="5" t="s">
        <v>11292</v>
      </c>
      <c r="I458" s="5" t="s">
        <v>12773</v>
      </c>
      <c r="J458" s="12" t="str">
        <f t="shared" si="14"/>
        <v>(${Variables:E3_1_2_14_kcat} * E3_1_2_14 * C01203*C00001)/(${Variables:E3_1_2_14_km} + (E3_1_2_14 * C01203*C00001))</v>
      </c>
      <c r="K458" s="36" t="str">
        <f t="shared" si="15"/>
        <v>r457: C01203+C00001 -&gt; C00229+C00712 | (${Variables:E3_1_2_14_kcat} * E3_1_2_14 * C01203*C00001)/(${Variables:E3_1_2_14_km} + (E3_1_2_14 * C01203*C00001))</v>
      </c>
    </row>
    <row r="459" spans="1:11" ht="58" x14ac:dyDescent="0.35">
      <c r="A459" s="1" t="s">
        <v>2502</v>
      </c>
      <c r="B459" s="1" t="s">
        <v>2503</v>
      </c>
      <c r="C459" s="1" t="s">
        <v>9948</v>
      </c>
      <c r="D459" s="1">
        <v>458</v>
      </c>
      <c r="E459" s="1" t="str">
        <f>CONCATENATE("E",Reactions!C459)</f>
        <v>E3_1_2_14</v>
      </c>
      <c r="F459" s="5" t="s">
        <v>11293</v>
      </c>
      <c r="G459" s="5" t="s">
        <v>12164</v>
      </c>
      <c r="H459" s="5" t="s">
        <v>11294</v>
      </c>
      <c r="I459" s="5" t="s">
        <v>12774</v>
      </c>
      <c r="J459" s="12" t="str">
        <f t="shared" si="14"/>
        <v>(${Variables:E3_1_2_14_kcat} * E3_1_2_14 * C05764*C00001)/(${Variables:E3_1_2_14_km} + (E3_1_2_14 * C05764*C00001))</v>
      </c>
      <c r="K459" s="36" t="str">
        <f t="shared" si="15"/>
        <v>r458: C05764+C00001 -&gt; C00229+C00249 | (${Variables:E3_1_2_14_kcat} * E3_1_2_14 * C05764*C00001)/(${Variables:E3_1_2_14_km} + (E3_1_2_14 * C05764*C00001))</v>
      </c>
    </row>
    <row r="460" spans="1:11" ht="58" x14ac:dyDescent="0.35">
      <c r="A460" s="1" t="s">
        <v>2502</v>
      </c>
      <c r="B460" s="1" t="s">
        <v>2503</v>
      </c>
      <c r="C460" s="1" t="s">
        <v>9948</v>
      </c>
      <c r="D460" s="1">
        <v>459</v>
      </c>
      <c r="E460" s="1" t="str">
        <f>CONCATENATE("E",Reactions!C460)</f>
        <v>E3_1_2_14</v>
      </c>
      <c r="F460" s="5" t="s">
        <v>11295</v>
      </c>
      <c r="G460" s="5" t="s">
        <v>12165</v>
      </c>
      <c r="H460" s="5" t="s">
        <v>11296</v>
      </c>
      <c r="I460" s="5" t="s">
        <v>12775</v>
      </c>
      <c r="J460" s="12" t="str">
        <f t="shared" si="14"/>
        <v>(${Variables:E3_1_2_14_kcat} * E3_1_2_14 * C05223*C00001)/(${Variables:E3_1_2_14_km} + (E3_1_2_14 * C05223*C00001))</v>
      </c>
      <c r="K460" s="36" t="str">
        <f t="shared" si="15"/>
        <v>r459: C05223+C00001 -&gt; C00229+C02679 | (${Variables:E3_1_2_14_kcat} * E3_1_2_14 * C05223*C00001)/(${Variables:E3_1_2_14_km} + (E3_1_2_14 * C05223*C00001))</v>
      </c>
    </row>
    <row r="461" spans="1:11" ht="58" x14ac:dyDescent="0.35">
      <c r="A461" s="1" t="s">
        <v>2502</v>
      </c>
      <c r="B461" s="1" t="s">
        <v>2503</v>
      </c>
      <c r="C461" s="1" t="s">
        <v>9948</v>
      </c>
      <c r="D461" s="1">
        <v>460</v>
      </c>
      <c r="E461" s="1" t="str">
        <f>CONCATENATE("E",Reactions!C461)</f>
        <v>E3_1_2_14</v>
      </c>
      <c r="F461" s="5" t="s">
        <v>11297</v>
      </c>
      <c r="G461" s="5" t="s">
        <v>12166</v>
      </c>
      <c r="H461" s="5" t="s">
        <v>11298</v>
      </c>
      <c r="I461" s="5" t="s">
        <v>12776</v>
      </c>
      <c r="J461" s="12" t="str">
        <f t="shared" si="14"/>
        <v>(${Variables:E3_1_2_14_kcat} * E3_1_2_14 * C05761*C00001)/(${Variables:E3_1_2_14_km} + (E3_1_2_14 * C05761*C00001))</v>
      </c>
      <c r="K461" s="36" t="str">
        <f t="shared" si="15"/>
        <v>r460: C05761+C00001 -&gt; C00229+C06424 | (${Variables:E3_1_2_14_kcat} * E3_1_2_14 * C05761*C00001)/(${Variables:E3_1_2_14_km} + (E3_1_2_14 * C05761*C00001))</v>
      </c>
    </row>
    <row r="462" spans="1:11" ht="58" x14ac:dyDescent="0.35">
      <c r="A462" s="1" t="s">
        <v>2502</v>
      </c>
      <c r="B462" s="1" t="s">
        <v>2503</v>
      </c>
      <c r="C462" s="1" t="s">
        <v>9948</v>
      </c>
      <c r="D462" s="1">
        <v>461</v>
      </c>
      <c r="E462" s="1" t="str">
        <f>CONCATENATE("E",Reactions!C462)</f>
        <v>E3_1_2_14</v>
      </c>
      <c r="F462" s="5" t="s">
        <v>11299</v>
      </c>
      <c r="G462" s="5" t="s">
        <v>12167</v>
      </c>
      <c r="H462" s="5" t="s">
        <v>11300</v>
      </c>
      <c r="I462" s="5" t="s">
        <v>12777</v>
      </c>
      <c r="J462" s="12" t="str">
        <f t="shared" si="14"/>
        <v>(${Variables:E3_1_2_14_kcat} * E3_1_2_14 * C16520*C00001)/(${Variables:E3_1_2_14_km} + (E3_1_2_14 * C16520*C00001))</v>
      </c>
      <c r="K462" s="36" t="str">
        <f t="shared" si="15"/>
        <v>r461: C16520+C00001 -&gt; C00229+C08362 | (${Variables:E3_1_2_14_kcat} * E3_1_2_14 * C16520*C00001)/(${Variables:E3_1_2_14_km} + (E3_1_2_14 * C16520*C00001))</v>
      </c>
    </row>
    <row r="463" spans="1:11" ht="58" x14ac:dyDescent="0.35">
      <c r="A463" s="1" t="s">
        <v>2502</v>
      </c>
      <c r="B463" s="1" t="s">
        <v>2503</v>
      </c>
      <c r="C463" s="1" t="s">
        <v>9948</v>
      </c>
      <c r="D463" s="1">
        <v>462</v>
      </c>
      <c r="E463" s="1" t="str">
        <f>CONCATENATE("E",Reactions!C463)</f>
        <v>E3_1_2_14</v>
      </c>
      <c r="F463" s="5" t="s">
        <v>11301</v>
      </c>
      <c r="G463" s="5" t="s">
        <v>12168</v>
      </c>
      <c r="H463" s="5" t="s">
        <v>11302</v>
      </c>
      <c r="I463" s="5" t="s">
        <v>12778</v>
      </c>
      <c r="J463" s="12" t="str">
        <f t="shared" si="14"/>
        <v>(${Variables:E3_1_2_14_kcat} * E3_1_2_14 * C04088*C00001)/(${Variables:E3_1_2_14_km} + (E3_1_2_14 * C04088*C00001))</v>
      </c>
      <c r="K463" s="36" t="str">
        <f t="shared" si="15"/>
        <v>r462: C04088+C00001 -&gt; C00229+C01530 | (${Variables:E3_1_2_14_kcat} * E3_1_2_14 * C04088*C00001)/(${Variables:E3_1_2_14_km} + (E3_1_2_14 * C04088*C00001))</v>
      </c>
    </row>
    <row r="464" spans="1:11" ht="58" x14ac:dyDescent="0.35">
      <c r="A464" s="1" t="s">
        <v>2502</v>
      </c>
      <c r="B464" s="1" t="s">
        <v>2503</v>
      </c>
      <c r="C464" s="1" t="s">
        <v>9948</v>
      </c>
      <c r="D464" s="1">
        <v>463</v>
      </c>
      <c r="E464" s="1" t="str">
        <f>CONCATENATE("E",Reactions!C464)</f>
        <v>E3_1_2_14</v>
      </c>
      <c r="F464" s="5" t="s">
        <v>11303</v>
      </c>
      <c r="G464" s="5" t="s">
        <v>12169</v>
      </c>
      <c r="H464" s="5" t="s">
        <v>11304</v>
      </c>
      <c r="I464" s="5" t="s">
        <v>12779</v>
      </c>
      <c r="J464" s="12" t="str">
        <f t="shared" si="14"/>
        <v>(${Variables:E3_1_2_14_kcat} * E3_1_2_14 * C20683*C00001 )/(${Variables:E3_1_2_14_km} + (E3_1_2_14 * C20683*C00001 ))</v>
      </c>
      <c r="K464" s="36" t="str">
        <f t="shared" si="15"/>
        <v>r463: C20683+C00001  -&gt; C00229+C00638 | (${Variables:E3_1_2_14_kcat} * E3_1_2_14 * C20683*C00001 )/(${Variables:E3_1_2_14_km} + (E3_1_2_14 * C20683*C00001 ))</v>
      </c>
    </row>
    <row r="465" spans="1:11" ht="58" x14ac:dyDescent="0.35">
      <c r="A465" s="1" t="s">
        <v>687</v>
      </c>
      <c r="B465" s="1" t="s">
        <v>688</v>
      </c>
      <c r="C465" s="1" t="s">
        <v>9949</v>
      </c>
      <c r="D465" s="1">
        <v>464</v>
      </c>
      <c r="E465" s="1" t="str">
        <f>CONCATENATE("E",Reactions!C465)</f>
        <v>E3_1_2_2</v>
      </c>
      <c r="F465" s="5" t="s">
        <v>11305</v>
      </c>
      <c r="G465" s="5" t="s">
        <v>12170</v>
      </c>
      <c r="H465" s="5" t="s">
        <v>11306</v>
      </c>
      <c r="I465" s="5" t="s">
        <v>12780</v>
      </c>
      <c r="J465" s="12" t="str">
        <f t="shared" si="14"/>
        <v>(${Variables:E3_1_2_2_kcat} * E3_1_2_2 * C00154*C00001)/(${Variables:E3_1_2_2_km} + (E3_1_2_2 * C00154*C00001))</v>
      </c>
      <c r="K465" s="36" t="str">
        <f t="shared" si="15"/>
        <v>r464: C00154+C00001 -&gt; C00010+C00249 | (${Variables:E3_1_2_2_kcat} * E3_1_2_2 * C00154*C00001)/(${Variables:E3_1_2_2_km} + (E3_1_2_2 * C00154*C00001))</v>
      </c>
    </row>
    <row r="466" spans="1:11" ht="58" x14ac:dyDescent="0.35">
      <c r="A466" s="1" t="s">
        <v>687</v>
      </c>
      <c r="B466" s="1" t="s">
        <v>688</v>
      </c>
      <c r="C466" s="1" t="s">
        <v>9949</v>
      </c>
      <c r="D466" s="1">
        <v>465</v>
      </c>
      <c r="E466" s="1" t="str">
        <f>CONCATENATE("E",Reactions!C466)</f>
        <v>E3_1_2_2</v>
      </c>
      <c r="F466" s="5" t="s">
        <v>11307</v>
      </c>
      <c r="G466" s="5" t="s">
        <v>12171</v>
      </c>
      <c r="H466" s="5" t="s">
        <v>11308</v>
      </c>
      <c r="I466" s="5" t="s">
        <v>12781</v>
      </c>
      <c r="J466" s="12" t="str">
        <f t="shared" si="14"/>
        <v>(${Variables:E3_1_2_2_kcat} * E3_1_2_2 * C00412*C00001)/(${Variables:E3_1_2_2_km} + (E3_1_2_2 * C00412*C00001))</v>
      </c>
      <c r="K466" s="36" t="str">
        <f t="shared" si="15"/>
        <v>r465: C00412+C00001 -&gt; C00010+C01530 | (${Variables:E3_1_2_2_kcat} * E3_1_2_2 * C00412*C00001)/(${Variables:E3_1_2_2_km} + (E3_1_2_2 * C00412*C00001))</v>
      </c>
    </row>
    <row r="467" spans="1:11" ht="58" x14ac:dyDescent="0.35">
      <c r="A467" s="1" t="s">
        <v>687</v>
      </c>
      <c r="B467" s="1" t="s">
        <v>688</v>
      </c>
      <c r="C467" s="1" t="s">
        <v>9949</v>
      </c>
      <c r="D467" s="1">
        <v>466</v>
      </c>
      <c r="E467" s="1" t="str">
        <f>CONCATENATE("E",Reactions!C467)</f>
        <v>E3_1_2_2</v>
      </c>
      <c r="F467" s="5" t="s">
        <v>11309</v>
      </c>
      <c r="G467" s="5" t="s">
        <v>12172</v>
      </c>
      <c r="H467" s="5" t="s">
        <v>11310</v>
      </c>
      <c r="I467" s="5" t="s">
        <v>12782</v>
      </c>
      <c r="J467" s="12" t="str">
        <f t="shared" si="14"/>
        <v>(${Variables:E3_1_2_2_kcat} * E3_1_2_2 * C02041*C00001)/(${Variables:E3_1_2_2_km} + (E3_1_2_2 * C02041*C00001))</v>
      </c>
      <c r="K467" s="36" t="str">
        <f t="shared" si="15"/>
        <v>r466: C02041+C00001 -&gt; C00010+C06425 | (${Variables:E3_1_2_2_kcat} * E3_1_2_2 * C02041*C00001)/(${Variables:E3_1_2_2_km} + (E3_1_2_2 * C02041*C00001))</v>
      </c>
    </row>
    <row r="468" spans="1:11" ht="58" x14ac:dyDescent="0.35">
      <c r="A468" s="1" t="s">
        <v>687</v>
      </c>
      <c r="B468" s="1" t="s">
        <v>688</v>
      </c>
      <c r="C468" s="1" t="s">
        <v>9949</v>
      </c>
      <c r="D468" s="1">
        <v>467</v>
      </c>
      <c r="E468" s="1" t="str">
        <f>CONCATENATE("E",Reactions!C468)</f>
        <v>E3_1_2_2</v>
      </c>
      <c r="F468" s="5" t="s">
        <v>11311</v>
      </c>
      <c r="G468" s="5" t="s">
        <v>12173</v>
      </c>
      <c r="H468" s="5" t="s">
        <v>11312</v>
      </c>
      <c r="I468" s="5" t="s">
        <v>12783</v>
      </c>
      <c r="J468" s="12" t="str">
        <f t="shared" si="14"/>
        <v>(${Variables:E3_1_2_2_kcat} * E3_1_2_2 * C00510*C00001)/(${Variables:E3_1_2_2_km} + (E3_1_2_2 * C00510*C00001))</v>
      </c>
      <c r="K468" s="36" t="str">
        <f t="shared" si="15"/>
        <v>r467: C00510+C00001 -&gt; C00010+C00712 | (${Variables:E3_1_2_2_kcat} * E3_1_2_2 * C00510*C00001)/(${Variables:E3_1_2_2_km} + (E3_1_2_2 * C00510*C00001))</v>
      </c>
    </row>
    <row r="469" spans="1:11" ht="58" x14ac:dyDescent="0.35">
      <c r="A469" s="1" t="s">
        <v>687</v>
      </c>
      <c r="B469" s="1" t="s">
        <v>688</v>
      </c>
      <c r="C469" s="1" t="s">
        <v>9949</v>
      </c>
      <c r="D469" s="1">
        <v>468</v>
      </c>
      <c r="E469" s="1" t="str">
        <f>CONCATENATE("E",Reactions!C469)</f>
        <v>E3_1_2_2</v>
      </c>
      <c r="F469" s="5" t="s">
        <v>11313</v>
      </c>
      <c r="G469" s="5" t="s">
        <v>12174</v>
      </c>
      <c r="H469" s="5" t="s">
        <v>11314</v>
      </c>
      <c r="I469" s="5" t="s">
        <v>12784</v>
      </c>
      <c r="J469" s="12" t="str">
        <f t="shared" si="14"/>
        <v>(${Variables:E3_1_2_2_kcat} * E3_1_2_2 * C02050*C00001)/(${Variables:E3_1_2_2_km} + (E3_1_2_2 * C02050*C00001))</v>
      </c>
      <c r="K469" s="36" t="str">
        <f t="shared" si="15"/>
        <v>r468: C02050+C00001 -&gt; C00010+C01595 | (${Variables:E3_1_2_2_kcat} * E3_1_2_2 * C02050*C00001)/(${Variables:E3_1_2_2_km} + (E3_1_2_2 * C02050*C00001))</v>
      </c>
    </row>
    <row r="470" spans="1:11" ht="58" x14ac:dyDescent="0.35">
      <c r="A470" s="1" t="s">
        <v>687</v>
      </c>
      <c r="B470" s="1" t="s">
        <v>688</v>
      </c>
      <c r="C470" s="1" t="s">
        <v>9949</v>
      </c>
      <c r="D470" s="1">
        <v>469</v>
      </c>
      <c r="E470" s="1" t="str">
        <f>CONCATENATE("E",Reactions!C470)</f>
        <v>E3_1_2_2</v>
      </c>
      <c r="F470" s="5" t="s">
        <v>11315</v>
      </c>
      <c r="G470" s="5" t="s">
        <v>12175</v>
      </c>
      <c r="H470" s="5" t="s">
        <v>11316</v>
      </c>
      <c r="I470" s="5" t="s">
        <v>12785</v>
      </c>
      <c r="J470" s="12" t="str">
        <f t="shared" si="14"/>
        <v>(${Variables:E3_1_2_2_kcat} * E3_1_2_2 * C16162*C00001)/(${Variables:E3_1_2_2_km} + (E3_1_2_2 * C16162*C00001))</v>
      </c>
      <c r="K470" s="36" t="str">
        <f t="shared" si="15"/>
        <v>r469: C16162+C00001 -&gt; C00010+C06427 | (${Variables:E3_1_2_2_kcat} * E3_1_2_2 * C16162*C00001)/(${Variables:E3_1_2_2_km} + (E3_1_2_2 * C16162*C00001))</v>
      </c>
    </row>
    <row r="471" spans="1:11" ht="58" x14ac:dyDescent="0.35">
      <c r="A471" s="1" t="s">
        <v>687</v>
      </c>
      <c r="B471" s="1" t="s">
        <v>688</v>
      </c>
      <c r="C471" s="1" t="s">
        <v>9949</v>
      </c>
      <c r="D471" s="1">
        <v>470</v>
      </c>
      <c r="E471" s="1" t="str">
        <f>CONCATENATE("E",Reactions!C471)</f>
        <v>E3_1_2_2</v>
      </c>
      <c r="F471" s="5" t="s">
        <v>11317</v>
      </c>
      <c r="G471" s="5" t="s">
        <v>12176</v>
      </c>
      <c r="H471" s="5" t="s">
        <v>11318</v>
      </c>
      <c r="I471" s="5" t="s">
        <v>12786</v>
      </c>
      <c r="J471" s="12" t="str">
        <f t="shared" si="14"/>
        <v>(${Variables:E3_1_2_2_kcat} * E3_1_2_2 * C16165*C00001)/(${Variables:E3_1_2_2_km} + (E3_1_2_2 * C16165*C00001))</v>
      </c>
      <c r="K471" s="36" t="str">
        <f t="shared" si="15"/>
        <v>r470: C16165+C00001 -&gt; C00010+C06428 | (${Variables:E3_1_2_2_kcat} * E3_1_2_2 * C16165*C00001)/(${Variables:E3_1_2_2_km} + (E3_1_2_2 * C16165*C00001))</v>
      </c>
    </row>
    <row r="472" spans="1:11" ht="58" x14ac:dyDescent="0.35">
      <c r="A472" s="1" t="s">
        <v>687</v>
      </c>
      <c r="B472" s="1" t="s">
        <v>688</v>
      </c>
      <c r="C472" s="1" t="s">
        <v>9949</v>
      </c>
      <c r="D472" s="1">
        <v>471</v>
      </c>
      <c r="E472" s="1" t="str">
        <f>CONCATENATE("E",Reactions!C472)</f>
        <v>E3_1_2_2</v>
      </c>
      <c r="F472" s="5" t="s">
        <v>11319</v>
      </c>
      <c r="G472" s="5" t="s">
        <v>12177</v>
      </c>
      <c r="H472" s="5" t="s">
        <v>11320</v>
      </c>
      <c r="I472" s="5" t="s">
        <v>12787</v>
      </c>
      <c r="J472" s="12" t="str">
        <f t="shared" si="14"/>
        <v>(${Variables:E3_1_2_2_kcat} * E3_1_2_2 * C16169*C00001)/(${Variables:E3_1_2_2_km} + (E3_1_2_2 * C16169*C00001))</v>
      </c>
      <c r="K472" s="36" t="str">
        <f t="shared" si="15"/>
        <v>r471: C16169+C00001 -&gt; C00010+C06429 | (${Variables:E3_1_2_2_kcat} * E3_1_2_2 * C16169*C00001)/(${Variables:E3_1_2_2_km} + (E3_1_2_2 * C16169*C00001))</v>
      </c>
    </row>
    <row r="473" spans="1:11" ht="58" x14ac:dyDescent="0.35">
      <c r="A473" s="1" t="s">
        <v>687</v>
      </c>
      <c r="B473" s="1" t="s">
        <v>688</v>
      </c>
      <c r="C473" s="1" t="s">
        <v>9949</v>
      </c>
      <c r="D473" s="1">
        <v>472</v>
      </c>
      <c r="E473" s="1" t="str">
        <f>CONCATENATE("E",Reactions!C473)</f>
        <v>E3_1_2_2</v>
      </c>
      <c r="F473" s="5" t="s">
        <v>11321</v>
      </c>
      <c r="G473" s="5" t="s">
        <v>12178</v>
      </c>
      <c r="H473" s="5" t="s">
        <v>11322</v>
      </c>
      <c r="I473" s="5" t="s">
        <v>12788</v>
      </c>
      <c r="J473" s="12" t="str">
        <f t="shared" si="14"/>
        <v>(${Variables:E3_1_2_2_kcat} * E3_1_2_2 * C03035*C00001)/(${Variables:E3_1_2_2_km} + (E3_1_2_2 * C03035*C00001))</v>
      </c>
      <c r="K473" s="36" t="str">
        <f t="shared" si="15"/>
        <v>r472: C03035+C00001 -&gt; C00010+C06426 | (${Variables:E3_1_2_2_kcat} * E3_1_2_2 * C03035*C00001)/(${Variables:E3_1_2_2_km} + (E3_1_2_2 * C03035*C00001))</v>
      </c>
    </row>
    <row r="474" spans="1:11" ht="58" x14ac:dyDescent="0.35">
      <c r="A474" s="1" t="s">
        <v>687</v>
      </c>
      <c r="B474" s="1" t="s">
        <v>688</v>
      </c>
      <c r="C474" s="1" t="s">
        <v>9949</v>
      </c>
      <c r="D474" s="1">
        <v>473</v>
      </c>
      <c r="E474" s="1" t="str">
        <f>CONCATENATE("E",Reactions!C474)</f>
        <v>E3_1_2_2</v>
      </c>
      <c r="F474" s="5" t="s">
        <v>11323</v>
      </c>
      <c r="G474" s="5" t="s">
        <v>12179</v>
      </c>
      <c r="H474" s="5" t="s">
        <v>11324</v>
      </c>
      <c r="I474" s="5" t="s">
        <v>12789</v>
      </c>
      <c r="J474" s="12" t="str">
        <f t="shared" si="14"/>
        <v>(${Variables:E3_1_2_2_kcat} * E3_1_2_2 * C03595*C00001)/(${Variables:E3_1_2_2_km} + (E3_1_2_2 * C03595*C00001))</v>
      </c>
      <c r="K474" s="36" t="str">
        <f t="shared" si="15"/>
        <v>r473: C03595+C00001 -&gt; C00010+C03242 | (${Variables:E3_1_2_2_kcat} * E3_1_2_2 * C03595*C00001)/(${Variables:E3_1_2_2_km} + (E3_1_2_2 * C03595*C00001))</v>
      </c>
    </row>
    <row r="475" spans="1:11" ht="58" x14ac:dyDescent="0.35">
      <c r="A475" s="1" t="s">
        <v>687</v>
      </c>
      <c r="B475" s="1" t="s">
        <v>688</v>
      </c>
      <c r="C475" s="1" t="s">
        <v>9949</v>
      </c>
      <c r="D475" s="1">
        <v>474</v>
      </c>
      <c r="E475" s="1" t="str">
        <f>CONCATENATE("E",Reactions!C475)</f>
        <v>E3_1_2_2</v>
      </c>
      <c r="F475" s="5" t="s">
        <v>11325</v>
      </c>
      <c r="G475" s="5" t="s">
        <v>12180</v>
      </c>
      <c r="H475" s="5" t="s">
        <v>11326</v>
      </c>
      <c r="I475" s="5" t="s">
        <v>12790</v>
      </c>
      <c r="J475" s="12" t="str">
        <f t="shared" si="14"/>
        <v>(${Variables:E3_1_2_2_kcat} * E3_1_2_2 * C02249*C00001)/(${Variables:E3_1_2_2_km} + (E3_1_2_2 * C02249*C00001))</v>
      </c>
      <c r="K475" s="36" t="str">
        <f t="shared" si="15"/>
        <v>r474: C02249+C00001 -&gt; C00010+C00219 | (${Variables:E3_1_2_2_kcat} * E3_1_2_2 * C02249*C00001)/(${Variables:E3_1_2_2_km} + (E3_1_2_2 * C02249*C00001))</v>
      </c>
    </row>
    <row r="476" spans="1:11" ht="58" x14ac:dyDescent="0.35">
      <c r="A476" s="1" t="s">
        <v>687</v>
      </c>
      <c r="B476" s="1" t="s">
        <v>688</v>
      </c>
      <c r="C476" s="1" t="s">
        <v>9949</v>
      </c>
      <c r="D476" s="1">
        <v>475</v>
      </c>
      <c r="E476" s="1" t="str">
        <f>CONCATENATE("E",Reactions!C476)</f>
        <v>E3_1_2_2</v>
      </c>
      <c r="F476" s="5" t="s">
        <v>11327</v>
      </c>
      <c r="G476" s="5" t="s">
        <v>12181</v>
      </c>
      <c r="H476" s="5" t="s">
        <v>11328</v>
      </c>
      <c r="I476" s="5" t="s">
        <v>12791</v>
      </c>
      <c r="J476" s="12" t="str">
        <f t="shared" si="14"/>
        <v>(${Variables:E3_1_2_2_kcat} * E3_1_2_2 * C02843*C00001)/(${Variables:E3_1_2_2_km} + (E3_1_2_2 * C02843*C00001))</v>
      </c>
      <c r="K476" s="36" t="str">
        <f t="shared" si="15"/>
        <v>r475: C02843+C00001 -&gt; C00638+C00010 | (${Variables:E3_1_2_2_kcat} * E3_1_2_2 * C02843*C00001)/(${Variables:E3_1_2_2_km} + (E3_1_2_2 * C02843*C00001))</v>
      </c>
    </row>
    <row r="477" spans="1:11" ht="58" x14ac:dyDescent="0.35">
      <c r="A477" s="1" t="s">
        <v>2512</v>
      </c>
      <c r="B477" s="1" t="s">
        <v>2513</v>
      </c>
      <c r="C477" s="1" t="s">
        <v>9955</v>
      </c>
      <c r="D477" s="1">
        <v>476</v>
      </c>
      <c r="E477" s="1" t="str">
        <f>CONCATENATE("E",Reactions!C477)</f>
        <v>E3_1_3_15</v>
      </c>
      <c r="F477" s="5" t="s">
        <v>11329</v>
      </c>
      <c r="G477" s="5" t="s">
        <v>12182</v>
      </c>
      <c r="H477" s="5" t="s">
        <v>11330</v>
      </c>
      <c r="I477" s="5" t="s">
        <v>12792</v>
      </c>
      <c r="J477" s="12" t="str">
        <f t="shared" si="14"/>
        <v>(${Variables:E3_1_3_15_kcat} * E3_1_3_15 * C01100*C00001)/(${Variables:E3_1_3_15_km} + (E3_1_3_15 * C01100*C00001))</v>
      </c>
      <c r="K477" s="36" t="str">
        <f t="shared" si="15"/>
        <v>r476: C01100+C00001 -&gt; C00860+C00009 | (${Variables:E3_1_3_15_kcat} * E3_1_3_15 * C01100*C00001)/(${Variables:E3_1_3_15_km} + (E3_1_3_15 * C01100*C00001))</v>
      </c>
    </row>
    <row r="478" spans="1:11" ht="58" x14ac:dyDescent="0.35">
      <c r="A478" s="1" t="s">
        <v>4276</v>
      </c>
      <c r="B478" s="1" t="s">
        <v>4277</v>
      </c>
      <c r="C478" s="1" t="s">
        <v>9956</v>
      </c>
      <c r="D478" s="1">
        <v>477</v>
      </c>
      <c r="E478" s="1" t="str">
        <f>CONCATENATE("E",Reactions!C478)</f>
        <v>E3_1_3_16</v>
      </c>
      <c r="F478" s="5" t="s">
        <v>11331</v>
      </c>
      <c r="G478" s="5" t="s">
        <v>12183</v>
      </c>
      <c r="H478" s="5" t="s">
        <v>11332</v>
      </c>
      <c r="I478" s="5" t="s">
        <v>12793</v>
      </c>
      <c r="J478" s="12" t="str">
        <f t="shared" si="14"/>
        <v>(${Variables:E3_1_3_16_kcat} * E3_1_3_16 * C00562*C00001)/(${Variables:E3_1_3_16_km} + (E3_1_3_16 * C00562*C00001))</v>
      </c>
      <c r="K478" s="36" t="str">
        <f t="shared" si="15"/>
        <v>r477: C00562+C00001 -&gt; C00017+C00009 | (${Variables:E3_1_3_16_kcat} * E3_1_3_16 * C00562*C00001)/(${Variables:E3_1_3_16_km} + (E3_1_3_16 * C00562*C00001))</v>
      </c>
    </row>
    <row r="479" spans="1:11" ht="58" x14ac:dyDescent="0.35">
      <c r="A479" s="1" t="s">
        <v>3314</v>
      </c>
      <c r="B479" s="1" t="s">
        <v>3315</v>
      </c>
      <c r="C479" s="1" t="s">
        <v>9957</v>
      </c>
      <c r="D479" s="1">
        <v>478</v>
      </c>
      <c r="E479" s="1" t="str">
        <f>CONCATENATE("E",Reactions!C479)</f>
        <v>E3_1_3_25</v>
      </c>
      <c r="F479" s="5" t="s">
        <v>11333</v>
      </c>
      <c r="G479" s="5" t="s">
        <v>12184</v>
      </c>
      <c r="H479" s="5" t="s">
        <v>11334</v>
      </c>
      <c r="I479" s="5" t="s">
        <v>12794</v>
      </c>
      <c r="J479" s="12" t="str">
        <f t="shared" si="14"/>
        <v>(${Variables:E3_1_3_25_kcat} * E3_1_3_25 * C15585*C00001)/(${Variables:E3_1_3_25_km} + (E3_1_3_25 * C15585*C00001))</v>
      </c>
      <c r="K479" s="36" t="str">
        <f t="shared" si="15"/>
        <v>r478: C15585+C00001 -&gt; C00137+C00009 | (${Variables:E3_1_3_25_kcat} * E3_1_3_25 * C15585*C00001)/(${Variables:E3_1_3_25_km} + (E3_1_3_25 * C15585*C00001))</v>
      </c>
    </row>
    <row r="480" spans="1:11" ht="58" x14ac:dyDescent="0.35">
      <c r="A480" s="1" t="s">
        <v>3314</v>
      </c>
      <c r="B480" s="1" t="s">
        <v>3315</v>
      </c>
      <c r="C480" s="1" t="s">
        <v>9957</v>
      </c>
      <c r="D480" s="1">
        <v>479</v>
      </c>
      <c r="E480" s="1" t="str">
        <f>CONCATENATE("E",Reactions!C480)</f>
        <v>E3_1_3_25</v>
      </c>
      <c r="F480" s="5" t="s">
        <v>11335</v>
      </c>
      <c r="G480" s="5" t="s">
        <v>12185</v>
      </c>
      <c r="H480" s="5" t="s">
        <v>11334</v>
      </c>
      <c r="I480" s="5" t="s">
        <v>12794</v>
      </c>
      <c r="J480" s="12" t="str">
        <f t="shared" si="14"/>
        <v>(${Variables:E3_1_3_25_kcat} * E3_1_3_25 * C01177*C00001)/(${Variables:E3_1_3_25_km} + (E3_1_3_25 * C01177*C00001))</v>
      </c>
      <c r="K480" s="36" t="str">
        <f t="shared" si="15"/>
        <v>r479: C01177+C00001 -&gt; C00137+C00009 | (${Variables:E3_1_3_25_kcat} * E3_1_3_25 * C01177*C00001)/(${Variables:E3_1_3_25_km} + (E3_1_3_25 * C01177*C00001))</v>
      </c>
    </row>
    <row r="481" spans="1:11" ht="58" x14ac:dyDescent="0.35">
      <c r="A481" s="1" t="s">
        <v>3314</v>
      </c>
      <c r="B481" s="1" t="s">
        <v>3315</v>
      </c>
      <c r="C481" s="1" t="s">
        <v>9957</v>
      </c>
      <c r="D481" s="1">
        <v>480</v>
      </c>
      <c r="E481" s="1" t="str">
        <f>CONCATENATE("E",Reactions!C481)</f>
        <v>E3_1_3_25</v>
      </c>
      <c r="F481" s="5" t="s">
        <v>11336</v>
      </c>
      <c r="G481" s="5" t="s">
        <v>12186</v>
      </c>
      <c r="H481" s="5" t="s">
        <v>11334</v>
      </c>
      <c r="I481" s="5" t="s">
        <v>12794</v>
      </c>
      <c r="J481" s="12" t="str">
        <f t="shared" si="14"/>
        <v>(${Variables:E3_1_3_25_kcat} * E3_1_3_25 * C03546*C00001)/(${Variables:E3_1_3_25_km} + (E3_1_3_25 * C03546*C00001))</v>
      </c>
      <c r="K481" s="36" t="str">
        <f t="shared" si="15"/>
        <v>r480: C03546+C00001 -&gt; C00137+C00009 | (${Variables:E3_1_3_25_kcat} * E3_1_3_25 * C03546*C00001)/(${Variables:E3_1_3_25_km} + (E3_1_3_25 * C03546*C00001))</v>
      </c>
    </row>
    <row r="482" spans="1:11" ht="58" x14ac:dyDescent="0.35">
      <c r="A482" s="1" t="s">
        <v>3314</v>
      </c>
      <c r="B482" s="1" t="s">
        <v>3315</v>
      </c>
      <c r="C482" s="1" t="s">
        <v>9957</v>
      </c>
      <c r="D482" s="1">
        <v>481</v>
      </c>
      <c r="E482" s="1" t="str">
        <f>CONCATENATE("E",Reactions!C482)</f>
        <v>E3_1_3_25</v>
      </c>
      <c r="F482" s="5" t="s">
        <v>11337</v>
      </c>
      <c r="G482" s="5" t="s">
        <v>12187</v>
      </c>
      <c r="H482" s="5" t="s">
        <v>11334</v>
      </c>
      <c r="I482" s="5" t="s">
        <v>12794</v>
      </c>
      <c r="J482" s="12" t="str">
        <f t="shared" si="14"/>
        <v>(${Variables:E3_1_3_25_kcat} * E3_1_3_25 * C04006*C00001)/(${Variables:E3_1_3_25_km} + (E3_1_3_25 * C04006*C00001))</v>
      </c>
      <c r="K482" s="36" t="str">
        <f t="shared" si="15"/>
        <v>r481: C04006+C00001 -&gt; C00137+C00009 | (${Variables:E3_1_3_25_kcat} * E3_1_3_25 * C04006*C00001)/(${Variables:E3_1_3_25_km} + (E3_1_3_25 * C04006*C00001))</v>
      </c>
    </row>
    <row r="483" spans="1:11" ht="58" x14ac:dyDescent="0.35">
      <c r="A483" s="1" t="s">
        <v>670</v>
      </c>
      <c r="B483" s="1" t="s">
        <v>671</v>
      </c>
      <c r="C483" s="1" t="s">
        <v>9958</v>
      </c>
      <c r="D483" s="1">
        <v>482</v>
      </c>
      <c r="E483" s="1" t="str">
        <f>CONCATENATE("E",Reactions!C483)</f>
        <v>E3_1_3_27</v>
      </c>
      <c r="F483" s="5" t="s">
        <v>11338</v>
      </c>
      <c r="G483" s="5" t="s">
        <v>12188</v>
      </c>
      <c r="H483" s="5" t="s">
        <v>11339</v>
      </c>
      <c r="I483" s="5" t="s">
        <v>12795</v>
      </c>
      <c r="J483" s="12" t="str">
        <f t="shared" si="14"/>
        <v>(${Variables:E3_1_3_27_kcat} * E3_1_3_27 * C03892*C00001)/(${Variables:E3_1_3_27_km} + (E3_1_3_27 * C03892*C00001))</v>
      </c>
      <c r="K483" s="36" t="str">
        <f t="shared" si="15"/>
        <v>r482: C03892+C00001 -&gt; C00344+C00009 | (${Variables:E3_1_3_27_kcat} * E3_1_3_27 * C03892*C00001)/(${Variables:E3_1_3_27_km} + (E3_1_3_27 * C03892*C00001))</v>
      </c>
    </row>
    <row r="484" spans="1:11" ht="58" x14ac:dyDescent="0.35">
      <c r="A484" s="1" t="s">
        <v>4702</v>
      </c>
      <c r="B484" s="1" t="s">
        <v>4703</v>
      </c>
      <c r="C484" s="1" t="s">
        <v>9959</v>
      </c>
      <c r="D484" s="1">
        <v>483</v>
      </c>
      <c r="E484" s="1" t="str">
        <f>CONCATENATE("E",Reactions!C484)</f>
        <v>E3_1_3_3</v>
      </c>
      <c r="F484" s="5" t="s">
        <v>11340</v>
      </c>
      <c r="G484" s="5" t="s">
        <v>12189</v>
      </c>
      <c r="H484" s="5" t="s">
        <v>11341</v>
      </c>
      <c r="I484" s="5" t="s">
        <v>12796</v>
      </c>
      <c r="J484" s="12" t="str">
        <f t="shared" si="14"/>
        <v>(${Variables:E3_1_3_3_kcat} * E3_1_3_3 * C01005*C00001)/(${Variables:E3_1_3_3_km} + (E3_1_3_3 * C01005*C00001))</v>
      </c>
      <c r="K484" s="36" t="str">
        <f t="shared" si="15"/>
        <v>r483: C01005+C00001 -&gt; C00065+C00009 | (${Variables:E3_1_3_3_kcat} * E3_1_3_3 * C01005*C00001)/(${Variables:E3_1_3_3_km} + (E3_1_3_3 * C01005*C00001))</v>
      </c>
    </row>
    <row r="485" spans="1:11" ht="58" x14ac:dyDescent="0.35">
      <c r="A485" s="1" t="s">
        <v>4702</v>
      </c>
      <c r="B485" s="1" t="s">
        <v>4703</v>
      </c>
      <c r="C485" s="1" t="s">
        <v>9959</v>
      </c>
      <c r="D485" s="1">
        <v>484</v>
      </c>
      <c r="E485" s="1" t="str">
        <f>CONCATENATE("E",Reactions!C485)</f>
        <v>E3_1_3_3</v>
      </c>
      <c r="F485" s="5" t="s">
        <v>11342</v>
      </c>
      <c r="G485" s="5" t="s">
        <v>12190</v>
      </c>
      <c r="H485" s="5" t="s">
        <v>11343</v>
      </c>
      <c r="I485" s="5" t="s">
        <v>12797</v>
      </c>
      <c r="J485" s="12" t="str">
        <f t="shared" si="14"/>
        <v>(${Variables:E3_1_3_3_kcat} * E3_1_3_3 * C02532*C00001)/(${Variables:E3_1_3_3_km} + (E3_1_3_3 * C02532*C00001))</v>
      </c>
      <c r="K485" s="36" t="str">
        <f t="shared" si="15"/>
        <v>r484: C02532+C00001 -&gt; C00740+C00009 | (${Variables:E3_1_3_3_kcat} * E3_1_3_3 * C02532*C00001)/(${Variables:E3_1_3_3_km} + (E3_1_3_3 * C02532*C00001))</v>
      </c>
    </row>
    <row r="486" spans="1:11" ht="58" x14ac:dyDescent="0.35">
      <c r="A486" s="1" t="s">
        <v>2506</v>
      </c>
      <c r="B486" s="1" t="s">
        <v>2507</v>
      </c>
      <c r="C486" s="1" t="s">
        <v>9960</v>
      </c>
      <c r="D486" s="1">
        <v>485</v>
      </c>
      <c r="E486" s="1" t="str">
        <f>CONCATENATE("E",Reactions!C486)</f>
        <v>E3_1_3_41</v>
      </c>
      <c r="F486" s="5" t="s">
        <v>11344</v>
      </c>
      <c r="G486" s="5" t="s">
        <v>12191</v>
      </c>
      <c r="H486" s="5" t="s">
        <v>11345</v>
      </c>
      <c r="I486" s="5" t="s">
        <v>12798</v>
      </c>
      <c r="J486" s="12" t="str">
        <f t="shared" si="14"/>
        <v>(${Variables:E3_1_3_41_kcat} * E3_1_3_41 * C03360*C00001)/(${Variables:E3_1_3_41_km} + (E3_1_3_41 * C03360*C00001))</v>
      </c>
      <c r="K486" s="36" t="str">
        <f t="shared" si="15"/>
        <v>r485: C03360+C00001 -&gt; C00870+C00009 | (${Variables:E3_1_3_41_kcat} * E3_1_3_41 * C03360*C00001)/(${Variables:E3_1_3_41_km} + (E3_1_3_41 * C03360*C00001))</v>
      </c>
    </row>
    <row r="487" spans="1:11" ht="58" x14ac:dyDescent="0.35">
      <c r="A487" s="1" t="s">
        <v>3102</v>
      </c>
      <c r="B487" s="1" t="s">
        <v>3103</v>
      </c>
      <c r="C487" s="1" t="s">
        <v>9961</v>
      </c>
      <c r="D487" s="1">
        <v>486</v>
      </c>
      <c r="E487" s="1" t="str">
        <f>CONCATENATE("E",Reactions!C487)</f>
        <v>E3_1_3_48</v>
      </c>
      <c r="F487" s="5" t="s">
        <v>11346</v>
      </c>
      <c r="G487" s="5" t="s">
        <v>12192</v>
      </c>
      <c r="H487" s="5" t="s">
        <v>11347</v>
      </c>
      <c r="I487" s="5" t="s">
        <v>12799</v>
      </c>
      <c r="J487" s="12" t="str">
        <f t="shared" si="14"/>
        <v>(${Variables:E3_1_3_48_kcat} * E3_1_3_48 * C01167*C00001)/(${Variables:E3_1_3_48_km} + (E3_1_3_48 * C01167*C00001))</v>
      </c>
      <c r="K487" s="36" t="str">
        <f t="shared" si="15"/>
        <v>r486: C01167+C00001 -&gt; C00585+C00009 | (${Variables:E3_1_3_48_kcat} * E3_1_3_48 * C01167*C00001)/(${Variables:E3_1_3_48_km} + (E3_1_3_48 * C01167*C00001))</v>
      </c>
    </row>
    <row r="488" spans="1:11" ht="58" x14ac:dyDescent="0.35">
      <c r="A488" s="1" t="s">
        <v>5265</v>
      </c>
      <c r="B488" s="1" t="s">
        <v>5266</v>
      </c>
      <c r="C488" s="1" t="s">
        <v>9962</v>
      </c>
      <c r="D488" s="1">
        <v>487</v>
      </c>
      <c r="E488" s="1" t="str">
        <f>CONCATENATE("E",Reactions!C488)</f>
        <v>E3_1_3_5</v>
      </c>
      <c r="F488" s="5" t="s">
        <v>11348</v>
      </c>
      <c r="G488" s="5" t="s">
        <v>12193</v>
      </c>
      <c r="H488" s="5" t="s">
        <v>11349</v>
      </c>
      <c r="I488" s="5" t="s">
        <v>12800</v>
      </c>
      <c r="J488" s="12" t="str">
        <f t="shared" si="14"/>
        <v>(${Variables:E3_1_3_5_kcat} * E3_1_3_5 * C02520*C00001)/(${Variables:E3_1_3_5_km} + (E3_1_3_5 * C02520*C00001))</v>
      </c>
      <c r="K488" s="36" t="str">
        <f t="shared" si="15"/>
        <v>r487: C02520+C00001 -&gt; C00911+C00009 | (${Variables:E3_1_3_5_kcat} * E3_1_3_5 * C02520*C00001)/(${Variables:E3_1_3_5_km} + (E3_1_3_5 * C02520*C00001))</v>
      </c>
    </row>
    <row r="489" spans="1:11" ht="58" x14ac:dyDescent="0.35">
      <c r="A489" s="1" t="s">
        <v>5265</v>
      </c>
      <c r="B489" s="1" t="s">
        <v>5266</v>
      </c>
      <c r="C489" s="1" t="s">
        <v>9962</v>
      </c>
      <c r="D489" s="1">
        <v>488</v>
      </c>
      <c r="E489" s="1" t="str">
        <f>CONCATENATE("E",Reactions!C489)</f>
        <v>E3_1_3_5</v>
      </c>
      <c r="F489" s="5" t="s">
        <v>11350</v>
      </c>
      <c r="G489" s="5" t="s">
        <v>12194</v>
      </c>
      <c r="H489" s="5" t="s">
        <v>10906</v>
      </c>
      <c r="I489" s="5" t="s">
        <v>11966</v>
      </c>
      <c r="J489" s="12" t="str">
        <f t="shared" si="14"/>
        <v>(${Variables:E3_1_3_5_kcat} * E3_1_3_5 * C00020*C00001)/(${Variables:E3_1_3_5_km} + (E3_1_3_5 * C00020*C00001))</v>
      </c>
      <c r="K489" s="36" t="str">
        <f t="shared" si="15"/>
        <v>r488: C00020+C00001 -&gt; C00212+C00009 | (${Variables:E3_1_3_5_kcat} * E3_1_3_5 * C00020*C00001)/(${Variables:E3_1_3_5_km} + (E3_1_3_5 * C00020*C00001))</v>
      </c>
    </row>
    <row r="490" spans="1:11" ht="58" x14ac:dyDescent="0.35">
      <c r="A490" s="1" t="s">
        <v>5265</v>
      </c>
      <c r="B490" s="1" t="s">
        <v>5266</v>
      </c>
      <c r="C490" s="1" t="s">
        <v>9962</v>
      </c>
      <c r="D490" s="1">
        <v>489</v>
      </c>
      <c r="E490" s="1" t="str">
        <f>CONCATENATE("E",Reactions!C490)</f>
        <v>E3_1_3_5</v>
      </c>
      <c r="F490" s="5" t="s">
        <v>11351</v>
      </c>
      <c r="G490" s="5" t="s">
        <v>12195</v>
      </c>
      <c r="H490" s="5" t="s">
        <v>11352</v>
      </c>
      <c r="I490" s="5" t="s">
        <v>12801</v>
      </c>
      <c r="J490" s="12" t="str">
        <f t="shared" si="14"/>
        <v>(${Variables:E3_1_3_5_kcat} * E3_1_3_5 * C00055*C00001)/(${Variables:E3_1_3_5_km} + (E3_1_3_5 * C00055*C00001))</v>
      </c>
      <c r="K490" s="36" t="str">
        <f t="shared" si="15"/>
        <v>r489: C00055+C00001 -&gt; C00475+C00009 | (${Variables:E3_1_3_5_kcat} * E3_1_3_5 * C00055*C00001)/(${Variables:E3_1_3_5_km} + (E3_1_3_5 * C00055*C00001))</v>
      </c>
    </row>
    <row r="491" spans="1:11" ht="58" x14ac:dyDescent="0.35">
      <c r="A491" s="1" t="s">
        <v>5265</v>
      </c>
      <c r="B491" s="1" t="s">
        <v>5266</v>
      </c>
      <c r="C491" s="1" t="s">
        <v>9962</v>
      </c>
      <c r="D491" s="1">
        <v>490</v>
      </c>
      <c r="E491" s="1" t="str">
        <f>CONCATENATE("E",Reactions!C491)</f>
        <v>E3_1_3_5</v>
      </c>
      <c r="F491" s="5" t="s">
        <v>11353</v>
      </c>
      <c r="G491" s="5" t="s">
        <v>12196</v>
      </c>
      <c r="H491" s="5" t="s">
        <v>10938</v>
      </c>
      <c r="I491" s="5" t="s">
        <v>11982</v>
      </c>
      <c r="J491" s="12" t="str">
        <f t="shared" si="14"/>
        <v>(${Variables:E3_1_3_5_kcat} * E3_1_3_5 * C00105*C00001)/(${Variables:E3_1_3_5_km} + (E3_1_3_5 * C00105*C00001))</v>
      </c>
      <c r="K491" s="36" t="str">
        <f t="shared" si="15"/>
        <v>r490: C00105+C00001 -&gt; C00299+C00009 | (${Variables:E3_1_3_5_kcat} * E3_1_3_5 * C00105*C00001)/(${Variables:E3_1_3_5_km} + (E3_1_3_5 * C00105*C00001))</v>
      </c>
    </row>
    <row r="492" spans="1:11" ht="58" x14ac:dyDescent="0.35">
      <c r="A492" s="1" t="s">
        <v>5265</v>
      </c>
      <c r="B492" s="1" t="s">
        <v>5266</v>
      </c>
      <c r="C492" s="1" t="s">
        <v>9962</v>
      </c>
      <c r="D492" s="1">
        <v>491</v>
      </c>
      <c r="E492" s="1" t="str">
        <f>CONCATENATE("E",Reactions!C492)</f>
        <v>E3_1_3_5</v>
      </c>
      <c r="F492" s="5" t="s">
        <v>11354</v>
      </c>
      <c r="G492" s="5" t="s">
        <v>12197</v>
      </c>
      <c r="H492" s="5" t="s">
        <v>10908</v>
      </c>
      <c r="I492" s="5" t="s">
        <v>11967</v>
      </c>
      <c r="J492" s="12" t="str">
        <f t="shared" si="14"/>
        <v>(${Variables:E3_1_3_5_kcat} * E3_1_3_5 * C00130*C00001)/(${Variables:E3_1_3_5_km} + (E3_1_3_5 * C00130*C00001))</v>
      </c>
      <c r="K492" s="36" t="str">
        <f t="shared" si="15"/>
        <v>r491: C00130+C00001 -&gt; C00294+C00009 | (${Variables:E3_1_3_5_kcat} * E3_1_3_5 * C00130*C00001)/(${Variables:E3_1_3_5_km} + (E3_1_3_5 * C00130*C00001))</v>
      </c>
    </row>
    <row r="493" spans="1:11" ht="58" x14ac:dyDescent="0.35">
      <c r="A493" s="1" t="s">
        <v>5265</v>
      </c>
      <c r="B493" s="1" t="s">
        <v>5266</v>
      </c>
      <c r="C493" s="1" t="s">
        <v>9962</v>
      </c>
      <c r="D493" s="1">
        <v>492</v>
      </c>
      <c r="E493" s="1" t="str">
        <f>CONCATENATE("E",Reactions!C493)</f>
        <v>E3_1_3_5</v>
      </c>
      <c r="F493" s="5" t="s">
        <v>11355</v>
      </c>
      <c r="G493" s="5" t="s">
        <v>12198</v>
      </c>
      <c r="H493" s="5" t="s">
        <v>10910</v>
      </c>
      <c r="I493" s="5" t="s">
        <v>11968</v>
      </c>
      <c r="J493" s="12" t="str">
        <f t="shared" si="14"/>
        <v>(${Variables:E3_1_3_5_kcat} * E3_1_3_5 * C00144*C00001)/(${Variables:E3_1_3_5_km} + (E3_1_3_5 * C00144*C00001))</v>
      </c>
      <c r="K493" s="36" t="str">
        <f t="shared" si="15"/>
        <v>r492: C00144+C00001 -&gt; C00387+C00009 | (${Variables:E3_1_3_5_kcat} * E3_1_3_5 * C00144*C00001)/(${Variables:E3_1_3_5_km} + (E3_1_3_5 * C00144*C00001))</v>
      </c>
    </row>
    <row r="494" spans="1:11" ht="58" x14ac:dyDescent="0.35">
      <c r="A494" s="1" t="s">
        <v>5265</v>
      </c>
      <c r="B494" s="1" t="s">
        <v>5266</v>
      </c>
      <c r="C494" s="1" t="s">
        <v>9962</v>
      </c>
      <c r="D494" s="1">
        <v>493</v>
      </c>
      <c r="E494" s="1" t="str">
        <f>CONCATENATE("E",Reactions!C494)</f>
        <v>E3_1_3_5</v>
      </c>
      <c r="F494" s="5" t="s">
        <v>11356</v>
      </c>
      <c r="G494" s="5" t="s">
        <v>12199</v>
      </c>
      <c r="H494" s="5" t="s">
        <v>10922</v>
      </c>
      <c r="I494" s="5" t="s">
        <v>11974</v>
      </c>
      <c r="J494" s="12" t="str">
        <f t="shared" si="14"/>
        <v>(${Variables:E3_1_3_5_kcat} * E3_1_3_5 * C00455*C00001)/(${Variables:E3_1_3_5_km} + (E3_1_3_5 * C00455*C00001))</v>
      </c>
      <c r="K494" s="36" t="str">
        <f t="shared" si="15"/>
        <v>r493: C00455+C00001 -&gt; C03150+C00009 | (${Variables:E3_1_3_5_kcat} * E3_1_3_5 * C00455*C00001)/(${Variables:E3_1_3_5_km} + (E3_1_3_5 * C00455*C00001))</v>
      </c>
    </row>
    <row r="495" spans="1:11" ht="58" x14ac:dyDescent="0.35">
      <c r="A495" s="1" t="s">
        <v>5265</v>
      </c>
      <c r="B495" s="1" t="s">
        <v>5266</v>
      </c>
      <c r="C495" s="1" t="s">
        <v>9962</v>
      </c>
      <c r="D495" s="1">
        <v>494</v>
      </c>
      <c r="E495" s="1" t="str">
        <f>CONCATENATE("E",Reactions!C495)</f>
        <v>E3_1_3_5</v>
      </c>
      <c r="F495" s="5" t="s">
        <v>11357</v>
      </c>
      <c r="G495" s="5" t="s">
        <v>12200</v>
      </c>
      <c r="H495" s="5" t="s">
        <v>11358</v>
      </c>
      <c r="I495" s="5" t="s">
        <v>12802</v>
      </c>
      <c r="J495" s="12" t="str">
        <f t="shared" si="14"/>
        <v>(${Variables:E3_1_3_5_kcat} * E3_1_3_5 * C00655*C00001)/(${Variables:E3_1_3_5_km} + (E3_1_3_5 * C00655*C00001))</v>
      </c>
      <c r="K495" s="36" t="str">
        <f t="shared" si="15"/>
        <v>r494: C00655+C00001 -&gt; C01762+C00009 | (${Variables:E3_1_3_5_kcat} * E3_1_3_5 * C00655*C00001)/(${Variables:E3_1_3_5_km} + (E3_1_3_5 * C00655*C00001))</v>
      </c>
    </row>
    <row r="496" spans="1:11" ht="58" x14ac:dyDescent="0.35">
      <c r="A496" s="1" t="s">
        <v>5265</v>
      </c>
      <c r="B496" s="1" t="s">
        <v>5266</v>
      </c>
      <c r="C496" s="1" t="s">
        <v>9962</v>
      </c>
      <c r="D496" s="1">
        <v>495</v>
      </c>
      <c r="E496" s="1" t="str">
        <f>CONCATENATE("E",Reactions!C496)</f>
        <v>E3_1_3_5</v>
      </c>
      <c r="F496" s="5" t="s">
        <v>11359</v>
      </c>
      <c r="G496" s="5" t="s">
        <v>12201</v>
      </c>
      <c r="H496" s="5" t="s">
        <v>11360</v>
      </c>
      <c r="I496" s="5" t="s">
        <v>12803</v>
      </c>
      <c r="J496" s="12" t="str">
        <f t="shared" si="14"/>
        <v>(${Variables:E3_1_3_5_kcat} * E3_1_3_5 * C01185*C00001)/(${Variables:E3_1_3_5_km} + (E3_1_3_5 * C01185*C00001))</v>
      </c>
      <c r="K496" s="36" t="str">
        <f t="shared" si="15"/>
        <v>r495: C01185+C00001 -&gt; C05841+C00009 | (${Variables:E3_1_3_5_kcat} * E3_1_3_5 * C01185*C00001)/(${Variables:E3_1_3_5_km} + (E3_1_3_5 * C01185*C00001))</v>
      </c>
    </row>
    <row r="497" spans="1:11" ht="58" x14ac:dyDescent="0.35">
      <c r="A497" s="1" t="s">
        <v>5265</v>
      </c>
      <c r="B497" s="1" t="s">
        <v>5266</v>
      </c>
      <c r="C497" s="1" t="s">
        <v>9962</v>
      </c>
      <c r="D497" s="1">
        <v>496</v>
      </c>
      <c r="E497" s="1" t="str">
        <f>CONCATENATE("E",Reactions!C497)</f>
        <v>E3_1_3_5</v>
      </c>
      <c r="F497" s="5" t="s">
        <v>11361</v>
      </c>
      <c r="G497" s="5" t="s">
        <v>12202</v>
      </c>
      <c r="H497" s="5" t="s">
        <v>11362</v>
      </c>
      <c r="I497" s="5" t="s">
        <v>12804</v>
      </c>
      <c r="J497" s="12" t="str">
        <f t="shared" si="14"/>
        <v>(${Variables:E3_1_3_5_kcat} * E3_1_3_5 * C00364*C00001)/(${Variables:E3_1_3_5_km} + (E3_1_3_5 * C00364*C00001))</v>
      </c>
      <c r="K497" s="36" t="str">
        <f t="shared" si="15"/>
        <v>r496: C00364+C00001 -&gt; C00214+C00009 | (${Variables:E3_1_3_5_kcat} * E3_1_3_5 * C00364*C00001)/(${Variables:E3_1_3_5_km} + (E3_1_3_5 * C00364*C00001))</v>
      </c>
    </row>
    <row r="498" spans="1:11" ht="58" x14ac:dyDescent="0.35">
      <c r="A498" s="1" t="s">
        <v>5265</v>
      </c>
      <c r="B498" s="1" t="s">
        <v>5266</v>
      </c>
      <c r="C498" s="1" t="s">
        <v>9962</v>
      </c>
      <c r="D498" s="1">
        <v>497</v>
      </c>
      <c r="E498" s="1" t="str">
        <f>CONCATENATE("E",Reactions!C498)</f>
        <v>E3_1_3_5</v>
      </c>
      <c r="F498" s="5" t="s">
        <v>11363</v>
      </c>
      <c r="G498" s="5" t="s">
        <v>12203</v>
      </c>
      <c r="H498" s="5" t="s">
        <v>11364</v>
      </c>
      <c r="I498" s="5" t="s">
        <v>12805</v>
      </c>
      <c r="J498" s="12" t="str">
        <f t="shared" si="14"/>
        <v>(${Variables:E3_1_3_5_kcat} * E3_1_3_5 * C00239*C00001)/(${Variables:E3_1_3_5_km} + (E3_1_3_5 * C00239*C00001))</v>
      </c>
      <c r="K498" s="36" t="str">
        <f t="shared" si="15"/>
        <v>r497: C00239+C00001 -&gt; C00881+C00009 | (${Variables:E3_1_3_5_kcat} * E3_1_3_5 * C00239*C00001)/(${Variables:E3_1_3_5_km} + (E3_1_3_5 * C00239*C00001))</v>
      </c>
    </row>
    <row r="499" spans="1:11" ht="58" x14ac:dyDescent="0.35">
      <c r="A499" s="1" t="s">
        <v>5265</v>
      </c>
      <c r="B499" s="1" t="s">
        <v>5266</v>
      </c>
      <c r="C499" s="1" t="s">
        <v>9962</v>
      </c>
      <c r="D499" s="1">
        <v>498</v>
      </c>
      <c r="E499" s="1" t="str">
        <f>CONCATENATE("E",Reactions!C499)</f>
        <v>E3_1_3_5</v>
      </c>
      <c r="F499" s="5" t="s">
        <v>11365</v>
      </c>
      <c r="G499" s="5" t="s">
        <v>12204</v>
      </c>
      <c r="H499" s="5" t="s">
        <v>11366</v>
      </c>
      <c r="I499" s="5" t="s">
        <v>12806</v>
      </c>
      <c r="J499" s="12" t="str">
        <f t="shared" si="14"/>
        <v>(${Variables:E3_1_3_5_kcat} * E3_1_3_5 * C00362*C00001)/(${Variables:E3_1_3_5_km} + (E3_1_3_5 * C00362*C00001))</v>
      </c>
      <c r="K499" s="36" t="str">
        <f t="shared" si="15"/>
        <v>r498: C00362+C00001 -&gt; C00330+C00009 | (${Variables:E3_1_3_5_kcat} * E3_1_3_5 * C00362*C00001)/(${Variables:E3_1_3_5_km} + (E3_1_3_5 * C00362*C00001))</v>
      </c>
    </row>
    <row r="500" spans="1:11" ht="58" x14ac:dyDescent="0.35">
      <c r="A500" s="1" t="s">
        <v>5265</v>
      </c>
      <c r="B500" s="1" t="s">
        <v>5266</v>
      </c>
      <c r="C500" s="1" t="s">
        <v>9962</v>
      </c>
      <c r="D500" s="1">
        <v>499</v>
      </c>
      <c r="E500" s="1" t="str">
        <f>CONCATENATE("E",Reactions!C500)</f>
        <v>E3_1_3_5</v>
      </c>
      <c r="F500" s="5" t="s">
        <v>11367</v>
      </c>
      <c r="G500" s="5" t="s">
        <v>12205</v>
      </c>
      <c r="H500" s="5" t="s">
        <v>11368</v>
      </c>
      <c r="I500" s="5" t="s">
        <v>12807</v>
      </c>
      <c r="J500" s="12" t="str">
        <f t="shared" si="14"/>
        <v>(${Variables:E3_1_3_5_kcat} * E3_1_3_5 * C00360*C00001)/(${Variables:E3_1_3_5_km} + (E3_1_3_5 * C00360*C00001))</v>
      </c>
      <c r="K500" s="36" t="str">
        <f t="shared" si="15"/>
        <v>r499: C00360+C00001 -&gt; C00559+C00009 | (${Variables:E3_1_3_5_kcat} * E3_1_3_5 * C00360*C00001)/(${Variables:E3_1_3_5_km} + (E3_1_3_5 * C00360*C00001))</v>
      </c>
    </row>
    <row r="501" spans="1:11" ht="58" x14ac:dyDescent="0.35">
      <c r="A501" s="1" t="s">
        <v>5265</v>
      </c>
      <c r="B501" s="1" t="s">
        <v>5266</v>
      </c>
      <c r="C501" s="1" t="s">
        <v>9962</v>
      </c>
      <c r="D501" s="1">
        <v>500</v>
      </c>
      <c r="E501" s="1" t="str">
        <f>CONCATENATE("E",Reactions!C501)</f>
        <v>E3_1_3_5</v>
      </c>
      <c r="F501" s="5" t="s">
        <v>11369</v>
      </c>
      <c r="G501" s="5" t="s">
        <v>12206</v>
      </c>
      <c r="H501" s="5" t="s">
        <v>11370</v>
      </c>
      <c r="I501" s="5" t="s">
        <v>12808</v>
      </c>
      <c r="J501" s="12" t="str">
        <f t="shared" si="14"/>
        <v>(${Variables:E3_1_3_5_kcat} * E3_1_3_5 * C00365*C00001)/(${Variables:E3_1_3_5_km} + (E3_1_3_5 * C00365*C00001))</v>
      </c>
      <c r="K501" s="36" t="str">
        <f t="shared" si="15"/>
        <v>r500: C00365+C00001 -&gt; C00526+C00009 | (${Variables:E3_1_3_5_kcat} * E3_1_3_5 * C00365*C00001)/(${Variables:E3_1_3_5_km} + (E3_1_3_5 * C00365*C00001))</v>
      </c>
    </row>
    <row r="502" spans="1:11" ht="58" x14ac:dyDescent="0.35">
      <c r="A502" s="1" t="s">
        <v>5265</v>
      </c>
      <c r="B502" s="1" t="s">
        <v>5266</v>
      </c>
      <c r="C502" s="1" t="s">
        <v>9962</v>
      </c>
      <c r="D502" s="1">
        <v>501</v>
      </c>
      <c r="E502" s="1" t="str">
        <f>CONCATENATE("E",Reactions!C502)</f>
        <v>E3_1_3_5</v>
      </c>
      <c r="F502" s="5" t="s">
        <v>11371</v>
      </c>
      <c r="G502" s="5" t="s">
        <v>12207</v>
      </c>
      <c r="H502" s="5" t="s">
        <v>11372</v>
      </c>
      <c r="I502" s="5" t="s">
        <v>12809</v>
      </c>
      <c r="J502" s="12" t="str">
        <f t="shared" si="14"/>
        <v>(${Variables:E3_1_3_5_kcat} * E3_1_3_5 * C06196*C00001)/(${Variables:E3_1_3_5_km} + (E3_1_3_5 * C06196*C00001))</v>
      </c>
      <c r="K502" s="36" t="str">
        <f t="shared" si="15"/>
        <v>r501: C06196+C00001 -&gt; C05512+C00009 | (${Variables:E3_1_3_5_kcat} * E3_1_3_5 * C06196*C00001)/(${Variables:E3_1_3_5_km} + (E3_1_3_5 * C06196*C00001))</v>
      </c>
    </row>
    <row r="503" spans="1:11" ht="58" x14ac:dyDescent="0.35">
      <c r="A503" s="1" t="s">
        <v>3226</v>
      </c>
      <c r="B503" s="1" t="s">
        <v>3227</v>
      </c>
      <c r="C503" s="1" t="s">
        <v>9963</v>
      </c>
      <c r="D503" s="1">
        <v>502</v>
      </c>
      <c r="E503" s="1" t="str">
        <f>CONCATENATE("E",Reactions!C503)</f>
        <v>E3_2_1_1</v>
      </c>
      <c r="F503" s="1" t="s">
        <v>11373</v>
      </c>
      <c r="G503" s="1" t="s">
        <v>12208</v>
      </c>
      <c r="H503" s="1" t="s">
        <v>11374</v>
      </c>
      <c r="I503" s="1" t="s">
        <v>12810</v>
      </c>
      <c r="J503" s="12" t="str">
        <f t="shared" si="14"/>
        <v>(${Variables:E3_2_1_1_kcat} * E3_2_1_1 * C00369*C00001)/(${Variables:E3_2_1_1_km} + (E3_2_1_1 * C00369*C00001))</v>
      </c>
      <c r="K503" s="36" t="str">
        <f t="shared" si="15"/>
        <v>r502: C00369+C00001 -&gt; C00721+C00369 | (${Variables:E3_2_1_1_kcat} * E3_2_1_1 * C00369*C00001)/(${Variables:E3_2_1_1_km} + (E3_2_1_1 * C00369*C00001))</v>
      </c>
    </row>
    <row r="504" spans="1:11" ht="58" x14ac:dyDescent="0.35">
      <c r="A504" s="1" t="s">
        <v>3226</v>
      </c>
      <c r="B504" s="1" t="s">
        <v>3227</v>
      </c>
      <c r="C504" s="1" t="s">
        <v>9963</v>
      </c>
      <c r="D504" s="1">
        <v>503</v>
      </c>
      <c r="E504" s="1" t="str">
        <f>CONCATENATE("E",Reactions!C504)</f>
        <v>E3_2_1_1</v>
      </c>
      <c r="F504" s="1" t="s">
        <v>7344</v>
      </c>
      <c r="G504" s="1" t="s">
        <v>7344</v>
      </c>
      <c r="H504" s="1" t="s">
        <v>11375</v>
      </c>
      <c r="I504" s="1" t="s">
        <v>12811</v>
      </c>
      <c r="J504" s="12" t="str">
        <f t="shared" si="14"/>
        <v>(${Variables:E3_2_1_1_kcat} * E3_2_1_1 * C00369)/(${Variables:E3_2_1_1_km} + (E3_2_1_1 * C00369))</v>
      </c>
      <c r="K504" s="36" t="str">
        <f t="shared" si="15"/>
        <v>r503: C00369 -&gt; C00721+C00208 | (${Variables:E3_2_1_1_kcat} * E3_2_1_1 * C00369)/(${Variables:E3_2_1_1_km} + (E3_2_1_1 * C00369))</v>
      </c>
    </row>
    <row r="505" spans="1:11" ht="58" x14ac:dyDescent="0.35">
      <c r="A505" s="1" t="s">
        <v>3226</v>
      </c>
      <c r="B505" s="1" t="s">
        <v>3227</v>
      </c>
      <c r="C505" s="1" t="s">
        <v>9963</v>
      </c>
      <c r="D505" s="1">
        <v>504</v>
      </c>
      <c r="E505" s="1" t="str">
        <f>CONCATENATE("E",Reactions!C505)</f>
        <v>E3_2_1_1</v>
      </c>
      <c r="F505" s="1" t="s">
        <v>11376</v>
      </c>
      <c r="G505" s="1" t="s">
        <v>12209</v>
      </c>
      <c r="H505" s="1" t="s">
        <v>11377</v>
      </c>
      <c r="I505" s="1" t="s">
        <v>12812</v>
      </c>
      <c r="J505" s="12" t="str">
        <f t="shared" si="14"/>
        <v>(${Variables:E3_2_1_1_kcat} * E3_2_1_1 * G10545*C00001)/(${Variables:E3_2_1_1_km} + (E3_2_1_1 * G10545*C00001))</v>
      </c>
      <c r="K505" s="36" t="str">
        <f t="shared" si="15"/>
        <v>r504: G10545+C00001 -&gt; G10545+G10545 | (${Variables:E3_2_1_1_kcat} * E3_2_1_1 * G10545*C00001)/(${Variables:E3_2_1_1_km} + (E3_2_1_1 * G10545*C00001))</v>
      </c>
    </row>
    <row r="506" spans="1:11" ht="58" x14ac:dyDescent="0.35">
      <c r="A506" s="1" t="s">
        <v>3226</v>
      </c>
      <c r="B506" s="1" t="s">
        <v>3227</v>
      </c>
      <c r="C506" s="1" t="s">
        <v>9963</v>
      </c>
      <c r="D506" s="1">
        <v>505</v>
      </c>
      <c r="E506" s="1" t="str">
        <f>CONCATENATE("E",Reactions!C506)</f>
        <v>E3_2_1_1</v>
      </c>
      <c r="F506" s="5" t="s">
        <v>11378</v>
      </c>
      <c r="G506" s="5" t="s">
        <v>12210</v>
      </c>
      <c r="H506" s="5" t="s">
        <v>8186</v>
      </c>
      <c r="I506" s="5" t="s">
        <v>8186</v>
      </c>
      <c r="J506" s="12" t="str">
        <f t="shared" si="14"/>
        <v>(${Variables:E3_2_1_1_kcat} * E3_2_1_1 * C01935*C00001)/(${Variables:E3_2_1_1_km} + (E3_2_1_1 * C01935*C00001))</v>
      </c>
      <c r="K506" s="36" t="str">
        <f t="shared" si="15"/>
        <v>r505: C01935+C00001 -&gt; C00208 | (${Variables:E3_2_1_1_kcat} * E3_2_1_1 * C01935*C00001)/(${Variables:E3_2_1_1_km} + (E3_2_1_1 * C01935*C00001))</v>
      </c>
    </row>
    <row r="507" spans="1:11" ht="58" x14ac:dyDescent="0.35">
      <c r="A507" s="1" t="s">
        <v>4203</v>
      </c>
      <c r="B507" s="1" t="s">
        <v>4204</v>
      </c>
      <c r="C507" s="1" t="s">
        <v>9964</v>
      </c>
      <c r="D507" s="1">
        <v>506</v>
      </c>
      <c r="E507" s="1" t="str">
        <f>CONCATENATE("E",Reactions!C507)</f>
        <v>E3_2_1_23</v>
      </c>
      <c r="F507" s="5" t="s">
        <v>11379</v>
      </c>
      <c r="G507" s="5" t="s">
        <v>12211</v>
      </c>
      <c r="H507" s="5" t="s">
        <v>11380</v>
      </c>
      <c r="I507" s="5" t="s">
        <v>12813</v>
      </c>
      <c r="J507" s="12" t="str">
        <f t="shared" si="14"/>
        <v>(${Variables:E3_2_1_23_kcat} * E3_2_1_23 * C00243*C00001 )/(${Variables:E3_2_1_23_km} + (E3_2_1_23 * C00243*C00001 ))</v>
      </c>
      <c r="K507" s="36" t="str">
        <f t="shared" si="15"/>
        <v>r506: C00243+C00001  -&gt; C00031+C00962 | (${Variables:E3_2_1_23_kcat} * E3_2_1_23 * C00243*C00001 )/(${Variables:E3_2_1_23_km} + (E3_2_1_23 * C00243*C00001 ))</v>
      </c>
    </row>
    <row r="508" spans="1:11" ht="58" x14ac:dyDescent="0.35">
      <c r="A508" s="1" t="s">
        <v>4203</v>
      </c>
      <c r="B508" s="1" t="s">
        <v>4204</v>
      </c>
      <c r="C508" s="1" t="s">
        <v>9964</v>
      </c>
      <c r="D508" s="1">
        <v>507</v>
      </c>
      <c r="E508" s="1" t="str">
        <f>CONCATENATE("E",Reactions!C508)</f>
        <v>E3_2_1_23</v>
      </c>
      <c r="F508" s="5" t="s">
        <v>11381</v>
      </c>
      <c r="G508" s="5" t="s">
        <v>12212</v>
      </c>
      <c r="H508" s="5" t="s">
        <v>11382</v>
      </c>
      <c r="I508" s="5" t="s">
        <v>12814</v>
      </c>
      <c r="J508" s="12" t="str">
        <f t="shared" si="14"/>
        <v>(${Variables:E3_2_1_23_kcat} * E3_2_1_23 * C05796*C00001)/(${Variables:E3_2_1_23_km} + (E3_2_1_23 * C05796*C00001))</v>
      </c>
      <c r="K508" s="36" t="str">
        <f t="shared" si="15"/>
        <v>r507: C05796+C00001 -&gt; C00124+C05796 | (${Variables:E3_2_1_23_kcat} * E3_2_1_23 * C05796*C00001)/(${Variables:E3_2_1_23_km} + (E3_2_1_23 * C05796*C00001))</v>
      </c>
    </row>
    <row r="509" spans="1:11" ht="58" x14ac:dyDescent="0.35">
      <c r="A509" s="1" t="s">
        <v>4203</v>
      </c>
      <c r="B509" s="1" t="s">
        <v>4204</v>
      </c>
      <c r="C509" s="1" t="s">
        <v>9964</v>
      </c>
      <c r="D509" s="1">
        <v>508</v>
      </c>
      <c r="E509" s="1" t="str">
        <f>CONCATENATE("E",Reactions!C509)</f>
        <v>E3_2_1_23</v>
      </c>
      <c r="F509" s="5" t="s">
        <v>11383</v>
      </c>
      <c r="G509" s="5" t="s">
        <v>12213</v>
      </c>
      <c r="H509" s="5" t="s">
        <v>11384</v>
      </c>
      <c r="I509" s="5" t="s">
        <v>12815</v>
      </c>
      <c r="J509" s="12" t="str">
        <f t="shared" si="14"/>
        <v>(${Variables:E3_2_1_23_kcat} * E3_2_1_23 * C00243*C00001)/(${Variables:E3_2_1_23_km} + (E3_2_1_23 * C00243*C00001))</v>
      </c>
      <c r="K509" s="36" t="str">
        <f t="shared" si="15"/>
        <v>r508: C00243+C00001 -&gt; C00267+C00124 | (${Variables:E3_2_1_23_kcat} * E3_2_1_23 * C00243*C00001)/(${Variables:E3_2_1_23_km} + (E3_2_1_23 * C00243*C00001))</v>
      </c>
    </row>
    <row r="510" spans="1:11" ht="58" x14ac:dyDescent="0.35">
      <c r="A510" s="1" t="s">
        <v>4203</v>
      </c>
      <c r="B510" s="1" t="s">
        <v>4204</v>
      </c>
      <c r="C510" s="1" t="s">
        <v>9964</v>
      </c>
      <c r="D510" s="1">
        <v>509</v>
      </c>
      <c r="E510" s="1" t="str">
        <f>CONCATENATE("E",Reactions!C510)</f>
        <v>E3_2_1_23</v>
      </c>
      <c r="F510" s="5" t="s">
        <v>11385</v>
      </c>
      <c r="G510" s="5" t="s">
        <v>12214</v>
      </c>
      <c r="H510" s="5" t="s">
        <v>11386</v>
      </c>
      <c r="I510" s="5" t="s">
        <v>12816</v>
      </c>
      <c r="J510" s="12" t="str">
        <f t="shared" si="14"/>
        <v>(${Variables:E3_2_1_23_kcat} * E3_2_1_23 * C01290*C00001)/(${Variables:E3_2_1_23_km} + (E3_2_1_23 * C01290*C00001))</v>
      </c>
      <c r="K510" s="36" t="str">
        <f t="shared" si="15"/>
        <v>r509: C01290+C00001 -&gt; C01190+C00124 | (${Variables:E3_2_1_23_kcat} * E3_2_1_23 * C01290*C00001)/(${Variables:E3_2_1_23_km} + (E3_2_1_23 * C01290*C00001))</v>
      </c>
    </row>
    <row r="511" spans="1:11" ht="58" x14ac:dyDescent="0.35">
      <c r="A511" s="1" t="s">
        <v>4203</v>
      </c>
      <c r="B511" s="1" t="s">
        <v>4204</v>
      </c>
      <c r="C511" s="1" t="s">
        <v>9964</v>
      </c>
      <c r="D511" s="1">
        <v>510</v>
      </c>
      <c r="E511" s="1" t="str">
        <f>CONCATENATE("E",Reactions!C511)</f>
        <v>E3_2_1_23</v>
      </c>
      <c r="F511" s="5" t="s">
        <v>11387</v>
      </c>
      <c r="G511" s="5" t="s">
        <v>12215</v>
      </c>
      <c r="H511" s="5" t="s">
        <v>11388</v>
      </c>
      <c r="I511" s="5" t="s">
        <v>12817</v>
      </c>
      <c r="J511" s="12" t="str">
        <f t="shared" si="14"/>
        <v>(${Variables:E3_2_1_23_kcat} * E3_2_1_23 * C04911*C00001)/(${Variables:E3_2_1_23_km} + (E3_2_1_23 * C04911*C00001))</v>
      </c>
      <c r="K511" s="36" t="str">
        <f t="shared" si="15"/>
        <v>r510: C04911+C00001 -&gt; C04884+C00124 | (${Variables:E3_2_1_23_kcat} * E3_2_1_23 * C04911*C00001)/(${Variables:E3_2_1_23_km} + (E3_2_1_23 * C04911*C00001))</v>
      </c>
    </row>
    <row r="512" spans="1:11" ht="58" x14ac:dyDescent="0.35">
      <c r="A512" s="1" t="s">
        <v>4203</v>
      </c>
      <c r="B512" s="1" t="s">
        <v>4204</v>
      </c>
      <c r="C512" s="1" t="s">
        <v>9964</v>
      </c>
      <c r="D512" s="1">
        <v>511</v>
      </c>
      <c r="E512" s="1" t="str">
        <f>CONCATENATE("E",Reactions!C512)</f>
        <v>E3_2_1_23</v>
      </c>
      <c r="F512" s="5" t="s">
        <v>11389</v>
      </c>
      <c r="G512" s="5" t="s">
        <v>12216</v>
      </c>
      <c r="H512" s="5" t="s">
        <v>11390</v>
      </c>
      <c r="I512" s="5" t="s">
        <v>12818</v>
      </c>
      <c r="J512" s="12" t="str">
        <f t="shared" si="14"/>
        <v>(${Variables:E3_2_1_23_kcat} * E3_2_1_23 * C05403*C00001)/(${Variables:E3_2_1_23_km} + (E3_2_1_23 * C05403*C00001))</v>
      </c>
      <c r="K512" s="36" t="str">
        <f t="shared" si="15"/>
        <v>r511: C05403+C00001 -&gt; C05394+C00221 | (${Variables:E3_2_1_23_kcat} * E3_2_1_23 * C05403*C00001)/(${Variables:E3_2_1_23_km} + (E3_2_1_23 * C05403*C00001))</v>
      </c>
    </row>
    <row r="513" spans="1:11" ht="58" x14ac:dyDescent="0.35">
      <c r="A513" s="1" t="s">
        <v>4203</v>
      </c>
      <c r="B513" s="1" t="s">
        <v>4204</v>
      </c>
      <c r="C513" s="1" t="s">
        <v>9964</v>
      </c>
      <c r="D513" s="1">
        <v>512</v>
      </c>
      <c r="E513" s="1" t="str">
        <f>CONCATENATE("E",Reactions!C513)</f>
        <v>E3_2_1_23</v>
      </c>
      <c r="F513" s="5" t="s">
        <v>11391</v>
      </c>
      <c r="G513" s="5" t="s">
        <v>12217</v>
      </c>
      <c r="H513" s="5" t="s">
        <v>11392</v>
      </c>
      <c r="I513" s="5" t="s">
        <v>12819</v>
      </c>
      <c r="J513" s="12" t="str">
        <f t="shared" si="14"/>
        <v>(${Variables:E3_2_1_23_kcat} * E3_2_1_23 * C06136*C00001)/(${Variables:E3_2_1_23_km} + (E3_2_1_23 * C06136*C00001))</v>
      </c>
      <c r="K513" s="36" t="str">
        <f t="shared" si="15"/>
        <v>r512: C06136+C00001 -&gt; C06135+C00124 | (${Variables:E3_2_1_23_kcat} * E3_2_1_23 * C06136*C00001)/(${Variables:E3_2_1_23_km} + (E3_2_1_23 * C06136*C00001))</v>
      </c>
    </row>
    <row r="514" spans="1:11" ht="58" x14ac:dyDescent="0.35">
      <c r="A514" s="1" t="s">
        <v>4203</v>
      </c>
      <c r="B514" s="1" t="s">
        <v>4204</v>
      </c>
      <c r="C514" s="1" t="s">
        <v>9964</v>
      </c>
      <c r="D514" s="1">
        <v>513</v>
      </c>
      <c r="E514" s="1" t="str">
        <f>CONCATENATE("E",Reactions!C514)</f>
        <v>E3_2_1_23</v>
      </c>
      <c r="F514" s="5" t="s">
        <v>11393</v>
      </c>
      <c r="G514" s="5" t="s">
        <v>12218</v>
      </c>
      <c r="H514" s="5" t="s">
        <v>11394</v>
      </c>
      <c r="I514" s="5" t="s">
        <v>12820</v>
      </c>
      <c r="J514" s="12" t="str">
        <f t="shared" si="14"/>
        <v>(${Variables:E3_2_1_23_kcat} * E3_2_1_23 * G00124*C00001)/(${Variables:E3_2_1_23_km} + (E3_2_1_23 * G00124*C00001))</v>
      </c>
      <c r="K514" s="36" t="str">
        <f t="shared" si="15"/>
        <v>r513: G00124+C00001 -&gt; G00123+C00124 | (${Variables:E3_2_1_23_kcat} * E3_2_1_23 * G00124*C00001)/(${Variables:E3_2_1_23_km} + (E3_2_1_23 * G00124*C00001))</v>
      </c>
    </row>
    <row r="515" spans="1:11" ht="58" x14ac:dyDescent="0.35">
      <c r="A515" s="1" t="s">
        <v>4203</v>
      </c>
      <c r="B515" s="1" t="s">
        <v>4204</v>
      </c>
      <c r="C515" s="1" t="s">
        <v>9964</v>
      </c>
      <c r="D515" s="1">
        <v>514</v>
      </c>
      <c r="E515" s="1" t="str">
        <f>CONCATENATE("E",Reactions!C515)</f>
        <v>E3_2_1_23</v>
      </c>
      <c r="F515" s="5" t="s">
        <v>11395</v>
      </c>
      <c r="G515" s="5" t="s">
        <v>12219</v>
      </c>
      <c r="H515" s="5" t="s">
        <v>11396</v>
      </c>
      <c r="I515" s="5" t="s">
        <v>12821</v>
      </c>
      <c r="J515" s="12" t="str">
        <f t="shared" ref="J515:J578" si="16">CONCATENATE("(${Variables:",E515,"_kcat","} * ",E515," * ",G515,")","/(${Variables:",E515,"_km","} + (",E515," * ",G515,"))")</f>
        <v>(${Variables:E3_2_1_23_kcat} * E3_2_1_23 * G00110*C00001)/(${Variables:E3_2_1_23_km} + (E3_2_1_23 * G00110*C00001))</v>
      </c>
      <c r="K515" s="36" t="str">
        <f t="shared" ref="K515:K578" si="17">CONCATENATE("r",D515,": ",F515," -&gt; ",H515," | ",J515)</f>
        <v>r514: G00110+C00001 -&gt; G00109+C00124 | (${Variables:E3_2_1_23_kcat} * E3_2_1_23 * G00110*C00001)/(${Variables:E3_2_1_23_km} + (E3_2_1_23 * G00110*C00001))</v>
      </c>
    </row>
    <row r="516" spans="1:11" ht="58" x14ac:dyDescent="0.35">
      <c r="A516" s="1" t="s">
        <v>4203</v>
      </c>
      <c r="B516" s="1" t="s">
        <v>4204</v>
      </c>
      <c r="C516" s="1" t="s">
        <v>9964</v>
      </c>
      <c r="D516" s="1">
        <v>515</v>
      </c>
      <c r="E516" s="1" t="str">
        <f>CONCATENATE("E",Reactions!C516)</f>
        <v>E3_2_1_23</v>
      </c>
      <c r="F516" s="5" t="s">
        <v>11397</v>
      </c>
      <c r="G516" s="5" t="s">
        <v>12220</v>
      </c>
      <c r="H516" s="5" t="s">
        <v>11384</v>
      </c>
      <c r="I516" s="5" t="s">
        <v>12815</v>
      </c>
      <c r="J516" s="12" t="str">
        <f t="shared" si="16"/>
        <v>(${Variables:E3_2_1_23_kcat} * E3_2_1_23 * G10504*C00001)/(${Variables:E3_2_1_23_km} + (E3_2_1_23 * G10504*C00001))</v>
      </c>
      <c r="K516" s="36" t="str">
        <f t="shared" si="17"/>
        <v>r515: G10504+C00001 -&gt; C00267+C00124 | (${Variables:E3_2_1_23_kcat} * E3_2_1_23 * G10504*C00001)/(${Variables:E3_2_1_23_km} + (E3_2_1_23 * G10504*C00001))</v>
      </c>
    </row>
    <row r="517" spans="1:11" ht="58" x14ac:dyDescent="0.35">
      <c r="A517" s="1" t="s">
        <v>4203</v>
      </c>
      <c r="B517" s="1" t="s">
        <v>4204</v>
      </c>
      <c r="C517" s="1" t="s">
        <v>9964</v>
      </c>
      <c r="D517" s="1">
        <v>516</v>
      </c>
      <c r="E517" s="1" t="str">
        <f>CONCATENATE("E",Reactions!C517)</f>
        <v>E3_2_1_23</v>
      </c>
      <c r="F517" s="5" t="s">
        <v>11398</v>
      </c>
      <c r="G517" s="5" t="s">
        <v>12221</v>
      </c>
      <c r="H517" s="5" t="s">
        <v>11399</v>
      </c>
      <c r="I517" s="5" t="s">
        <v>12822</v>
      </c>
      <c r="J517" s="12" t="str">
        <f t="shared" si="16"/>
        <v>(${Variables:E3_2_1_23_kcat} * E3_2_1_23 * G00092*C00001)/(${Variables:E3_2_1_23_km} + (E3_2_1_23 * G00092*C00001))</v>
      </c>
      <c r="K517" s="36" t="str">
        <f t="shared" si="17"/>
        <v>r516: G00092+C00001 -&gt; G10238+C00124 | (${Variables:E3_2_1_23_kcat} * E3_2_1_23 * G00092*C00001)/(${Variables:E3_2_1_23_km} + (E3_2_1_23 * G00092*C00001))</v>
      </c>
    </row>
    <row r="518" spans="1:11" ht="58" x14ac:dyDescent="0.35">
      <c r="A518" s="1" t="s">
        <v>4203</v>
      </c>
      <c r="B518" s="1" t="s">
        <v>4204</v>
      </c>
      <c r="C518" s="1" t="s">
        <v>9964</v>
      </c>
      <c r="D518" s="1">
        <v>517</v>
      </c>
      <c r="E518" s="1" t="str">
        <f>CONCATENATE("E",Reactions!C518)</f>
        <v>E3_2_1_23</v>
      </c>
      <c r="F518" s="1" t="s">
        <v>11397</v>
      </c>
      <c r="G518" s="1" t="s">
        <v>12220</v>
      </c>
      <c r="H518" s="1" t="s">
        <v>11380</v>
      </c>
      <c r="I518" s="1" t="s">
        <v>12813</v>
      </c>
      <c r="J518" s="12" t="str">
        <f t="shared" si="16"/>
        <v>(${Variables:E3_2_1_23_kcat} * E3_2_1_23 * G10504*C00001)/(${Variables:E3_2_1_23_km} + (E3_2_1_23 * G10504*C00001))</v>
      </c>
      <c r="K518" s="36" t="str">
        <f t="shared" si="17"/>
        <v>r517: G10504+C00001 -&gt; C00031+C00962 | (${Variables:E3_2_1_23_kcat} * E3_2_1_23 * G10504*C00001)/(${Variables:E3_2_1_23_km} + (E3_2_1_23 * G10504*C00001))</v>
      </c>
    </row>
    <row r="519" spans="1:11" ht="58" x14ac:dyDescent="0.35">
      <c r="A519" s="1" t="s">
        <v>4203</v>
      </c>
      <c r="B519" s="1" t="s">
        <v>4204</v>
      </c>
      <c r="C519" s="1" t="s">
        <v>9964</v>
      </c>
      <c r="D519" s="1">
        <v>518</v>
      </c>
      <c r="E519" s="1" t="str">
        <f>CONCATENATE("E",Reactions!C519)</f>
        <v>E3_2_1_23</v>
      </c>
      <c r="F519" s="1" t="s">
        <v>11400</v>
      </c>
      <c r="G519" s="1" t="s">
        <v>12222</v>
      </c>
      <c r="H519" s="1" t="s">
        <v>11390</v>
      </c>
      <c r="I519" s="1" t="s">
        <v>12818</v>
      </c>
      <c r="J519" s="12" t="str">
        <f t="shared" si="16"/>
        <v>(${Variables:E3_2_1_23_kcat} * E3_2_1_23 * G10531*C00001 )/(${Variables:E3_2_1_23_km} + (E3_2_1_23 * G10531*C00001 ))</v>
      </c>
      <c r="K519" s="36" t="str">
        <f t="shared" si="17"/>
        <v>r518: G10531+C00001  -&gt; C05394+C00221 | (${Variables:E3_2_1_23_kcat} * E3_2_1_23 * G10531*C00001 )/(${Variables:E3_2_1_23_km} + (E3_2_1_23 * G10531*C00001 ))</v>
      </c>
    </row>
    <row r="520" spans="1:11" ht="58" x14ac:dyDescent="0.35">
      <c r="A520" s="1" t="s">
        <v>4203</v>
      </c>
      <c r="B520" s="1" t="s">
        <v>4204</v>
      </c>
      <c r="C520" s="1" t="s">
        <v>9964</v>
      </c>
      <c r="D520" s="1">
        <v>519</v>
      </c>
      <c r="E520" s="1" t="str">
        <f>CONCATENATE("E",Reactions!C520)</f>
        <v>E3_2_1_23</v>
      </c>
      <c r="F520" s="1" t="s">
        <v>11401</v>
      </c>
      <c r="G520" s="1" t="s">
        <v>12223</v>
      </c>
      <c r="H520" s="1" t="s">
        <v>11402</v>
      </c>
      <c r="I520" s="1" t="s">
        <v>12823</v>
      </c>
      <c r="J520" s="12" t="str">
        <f t="shared" si="16"/>
        <v>(${Variables:E3_2_1_23_kcat} * E3_2_1_23 * G10534*C00001 )/(${Variables:E3_2_1_23_km} + (E3_2_1_23 * G10534*C00001 ))</v>
      </c>
      <c r="K520" s="36" t="str">
        <f t="shared" si="17"/>
        <v>r519: G10534+C00001  -&gt; C00124+G10534 | (${Variables:E3_2_1_23_kcat} * E3_2_1_23 * G10534*C00001 )/(${Variables:E3_2_1_23_km} + (E3_2_1_23 * G10534*C00001 ))</v>
      </c>
    </row>
    <row r="521" spans="1:11" ht="58" x14ac:dyDescent="0.35">
      <c r="A521" s="1" t="s">
        <v>4203</v>
      </c>
      <c r="B521" s="1" t="s">
        <v>4204</v>
      </c>
      <c r="C521" s="1" t="s">
        <v>9964</v>
      </c>
      <c r="D521" s="1">
        <v>520</v>
      </c>
      <c r="E521" s="1" t="str">
        <f>CONCATENATE("E",Reactions!C521)</f>
        <v>E3_2_1_23</v>
      </c>
      <c r="F521" s="1" t="s">
        <v>11403</v>
      </c>
      <c r="G521" s="1" t="s">
        <v>12224</v>
      </c>
      <c r="H521" s="1" t="s">
        <v>11404</v>
      </c>
      <c r="I521" s="1" t="s">
        <v>12824</v>
      </c>
      <c r="J521" s="12" t="str">
        <f t="shared" si="16"/>
        <v>(${Variables:E3_2_1_23_kcat} * E3_2_1_23 * G01977*C00001)/(${Variables:E3_2_1_23_km} + (E3_2_1_23 * G01977*C00001))</v>
      </c>
      <c r="K521" s="36" t="str">
        <f t="shared" si="17"/>
        <v>r520: G01977+C00001 -&gt; G13073+C00124 | (${Variables:E3_2_1_23_kcat} * E3_2_1_23 * G01977*C00001)/(${Variables:E3_2_1_23_km} + (E3_2_1_23 * G01977*C00001))</v>
      </c>
    </row>
    <row r="522" spans="1:11" ht="58" x14ac:dyDescent="0.35">
      <c r="A522" s="1" t="s">
        <v>5405</v>
      </c>
      <c r="B522" s="1" t="s">
        <v>5406</v>
      </c>
      <c r="C522" s="1" t="s">
        <v>9965</v>
      </c>
      <c r="D522" s="1">
        <v>521</v>
      </c>
      <c r="E522" s="1" t="str">
        <f>CONCATENATE("E",Reactions!C522)</f>
        <v>E3_2_1_26</v>
      </c>
      <c r="F522" s="5" t="s">
        <v>11405</v>
      </c>
      <c r="G522" s="5" t="s">
        <v>12225</v>
      </c>
      <c r="H522" s="5" t="s">
        <v>11406</v>
      </c>
      <c r="I522" s="5" t="s">
        <v>12825</v>
      </c>
      <c r="J522" s="12" t="str">
        <f t="shared" si="16"/>
        <v>(${Variables:E3_2_1_26_kcat} * E3_2_1_26 * C00089*C00001)/(${Variables:E3_2_1_26_km} + (E3_2_1_26 * C00089*C00001))</v>
      </c>
      <c r="K522" s="36" t="str">
        <f t="shared" si="17"/>
        <v>r521: C00089+C00001 -&gt; C00095+C00031 | (${Variables:E3_2_1_26_kcat} * E3_2_1_26 * C00089*C00001)/(${Variables:E3_2_1_26_km} + (E3_2_1_26 * C00089*C00001))</v>
      </c>
    </row>
    <row r="523" spans="1:11" ht="58" x14ac:dyDescent="0.35">
      <c r="A523" s="1" t="s">
        <v>5405</v>
      </c>
      <c r="B523" s="1" t="s">
        <v>5406</v>
      </c>
      <c r="C523" s="1" t="s">
        <v>9965</v>
      </c>
      <c r="D523" s="1">
        <v>522</v>
      </c>
      <c r="E523" s="1" t="str">
        <f>CONCATENATE("E",Reactions!C523)</f>
        <v>E3_2_1_26</v>
      </c>
      <c r="F523" s="5" t="s">
        <v>11405</v>
      </c>
      <c r="G523" s="5" t="s">
        <v>12225</v>
      </c>
      <c r="H523" s="5" t="s">
        <v>11407</v>
      </c>
      <c r="I523" s="5" t="s">
        <v>12826</v>
      </c>
      <c r="J523" s="12" t="str">
        <f t="shared" si="16"/>
        <v>(${Variables:E3_2_1_26_kcat} * E3_2_1_26 * C00089*C00001)/(${Variables:E3_2_1_26_km} + (E3_2_1_26 * C00089*C00001))</v>
      </c>
      <c r="K523" s="36" t="str">
        <f t="shared" si="17"/>
        <v>r522: C00089+C00001 -&gt; C02336+C00267 | (${Variables:E3_2_1_26_kcat} * E3_2_1_26 * C00089*C00001)/(${Variables:E3_2_1_26_km} + (E3_2_1_26 * C00089*C00001))</v>
      </c>
    </row>
    <row r="524" spans="1:11" ht="58" x14ac:dyDescent="0.35">
      <c r="A524" s="1" t="s">
        <v>5405</v>
      </c>
      <c r="B524" s="1" t="s">
        <v>5406</v>
      </c>
      <c r="C524" s="1" t="s">
        <v>9965</v>
      </c>
      <c r="D524" s="1">
        <v>523</v>
      </c>
      <c r="E524" s="1" t="str">
        <f>CONCATENATE("E",Reactions!C524)</f>
        <v>E3_2_1_26</v>
      </c>
      <c r="F524" s="5" t="s">
        <v>11408</v>
      </c>
      <c r="G524" s="5" t="s">
        <v>12226</v>
      </c>
      <c r="H524" s="5" t="s">
        <v>11409</v>
      </c>
      <c r="I524" s="5" t="s">
        <v>12827</v>
      </c>
      <c r="J524" s="12" t="str">
        <f t="shared" si="16"/>
        <v>(${Variables:E3_2_1_26_kcat} * E3_2_1_26 * C00492*C00001)/(${Variables:E3_2_1_26_km} + (E3_2_1_26 * C00492*C00001))</v>
      </c>
      <c r="K524" s="36" t="str">
        <f t="shared" si="17"/>
        <v>r523: C00492+C00001 -&gt; C05402+C00095 | (${Variables:E3_2_1_26_kcat} * E3_2_1_26 * C00492*C00001)/(${Variables:E3_2_1_26_km} + (E3_2_1_26 * C00492*C00001))</v>
      </c>
    </row>
    <row r="525" spans="1:11" ht="58" x14ac:dyDescent="0.35">
      <c r="A525" s="1" t="s">
        <v>5405</v>
      </c>
      <c r="B525" s="1" t="s">
        <v>5406</v>
      </c>
      <c r="C525" s="1" t="s">
        <v>9965</v>
      </c>
      <c r="D525" s="1">
        <v>524</v>
      </c>
      <c r="E525" s="1" t="str">
        <f>CONCATENATE("E",Reactions!C525)</f>
        <v>E3_2_1_26</v>
      </c>
      <c r="F525" s="5" t="s">
        <v>11410</v>
      </c>
      <c r="G525" s="5" t="s">
        <v>12227</v>
      </c>
      <c r="H525" s="5" t="s">
        <v>11411</v>
      </c>
      <c r="I525" s="5" t="s">
        <v>12828</v>
      </c>
      <c r="J525" s="12" t="str">
        <f t="shared" si="16"/>
        <v>(${Variables:E3_2_1_26_kcat} * E3_2_1_26 * C01613*C00001)/(${Variables:E3_2_1_26_km} + (E3_2_1_26 * C01613*C00001))</v>
      </c>
      <c r="K525" s="36" t="str">
        <f t="shared" si="17"/>
        <v>r524: C01613+C00001 -&gt; C05404+C00095 | (${Variables:E3_2_1_26_kcat} * E3_2_1_26 * C01613*C00001)/(${Variables:E3_2_1_26_km} + (E3_2_1_26 * C01613*C00001))</v>
      </c>
    </row>
    <row r="526" spans="1:11" ht="58" x14ac:dyDescent="0.35">
      <c r="A526" s="1" t="s">
        <v>5405</v>
      </c>
      <c r="B526" s="1" t="s">
        <v>5406</v>
      </c>
      <c r="C526" s="1" t="s">
        <v>9965</v>
      </c>
      <c r="D526" s="1">
        <v>525</v>
      </c>
      <c r="E526" s="1" t="str">
        <f>CONCATENATE("E",Reactions!C526)</f>
        <v>E3_2_1_26</v>
      </c>
      <c r="F526" s="5" t="s">
        <v>11412</v>
      </c>
      <c r="G526" s="5" t="s">
        <v>12228</v>
      </c>
      <c r="H526" s="5" t="s">
        <v>11413</v>
      </c>
      <c r="I526" s="5" t="s">
        <v>12829</v>
      </c>
      <c r="J526" s="12" t="str">
        <f t="shared" si="16"/>
        <v>(${Variables:E3_2_1_26_kcat} * E3_2_1_26 * C16688*C00001 )/(${Variables:E3_2_1_26_km} + (E3_2_1_26 * C16688*C00001 ))</v>
      </c>
      <c r="K526" s="36" t="str">
        <f t="shared" si="17"/>
        <v>r525: C16688+C00001  -&gt; C00095+C00092 | (${Variables:E3_2_1_26_kcat} * E3_2_1_26 * C16688*C00001 )/(${Variables:E3_2_1_26_km} + (E3_2_1_26 * C16688*C00001 ))</v>
      </c>
    </row>
    <row r="527" spans="1:11" ht="58" x14ac:dyDescent="0.35">
      <c r="A527" s="1" t="s">
        <v>5405</v>
      </c>
      <c r="B527" s="1" t="s">
        <v>5406</v>
      </c>
      <c r="C527" s="1" t="s">
        <v>9965</v>
      </c>
      <c r="D527" s="1">
        <v>526</v>
      </c>
      <c r="E527" s="1" t="str">
        <f>CONCATENATE("E",Reactions!C527)</f>
        <v>E3_2_1_26</v>
      </c>
      <c r="F527" s="5" t="s">
        <v>11414</v>
      </c>
      <c r="G527" s="5" t="s">
        <v>12229</v>
      </c>
      <c r="H527" s="5" t="s">
        <v>11406</v>
      </c>
      <c r="I527" s="5" t="s">
        <v>12825</v>
      </c>
      <c r="J527" s="12" t="str">
        <f t="shared" si="16"/>
        <v>(${Variables:E3_2_1_26_kcat} * E3_2_1_26 * G00370*C00001)/(${Variables:E3_2_1_26_km} + (E3_2_1_26 * G00370*C00001))</v>
      </c>
      <c r="K527" s="36" t="str">
        <f t="shared" si="17"/>
        <v>r526: G00370+C00001 -&gt; C00095+C00031 | (${Variables:E3_2_1_26_kcat} * E3_2_1_26 * G00370*C00001)/(${Variables:E3_2_1_26_km} + (E3_2_1_26 * G00370*C00001))</v>
      </c>
    </row>
    <row r="528" spans="1:11" ht="58" x14ac:dyDescent="0.35">
      <c r="A528" s="1" t="s">
        <v>5405</v>
      </c>
      <c r="B528" s="1" t="s">
        <v>5406</v>
      </c>
      <c r="C528" s="1" t="s">
        <v>9965</v>
      </c>
      <c r="D528" s="1">
        <v>527</v>
      </c>
      <c r="E528" s="1" t="str">
        <f>CONCATENATE("E",Reactions!C528)</f>
        <v>E3_2_1_26</v>
      </c>
      <c r="F528" s="5" t="s">
        <v>11414</v>
      </c>
      <c r="G528" s="5" t="s">
        <v>12229</v>
      </c>
      <c r="H528" s="5" t="s">
        <v>11407</v>
      </c>
      <c r="I528" s="5" t="s">
        <v>12826</v>
      </c>
      <c r="J528" s="12" t="str">
        <f t="shared" si="16"/>
        <v>(${Variables:E3_2_1_26_kcat} * E3_2_1_26 * G00370*C00001)/(${Variables:E3_2_1_26_km} + (E3_2_1_26 * G00370*C00001))</v>
      </c>
      <c r="K528" s="36" t="str">
        <f t="shared" si="17"/>
        <v>r527: G00370+C00001 -&gt; C02336+C00267 | (${Variables:E3_2_1_26_kcat} * E3_2_1_26 * G00370*C00001)/(${Variables:E3_2_1_26_km} + (E3_2_1_26 * G00370*C00001))</v>
      </c>
    </row>
    <row r="529" spans="1:11" ht="58" x14ac:dyDescent="0.35">
      <c r="A529" s="1" t="s">
        <v>5405</v>
      </c>
      <c r="B529" s="1" t="s">
        <v>5406</v>
      </c>
      <c r="C529" s="1" t="s">
        <v>9965</v>
      </c>
      <c r="D529" s="1">
        <v>528</v>
      </c>
      <c r="E529" s="1" t="str">
        <f>CONCATENATE("E",Reactions!C529)</f>
        <v>E3_2_1_26</v>
      </c>
      <c r="F529" s="5" t="s">
        <v>11415</v>
      </c>
      <c r="G529" s="5" t="s">
        <v>12230</v>
      </c>
      <c r="H529" s="5" t="s">
        <v>11416</v>
      </c>
      <c r="I529" s="5" t="s">
        <v>12830</v>
      </c>
      <c r="J529" s="12" t="str">
        <f t="shared" si="16"/>
        <v>(${Variables:E3_2_1_26_kcat} * E3_2_1_26 * G00249*C00001 )/(${Variables:E3_2_1_26_km} + (E3_2_1_26 * G00249*C00001 ))</v>
      </c>
      <c r="K529" s="36" t="str">
        <f t="shared" si="17"/>
        <v>r528: G00249+C00001  -&gt; G01275+C00095 | (${Variables:E3_2_1_26_kcat} * E3_2_1_26 * G00249*C00001 )/(${Variables:E3_2_1_26_km} + (E3_2_1_26 * G00249*C00001 ))</v>
      </c>
    </row>
    <row r="530" spans="1:11" ht="58" x14ac:dyDescent="0.35">
      <c r="A530" s="1" t="s">
        <v>5405</v>
      </c>
      <c r="B530" s="1" t="s">
        <v>5406</v>
      </c>
      <c r="C530" s="1" t="s">
        <v>9965</v>
      </c>
      <c r="D530" s="1">
        <v>529</v>
      </c>
      <c r="E530" s="1" t="str">
        <f>CONCATENATE("E",Reactions!C530)</f>
        <v>E3_2_1_26</v>
      </c>
      <c r="F530" s="5" t="s">
        <v>11417</v>
      </c>
      <c r="G530" s="5" t="s">
        <v>12231</v>
      </c>
      <c r="H530" s="5" t="s">
        <v>11418</v>
      </c>
      <c r="I530" s="5" t="s">
        <v>12831</v>
      </c>
      <c r="J530" s="12" t="str">
        <f t="shared" si="16"/>
        <v>(${Variables:E3_2_1_26_kcat} * E3_2_1_26 * G00278*C00001 )/(${Variables:E3_2_1_26_km} + (E3_2_1_26 * G00278*C00001 ))</v>
      </c>
      <c r="K530" s="36" t="str">
        <f t="shared" si="17"/>
        <v>r529: G00278+C00001  -&gt; G00501+C00095 | (${Variables:E3_2_1_26_kcat} * E3_2_1_26 * G00278*C00001 )/(${Variables:E3_2_1_26_km} + (E3_2_1_26 * G00278*C00001 ))</v>
      </c>
    </row>
    <row r="531" spans="1:11" ht="58" x14ac:dyDescent="0.35">
      <c r="A531" s="1" t="s">
        <v>5405</v>
      </c>
      <c r="B531" s="1" t="s">
        <v>5406</v>
      </c>
      <c r="C531" s="1" t="s">
        <v>9965</v>
      </c>
      <c r="D531" s="1">
        <v>530</v>
      </c>
      <c r="E531" s="1" t="str">
        <f>CONCATENATE("E",Reactions!C531)</f>
        <v>E3_2_1_26</v>
      </c>
      <c r="F531" s="1" t="s">
        <v>11419</v>
      </c>
      <c r="G531" s="1" t="s">
        <v>12232</v>
      </c>
      <c r="H531" s="1" t="s">
        <v>11420</v>
      </c>
      <c r="I531" s="1" t="s">
        <v>12832</v>
      </c>
      <c r="J531" s="12" t="str">
        <f t="shared" si="16"/>
        <v>(${Variables:E3_2_1_26_kcat} * E3_2_1_26 * G10508*C00001)/(${Variables:E3_2_1_26_km} + (E3_2_1_26 * G10508*C00001))</v>
      </c>
      <c r="K531" s="36" t="str">
        <f t="shared" si="17"/>
        <v>r530: G10508+C00001 -&gt; C02336+C00668 | (${Variables:E3_2_1_26_kcat} * E3_2_1_26 * G10508*C00001)/(${Variables:E3_2_1_26_km} + (E3_2_1_26 * G10508*C00001))</v>
      </c>
    </row>
    <row r="532" spans="1:11" ht="58" x14ac:dyDescent="0.35">
      <c r="A532" s="1" t="s">
        <v>3958</v>
      </c>
      <c r="B532" s="1" t="s">
        <v>3959</v>
      </c>
      <c r="C532" s="1" t="s">
        <v>9968</v>
      </c>
      <c r="D532" s="1">
        <v>531</v>
      </c>
      <c r="E532" s="1" t="str">
        <f>CONCATENATE("E",Reactions!C532)</f>
        <v>E3_2_1_80</v>
      </c>
      <c r="F532" s="1" t="s">
        <v>11421</v>
      </c>
      <c r="G532" s="1" t="s">
        <v>12233</v>
      </c>
      <c r="H532" s="1" t="s">
        <v>11422</v>
      </c>
      <c r="I532" s="1" t="s">
        <v>12833</v>
      </c>
      <c r="J532" s="12" t="str">
        <f t="shared" si="16"/>
        <v>(${Variables:E3_2_1_80_kcat} * E3_2_1_80 * C01355*C00001)/(${Variables:E3_2_1_80_km} + (E3_2_1_80 * C01355*C00001))</v>
      </c>
      <c r="K532" s="36" t="str">
        <f t="shared" si="17"/>
        <v>r531: C01355+C00001 -&gt; C00095+C01355 | (${Variables:E3_2_1_80_kcat} * E3_2_1_80 * C01355*C00001)/(${Variables:E3_2_1_80_km} + (E3_2_1_80 * C01355*C00001))</v>
      </c>
    </row>
    <row r="533" spans="1:11" ht="58" x14ac:dyDescent="0.35">
      <c r="A533" s="1" t="s">
        <v>3958</v>
      </c>
      <c r="B533" s="1" t="s">
        <v>3959</v>
      </c>
      <c r="C533" s="1" t="s">
        <v>9968</v>
      </c>
      <c r="D533" s="1">
        <v>532</v>
      </c>
      <c r="E533" s="1" t="str">
        <f>CONCATENATE("E",Reactions!C533)</f>
        <v>E3_2_1_80</v>
      </c>
      <c r="F533" s="1" t="s">
        <v>11423</v>
      </c>
      <c r="G533" s="1" t="s">
        <v>12234</v>
      </c>
      <c r="H533" s="1" t="s">
        <v>11424</v>
      </c>
      <c r="I533" s="1" t="s">
        <v>12834</v>
      </c>
      <c r="J533" s="12" t="str">
        <f t="shared" si="16"/>
        <v>(${Variables:E3_2_1_80_kcat} * E3_2_1_80 * G10535*C00001)/(${Variables:E3_2_1_80_km} + (E3_2_1_80 * G10535*C00001))</v>
      </c>
      <c r="K533" s="36" t="str">
        <f t="shared" si="17"/>
        <v>r532: G10535+C00001 -&gt; C00095+G10535 | (${Variables:E3_2_1_80_kcat} * E3_2_1_80 * G10535*C00001)/(${Variables:E3_2_1_80_km} + (E3_2_1_80 * G10535*C00001))</v>
      </c>
    </row>
    <row r="534" spans="1:11" ht="58" x14ac:dyDescent="0.35">
      <c r="A534" s="1" t="s">
        <v>3174</v>
      </c>
      <c r="B534" s="1" t="s">
        <v>3175</v>
      </c>
      <c r="C534" s="1" t="s">
        <v>9969</v>
      </c>
      <c r="D534" s="1">
        <v>533</v>
      </c>
      <c r="E534" s="1" t="str">
        <f>CONCATENATE("E",Reactions!C534)</f>
        <v>E3_2_1_86</v>
      </c>
      <c r="F534" s="5" t="s">
        <v>11425</v>
      </c>
      <c r="G534" s="5" t="s">
        <v>12235</v>
      </c>
      <c r="H534" s="5" t="s">
        <v>11426</v>
      </c>
      <c r="I534" s="5" t="s">
        <v>12835</v>
      </c>
      <c r="J534" s="12" t="str">
        <f t="shared" si="16"/>
        <v>(${Variables:E3_2_1_86_kcat} * E3_2_1_86 * C04534*C00001)/(${Variables:E3_2_1_86_km} + (E3_2_1_86 * C04534*C00001))</v>
      </c>
      <c r="K534" s="36" t="str">
        <f t="shared" si="17"/>
        <v>r533: C04534+C00001 -&gt; C00031+C00092 | (${Variables:E3_2_1_86_kcat} * E3_2_1_86 * C04534*C00001)/(${Variables:E3_2_1_86_km} + (E3_2_1_86 * C04534*C00001))</v>
      </c>
    </row>
    <row r="535" spans="1:11" ht="58" x14ac:dyDescent="0.35">
      <c r="A535" s="1" t="s">
        <v>3174</v>
      </c>
      <c r="B535" s="1" t="s">
        <v>3175</v>
      </c>
      <c r="C535" s="1" t="s">
        <v>9969</v>
      </c>
      <c r="D535" s="1">
        <v>534</v>
      </c>
      <c r="E535" s="1" t="str">
        <f>CONCATENATE("E",Reactions!C535)</f>
        <v>E3_2_1_86</v>
      </c>
      <c r="F535" s="5" t="s">
        <v>11427</v>
      </c>
      <c r="G535" s="5" t="s">
        <v>12236</v>
      </c>
      <c r="H535" s="5" t="s">
        <v>11426</v>
      </c>
      <c r="I535" s="5" t="s">
        <v>12835</v>
      </c>
      <c r="J535" s="12" t="str">
        <f t="shared" si="16"/>
        <v>(${Variables:E3_2_1_86_kcat} * E3_2_1_86 * G10518*C00001 )/(${Variables:E3_2_1_86_km} + (E3_2_1_86 * G10518*C00001 ))</v>
      </c>
      <c r="K535" s="36" t="str">
        <f t="shared" si="17"/>
        <v>r534: G10518+C00001  -&gt; C00031+C00092 | (${Variables:E3_2_1_86_kcat} * E3_2_1_86 * G10518*C00001 )/(${Variables:E3_2_1_86_km} + (E3_2_1_86 * G10518*C00001 ))</v>
      </c>
    </row>
    <row r="536" spans="1:11" ht="58" x14ac:dyDescent="0.35">
      <c r="A536" s="1" t="s">
        <v>3174</v>
      </c>
      <c r="B536" s="1" t="s">
        <v>3175</v>
      </c>
      <c r="C536" s="1" t="s">
        <v>9969</v>
      </c>
      <c r="D536" s="1">
        <v>535</v>
      </c>
      <c r="E536" s="1" t="str">
        <f>CONCATENATE("E",Reactions!C536)</f>
        <v>E3_2_1_86</v>
      </c>
      <c r="F536" s="5" t="s">
        <v>11428</v>
      </c>
      <c r="G536" s="5" t="s">
        <v>12237</v>
      </c>
      <c r="H536" s="5" t="s">
        <v>11429</v>
      </c>
      <c r="I536" s="5" t="s">
        <v>12836</v>
      </c>
      <c r="J536" s="12" t="str">
        <f t="shared" si="16"/>
        <v>(${Variables:E3_2_1_86_kcat} * E3_2_1_86 * C06187*C00001 )/(${Variables:E3_2_1_86_km} + (E3_2_1_86 * C06187*C00001 ))</v>
      </c>
      <c r="K536" s="36" t="str">
        <f t="shared" si="17"/>
        <v>r535: C06187+C00001  -&gt; C00530+C01172 | (${Variables:E3_2_1_86_kcat} * E3_2_1_86 * C06187*C00001 )/(${Variables:E3_2_1_86_km} + (E3_2_1_86 * C06187*C00001 ))</v>
      </c>
    </row>
    <row r="537" spans="1:11" ht="58" x14ac:dyDescent="0.35">
      <c r="A537" s="1" t="s">
        <v>3174</v>
      </c>
      <c r="B537" s="1" t="s">
        <v>3175</v>
      </c>
      <c r="C537" s="1" t="s">
        <v>9969</v>
      </c>
      <c r="D537" s="1">
        <v>536</v>
      </c>
      <c r="E537" s="1" t="str">
        <f>CONCATENATE("E",Reactions!C537)</f>
        <v>E3_2_1_86</v>
      </c>
      <c r="F537" s="5" t="s">
        <v>11430</v>
      </c>
      <c r="G537" s="5" t="s">
        <v>12238</v>
      </c>
      <c r="H537" s="5" t="s">
        <v>11431</v>
      </c>
      <c r="I537" s="5" t="s">
        <v>12837</v>
      </c>
      <c r="J537" s="12" t="str">
        <f t="shared" si="16"/>
        <v>(${Variables:E3_2_1_86_kcat} * E3_2_1_86 * C06188*C00001 )/(${Variables:E3_2_1_86_km} + (E3_2_1_86 * C06188*C00001 ))</v>
      </c>
      <c r="K537" s="36" t="str">
        <f t="shared" si="17"/>
        <v>r536: C06188+C00001  -&gt; C02323+C01172 | (${Variables:E3_2_1_86_kcat} * E3_2_1_86 * C06188*C00001 )/(${Variables:E3_2_1_86_km} + (E3_2_1_86 * C06188*C00001 ))</v>
      </c>
    </row>
    <row r="538" spans="1:11" ht="58" x14ac:dyDescent="0.35">
      <c r="A538" s="1" t="s">
        <v>5847</v>
      </c>
      <c r="B538" s="1" t="s">
        <v>5848</v>
      </c>
      <c r="C538" s="1" t="s">
        <v>9970</v>
      </c>
      <c r="D538" s="1">
        <v>537</v>
      </c>
      <c r="E538" s="1" t="str">
        <f>CONCATENATE("E",Reactions!C538)</f>
        <v>E3_2_1_93</v>
      </c>
      <c r="F538" s="5" t="s">
        <v>11432</v>
      </c>
      <c r="G538" s="5" t="s">
        <v>12239</v>
      </c>
      <c r="H538" s="5" t="s">
        <v>11426</v>
      </c>
      <c r="I538" s="5" t="s">
        <v>12835</v>
      </c>
      <c r="J538" s="12" t="str">
        <f t="shared" si="16"/>
        <v>(${Variables:E3_2_1_93_kcat} * E3_2_1_93 * C00001*C00689)/(${Variables:E3_2_1_93_km} + (E3_2_1_93 * C00001*C00689))</v>
      </c>
      <c r="K538" s="36" t="str">
        <f t="shared" si="17"/>
        <v>r537: C00001+C00689 -&gt; C00031+C00092 | (${Variables:E3_2_1_93_kcat} * E3_2_1_93 * C00001*C00689)/(${Variables:E3_2_1_93_km} + (E3_2_1_93 * C00001*C00689))</v>
      </c>
    </row>
    <row r="539" spans="1:11" ht="58" x14ac:dyDescent="0.35">
      <c r="A539" s="1" t="s">
        <v>5847</v>
      </c>
      <c r="B539" s="1" t="s">
        <v>5848</v>
      </c>
      <c r="C539" s="1" t="s">
        <v>9970</v>
      </c>
      <c r="D539" s="1">
        <v>538</v>
      </c>
      <c r="E539" s="1" t="str">
        <f>CONCATENATE("E",Reactions!C539)</f>
        <v>E3_2_1_93</v>
      </c>
      <c r="F539" s="5" t="s">
        <v>11433</v>
      </c>
      <c r="G539" s="5" t="s">
        <v>12240</v>
      </c>
      <c r="H539" s="5" t="s">
        <v>11426</v>
      </c>
      <c r="I539" s="5" t="s">
        <v>12835</v>
      </c>
      <c r="J539" s="12" t="str">
        <f t="shared" si="16"/>
        <v>(${Variables:E3_2_1_93_kcat} * E3_2_1_93 * C00001*G09795)/(${Variables:E3_2_1_93_km} + (E3_2_1_93 * C00001*G09795))</v>
      </c>
      <c r="K539" s="36" t="str">
        <f t="shared" si="17"/>
        <v>r538: C00001+G09795 -&gt; C00031+C00092 | (${Variables:E3_2_1_93_kcat} * E3_2_1_93 * C00001*G09795)/(${Variables:E3_2_1_93_km} + (E3_2_1_93 * C00001*G09795))</v>
      </c>
    </row>
    <row r="540" spans="1:11" ht="58" x14ac:dyDescent="0.35">
      <c r="A540" s="1" t="s">
        <v>1739</v>
      </c>
      <c r="B540" s="1" t="s">
        <v>1740</v>
      </c>
      <c r="C540" s="1" t="s">
        <v>9972</v>
      </c>
      <c r="D540" s="1">
        <v>539</v>
      </c>
      <c r="E540" s="1" t="str">
        <f>CONCATENATE("E",Reactions!C540)</f>
        <v>E3_2_2_9</v>
      </c>
      <c r="F540" s="5" t="s">
        <v>11434</v>
      </c>
      <c r="G540" s="5" t="s">
        <v>12241</v>
      </c>
      <c r="H540" s="5" t="s">
        <v>11435</v>
      </c>
      <c r="I540" s="5" t="s">
        <v>12838</v>
      </c>
      <c r="J540" s="12" t="str">
        <f t="shared" si="16"/>
        <v>(${Variables:E3_2_2_9_kcat} * E3_2_2_9 * C00021*C00001)/(${Variables:E3_2_2_9_km} + (E3_2_2_9 * C00021*C00001))</v>
      </c>
      <c r="K540" s="36" t="str">
        <f t="shared" si="17"/>
        <v>r539: C00021+C00001 -&gt; C03539+C00147 | (${Variables:E3_2_2_9_kcat} * E3_2_2_9 * C00021*C00001)/(${Variables:E3_2_2_9_km} + (E3_2_2_9 * C00021*C00001))</v>
      </c>
    </row>
    <row r="541" spans="1:11" ht="58" x14ac:dyDescent="0.35">
      <c r="A541" s="1" t="s">
        <v>1739</v>
      </c>
      <c r="B541" s="1" t="s">
        <v>1740</v>
      </c>
      <c r="C541" s="1" t="s">
        <v>9972</v>
      </c>
      <c r="D541" s="1">
        <v>540</v>
      </c>
      <c r="E541" s="1" t="str">
        <f>CONCATENATE("E",Reactions!C541)</f>
        <v>E3_2_2_9</v>
      </c>
      <c r="F541" s="5" t="s">
        <v>11436</v>
      </c>
      <c r="G541" s="5" t="s">
        <v>12242</v>
      </c>
      <c r="H541" s="5" t="s">
        <v>11437</v>
      </c>
      <c r="I541" s="5" t="s">
        <v>12839</v>
      </c>
      <c r="J541" s="12" t="str">
        <f t="shared" si="16"/>
        <v>(${Variables:E3_2_2_9_kcat} * E3_2_2_9 * C00170*C00001 )/(${Variables:E3_2_2_9_km} + (E3_2_2_9 * C00170*C00001 ))</v>
      </c>
      <c r="K541" s="36" t="str">
        <f t="shared" si="17"/>
        <v>r540: C00170+C00001  -&gt; C00147+C03089 | (${Variables:E3_2_2_9_kcat} * E3_2_2_9 * C00170*C00001 )/(${Variables:E3_2_2_9_km} + (E3_2_2_9 * C00170*C00001 ))</v>
      </c>
    </row>
    <row r="542" spans="1:11" ht="58" x14ac:dyDescent="0.35">
      <c r="A542" s="1" t="s">
        <v>1739</v>
      </c>
      <c r="B542" s="1" t="s">
        <v>1740</v>
      </c>
      <c r="C542" s="1" t="s">
        <v>9972</v>
      </c>
      <c r="D542" s="1">
        <v>541</v>
      </c>
      <c r="E542" s="1" t="str">
        <f>CONCATENATE("E",Reactions!C542)</f>
        <v>E3_2_2_9</v>
      </c>
      <c r="F542" s="5" t="s">
        <v>11438</v>
      </c>
      <c r="G542" s="5" t="s">
        <v>12243</v>
      </c>
      <c r="H542" s="5" t="s">
        <v>11439</v>
      </c>
      <c r="I542" s="5" t="s">
        <v>12840</v>
      </c>
      <c r="J542" s="12" t="str">
        <f t="shared" si="16"/>
        <v>(${Variables:E3_2_2_9_kcat} * E3_2_2_9 * C05198*C00001)/(${Variables:E3_2_2_9_km} + (E3_2_2_9 * C05198*C00001))</v>
      </c>
      <c r="K542" s="36" t="str">
        <f t="shared" si="17"/>
        <v>r541: C05198+C00001 -&gt; C22288+C00147 | (${Variables:E3_2_2_9_kcat} * E3_2_2_9 * C05198*C00001)/(${Variables:E3_2_2_9_km} + (E3_2_2_9 * C05198*C00001))</v>
      </c>
    </row>
    <row r="543" spans="1:11" ht="58" x14ac:dyDescent="0.35">
      <c r="A543" s="1" t="s">
        <v>3285</v>
      </c>
      <c r="B543" s="1" t="s">
        <v>3286</v>
      </c>
      <c r="C543" s="1" t="s">
        <v>9974</v>
      </c>
      <c r="D543" s="1">
        <v>542</v>
      </c>
      <c r="E543" s="1" t="str">
        <f>CONCATENATE("E",Reactions!C543)</f>
        <v>E3_4_11_2</v>
      </c>
      <c r="F543" s="5" t="s">
        <v>11440</v>
      </c>
      <c r="G543" s="5" t="s">
        <v>12244</v>
      </c>
      <c r="H543" s="5" t="s">
        <v>11441</v>
      </c>
      <c r="I543" s="5" t="s">
        <v>12841</v>
      </c>
      <c r="J543" s="12" t="str">
        <f t="shared" si="16"/>
        <v>(${Variables:E3_4_11_2_kcat} * E3_4_11_2 * C01419*C00001)/(${Variables:E3_4_11_2_km} + (E3_4_11_2 * C01419*C00001))</v>
      </c>
      <c r="K543" s="36" t="str">
        <f t="shared" si="17"/>
        <v>r542: C01419+C00001 -&gt; C00097+C00037 | (${Variables:E3_4_11_2_kcat} * E3_4_11_2 * C01419*C00001)/(${Variables:E3_4_11_2_km} + (E3_4_11_2 * C01419*C00001))</v>
      </c>
    </row>
    <row r="544" spans="1:11" ht="58" x14ac:dyDescent="0.35">
      <c r="A544" s="1" t="s">
        <v>3285</v>
      </c>
      <c r="B544" s="1" t="s">
        <v>3286</v>
      </c>
      <c r="C544" s="1" t="s">
        <v>9974</v>
      </c>
      <c r="D544" s="1">
        <v>543</v>
      </c>
      <c r="E544" s="1" t="str">
        <f>CONCATENATE("E",Reactions!C544)</f>
        <v>E3_4_11_2</v>
      </c>
      <c r="F544" s="5" t="s">
        <v>11442</v>
      </c>
      <c r="G544" s="5" t="s">
        <v>12245</v>
      </c>
      <c r="H544" s="5" t="s">
        <v>11443</v>
      </c>
      <c r="I544" s="5" t="s">
        <v>12842</v>
      </c>
      <c r="J544" s="12" t="str">
        <f t="shared" si="16"/>
        <v>(${Variables:E3_4_11_2_kcat} * E3_4_11_2 * C05729*C00001)/(${Variables:E3_4_11_2_km} + (E3_4_11_2 * C05729*C00001))</v>
      </c>
      <c r="K544" s="36" t="str">
        <f t="shared" si="17"/>
        <v>r543: C05729+C00001 -&gt; C05726+C00037 | (${Variables:E3_4_11_2_kcat} * E3_4_11_2 * C05729*C00001)/(${Variables:E3_4_11_2_km} + (E3_4_11_2 * C05729*C00001))</v>
      </c>
    </row>
    <row r="545" spans="1:11" ht="58" x14ac:dyDescent="0.35">
      <c r="A545" s="1" t="s">
        <v>5359</v>
      </c>
      <c r="B545" s="1" t="s">
        <v>5360</v>
      </c>
      <c r="C545" s="1" t="s">
        <v>9986</v>
      </c>
      <c r="D545" s="1">
        <v>544</v>
      </c>
      <c r="E545" s="1" t="str">
        <f>CONCATENATE("E",Reactions!C545)</f>
        <v>E3_5_1_1</v>
      </c>
      <c r="F545" s="5" t="s">
        <v>11444</v>
      </c>
      <c r="G545" s="5" t="s">
        <v>12246</v>
      </c>
      <c r="H545" s="5" t="s">
        <v>11445</v>
      </c>
      <c r="I545" s="5" t="s">
        <v>12843</v>
      </c>
      <c r="J545" s="12" t="str">
        <f t="shared" si="16"/>
        <v>(${Variables:E3_5_1_1_kcat} * E3_5_1_1 * C00152*C00001)/(${Variables:E3_5_1_1_km} + (E3_5_1_1 * C00152*C00001))</v>
      </c>
      <c r="K545" s="36" t="str">
        <f t="shared" si="17"/>
        <v>r544: C00152+C00001 -&gt; C00049+C00014 | (${Variables:E3_5_1_1_kcat} * E3_5_1_1 * C00152*C00001)/(${Variables:E3_5_1_1_km} + (E3_5_1_1 * C00152*C00001))</v>
      </c>
    </row>
    <row r="546" spans="1:11" ht="58" x14ac:dyDescent="0.35">
      <c r="A546" s="1" t="s">
        <v>5359</v>
      </c>
      <c r="B546" s="1" t="s">
        <v>5360</v>
      </c>
      <c r="C546" s="1" t="s">
        <v>9986</v>
      </c>
      <c r="D546" s="1">
        <v>545</v>
      </c>
      <c r="E546" s="1" t="str">
        <f>CONCATENATE("E",Reactions!C546)</f>
        <v>E3_5_1_1</v>
      </c>
      <c r="F546" s="5" t="s">
        <v>11446</v>
      </c>
      <c r="G546" s="5" t="s">
        <v>12247</v>
      </c>
      <c r="H546" s="5" t="s">
        <v>11447</v>
      </c>
      <c r="I546" s="5" t="s">
        <v>12844</v>
      </c>
      <c r="J546" s="12" t="str">
        <f t="shared" si="16"/>
        <v>(${Variables:E3_5_1_1_kcat} * E3_5_1_1 * C00241*C00001 )/(${Variables:E3_5_1_1_km} + (E3_5_1_1 * C00241*C00001 ))</v>
      </c>
      <c r="K546" s="36" t="str">
        <f t="shared" si="17"/>
        <v>r545: C00241+C00001  -&gt; C00060+C00014 | (${Variables:E3_5_1_1_kcat} * E3_5_1_1 * C00241*C00001 )/(${Variables:E3_5_1_1_km} + (E3_5_1_1 * C00241*C00001 ))</v>
      </c>
    </row>
    <row r="547" spans="1:11" ht="58" x14ac:dyDescent="0.35">
      <c r="A547" s="1" t="s">
        <v>915</v>
      </c>
      <c r="B547" s="1" t="s">
        <v>916</v>
      </c>
      <c r="C547" s="1" t="s">
        <v>9987</v>
      </c>
      <c r="D547" s="1">
        <v>546</v>
      </c>
      <c r="E547" s="1" t="str">
        <f>CONCATENATE("E",Reactions!C547)</f>
        <v>E3_5_1_18</v>
      </c>
      <c r="F547" s="5" t="s">
        <v>11448</v>
      </c>
      <c r="G547" s="5" t="s">
        <v>12248</v>
      </c>
      <c r="H547" s="5" t="s">
        <v>11449</v>
      </c>
      <c r="I547" s="5" t="s">
        <v>12845</v>
      </c>
      <c r="J547" s="12" t="str">
        <f t="shared" si="16"/>
        <v>(${Variables:E3_5_1_18_kcat} * E3_5_1_18 * C04421*C00001)/(${Variables:E3_5_1_18_km} + (E3_5_1_18 * C04421*C00001))</v>
      </c>
      <c r="K547" s="36" t="str">
        <f t="shared" si="17"/>
        <v>r546: C04421+C00001 -&gt; C00042+C00666 | (${Variables:E3_5_1_18_kcat} * E3_5_1_18 * C04421*C00001)/(${Variables:E3_5_1_18_km} + (E3_5_1_18 * C04421*C00001))</v>
      </c>
    </row>
    <row r="548" spans="1:11" ht="58" x14ac:dyDescent="0.35">
      <c r="A548" s="1" t="s">
        <v>5108</v>
      </c>
      <c r="B548" s="1" t="s">
        <v>5109</v>
      </c>
      <c r="C548" s="1" t="s">
        <v>9988</v>
      </c>
      <c r="D548" s="1">
        <v>547</v>
      </c>
      <c r="E548" s="1" t="str">
        <f>CONCATENATE("E",Reactions!C548)</f>
        <v>E3_5_1_19</v>
      </c>
      <c r="F548" s="5" t="s">
        <v>11450</v>
      </c>
      <c r="G548" s="5" t="s">
        <v>12249</v>
      </c>
      <c r="H548" s="5" t="s">
        <v>11451</v>
      </c>
      <c r="I548" s="5" t="s">
        <v>12846</v>
      </c>
      <c r="J548" s="12" t="str">
        <f t="shared" si="16"/>
        <v>(${Variables:E3_5_1_19_kcat} * E3_5_1_19 * C00153*C00001)/(${Variables:E3_5_1_19_km} + (E3_5_1_19 * C00153*C00001))</v>
      </c>
      <c r="K548" s="36" t="str">
        <f t="shared" si="17"/>
        <v>r547: C00153+C00001 -&gt; C00253+C00014 | (${Variables:E3_5_1_19_kcat} * E3_5_1_19 * C00153*C00001)/(${Variables:E3_5_1_19_km} + (E3_5_1_19 * C00153*C00001))</v>
      </c>
    </row>
    <row r="549" spans="1:11" ht="58" x14ac:dyDescent="0.35">
      <c r="A549" s="1" t="s">
        <v>5108</v>
      </c>
      <c r="B549" s="1" t="s">
        <v>5109</v>
      </c>
      <c r="C549" s="1" t="s">
        <v>9988</v>
      </c>
      <c r="D549" s="1">
        <v>548</v>
      </c>
      <c r="E549" s="1" t="str">
        <f>CONCATENATE("E",Reactions!C549)</f>
        <v>E3_5_1_19</v>
      </c>
      <c r="F549" s="5" t="s">
        <v>11452</v>
      </c>
      <c r="G549" s="5" t="s">
        <v>12250</v>
      </c>
      <c r="H549" s="5" t="s">
        <v>11447</v>
      </c>
      <c r="I549" s="5" t="s">
        <v>12844</v>
      </c>
      <c r="J549" s="12" t="str">
        <f t="shared" si="16"/>
        <v>(${Variables:E3_5_1_19_kcat} * E3_5_1_19 * C00241*C00001)/(${Variables:E3_5_1_19_km} + (E3_5_1_19 * C00241*C00001))</v>
      </c>
      <c r="K549" s="36" t="str">
        <f t="shared" si="17"/>
        <v>r548: C00241+C00001 -&gt; C00060+C00014 | (${Variables:E3_5_1_19_kcat} * E3_5_1_19 * C00241*C00001)/(${Variables:E3_5_1_19_km} + (E3_5_1_19 * C00241*C00001))</v>
      </c>
    </row>
    <row r="550" spans="1:11" ht="58" x14ac:dyDescent="0.35">
      <c r="A550" s="1" t="s">
        <v>1480</v>
      </c>
      <c r="B550" s="1" t="s">
        <v>1481</v>
      </c>
      <c r="C550" s="1" t="s">
        <v>9989</v>
      </c>
      <c r="D550" s="1">
        <v>549</v>
      </c>
      <c r="E550" s="1" t="str">
        <f>CONCATENATE("E",Reactions!C550)</f>
        <v>E3_5_1_25</v>
      </c>
      <c r="F550" s="5" t="s">
        <v>11453</v>
      </c>
      <c r="G550" s="5" t="s">
        <v>12251</v>
      </c>
      <c r="H550" s="5" t="s">
        <v>11454</v>
      </c>
      <c r="I550" s="5" t="s">
        <v>12847</v>
      </c>
      <c r="J550" s="12" t="str">
        <f t="shared" si="16"/>
        <v>(${Variables:E3_5_1_25_kcat} * E3_5_1_25 * C00357*C00001)/(${Variables:E3_5_1_25_km} + (E3_5_1_25 * C00357*C00001))</v>
      </c>
      <c r="K550" s="36" t="str">
        <f t="shared" si="17"/>
        <v>r549: C00357+C00001 -&gt; C00352+C00033 | (${Variables:E3_5_1_25_kcat} * E3_5_1_25 * C00357*C00001)/(${Variables:E3_5_1_25_km} + (E3_5_1_25 * C00357*C00001))</v>
      </c>
    </row>
    <row r="551" spans="1:11" ht="58" x14ac:dyDescent="0.35">
      <c r="A551" s="1" t="s">
        <v>416</v>
      </c>
      <c r="B551" s="1" t="s">
        <v>417</v>
      </c>
      <c r="C551" s="1" t="s">
        <v>9990</v>
      </c>
      <c r="D551" s="1">
        <v>550</v>
      </c>
      <c r="E551" s="1" t="str">
        <f>CONCATENATE("E",Reactions!C551)</f>
        <v>E3_5_1_28</v>
      </c>
      <c r="F551" s="5" t="s">
        <v>11455</v>
      </c>
      <c r="G551" s="5" t="s">
        <v>12252</v>
      </c>
      <c r="H551" s="5" t="s">
        <v>11455</v>
      </c>
      <c r="I551" s="5" t="s">
        <v>12252</v>
      </c>
      <c r="J551" s="12" t="str">
        <f t="shared" si="16"/>
        <v>(${Variables:E3_5_1_28_kcat} * E3_5_1_28 * C02999*C00001)/(${Variables:E3_5_1_28_km} + (E3_5_1_28 * C02999*C00001))</v>
      </c>
      <c r="K551" s="36" t="str">
        <f t="shared" si="17"/>
        <v>r550: C02999+C00001 -&gt; C02999+C00001 | (${Variables:E3_5_1_28_kcat} * E3_5_1_28 * C02999*C00001)/(${Variables:E3_5_1_28_km} + (E3_5_1_28 * C02999*C00001))</v>
      </c>
    </row>
    <row r="552" spans="1:11" ht="58" x14ac:dyDescent="0.35">
      <c r="A552" s="1" t="s">
        <v>868</v>
      </c>
      <c r="B552" s="1" t="s">
        <v>869</v>
      </c>
      <c r="C552" s="1" t="s">
        <v>9991</v>
      </c>
      <c r="D552" s="1">
        <v>551</v>
      </c>
      <c r="E552" s="1" t="str">
        <f>CONCATENATE("E",Reactions!C552)</f>
        <v>E3_5_1_5</v>
      </c>
      <c r="F552" s="1" t="s">
        <v>11456</v>
      </c>
      <c r="G552" s="1" t="s">
        <v>12253</v>
      </c>
      <c r="H552" s="1" t="s">
        <v>11457</v>
      </c>
      <c r="I552" s="1" t="s">
        <v>12848</v>
      </c>
      <c r="J552" s="12" t="str">
        <f t="shared" si="16"/>
        <v>(${Variables:E3_5_1_5_kcat} * E3_5_1_5 * C00014*C00288 )/(${Variables:E3_5_1_5_km} + (E3_5_1_5 * C00014*C00288 ))</v>
      </c>
      <c r="K552" s="36" t="str">
        <f t="shared" si="17"/>
        <v>r551: C00014+C00288  -&gt; C01563+C00001 | (${Variables:E3_5_1_5_kcat} * E3_5_1_5 * C00014*C00288 )/(${Variables:E3_5_1_5_km} + (E3_5_1_5 * C00014*C00288 ))</v>
      </c>
    </row>
    <row r="553" spans="1:11" ht="58" x14ac:dyDescent="0.35">
      <c r="A553" s="1" t="s">
        <v>868</v>
      </c>
      <c r="B553" s="1" t="s">
        <v>869</v>
      </c>
      <c r="C553" s="1" t="s">
        <v>9991</v>
      </c>
      <c r="D553" s="1">
        <v>552</v>
      </c>
      <c r="E553" s="1" t="str">
        <f>CONCATENATE("E",Reactions!C553)</f>
        <v>E3_5_1_5</v>
      </c>
      <c r="F553" s="1" t="s">
        <v>11458</v>
      </c>
      <c r="G553" s="1" t="s">
        <v>12254</v>
      </c>
      <c r="H553" s="1" t="s">
        <v>11459</v>
      </c>
      <c r="I553" s="1" t="s">
        <v>12849</v>
      </c>
      <c r="J553" s="12" t="str">
        <f t="shared" si="16"/>
        <v>(${Variables:E3_5_1_5_kcat} * E3_5_1_5 * C00086*C00001)/(${Variables:E3_5_1_5_km} + (E3_5_1_5 * C00086*C00001))</v>
      </c>
      <c r="K553" s="36" t="str">
        <f t="shared" si="17"/>
        <v>r552: C00086+C00001 -&gt; C00288+C00014 | (${Variables:E3_5_1_5_kcat} * E3_5_1_5 * C00086*C00001)/(${Variables:E3_5_1_5_km} + (E3_5_1_5 * C00086*C00001))</v>
      </c>
    </row>
    <row r="554" spans="1:11" ht="58" x14ac:dyDescent="0.35">
      <c r="A554" s="1" t="s">
        <v>868</v>
      </c>
      <c r="B554" s="1" t="s">
        <v>869</v>
      </c>
      <c r="C554" s="1" t="s">
        <v>9991</v>
      </c>
      <c r="D554" s="1">
        <v>553</v>
      </c>
      <c r="E554" s="1" t="str">
        <f>CONCATENATE("E",Reactions!C554)</f>
        <v>E3_5_1_5</v>
      </c>
      <c r="F554" s="1" t="s">
        <v>11460</v>
      </c>
      <c r="G554" s="1" t="s">
        <v>12255</v>
      </c>
      <c r="H554" s="1" t="s">
        <v>11461</v>
      </c>
      <c r="I554" s="1" t="s">
        <v>12850</v>
      </c>
      <c r="J554" s="12" t="str">
        <f t="shared" si="16"/>
        <v>(${Variables:E3_5_1_5_kcat} * E3_5_1_5 * C00086*C00001 )/(${Variables:E3_5_1_5_km} + (E3_5_1_5 * C00086*C00001 ))</v>
      </c>
      <c r="K554" s="36" t="str">
        <f t="shared" si="17"/>
        <v>r553: C00086+C00001  -&gt; C01563+C00014 | (${Variables:E3_5_1_5_kcat} * E3_5_1_5 * C00086*C00001 )/(${Variables:E3_5_1_5_km} + (E3_5_1_5 * C00086*C00001 ))</v>
      </c>
    </row>
    <row r="555" spans="1:11" ht="58" x14ac:dyDescent="0.35">
      <c r="A555" s="1" t="s">
        <v>868</v>
      </c>
      <c r="B555" s="1" t="s">
        <v>869</v>
      </c>
      <c r="C555" s="1" t="s">
        <v>9991</v>
      </c>
      <c r="D555" s="1">
        <v>554</v>
      </c>
      <c r="E555" s="1" t="str">
        <f>CONCATENATE("E",Reactions!C555)</f>
        <v>E3_5_1_5</v>
      </c>
      <c r="F555" s="1" t="s">
        <v>11460</v>
      </c>
      <c r="G555" s="1" t="s">
        <v>12255</v>
      </c>
      <c r="H555" s="1" t="s">
        <v>11462</v>
      </c>
      <c r="I555" s="1" t="s">
        <v>12851</v>
      </c>
      <c r="J555" s="12" t="str">
        <f t="shared" si="16"/>
        <v>(${Variables:E3_5_1_5_kcat} * E3_5_1_5 * C00086*C00001 )/(${Variables:E3_5_1_5_km} + (E3_5_1_5 * C00086*C00001 ))</v>
      </c>
      <c r="K555" s="36" t="str">
        <f t="shared" si="17"/>
        <v>r554: C00086+C00001  -&gt; C00011+C00014 | (${Variables:E3_5_1_5_kcat} * E3_5_1_5 * C00086*C00001 )/(${Variables:E3_5_1_5_km} + (E3_5_1_5 * C00086*C00001 ))</v>
      </c>
    </row>
    <row r="556" spans="1:11" ht="58" x14ac:dyDescent="0.35">
      <c r="A556" s="1" t="s">
        <v>868</v>
      </c>
      <c r="B556" s="1" t="s">
        <v>869</v>
      </c>
      <c r="C556" s="1" t="s">
        <v>9991</v>
      </c>
      <c r="D556" s="1">
        <v>555</v>
      </c>
      <c r="E556" s="1" t="str">
        <f>CONCATENATE("E",Reactions!C556)</f>
        <v>E3_5_1_5</v>
      </c>
      <c r="F556" s="5" t="s">
        <v>11452</v>
      </c>
      <c r="G556" s="5" t="s">
        <v>12250</v>
      </c>
      <c r="H556" s="5" t="s">
        <v>11447</v>
      </c>
      <c r="I556" s="5" t="s">
        <v>12844</v>
      </c>
      <c r="J556" s="12" t="str">
        <f t="shared" si="16"/>
        <v>(${Variables:E3_5_1_5_kcat} * E3_5_1_5 * C00241*C00001)/(${Variables:E3_5_1_5_km} + (E3_5_1_5 * C00241*C00001))</v>
      </c>
      <c r="K556" s="36" t="str">
        <f t="shared" si="17"/>
        <v>r555: C00241+C00001 -&gt; C00060+C00014 | (${Variables:E3_5_1_5_kcat} * E3_5_1_5 * C00241*C00001)/(${Variables:E3_5_1_5_km} + (E3_5_1_5 * C00241*C00001))</v>
      </c>
    </row>
    <row r="557" spans="1:11" ht="58" x14ac:dyDescent="0.35">
      <c r="A557" s="1" t="s">
        <v>518</v>
      </c>
      <c r="B557" s="1" t="s">
        <v>519</v>
      </c>
      <c r="C557" s="1" t="s">
        <v>9992</v>
      </c>
      <c r="D557" s="1">
        <v>556</v>
      </c>
      <c r="E557" s="1" t="str">
        <f>CONCATENATE("E",Reactions!C557)</f>
        <v>E3_5_1_88</v>
      </c>
      <c r="F557" s="5" t="s">
        <v>11463</v>
      </c>
      <c r="G557" s="5" t="s">
        <v>12256</v>
      </c>
      <c r="H557" s="5" t="s">
        <v>11464</v>
      </c>
      <c r="I557" s="5" t="s">
        <v>12852</v>
      </c>
      <c r="J557" s="12" t="str">
        <f t="shared" si="16"/>
        <v>(${Variables:E3_5_1_88_kcat} * E3_5_1_88 * C11439*C00001)/(${Variables:E3_5_1_88_km} + (E3_5_1_88 * C11439*C00001))</v>
      </c>
      <c r="K557" s="36" t="str">
        <f t="shared" si="17"/>
        <v>r556: C11439+C00001 -&gt; C11440+C00058 | (${Variables:E3_5_1_88_kcat} * E3_5_1_88 * C11439*C00001)/(${Variables:E3_5_1_88_km} + (E3_5_1_88 * C11439*C00001))</v>
      </c>
    </row>
    <row r="558" spans="1:11" ht="58" x14ac:dyDescent="0.35">
      <c r="A558" s="1" t="s">
        <v>518</v>
      </c>
      <c r="B558" s="1" t="s">
        <v>519</v>
      </c>
      <c r="C558" s="1" t="s">
        <v>9992</v>
      </c>
      <c r="D558" s="1">
        <v>557</v>
      </c>
      <c r="E558" s="1" t="str">
        <f>CONCATENATE("E",Reactions!C558)</f>
        <v>E3_5_1_88</v>
      </c>
      <c r="F558" s="5" t="s">
        <v>11465</v>
      </c>
      <c r="G558" s="5" t="s">
        <v>12257</v>
      </c>
      <c r="H558" s="5" t="s">
        <v>11466</v>
      </c>
      <c r="I558" s="5" t="s">
        <v>12853</v>
      </c>
      <c r="J558" s="12" t="str">
        <f t="shared" si="16"/>
        <v>(${Variables:E3_5_1_88_kcat} * E3_5_1_88 * C04258*C00001)/(${Variables:E3_5_1_88_km} + (E3_5_1_88 * C04258*C00001))</v>
      </c>
      <c r="K558" s="36" t="str">
        <f t="shared" si="17"/>
        <v>r557: C04258+C00001 -&gt; C00058+C03617 | (${Variables:E3_5_1_88_kcat} * E3_5_1_88 * C04258*C00001)/(${Variables:E3_5_1_88_km} + (E3_5_1_88 * C04258*C00001))</v>
      </c>
    </row>
    <row r="559" spans="1:11" ht="58" x14ac:dyDescent="0.35">
      <c r="A559" s="1" t="s">
        <v>3379</v>
      </c>
      <c r="B559" s="1" t="s">
        <v>3380</v>
      </c>
      <c r="C559" s="1" t="s">
        <v>9993</v>
      </c>
      <c r="D559" s="1">
        <v>558</v>
      </c>
      <c r="E559" s="1" t="str">
        <f>CONCATENATE("E",Reactions!C559)</f>
        <v>E3_5_2_12</v>
      </c>
      <c r="F559" s="5" t="s">
        <v>11467</v>
      </c>
      <c r="G559" s="5" t="s">
        <v>12258</v>
      </c>
      <c r="H559" s="5" t="s">
        <v>8323</v>
      </c>
      <c r="I559" s="5" t="s">
        <v>8323</v>
      </c>
      <c r="J559" s="12" t="str">
        <f t="shared" si="16"/>
        <v>(${Variables:E3_5_2_12_kcat} * E3_5_2_12 * C04277*C00001)/(${Variables:E3_5_2_12_km} + (E3_5_2_12 * C04277*C00001))</v>
      </c>
      <c r="K559" s="36" t="str">
        <f t="shared" si="17"/>
        <v>r558: C04277+C00001 -&gt; C01255 | (${Variables:E3_5_2_12_kcat} * E3_5_2_12 * C04277*C00001)/(${Variables:E3_5_2_12_km} + (E3_5_2_12 * C04277*C00001))</v>
      </c>
    </row>
    <row r="560" spans="1:11" ht="58" x14ac:dyDescent="0.35">
      <c r="A560" s="1" t="s">
        <v>3198</v>
      </c>
      <c r="B560" s="1" t="s">
        <v>3199</v>
      </c>
      <c r="C560" s="1" t="s">
        <v>9994</v>
      </c>
      <c r="D560" s="1">
        <v>559</v>
      </c>
      <c r="E560" s="1" t="str">
        <f>CONCATENATE("E",Reactions!C560)</f>
        <v>E3_5_2_3</v>
      </c>
      <c r="F560" s="5" t="s">
        <v>11468</v>
      </c>
      <c r="G560" s="5" t="s">
        <v>12259</v>
      </c>
      <c r="H560" s="5" t="s">
        <v>8326</v>
      </c>
      <c r="I560" s="5" t="s">
        <v>8326</v>
      </c>
      <c r="J560" s="12" t="str">
        <f t="shared" si="16"/>
        <v>(${Variables:E3_5_2_3_kcat} * E3_5_2_3 * C00337*C00001)/(${Variables:E3_5_2_3_km} + (E3_5_2_3 * C00337*C00001))</v>
      </c>
      <c r="K560" s="36" t="str">
        <f t="shared" si="17"/>
        <v>r559: C00337+C00001 -&gt; C00438 | (${Variables:E3_5_2_3_kcat} * E3_5_2_3 * C00337*C00001)/(${Variables:E3_5_2_3_km} + (E3_5_2_3 * C00337*C00001))</v>
      </c>
    </row>
    <row r="561" spans="1:11" ht="58" x14ac:dyDescent="0.35">
      <c r="A561" s="1" t="s">
        <v>169</v>
      </c>
      <c r="B561" s="1" t="s">
        <v>170</v>
      </c>
      <c r="C561" s="1" t="s">
        <v>9995</v>
      </c>
      <c r="D561" s="1">
        <v>560</v>
      </c>
      <c r="E561" s="1" t="str">
        <f>CONCATENATE("E",Reactions!C561)</f>
        <v>E3_5_4_10</v>
      </c>
      <c r="F561" s="5" t="s">
        <v>11354</v>
      </c>
      <c r="G561" s="5" t="s">
        <v>12197</v>
      </c>
      <c r="H561" s="5" t="s">
        <v>8329</v>
      </c>
      <c r="I561" s="5" t="s">
        <v>8329</v>
      </c>
      <c r="J561" s="12" t="str">
        <f t="shared" si="16"/>
        <v>(${Variables:E3_5_4_10_kcat} * E3_5_4_10 * C00130*C00001)/(${Variables:E3_5_4_10_km} + (E3_5_4_10 * C00130*C00001))</v>
      </c>
      <c r="K561" s="36" t="str">
        <f t="shared" si="17"/>
        <v>r560: C00130+C00001 -&gt; C04734 | (${Variables:E3_5_4_10_kcat} * E3_5_4_10 * C00130*C00001)/(${Variables:E3_5_4_10_km} + (E3_5_4_10 * C00130*C00001))</v>
      </c>
    </row>
    <row r="562" spans="1:11" ht="58" x14ac:dyDescent="0.35">
      <c r="A562" s="1" t="s">
        <v>4786</v>
      </c>
      <c r="B562" s="1" t="s">
        <v>4787</v>
      </c>
      <c r="C562" s="1" t="s">
        <v>9996</v>
      </c>
      <c r="D562" s="1">
        <v>561</v>
      </c>
      <c r="E562" s="1" t="str">
        <f>CONCATENATE("E",Reactions!C562)</f>
        <v>E3_5_4_16</v>
      </c>
      <c r="F562" s="5" t="s">
        <v>11469</v>
      </c>
      <c r="G562" s="5" t="s">
        <v>12260</v>
      </c>
      <c r="H562" s="5" t="s">
        <v>11470</v>
      </c>
      <c r="I562" s="5" t="s">
        <v>12854</v>
      </c>
      <c r="J562" s="12" t="str">
        <f t="shared" si="16"/>
        <v>(${Variables:E3_5_4_16_kcat} * E3_5_4_16 * C00044*C00001)/(${Variables:E3_5_4_16_km} + (E3_5_4_16 * C00044*C00001))</v>
      </c>
      <c r="K562" s="36" t="str">
        <f t="shared" si="17"/>
        <v>r561: C00044+C00001 -&gt; C04895+C00058 | (${Variables:E3_5_4_16_kcat} * E3_5_4_16 * C00044*C00001)/(${Variables:E3_5_4_16_km} + (E3_5_4_16 * C00044*C00001))</v>
      </c>
    </row>
    <row r="563" spans="1:11" ht="58" x14ac:dyDescent="0.35">
      <c r="A563" s="1" t="s">
        <v>4786</v>
      </c>
      <c r="B563" s="1" t="s">
        <v>4787</v>
      </c>
      <c r="C563" s="1" t="s">
        <v>9996</v>
      </c>
      <c r="D563" s="1">
        <v>562</v>
      </c>
      <c r="E563" s="1" t="str">
        <f>CONCATENATE("E",Reactions!C563)</f>
        <v>E3_5_4_16</v>
      </c>
      <c r="F563" s="5" t="s">
        <v>11469</v>
      </c>
      <c r="G563" s="5" t="s">
        <v>12260</v>
      </c>
      <c r="H563" s="5" t="s">
        <v>8333</v>
      </c>
      <c r="I563" s="5" t="s">
        <v>8333</v>
      </c>
      <c r="J563" s="12" t="str">
        <f t="shared" si="16"/>
        <v>(${Variables:E3_5_4_16_kcat} * E3_5_4_16 * C00044*C00001)/(${Variables:E3_5_4_16_km} + (E3_5_4_16 * C00044*C00001))</v>
      </c>
      <c r="K563" s="36" t="str">
        <f t="shared" si="17"/>
        <v>r562: C00044+C00001 -&gt; C05922 | (${Variables:E3_5_4_16_kcat} * E3_5_4_16 * C00044*C00001)/(${Variables:E3_5_4_16_km} + (E3_5_4_16 * C00044*C00001))</v>
      </c>
    </row>
    <row r="564" spans="1:11" ht="58" x14ac:dyDescent="0.35">
      <c r="A564" s="1" t="s">
        <v>4786</v>
      </c>
      <c r="B564" s="1" t="s">
        <v>4787</v>
      </c>
      <c r="C564" s="1" t="s">
        <v>9996</v>
      </c>
      <c r="D564" s="1">
        <v>563</v>
      </c>
      <c r="E564" s="1" t="str">
        <f>CONCATENATE("E",Reactions!C564)</f>
        <v>E3_5_4_16</v>
      </c>
      <c r="F564" s="5" t="s">
        <v>11471</v>
      </c>
      <c r="G564" s="5" t="s">
        <v>12261</v>
      </c>
      <c r="H564" s="5" t="s">
        <v>8335</v>
      </c>
      <c r="I564" s="5" t="s">
        <v>8335</v>
      </c>
      <c r="J564" s="12" t="str">
        <f t="shared" si="16"/>
        <v>(${Variables:E3_5_4_16_kcat} * E3_5_4_16 * C04895*C00001)/(${Variables:E3_5_4_16_km} + (E3_5_4_16 * C04895*C00001))</v>
      </c>
      <c r="K564" s="36" t="str">
        <f t="shared" si="17"/>
        <v>r563: C04895+C00001 -&gt; C06148 | (${Variables:E3_5_4_16_kcat} * E3_5_4_16 * C04895*C00001)/(${Variables:E3_5_4_16_km} + (E3_5_4_16 * C04895*C00001))</v>
      </c>
    </row>
    <row r="565" spans="1:11" ht="58" x14ac:dyDescent="0.35">
      <c r="A565" s="1" t="s">
        <v>4786</v>
      </c>
      <c r="B565" s="1" t="s">
        <v>4787</v>
      </c>
      <c r="C565" s="1" t="s">
        <v>9996</v>
      </c>
      <c r="D565" s="1">
        <v>564</v>
      </c>
      <c r="E565" s="1" t="str">
        <f>CONCATENATE("E",Reactions!C565)</f>
        <v>E3_5_4_16</v>
      </c>
      <c r="F565" s="5" t="s">
        <v>11472</v>
      </c>
      <c r="G565" s="5" t="s">
        <v>12262</v>
      </c>
      <c r="H565" s="5" t="s">
        <v>11473</v>
      </c>
      <c r="I565" s="5" t="s">
        <v>12855</v>
      </c>
      <c r="J565" s="12" t="str">
        <f t="shared" si="16"/>
        <v>(${Variables:E3_5_4_16_kcat} * E3_5_4_16 * C05922*C00001)/(${Variables:E3_5_4_16_km} + (E3_5_4_16 * C05922*C00001))</v>
      </c>
      <c r="K565" s="36" t="str">
        <f t="shared" si="17"/>
        <v>r564: C05922+C00001 -&gt; C05923+C00058 | (${Variables:E3_5_4_16_kcat} * E3_5_4_16 * C05922*C00001)/(${Variables:E3_5_4_16_km} + (E3_5_4_16 * C05922*C00001))</v>
      </c>
    </row>
    <row r="566" spans="1:11" ht="43.5" x14ac:dyDescent="0.35">
      <c r="A566" s="1" t="s">
        <v>4786</v>
      </c>
      <c r="B566" s="1" t="s">
        <v>4787</v>
      </c>
      <c r="C566" s="1" t="s">
        <v>9996</v>
      </c>
      <c r="D566" s="1">
        <v>565</v>
      </c>
      <c r="E566" s="1" t="str">
        <f>CONCATENATE("E",Reactions!C566)</f>
        <v>E3_5_4_16</v>
      </c>
      <c r="F566" s="5" t="s">
        <v>8338</v>
      </c>
      <c r="G566" s="5" t="s">
        <v>8338</v>
      </c>
      <c r="H566" s="5" t="s">
        <v>8335</v>
      </c>
      <c r="I566" s="5" t="s">
        <v>8335</v>
      </c>
      <c r="J566" s="12" t="str">
        <f t="shared" si="16"/>
        <v>(${Variables:E3_5_4_16_kcat} * E3_5_4_16 * C05923)/(${Variables:E3_5_4_16_km} + (E3_5_4_16 * C05923))</v>
      </c>
      <c r="K566" s="36" t="str">
        <f t="shared" si="17"/>
        <v>r565: C05923 -&gt; C06148 | (${Variables:E3_5_4_16_kcat} * E3_5_4_16 * C05923)/(${Variables:E3_5_4_16_km} + (E3_5_4_16 * C05923))</v>
      </c>
    </row>
    <row r="567" spans="1:11" ht="58" x14ac:dyDescent="0.35">
      <c r="A567" s="1" t="s">
        <v>2553</v>
      </c>
      <c r="B567" s="1" t="s">
        <v>2554</v>
      </c>
      <c r="C567" s="1" t="s">
        <v>9997</v>
      </c>
      <c r="D567" s="1">
        <v>566</v>
      </c>
      <c r="E567" s="1" t="str">
        <f>CONCATENATE("E",Reactions!C567)</f>
        <v>E3_5_4_19</v>
      </c>
      <c r="F567" s="5" t="s">
        <v>11474</v>
      </c>
      <c r="G567" s="5" t="s">
        <v>12263</v>
      </c>
      <c r="H567" s="5" t="s">
        <v>8345</v>
      </c>
      <c r="I567" s="5" t="s">
        <v>8345</v>
      </c>
      <c r="J567" s="12" t="str">
        <f t="shared" si="16"/>
        <v>(${Variables:E3_5_4_19_kcat} * E3_5_4_19 * C02741*C00001)/(${Variables:E3_5_4_19_km} + (E3_5_4_19 * C02741*C00001))</v>
      </c>
      <c r="K567" s="36" t="str">
        <f t="shared" si="17"/>
        <v>r566: C02741+C00001 -&gt; C04896 | (${Variables:E3_5_4_19_kcat} * E3_5_4_19 * C02741*C00001)/(${Variables:E3_5_4_19_km} + (E3_5_4_19 * C02741*C00001))</v>
      </c>
    </row>
    <row r="568" spans="1:11" ht="58" x14ac:dyDescent="0.35">
      <c r="A568" s="1" t="s">
        <v>3833</v>
      </c>
      <c r="B568" s="1" t="s">
        <v>3834</v>
      </c>
      <c r="C568" s="1" t="s">
        <v>9998</v>
      </c>
      <c r="D568" s="1">
        <v>567</v>
      </c>
      <c r="E568" s="1" t="str">
        <f>CONCATENATE("E",Reactions!C568)</f>
        <v>E3_5_4_4</v>
      </c>
      <c r="F568" s="5" t="s">
        <v>11475</v>
      </c>
      <c r="G568" s="5" t="s">
        <v>12264</v>
      </c>
      <c r="H568" s="5" t="s">
        <v>11476</v>
      </c>
      <c r="I568" s="5" t="s">
        <v>12856</v>
      </c>
      <c r="J568" s="12" t="str">
        <f t="shared" si="16"/>
        <v>(${Variables:E3_5_4_4_kcat} * E3_5_4_4 * C00212*C00001)/(${Variables:E3_5_4_4_km} + (E3_5_4_4 * C00212*C00001))</v>
      </c>
      <c r="K568" s="36" t="str">
        <f t="shared" si="17"/>
        <v>r567: C00212+C00001 -&gt; C00294+C00014 | (${Variables:E3_5_4_4_kcat} * E3_5_4_4 * C00212*C00001)/(${Variables:E3_5_4_4_km} + (E3_5_4_4 * C00212*C00001))</v>
      </c>
    </row>
    <row r="569" spans="1:11" ht="58" x14ac:dyDescent="0.35">
      <c r="A569" s="1" t="s">
        <v>3833</v>
      </c>
      <c r="B569" s="1" t="s">
        <v>3834</v>
      </c>
      <c r="C569" s="1" t="s">
        <v>9998</v>
      </c>
      <c r="D569" s="1">
        <v>568</v>
      </c>
      <c r="E569" s="1" t="str">
        <f>CONCATENATE("E",Reactions!C569)</f>
        <v>E3_5_4_4</v>
      </c>
      <c r="F569" s="5" t="s">
        <v>11477</v>
      </c>
      <c r="G569" s="5" t="s">
        <v>12265</v>
      </c>
      <c r="H569" s="5" t="s">
        <v>11478</v>
      </c>
      <c r="I569" s="5" t="s">
        <v>12857</v>
      </c>
      <c r="J569" s="12" t="str">
        <f t="shared" si="16"/>
        <v>(${Variables:E3_5_4_4_kcat} * E3_5_4_4 * C00559*C00001)/(${Variables:E3_5_4_4_km} + (E3_5_4_4 * C00559*C00001))</v>
      </c>
      <c r="K569" s="36" t="str">
        <f t="shared" si="17"/>
        <v>r568: C00559+C00001 -&gt; C05512+C00014 | (${Variables:E3_5_4_4_kcat} * E3_5_4_4 * C00559*C00001)/(${Variables:E3_5_4_4_km} + (E3_5_4_4 * C00559*C00001))</v>
      </c>
    </row>
    <row r="570" spans="1:11" ht="58" x14ac:dyDescent="0.35">
      <c r="A570" s="1" t="s">
        <v>3722</v>
      </c>
      <c r="B570" s="1" t="s">
        <v>3723</v>
      </c>
      <c r="C570" s="1" t="s">
        <v>9999</v>
      </c>
      <c r="D570" s="1">
        <v>569</v>
      </c>
      <c r="E570" s="1" t="str">
        <f>CONCATENATE("E",Reactions!C570)</f>
        <v>E3_5_4_5</v>
      </c>
      <c r="F570" s="5" t="s">
        <v>11479</v>
      </c>
      <c r="G570" s="5" t="s">
        <v>12266</v>
      </c>
      <c r="H570" s="5" t="s">
        <v>11480</v>
      </c>
      <c r="I570" s="5" t="s">
        <v>12858</v>
      </c>
      <c r="J570" s="12" t="str">
        <f t="shared" si="16"/>
        <v>(${Variables:E3_5_4_5_kcat} * E3_5_4_5 * C00475*C00001)/(${Variables:E3_5_4_5_km} + (E3_5_4_5 * C00475*C00001))</v>
      </c>
      <c r="K570" s="36" t="str">
        <f t="shared" si="17"/>
        <v>r569: C00475+C00001 -&gt; C00299+C00014 | (${Variables:E3_5_4_5_kcat} * E3_5_4_5 * C00475*C00001)/(${Variables:E3_5_4_5_km} + (E3_5_4_5 * C00475*C00001))</v>
      </c>
    </row>
    <row r="571" spans="1:11" ht="58" x14ac:dyDescent="0.35">
      <c r="A571" s="1" t="s">
        <v>3722</v>
      </c>
      <c r="B571" s="1" t="s">
        <v>3723</v>
      </c>
      <c r="C571" s="1" t="s">
        <v>9999</v>
      </c>
      <c r="D571" s="1">
        <v>570</v>
      </c>
      <c r="E571" s="1" t="str">
        <f>CONCATENATE("E",Reactions!C571)</f>
        <v>E3_5_4_5</v>
      </c>
      <c r="F571" s="5" t="s">
        <v>11481</v>
      </c>
      <c r="G571" s="5" t="s">
        <v>12267</v>
      </c>
      <c r="H571" s="5" t="s">
        <v>11482</v>
      </c>
      <c r="I571" s="5" t="s">
        <v>12859</v>
      </c>
      <c r="J571" s="12" t="str">
        <f t="shared" si="16"/>
        <v>(${Variables:E3_5_4_5_kcat} * E3_5_4_5 * C00881*C00001 )/(${Variables:E3_5_4_5_km} + (E3_5_4_5 * C00881*C00001 ))</v>
      </c>
      <c r="K571" s="36" t="str">
        <f t="shared" si="17"/>
        <v>r570: C00881+C00001  -&gt; C00526+C00014 | (${Variables:E3_5_4_5_kcat} * E3_5_4_5 * C00881*C00001 )/(${Variables:E3_5_4_5_km} + (E3_5_4_5 * C00881*C00001 ))</v>
      </c>
    </row>
    <row r="572" spans="1:11" ht="58" x14ac:dyDescent="0.35">
      <c r="A572" s="1" t="s">
        <v>3722</v>
      </c>
      <c r="B572" s="1" t="s">
        <v>3723</v>
      </c>
      <c r="C572" s="1" t="s">
        <v>9999</v>
      </c>
      <c r="D572" s="1">
        <v>571</v>
      </c>
      <c r="E572" s="1" t="str">
        <f>CONCATENATE("E",Reactions!C572)</f>
        <v>E3_5_4_5</v>
      </c>
      <c r="F572" s="5" t="s">
        <v>11483</v>
      </c>
      <c r="G572" s="5" t="s">
        <v>12268</v>
      </c>
      <c r="H572" s="5" t="s">
        <v>11484</v>
      </c>
      <c r="I572" s="5" t="s">
        <v>12860</v>
      </c>
      <c r="J572" s="12" t="str">
        <f t="shared" si="16"/>
        <v>(${Variables:E3_5_4_5_kcat} * E3_5_4_5 * C16635*C00001)/(${Variables:E3_5_4_5_km} + (E3_5_4_5 * C16635*C00001))</v>
      </c>
      <c r="K572" s="36" t="str">
        <f t="shared" si="17"/>
        <v>r571: C16635+C00001 -&gt; C12739+C00014 | (${Variables:E3_5_4_5_kcat} * E3_5_4_5 * C16635*C00001)/(${Variables:E3_5_4_5_km} + (E3_5_4_5 * C16635*C00001))</v>
      </c>
    </row>
    <row r="573" spans="1:11" ht="58" x14ac:dyDescent="0.35">
      <c r="A573" s="1" t="s">
        <v>1882</v>
      </c>
      <c r="B573" s="1" t="s">
        <v>1883</v>
      </c>
      <c r="C573" s="1" t="s">
        <v>10000</v>
      </c>
      <c r="D573" s="1">
        <v>572</v>
      </c>
      <c r="E573" s="1" t="str">
        <f>CONCATENATE("E",Reactions!C573)</f>
        <v>E3_5_4_9</v>
      </c>
      <c r="F573" s="5" t="s">
        <v>11485</v>
      </c>
      <c r="G573" s="5" t="s">
        <v>12269</v>
      </c>
      <c r="H573" s="5" t="s">
        <v>11486</v>
      </c>
      <c r="I573" s="5" t="s">
        <v>12861</v>
      </c>
      <c r="J573" s="12" t="str">
        <f t="shared" si="16"/>
        <v>(${Variables:E3_5_4_9_kcat} * E3_5_4_9 * C00445*C00001 )/(${Variables:E3_5_4_9_km} + (E3_5_4_9 * C00445*C00001 ))</v>
      </c>
      <c r="K573" s="36" t="str">
        <f t="shared" si="17"/>
        <v>r572: C00445+C00001  -&gt; C00234+C00080 | (${Variables:E3_5_4_9_kcat} * E3_5_4_9 * C00445*C00001 )/(${Variables:E3_5_4_9_km} + (E3_5_4_9 * C00445*C00001 ))</v>
      </c>
    </row>
    <row r="574" spans="1:11" ht="58" x14ac:dyDescent="0.35">
      <c r="A574" s="1" t="s">
        <v>1653</v>
      </c>
      <c r="B574" s="1" t="s">
        <v>1654</v>
      </c>
      <c r="C574" s="1" t="s">
        <v>10001</v>
      </c>
      <c r="D574" s="1">
        <v>573</v>
      </c>
      <c r="E574" s="1" t="str">
        <f>CONCATENATE("E",Reactions!C574)</f>
        <v>E3_5_99_6</v>
      </c>
      <c r="F574" s="5" t="s">
        <v>11487</v>
      </c>
      <c r="G574" s="5" t="s">
        <v>12270</v>
      </c>
      <c r="H574" s="5" t="s">
        <v>11488</v>
      </c>
      <c r="I574" s="5" t="s">
        <v>12862</v>
      </c>
      <c r="J574" s="12" t="str">
        <f t="shared" si="16"/>
        <v>(${Variables:E3_5_99_6_kcat} * E3_5_99_6 * C00352*C00001)/(${Variables:E3_5_99_6_km} + (E3_5_99_6 * C00352*C00001))</v>
      </c>
      <c r="K574" s="36" t="str">
        <f t="shared" si="17"/>
        <v>r573: C00352+C00001 -&gt; C00085+C00014 | (${Variables:E3_5_99_6_kcat} * E3_5_99_6 * C00352*C00001)/(${Variables:E3_5_99_6_km} + (E3_5_99_6 * C00352*C00001))</v>
      </c>
    </row>
    <row r="575" spans="1:11" ht="58" x14ac:dyDescent="0.35">
      <c r="A575" s="1" t="s">
        <v>1080</v>
      </c>
      <c r="B575" s="1" t="s">
        <v>1081</v>
      </c>
      <c r="C575" s="1" t="s">
        <v>10002</v>
      </c>
      <c r="D575" s="1">
        <v>574</v>
      </c>
      <c r="E575" s="1" t="str">
        <f>CONCATENATE("E",Reactions!C575)</f>
        <v>E3_6_1_1</v>
      </c>
      <c r="F575" s="5" t="s">
        <v>11489</v>
      </c>
      <c r="G575" s="5" t="s">
        <v>12271</v>
      </c>
      <c r="H575" s="5" t="s">
        <v>9075</v>
      </c>
      <c r="I575" s="5" t="s">
        <v>9075</v>
      </c>
      <c r="J575" s="12" t="str">
        <f t="shared" si="16"/>
        <v>(${Variables:E3_6_1_1_kcat} * E3_6_1_1 * C00013*C00001)/(${Variables:E3_6_1_1_km} + (E3_6_1_1 * C00013*C00001))</v>
      </c>
      <c r="K575" s="36" t="str">
        <f t="shared" si="17"/>
        <v>r574: C00013+C00001 -&gt; C00009 | (${Variables:E3_6_1_1_kcat} * E3_6_1_1 * C00013*C00001)/(${Variables:E3_6_1_1_km} + (E3_6_1_1 * C00013*C00001))</v>
      </c>
    </row>
    <row r="576" spans="1:11" ht="58" x14ac:dyDescent="0.35">
      <c r="A576" s="1" t="s">
        <v>1225</v>
      </c>
      <c r="B576" s="1" t="s">
        <v>1226</v>
      </c>
      <c r="C576" s="1" t="s">
        <v>10003</v>
      </c>
      <c r="D576" s="1">
        <v>575</v>
      </c>
      <c r="E576" s="1" t="str">
        <f>CONCATENATE("E",Reactions!C576)</f>
        <v>E3_6_1_13</v>
      </c>
      <c r="F576" s="5" t="s">
        <v>11490</v>
      </c>
      <c r="G576" s="5" t="s">
        <v>12272</v>
      </c>
      <c r="H576" s="5" t="s">
        <v>11491</v>
      </c>
      <c r="I576" s="5" t="s">
        <v>12863</v>
      </c>
      <c r="J576" s="12" t="str">
        <f t="shared" si="16"/>
        <v>(${Variables:E3_6_1_13_kcat} * E3_6_1_13 * C00301*C00001)/(${Variables:E3_6_1_13_km} + (E3_6_1_13 * C00301*C00001))</v>
      </c>
      <c r="K576" s="36" t="str">
        <f t="shared" si="17"/>
        <v>r575: C00301+C00001 -&gt; C00020+C00117 | (${Variables:E3_6_1_13_kcat} * E3_6_1_13 * C00301*C00001)/(${Variables:E3_6_1_13_km} + (E3_6_1_13 * C00301*C00001))</v>
      </c>
    </row>
    <row r="577" spans="1:11" ht="58" x14ac:dyDescent="0.35">
      <c r="A577" s="1" t="s">
        <v>808</v>
      </c>
      <c r="B577" s="1" t="s">
        <v>809</v>
      </c>
      <c r="C577" s="1" t="s">
        <v>10004</v>
      </c>
      <c r="D577" s="1">
        <v>576</v>
      </c>
      <c r="E577" s="1" t="str">
        <f>CONCATENATE("E",Reactions!C577)</f>
        <v>E3_6_1_15</v>
      </c>
      <c r="F577" s="5" t="s">
        <v>11492</v>
      </c>
      <c r="G577" s="5" t="s">
        <v>12273</v>
      </c>
      <c r="H577" s="5" t="s">
        <v>11493</v>
      </c>
      <c r="I577" s="5" t="s">
        <v>12864</v>
      </c>
      <c r="J577" s="12" t="str">
        <f t="shared" si="16"/>
        <v>(${Variables:E3_6_1_15_kcat} * E3_6_1_15 * C00201*C00001)/(${Variables:E3_6_1_15_km} + (E3_6_1_15 * C00201*C00001))</v>
      </c>
      <c r="K577" s="36" t="str">
        <f t="shared" si="17"/>
        <v>r576: C00201+C00001 -&gt; C00454+C00009 | (${Variables:E3_6_1_15_kcat} * E3_6_1_15 * C00201*C00001)/(${Variables:E3_6_1_15_km} + (E3_6_1_15 * C00201*C00001))</v>
      </c>
    </row>
    <row r="578" spans="1:11" ht="58" x14ac:dyDescent="0.35">
      <c r="A578" s="1" t="s">
        <v>808</v>
      </c>
      <c r="B578" s="1" t="s">
        <v>809</v>
      </c>
      <c r="C578" s="1" t="s">
        <v>10004</v>
      </c>
      <c r="D578" s="1">
        <v>577</v>
      </c>
      <c r="E578" s="1" t="str">
        <f>CONCATENATE("E",Reactions!C578)</f>
        <v>E3_6_1_15</v>
      </c>
      <c r="F578" s="5" t="s">
        <v>11494</v>
      </c>
      <c r="G578" s="5" t="s">
        <v>12274</v>
      </c>
      <c r="H578" s="5" t="s">
        <v>11495</v>
      </c>
      <c r="I578" s="5" t="s">
        <v>12865</v>
      </c>
      <c r="J578" s="12" t="str">
        <f t="shared" si="16"/>
        <v>(${Variables:E3_6_1_15_kcat} * E3_6_1_15 * C00002*C00001)/(${Variables:E3_6_1_15_km} + (E3_6_1_15 * C00002*C00001))</v>
      </c>
      <c r="K578" s="36" t="str">
        <f t="shared" si="17"/>
        <v>r577: C00002+C00001 -&gt; C00008+C00009 | (${Variables:E3_6_1_15_kcat} * E3_6_1_15 * C00002*C00001)/(${Variables:E3_6_1_15_km} + (E3_6_1_15 * C00002*C00001))</v>
      </c>
    </row>
    <row r="579" spans="1:11" ht="58" x14ac:dyDescent="0.35">
      <c r="A579" s="1" t="s">
        <v>808</v>
      </c>
      <c r="B579" s="1" t="s">
        <v>809</v>
      </c>
      <c r="C579" s="1" t="s">
        <v>10004</v>
      </c>
      <c r="D579" s="1">
        <v>578</v>
      </c>
      <c r="E579" s="1" t="str">
        <f>CONCATENATE("E",Reactions!C579)</f>
        <v>E3_6_1_15</v>
      </c>
      <c r="F579" s="5" t="s">
        <v>11496</v>
      </c>
      <c r="G579" s="5" t="s">
        <v>12275</v>
      </c>
      <c r="H579" s="5" t="s">
        <v>11497</v>
      </c>
      <c r="I579" s="5" t="s">
        <v>12866</v>
      </c>
      <c r="J579" s="12" t="str">
        <f t="shared" ref="J579:J642" si="18">CONCATENATE("(${Variables:",E579,"_kcat","} * ",E579," * ",G579,")","/(${Variables:",E579,"_km","} + (",E579," * ",G579,"))")</f>
        <v>(${Variables:E3_6_1_15_kcat} * E3_6_1_15 * C00068*C00001)/(${Variables:E3_6_1_15_km} + (E3_6_1_15 * C00068*C00001))</v>
      </c>
      <c r="K579" s="36" t="str">
        <f t="shared" ref="K579:K642" si="19">CONCATENATE("r",D579,": ",F579," -&gt; ",H579," | ",J579)</f>
        <v>r578: C00068+C00001 -&gt; C01081+C00009 | (${Variables:E3_6_1_15_kcat} * E3_6_1_15 * C00068*C00001)/(${Variables:E3_6_1_15_km} + (E3_6_1_15 * C00068*C00001))</v>
      </c>
    </row>
    <row r="580" spans="1:11" ht="58" x14ac:dyDescent="0.35">
      <c r="A580" s="1" t="s">
        <v>5028</v>
      </c>
      <c r="B580" s="1" t="s">
        <v>5029</v>
      </c>
      <c r="C580" s="1" t="s">
        <v>10005</v>
      </c>
      <c r="D580" s="1">
        <v>579</v>
      </c>
      <c r="E580" s="1" t="str">
        <f>CONCATENATE("E",Reactions!C580)</f>
        <v>E3_6_1_17</v>
      </c>
      <c r="F580" s="5" t="s">
        <v>11498</v>
      </c>
      <c r="G580" s="5" t="s">
        <v>12276</v>
      </c>
      <c r="H580" s="5" t="s">
        <v>11499</v>
      </c>
      <c r="I580" s="5" t="s">
        <v>12867</v>
      </c>
      <c r="J580" s="12" t="str">
        <f t="shared" si="18"/>
        <v>(${Variables:E3_6_1_17_kcat} * E3_6_1_17 * C01261*C00001 )/(${Variables:E3_6_1_17_km} + (E3_6_1_17 * C01261*C00001 ))</v>
      </c>
      <c r="K580" s="36" t="str">
        <f t="shared" si="19"/>
        <v>r579: C01261+C00001  -&gt; C00044+C00144 | (${Variables:E3_6_1_17_kcat} * E3_6_1_17 * C01261*C00001 )/(${Variables:E3_6_1_17_km} + (E3_6_1_17 * C01261*C00001 ))</v>
      </c>
    </row>
    <row r="581" spans="1:11" ht="58" x14ac:dyDescent="0.35">
      <c r="A581" s="1" t="s">
        <v>5028</v>
      </c>
      <c r="B581" s="1" t="s">
        <v>5029</v>
      </c>
      <c r="C581" s="1" t="s">
        <v>10005</v>
      </c>
      <c r="D581" s="1">
        <v>580</v>
      </c>
      <c r="E581" s="1" t="str">
        <f>CONCATENATE("E",Reactions!C581)</f>
        <v>E3_6_1_17</v>
      </c>
      <c r="F581" s="5" t="s">
        <v>11500</v>
      </c>
      <c r="G581" s="5" t="s">
        <v>12277</v>
      </c>
      <c r="H581" s="5" t="s">
        <v>11178</v>
      </c>
      <c r="I581" s="5" t="s">
        <v>12104</v>
      </c>
      <c r="J581" s="12" t="str">
        <f t="shared" si="18"/>
        <v>(${Variables:E3_6_1_17_kcat} * E3_6_1_17 * C01260*C00001)/(${Variables:E3_6_1_17_km} + (E3_6_1_17 * C01260*C00001))</v>
      </c>
      <c r="K581" s="36" t="str">
        <f t="shared" si="19"/>
        <v>r580: C01260+C00001 -&gt; C00002+C00020 | (${Variables:E3_6_1_17_kcat} * E3_6_1_17 * C01260*C00001)/(${Variables:E3_6_1_17_km} + (E3_6_1_17 * C01260*C00001))</v>
      </c>
    </row>
    <row r="582" spans="1:11" ht="58" x14ac:dyDescent="0.35">
      <c r="A582" s="1" t="s">
        <v>5028</v>
      </c>
      <c r="B582" s="1" t="s">
        <v>5029</v>
      </c>
      <c r="C582" s="1" t="s">
        <v>10005</v>
      </c>
      <c r="D582" s="1">
        <v>581</v>
      </c>
      <c r="E582" s="1" t="str">
        <f>CONCATENATE("E",Reactions!C582)</f>
        <v>E3_6_1_17</v>
      </c>
      <c r="F582" s="5" t="s">
        <v>11501</v>
      </c>
      <c r="G582" s="5" t="s">
        <v>12278</v>
      </c>
      <c r="H582" s="5" t="s">
        <v>11502</v>
      </c>
      <c r="I582" s="5" t="s">
        <v>12868</v>
      </c>
      <c r="J582" s="12" t="str">
        <f t="shared" si="18"/>
        <v>(${Variables:E3_6_1_17_kcat} * E3_6_1_17 * C06198*C00001)/(${Variables:E3_6_1_17_km} + (E3_6_1_17 * C06198*C00001))</v>
      </c>
      <c r="K582" s="36" t="str">
        <f t="shared" si="19"/>
        <v>r581: C06198+C00001 -&gt; C00075+C00105 | (${Variables:E3_6_1_17_kcat} * E3_6_1_17 * C06198*C00001)/(${Variables:E3_6_1_17_km} + (E3_6_1_17 * C06198*C00001))</v>
      </c>
    </row>
    <row r="583" spans="1:11" ht="58" x14ac:dyDescent="0.35">
      <c r="A583" s="1" t="s">
        <v>5028</v>
      </c>
      <c r="B583" s="1" t="s">
        <v>5029</v>
      </c>
      <c r="C583" s="1" t="s">
        <v>10005</v>
      </c>
      <c r="D583" s="1">
        <v>582</v>
      </c>
      <c r="E583" s="1" t="str">
        <f>CONCATENATE("E",Reactions!C583)</f>
        <v>E3_6_1_17</v>
      </c>
      <c r="F583" s="5" t="s">
        <v>11503</v>
      </c>
      <c r="G583" s="5" t="s">
        <v>12279</v>
      </c>
      <c r="H583" s="5" t="s">
        <v>11504</v>
      </c>
      <c r="I583" s="5" t="s">
        <v>12869</v>
      </c>
      <c r="J583" s="12" t="str">
        <f t="shared" si="18"/>
        <v>(${Variables:E3_6_1_17_kcat} * E3_6_1_17 * C04392*C00001 )/(${Variables:E3_6_1_17_km} + (E3_6_1_17 * C04392*C00001 ))</v>
      </c>
      <c r="K583" s="36" t="str">
        <f t="shared" si="19"/>
        <v>r582: C04392+C00001  -&gt; C00700+C00655 | (${Variables:E3_6_1_17_kcat} * E3_6_1_17 * C04392*C00001 )/(${Variables:E3_6_1_17_km} + (E3_6_1_17 * C04392*C00001 ))</v>
      </c>
    </row>
    <row r="584" spans="1:11" ht="58" x14ac:dyDescent="0.35">
      <c r="A584" s="1" t="s">
        <v>5677</v>
      </c>
      <c r="B584" s="1" t="s">
        <v>5678</v>
      </c>
      <c r="C584" s="1" t="s">
        <v>10006</v>
      </c>
      <c r="D584" s="1">
        <v>583</v>
      </c>
      <c r="E584" s="1" t="str">
        <f>CONCATENATE("E",Reactions!C584)</f>
        <v>E3_6_1_23</v>
      </c>
      <c r="F584" s="5" t="s">
        <v>11505</v>
      </c>
      <c r="G584" s="5" t="s">
        <v>12280</v>
      </c>
      <c r="H584" s="5" t="s">
        <v>11506</v>
      </c>
      <c r="I584" s="5" t="s">
        <v>12870</v>
      </c>
      <c r="J584" s="12" t="str">
        <f t="shared" si="18"/>
        <v>(${Variables:E3_6_1_23_kcat} * E3_6_1_23 * C00460*C00001)/(${Variables:E3_6_1_23_km} + (E3_6_1_23 * C00460*C00001))</v>
      </c>
      <c r="K584" s="36" t="str">
        <f t="shared" si="19"/>
        <v>r583: C00460+C00001 -&gt; C00365+C00013 | (${Variables:E3_6_1_23_kcat} * E3_6_1_23 * C00460*C00001)/(${Variables:E3_6_1_23_km} + (E3_6_1_23 * C00460*C00001))</v>
      </c>
    </row>
    <row r="585" spans="1:11" ht="58" x14ac:dyDescent="0.35">
      <c r="A585" s="1" t="s">
        <v>5677</v>
      </c>
      <c r="B585" s="1" t="s">
        <v>5678</v>
      </c>
      <c r="C585" s="1" t="s">
        <v>10006</v>
      </c>
      <c r="D585" s="1">
        <v>584</v>
      </c>
      <c r="E585" s="1" t="str">
        <f>CONCATENATE("E",Reactions!C585)</f>
        <v>E3_6_1_23</v>
      </c>
      <c r="F585" s="5" t="s">
        <v>11507</v>
      </c>
      <c r="G585" s="5" t="s">
        <v>12281</v>
      </c>
      <c r="H585" s="5" t="s">
        <v>11508</v>
      </c>
      <c r="I585" s="5" t="s">
        <v>12871</v>
      </c>
      <c r="J585" s="12" t="str">
        <f t="shared" si="18"/>
        <v>(${Variables:E3_6_1_23_kcat} * E3_6_1_23 * C21751*C00001)/(${Variables:E3_6_1_23_km} + (E3_6_1_23 * C21751*C00001))</v>
      </c>
      <c r="K585" s="36" t="str">
        <f t="shared" si="19"/>
        <v>r584: C21751+C00001 -&gt; C04242+C00013 | (${Variables:E3_6_1_23_kcat} * E3_6_1_23 * C21751*C00001)/(${Variables:E3_6_1_23_km} + (E3_6_1_23 * C21751*C00001))</v>
      </c>
    </row>
    <row r="586" spans="1:11" ht="58" x14ac:dyDescent="0.35">
      <c r="A586" s="1" t="s">
        <v>543</v>
      </c>
      <c r="B586" s="1" t="s">
        <v>544</v>
      </c>
      <c r="C586" s="1" t="s">
        <v>10007</v>
      </c>
      <c r="D586" s="1">
        <v>585</v>
      </c>
      <c r="E586" s="1" t="str">
        <f>CONCATENATE("E",Reactions!C586)</f>
        <v>E3_6_1_27</v>
      </c>
      <c r="F586" s="5" t="s">
        <v>11509</v>
      </c>
      <c r="G586" s="5" t="s">
        <v>12282</v>
      </c>
      <c r="H586" s="5" t="s">
        <v>11510</v>
      </c>
      <c r="I586" s="5" t="s">
        <v>12872</v>
      </c>
      <c r="J586" s="12" t="str">
        <f t="shared" si="18"/>
        <v>(${Variables:E3_6_1_27_kcat} * E3_6_1_27 * C04574*C00001)/(${Variables:E3_6_1_27_km} + (E3_6_1_27 * C04574*C00001))</v>
      </c>
      <c r="K586" s="36" t="str">
        <f t="shared" si="19"/>
        <v>r585: C04574+C00001 -&gt; C17556+C00009 | (${Variables:E3_6_1_27_kcat} * E3_6_1_27 * C04574*C00001)/(${Variables:E3_6_1_27_km} + (E3_6_1_27 * C04574*C00001))</v>
      </c>
    </row>
    <row r="587" spans="1:11" ht="58" x14ac:dyDescent="0.35">
      <c r="A587" s="1" t="s">
        <v>2557</v>
      </c>
      <c r="B587" s="1" t="s">
        <v>2558</v>
      </c>
      <c r="C587" s="1" t="s">
        <v>10008</v>
      </c>
      <c r="D587" s="1">
        <v>586</v>
      </c>
      <c r="E587" s="1" t="str">
        <f>CONCATENATE("E",Reactions!C587)</f>
        <v>E3_6_1_31</v>
      </c>
      <c r="F587" s="5" t="s">
        <v>11511</v>
      </c>
      <c r="G587" s="5" t="s">
        <v>12283</v>
      </c>
      <c r="H587" s="5" t="s">
        <v>11512</v>
      </c>
      <c r="I587" s="5" t="s">
        <v>12873</v>
      </c>
      <c r="J587" s="12" t="str">
        <f t="shared" si="18"/>
        <v>(${Variables:E3_6_1_31_kcat} * E3_6_1_31 * C02739*C00001)/(${Variables:E3_6_1_31_km} + (E3_6_1_31 * C02739*C00001))</v>
      </c>
      <c r="K587" s="36" t="str">
        <f t="shared" si="19"/>
        <v>r586: C02739+C00001 -&gt; C02741+C00013 | (${Variables:E3_6_1_31_kcat} * E3_6_1_31 * C02739*C00001)/(${Variables:E3_6_1_31_km} + (E3_6_1_31 * C02739*C00001))</v>
      </c>
    </row>
    <row r="588" spans="1:11" ht="58" x14ac:dyDescent="0.35">
      <c r="A588" s="1" t="s">
        <v>780</v>
      </c>
      <c r="B588" s="1" t="s">
        <v>781</v>
      </c>
      <c r="C588" s="1" t="s">
        <v>10009</v>
      </c>
      <c r="D588" s="1">
        <v>587</v>
      </c>
      <c r="E588" s="1" t="str">
        <f>CONCATENATE("E",Reactions!C588)</f>
        <v>E3_6_1_7</v>
      </c>
      <c r="F588" s="5" t="s">
        <v>11513</v>
      </c>
      <c r="G588" s="5" t="s">
        <v>12284</v>
      </c>
      <c r="H588" s="5" t="s">
        <v>11514</v>
      </c>
      <c r="I588" s="5" t="s">
        <v>12874</v>
      </c>
      <c r="J588" s="12" t="str">
        <f t="shared" si="18"/>
        <v>(${Variables:E3_6_1_7_kcat} * E3_6_1_7 * C02133*C00001)/(${Variables:E3_6_1_7_km} + (E3_6_1_7 * C02133*C00001))</v>
      </c>
      <c r="K588" s="36" t="str">
        <f t="shared" si="19"/>
        <v>r587: C02133+C00001 -&gt; C00060+C00009 | (${Variables:E3_6_1_7_kcat} * E3_6_1_7 * C02133*C00001)/(${Variables:E3_6_1_7_km} + (E3_6_1_7 * C02133*C00001))</v>
      </c>
    </row>
    <row r="589" spans="1:11" ht="58" x14ac:dyDescent="0.35">
      <c r="A589" s="1" t="s">
        <v>780</v>
      </c>
      <c r="B589" s="1" t="s">
        <v>781</v>
      </c>
      <c r="C589" s="1" t="s">
        <v>10009</v>
      </c>
      <c r="D589" s="1">
        <v>588</v>
      </c>
      <c r="E589" s="1" t="str">
        <f>CONCATENATE("E",Reactions!C589)</f>
        <v>E3_6_1_7</v>
      </c>
      <c r="F589" s="5" t="s">
        <v>11515</v>
      </c>
      <c r="G589" s="5" t="s">
        <v>12285</v>
      </c>
      <c r="H589" s="5" t="s">
        <v>11516</v>
      </c>
      <c r="I589" s="5" t="s">
        <v>12875</v>
      </c>
      <c r="J589" s="12" t="str">
        <f t="shared" si="18"/>
        <v>(${Variables:E3_6_1_7_kcat} * E3_6_1_7 * C00227*C00001)/(${Variables:E3_6_1_7_km} + (E3_6_1_7 * C00227*C00001))</v>
      </c>
      <c r="K589" s="36" t="str">
        <f t="shared" si="19"/>
        <v>r588: C00227+C00001 -&gt; C00033+C00009 | (${Variables:E3_6_1_7_kcat} * E3_6_1_7 * C00227*C00001)/(${Variables:E3_6_1_7_km} + (E3_6_1_7 * C00227*C00001))</v>
      </c>
    </row>
    <row r="590" spans="1:11" ht="58" x14ac:dyDescent="0.35">
      <c r="A590" s="1" t="s">
        <v>780</v>
      </c>
      <c r="B590" s="1" t="s">
        <v>781</v>
      </c>
      <c r="C590" s="1" t="s">
        <v>10009</v>
      </c>
      <c r="D590" s="1">
        <v>589</v>
      </c>
      <c r="E590" s="1" t="str">
        <f>CONCATENATE("E",Reactions!C590)</f>
        <v>E3_6_1_7</v>
      </c>
      <c r="F590" s="5" t="s">
        <v>11517</v>
      </c>
      <c r="G590" s="5" t="s">
        <v>12286</v>
      </c>
      <c r="H590" s="5" t="s">
        <v>11518</v>
      </c>
      <c r="I590" s="5" t="s">
        <v>12876</v>
      </c>
      <c r="J590" s="12" t="str">
        <f t="shared" si="18"/>
        <v>(${Variables:E3_6_1_7_kcat} * E3_6_1_7 * C06206*C00001)/(${Variables:E3_6_1_7_km} + (E3_6_1_7 * C06206*C00001))</v>
      </c>
      <c r="K590" s="36" t="str">
        <f t="shared" si="19"/>
        <v>r589: C06206+C00001 -&gt; C00180+C00009 | (${Variables:E3_6_1_7_kcat} * E3_6_1_7 * C06206*C00001)/(${Variables:E3_6_1_7_km} + (E3_6_1_7 * C06206*C00001))</v>
      </c>
    </row>
    <row r="591" spans="1:11" ht="58" x14ac:dyDescent="0.35">
      <c r="A591" s="1" t="s">
        <v>780</v>
      </c>
      <c r="B591" s="1" t="s">
        <v>781</v>
      </c>
      <c r="C591" s="1" t="s">
        <v>10009</v>
      </c>
      <c r="D591" s="1">
        <v>590</v>
      </c>
      <c r="E591" s="1" t="str">
        <f>CONCATENATE("E",Reactions!C591)</f>
        <v>E3_6_1_7</v>
      </c>
      <c r="F591" s="5" t="s">
        <v>11519</v>
      </c>
      <c r="G591" s="5" t="s">
        <v>12287</v>
      </c>
      <c r="H591" s="5" t="s">
        <v>11520</v>
      </c>
      <c r="I591" s="5" t="s">
        <v>12877</v>
      </c>
      <c r="J591" s="12" t="str">
        <f t="shared" si="18"/>
        <v>(${Variables:E3_6_1_7_kcat} * E3_6_1_7 * C00236*C00001)/(${Variables:E3_6_1_7_km} + (E3_6_1_7 * C00236*C00001))</v>
      </c>
      <c r="K591" s="36" t="str">
        <f t="shared" si="19"/>
        <v>r590: C00236+C00001 -&gt; C00197+C00009 | (${Variables:E3_6_1_7_kcat} * E3_6_1_7 * C00236*C00001)/(${Variables:E3_6_1_7_km} + (E3_6_1_7 * C00236*C00001))</v>
      </c>
    </row>
    <row r="592" spans="1:11" ht="58" x14ac:dyDescent="0.35">
      <c r="A592" s="1" t="s">
        <v>794</v>
      </c>
      <c r="B592" s="1" t="s">
        <v>795</v>
      </c>
      <c r="C592" s="1" t="s">
        <v>10020</v>
      </c>
      <c r="D592" s="1">
        <v>591</v>
      </c>
      <c r="E592" s="1" t="str">
        <f>CONCATENATE("E",Reactions!C592)</f>
        <v>E4_1_1_20</v>
      </c>
      <c r="F592" s="5" t="s">
        <v>8427</v>
      </c>
      <c r="G592" s="5" t="s">
        <v>8427</v>
      </c>
      <c r="H592" s="5" t="s">
        <v>11521</v>
      </c>
      <c r="I592" s="5" t="s">
        <v>12878</v>
      </c>
      <c r="J592" s="12" t="str">
        <f t="shared" si="18"/>
        <v>(${Variables:E4_1_1_20_kcat} * E4_1_1_20 * C00680)/(${Variables:E4_1_1_20_km} + (E4_1_1_20 * C00680))</v>
      </c>
      <c r="K592" s="36" t="str">
        <f t="shared" si="19"/>
        <v>r591: C00680 -&gt; C00047+C00011 | (${Variables:E4_1_1_20_kcat} * E4_1_1_20 * C00680)/(${Variables:E4_1_1_20_km} + (E4_1_1_20 * C00680))</v>
      </c>
    </row>
    <row r="593" spans="1:11" ht="58" x14ac:dyDescent="0.35">
      <c r="A593" s="1" t="s">
        <v>191</v>
      </c>
      <c r="B593" s="1" t="s">
        <v>192</v>
      </c>
      <c r="C593" s="1" t="s">
        <v>10021</v>
      </c>
      <c r="D593" s="1">
        <v>592</v>
      </c>
      <c r="E593" s="1" t="str">
        <f>CONCATENATE("E",Reactions!C593)</f>
        <v>E4_1_1_21</v>
      </c>
      <c r="F593" s="5" t="s">
        <v>8430</v>
      </c>
      <c r="G593" s="5" t="s">
        <v>8430</v>
      </c>
      <c r="H593" s="5" t="s">
        <v>11522</v>
      </c>
      <c r="I593" s="5" t="s">
        <v>12879</v>
      </c>
      <c r="J593" s="12" t="str">
        <f t="shared" si="18"/>
        <v>(${Variables:E4_1_1_21_kcat} * E4_1_1_21 * C04751)/(${Variables:E4_1_1_21_km} + (E4_1_1_21 * C04751))</v>
      </c>
      <c r="K593" s="36" t="str">
        <f t="shared" si="19"/>
        <v>r592: C04751 -&gt; C03373+C00011 | (${Variables:E4_1_1_21_kcat} * E4_1_1_21 * C04751)/(${Variables:E4_1_1_21_km} + (E4_1_1_21 * C04751))</v>
      </c>
    </row>
    <row r="594" spans="1:11" ht="58" x14ac:dyDescent="0.35">
      <c r="A594" s="1" t="s">
        <v>3387</v>
      </c>
      <c r="B594" s="1" t="s">
        <v>3388</v>
      </c>
      <c r="C594" s="1" t="s">
        <v>10022</v>
      </c>
      <c r="D594" s="1">
        <v>593</v>
      </c>
      <c r="E594" s="1" t="str">
        <f>CONCATENATE("E",Reactions!C594)</f>
        <v>E4_1_1_23</v>
      </c>
      <c r="F594" s="5" t="s">
        <v>8435</v>
      </c>
      <c r="G594" s="5" t="s">
        <v>8435</v>
      </c>
      <c r="H594" s="5" t="s">
        <v>11523</v>
      </c>
      <c r="I594" s="5" t="s">
        <v>12880</v>
      </c>
      <c r="J594" s="12" t="str">
        <f t="shared" si="18"/>
        <v>(${Variables:E4_1_1_23_kcat} * E4_1_1_23 * C01103 )/(${Variables:E4_1_1_23_km} + (E4_1_1_23 * C01103 ))</v>
      </c>
      <c r="K594" s="36" t="str">
        <f t="shared" si="19"/>
        <v>r593: C01103  -&gt; C00105+C00011 | (${Variables:E4_1_1_23_kcat} * E4_1_1_23 * C01103 )/(${Variables:E4_1_1_23_km} + (E4_1_1_23 * C01103 ))</v>
      </c>
    </row>
    <row r="595" spans="1:11" ht="58" x14ac:dyDescent="0.35">
      <c r="A595" s="1" t="s">
        <v>2318</v>
      </c>
      <c r="B595" s="1" t="s">
        <v>2319</v>
      </c>
      <c r="C595" s="1" t="s">
        <v>10023</v>
      </c>
      <c r="D595" s="1">
        <v>594</v>
      </c>
      <c r="E595" s="1" t="str">
        <f>CONCATENATE("E",Reactions!C595)</f>
        <v>E4_1_1_31</v>
      </c>
      <c r="F595" s="5" t="s">
        <v>11524</v>
      </c>
      <c r="G595" s="5" t="s">
        <v>12288</v>
      </c>
      <c r="H595" s="5" t="s">
        <v>11525</v>
      </c>
      <c r="I595" s="5" t="s">
        <v>12881</v>
      </c>
      <c r="J595" s="12" t="str">
        <f t="shared" si="18"/>
        <v>(${Variables:E4_1_1_31_kcat} * E4_1_1_31 * C00009*C00036)/(${Variables:E4_1_1_31_km} + (E4_1_1_31 * C00009*C00036))</v>
      </c>
      <c r="K595" s="36" t="str">
        <f t="shared" si="19"/>
        <v>r594: C00009+C00036 -&gt; C00001+C00074+C00011 | (${Variables:E4_1_1_31_kcat} * E4_1_1_31 * C00009*C00036)/(${Variables:E4_1_1_31_km} + (E4_1_1_31 * C00009*C00036))</v>
      </c>
    </row>
    <row r="596" spans="1:11" ht="72.5" x14ac:dyDescent="0.35">
      <c r="A596" s="1" t="s">
        <v>1708</v>
      </c>
      <c r="B596" s="1" t="s">
        <v>1709</v>
      </c>
      <c r="C596" s="1" t="s">
        <v>10024</v>
      </c>
      <c r="D596" s="1">
        <v>595</v>
      </c>
      <c r="E596" s="1" t="str">
        <f>CONCATENATE("E",Reactions!C596)</f>
        <v>E4_1_1_33</v>
      </c>
      <c r="F596" s="5" t="s">
        <v>11526</v>
      </c>
      <c r="G596" s="5" t="s">
        <v>12289</v>
      </c>
      <c r="H596" s="5" t="s">
        <v>11527</v>
      </c>
      <c r="I596" s="5" t="s">
        <v>12882</v>
      </c>
      <c r="J596" s="12" t="str">
        <f t="shared" si="18"/>
        <v>(${Variables:E4_1_1_33_kcat} * E4_1_1_33 * C00002*C01143)/(${Variables:E4_1_1_33_km} + (E4_1_1_33 * C00002*C01143))</v>
      </c>
      <c r="K596" s="36" t="str">
        <f t="shared" si="19"/>
        <v>r595: C00002+C01143 -&gt; C00008+C00009+C00129+C00011 | (${Variables:E4_1_1_33_kcat} * E4_1_1_33 * C00002*C01143)/(${Variables:E4_1_1_33_km} + (E4_1_1_33 * C00002*C01143))</v>
      </c>
    </row>
    <row r="597" spans="1:11" ht="58" x14ac:dyDescent="0.35">
      <c r="A597" s="1" t="s">
        <v>3761</v>
      </c>
      <c r="B597" s="1" t="s">
        <v>3762</v>
      </c>
      <c r="C597" s="1" t="s">
        <v>10025</v>
      </c>
      <c r="D597" s="1">
        <v>596</v>
      </c>
      <c r="E597" s="1" t="str">
        <f>CONCATENATE("E",Reactions!C597)</f>
        <v>E4_1_1_36</v>
      </c>
      <c r="F597" s="5" t="s">
        <v>8447</v>
      </c>
      <c r="G597" s="5" t="s">
        <v>8447</v>
      </c>
      <c r="H597" s="5" t="s">
        <v>11528</v>
      </c>
      <c r="I597" s="5" t="s">
        <v>12883</v>
      </c>
      <c r="J597" s="12" t="str">
        <f t="shared" si="18"/>
        <v>(${Variables:E4_1_1_36_kcat} * E4_1_1_36 * C04352)/(${Variables:E4_1_1_36_km} + (E4_1_1_36 * C04352))</v>
      </c>
      <c r="K597" s="36" t="str">
        <f t="shared" si="19"/>
        <v>r596: C04352 -&gt; C01134+C00011 | (${Variables:E4_1_1_36_kcat} * E4_1_1_36 * C04352)/(${Variables:E4_1_1_36_km} + (E4_1_1_36 * C04352))</v>
      </c>
    </row>
    <row r="598" spans="1:11" ht="58" x14ac:dyDescent="0.35">
      <c r="A598" s="1" t="s">
        <v>4952</v>
      </c>
      <c r="B598" s="1" t="s">
        <v>4953</v>
      </c>
      <c r="C598" s="1" t="s">
        <v>10026</v>
      </c>
      <c r="D598" s="1">
        <v>597</v>
      </c>
      <c r="E598" s="1" t="str">
        <f>CONCATENATE("E",Reactions!C598)</f>
        <v>E4_1_1_48</v>
      </c>
      <c r="F598" s="5" t="s">
        <v>8451</v>
      </c>
      <c r="G598" s="5" t="s">
        <v>8451</v>
      </c>
      <c r="H598" s="5" t="s">
        <v>11529</v>
      </c>
      <c r="I598" s="5" t="s">
        <v>12884</v>
      </c>
      <c r="J598" s="12" t="str">
        <f t="shared" si="18"/>
        <v>(${Variables:E4_1_1_48_kcat} * E4_1_1_48 * C01302)/(${Variables:E4_1_1_48_km} + (E4_1_1_48 * C01302))</v>
      </c>
      <c r="K598" s="36" t="str">
        <f t="shared" si="19"/>
        <v>r597: C01302 -&gt; C03506+C00011+C00001 | (${Variables:E4_1_1_48_kcat} * E4_1_1_48 * C01302)/(${Variables:E4_1_1_48_km} + (E4_1_1_48 * C01302))</v>
      </c>
    </row>
    <row r="599" spans="1:11" ht="58" x14ac:dyDescent="0.35">
      <c r="A599" s="1" t="s">
        <v>3528</v>
      </c>
      <c r="B599" s="1" t="s">
        <v>3529</v>
      </c>
      <c r="C599" s="1" t="s">
        <v>10027</v>
      </c>
      <c r="D599" s="1">
        <v>598</v>
      </c>
      <c r="E599" s="1" t="str">
        <f>CONCATENATE("E",Reactions!C599)</f>
        <v>E4_1_1_5</v>
      </c>
      <c r="F599" s="5" t="s">
        <v>6931</v>
      </c>
      <c r="G599" s="5" t="s">
        <v>6931</v>
      </c>
      <c r="H599" s="5" t="s">
        <v>11530</v>
      </c>
      <c r="I599" s="5" t="s">
        <v>12885</v>
      </c>
      <c r="J599" s="12" t="str">
        <f t="shared" si="18"/>
        <v>(${Variables:E4_1_1_5_kcat} * E4_1_1_5 * C06010)/(${Variables:E4_1_1_5_km} + (E4_1_1_5 * C06010))</v>
      </c>
      <c r="K599" s="36" t="str">
        <f t="shared" si="19"/>
        <v>r598: C06010 -&gt; C00810+C00011 | (${Variables:E4_1_1_5_kcat} * E4_1_1_5 * C06010)/(${Variables:E4_1_1_5_km} + (E4_1_1_5 * C06010))</v>
      </c>
    </row>
    <row r="600" spans="1:11" ht="58" x14ac:dyDescent="0.35">
      <c r="A600" s="1" t="s">
        <v>5867</v>
      </c>
      <c r="B600" s="1" t="s">
        <v>5868</v>
      </c>
      <c r="C600" s="1" t="s">
        <v>10028</v>
      </c>
      <c r="D600" s="1">
        <v>599</v>
      </c>
      <c r="E600" s="1" t="str">
        <f>CONCATENATE("E",Reactions!C600)</f>
        <v>E4_1_2_13</v>
      </c>
      <c r="F600" s="5" t="s">
        <v>8458</v>
      </c>
      <c r="G600" s="5" t="s">
        <v>8458</v>
      </c>
      <c r="H600" s="5" t="s">
        <v>11531</v>
      </c>
      <c r="I600" s="5" t="s">
        <v>12886</v>
      </c>
      <c r="J600" s="12" t="str">
        <f t="shared" si="18"/>
        <v>(${Variables:E4_1_2_13_kcat} * E4_1_2_13 * C00354)/(${Variables:E4_1_2_13_km} + (E4_1_2_13 * C00354))</v>
      </c>
      <c r="K600" s="36" t="str">
        <f t="shared" si="19"/>
        <v>r599: C00354 -&gt; C00111+C00118 | (${Variables:E4_1_2_13_kcat} * E4_1_2_13 * C00354)/(${Variables:E4_1_2_13_km} + (E4_1_2_13 * C00354))</v>
      </c>
    </row>
    <row r="601" spans="1:11" ht="58" x14ac:dyDescent="0.35">
      <c r="A601" s="1" t="s">
        <v>5867</v>
      </c>
      <c r="B601" s="1" t="s">
        <v>5868</v>
      </c>
      <c r="C601" s="1" t="s">
        <v>10028</v>
      </c>
      <c r="D601" s="1">
        <v>600</v>
      </c>
      <c r="E601" s="1" t="str">
        <f>CONCATENATE("E",Reactions!C601)</f>
        <v>E4_1_2_13</v>
      </c>
      <c r="F601" s="5" t="s">
        <v>8460</v>
      </c>
      <c r="G601" s="5" t="s">
        <v>8460</v>
      </c>
      <c r="H601" s="5" t="s">
        <v>11531</v>
      </c>
      <c r="I601" s="5" t="s">
        <v>12886</v>
      </c>
      <c r="J601" s="12" t="str">
        <f t="shared" si="18"/>
        <v>(${Variables:E4_1_2_13_kcat} * E4_1_2_13 * C05378)/(${Variables:E4_1_2_13_km} + (E4_1_2_13 * C05378))</v>
      </c>
      <c r="K601" s="36" t="str">
        <f t="shared" si="19"/>
        <v>r600: C05378 -&gt; C00111+C00118 | (${Variables:E4_1_2_13_kcat} * E4_1_2_13 * C05378)/(${Variables:E4_1_2_13_km} + (E4_1_2_13 * C05378))</v>
      </c>
    </row>
    <row r="602" spans="1:11" ht="58" x14ac:dyDescent="0.35">
      <c r="A602" s="1" t="s">
        <v>5867</v>
      </c>
      <c r="B602" s="1" t="s">
        <v>5868</v>
      </c>
      <c r="C602" s="1" t="s">
        <v>10028</v>
      </c>
      <c r="D602" s="1">
        <v>601</v>
      </c>
      <c r="E602" s="1" t="str">
        <f>CONCATENATE("E",Reactions!C602)</f>
        <v>E4_1_2_13</v>
      </c>
      <c r="F602" s="5" t="s">
        <v>8462</v>
      </c>
      <c r="G602" s="5" t="s">
        <v>8462</v>
      </c>
      <c r="H602" s="5" t="s">
        <v>11532</v>
      </c>
      <c r="I602" s="5" t="s">
        <v>12887</v>
      </c>
      <c r="J602" s="12" t="str">
        <f t="shared" si="18"/>
        <v>(${Variables:E4_1_2_13_kcat} * E4_1_2_13 * C00447)/(${Variables:E4_1_2_13_km} + (E4_1_2_13 * C00447))</v>
      </c>
      <c r="K602" s="36" t="str">
        <f t="shared" si="19"/>
        <v>r601: C00447 -&gt; C00111+C00279 | (${Variables:E4_1_2_13_kcat} * E4_1_2_13 * C00447)/(${Variables:E4_1_2_13_km} + (E4_1_2_13 * C00447))</v>
      </c>
    </row>
    <row r="603" spans="1:11" ht="58" x14ac:dyDescent="0.35">
      <c r="A603" s="1" t="s">
        <v>5867</v>
      </c>
      <c r="B603" s="1" t="s">
        <v>5868</v>
      </c>
      <c r="C603" s="1" t="s">
        <v>10028</v>
      </c>
      <c r="D603" s="1">
        <v>602</v>
      </c>
      <c r="E603" s="1" t="str">
        <f>CONCATENATE("E",Reactions!C603)</f>
        <v>E4_1_2_13</v>
      </c>
      <c r="F603" s="5" t="s">
        <v>8464</v>
      </c>
      <c r="G603" s="5" t="s">
        <v>8464</v>
      </c>
      <c r="H603" s="5" t="s">
        <v>11533</v>
      </c>
      <c r="I603" s="5" t="s">
        <v>12888</v>
      </c>
      <c r="J603" s="12" t="str">
        <f t="shared" si="18"/>
        <v>(${Variables:E4_1_2_13_kcat} * E4_1_2_13 * C01094)/(${Variables:E4_1_2_13_km} + (E4_1_2_13 * C01094))</v>
      </c>
      <c r="K603" s="36" t="str">
        <f t="shared" si="19"/>
        <v>r602: C01094 -&gt; C00111+C00577 | (${Variables:E4_1_2_13_kcat} * E4_1_2_13 * C01094)/(${Variables:E4_1_2_13_km} + (E4_1_2_13 * C01094))</v>
      </c>
    </row>
    <row r="604" spans="1:11" ht="58" x14ac:dyDescent="0.35">
      <c r="A604" s="1" t="s">
        <v>4774</v>
      </c>
      <c r="B604" s="1" t="s">
        <v>4775</v>
      </c>
      <c r="C604" s="1" t="s">
        <v>10029</v>
      </c>
      <c r="D604" s="1">
        <v>603</v>
      </c>
      <c r="E604" s="1" t="str">
        <f>CONCATENATE("E",Reactions!C604)</f>
        <v>E4_1_2_25</v>
      </c>
      <c r="F604" s="5" t="s">
        <v>8470</v>
      </c>
      <c r="G604" s="5" t="s">
        <v>8470</v>
      </c>
      <c r="H604" s="5" t="s">
        <v>11534</v>
      </c>
      <c r="I604" s="5" t="s">
        <v>12889</v>
      </c>
      <c r="J604" s="12" t="str">
        <f t="shared" si="18"/>
        <v>(${Variables:E4_1_2_25_kcat} * E4_1_2_25 * C04874)/(${Variables:E4_1_2_25_km} + (E4_1_2_25 * C04874))</v>
      </c>
      <c r="K604" s="36" t="str">
        <f t="shared" si="19"/>
        <v>r603: C04874 -&gt; C00266+C01300 | (${Variables:E4_1_2_25_kcat} * E4_1_2_25 * C04874)/(${Variables:E4_1_2_25_km} + (E4_1_2_25 * C04874))</v>
      </c>
    </row>
    <row r="605" spans="1:11" ht="58" x14ac:dyDescent="0.35">
      <c r="A605" s="1" t="s">
        <v>3726</v>
      </c>
      <c r="B605" s="1" t="s">
        <v>3727</v>
      </c>
      <c r="C605" s="1" t="s">
        <v>10030</v>
      </c>
      <c r="D605" s="1">
        <v>604</v>
      </c>
      <c r="E605" s="1" t="str">
        <f>CONCATENATE("E",Reactions!C605)</f>
        <v>E4_1_2_4</v>
      </c>
      <c r="F605" s="5" t="s">
        <v>8474</v>
      </c>
      <c r="G605" s="5" t="s">
        <v>8474</v>
      </c>
      <c r="H605" s="5" t="s">
        <v>11535</v>
      </c>
      <c r="I605" s="5" t="s">
        <v>12890</v>
      </c>
      <c r="J605" s="12" t="str">
        <f t="shared" si="18"/>
        <v>(${Variables:E4_1_2_4_kcat} * E4_1_2_4 * C00673)/(${Variables:E4_1_2_4_km} + (E4_1_2_4 * C00673))</v>
      </c>
      <c r="K605" s="36" t="str">
        <f t="shared" si="19"/>
        <v>r604: C00673 -&gt; C00118+C00084 | (${Variables:E4_1_2_4_kcat} * E4_1_2_4 * C00673)/(${Variables:E4_1_2_4_km} + (E4_1_2_4 * C00673))</v>
      </c>
    </row>
    <row r="606" spans="1:11" ht="58" x14ac:dyDescent="0.35">
      <c r="A606" s="1" t="s">
        <v>4960</v>
      </c>
      <c r="B606" s="1" t="s">
        <v>4961</v>
      </c>
      <c r="C606" s="1" t="s">
        <v>10031</v>
      </c>
      <c r="D606" s="1">
        <v>605</v>
      </c>
      <c r="E606" s="1" t="str">
        <f>CONCATENATE("E",Reactions!C606)</f>
        <v>E4_1_3_27</v>
      </c>
      <c r="F606" s="5" t="s">
        <v>11536</v>
      </c>
      <c r="G606" s="5" t="s">
        <v>12290</v>
      </c>
      <c r="H606" s="5" t="s">
        <v>11537</v>
      </c>
      <c r="I606" s="5" t="s">
        <v>12891</v>
      </c>
      <c r="J606" s="12" t="str">
        <f t="shared" si="18"/>
        <v>(${Variables:E4_1_3_27_kcat} * E4_1_3_27 * C00251*C00064)/(${Variables:E4_1_3_27_km} + (E4_1_3_27 * C00251*C00064))</v>
      </c>
      <c r="K606" s="36" t="str">
        <f t="shared" si="19"/>
        <v>r605: C00251+C00064 -&gt; C00108+C00022+C00025 | (${Variables:E4_1_3_27_kcat} * E4_1_3_27 * C00251*C00064)/(${Variables:E4_1_3_27_km} + (E4_1_3_27 * C00251*C00064))</v>
      </c>
    </row>
    <row r="607" spans="1:11" ht="58" x14ac:dyDescent="0.35">
      <c r="A607" s="1" t="s">
        <v>4960</v>
      </c>
      <c r="B607" s="1" t="s">
        <v>4961</v>
      </c>
      <c r="C607" s="1" t="s">
        <v>10031</v>
      </c>
      <c r="D607" s="1">
        <v>606</v>
      </c>
      <c r="E607" s="1" t="str">
        <f>CONCATENATE("E",Reactions!C607)</f>
        <v>E4_1_3_27</v>
      </c>
      <c r="F607" s="5" t="s">
        <v>11538</v>
      </c>
      <c r="G607" s="5" t="s">
        <v>12291</v>
      </c>
      <c r="H607" s="5" t="s">
        <v>11539</v>
      </c>
      <c r="I607" s="5" t="s">
        <v>12892</v>
      </c>
      <c r="J607" s="12" t="str">
        <f t="shared" si="18"/>
        <v>(${Variables:E4_1_3_27_kcat} * E4_1_3_27 * C00251*C00014)/(${Variables:E4_1_3_27_km} + (E4_1_3_27 * C00251*C00014))</v>
      </c>
      <c r="K607" s="36" t="str">
        <f t="shared" si="19"/>
        <v>r606: C00251+C00014 -&gt; C00108+C00022+C00001 | (${Variables:E4_1_3_27_kcat} * E4_1_3_27 * C00251*C00014)/(${Variables:E4_1_3_27_km} + (E4_1_3_27 * C00251*C00014))</v>
      </c>
    </row>
    <row r="608" spans="1:11" ht="58" x14ac:dyDescent="0.35">
      <c r="A608" s="1" t="s">
        <v>5190</v>
      </c>
      <c r="B608" s="1" t="s">
        <v>5191</v>
      </c>
      <c r="C608" s="1" t="s">
        <v>10032</v>
      </c>
      <c r="D608" s="1">
        <v>607</v>
      </c>
      <c r="E608" s="1" t="str">
        <f>CONCATENATE("E",Reactions!C608)</f>
        <v>E4_2_1_1</v>
      </c>
      <c r="F608" s="5" t="s">
        <v>8485</v>
      </c>
      <c r="G608" s="5" t="s">
        <v>8485</v>
      </c>
      <c r="H608" s="5" t="s">
        <v>11540</v>
      </c>
      <c r="I608" s="5" t="s">
        <v>12893</v>
      </c>
      <c r="J608" s="12" t="str">
        <f t="shared" si="18"/>
        <v>(${Variables:E4_2_1_1_kcat} * E4_2_1_1 * C01353)/(${Variables:E4_2_1_1_km} + (E4_2_1_1 * C01353))</v>
      </c>
      <c r="K608" s="36" t="str">
        <f t="shared" si="19"/>
        <v>r607: C01353 -&gt; C00011+C00001 | (${Variables:E4_2_1_1_kcat} * E4_2_1_1 * C01353)/(${Variables:E4_2_1_1_km} + (E4_2_1_1 * C01353))</v>
      </c>
    </row>
    <row r="609" spans="1:11" ht="58" x14ac:dyDescent="0.35">
      <c r="A609" s="1" t="s">
        <v>5190</v>
      </c>
      <c r="B609" s="1" t="s">
        <v>5191</v>
      </c>
      <c r="C609" s="1" t="s">
        <v>10032</v>
      </c>
      <c r="D609" s="1">
        <v>608</v>
      </c>
      <c r="E609" s="1" t="str">
        <f>CONCATENATE("E",Reactions!C609)</f>
        <v>E4_2_1_1</v>
      </c>
      <c r="F609" s="5" t="s">
        <v>11541</v>
      </c>
      <c r="G609" s="5" t="s">
        <v>12292</v>
      </c>
      <c r="H609" s="5" t="s">
        <v>11540</v>
      </c>
      <c r="I609" s="5" t="s">
        <v>12893</v>
      </c>
      <c r="J609" s="12" t="str">
        <f t="shared" si="18"/>
        <v>(${Variables:E4_2_1_1_kcat} * E4_2_1_1 * C00288*C00080)/(${Variables:E4_2_1_1_km} + (E4_2_1_1 * C00288*C00080))</v>
      </c>
      <c r="K609" s="36" t="str">
        <f t="shared" si="19"/>
        <v>r608: C00288+C00080 -&gt; C00011+C00001 | (${Variables:E4_2_1_1_kcat} * E4_2_1_1 * C00288*C00080)/(${Variables:E4_2_1_1_km} + (E4_2_1_1 * C00288*C00080))</v>
      </c>
    </row>
    <row r="610" spans="1:11" ht="58" x14ac:dyDescent="0.35">
      <c r="A610" s="1" t="s">
        <v>1973</v>
      </c>
      <c r="B610" s="1" t="s">
        <v>1974</v>
      </c>
      <c r="C610" s="1" t="s">
        <v>10033</v>
      </c>
      <c r="D610" s="1">
        <v>609</v>
      </c>
      <c r="E610" s="1" t="str">
        <f>CONCATENATE("E",Reactions!C610)</f>
        <v>E4_2_1_10</v>
      </c>
      <c r="F610" s="5" t="s">
        <v>8491</v>
      </c>
      <c r="G610" s="5" t="s">
        <v>8491</v>
      </c>
      <c r="H610" s="5" t="s">
        <v>11542</v>
      </c>
      <c r="I610" s="5" t="s">
        <v>12894</v>
      </c>
      <c r="J610" s="12" t="str">
        <f t="shared" si="18"/>
        <v>(${Variables:E4_2_1_10_kcat} * E4_2_1_10 * C00944)/(${Variables:E4_2_1_10_km} + (E4_2_1_10 * C00944))</v>
      </c>
      <c r="K610" s="36" t="str">
        <f t="shared" si="19"/>
        <v>r609: C00944 -&gt; C02637+C00001 | (${Variables:E4_2_1_10_kcat} * E4_2_1_10 * C00944)/(${Variables:E4_2_1_10_km} + (E4_2_1_10 * C00944))</v>
      </c>
    </row>
    <row r="611" spans="1:11" ht="58" x14ac:dyDescent="0.35">
      <c r="A611" s="1" t="s">
        <v>1962</v>
      </c>
      <c r="B611" s="1" t="s">
        <v>1963</v>
      </c>
      <c r="C611" s="1" t="s">
        <v>10034</v>
      </c>
      <c r="D611" s="1">
        <v>610</v>
      </c>
      <c r="E611" s="1" t="str">
        <f>CONCATENATE("E",Reactions!C611)</f>
        <v>E4_2_1_11</v>
      </c>
      <c r="F611" s="5" t="s">
        <v>8495</v>
      </c>
      <c r="G611" s="5" t="s">
        <v>8495</v>
      </c>
      <c r="H611" s="5" t="s">
        <v>11543</v>
      </c>
      <c r="I611" s="5" t="s">
        <v>12895</v>
      </c>
      <c r="J611" s="12" t="str">
        <f t="shared" si="18"/>
        <v>(${Variables:E4_2_1_11_kcat} * E4_2_1_11 * C00631)/(${Variables:E4_2_1_11_km} + (E4_2_1_11 * C00631))</v>
      </c>
      <c r="K611" s="36" t="str">
        <f t="shared" si="19"/>
        <v>r610: C00631 -&gt; C00074+C00001 | (${Variables:E4_2_1_11_kcat} * E4_2_1_11 * C00631)/(${Variables:E4_2_1_11_km} + (E4_2_1_11 * C00631))</v>
      </c>
    </row>
    <row r="612" spans="1:11" ht="58" x14ac:dyDescent="0.35">
      <c r="A612" s="1" t="s">
        <v>1962</v>
      </c>
      <c r="B612" s="1" t="s">
        <v>1963</v>
      </c>
      <c r="C612" s="1" t="s">
        <v>10034</v>
      </c>
      <c r="D612" s="1">
        <v>611</v>
      </c>
      <c r="E612" s="1" t="str">
        <f>CONCATENATE("E",Reactions!C612)</f>
        <v>E4_2_1_11</v>
      </c>
      <c r="F612" s="5" t="s">
        <v>8498</v>
      </c>
      <c r="G612" s="5" t="s">
        <v>8498</v>
      </c>
      <c r="H612" s="5" t="s">
        <v>11544</v>
      </c>
      <c r="I612" s="5" t="s">
        <v>12896</v>
      </c>
      <c r="J612" s="12" t="str">
        <f t="shared" si="18"/>
        <v>(${Variables:E4_2_1_11_kcat} * E4_2_1_11 * C03356)/(${Variables:E4_2_1_11_km} + (E4_2_1_11 * C03356))</v>
      </c>
      <c r="K612" s="36" t="str">
        <f t="shared" si="19"/>
        <v>r611: C03356 -&gt; C04309+C00001 | (${Variables:E4_2_1_11_kcat} * E4_2_1_11 * C03356)/(${Variables:E4_2_1_11_km} + (E4_2_1_11 * C03356))</v>
      </c>
    </row>
    <row r="613" spans="1:11" ht="58" x14ac:dyDescent="0.35">
      <c r="A613" s="1" t="s">
        <v>1107</v>
      </c>
      <c r="B613" s="1" t="s">
        <v>1108</v>
      </c>
      <c r="C613" s="1" t="s">
        <v>10035</v>
      </c>
      <c r="D613" s="1">
        <v>612</v>
      </c>
      <c r="E613" s="1" t="str">
        <f>CONCATENATE("E",Reactions!C613)</f>
        <v>E4_2_1_17</v>
      </c>
      <c r="F613" s="5" t="s">
        <v>8502</v>
      </c>
      <c r="G613" s="5" t="s">
        <v>8502</v>
      </c>
      <c r="H613" s="5" t="s">
        <v>11545</v>
      </c>
      <c r="I613" s="5" t="s">
        <v>12897</v>
      </c>
      <c r="J613" s="12" t="str">
        <f t="shared" si="18"/>
        <v>(${Variables:E4_2_1_17_kcat} * E4_2_1_17 * C00640)/(${Variables:E4_2_1_17_km} + (E4_2_1_17 * C00640))</v>
      </c>
      <c r="K613" s="36" t="str">
        <f t="shared" si="19"/>
        <v>r612: C00640 -&gt; C00658+C00001 | (${Variables:E4_2_1_17_kcat} * E4_2_1_17 * C00640)/(${Variables:E4_2_1_17_km} + (E4_2_1_17 * C00640))</v>
      </c>
    </row>
    <row r="614" spans="1:11" ht="58" x14ac:dyDescent="0.35">
      <c r="A614" s="1" t="s">
        <v>1107</v>
      </c>
      <c r="B614" s="1" t="s">
        <v>1108</v>
      </c>
      <c r="C614" s="1" t="s">
        <v>10035</v>
      </c>
      <c r="D614" s="1">
        <v>613</v>
      </c>
      <c r="E614" s="1" t="str">
        <f>CONCATENATE("E",Reactions!C614)</f>
        <v>E4_2_1_17</v>
      </c>
      <c r="F614" s="5" t="s">
        <v>8505</v>
      </c>
      <c r="G614" s="5" t="s">
        <v>8505</v>
      </c>
      <c r="H614" s="5" t="s">
        <v>11546</v>
      </c>
      <c r="I614" s="5" t="s">
        <v>12294</v>
      </c>
      <c r="J614" s="12" t="str">
        <f t="shared" si="18"/>
        <v>(${Variables:E4_2_1_17_kcat} * E4_2_1_17 * C01144)/(${Variables:E4_2_1_17_km} + (E4_2_1_17 * C01144))</v>
      </c>
      <c r="K614" s="36" t="str">
        <f t="shared" si="19"/>
        <v>r613: C01144 -&gt; C00877+C00001 | (${Variables:E4_2_1_17_kcat} * E4_2_1_17 * C01144)/(${Variables:E4_2_1_17_km} + (E4_2_1_17 * C01144))</v>
      </c>
    </row>
    <row r="615" spans="1:11" ht="58" x14ac:dyDescent="0.35">
      <c r="A615" s="1" t="s">
        <v>1107</v>
      </c>
      <c r="B615" s="1" t="s">
        <v>1108</v>
      </c>
      <c r="C615" s="1" t="s">
        <v>10035</v>
      </c>
      <c r="D615" s="1">
        <v>614</v>
      </c>
      <c r="E615" s="1" t="str">
        <f>CONCATENATE("E",Reactions!C615)</f>
        <v>E4_2_1_17</v>
      </c>
      <c r="F615" s="5" t="s">
        <v>8508</v>
      </c>
      <c r="G615" s="5" t="s">
        <v>8508</v>
      </c>
      <c r="H615" s="5" t="s">
        <v>11547</v>
      </c>
      <c r="I615" s="5" t="s">
        <v>12898</v>
      </c>
      <c r="J615" s="12" t="str">
        <f t="shared" si="18"/>
        <v>(${Variables:E4_2_1_17_kcat} * E4_2_1_17 * C05668)/(${Variables:E4_2_1_17_km} + (E4_2_1_17 * C05668))</v>
      </c>
      <c r="K615" s="36" t="str">
        <f t="shared" si="19"/>
        <v>r614: C05668 -&gt; C00894+C00001 | (${Variables:E4_2_1_17_kcat} * E4_2_1_17 * C05668)/(${Variables:E4_2_1_17_km} + (E4_2_1_17 * C05668))</v>
      </c>
    </row>
    <row r="616" spans="1:11" ht="58" x14ac:dyDescent="0.35">
      <c r="A616" s="1" t="s">
        <v>1107</v>
      </c>
      <c r="B616" s="1" t="s">
        <v>1108</v>
      </c>
      <c r="C616" s="1" t="s">
        <v>10035</v>
      </c>
      <c r="D616" s="1">
        <v>615</v>
      </c>
      <c r="E616" s="1" t="str">
        <f>CONCATENATE("E",Reactions!C616)</f>
        <v>E4_2_1_17</v>
      </c>
      <c r="F616" s="5" t="s">
        <v>8511</v>
      </c>
      <c r="G616" s="5" t="s">
        <v>8511</v>
      </c>
      <c r="H616" s="5" t="s">
        <v>11548</v>
      </c>
      <c r="I616" s="5" t="s">
        <v>12899</v>
      </c>
      <c r="J616" s="12" t="str">
        <f t="shared" si="18"/>
        <v>(${Variables:E4_2_1_17_kcat} * E4_2_1_17 * C05262)/(${Variables:E4_2_1_17_km} + (E4_2_1_17 * C05262))</v>
      </c>
      <c r="K616" s="36" t="str">
        <f t="shared" si="19"/>
        <v>r615: C05262 -&gt; C03221+C00001 | (${Variables:E4_2_1_17_kcat} * E4_2_1_17 * C05262)/(${Variables:E4_2_1_17_km} + (E4_2_1_17 * C05262))</v>
      </c>
    </row>
    <row r="617" spans="1:11" ht="58" x14ac:dyDescent="0.35">
      <c r="A617" s="1" t="s">
        <v>1107</v>
      </c>
      <c r="B617" s="1" t="s">
        <v>1108</v>
      </c>
      <c r="C617" s="1" t="s">
        <v>10035</v>
      </c>
      <c r="D617" s="1">
        <v>616</v>
      </c>
      <c r="E617" s="1" t="str">
        <f>CONCATENATE("E",Reactions!C617)</f>
        <v>E4_2_1_17</v>
      </c>
      <c r="F617" s="5" t="s">
        <v>8514</v>
      </c>
      <c r="G617" s="5" t="s">
        <v>8514</v>
      </c>
      <c r="H617" s="5" t="s">
        <v>11549</v>
      </c>
      <c r="I617" s="5" t="s">
        <v>12900</v>
      </c>
      <c r="J617" s="12" t="str">
        <f t="shared" si="18"/>
        <v>(${Variables:E4_2_1_17_kcat} * E4_2_1_17 * C04405)/(${Variables:E4_2_1_17_km} + (E4_2_1_17 * C04405))</v>
      </c>
      <c r="K617" s="36" t="str">
        <f t="shared" si="19"/>
        <v>r616: C04405 -&gt; C03345+C00001 | (${Variables:E4_2_1_17_kcat} * E4_2_1_17 * C04405)/(${Variables:E4_2_1_17_km} + (E4_2_1_17 * C04405))</v>
      </c>
    </row>
    <row r="618" spans="1:11" ht="58" x14ac:dyDescent="0.35">
      <c r="A618" s="1" t="s">
        <v>1107</v>
      </c>
      <c r="B618" s="1" t="s">
        <v>1108</v>
      </c>
      <c r="C618" s="1" t="s">
        <v>10035</v>
      </c>
      <c r="D618" s="1">
        <v>617</v>
      </c>
      <c r="E618" s="1" t="str">
        <f>CONCATENATE("E",Reactions!C618)</f>
        <v>E4_2_1_17</v>
      </c>
      <c r="F618" s="5" t="s">
        <v>11550</v>
      </c>
      <c r="G618" s="5" t="s">
        <v>12293</v>
      </c>
      <c r="H618" s="5" t="s">
        <v>8518</v>
      </c>
      <c r="I618" s="5" t="s">
        <v>8518</v>
      </c>
      <c r="J618" s="12" t="str">
        <f t="shared" si="18"/>
        <v>(${Variables:E4_2_1_17_kcat} * E4_2_1_17 * C03460*C00001)/(${Variables:E4_2_1_17_km} + (E4_2_1_17 * C03460*C00001))</v>
      </c>
      <c r="K618" s="36" t="str">
        <f t="shared" si="19"/>
        <v>r617: C03460+C00001 -&gt; C06000 | (${Variables:E4_2_1_17_kcat} * E4_2_1_17 * C03460*C00001)/(${Variables:E4_2_1_17_km} + (E4_2_1_17 * C03460*C00001))</v>
      </c>
    </row>
    <row r="619" spans="1:11" ht="58" x14ac:dyDescent="0.35">
      <c r="A619" s="1" t="s">
        <v>1107</v>
      </c>
      <c r="B619" s="1" t="s">
        <v>1108</v>
      </c>
      <c r="C619" s="1" t="s">
        <v>10035</v>
      </c>
      <c r="D619" s="1">
        <v>618</v>
      </c>
      <c r="E619" s="1" t="str">
        <f>CONCATENATE("E",Reactions!C619)</f>
        <v>E4_2_1_17</v>
      </c>
      <c r="F619" s="5" t="s">
        <v>8520</v>
      </c>
      <c r="G619" s="5" t="s">
        <v>8520</v>
      </c>
      <c r="H619" s="5" t="s">
        <v>11551</v>
      </c>
      <c r="I619" s="5" t="s">
        <v>12901</v>
      </c>
      <c r="J619" s="12" t="str">
        <f t="shared" si="18"/>
        <v>(${Variables:E4_2_1_17_kcat} * E4_2_1_17 * C05258)/(${Variables:E4_2_1_17_km} + (E4_2_1_17 * C05258))</v>
      </c>
      <c r="K619" s="36" t="str">
        <f t="shared" si="19"/>
        <v>r618: C05258 -&gt; C05272+C00001 | (${Variables:E4_2_1_17_kcat} * E4_2_1_17 * C05258)/(${Variables:E4_2_1_17_km} + (E4_2_1_17 * C05258))</v>
      </c>
    </row>
    <row r="620" spans="1:11" ht="58" x14ac:dyDescent="0.35">
      <c r="A620" s="1" t="s">
        <v>1107</v>
      </c>
      <c r="B620" s="1" t="s">
        <v>1108</v>
      </c>
      <c r="C620" s="1" t="s">
        <v>10035</v>
      </c>
      <c r="D620" s="1">
        <v>619</v>
      </c>
      <c r="E620" s="1" t="str">
        <f>CONCATENATE("E",Reactions!C620)</f>
        <v>E4_2_1_17</v>
      </c>
      <c r="F620" s="5" t="s">
        <v>8523</v>
      </c>
      <c r="G620" s="5" t="s">
        <v>8523</v>
      </c>
      <c r="H620" s="5" t="s">
        <v>11552</v>
      </c>
      <c r="I620" s="5" t="s">
        <v>12902</v>
      </c>
      <c r="J620" s="12" t="str">
        <f t="shared" si="18"/>
        <v>(${Variables:E4_2_1_17_kcat} * E4_2_1_17 * C05260)/(${Variables:E4_2_1_17_km} + (E4_2_1_17 * C05260))</v>
      </c>
      <c r="K620" s="36" t="str">
        <f t="shared" si="19"/>
        <v>r619: C05260 -&gt; C05273+C00001 | (${Variables:E4_2_1_17_kcat} * E4_2_1_17 * C05260)/(${Variables:E4_2_1_17_km} + (E4_2_1_17 * C05260))</v>
      </c>
    </row>
    <row r="621" spans="1:11" ht="58" x14ac:dyDescent="0.35">
      <c r="A621" s="1" t="s">
        <v>1107</v>
      </c>
      <c r="B621" s="1" t="s">
        <v>1108</v>
      </c>
      <c r="C621" s="1" t="s">
        <v>10035</v>
      </c>
      <c r="D621" s="1">
        <v>620</v>
      </c>
      <c r="E621" s="1" t="str">
        <f>CONCATENATE("E",Reactions!C621)</f>
        <v>E4_2_1_17</v>
      </c>
      <c r="F621" s="5" t="s">
        <v>8526</v>
      </c>
      <c r="G621" s="5" t="s">
        <v>8526</v>
      </c>
      <c r="H621" s="5" t="s">
        <v>11553</v>
      </c>
      <c r="I621" s="5" t="s">
        <v>12903</v>
      </c>
      <c r="J621" s="12" t="str">
        <f t="shared" si="18"/>
        <v>(${Variables:E4_2_1_17_kcat} * E4_2_1_17 * C05264 )/(${Variables:E4_2_1_17_km} + (E4_2_1_17 * C05264 ))</v>
      </c>
      <c r="K621" s="36" t="str">
        <f t="shared" si="19"/>
        <v>r620: C05264  -&gt; C05275+C00001 | (${Variables:E4_2_1_17_kcat} * E4_2_1_17 * C05264 )/(${Variables:E4_2_1_17_km} + (E4_2_1_17 * C05264 ))</v>
      </c>
    </row>
    <row r="622" spans="1:11" ht="58" x14ac:dyDescent="0.35">
      <c r="A622" s="1" t="s">
        <v>1107</v>
      </c>
      <c r="B622" s="1" t="s">
        <v>1108</v>
      </c>
      <c r="C622" s="1" t="s">
        <v>10035</v>
      </c>
      <c r="D622" s="1">
        <v>621</v>
      </c>
      <c r="E622" s="1" t="str">
        <f>CONCATENATE("E",Reactions!C622)</f>
        <v>E4_2_1_17</v>
      </c>
      <c r="F622" s="5" t="s">
        <v>8529</v>
      </c>
      <c r="G622" s="5" t="s">
        <v>8529</v>
      </c>
      <c r="H622" s="5" t="s">
        <v>11554</v>
      </c>
      <c r="I622" s="5" t="s">
        <v>12904</v>
      </c>
      <c r="J622" s="12" t="str">
        <f t="shared" si="18"/>
        <v>(${Variables:E4_2_1_17_kcat} * E4_2_1_17 * C05266 )/(${Variables:E4_2_1_17_km} + (E4_2_1_17 * C05266 ))</v>
      </c>
      <c r="K622" s="36" t="str">
        <f t="shared" si="19"/>
        <v>r621: C05266  -&gt; C05276+C00001 | (${Variables:E4_2_1_17_kcat} * E4_2_1_17 * C05266 )/(${Variables:E4_2_1_17_km} + (E4_2_1_17 * C05266 ))</v>
      </c>
    </row>
    <row r="623" spans="1:11" ht="58" x14ac:dyDescent="0.35">
      <c r="A623" s="1" t="s">
        <v>1107</v>
      </c>
      <c r="B623" s="1" t="s">
        <v>1108</v>
      </c>
      <c r="C623" s="1" t="s">
        <v>10035</v>
      </c>
      <c r="D623" s="1">
        <v>622</v>
      </c>
      <c r="E623" s="1" t="str">
        <f>CONCATENATE("E",Reactions!C623)</f>
        <v>E4_2_1_17</v>
      </c>
      <c r="F623" s="5" t="s">
        <v>8532</v>
      </c>
      <c r="G623" s="5" t="s">
        <v>8532</v>
      </c>
      <c r="H623" s="5" t="s">
        <v>11555</v>
      </c>
      <c r="I623" s="5" t="s">
        <v>12905</v>
      </c>
      <c r="J623" s="12" t="str">
        <f t="shared" si="18"/>
        <v>(${Variables:E4_2_1_17_kcat} * E4_2_1_17 * C05268)/(${Variables:E4_2_1_17_km} + (E4_2_1_17 * C05268))</v>
      </c>
      <c r="K623" s="36" t="str">
        <f t="shared" si="19"/>
        <v>r622: C05268 -&gt; C05271+C00001 | (${Variables:E4_2_1_17_kcat} * E4_2_1_17 * C05268)/(${Variables:E4_2_1_17_km} + (E4_2_1_17 * C05268))</v>
      </c>
    </row>
    <row r="624" spans="1:11" ht="58" x14ac:dyDescent="0.35">
      <c r="A624" s="1" t="s">
        <v>1107</v>
      </c>
      <c r="B624" s="1" t="s">
        <v>1108</v>
      </c>
      <c r="C624" s="1" t="s">
        <v>10035</v>
      </c>
      <c r="D624" s="1">
        <v>623</v>
      </c>
      <c r="E624" s="1" t="str">
        <f>CONCATENATE("E",Reactions!C624)</f>
        <v>E4_2_1_17</v>
      </c>
      <c r="F624" s="5" t="s">
        <v>8535</v>
      </c>
      <c r="G624" s="5" t="s">
        <v>8535</v>
      </c>
      <c r="H624" s="5" t="s">
        <v>11556</v>
      </c>
      <c r="I624" s="5" t="s">
        <v>12906</v>
      </c>
      <c r="J624" s="12" t="str">
        <f t="shared" si="18"/>
        <v>(${Variables:E4_2_1_17_kcat} * E4_2_1_17 * C16329)/(${Variables:E4_2_1_17_km} + (E4_2_1_17 * C16329))</v>
      </c>
      <c r="K624" s="36" t="str">
        <f t="shared" si="19"/>
        <v>r623: C16329 -&gt; C16328+C00001 | (${Variables:E4_2_1_17_kcat} * E4_2_1_17 * C16329)/(${Variables:E4_2_1_17_km} + (E4_2_1_17 * C16329))</v>
      </c>
    </row>
    <row r="625" spans="1:11" ht="58" x14ac:dyDescent="0.35">
      <c r="A625" s="1" t="s">
        <v>1107</v>
      </c>
      <c r="B625" s="1" t="s">
        <v>1108</v>
      </c>
      <c r="C625" s="1" t="s">
        <v>10035</v>
      </c>
      <c r="D625" s="1">
        <v>624</v>
      </c>
      <c r="E625" s="1" t="str">
        <f>CONCATENATE("E",Reactions!C625)</f>
        <v>E4_2_1_17</v>
      </c>
      <c r="F625" s="5" t="s">
        <v>8538</v>
      </c>
      <c r="G625" s="5" t="s">
        <v>8538</v>
      </c>
      <c r="H625" s="5" t="s">
        <v>11557</v>
      </c>
      <c r="I625" s="5" t="s">
        <v>12907</v>
      </c>
      <c r="J625" s="12" t="str">
        <f t="shared" si="18"/>
        <v>(${Variables:E4_2_1_17_kcat} * E4_2_1_17 * C16333)/(${Variables:E4_2_1_17_km} + (E4_2_1_17 * C16333))</v>
      </c>
      <c r="K625" s="36" t="str">
        <f t="shared" si="19"/>
        <v>r624: C16333 -&gt; C16332+C00001 | (${Variables:E4_2_1_17_kcat} * E4_2_1_17 * C16333)/(${Variables:E4_2_1_17_km} + (E4_2_1_17 * C16333))</v>
      </c>
    </row>
    <row r="626" spans="1:11" ht="58" x14ac:dyDescent="0.35">
      <c r="A626" s="1" t="s">
        <v>1107</v>
      </c>
      <c r="B626" s="1" t="s">
        <v>1108</v>
      </c>
      <c r="C626" s="1" t="s">
        <v>10035</v>
      </c>
      <c r="D626" s="1">
        <v>625</v>
      </c>
      <c r="E626" s="1" t="str">
        <f>CONCATENATE("E",Reactions!C626)</f>
        <v>E4_2_1_17</v>
      </c>
      <c r="F626" s="5" t="s">
        <v>8541</v>
      </c>
      <c r="G626" s="5" t="s">
        <v>8541</v>
      </c>
      <c r="H626" s="5" t="s">
        <v>11558</v>
      </c>
      <c r="I626" s="5" t="s">
        <v>12908</v>
      </c>
      <c r="J626" s="12" t="str">
        <f t="shared" si="18"/>
        <v>(${Variables:E4_2_1_17_kcat} * E4_2_1_17 * C16337 )/(${Variables:E4_2_1_17_km} + (E4_2_1_17 * C16337 ))</v>
      </c>
      <c r="K626" s="36" t="str">
        <f t="shared" si="19"/>
        <v>r625: C16337  -&gt; C16336+C00001 | (${Variables:E4_2_1_17_kcat} * E4_2_1_17 * C16337 )/(${Variables:E4_2_1_17_km} + (E4_2_1_17 * C16337 ))</v>
      </c>
    </row>
    <row r="627" spans="1:11" ht="58" x14ac:dyDescent="0.35">
      <c r="A627" s="1" t="s">
        <v>1107</v>
      </c>
      <c r="B627" s="1" t="s">
        <v>1108</v>
      </c>
      <c r="C627" s="1" t="s">
        <v>10035</v>
      </c>
      <c r="D627" s="1">
        <v>626</v>
      </c>
      <c r="E627" s="1" t="str">
        <f>CONCATENATE("E",Reactions!C627)</f>
        <v>E4_2_1_17</v>
      </c>
      <c r="F627" s="5" t="s">
        <v>8502</v>
      </c>
      <c r="G627" s="5" t="s">
        <v>8502</v>
      </c>
      <c r="H627" s="5" t="s">
        <v>11559</v>
      </c>
      <c r="I627" s="5" t="s">
        <v>12909</v>
      </c>
      <c r="J627" s="12" t="str">
        <f t="shared" si="18"/>
        <v>(${Variables:E4_2_1_17_kcat} * E4_2_1_17 * C00640)/(${Variables:E4_2_1_17_km} + (E4_2_1_17 * C00640))</v>
      </c>
      <c r="K627" s="36" t="str">
        <f t="shared" si="19"/>
        <v>r626: C00640 -&gt; C05067+C00001 | (${Variables:E4_2_1_17_kcat} * E4_2_1_17 * C00640)/(${Variables:E4_2_1_17_km} + (E4_2_1_17 * C00640))</v>
      </c>
    </row>
    <row r="628" spans="1:11" ht="58" x14ac:dyDescent="0.35">
      <c r="A628" s="1" t="s">
        <v>1107</v>
      </c>
      <c r="B628" s="1" t="s">
        <v>1108</v>
      </c>
      <c r="C628" s="1" t="s">
        <v>10035</v>
      </c>
      <c r="D628" s="1">
        <v>627</v>
      </c>
      <c r="E628" s="1" t="str">
        <f>CONCATENATE("E",Reactions!C628)</f>
        <v>E4_2_1_17</v>
      </c>
      <c r="F628" s="5" t="s">
        <v>8546</v>
      </c>
      <c r="G628" s="5" t="s">
        <v>8546</v>
      </c>
      <c r="H628" s="5" t="s">
        <v>11560</v>
      </c>
      <c r="I628" s="5" t="s">
        <v>12910</v>
      </c>
      <c r="J628" s="12" t="str">
        <f t="shared" si="18"/>
        <v>(${Variables:E4_2_1_17_kcat} * E4_2_1_17 * C01086)/(${Variables:E4_2_1_17_km} + (E4_2_1_17 * C01086))</v>
      </c>
      <c r="K628" s="36" t="str">
        <f t="shared" si="19"/>
        <v>r627: C01086 -&gt; C01122+C00001 | (${Variables:E4_2_1_17_kcat} * E4_2_1_17 * C01086)/(${Variables:E4_2_1_17_km} + (E4_2_1_17 * C01086))</v>
      </c>
    </row>
    <row r="629" spans="1:11" ht="58" x14ac:dyDescent="0.35">
      <c r="A629" s="1" t="s">
        <v>1107</v>
      </c>
      <c r="B629" s="1" t="s">
        <v>1108</v>
      </c>
      <c r="C629" s="1" t="s">
        <v>10035</v>
      </c>
      <c r="D629" s="1">
        <v>628</v>
      </c>
      <c r="E629" s="1" t="str">
        <f>CONCATENATE("E",Reactions!C629)</f>
        <v>E4_2_1_17</v>
      </c>
      <c r="F629" s="5" t="s">
        <v>8549</v>
      </c>
      <c r="G629" s="5" t="s">
        <v>8549</v>
      </c>
      <c r="H629" s="5" t="s">
        <v>11561</v>
      </c>
      <c r="I629" s="5" t="s">
        <v>12911</v>
      </c>
      <c r="J629" s="12" t="str">
        <f t="shared" si="18"/>
        <v>(${Variables:E4_2_1_17_kcat} * E4_2_1_17 * C05998)/(${Variables:E4_2_1_17_km} + (E4_2_1_17 * C05998))</v>
      </c>
      <c r="K629" s="36" t="str">
        <f t="shared" si="19"/>
        <v>r628: C05998 -&gt; C03069+C00001 | (${Variables:E4_2_1_17_kcat} * E4_2_1_17 * C05998)/(${Variables:E4_2_1_17_km} + (E4_2_1_17 * C05998))</v>
      </c>
    </row>
    <row r="630" spans="1:11" ht="58" x14ac:dyDescent="0.35">
      <c r="A630" s="1" t="s">
        <v>1107</v>
      </c>
      <c r="B630" s="1" t="s">
        <v>1108</v>
      </c>
      <c r="C630" s="1" t="s">
        <v>10035</v>
      </c>
      <c r="D630" s="1">
        <v>629</v>
      </c>
      <c r="E630" s="1" t="str">
        <f>CONCATENATE("E",Reactions!C630)</f>
        <v>E4_2_1_17</v>
      </c>
      <c r="F630" s="5" t="s">
        <v>11546</v>
      </c>
      <c r="G630" s="5" t="s">
        <v>12294</v>
      </c>
      <c r="H630" s="5" t="s">
        <v>8552</v>
      </c>
      <c r="I630" s="5" t="s">
        <v>8552</v>
      </c>
      <c r="J630" s="12" t="str">
        <f t="shared" si="18"/>
        <v>(${Variables:E4_2_1_17_kcat} * E4_2_1_17 * C00877*C00001)/(${Variables:E4_2_1_17_km} + (E4_2_1_17 * C00877*C00001))</v>
      </c>
      <c r="K630" s="36" t="str">
        <f t="shared" si="19"/>
        <v>r629: C00877+C00001 -&gt; C05116 | (${Variables:E4_2_1_17_kcat} * E4_2_1_17 * C00877*C00001)/(${Variables:E4_2_1_17_km} + (E4_2_1_17 * C00877*C00001))</v>
      </c>
    </row>
    <row r="631" spans="1:11" ht="58" x14ac:dyDescent="0.35">
      <c r="A631" s="1" t="s">
        <v>1107</v>
      </c>
      <c r="B631" s="1" t="s">
        <v>1108</v>
      </c>
      <c r="C631" s="1" t="s">
        <v>10035</v>
      </c>
      <c r="D631" s="1">
        <v>630</v>
      </c>
      <c r="E631" s="1" t="str">
        <f>CONCATENATE("E",Reactions!C631)</f>
        <v>E4_2_1_17</v>
      </c>
      <c r="F631" s="5" t="s">
        <v>11562</v>
      </c>
      <c r="G631" s="5" t="s">
        <v>12295</v>
      </c>
      <c r="H631" s="5" t="s">
        <v>8555</v>
      </c>
      <c r="I631" s="5" t="s">
        <v>8555</v>
      </c>
      <c r="J631" s="12" t="str">
        <f t="shared" si="18"/>
        <v>(${Variables:E4_2_1_17_kcat} * E4_2_1_17 * C11946*C00001)/(${Variables:E4_2_1_17_km} + (E4_2_1_17 * C11946*C00001))</v>
      </c>
      <c r="K631" s="36" t="str">
        <f t="shared" si="19"/>
        <v>r630: C11946+C00001 -&gt; C11947 | (${Variables:E4_2_1_17_kcat} * E4_2_1_17 * C11946*C00001)/(${Variables:E4_2_1_17_km} + (E4_2_1_17 * C11946*C00001))</v>
      </c>
    </row>
    <row r="632" spans="1:11" ht="58" x14ac:dyDescent="0.35">
      <c r="A632" s="1" t="s">
        <v>1107</v>
      </c>
      <c r="B632" s="1" t="s">
        <v>1108</v>
      </c>
      <c r="C632" s="1" t="s">
        <v>10035</v>
      </c>
      <c r="D632" s="1">
        <v>631</v>
      </c>
      <c r="E632" s="1" t="str">
        <f>CONCATENATE("E",Reactions!C632)</f>
        <v>E4_2_1_17</v>
      </c>
      <c r="F632" s="5" t="s">
        <v>11563</v>
      </c>
      <c r="G632" s="5" t="s">
        <v>12296</v>
      </c>
      <c r="H632" s="5" t="s">
        <v>8555</v>
      </c>
      <c r="I632" s="5" t="s">
        <v>8555</v>
      </c>
      <c r="J632" s="12" t="str">
        <f t="shared" si="18"/>
        <v>(${Variables:E4_2_1_17_kcat} * E4_2_1_17 * C11945*C00001)/(${Variables:E4_2_1_17_km} + (E4_2_1_17 * C11945*C00001))</v>
      </c>
      <c r="K632" s="36" t="str">
        <f t="shared" si="19"/>
        <v>r631: C11945+C00001 -&gt; C11947 | (${Variables:E4_2_1_17_kcat} * E4_2_1_17 * C11945*C00001)/(${Variables:E4_2_1_17_km} + (E4_2_1_17 * C11945*C00001))</v>
      </c>
    </row>
    <row r="633" spans="1:11" ht="58" x14ac:dyDescent="0.35">
      <c r="A633" s="1" t="s">
        <v>1107</v>
      </c>
      <c r="B633" s="1" t="s">
        <v>1108</v>
      </c>
      <c r="C633" s="1" t="s">
        <v>10035</v>
      </c>
      <c r="D633" s="1">
        <v>632</v>
      </c>
      <c r="E633" s="1" t="str">
        <f>CONCATENATE("E",Reactions!C633)</f>
        <v>E4_2_1_17</v>
      </c>
      <c r="F633" s="5" t="s">
        <v>11564</v>
      </c>
      <c r="G633" s="5" t="s">
        <v>12297</v>
      </c>
      <c r="H633" s="5" t="s">
        <v>8560</v>
      </c>
      <c r="I633" s="5" t="s">
        <v>8560</v>
      </c>
      <c r="J633" s="12" t="str">
        <f t="shared" si="18"/>
        <v>(${Variables:E4_2_1_17_kcat} * E4_2_1_17 * C14144*C00001)/(${Variables:E4_2_1_17_km} + (E4_2_1_17 * C14144*C00001))</v>
      </c>
      <c r="K633" s="36" t="str">
        <f t="shared" si="19"/>
        <v>r632: C14144+C00001 -&gt; C14145 | (${Variables:E4_2_1_17_kcat} * E4_2_1_17 * C14144*C00001)/(${Variables:E4_2_1_17_km} + (E4_2_1_17 * C14144*C00001))</v>
      </c>
    </row>
    <row r="634" spans="1:11" ht="58" x14ac:dyDescent="0.35">
      <c r="A634" s="1" t="s">
        <v>1107</v>
      </c>
      <c r="B634" s="1" t="s">
        <v>1108</v>
      </c>
      <c r="C634" s="1" t="s">
        <v>10035</v>
      </c>
      <c r="D634" s="1">
        <v>633</v>
      </c>
      <c r="E634" s="1" t="str">
        <f>CONCATENATE("E",Reactions!C634)</f>
        <v>E4_2_1_17</v>
      </c>
      <c r="F634" s="5" t="s">
        <v>11565</v>
      </c>
      <c r="G634" s="5" t="s">
        <v>12298</v>
      </c>
      <c r="H634" s="5" t="s">
        <v>8562</v>
      </c>
      <c r="I634" s="5" t="s">
        <v>8562</v>
      </c>
      <c r="J634" s="12" t="str">
        <f t="shared" si="18"/>
        <v>(${Variables:E4_2_1_17_kcat} * E4_2_1_17 * C16468*C00001)/(${Variables:E4_2_1_17_km} + (E4_2_1_17 * C16468*C00001))</v>
      </c>
      <c r="K634" s="36" t="str">
        <f t="shared" si="19"/>
        <v>r633: C16468+C00001 -&gt; C16469 | (${Variables:E4_2_1_17_kcat} * E4_2_1_17 * C16468*C00001)/(${Variables:E4_2_1_17_km} + (E4_2_1_17 * C16468*C00001))</v>
      </c>
    </row>
    <row r="635" spans="1:11" ht="58" x14ac:dyDescent="0.35">
      <c r="A635" s="1" t="s">
        <v>2537</v>
      </c>
      <c r="B635" s="1" t="s">
        <v>2538</v>
      </c>
      <c r="C635" s="1" t="s">
        <v>10036</v>
      </c>
      <c r="D635" s="1">
        <v>634</v>
      </c>
      <c r="E635" s="1" t="str">
        <f>CONCATENATE("E",Reactions!C635)</f>
        <v>E4_2_1_19</v>
      </c>
      <c r="F635" s="5" t="s">
        <v>8569</v>
      </c>
      <c r="G635" s="5" t="s">
        <v>8569</v>
      </c>
      <c r="H635" s="5" t="s">
        <v>11566</v>
      </c>
      <c r="I635" s="5" t="s">
        <v>12912</v>
      </c>
      <c r="J635" s="12" t="str">
        <f t="shared" si="18"/>
        <v>(${Variables:E4_2_1_19_kcat} * E4_2_1_19 * C04666)/(${Variables:E4_2_1_19_km} + (E4_2_1_19 * C04666))</v>
      </c>
      <c r="K635" s="36" t="str">
        <f t="shared" si="19"/>
        <v>r634: C04666 -&gt; C01267+C00001 | (${Variables:E4_2_1_19_kcat} * E4_2_1_19 * C04666)/(${Variables:E4_2_1_19_km} + (E4_2_1_19 * C04666))</v>
      </c>
    </row>
    <row r="636" spans="1:11" ht="58" x14ac:dyDescent="0.35">
      <c r="A636" s="1" t="s">
        <v>4940</v>
      </c>
      <c r="B636" s="1" t="s">
        <v>4941</v>
      </c>
      <c r="C636" s="1" t="s">
        <v>10037</v>
      </c>
      <c r="D636" s="1">
        <v>635</v>
      </c>
      <c r="E636" s="1" t="str">
        <f>CONCATENATE("E",Reactions!C636)</f>
        <v>E4_2_1_20</v>
      </c>
      <c r="F636" s="5" t="s">
        <v>11567</v>
      </c>
      <c r="G636" s="5" t="s">
        <v>12299</v>
      </c>
      <c r="H636" s="5" t="s">
        <v>11568</v>
      </c>
      <c r="I636" s="5" t="s">
        <v>12913</v>
      </c>
      <c r="J636" s="12" t="str">
        <f t="shared" si="18"/>
        <v>(${Variables:E4_2_1_20_kcat} * E4_2_1_20 * C00065*C00463 )/(${Variables:E4_2_1_20_km} + (E4_2_1_20 * C00065*C00463 ))</v>
      </c>
      <c r="K636" s="36" t="str">
        <f t="shared" si="19"/>
        <v>r635: C00065+C00463  -&gt; C00078+C00001 | (${Variables:E4_2_1_20_kcat} * E4_2_1_20 * C00065*C00463 )/(${Variables:E4_2_1_20_km} + (E4_2_1_20 * C00065*C00463 ))</v>
      </c>
    </row>
    <row r="637" spans="1:11" ht="58" x14ac:dyDescent="0.35">
      <c r="A637" s="1" t="s">
        <v>4940</v>
      </c>
      <c r="B637" s="1" t="s">
        <v>4941</v>
      </c>
      <c r="C637" s="1" t="s">
        <v>10037</v>
      </c>
      <c r="D637" s="1">
        <v>636</v>
      </c>
      <c r="E637" s="1" t="str">
        <f>CONCATENATE("E",Reactions!C637)</f>
        <v>E4_2_1_20</v>
      </c>
      <c r="F637" s="5" t="s">
        <v>8574</v>
      </c>
      <c r="G637" s="5" t="s">
        <v>8574</v>
      </c>
      <c r="H637" s="5" t="s">
        <v>11569</v>
      </c>
      <c r="I637" s="5" t="s">
        <v>12914</v>
      </c>
      <c r="J637" s="12" t="str">
        <f t="shared" si="18"/>
        <v>(${Variables:E4_2_1_20_kcat} * E4_2_1_20 * C03506)/(${Variables:E4_2_1_20_km} + (E4_2_1_20 * C03506))</v>
      </c>
      <c r="K637" s="36" t="str">
        <f t="shared" si="19"/>
        <v>r636: C03506 -&gt; C00463+C00118 | (${Variables:E4_2_1_20_kcat} * E4_2_1_20 * C03506)/(${Variables:E4_2_1_20_km} + (E4_2_1_20 * C03506))</v>
      </c>
    </row>
    <row r="638" spans="1:11" ht="58" x14ac:dyDescent="0.35">
      <c r="A638" s="1" t="s">
        <v>4940</v>
      </c>
      <c r="B638" s="1" t="s">
        <v>4941</v>
      </c>
      <c r="C638" s="1" t="s">
        <v>10037</v>
      </c>
      <c r="D638" s="1">
        <v>637</v>
      </c>
      <c r="E638" s="1" t="str">
        <f>CONCATENATE("E",Reactions!C638)</f>
        <v>E4_2_1_20</v>
      </c>
      <c r="F638" s="5" t="s">
        <v>11570</v>
      </c>
      <c r="G638" s="5" t="s">
        <v>12300</v>
      </c>
      <c r="H638" s="5" t="s">
        <v>11571</v>
      </c>
      <c r="I638" s="5" t="s">
        <v>12915</v>
      </c>
      <c r="J638" s="12" t="str">
        <f t="shared" si="18"/>
        <v>(${Variables:E4_2_1_20_kcat} * E4_2_1_20 * C00065*C03506)/(${Variables:E4_2_1_20_km} + (E4_2_1_20 * C00065*C03506))</v>
      </c>
      <c r="K638" s="36" t="str">
        <f t="shared" si="19"/>
        <v>r637: C00065+C03506 -&gt; C00078+C00118+C00001 | (${Variables:E4_2_1_20_kcat} * E4_2_1_20 * C00065*C03506)/(${Variables:E4_2_1_20_km} + (E4_2_1_20 * C00065*C03506))</v>
      </c>
    </row>
    <row r="639" spans="1:11" ht="43.5" x14ac:dyDescent="0.35">
      <c r="A639" s="1" t="s">
        <v>2402</v>
      </c>
      <c r="B639" s="1" t="s">
        <v>2403</v>
      </c>
      <c r="C639" s="1" t="s">
        <v>10038</v>
      </c>
      <c r="D639" s="1">
        <v>638</v>
      </c>
      <c r="E639" s="1" t="str">
        <f>CONCATENATE("E",Reactions!C639)</f>
        <v>E4_2_1_3</v>
      </c>
      <c r="F639" s="5" t="s">
        <v>8582</v>
      </c>
      <c r="G639" s="5" t="s">
        <v>8582</v>
      </c>
      <c r="H639" s="5" t="s">
        <v>8583</v>
      </c>
      <c r="I639" s="5" t="s">
        <v>8583</v>
      </c>
      <c r="J639" s="12" t="str">
        <f t="shared" si="18"/>
        <v>(${Variables:E4_2_1_3_kcat} * E4_2_1_3 * C00158)/(${Variables:E4_2_1_3_km} + (E4_2_1_3 * C00158))</v>
      </c>
      <c r="K639" s="36" t="str">
        <f t="shared" si="19"/>
        <v>r638: C00158 -&gt; C00311 | (${Variables:E4_2_1_3_kcat} * E4_2_1_3 * C00158)/(${Variables:E4_2_1_3_km} + (E4_2_1_3 * C00158))</v>
      </c>
    </row>
    <row r="640" spans="1:11" ht="58" x14ac:dyDescent="0.35">
      <c r="A640" s="1" t="s">
        <v>2402</v>
      </c>
      <c r="B640" s="1" t="s">
        <v>2403</v>
      </c>
      <c r="C640" s="1" t="s">
        <v>10038</v>
      </c>
      <c r="D640" s="1">
        <v>639</v>
      </c>
      <c r="E640" s="1" t="str">
        <f>CONCATENATE("E",Reactions!C640)</f>
        <v>E4_2_1_3</v>
      </c>
      <c r="F640" s="5" t="s">
        <v>8582</v>
      </c>
      <c r="G640" s="5" t="s">
        <v>8582</v>
      </c>
      <c r="H640" s="5" t="s">
        <v>11572</v>
      </c>
      <c r="I640" s="5" t="s">
        <v>12916</v>
      </c>
      <c r="J640" s="12" t="str">
        <f t="shared" si="18"/>
        <v>(${Variables:E4_2_1_3_kcat} * E4_2_1_3 * C00158)/(${Variables:E4_2_1_3_km} + (E4_2_1_3 * C00158))</v>
      </c>
      <c r="K640" s="36" t="str">
        <f t="shared" si="19"/>
        <v>r639: C00158 -&gt; C00417+C00001 | (${Variables:E4_2_1_3_kcat} * E4_2_1_3 * C00158)/(${Variables:E4_2_1_3_km} + (E4_2_1_3 * C00158))</v>
      </c>
    </row>
    <row r="641" spans="1:11" ht="58" x14ac:dyDescent="0.35">
      <c r="A641" s="1" t="s">
        <v>2402</v>
      </c>
      <c r="B641" s="1" t="s">
        <v>2403</v>
      </c>
      <c r="C641" s="1" t="s">
        <v>10038</v>
      </c>
      <c r="D641" s="1">
        <v>640</v>
      </c>
      <c r="E641" s="1" t="str">
        <f>CONCATENATE("E",Reactions!C641)</f>
        <v>E4_2_1_3</v>
      </c>
      <c r="F641" s="5" t="s">
        <v>8583</v>
      </c>
      <c r="G641" s="5" t="s">
        <v>8583</v>
      </c>
      <c r="H641" s="5" t="s">
        <v>11572</v>
      </c>
      <c r="I641" s="5" t="s">
        <v>12916</v>
      </c>
      <c r="J641" s="12" t="str">
        <f t="shared" si="18"/>
        <v>(${Variables:E4_2_1_3_kcat} * E4_2_1_3 * C00311)/(${Variables:E4_2_1_3_km} + (E4_2_1_3 * C00311))</v>
      </c>
      <c r="K641" s="36" t="str">
        <f t="shared" si="19"/>
        <v>r640: C00311 -&gt; C00417+C00001 | (${Variables:E4_2_1_3_kcat} * E4_2_1_3 * C00311)/(${Variables:E4_2_1_3_km} + (E4_2_1_3 * C00311))</v>
      </c>
    </row>
    <row r="642" spans="1:11" ht="58" x14ac:dyDescent="0.35">
      <c r="A642" s="1" t="s">
        <v>2682</v>
      </c>
      <c r="B642" s="1" t="s">
        <v>2683</v>
      </c>
      <c r="C642" s="1" t="s">
        <v>10039</v>
      </c>
      <c r="D642" s="1">
        <v>641</v>
      </c>
      <c r="E642" s="1" t="str">
        <f>CONCATENATE("E",Reactions!C642)</f>
        <v>E4_2_1_33</v>
      </c>
      <c r="F642" s="5" t="s">
        <v>8589</v>
      </c>
      <c r="G642" s="5" t="s">
        <v>8589</v>
      </c>
      <c r="H642" s="5" t="s">
        <v>11573</v>
      </c>
      <c r="I642" s="5" t="s">
        <v>12917</v>
      </c>
      <c r="J642" s="12" t="str">
        <f t="shared" si="18"/>
        <v>(${Variables:E4_2_1_33_kcat} * E4_2_1_33 * C02504)/(${Variables:E4_2_1_33_km} + (E4_2_1_33 * C02504))</v>
      </c>
      <c r="K642" s="36" t="str">
        <f t="shared" si="19"/>
        <v>r641: C02504 -&gt; C02631+C00001 | (${Variables:E4_2_1_33_kcat} * E4_2_1_33 * C02504)/(${Variables:E4_2_1_33_km} + (E4_2_1_33 * C02504))</v>
      </c>
    </row>
    <row r="643" spans="1:11" ht="58" x14ac:dyDescent="0.35">
      <c r="A643" s="1" t="s">
        <v>2682</v>
      </c>
      <c r="B643" s="1" t="s">
        <v>2683</v>
      </c>
      <c r="C643" s="1" t="s">
        <v>10039</v>
      </c>
      <c r="D643" s="1">
        <v>642</v>
      </c>
      <c r="E643" s="1" t="str">
        <f>CONCATENATE("E",Reactions!C643)</f>
        <v>E4_2_1_33</v>
      </c>
      <c r="F643" s="5" t="s">
        <v>8592</v>
      </c>
      <c r="G643" s="5" t="s">
        <v>8592</v>
      </c>
      <c r="H643" s="5" t="s">
        <v>11573</v>
      </c>
      <c r="I643" s="5" t="s">
        <v>12917</v>
      </c>
      <c r="J643" s="12" t="str">
        <f t="shared" ref="J643:J706" si="20">CONCATENATE("(${Variables:",E643,"_kcat","} * ",E643," * ",G643,")","/(${Variables:",E643,"_km","} + (",E643," * ",G643,"))")</f>
        <v>(${Variables:E4_2_1_33_kcat} * E4_2_1_33 * C04411 )/(${Variables:E4_2_1_33_km} + (E4_2_1_33 * C04411 ))</v>
      </c>
      <c r="K643" s="36" t="str">
        <f t="shared" ref="K643:K706" si="21">CONCATENATE("r",D643,": ",F643," -&gt; ",H643," | ",J643)</f>
        <v>r642: C04411  -&gt; C02631+C00001 | (${Variables:E4_2_1_33_kcat} * E4_2_1_33 * C04411 )/(${Variables:E4_2_1_33_km} + (E4_2_1_33 * C04411 ))</v>
      </c>
    </row>
    <row r="644" spans="1:11" ht="43.5" x14ac:dyDescent="0.35">
      <c r="A644" s="1" t="s">
        <v>2682</v>
      </c>
      <c r="B644" s="1" t="s">
        <v>2683</v>
      </c>
      <c r="C644" s="1" t="s">
        <v>10039</v>
      </c>
      <c r="D644" s="1">
        <v>643</v>
      </c>
      <c r="E644" s="1" t="str">
        <f>CONCATENATE("E",Reactions!C644)</f>
        <v>E4_2_1_33</v>
      </c>
      <c r="F644" s="5" t="s">
        <v>8594</v>
      </c>
      <c r="G644" s="5" t="s">
        <v>8594</v>
      </c>
      <c r="H644" s="5" t="s">
        <v>8589</v>
      </c>
      <c r="I644" s="5" t="s">
        <v>8589</v>
      </c>
      <c r="J644" s="12" t="str">
        <f t="shared" si="20"/>
        <v>(${Variables:E4_2_1_33_kcat} * E4_2_1_33 * C04411)/(${Variables:E4_2_1_33_km} + (E4_2_1_33 * C04411))</v>
      </c>
      <c r="K644" s="36" t="str">
        <f t="shared" si="21"/>
        <v>r643: C04411 -&gt; C02504 | (${Variables:E4_2_1_33_kcat} * E4_2_1_33 * C04411)/(${Variables:E4_2_1_33_km} + (E4_2_1_33 * C04411))</v>
      </c>
    </row>
    <row r="645" spans="1:11" ht="58" x14ac:dyDescent="0.35">
      <c r="A645" s="1" t="s">
        <v>2490</v>
      </c>
      <c r="B645" s="1" t="s">
        <v>2491</v>
      </c>
      <c r="C645" s="1" t="s">
        <v>10040</v>
      </c>
      <c r="D645" s="1">
        <v>644</v>
      </c>
      <c r="E645" s="1" t="str">
        <f>CONCATENATE("E",Reactions!C645)</f>
        <v>E4_2_1_46</v>
      </c>
      <c r="F645" s="5" t="s">
        <v>8597</v>
      </c>
      <c r="G645" s="5" t="s">
        <v>8597</v>
      </c>
      <c r="H645" s="5" t="s">
        <v>11574</v>
      </c>
      <c r="I645" s="5" t="s">
        <v>12918</v>
      </c>
      <c r="J645" s="12" t="str">
        <f t="shared" si="20"/>
        <v>(${Variables:E4_2_1_46_kcat} * E4_2_1_46 * C00842)/(${Variables:E4_2_1_46_km} + (E4_2_1_46 * C00842))</v>
      </c>
      <c r="K645" s="36" t="str">
        <f t="shared" si="21"/>
        <v>r644: C00842 -&gt; C11907+C00001 | (${Variables:E4_2_1_46_kcat} * E4_2_1_46 * C00842)/(${Variables:E4_2_1_46_km} + (E4_2_1_46 * C00842))</v>
      </c>
    </row>
    <row r="646" spans="1:11" ht="58" x14ac:dyDescent="0.35">
      <c r="A646" s="1" t="s">
        <v>2008</v>
      </c>
      <c r="B646" s="1" t="s">
        <v>2009</v>
      </c>
      <c r="C646" s="1" t="s">
        <v>10041</v>
      </c>
      <c r="D646" s="1">
        <v>645</v>
      </c>
      <c r="E646" s="1" t="str">
        <f>CONCATENATE("E",Reactions!C646)</f>
        <v>E4_2_1_51</v>
      </c>
      <c r="F646" s="5" t="s">
        <v>8601</v>
      </c>
      <c r="G646" s="5" t="s">
        <v>8601</v>
      </c>
      <c r="H646" s="5" t="s">
        <v>11575</v>
      </c>
      <c r="I646" s="5" t="s">
        <v>12919</v>
      </c>
      <c r="J646" s="12" t="str">
        <f t="shared" si="20"/>
        <v>(${Variables:E4_2_1_51_kcat} * E4_2_1_51 * C00254 )/(${Variables:E4_2_1_51_km} + (E4_2_1_51 * C00254 ))</v>
      </c>
      <c r="K646" s="36" t="str">
        <f t="shared" si="21"/>
        <v>r645: C00254  -&gt; C00166+C00001+C00011 | (${Variables:E4_2_1_51_kcat} * E4_2_1_51 * C00254 )/(${Variables:E4_2_1_51_km} + (E4_2_1_51 * C00254 ))</v>
      </c>
    </row>
    <row r="647" spans="1:11" ht="58" x14ac:dyDescent="0.35">
      <c r="A647" s="1" t="s">
        <v>2008</v>
      </c>
      <c r="B647" s="1" t="s">
        <v>2009</v>
      </c>
      <c r="C647" s="1" t="s">
        <v>10041</v>
      </c>
      <c r="D647" s="1">
        <v>646</v>
      </c>
      <c r="E647" s="1" t="str">
        <f>CONCATENATE("E",Reactions!C647)</f>
        <v>E4_2_1_51</v>
      </c>
      <c r="F647" s="5" t="s">
        <v>8604</v>
      </c>
      <c r="G647" s="5" t="s">
        <v>8604</v>
      </c>
      <c r="H647" s="5" t="s">
        <v>11576</v>
      </c>
      <c r="I647" s="5" t="s">
        <v>12920</v>
      </c>
      <c r="J647" s="12" t="str">
        <f t="shared" si="20"/>
        <v>(${Variables:E4_2_1_51_kcat} * E4_2_1_51 * C00826)/(${Variables:E4_2_1_51_km} + (E4_2_1_51 * C00826))</v>
      </c>
      <c r="K647" s="36" t="str">
        <f t="shared" si="21"/>
        <v>r646: C00826 -&gt; C00079+C00001+C00011 | (${Variables:E4_2_1_51_kcat} * E4_2_1_51 * C00826)/(${Variables:E4_2_1_51_km} + (E4_2_1_51 * C00826))</v>
      </c>
    </row>
    <row r="648" spans="1:11" ht="58" x14ac:dyDescent="0.35">
      <c r="A648" s="1" t="s">
        <v>5008</v>
      </c>
      <c r="B648" s="1" t="s">
        <v>5009</v>
      </c>
      <c r="C648" s="1" t="s">
        <v>10042</v>
      </c>
      <c r="D648" s="1">
        <v>647</v>
      </c>
      <c r="E648" s="1" t="str">
        <f>CONCATENATE("E",Reactions!C648)</f>
        <v>E4_2_1_9</v>
      </c>
      <c r="F648" s="5" t="s">
        <v>8608</v>
      </c>
      <c r="G648" s="5" t="s">
        <v>8608</v>
      </c>
      <c r="H648" s="5" t="s">
        <v>11577</v>
      </c>
      <c r="I648" s="5" t="s">
        <v>12921</v>
      </c>
      <c r="J648" s="12" t="str">
        <f t="shared" si="20"/>
        <v>(${Variables:E4_2_1_9_kcat} * E4_2_1_9 * C04039)/(${Variables:E4_2_1_9_km} + (E4_2_1_9 * C04039))</v>
      </c>
      <c r="K648" s="36" t="str">
        <f t="shared" si="21"/>
        <v>r647: C04039 -&gt; C00141+C00001 | (${Variables:E4_2_1_9_kcat} * E4_2_1_9 * C04039)/(${Variables:E4_2_1_9_km} + (E4_2_1_9 * C04039))</v>
      </c>
    </row>
    <row r="649" spans="1:11" ht="58" x14ac:dyDescent="0.35">
      <c r="A649" s="1" t="s">
        <v>5008</v>
      </c>
      <c r="B649" s="1" t="s">
        <v>5009</v>
      </c>
      <c r="C649" s="1" t="s">
        <v>10042</v>
      </c>
      <c r="D649" s="1">
        <v>648</v>
      </c>
      <c r="E649" s="1" t="str">
        <f>CONCATENATE("E",Reactions!C649)</f>
        <v>E4_2_1_9</v>
      </c>
      <c r="F649" s="5" t="s">
        <v>8610</v>
      </c>
      <c r="G649" s="5" t="s">
        <v>8610</v>
      </c>
      <c r="H649" s="5" t="s">
        <v>11577</v>
      </c>
      <c r="I649" s="5" t="s">
        <v>12921</v>
      </c>
      <c r="J649" s="12" t="str">
        <f t="shared" si="20"/>
        <v>(${Variables:E4_2_1_9_kcat} * E4_2_1_9 * C04272)/(${Variables:E4_2_1_9_km} + (E4_2_1_9 * C04272))</v>
      </c>
      <c r="K649" s="36" t="str">
        <f t="shared" si="21"/>
        <v>r648: C04272 -&gt; C00141+C00001 | (${Variables:E4_2_1_9_kcat} * E4_2_1_9 * C04272)/(${Variables:E4_2_1_9_km} + (E4_2_1_9 * C04272))</v>
      </c>
    </row>
    <row r="650" spans="1:11" ht="58" x14ac:dyDescent="0.35">
      <c r="A650" s="1" t="s">
        <v>5008</v>
      </c>
      <c r="B650" s="1" t="s">
        <v>5009</v>
      </c>
      <c r="C650" s="1" t="s">
        <v>10042</v>
      </c>
      <c r="D650" s="1">
        <v>649</v>
      </c>
      <c r="E650" s="1" t="str">
        <f>CONCATENATE("E",Reactions!C650)</f>
        <v>E4_2_1_9</v>
      </c>
      <c r="F650" s="5" t="s">
        <v>8612</v>
      </c>
      <c r="G650" s="5" t="s">
        <v>8612</v>
      </c>
      <c r="H650" s="5" t="s">
        <v>11578</v>
      </c>
      <c r="I650" s="5" t="s">
        <v>12922</v>
      </c>
      <c r="J650" s="12" t="str">
        <f t="shared" si="20"/>
        <v>(${Variables:E4_2_1_9_kcat} * E4_2_1_9 * C06007)/(${Variables:E4_2_1_9_km} + (E4_2_1_9 * C06007))</v>
      </c>
      <c r="K650" s="36" t="str">
        <f t="shared" si="21"/>
        <v>r649: C06007 -&gt; C00671+C00001 | (${Variables:E4_2_1_9_kcat} * E4_2_1_9 * C06007)/(${Variables:E4_2_1_9_km} + (E4_2_1_9 * C06007))</v>
      </c>
    </row>
    <row r="651" spans="1:11" ht="58" x14ac:dyDescent="0.35">
      <c r="A651" s="1" t="s">
        <v>5832</v>
      </c>
      <c r="B651" s="1" t="s">
        <v>5833</v>
      </c>
      <c r="C651" s="1" t="s">
        <v>10043</v>
      </c>
      <c r="D651" s="1">
        <v>650</v>
      </c>
      <c r="E651" s="1" t="str">
        <f>CONCATENATE("E",Reactions!C651)</f>
        <v>E4_2_3_1</v>
      </c>
      <c r="F651" s="5" t="s">
        <v>11579</v>
      </c>
      <c r="G651" s="5" t="s">
        <v>12301</v>
      </c>
      <c r="H651" s="5" t="s">
        <v>11580</v>
      </c>
      <c r="I651" s="5" t="s">
        <v>12923</v>
      </c>
      <c r="J651" s="12" t="str">
        <f t="shared" si="20"/>
        <v>(${Variables:E4_2_3_1_kcat} * E4_2_3_1 * C01102*C00001)/(${Variables:E4_2_3_1_km} + (E4_2_3_1 * C01102*C00001))</v>
      </c>
      <c r="K651" s="36" t="str">
        <f t="shared" si="21"/>
        <v>r650: C01102+C00001 -&gt; C00188+C00009 | (${Variables:E4_2_3_1_kcat} * E4_2_3_1 * C01102*C00001)/(${Variables:E4_2_3_1_km} + (E4_2_3_1 * C01102*C00001))</v>
      </c>
    </row>
    <row r="652" spans="1:11" ht="58" x14ac:dyDescent="0.35">
      <c r="A652" s="1" t="s">
        <v>5832</v>
      </c>
      <c r="B652" s="1" t="s">
        <v>5833</v>
      </c>
      <c r="C652" s="1" t="s">
        <v>10043</v>
      </c>
      <c r="D652" s="1">
        <v>651</v>
      </c>
      <c r="E652" s="1" t="str">
        <f>CONCATENATE("E",Reactions!C652)</f>
        <v>E4_2_3_1</v>
      </c>
      <c r="F652" s="5" t="s">
        <v>11581</v>
      </c>
      <c r="G652" s="5" t="s">
        <v>12302</v>
      </c>
      <c r="H652" s="5" t="s">
        <v>11582</v>
      </c>
      <c r="I652" s="5" t="s">
        <v>12924</v>
      </c>
      <c r="J652" s="12" t="str">
        <f t="shared" si="20"/>
        <v>(${Variables:E4_2_3_1_kcat} * E4_2_3_1 * C06055*C00001)/(${Variables:E4_2_3_1_km} + (E4_2_3_1 * C06055*C00001))</v>
      </c>
      <c r="K652" s="36" t="str">
        <f t="shared" si="21"/>
        <v>r651: C06055+C00001 -&gt; C06056+C00009 | (${Variables:E4_2_3_1_kcat} * E4_2_3_1 * C06055*C00001)/(${Variables:E4_2_3_1_km} + (E4_2_3_1 * C06055*C00001))</v>
      </c>
    </row>
    <row r="653" spans="1:11" ht="58" x14ac:dyDescent="0.35">
      <c r="A653" s="1" t="s">
        <v>3680</v>
      </c>
      <c r="B653" s="1" t="s">
        <v>3681</v>
      </c>
      <c r="C653" s="1" t="s">
        <v>10044</v>
      </c>
      <c r="D653" s="1">
        <v>652</v>
      </c>
      <c r="E653" s="1" t="str">
        <f>CONCATENATE("E",Reactions!C653)</f>
        <v>E4_2_3_12</v>
      </c>
      <c r="F653" s="5" t="s">
        <v>8624</v>
      </c>
      <c r="G653" s="5" t="s">
        <v>8624</v>
      </c>
      <c r="H653" s="5" t="s">
        <v>11583</v>
      </c>
      <c r="I653" s="5" t="s">
        <v>12925</v>
      </c>
      <c r="J653" s="12" t="str">
        <f t="shared" si="20"/>
        <v>(${Variables:E4_2_3_12_kcat} * E4_2_3_12 * C04895)/(${Variables:E4_2_3_12_km} + (E4_2_3_12 * C04895))</v>
      </c>
      <c r="K653" s="36" t="str">
        <f t="shared" si="21"/>
        <v>r652: C04895 -&gt; C03684+C00536 | (${Variables:E4_2_3_12_kcat} * E4_2_3_12 * C04895)/(${Variables:E4_2_3_12_km} + (E4_2_3_12 * C04895))</v>
      </c>
    </row>
    <row r="654" spans="1:11" ht="58" x14ac:dyDescent="0.35">
      <c r="A654" s="1" t="s">
        <v>1981</v>
      </c>
      <c r="B654" s="1" t="s">
        <v>1982</v>
      </c>
      <c r="C654" s="1" t="s">
        <v>10045</v>
      </c>
      <c r="D654" s="1">
        <v>653</v>
      </c>
      <c r="E654" s="1" t="str">
        <f>CONCATENATE("E",Reactions!C654)</f>
        <v>E4_2_3_4</v>
      </c>
      <c r="F654" s="5" t="s">
        <v>8628</v>
      </c>
      <c r="G654" s="5" t="s">
        <v>8628</v>
      </c>
      <c r="H654" s="5" t="s">
        <v>11584</v>
      </c>
      <c r="I654" s="5" t="s">
        <v>12926</v>
      </c>
      <c r="J654" s="12" t="str">
        <f t="shared" si="20"/>
        <v>(${Variables:E4_2_3_4_kcat} * E4_2_3_4 * C04691)/(${Variables:E4_2_3_4_km} + (E4_2_3_4 * C04691))</v>
      </c>
      <c r="K654" s="36" t="str">
        <f t="shared" si="21"/>
        <v>r653: C04691 -&gt; C00944+C00009 | (${Variables:E4_2_3_4_kcat} * E4_2_3_4 * C04691)/(${Variables:E4_2_3_4_km} + (E4_2_3_4 * C04691))</v>
      </c>
    </row>
    <row r="655" spans="1:11" ht="58" x14ac:dyDescent="0.35">
      <c r="A655" s="1" t="s">
        <v>1985</v>
      </c>
      <c r="B655" s="1" t="s">
        <v>1986</v>
      </c>
      <c r="C655" s="1" t="s">
        <v>10046</v>
      </c>
      <c r="D655" s="1">
        <v>654</v>
      </c>
      <c r="E655" s="1" t="str">
        <f>CONCATENATE("E",Reactions!C655)</f>
        <v>E4_2_3_5</v>
      </c>
      <c r="F655" s="5" t="s">
        <v>8632</v>
      </c>
      <c r="G655" s="5" t="s">
        <v>8632</v>
      </c>
      <c r="H655" s="5" t="s">
        <v>11585</v>
      </c>
      <c r="I655" s="5" t="s">
        <v>12927</v>
      </c>
      <c r="J655" s="12" t="str">
        <f t="shared" si="20"/>
        <v>(${Variables:E4_2_3_5_kcat} * E4_2_3_5 * C01269)/(${Variables:E4_2_3_5_km} + (E4_2_3_5 * C01269))</v>
      </c>
      <c r="K655" s="36" t="str">
        <f t="shared" si="21"/>
        <v>r654: C01269 -&gt; C00251+C00009 | (${Variables:E4_2_3_5_kcat} * E4_2_3_5 * C01269)/(${Variables:E4_2_3_5_km} + (E4_2_3_5 * C01269))</v>
      </c>
    </row>
    <row r="656" spans="1:11" ht="58" x14ac:dyDescent="0.35">
      <c r="A656" s="1" t="s">
        <v>1914</v>
      </c>
      <c r="B656" s="1" t="s">
        <v>1915</v>
      </c>
      <c r="C656" s="1" t="s">
        <v>10047</v>
      </c>
      <c r="D656" s="1">
        <v>655</v>
      </c>
      <c r="E656" s="1" t="str">
        <f>CONCATENATE("E",Reactions!C656)</f>
        <v>E4_2_99_18</v>
      </c>
      <c r="F656" s="5" t="s">
        <v>8636</v>
      </c>
      <c r="G656" s="5" t="s">
        <v>8636</v>
      </c>
      <c r="H656" s="5" t="s">
        <v>11586</v>
      </c>
      <c r="I656" s="5" t="s">
        <v>12928</v>
      </c>
      <c r="J656" s="12" t="str">
        <f t="shared" si="20"/>
        <v>(${Variables:E4_2_99_18_kcat} * E4_2_99_18 * C00065)/(${Variables:E4_2_99_18_km} + (E4_2_99_18 * C00065))</v>
      </c>
      <c r="K656" s="36" t="str">
        <f t="shared" si="21"/>
        <v>r655: C00065 -&gt; C00022+C00014 | (${Variables:E4_2_99_18_kcat} * E4_2_99_18 * C00065)/(${Variables:E4_2_99_18_km} + (E4_2_99_18 * C00065))</v>
      </c>
    </row>
    <row r="657" spans="1:11" ht="58" x14ac:dyDescent="0.35">
      <c r="A657" s="1" t="s">
        <v>3951</v>
      </c>
      <c r="B657" s="1" t="s">
        <v>3952</v>
      </c>
      <c r="C657" s="1" t="s">
        <v>10048</v>
      </c>
      <c r="D657" s="1">
        <v>656</v>
      </c>
      <c r="E657" s="1" t="str">
        <f>CONCATENATE("E",Reactions!C657)</f>
        <v>E4_3_1_17</v>
      </c>
      <c r="F657" s="5" t="s">
        <v>8636</v>
      </c>
      <c r="G657" s="5" t="s">
        <v>8636</v>
      </c>
      <c r="H657" s="5" t="s">
        <v>11587</v>
      </c>
      <c r="I657" s="5" t="s">
        <v>12929</v>
      </c>
      <c r="J657" s="12" t="str">
        <f t="shared" si="20"/>
        <v>(${Variables:E4_3_1_17_kcat} * E4_3_1_17 * C00065)/(${Variables:E4_3_1_17_km} + (E4_3_1_17 * C00065))</v>
      </c>
      <c r="K657" s="36" t="str">
        <f t="shared" si="21"/>
        <v>r656: C00065 -&gt; C02218+C00001 | (${Variables:E4_3_1_17_kcat} * E4_3_1_17 * C00065)/(${Variables:E4_3_1_17_km} + (E4_3_1_17 * C00065))</v>
      </c>
    </row>
    <row r="658" spans="1:11" ht="58" x14ac:dyDescent="0.35">
      <c r="A658" s="1" t="s">
        <v>3951</v>
      </c>
      <c r="B658" s="1" t="s">
        <v>3952</v>
      </c>
      <c r="C658" s="1" t="s">
        <v>10048</v>
      </c>
      <c r="D658" s="1">
        <v>657</v>
      </c>
      <c r="E658" s="1" t="str">
        <f>CONCATENATE("E",Reactions!C658)</f>
        <v>E4_3_1_17</v>
      </c>
      <c r="F658" s="5" t="s">
        <v>11588</v>
      </c>
      <c r="G658" s="5" t="s">
        <v>12303</v>
      </c>
      <c r="H658" s="5" t="s">
        <v>11586</v>
      </c>
      <c r="I658" s="5" t="s">
        <v>12928</v>
      </c>
      <c r="J658" s="12" t="str">
        <f t="shared" si="20"/>
        <v>(${Variables:E4_3_1_17_kcat} * E4_3_1_17 * C20904*C00001 )/(${Variables:E4_3_1_17_km} + (E4_3_1_17 * C20904*C00001 ))</v>
      </c>
      <c r="K658" s="36" t="str">
        <f t="shared" si="21"/>
        <v>r657: C20904+C00001  -&gt; C00022+C00014 | (${Variables:E4_3_1_17_kcat} * E4_3_1_17 * C20904*C00001 )/(${Variables:E4_3_1_17_km} + (E4_3_1_17 * C20904*C00001 ))</v>
      </c>
    </row>
    <row r="659" spans="1:11" ht="43.5" x14ac:dyDescent="0.35">
      <c r="A659" s="1" t="s">
        <v>3951</v>
      </c>
      <c r="B659" s="1" t="s">
        <v>3952</v>
      </c>
      <c r="C659" s="1" t="s">
        <v>10048</v>
      </c>
      <c r="D659" s="1">
        <v>658</v>
      </c>
      <c r="E659" s="1" t="str">
        <f>CONCATENATE("E",Reactions!C659)</f>
        <v>E4_3_1_17</v>
      </c>
      <c r="F659" s="5" t="s">
        <v>8640</v>
      </c>
      <c r="G659" s="5" t="s">
        <v>8640</v>
      </c>
      <c r="H659" s="5" t="s">
        <v>8641</v>
      </c>
      <c r="I659" s="5" t="s">
        <v>8641</v>
      </c>
      <c r="J659" s="12" t="str">
        <f t="shared" si="20"/>
        <v>(${Variables:E4_3_1_17_kcat} * E4_3_1_17 * C02218)/(${Variables:E4_3_1_17_km} + (E4_3_1_17 * C02218))</v>
      </c>
      <c r="K659" s="36" t="str">
        <f t="shared" si="21"/>
        <v>r658: C02218 -&gt; C20904 | (${Variables:E4_3_1_17_kcat} * E4_3_1_17 * C02218)/(${Variables:E4_3_1_17_km} + (E4_3_1_17 * C02218))</v>
      </c>
    </row>
    <row r="660" spans="1:11" ht="58" x14ac:dyDescent="0.35">
      <c r="A660" s="1" t="s">
        <v>3951</v>
      </c>
      <c r="B660" s="1" t="s">
        <v>3952</v>
      </c>
      <c r="C660" s="1" t="s">
        <v>10048</v>
      </c>
      <c r="D660" s="1">
        <v>659</v>
      </c>
      <c r="E660" s="1" t="str">
        <f>CONCATENATE("E",Reactions!C660)</f>
        <v>E4_3_1_17</v>
      </c>
      <c r="F660" s="5" t="s">
        <v>8643</v>
      </c>
      <c r="G660" s="5" t="s">
        <v>8643</v>
      </c>
      <c r="H660" s="5" t="s">
        <v>11589</v>
      </c>
      <c r="I660" s="5" t="s">
        <v>12930</v>
      </c>
      <c r="J660" s="12" t="str">
        <f t="shared" si="20"/>
        <v>(${Variables:E4_3_1_17_kcat} * E4_3_1_17 * C05167)/(${Variables:E4_3_1_17_km} + (E4_3_1_17 * C05167))</v>
      </c>
      <c r="K660" s="36" t="str">
        <f t="shared" si="21"/>
        <v>r659: C05167 -&gt; C00161+C00014 | (${Variables:E4_3_1_17_kcat} * E4_3_1_17 * C05167)/(${Variables:E4_3_1_17_km} + (E4_3_1_17 * C05167))</v>
      </c>
    </row>
    <row r="661" spans="1:11" ht="58" x14ac:dyDescent="0.35">
      <c r="A661" s="1" t="s">
        <v>514</v>
      </c>
      <c r="B661" s="1" t="s">
        <v>515</v>
      </c>
      <c r="C661" s="1" t="s">
        <v>10049</v>
      </c>
      <c r="D661" s="1">
        <v>660</v>
      </c>
      <c r="E661" s="1" t="str">
        <f>CONCATENATE("E",Reactions!C661)</f>
        <v>E4_3_1_19</v>
      </c>
      <c r="F661" s="5" t="s">
        <v>8649</v>
      </c>
      <c r="G661" s="5" t="s">
        <v>8649</v>
      </c>
      <c r="H661" s="5" t="s">
        <v>11590</v>
      </c>
      <c r="I661" s="5" t="s">
        <v>12931</v>
      </c>
      <c r="J661" s="12" t="str">
        <f t="shared" si="20"/>
        <v>(${Variables:E4_3_1_19_kcat} * E4_3_1_19 * C00188 )/(${Variables:E4_3_1_19_km} + (E4_3_1_19 * C00188 ))</v>
      </c>
      <c r="K661" s="36" t="str">
        <f t="shared" si="21"/>
        <v>r660: C00188  -&gt; C00109+C00014 | (${Variables:E4_3_1_19_kcat} * E4_3_1_19 * C00188 )/(${Variables:E4_3_1_19_km} + (E4_3_1_19 * C00188 ))</v>
      </c>
    </row>
    <row r="662" spans="1:11" ht="58" x14ac:dyDescent="0.35">
      <c r="A662" s="1" t="s">
        <v>514</v>
      </c>
      <c r="B662" s="1" t="s">
        <v>515</v>
      </c>
      <c r="C662" s="1" t="s">
        <v>10049</v>
      </c>
      <c r="D662" s="1">
        <v>661</v>
      </c>
      <c r="E662" s="1" t="str">
        <f>CONCATENATE("E",Reactions!C662)</f>
        <v>E4_3_1_19</v>
      </c>
      <c r="F662" s="5" t="s">
        <v>11591</v>
      </c>
      <c r="G662" s="5" t="s">
        <v>12304</v>
      </c>
      <c r="H662" s="5" t="s">
        <v>11590</v>
      </c>
      <c r="I662" s="5" t="s">
        <v>12931</v>
      </c>
      <c r="J662" s="12" t="str">
        <f t="shared" si="20"/>
        <v>(${Variables:E4_3_1_19_kcat} * E4_3_1_19 * C20905*C00001 )/(${Variables:E4_3_1_19_km} + (E4_3_1_19 * C20905*C00001 ))</v>
      </c>
      <c r="K662" s="36" t="str">
        <f t="shared" si="21"/>
        <v>r661: C20905+C00001  -&gt; C00109+C00014 | (${Variables:E4_3_1_19_kcat} * E4_3_1_19 * C20905*C00001 )/(${Variables:E4_3_1_19_km} + (E4_3_1_19 * C20905*C00001 ))</v>
      </c>
    </row>
    <row r="663" spans="1:11" ht="43.5" x14ac:dyDescent="0.35">
      <c r="A663" s="1" t="s">
        <v>514</v>
      </c>
      <c r="B663" s="1" t="s">
        <v>515</v>
      </c>
      <c r="C663" s="1" t="s">
        <v>10049</v>
      </c>
      <c r="D663" s="1">
        <v>662</v>
      </c>
      <c r="E663" s="1" t="str">
        <f>CONCATENATE("E",Reactions!C663)</f>
        <v>E4_3_1_19</v>
      </c>
      <c r="F663" s="5" t="s">
        <v>8652</v>
      </c>
      <c r="G663" s="5" t="s">
        <v>8652</v>
      </c>
      <c r="H663" s="5" t="s">
        <v>8653</v>
      </c>
      <c r="I663" s="5" t="s">
        <v>8653</v>
      </c>
      <c r="J663" s="12" t="str">
        <f t="shared" si="20"/>
        <v>(${Variables:E4_3_1_19_kcat} * E4_3_1_19 * C17234 )/(${Variables:E4_3_1_19_km} + (E4_3_1_19 * C17234 ))</v>
      </c>
      <c r="K663" s="36" t="str">
        <f t="shared" si="21"/>
        <v>r662: C17234  -&gt; C20905 | (${Variables:E4_3_1_19_kcat} * E4_3_1_19 * C17234 )/(${Variables:E4_3_1_19_km} + (E4_3_1_19 * C17234 ))</v>
      </c>
    </row>
    <row r="664" spans="1:11" ht="58" x14ac:dyDescent="0.35">
      <c r="A664" s="1" t="s">
        <v>514</v>
      </c>
      <c r="B664" s="1" t="s">
        <v>515</v>
      </c>
      <c r="C664" s="1" t="s">
        <v>10049</v>
      </c>
      <c r="D664" s="1">
        <v>663</v>
      </c>
      <c r="E664" s="1" t="str">
        <f>CONCATENATE("E",Reactions!C664)</f>
        <v>E4_3_1_19</v>
      </c>
      <c r="F664" s="5" t="s">
        <v>8636</v>
      </c>
      <c r="G664" s="5" t="s">
        <v>8636</v>
      </c>
      <c r="H664" s="5" t="s">
        <v>11586</v>
      </c>
      <c r="I664" s="5" t="s">
        <v>12928</v>
      </c>
      <c r="J664" s="12" t="str">
        <f t="shared" si="20"/>
        <v>(${Variables:E4_3_1_19_kcat} * E4_3_1_19 * C00065)/(${Variables:E4_3_1_19_km} + (E4_3_1_19 * C00065))</v>
      </c>
      <c r="K664" s="36" t="str">
        <f t="shared" si="21"/>
        <v>r663: C00065 -&gt; C00022+C00014 | (${Variables:E4_3_1_19_kcat} * E4_3_1_19 * C00065)/(${Variables:E4_3_1_19_km} + (E4_3_1_19 * C00065))</v>
      </c>
    </row>
    <row r="665" spans="1:11" ht="58" x14ac:dyDescent="0.35">
      <c r="A665" s="1" t="s">
        <v>514</v>
      </c>
      <c r="B665" s="1" t="s">
        <v>515</v>
      </c>
      <c r="C665" s="1" t="s">
        <v>10049</v>
      </c>
      <c r="D665" s="1">
        <v>664</v>
      </c>
      <c r="E665" s="1" t="str">
        <f>CONCATENATE("E",Reactions!C665)</f>
        <v>E4_3_1_19</v>
      </c>
      <c r="F665" s="5" t="s">
        <v>8654</v>
      </c>
      <c r="G665" s="5" t="s">
        <v>8654</v>
      </c>
      <c r="H665" s="5" t="s">
        <v>11589</v>
      </c>
      <c r="I665" s="5" t="s">
        <v>12930</v>
      </c>
      <c r="J665" s="12" t="str">
        <f t="shared" si="20"/>
        <v>(${Variables:E4_3_1_19_kcat} * E4_3_1_19 * C05167 )/(${Variables:E4_3_1_19_km} + (E4_3_1_19 * C05167 ))</v>
      </c>
      <c r="K665" s="36" t="str">
        <f t="shared" si="21"/>
        <v>r664: C05167  -&gt; C00161+C00014 | (${Variables:E4_3_1_19_kcat} * E4_3_1_19 * C05167 )/(${Variables:E4_3_1_19_km} + (E4_3_1_19 * C05167 ))</v>
      </c>
    </row>
    <row r="666" spans="1:11" ht="58" x14ac:dyDescent="0.35">
      <c r="A666" s="1" t="s">
        <v>5630</v>
      </c>
      <c r="B666" s="1" t="s">
        <v>5631</v>
      </c>
      <c r="C666" s="1" t="s">
        <v>10050</v>
      </c>
      <c r="D666" s="1">
        <v>665</v>
      </c>
      <c r="E666" s="1" t="str">
        <f>CONCATENATE("E",Reactions!C666)</f>
        <v>E4_3_2_1</v>
      </c>
      <c r="F666" s="5" t="s">
        <v>8658</v>
      </c>
      <c r="G666" s="5" t="s">
        <v>8658</v>
      </c>
      <c r="H666" s="5" t="s">
        <v>11592</v>
      </c>
      <c r="I666" s="5" t="s">
        <v>12932</v>
      </c>
      <c r="J666" s="12" t="str">
        <f t="shared" si="20"/>
        <v>(${Variables:E4_3_2_1_kcat} * E4_3_2_1 * C03406)/(${Variables:E4_3_2_1_km} + (E4_3_2_1 * C03406))</v>
      </c>
      <c r="K666" s="36" t="str">
        <f t="shared" si="21"/>
        <v>r665: C03406 -&gt; C00122+C00062 | (${Variables:E4_3_2_1_kcat} * E4_3_2_1 * C03406)/(${Variables:E4_3_2_1_km} + (E4_3_2_1 * C03406))</v>
      </c>
    </row>
    <row r="667" spans="1:11" ht="58" x14ac:dyDescent="0.35">
      <c r="A667" s="1" t="s">
        <v>203</v>
      </c>
      <c r="B667" s="1" t="s">
        <v>204</v>
      </c>
      <c r="C667" s="1" t="s">
        <v>10051</v>
      </c>
      <c r="D667" s="1">
        <v>666</v>
      </c>
      <c r="E667" s="1" t="str">
        <f>CONCATENATE("E",Reactions!C667)</f>
        <v>E4_3_2_2</v>
      </c>
      <c r="F667" s="5" t="s">
        <v>8662</v>
      </c>
      <c r="G667" s="5" t="s">
        <v>8662</v>
      </c>
      <c r="H667" s="5" t="s">
        <v>11593</v>
      </c>
      <c r="I667" s="5" t="s">
        <v>12933</v>
      </c>
      <c r="J667" s="12" t="str">
        <f t="shared" si="20"/>
        <v>(${Variables:E4_3_2_2_kcat} * E4_3_2_2 * C03794 )/(${Variables:E4_3_2_2_km} + (E4_3_2_2 * C03794 ))</v>
      </c>
      <c r="K667" s="36" t="str">
        <f t="shared" si="21"/>
        <v>r666: C03794  -&gt; C00122+C00020 | (${Variables:E4_3_2_2_kcat} * E4_3_2_2 * C03794 )/(${Variables:E4_3_2_2_km} + (E4_3_2_2 * C03794 ))</v>
      </c>
    </row>
    <row r="668" spans="1:11" ht="58" x14ac:dyDescent="0.35">
      <c r="A668" s="1" t="s">
        <v>203</v>
      </c>
      <c r="B668" s="1" t="s">
        <v>204</v>
      </c>
      <c r="C668" s="1" t="s">
        <v>10051</v>
      </c>
      <c r="D668" s="1">
        <v>667</v>
      </c>
      <c r="E668" s="1" t="str">
        <f>CONCATENATE("E",Reactions!C668)</f>
        <v>E4_3_2_2</v>
      </c>
      <c r="F668" s="5" t="s">
        <v>8664</v>
      </c>
      <c r="G668" s="5" t="s">
        <v>8664</v>
      </c>
      <c r="H668" s="5" t="s">
        <v>11594</v>
      </c>
      <c r="I668" s="5" t="s">
        <v>12934</v>
      </c>
      <c r="J668" s="12" t="str">
        <f t="shared" si="20"/>
        <v>(${Variables:E4_3_2_2_kcat} * E4_3_2_2 * C04823)/(${Variables:E4_3_2_2_km} + (E4_3_2_2 * C04823))</v>
      </c>
      <c r="K668" s="36" t="str">
        <f t="shared" si="21"/>
        <v>r667: C04823 -&gt; C00122+C04677 | (${Variables:E4_3_2_2_kcat} * E4_3_2_2 * C04823)/(${Variables:E4_3_2_2_km} + (E4_3_2_2 * C04823))</v>
      </c>
    </row>
    <row r="669" spans="1:11" ht="58" x14ac:dyDescent="0.35">
      <c r="A669" s="1" t="s">
        <v>203</v>
      </c>
      <c r="B669" s="1" t="s">
        <v>204</v>
      </c>
      <c r="C669" s="1" t="s">
        <v>10051</v>
      </c>
      <c r="D669" s="1">
        <v>668</v>
      </c>
      <c r="E669" s="1" t="str">
        <f>CONCATENATE("E",Reactions!C669)</f>
        <v>E4_3_2_2</v>
      </c>
      <c r="F669" s="5" t="s">
        <v>8666</v>
      </c>
      <c r="G669" s="5" t="s">
        <v>8666</v>
      </c>
      <c r="H669" s="5" t="s">
        <v>11595</v>
      </c>
      <c r="I669" s="5" t="s">
        <v>12935</v>
      </c>
      <c r="J669" s="12" t="str">
        <f t="shared" si="20"/>
        <v>(${Variables:E4_3_2_2_kcat} * E4_3_2_2 * C22395 )/(${Variables:E4_3_2_2_km} + (E4_3_2_2 * C22395 ))</v>
      </c>
      <c r="K669" s="36" t="str">
        <f t="shared" si="21"/>
        <v>r668: C22395  -&gt; C22441+C00122 | (${Variables:E4_3_2_2_kcat} * E4_3_2_2 * C22395 )/(${Variables:E4_3_2_2_km} + (E4_3_2_2 * C22395 ))</v>
      </c>
    </row>
    <row r="670" spans="1:11" ht="58" x14ac:dyDescent="0.35">
      <c r="A670" s="1" t="s">
        <v>3916</v>
      </c>
      <c r="B670" s="1" t="s">
        <v>3917</v>
      </c>
      <c r="C670" s="1" t="s">
        <v>10052</v>
      </c>
      <c r="D670" s="1">
        <v>669</v>
      </c>
      <c r="E670" s="1" t="str">
        <f>CONCATENATE("E",Reactions!C670)</f>
        <v>E4_3_3_7</v>
      </c>
      <c r="F670" s="5" t="s">
        <v>11596</v>
      </c>
      <c r="G670" s="5" t="s">
        <v>12305</v>
      </c>
      <c r="H670" s="5" t="s">
        <v>11597</v>
      </c>
      <c r="I670" s="5" t="s">
        <v>12936</v>
      </c>
      <c r="J670" s="12" t="str">
        <f t="shared" si="20"/>
        <v>(${Variables:E4_3_3_7_kcat} * E4_3_3_7 * C00441*C00022 )/(${Variables:E4_3_3_7_km} + (E4_3_3_7 * C00441*C00022 ))</v>
      </c>
      <c r="K670" s="36" t="str">
        <f t="shared" si="21"/>
        <v>r669: C00441+C00022  -&gt; C20258+C00001 | (${Variables:E4_3_3_7_kcat} * E4_3_3_7 * C00441*C00022 )/(${Variables:E4_3_3_7_km} + (E4_3_3_7 * C00441*C00022 ))</v>
      </c>
    </row>
    <row r="671" spans="1:11" ht="58" x14ac:dyDescent="0.35">
      <c r="A671" s="1" t="s">
        <v>1154</v>
      </c>
      <c r="B671" s="1" t="s">
        <v>1155</v>
      </c>
      <c r="C671" s="1" t="s">
        <v>10053</v>
      </c>
      <c r="D671" s="1">
        <v>670</v>
      </c>
      <c r="E671" s="1" t="str">
        <f>CONCATENATE("E",Reactions!C671)</f>
        <v>E4_4_1_21</v>
      </c>
      <c r="F671" s="5" t="s">
        <v>8675</v>
      </c>
      <c r="G671" s="5" t="s">
        <v>8675</v>
      </c>
      <c r="H671" s="5" t="s">
        <v>11598</v>
      </c>
      <c r="I671" s="5" t="s">
        <v>12937</v>
      </c>
      <c r="J671" s="12" t="str">
        <f t="shared" si="20"/>
        <v>(${Variables:E4_4_1_21_kcat} * E4_4_1_21 * C03539)/(${Variables:E4_4_1_21_km} + (E4_4_1_21 * C03539))</v>
      </c>
      <c r="K671" s="36" t="str">
        <f t="shared" si="21"/>
        <v>r670: C03539 -&gt; C11838+C00155 | (${Variables:E4_4_1_21_kcat} * E4_4_1_21 * C03539)/(${Variables:E4_4_1_21_km} + (E4_4_1_21 * C03539))</v>
      </c>
    </row>
    <row r="672" spans="1:11" ht="58" x14ac:dyDescent="0.35">
      <c r="A672" s="1" t="s">
        <v>4744</v>
      </c>
      <c r="B672" s="1" t="s">
        <v>4745</v>
      </c>
      <c r="C672" s="1" t="s">
        <v>10054</v>
      </c>
      <c r="D672" s="1">
        <v>671</v>
      </c>
      <c r="E672" s="1" t="str">
        <f>CONCATENATE("E",Reactions!C672)</f>
        <v>E4_4_1_5</v>
      </c>
      <c r="F672" s="5" t="s">
        <v>8679</v>
      </c>
      <c r="G672" s="5" t="s">
        <v>8679</v>
      </c>
      <c r="H672" s="5" t="s">
        <v>11599</v>
      </c>
      <c r="I672" s="5" t="s">
        <v>12938</v>
      </c>
      <c r="J672" s="12" t="str">
        <f t="shared" si="20"/>
        <v>(${Variables:E4_4_1_5_kcat} * E4_4_1_5 * C03451)/(${Variables:E4_4_1_5_km} + (E4_4_1_5 * C03451))</v>
      </c>
      <c r="K672" s="36" t="str">
        <f t="shared" si="21"/>
        <v>r671: C03451 -&gt; C00051+C00546 | (${Variables:E4_4_1_5_kcat} * E4_4_1_5 * C03451)/(${Variables:E4_4_1_5_km} + (E4_4_1_5 * C03451))</v>
      </c>
    </row>
    <row r="673" spans="1:11" ht="43.5" x14ac:dyDescent="0.35">
      <c r="A673" s="1" t="s">
        <v>5377</v>
      </c>
      <c r="B673" s="1" t="s">
        <v>5378</v>
      </c>
      <c r="C673" s="1" t="s">
        <v>10056</v>
      </c>
      <c r="D673" s="1">
        <v>672</v>
      </c>
      <c r="E673" s="1" t="str">
        <f>CONCATENATE("E",Reactions!C673)</f>
        <v>E5_1_1_1</v>
      </c>
      <c r="F673" s="5" t="s">
        <v>8683</v>
      </c>
      <c r="G673" s="5" t="s">
        <v>8683</v>
      </c>
      <c r="H673" s="5" t="s">
        <v>8684</v>
      </c>
      <c r="I673" s="5" t="s">
        <v>8684</v>
      </c>
      <c r="J673" s="12" t="str">
        <f t="shared" si="20"/>
        <v>(${Variables:E5_1_1_1_kcat} * E5_1_1_1 * C00041)/(${Variables:E5_1_1_1_km} + (E5_1_1_1 * C00041))</v>
      </c>
      <c r="K673" s="36" t="str">
        <f t="shared" si="21"/>
        <v>r672: C00041 -&gt; C00133 | (${Variables:E5_1_1_1_kcat} * E5_1_1_1 * C00041)/(${Variables:E5_1_1_1_km} + (E5_1_1_1 * C00041))</v>
      </c>
    </row>
    <row r="674" spans="1:11" ht="43.5" x14ac:dyDescent="0.35">
      <c r="A674" s="1" t="s">
        <v>804</v>
      </c>
      <c r="B674" s="1" t="s">
        <v>805</v>
      </c>
      <c r="C674" s="1" t="s">
        <v>10057</v>
      </c>
      <c r="D674" s="1">
        <v>673</v>
      </c>
      <c r="E674" s="1" t="str">
        <f>CONCATENATE("E",Reactions!C674)</f>
        <v>E5_1_1_3</v>
      </c>
      <c r="F674" s="5" t="s">
        <v>8687</v>
      </c>
      <c r="G674" s="5" t="s">
        <v>8687</v>
      </c>
      <c r="H674" s="5" t="s">
        <v>8688</v>
      </c>
      <c r="I674" s="5" t="s">
        <v>8688</v>
      </c>
      <c r="J674" s="12" t="str">
        <f t="shared" si="20"/>
        <v>(${Variables:E5_1_1_3_kcat} * E5_1_1_3 * C00025)/(${Variables:E5_1_1_3_km} + (E5_1_1_3 * C00025))</v>
      </c>
      <c r="K674" s="36" t="str">
        <f t="shared" si="21"/>
        <v>r673: C00025 -&gt; C00217 | (${Variables:E5_1_1_3_kcat} * E5_1_1_3 * C00025)/(${Variables:E5_1_1_3_km} + (E5_1_1_3 * C00025))</v>
      </c>
    </row>
    <row r="675" spans="1:11" ht="43.5" x14ac:dyDescent="0.35">
      <c r="A675" s="1" t="s">
        <v>5568</v>
      </c>
      <c r="B675" s="1" t="s">
        <v>5569</v>
      </c>
      <c r="C675" s="1" t="s">
        <v>10058</v>
      </c>
      <c r="D675" s="1">
        <v>674</v>
      </c>
      <c r="E675" s="1" t="str">
        <f>CONCATENATE("E",Reactions!C675)</f>
        <v>E5_1_3_1</v>
      </c>
      <c r="F675" s="5" t="s">
        <v>8691</v>
      </c>
      <c r="G675" s="5" t="s">
        <v>8691</v>
      </c>
      <c r="H675" s="5" t="s">
        <v>8692</v>
      </c>
      <c r="I675" s="5" t="s">
        <v>8692</v>
      </c>
      <c r="J675" s="12" t="str">
        <f t="shared" si="20"/>
        <v>(${Variables:E5_1_3_1_kcat} * E5_1_3_1 * C00199)/(${Variables:E5_1_3_1_km} + (E5_1_3_1 * C00199))</v>
      </c>
      <c r="K675" s="36" t="str">
        <f t="shared" si="21"/>
        <v>r674: C00199 -&gt; C00231 | (${Variables:E5_1_3_1_kcat} * E5_1_3_1 * C00199)/(${Variables:E5_1_3_1_km} + (E5_1_3_1 * C00199))</v>
      </c>
    </row>
    <row r="676" spans="1:11" ht="43.5" x14ac:dyDescent="0.35">
      <c r="A676" s="1" t="s">
        <v>2486</v>
      </c>
      <c r="B676" s="1" t="s">
        <v>2487</v>
      </c>
      <c r="C676" s="1" t="s">
        <v>10059</v>
      </c>
      <c r="D676" s="1">
        <v>675</v>
      </c>
      <c r="E676" s="1" t="str">
        <f>CONCATENATE("E",Reactions!C676)</f>
        <v>E5_1_3_13</v>
      </c>
      <c r="F676" s="5" t="s">
        <v>8695</v>
      </c>
      <c r="G676" s="5" t="s">
        <v>8695</v>
      </c>
      <c r="H676" s="5" t="s">
        <v>8696</v>
      </c>
      <c r="I676" s="5" t="s">
        <v>8696</v>
      </c>
      <c r="J676" s="12" t="str">
        <f t="shared" si="20"/>
        <v>(${Variables:E5_1_3_13_kcat} * E5_1_3_13 * C11907)/(${Variables:E5_1_3_13_km} + (E5_1_3_13 * C11907))</v>
      </c>
      <c r="K676" s="36" t="str">
        <f t="shared" si="21"/>
        <v>r675: C11907 -&gt; C00688 | (${Variables:E5_1_3_13_kcat} * E5_1_3_13 * C11907)/(${Variables:E5_1_3_13_km} + (E5_1_3_13 * C11907))</v>
      </c>
    </row>
    <row r="677" spans="1:11" ht="43.5" x14ac:dyDescent="0.35">
      <c r="A677" s="1" t="s">
        <v>2930</v>
      </c>
      <c r="B677" s="1" t="s">
        <v>2931</v>
      </c>
      <c r="C677" s="1" t="s">
        <v>10060</v>
      </c>
      <c r="D677" s="1">
        <v>676</v>
      </c>
      <c r="E677" s="1" t="str">
        <f>CONCATENATE("E",Reactions!C677)</f>
        <v>E5_1_3_2</v>
      </c>
      <c r="F677" s="5" t="s">
        <v>8699</v>
      </c>
      <c r="G677" s="5" t="s">
        <v>8699</v>
      </c>
      <c r="H677" s="5" t="s">
        <v>8699</v>
      </c>
      <c r="I677" s="5" t="s">
        <v>8699</v>
      </c>
      <c r="J677" s="12" t="str">
        <f t="shared" si="20"/>
        <v>(${Variables:E5_1_3_2_kcat} * E5_1_3_2 * C00029 )/(${Variables:E5_1_3_2_km} + (E5_1_3_2 * C00029 ))</v>
      </c>
      <c r="K677" s="36" t="str">
        <f t="shared" si="21"/>
        <v>r676: C00029  -&gt; C00029  | (${Variables:E5_1_3_2_kcat} * E5_1_3_2 * C00029 )/(${Variables:E5_1_3_2_km} + (E5_1_3_2 * C00029 ))</v>
      </c>
    </row>
    <row r="678" spans="1:11" ht="43.5" x14ac:dyDescent="0.35">
      <c r="A678" s="1" t="s">
        <v>2930</v>
      </c>
      <c r="B678" s="1" t="s">
        <v>2931</v>
      </c>
      <c r="C678" s="1" t="s">
        <v>10060</v>
      </c>
      <c r="D678" s="1">
        <v>677</v>
      </c>
      <c r="E678" s="1" t="str">
        <f>CONCATENATE("E",Reactions!C678)</f>
        <v>E5_1_3_2</v>
      </c>
      <c r="F678" s="5" t="s">
        <v>8701</v>
      </c>
      <c r="G678" s="5" t="s">
        <v>8701</v>
      </c>
      <c r="H678" s="5" t="s">
        <v>8702</v>
      </c>
      <c r="I678" s="5" t="s">
        <v>8702</v>
      </c>
      <c r="J678" s="12" t="str">
        <f t="shared" si="20"/>
        <v>(${Variables:E5_1_3_2_kcat} * E5_1_3_2 * C00043)/(${Variables:E5_1_3_2_km} + (E5_1_3_2 * C00043))</v>
      </c>
      <c r="K678" s="36" t="str">
        <f t="shared" si="21"/>
        <v>r677: C00043 -&gt; C00203 | (${Variables:E5_1_3_2_kcat} * E5_1_3_2 * C00043)/(${Variables:E5_1_3_2_km} + (E5_1_3_2 * C00043))</v>
      </c>
    </row>
    <row r="679" spans="1:11" ht="43.5" x14ac:dyDescent="0.35">
      <c r="A679" s="1" t="s">
        <v>2930</v>
      </c>
      <c r="B679" s="1" t="s">
        <v>2931</v>
      </c>
      <c r="C679" s="1" t="s">
        <v>10060</v>
      </c>
      <c r="D679" s="1">
        <v>678</v>
      </c>
      <c r="E679" s="1" t="str">
        <f>CONCATENATE("E",Reactions!C679)</f>
        <v>E5_1_3_2</v>
      </c>
      <c r="F679" s="5" t="s">
        <v>8597</v>
      </c>
      <c r="G679" s="5" t="s">
        <v>8597</v>
      </c>
      <c r="H679" s="5" t="s">
        <v>8704</v>
      </c>
      <c r="I679" s="5" t="s">
        <v>8704</v>
      </c>
      <c r="J679" s="12" t="str">
        <f t="shared" si="20"/>
        <v>(${Variables:E5_1_3_2_kcat} * E5_1_3_2 * C00842)/(${Variables:E5_1_3_2_km} + (E5_1_3_2 * C00842))</v>
      </c>
      <c r="K679" s="36" t="str">
        <f t="shared" si="21"/>
        <v>r678: C00842 -&gt; C02097 | (${Variables:E5_1_3_2_kcat} * E5_1_3_2 * C00842)/(${Variables:E5_1_3_2_km} + (E5_1_3_2 * C00842))</v>
      </c>
    </row>
    <row r="680" spans="1:11" ht="43.5" x14ac:dyDescent="0.35">
      <c r="A680" s="1" t="s">
        <v>4211</v>
      </c>
      <c r="B680" s="1" t="s">
        <v>4212</v>
      </c>
      <c r="C680" s="1" t="s">
        <v>10061</v>
      </c>
      <c r="D680" s="1">
        <v>679</v>
      </c>
      <c r="E680" s="1" t="str">
        <f>CONCATENATE("E",Reactions!C680)</f>
        <v>E5_1_3_3</v>
      </c>
      <c r="F680" s="5" t="s">
        <v>8707</v>
      </c>
      <c r="G680" s="5" t="s">
        <v>8707</v>
      </c>
      <c r="H680" s="5" t="s">
        <v>8708</v>
      </c>
      <c r="I680" s="5" t="s">
        <v>8708</v>
      </c>
      <c r="J680" s="12" t="str">
        <f t="shared" si="20"/>
        <v>(${Variables:E5_1_3_3_kcat} * E5_1_3_3 * C00267 )/(${Variables:E5_1_3_3_km} + (E5_1_3_3 * C00267 ))</v>
      </c>
      <c r="K680" s="36" t="str">
        <f t="shared" si="21"/>
        <v>r679: C00267  -&gt; C00221 | (${Variables:E5_1_3_3_kcat} * E5_1_3_3 * C00267 )/(${Variables:E5_1_3_3_km} + (E5_1_3_3 * C00267 ))</v>
      </c>
    </row>
    <row r="681" spans="1:11" ht="43.5" x14ac:dyDescent="0.35">
      <c r="A681" s="1" t="s">
        <v>4211</v>
      </c>
      <c r="B681" s="1" t="s">
        <v>4212</v>
      </c>
      <c r="C681" s="1" t="s">
        <v>10061</v>
      </c>
      <c r="D681" s="1">
        <v>680</v>
      </c>
      <c r="E681" s="1" t="str">
        <f>CONCATENATE("E",Reactions!C681)</f>
        <v>E5_1_3_3</v>
      </c>
      <c r="F681" s="5" t="s">
        <v>8710</v>
      </c>
      <c r="G681" s="5" t="s">
        <v>8710</v>
      </c>
      <c r="H681" s="5" t="s">
        <v>8711</v>
      </c>
      <c r="I681" s="5" t="s">
        <v>8711</v>
      </c>
      <c r="J681" s="12" t="str">
        <f t="shared" si="20"/>
        <v>(${Variables:E5_1_3_3_kcat} * E5_1_3_3 * C00124)/(${Variables:E5_1_3_3_km} + (E5_1_3_3 * C00124))</v>
      </c>
      <c r="K681" s="36" t="str">
        <f t="shared" si="21"/>
        <v>r680: C00124 -&gt; C00984 | (${Variables:E5_1_3_3_kcat} * E5_1_3_3 * C00124)/(${Variables:E5_1_3_3_km} + (E5_1_3_3 * C00124))</v>
      </c>
    </row>
    <row r="682" spans="1:11" ht="43.5" x14ac:dyDescent="0.35">
      <c r="A682" s="1" t="s">
        <v>1509</v>
      </c>
      <c r="B682" s="1" t="s">
        <v>1510</v>
      </c>
      <c r="C682" s="1" t="s">
        <v>10062</v>
      </c>
      <c r="D682" s="1">
        <v>681</v>
      </c>
      <c r="E682" s="1" t="str">
        <f>CONCATENATE("E",Reactions!C682)</f>
        <v>E5_2_1_8</v>
      </c>
      <c r="F682" s="5" t="s">
        <v>8714</v>
      </c>
      <c r="G682" s="5" t="s">
        <v>8714</v>
      </c>
      <c r="H682" s="5" t="s">
        <v>8715</v>
      </c>
      <c r="I682" s="5" t="s">
        <v>8715</v>
      </c>
      <c r="J682" s="12" t="str">
        <f t="shared" si="20"/>
        <v>(${Variables:E5_2_1_8_kcat} * E5_2_1_8 * C03798)/(${Variables:E5_2_1_8_km} + (E5_2_1_8 * C03798))</v>
      </c>
      <c r="K682" s="36" t="str">
        <f t="shared" si="21"/>
        <v>r681: C03798 -&gt; C03633 | (${Variables:E5_2_1_8_kcat} * E5_2_1_8 * C03798)/(${Variables:E5_2_1_8_km} + (E5_2_1_8 * C03798))</v>
      </c>
    </row>
    <row r="683" spans="1:11" ht="43.5" x14ac:dyDescent="0.35">
      <c r="A683" s="1" t="s">
        <v>1435</v>
      </c>
      <c r="B683" s="1" t="s">
        <v>1436</v>
      </c>
      <c r="C683" s="1" t="s">
        <v>10063</v>
      </c>
      <c r="D683" s="1">
        <v>682</v>
      </c>
      <c r="E683" s="1" t="str">
        <f>CONCATENATE("E",Reactions!C683)</f>
        <v>E5_3_1_1</v>
      </c>
      <c r="F683" s="5" t="s">
        <v>8718</v>
      </c>
      <c r="G683" s="5" t="s">
        <v>8718</v>
      </c>
      <c r="H683" s="5" t="s">
        <v>8719</v>
      </c>
      <c r="I683" s="5" t="s">
        <v>8719</v>
      </c>
      <c r="J683" s="12" t="str">
        <f t="shared" si="20"/>
        <v>(${Variables:E5_3_1_1_kcat} * E5_3_1_1 * C00118)/(${Variables:E5_3_1_1_km} + (E5_3_1_1 * C00118))</v>
      </c>
      <c r="K683" s="36" t="str">
        <f t="shared" si="21"/>
        <v>r682: C00118 -&gt; C00111 | (${Variables:E5_3_1_1_kcat} * E5_3_1_1 * C00118)/(${Variables:E5_3_1_1_km} + (E5_3_1_1 * C00118))</v>
      </c>
    </row>
    <row r="684" spans="1:11" ht="43.5" x14ac:dyDescent="0.35">
      <c r="A684" s="1" t="s">
        <v>2545</v>
      </c>
      <c r="B684" s="1" t="s">
        <v>2546</v>
      </c>
      <c r="C684" s="1" t="s">
        <v>10064</v>
      </c>
      <c r="D684" s="1">
        <v>683</v>
      </c>
      <c r="E684" s="1" t="str">
        <f>CONCATENATE("E",Reactions!C684)</f>
        <v>E5_3_1_16</v>
      </c>
      <c r="F684" s="5" t="s">
        <v>8345</v>
      </c>
      <c r="G684" s="5" t="s">
        <v>8345</v>
      </c>
      <c r="H684" s="5" t="s">
        <v>8722</v>
      </c>
      <c r="I684" s="5" t="s">
        <v>8722</v>
      </c>
      <c r="J684" s="12" t="str">
        <f t="shared" si="20"/>
        <v>(${Variables:E5_3_1_16_kcat} * E5_3_1_16 * C04896)/(${Variables:E5_3_1_16_km} + (E5_3_1_16 * C04896))</v>
      </c>
      <c r="K684" s="36" t="str">
        <f t="shared" si="21"/>
        <v>r683: C04896 -&gt; C04916 | (${Variables:E5_3_1_16_kcat} * E5_3_1_16 * C04896)/(${Variables:E5_3_1_16_km} + (E5_3_1_16 * C04896))</v>
      </c>
    </row>
    <row r="685" spans="1:11" ht="43.5" x14ac:dyDescent="0.35">
      <c r="A685" s="1" t="s">
        <v>4948</v>
      </c>
      <c r="B685" s="1" t="s">
        <v>4949</v>
      </c>
      <c r="C685" s="1" t="s">
        <v>10065</v>
      </c>
      <c r="D685" s="1">
        <v>684</v>
      </c>
      <c r="E685" s="1" t="str">
        <f>CONCATENATE("E",Reactions!C685)</f>
        <v>E5_3_1_24</v>
      </c>
      <c r="F685" s="5" t="s">
        <v>8725</v>
      </c>
      <c r="G685" s="5" t="s">
        <v>8725</v>
      </c>
      <c r="H685" s="5" t="s">
        <v>8451</v>
      </c>
      <c r="I685" s="5" t="s">
        <v>8451</v>
      </c>
      <c r="J685" s="12" t="str">
        <f t="shared" si="20"/>
        <v>(${Variables:E5_3_1_24_kcat} * E5_3_1_24 * C04302)/(${Variables:E5_3_1_24_km} + (E5_3_1_24 * C04302))</v>
      </c>
      <c r="K685" s="36" t="str">
        <f t="shared" si="21"/>
        <v>r684: C04302 -&gt; C01302 | (${Variables:E5_3_1_24_kcat} * E5_3_1_24 * C04302)/(${Variables:E5_3_1_24_km} + (E5_3_1_24 * C04302))</v>
      </c>
    </row>
    <row r="686" spans="1:11" ht="43.5" x14ac:dyDescent="0.35">
      <c r="A686" s="1" t="s">
        <v>3069</v>
      </c>
      <c r="B686" s="1" t="s">
        <v>3070</v>
      </c>
      <c r="C686" s="1" t="s">
        <v>10066</v>
      </c>
      <c r="D686" s="1">
        <v>685</v>
      </c>
      <c r="E686" s="1" t="str">
        <f>CONCATENATE("E",Reactions!C686)</f>
        <v>E5_3_1_6</v>
      </c>
      <c r="F686" s="5" t="s">
        <v>8728</v>
      </c>
      <c r="G686" s="5" t="s">
        <v>8728</v>
      </c>
      <c r="H686" s="5" t="s">
        <v>8691</v>
      </c>
      <c r="I686" s="5" t="s">
        <v>8691</v>
      </c>
      <c r="J686" s="12" t="str">
        <f t="shared" si="20"/>
        <v>(${Variables:E5_3_1_6_kcat} * E5_3_1_6 * C00117 )/(${Variables:E5_3_1_6_km} + (E5_3_1_6 * C00117 ))</v>
      </c>
      <c r="K686" s="36" t="str">
        <f t="shared" si="21"/>
        <v>r685: C00117  -&gt; C00199 | (${Variables:E5_3_1_6_kcat} * E5_3_1_6 * C00117 )/(${Variables:E5_3_1_6_km} + (E5_3_1_6 * C00117 ))</v>
      </c>
    </row>
    <row r="687" spans="1:11" ht="43.5" x14ac:dyDescent="0.35">
      <c r="A687" s="1" t="s">
        <v>3069</v>
      </c>
      <c r="B687" s="1" t="s">
        <v>3070</v>
      </c>
      <c r="C687" s="1" t="s">
        <v>10066</v>
      </c>
      <c r="D687" s="1">
        <v>686</v>
      </c>
      <c r="E687" s="1" t="str">
        <f>CONCATENATE("E",Reactions!C687)</f>
        <v>E5_3_1_6</v>
      </c>
      <c r="F687" s="5" t="s">
        <v>8730</v>
      </c>
      <c r="G687" s="5" t="s">
        <v>8730</v>
      </c>
      <c r="H687" s="5" t="s">
        <v>8731</v>
      </c>
      <c r="I687" s="5" t="s">
        <v>8731</v>
      </c>
      <c r="J687" s="12" t="str">
        <f t="shared" si="20"/>
        <v>(${Variables:E5_3_1_6_kcat} * E5_3_1_6 * C02962)/(${Variables:E5_3_1_6_km} + (E5_3_1_6 * C02962))</v>
      </c>
      <c r="K687" s="36" t="str">
        <f t="shared" si="21"/>
        <v>r686: C02962 -&gt; C18096 | (${Variables:E5_3_1_6_kcat} * E5_3_1_6 * C02962)/(${Variables:E5_3_1_6_km} + (E5_3_1_6 * C02962))</v>
      </c>
    </row>
    <row r="688" spans="1:11" ht="43.5" x14ac:dyDescent="0.35">
      <c r="A688" s="1" t="s">
        <v>4111</v>
      </c>
      <c r="B688" s="1" t="s">
        <v>4112</v>
      </c>
      <c r="C688" s="1" t="s">
        <v>10067</v>
      </c>
      <c r="D688" s="1">
        <v>687</v>
      </c>
      <c r="E688" s="1" t="str">
        <f>CONCATENATE("E",Reactions!C688)</f>
        <v>E5_3_1_8</v>
      </c>
      <c r="F688" s="5" t="s">
        <v>8734</v>
      </c>
      <c r="G688" s="5" t="s">
        <v>8734</v>
      </c>
      <c r="H688" s="5" t="s">
        <v>8735</v>
      </c>
      <c r="I688" s="5" t="s">
        <v>8735</v>
      </c>
      <c r="J688" s="12" t="str">
        <f t="shared" si="20"/>
        <v>(${Variables:E5_3_1_8_kcat} * E5_3_1_8 * C00275)/(${Variables:E5_3_1_8_km} + (E5_3_1_8 * C00275))</v>
      </c>
      <c r="K688" s="36" t="str">
        <f t="shared" si="21"/>
        <v>r687: C00275 -&gt; C00085 | (${Variables:E5_3_1_8_kcat} * E5_3_1_8 * C00275)/(${Variables:E5_3_1_8_km} + (E5_3_1_8 * C00275))</v>
      </c>
    </row>
    <row r="689" spans="1:11" ht="43.5" x14ac:dyDescent="0.35">
      <c r="A689" s="1" t="s">
        <v>4111</v>
      </c>
      <c r="B689" s="1" t="s">
        <v>4112</v>
      </c>
      <c r="C689" s="1" t="s">
        <v>10067</v>
      </c>
      <c r="D689" s="1">
        <v>688</v>
      </c>
      <c r="E689" s="1" t="str">
        <f>CONCATENATE("E",Reactions!C689)</f>
        <v>E5_3_1_8</v>
      </c>
      <c r="F689" s="5" t="s">
        <v>8737</v>
      </c>
      <c r="G689" s="5" t="s">
        <v>8737</v>
      </c>
      <c r="H689" s="5" t="s">
        <v>8738</v>
      </c>
      <c r="I689" s="5" t="s">
        <v>8738</v>
      </c>
      <c r="J689" s="12" t="str">
        <f t="shared" si="20"/>
        <v>(${Variables:E5_3_1_8_kcat} * E5_3_1_8 * C00275 )/(${Variables:E5_3_1_8_km} + (E5_3_1_8 * C00275 ))</v>
      </c>
      <c r="K689" s="36" t="str">
        <f t="shared" si="21"/>
        <v>r688: C00275  -&gt; C05345 | (${Variables:E5_3_1_8_kcat} * E5_3_1_8 * C00275 )/(${Variables:E5_3_1_8_km} + (E5_3_1_8 * C00275 ))</v>
      </c>
    </row>
    <row r="690" spans="1:11" ht="43.5" x14ac:dyDescent="0.35">
      <c r="A690" s="1" t="s">
        <v>601</v>
      </c>
      <c r="B690" s="1" t="s">
        <v>602</v>
      </c>
      <c r="C690" s="1" t="s">
        <v>10068</v>
      </c>
      <c r="D690" s="1">
        <v>689</v>
      </c>
      <c r="E690" s="1" t="str">
        <f>CONCATENATE("E",Reactions!C690)</f>
        <v>E5_3_1_9</v>
      </c>
      <c r="F690" s="5" t="s">
        <v>8741</v>
      </c>
      <c r="G690" s="5" t="s">
        <v>8741</v>
      </c>
      <c r="H690" s="5" t="s">
        <v>8738</v>
      </c>
      <c r="I690" s="5" t="s">
        <v>8738</v>
      </c>
      <c r="J690" s="12" t="str">
        <f t="shared" si="20"/>
        <v>(${Variables:E5_3_1_9_kcat} * E5_3_1_9 * C00668)/(${Variables:E5_3_1_9_km} + (E5_3_1_9 * C00668))</v>
      </c>
      <c r="K690" s="36" t="str">
        <f t="shared" si="21"/>
        <v>r689: C00668 -&gt; C05345 | (${Variables:E5_3_1_9_kcat} * E5_3_1_9 * C00668)/(${Variables:E5_3_1_9_km} + (E5_3_1_9 * C00668))</v>
      </c>
    </row>
    <row r="691" spans="1:11" ht="43.5" x14ac:dyDescent="0.35">
      <c r="A691" s="1" t="s">
        <v>601</v>
      </c>
      <c r="B691" s="1" t="s">
        <v>602</v>
      </c>
      <c r="C691" s="1" t="s">
        <v>10068</v>
      </c>
      <c r="D691" s="1">
        <v>690</v>
      </c>
      <c r="E691" s="1" t="str">
        <f>CONCATENATE("E",Reactions!C691)</f>
        <v>E5_3_1_9</v>
      </c>
      <c r="F691" s="5" t="s">
        <v>8743</v>
      </c>
      <c r="G691" s="5" t="s">
        <v>8743</v>
      </c>
      <c r="H691" s="5" t="s">
        <v>8735</v>
      </c>
      <c r="I691" s="5" t="s">
        <v>8735</v>
      </c>
      <c r="J691" s="12" t="str">
        <f t="shared" si="20"/>
        <v>(${Variables:E5_3_1_9_kcat} * E5_3_1_9 * C00092)/(${Variables:E5_3_1_9_km} + (E5_3_1_9 * C00092))</v>
      </c>
      <c r="K691" s="36" t="str">
        <f t="shared" si="21"/>
        <v>r690: C00092 -&gt; C00085 | (${Variables:E5_3_1_9_kcat} * E5_3_1_9 * C00092)/(${Variables:E5_3_1_9_km} + (E5_3_1_9 * C00092))</v>
      </c>
    </row>
    <row r="692" spans="1:11" ht="43.5" x14ac:dyDescent="0.35">
      <c r="A692" s="1" t="s">
        <v>601</v>
      </c>
      <c r="B692" s="1" t="s">
        <v>602</v>
      </c>
      <c r="C692" s="1" t="s">
        <v>10068</v>
      </c>
      <c r="D692" s="1">
        <v>691</v>
      </c>
      <c r="E692" s="1" t="str">
        <f>CONCATENATE("E",Reactions!C692)</f>
        <v>E5_3_1_9</v>
      </c>
      <c r="F692" s="5" t="s">
        <v>8741</v>
      </c>
      <c r="G692" s="5" t="s">
        <v>8741</v>
      </c>
      <c r="H692" s="5" t="s">
        <v>8745</v>
      </c>
      <c r="I692" s="5" t="s">
        <v>8745</v>
      </c>
      <c r="J692" s="12" t="str">
        <f t="shared" si="20"/>
        <v>(${Variables:E5_3_1_9_kcat} * E5_3_1_9 * C00668)/(${Variables:E5_3_1_9_km} + (E5_3_1_9 * C00668))</v>
      </c>
      <c r="K692" s="36" t="str">
        <f t="shared" si="21"/>
        <v>r691: C00668 -&gt; C01172 | (${Variables:E5_3_1_9_kcat} * E5_3_1_9 * C00668)/(${Variables:E5_3_1_9_km} + (E5_3_1_9 * C00668))</v>
      </c>
    </row>
    <row r="693" spans="1:11" ht="43.5" x14ac:dyDescent="0.35">
      <c r="A693" s="1" t="s">
        <v>601</v>
      </c>
      <c r="B693" s="1" t="s">
        <v>602</v>
      </c>
      <c r="C693" s="1" t="s">
        <v>10068</v>
      </c>
      <c r="D693" s="1">
        <v>692</v>
      </c>
      <c r="E693" s="1" t="str">
        <f>CONCATENATE("E",Reactions!C693)</f>
        <v>E5_3_1_9</v>
      </c>
      <c r="F693" s="5" t="s">
        <v>8745</v>
      </c>
      <c r="G693" s="5" t="s">
        <v>8745</v>
      </c>
      <c r="H693" s="5" t="s">
        <v>8738</v>
      </c>
      <c r="I693" s="5" t="s">
        <v>8738</v>
      </c>
      <c r="J693" s="12" t="str">
        <f t="shared" si="20"/>
        <v>(${Variables:E5_3_1_9_kcat} * E5_3_1_9 * C01172)/(${Variables:E5_3_1_9_km} + (E5_3_1_9 * C01172))</v>
      </c>
      <c r="K693" s="36" t="str">
        <f t="shared" si="21"/>
        <v>r692: C01172 -&gt; C05345 | (${Variables:E5_3_1_9_kcat} * E5_3_1_9 * C01172)/(${Variables:E5_3_1_9_km} + (E5_3_1_9 * C01172))</v>
      </c>
    </row>
    <row r="694" spans="1:11" ht="43.5" x14ac:dyDescent="0.35">
      <c r="A694" s="1" t="s">
        <v>601</v>
      </c>
      <c r="B694" s="1" t="s">
        <v>602</v>
      </c>
      <c r="C694" s="1" t="s">
        <v>10068</v>
      </c>
      <c r="D694" s="1">
        <v>693</v>
      </c>
      <c r="E694" s="1" t="str">
        <f>CONCATENATE("E",Reactions!C694)</f>
        <v>E5_3_1_9</v>
      </c>
      <c r="F694" s="5" t="s">
        <v>8741</v>
      </c>
      <c r="G694" s="5" t="s">
        <v>8741</v>
      </c>
      <c r="H694" s="5" t="s">
        <v>8735</v>
      </c>
      <c r="I694" s="5" t="s">
        <v>8735</v>
      </c>
      <c r="J694" s="12" t="str">
        <f t="shared" si="20"/>
        <v>(${Variables:E5_3_1_9_kcat} * E5_3_1_9 * C00668)/(${Variables:E5_3_1_9_km} + (E5_3_1_9 * C00668))</v>
      </c>
      <c r="K694" s="36" t="str">
        <f t="shared" si="21"/>
        <v>r693: C00668 -&gt; C00085 | (${Variables:E5_3_1_9_kcat} * E5_3_1_9 * C00668)/(${Variables:E5_3_1_9_km} + (E5_3_1_9 * C00668))</v>
      </c>
    </row>
    <row r="695" spans="1:11" ht="43.5" x14ac:dyDescent="0.35">
      <c r="A695" s="1" t="s">
        <v>1716</v>
      </c>
      <c r="B695" s="1" t="s">
        <v>1717</v>
      </c>
      <c r="C695" s="1" t="s">
        <v>10069</v>
      </c>
      <c r="D695" s="1">
        <v>694</v>
      </c>
      <c r="E695" s="1" t="str">
        <f>CONCATENATE("E",Reactions!C695)</f>
        <v>E5_3_3_2</v>
      </c>
      <c r="F695" s="5" t="s">
        <v>8750</v>
      </c>
      <c r="G695" s="5" t="s">
        <v>8750</v>
      </c>
      <c r="H695" s="5" t="s">
        <v>8751</v>
      </c>
      <c r="I695" s="5" t="s">
        <v>8751</v>
      </c>
      <c r="J695" s="12" t="str">
        <f t="shared" si="20"/>
        <v>(${Variables:E5_3_3_2_kcat} * E5_3_3_2 * C00129 )/(${Variables:E5_3_3_2_km} + (E5_3_3_2 * C00129 ))</v>
      </c>
      <c r="K695" s="36" t="str">
        <f t="shared" si="21"/>
        <v>r694: C00129  -&gt; C00235 | (${Variables:E5_3_3_2_kcat} * E5_3_3_2 * C00129 )/(${Variables:E5_3_3_2_km} + (E5_3_3_2 * C00129 ))</v>
      </c>
    </row>
    <row r="696" spans="1:11" ht="43.5" x14ac:dyDescent="0.35">
      <c r="A696" s="1" t="s">
        <v>2461</v>
      </c>
      <c r="B696" s="1" t="s">
        <v>2462</v>
      </c>
      <c r="C696" s="1" t="s">
        <v>10071</v>
      </c>
      <c r="D696" s="1">
        <v>695</v>
      </c>
      <c r="E696" s="1" t="str">
        <f>CONCATENATE("E",Reactions!C696)</f>
        <v>E5_4_2_10</v>
      </c>
      <c r="F696" s="5" t="s">
        <v>8754</v>
      </c>
      <c r="G696" s="5" t="s">
        <v>8754</v>
      </c>
      <c r="H696" s="5" t="s">
        <v>8755</v>
      </c>
      <c r="I696" s="5" t="s">
        <v>8755</v>
      </c>
      <c r="J696" s="12" t="str">
        <f t="shared" si="20"/>
        <v>(${Variables:E5_4_2_10_kcat} * E5_4_2_10 * C06156)/(${Variables:E5_4_2_10_km} + (E5_4_2_10 * C06156))</v>
      </c>
      <c r="K696" s="36" t="str">
        <f t="shared" si="21"/>
        <v>r695: C06156 -&gt; C00352 | (${Variables:E5_4_2_10_kcat} * E5_4_2_10 * C06156)/(${Variables:E5_4_2_10_km} + (E5_4_2_10 * C06156))</v>
      </c>
    </row>
    <row r="697" spans="1:11" ht="43.5" x14ac:dyDescent="0.35">
      <c r="A697" s="1" t="s">
        <v>3769</v>
      </c>
      <c r="B697" s="1" t="s">
        <v>3770</v>
      </c>
      <c r="C697" s="1" t="s">
        <v>10072</v>
      </c>
      <c r="D697" s="1">
        <v>696</v>
      </c>
      <c r="E697" s="1" t="str">
        <f>CONCATENATE("E",Reactions!C697)</f>
        <v>E5_4_2_2</v>
      </c>
      <c r="F697" s="5" t="s">
        <v>8758</v>
      </c>
      <c r="G697" s="5" t="s">
        <v>8758</v>
      </c>
      <c r="H697" s="5" t="s">
        <v>8743</v>
      </c>
      <c r="I697" s="5" t="s">
        <v>8743</v>
      </c>
      <c r="J697" s="12" t="str">
        <f t="shared" si="20"/>
        <v>(${Variables:E5_4_2_2_kcat} * E5_4_2_2 * C00103 )/(${Variables:E5_4_2_2_km} + (E5_4_2_2 * C00103 ))</v>
      </c>
      <c r="K697" s="36" t="str">
        <f t="shared" si="21"/>
        <v>r696: C00103  -&gt; C00092 | (${Variables:E5_4_2_2_kcat} * E5_4_2_2 * C00103 )/(${Variables:E5_4_2_2_km} + (E5_4_2_2 * C00103 ))</v>
      </c>
    </row>
    <row r="698" spans="1:11" ht="43.5" x14ac:dyDescent="0.35">
      <c r="A698" s="1" t="s">
        <v>3769</v>
      </c>
      <c r="B698" s="1" t="s">
        <v>3770</v>
      </c>
      <c r="C698" s="1" t="s">
        <v>10072</v>
      </c>
      <c r="D698" s="1">
        <v>697</v>
      </c>
      <c r="E698" s="1" t="str">
        <f>CONCATENATE("E",Reactions!C698)</f>
        <v>E5_4_2_2</v>
      </c>
      <c r="F698" s="5" t="s">
        <v>8760</v>
      </c>
      <c r="G698" s="5" t="s">
        <v>8760</v>
      </c>
      <c r="H698" s="5" t="s">
        <v>8741</v>
      </c>
      <c r="I698" s="5" t="s">
        <v>8741</v>
      </c>
      <c r="J698" s="12" t="str">
        <f t="shared" si="20"/>
        <v>(${Variables:E5_4_2_2_kcat} * E5_4_2_2 * C00103 )/(${Variables:E5_4_2_2_km} + (E5_4_2_2 * C00103 ))</v>
      </c>
      <c r="K698" s="36" t="str">
        <f t="shared" si="21"/>
        <v>r697: C00103  -&gt; C00668 | (${Variables:E5_4_2_2_kcat} * E5_4_2_2 * C00103 )/(${Variables:E5_4_2_2_km} + (E5_4_2_2 * C00103 ))</v>
      </c>
    </row>
    <row r="699" spans="1:11" ht="43.5" x14ac:dyDescent="0.35">
      <c r="A699" s="1" t="s">
        <v>3769</v>
      </c>
      <c r="B699" s="1" t="s">
        <v>3770</v>
      </c>
      <c r="C699" s="1" t="s">
        <v>10072</v>
      </c>
      <c r="D699" s="1">
        <v>698</v>
      </c>
      <c r="E699" s="1" t="str">
        <f>CONCATENATE("E",Reactions!C699)</f>
        <v>E5_4_2_2</v>
      </c>
      <c r="F699" s="5" t="s">
        <v>8762</v>
      </c>
      <c r="G699" s="5" t="s">
        <v>8762</v>
      </c>
      <c r="H699" s="5" t="s">
        <v>8763</v>
      </c>
      <c r="I699" s="5" t="s">
        <v>8763</v>
      </c>
      <c r="J699" s="12" t="str">
        <f t="shared" si="20"/>
        <v>(${Variables:E5_4_2_2_kcat} * E5_4_2_2 * C00620)/(${Variables:E5_4_2_2_km} + (E5_4_2_2 * C00620))</v>
      </c>
      <c r="K699" s="36" t="str">
        <f t="shared" si="21"/>
        <v>r698: C00620 -&gt; C00117 | (${Variables:E5_4_2_2_kcat} * E5_4_2_2 * C00620)/(${Variables:E5_4_2_2_km} + (E5_4_2_2 * C00620))</v>
      </c>
    </row>
    <row r="700" spans="1:11" ht="43.5" x14ac:dyDescent="0.35">
      <c r="A700" s="1" t="s">
        <v>3769</v>
      </c>
      <c r="B700" s="1" t="s">
        <v>3770</v>
      </c>
      <c r="C700" s="1" t="s">
        <v>10072</v>
      </c>
      <c r="D700" s="1">
        <v>699</v>
      </c>
      <c r="E700" s="1" t="str">
        <f>CONCATENATE("E",Reactions!C700)</f>
        <v>E5_4_2_2</v>
      </c>
      <c r="F700" s="5" t="s">
        <v>8765</v>
      </c>
      <c r="G700" s="5" t="s">
        <v>8765</v>
      </c>
      <c r="H700" s="5" t="s">
        <v>8766</v>
      </c>
      <c r="I700" s="5" t="s">
        <v>8766</v>
      </c>
      <c r="J700" s="12" t="str">
        <f t="shared" si="20"/>
        <v>(${Variables:E5_4_2_2_kcat} * E5_4_2_2 * C01171)/(${Variables:E5_4_2_2_km} + (E5_4_2_2 * C01171))</v>
      </c>
      <c r="K700" s="36" t="str">
        <f t="shared" si="21"/>
        <v>r699: C01171 -&gt; C03735 | (${Variables:E5_4_2_2_kcat} * E5_4_2_2 * C01171)/(${Variables:E5_4_2_2_km} + (E5_4_2_2 * C01171))</v>
      </c>
    </row>
    <row r="701" spans="1:11" ht="43.5" x14ac:dyDescent="0.35">
      <c r="A701" s="1" t="s">
        <v>3073</v>
      </c>
      <c r="B701" s="1" t="s">
        <v>3074</v>
      </c>
      <c r="C701" s="1" t="s">
        <v>10073</v>
      </c>
      <c r="D701" s="1">
        <v>700</v>
      </c>
      <c r="E701" s="1" t="str">
        <f>CONCATENATE("E",Reactions!C701)</f>
        <v>E5_4_2_7</v>
      </c>
      <c r="F701" s="5" t="s">
        <v>8762</v>
      </c>
      <c r="G701" s="5" t="s">
        <v>8762</v>
      </c>
      <c r="H701" s="5" t="s">
        <v>8763</v>
      </c>
      <c r="I701" s="5" t="s">
        <v>8763</v>
      </c>
      <c r="J701" s="12" t="str">
        <f t="shared" si="20"/>
        <v>(${Variables:E5_4_2_7_kcat} * E5_4_2_7 * C00620)/(${Variables:E5_4_2_7_km} + (E5_4_2_7 * C00620))</v>
      </c>
      <c r="K701" s="36" t="str">
        <f t="shared" si="21"/>
        <v>r700: C00620 -&gt; C00117 | (${Variables:E5_4_2_7_kcat} * E5_4_2_7 * C00620)/(${Variables:E5_4_2_7_km} + (E5_4_2_7 * C00620))</v>
      </c>
    </row>
    <row r="702" spans="1:11" ht="43.5" x14ac:dyDescent="0.35">
      <c r="A702" s="1" t="s">
        <v>3073</v>
      </c>
      <c r="B702" s="1" t="s">
        <v>3074</v>
      </c>
      <c r="C702" s="1" t="s">
        <v>10073</v>
      </c>
      <c r="D702" s="1">
        <v>701</v>
      </c>
      <c r="E702" s="1" t="str">
        <f>CONCATENATE("E",Reactions!C702)</f>
        <v>E5_4_2_7</v>
      </c>
      <c r="F702" s="5" t="s">
        <v>8769</v>
      </c>
      <c r="G702" s="5" t="s">
        <v>8769</v>
      </c>
      <c r="H702" s="5" t="s">
        <v>8474</v>
      </c>
      <c r="I702" s="5" t="s">
        <v>8474</v>
      </c>
      <c r="J702" s="12" t="str">
        <f t="shared" si="20"/>
        <v>(${Variables:E5_4_2_7_kcat} * E5_4_2_7 * C00672)/(${Variables:E5_4_2_7_km} + (E5_4_2_7 * C00672))</v>
      </c>
      <c r="K702" s="36" t="str">
        <f t="shared" si="21"/>
        <v>r701: C00672 -&gt; C00673 | (${Variables:E5_4_2_7_kcat} * E5_4_2_7 * C00672)/(${Variables:E5_4_2_7_km} + (E5_4_2_7 * C00672))</v>
      </c>
    </row>
    <row r="703" spans="1:11" ht="43.5" x14ac:dyDescent="0.35">
      <c r="A703" s="1" t="s">
        <v>436</v>
      </c>
      <c r="B703" s="1" t="s">
        <v>437</v>
      </c>
      <c r="C703" s="1" t="s">
        <v>10074</v>
      </c>
      <c r="D703" s="1">
        <v>702</v>
      </c>
      <c r="E703" s="1" t="str">
        <f>CONCATENATE("E",Reactions!C703)</f>
        <v>E5_4_99_12</v>
      </c>
      <c r="F703" s="5" t="s">
        <v>8772</v>
      </c>
      <c r="G703" s="5" t="s">
        <v>8772</v>
      </c>
      <c r="H703" s="5" t="s">
        <v>8773</v>
      </c>
      <c r="I703" s="5" t="s">
        <v>8773</v>
      </c>
      <c r="J703" s="12" t="str">
        <f t="shared" si="20"/>
        <v>(${Variables:E5_4_99_12_kcat} * E5_4_99_12 * C00868)/(${Variables:E5_4_99_12_km} + (E5_4_99_12 * C00868))</v>
      </c>
      <c r="K703" s="36" t="str">
        <f t="shared" si="21"/>
        <v>r702: C00868 -&gt; C02764 | (${Variables:E5_4_99_12_kcat} * E5_4_99_12 * C00868)/(${Variables:E5_4_99_12_km} + (E5_4_99_12 * C00868))</v>
      </c>
    </row>
    <row r="704" spans="1:11" ht="43.5" x14ac:dyDescent="0.35">
      <c r="A704" s="1" t="s">
        <v>2731</v>
      </c>
      <c r="B704" s="1" t="s">
        <v>2732</v>
      </c>
      <c r="C704" s="1" t="s">
        <v>10075</v>
      </c>
      <c r="D704" s="1">
        <v>703</v>
      </c>
      <c r="E704" s="1" t="str">
        <f>CONCATENATE("E",Reactions!C704)</f>
        <v>E5_4_99_5</v>
      </c>
      <c r="F704" s="5" t="s">
        <v>8776</v>
      </c>
      <c r="G704" s="5" t="s">
        <v>8776</v>
      </c>
      <c r="H704" s="5" t="s">
        <v>8777</v>
      </c>
      <c r="I704" s="5" t="s">
        <v>8777</v>
      </c>
      <c r="J704" s="12" t="str">
        <f t="shared" si="20"/>
        <v>(${Variables:E5_4_99_5_kcat} * E5_4_99_5 * C00251)/(${Variables:E5_4_99_5_km} + (E5_4_99_5 * C00251))</v>
      </c>
      <c r="K704" s="36" t="str">
        <f t="shared" si="21"/>
        <v>r703: C00251 -&gt; C00254 | (${Variables:E5_4_99_5_kcat} * E5_4_99_5 * C00251)/(${Variables:E5_4_99_5_km} + (E5_4_99_5 * C00251))</v>
      </c>
    </row>
    <row r="705" spans="1:11" ht="43.5" x14ac:dyDescent="0.35">
      <c r="A705" s="1" t="s">
        <v>3145</v>
      </c>
      <c r="B705" s="1" t="s">
        <v>3146</v>
      </c>
      <c r="C705" s="1" t="s">
        <v>10076</v>
      </c>
      <c r="D705" s="1">
        <v>704</v>
      </c>
      <c r="E705" s="1" t="str">
        <f>CONCATENATE("E",Reactions!C705)</f>
        <v>E5_4_99_9</v>
      </c>
      <c r="F705" s="5" t="s">
        <v>8780</v>
      </c>
      <c r="G705" s="5" t="s">
        <v>8780</v>
      </c>
      <c r="H705" s="5" t="s">
        <v>8781</v>
      </c>
      <c r="I705" s="5" t="s">
        <v>8781</v>
      </c>
      <c r="J705" s="12" t="str">
        <f t="shared" si="20"/>
        <v>(${Variables:E5_4_99_9_kcat} * E5_4_99_9 * C00052 )/(${Variables:E5_4_99_9_km} + (E5_4_99_9 * C00052 ))</v>
      </c>
      <c r="K705" s="36" t="str">
        <f t="shared" si="21"/>
        <v>r704: C00052  -&gt; C03733 | (${Variables:E5_4_99_9_kcat} * E5_4_99_9 * C00052 )/(${Variables:E5_4_99_9_km} + (E5_4_99_9 * C00052 ))</v>
      </c>
    </row>
    <row r="706" spans="1:11" ht="43.5" x14ac:dyDescent="0.35">
      <c r="A706" s="1" t="s">
        <v>3145</v>
      </c>
      <c r="B706" s="1" t="s">
        <v>3146</v>
      </c>
      <c r="C706" s="1" t="s">
        <v>10076</v>
      </c>
      <c r="D706" s="1">
        <v>705</v>
      </c>
      <c r="E706" s="1" t="str">
        <f>CONCATENATE("E",Reactions!C706)</f>
        <v>E5_4_99_9</v>
      </c>
      <c r="F706" s="5" t="s">
        <v>8783</v>
      </c>
      <c r="G706" s="5" t="s">
        <v>8783</v>
      </c>
      <c r="H706" s="5" t="s">
        <v>8784</v>
      </c>
      <c r="I706" s="5" t="s">
        <v>8784</v>
      </c>
      <c r="J706" s="12" t="str">
        <f t="shared" si="20"/>
        <v>(${Variables:E5_4_99_9_kcat} * E5_4_99_9 * C00935 )/(${Variables:E5_4_99_9_km} + (E5_4_99_9 * C00935 ))</v>
      </c>
      <c r="K706" s="36" t="str">
        <f t="shared" si="21"/>
        <v>r705: C00935  -&gt; C18094 | (${Variables:E5_4_99_9_kcat} * E5_4_99_9 * C00935 )/(${Variables:E5_4_99_9_km} + (E5_4_99_9 * C00935 ))</v>
      </c>
    </row>
    <row r="707" spans="1:11" ht="72.5" x14ac:dyDescent="0.35">
      <c r="A707" s="1" t="s">
        <v>5805</v>
      </c>
      <c r="B707" s="1" t="s">
        <v>5806</v>
      </c>
      <c r="C707" s="1" t="s">
        <v>10079</v>
      </c>
      <c r="D707" s="1">
        <v>706</v>
      </c>
      <c r="E707" s="1" t="str">
        <f>CONCATENATE("E",Reactions!C707)</f>
        <v>E6_1_1_1</v>
      </c>
      <c r="F707" s="5" t="s">
        <v>11600</v>
      </c>
      <c r="G707" s="5" t="s">
        <v>12306</v>
      </c>
      <c r="H707" s="5" t="s">
        <v>11601</v>
      </c>
      <c r="I707" s="5" t="s">
        <v>12939</v>
      </c>
      <c r="J707" s="12" t="str">
        <f t="shared" ref="J707:J770" si="22">CONCATENATE("(${Variables:",E707,"_kcat","} * ",E707," * ",G707,")","/(${Variables:",E707,"_km","} + (",E707," * ",G707,"))")</f>
        <v>(${Variables:E6_1_1_1_kcat} * E6_1_1_1 * C00002*C00082*C00787)/(${Variables:E6_1_1_1_km} + (E6_1_1_1 * C00002*C00082*C00787))</v>
      </c>
      <c r="K707" s="36" t="str">
        <f t="shared" ref="K707:K770" si="23">CONCATENATE("r",D707,": ",F707," -&gt; ",H707," | ",J707)</f>
        <v>r706: C00002+C00082+C00787 -&gt; C00020+C00013+C02839 | (${Variables:E6_1_1_1_kcat} * E6_1_1_1 * C00002*C00082*C00787)/(${Variables:E6_1_1_1_km} + (E6_1_1_1 * C00002*C00082*C00787))</v>
      </c>
    </row>
    <row r="708" spans="1:11" ht="72.5" x14ac:dyDescent="0.35">
      <c r="A708" s="1" t="s">
        <v>1296</v>
      </c>
      <c r="B708" s="1" t="s">
        <v>1297</v>
      </c>
      <c r="C708" s="1" t="s">
        <v>10080</v>
      </c>
      <c r="D708" s="1">
        <v>707</v>
      </c>
      <c r="E708" s="1" t="str">
        <f>CONCATENATE("E",Reactions!C708)</f>
        <v>E6_1_1_10</v>
      </c>
      <c r="F708" s="5" t="s">
        <v>11602</v>
      </c>
      <c r="G708" s="5" t="s">
        <v>12307</v>
      </c>
      <c r="H708" s="5" t="s">
        <v>11603</v>
      </c>
      <c r="I708" s="5" t="s">
        <v>12940</v>
      </c>
      <c r="J708" s="12" t="str">
        <f t="shared" si="22"/>
        <v>(${Variables:E6_1_1_10_kcat} * E6_1_1_10 * C00002*C00073*C01647 )/(${Variables:E6_1_1_10_km} + (E6_1_1_10 * C00002*C00073*C01647 ))</v>
      </c>
      <c r="K708" s="36" t="str">
        <f t="shared" si="23"/>
        <v>r707: C00002+C00073+C01647  -&gt; C00020+C00013+C02430 | (${Variables:E6_1_1_10_kcat} * E6_1_1_10 * C00002*C00073*C01647 )/(${Variables:E6_1_1_10_km} + (E6_1_1_10 * C00002*C00073*C01647 ))</v>
      </c>
    </row>
    <row r="709" spans="1:11" ht="72.5" x14ac:dyDescent="0.35">
      <c r="A709" s="1" t="s">
        <v>1296</v>
      </c>
      <c r="B709" s="1" t="s">
        <v>1297</v>
      </c>
      <c r="C709" s="1" t="s">
        <v>10080</v>
      </c>
      <c r="D709" s="1">
        <v>708</v>
      </c>
      <c r="E709" s="1" t="str">
        <f>CONCATENATE("E",Reactions!C709)</f>
        <v>E6_1_1_10</v>
      </c>
      <c r="F709" s="5" t="s">
        <v>11604</v>
      </c>
      <c r="G709" s="5" t="s">
        <v>12308</v>
      </c>
      <c r="H709" s="5" t="s">
        <v>11605</v>
      </c>
      <c r="I709" s="5" t="s">
        <v>12941</v>
      </c>
      <c r="J709" s="12" t="str">
        <f t="shared" si="22"/>
        <v>(${Variables:E6_1_1_10_kcat} * E6_1_1_10 * C00002*C05335*C01647)/(${Variables:E6_1_1_10_km} + (E6_1_1_10 * C00002*C05335*C01647))</v>
      </c>
      <c r="K709" s="36" t="str">
        <f t="shared" si="23"/>
        <v>r708: C00002+C05335+C01647 -&gt; C00020+C00013+C05336 | (${Variables:E6_1_1_10_kcat} * E6_1_1_10 * C00002*C05335*C01647)/(${Variables:E6_1_1_10_km} + (E6_1_1_10 * C00002*C05335*C01647))</v>
      </c>
    </row>
    <row r="710" spans="1:11" ht="72.5" x14ac:dyDescent="0.35">
      <c r="A710" s="1" t="s">
        <v>6347</v>
      </c>
      <c r="B710" s="1" t="s">
        <v>963</v>
      </c>
      <c r="C710" s="1" t="s">
        <v>10081</v>
      </c>
      <c r="D710" s="1">
        <v>709</v>
      </c>
      <c r="E710" s="1" t="str">
        <f>CONCATENATE("E",Reactions!C710)</f>
        <v>E6_1_1_11</v>
      </c>
      <c r="F710" s="5" t="s">
        <v>11606</v>
      </c>
      <c r="G710" s="5" t="s">
        <v>12309</v>
      </c>
      <c r="H710" s="5" t="s">
        <v>11607</v>
      </c>
      <c r="I710" s="5" t="s">
        <v>12942</v>
      </c>
      <c r="J710" s="12" t="str">
        <f t="shared" si="22"/>
        <v>(${Variables:E6_1_1_11_kcat} * E6_1_1_11 * C00002*C00065*C01650)/(${Variables:E6_1_1_11_km} + (E6_1_1_11 * C00002*C00065*C01650))</v>
      </c>
      <c r="K710" s="36" t="str">
        <f t="shared" si="23"/>
        <v>r709: C00002+C00065+C01650 -&gt; C00020+C00013+C02553 | (${Variables:E6_1_1_11_kcat} * E6_1_1_11 * C00002*C00065*C01650)/(${Variables:E6_1_1_11_km} + (E6_1_1_11 * C00002*C00065*C01650))</v>
      </c>
    </row>
    <row r="711" spans="1:11" ht="72.5" x14ac:dyDescent="0.35">
      <c r="A711" s="1" t="s">
        <v>6347</v>
      </c>
      <c r="B711" s="1" t="s">
        <v>963</v>
      </c>
      <c r="C711" s="1" t="s">
        <v>10081</v>
      </c>
      <c r="D711" s="1">
        <v>710</v>
      </c>
      <c r="E711" s="1" t="str">
        <f>CONCATENATE("E",Reactions!C711)</f>
        <v>E6_1_1_11</v>
      </c>
      <c r="F711" s="5" t="s">
        <v>11608</v>
      </c>
      <c r="G711" s="5" t="s">
        <v>12310</v>
      </c>
      <c r="H711" s="5" t="s">
        <v>11609</v>
      </c>
      <c r="I711" s="5" t="s">
        <v>12943</v>
      </c>
      <c r="J711" s="12" t="str">
        <f t="shared" si="22"/>
        <v>(${Variables:E6_1_1_11_kcat} * E6_1_1_11 * C00002*C00065*C16636 )/(${Variables:E6_1_1_11_km} + (E6_1_1_11 * C00002*C00065*C16636 ))</v>
      </c>
      <c r="K711" s="36" t="str">
        <f t="shared" si="23"/>
        <v>r710: C00002+C00065+C16636  -&gt; C00020+C00013+C06481 | (${Variables:E6_1_1_11_kcat} * E6_1_1_11 * C00002*C00065*C16636 )/(${Variables:E6_1_1_11_km} + (E6_1_1_11 * C00002*C00065*C16636 ))</v>
      </c>
    </row>
    <row r="712" spans="1:11" ht="72.5" x14ac:dyDescent="0.35">
      <c r="A712" s="1" t="s">
        <v>6066</v>
      </c>
      <c r="B712" s="1" t="s">
        <v>6067</v>
      </c>
      <c r="C712" s="1" t="s">
        <v>10082</v>
      </c>
      <c r="D712" s="1">
        <v>711</v>
      </c>
      <c r="E712" s="1" t="str">
        <f>CONCATENATE("E",Reactions!C712)</f>
        <v>E6_1_1_12</v>
      </c>
      <c r="F712" s="5" t="s">
        <v>11610</v>
      </c>
      <c r="G712" s="5" t="s">
        <v>12311</v>
      </c>
      <c r="H712" s="5" t="s">
        <v>11611</v>
      </c>
      <c r="I712" s="5" t="s">
        <v>12944</v>
      </c>
      <c r="J712" s="12" t="str">
        <f t="shared" si="22"/>
        <v>(${Variables:E6_1_1_12_kcat} * E6_1_1_12 * C01638*C00049*C00002 )/(${Variables:E6_1_1_12_km} + (E6_1_1_12 * C01638*C00049*C00002 ))</v>
      </c>
      <c r="K712" s="36" t="str">
        <f t="shared" si="23"/>
        <v>r711: C01638+C00049+C00002  -&gt; C02984+C00013+C00020 | (${Variables:E6_1_1_12_kcat} * E6_1_1_12 * C01638*C00049*C00002 )/(${Variables:E6_1_1_12_km} + (E6_1_1_12 * C01638*C00049*C00002 ))</v>
      </c>
    </row>
    <row r="713" spans="1:11" ht="72.5" x14ac:dyDescent="0.35">
      <c r="A713" s="1" t="s">
        <v>3795</v>
      </c>
      <c r="B713" s="1" t="s">
        <v>3796</v>
      </c>
      <c r="C713" s="1" t="s">
        <v>10083</v>
      </c>
      <c r="D713" s="1">
        <v>712</v>
      </c>
      <c r="E713" s="1" t="str">
        <f>CONCATENATE("E",Reactions!C713)</f>
        <v>E6_1_1_13</v>
      </c>
      <c r="F713" s="5" t="s">
        <v>11612</v>
      </c>
      <c r="G713" s="5" t="s">
        <v>12312</v>
      </c>
      <c r="H713" s="5" t="s">
        <v>11613</v>
      </c>
      <c r="I713" s="5" t="s">
        <v>12945</v>
      </c>
      <c r="J713" s="12" t="str">
        <f t="shared" si="22"/>
        <v>(${Variables:E6_1_1_13_kcat} * E6_1_1_13 * C00002*C00133*C00653)/(${Variables:E6_1_1_13_km} + (E6_1_1_13 * C00002*C00133*C00653))</v>
      </c>
      <c r="K713" s="36" t="str">
        <f t="shared" si="23"/>
        <v>r712: C00002+C00133+C00653 -&gt; C00020+C00013+C04260 | (${Variables:E6_1_1_13_kcat} * E6_1_1_13 * C00002*C00133*C00653)/(${Variables:E6_1_1_13_km} + (E6_1_1_13 * C00002*C00133*C00653))</v>
      </c>
    </row>
    <row r="714" spans="1:11" ht="72.5" x14ac:dyDescent="0.35">
      <c r="A714" s="1" t="s">
        <v>3795</v>
      </c>
      <c r="B714" s="1" t="s">
        <v>3796</v>
      </c>
      <c r="C714" s="1" t="s">
        <v>10083</v>
      </c>
      <c r="D714" s="1">
        <v>713</v>
      </c>
      <c r="E714" s="1" t="str">
        <f>CONCATENATE("E",Reactions!C714)</f>
        <v>E6_1_1_13</v>
      </c>
      <c r="F714" s="5" t="s">
        <v>11614</v>
      </c>
      <c r="G714" s="5" t="s">
        <v>12313</v>
      </c>
      <c r="H714" s="5" t="s">
        <v>11615</v>
      </c>
      <c r="I714" s="5" t="s">
        <v>12946</v>
      </c>
      <c r="J714" s="12" t="str">
        <f t="shared" si="22"/>
        <v>(${Variables:E6_1_1_13_kcat} * E6_1_1_13 * C00002*C00133*G13185 )/(${Variables:E6_1_1_13_km} + (E6_1_1_13 * C00002*C00133*G13185 ))</v>
      </c>
      <c r="K714" s="36" t="str">
        <f t="shared" si="23"/>
        <v>r713: C00002+C00133+G13185  -&gt; C00020+C00013+G13186 | (${Variables:E6_1_1_13_kcat} * E6_1_1_13 * C00002*C00133*G13185 )/(${Variables:E6_1_1_13_km} + (E6_1_1_13 * C00002*C00133*G13185 ))</v>
      </c>
    </row>
    <row r="715" spans="1:11" ht="72.5" x14ac:dyDescent="0.35">
      <c r="A715" s="1" t="s">
        <v>3795</v>
      </c>
      <c r="B715" s="1" t="s">
        <v>3796</v>
      </c>
      <c r="C715" s="1" t="s">
        <v>10083</v>
      </c>
      <c r="D715" s="1">
        <v>714</v>
      </c>
      <c r="E715" s="1" t="str">
        <f>CONCATENATE("E",Reactions!C715)</f>
        <v>E6_1_1_13</v>
      </c>
      <c r="F715" s="5" t="s">
        <v>11616</v>
      </c>
      <c r="G715" s="5" t="s">
        <v>12314</v>
      </c>
      <c r="H715" s="5" t="s">
        <v>11617</v>
      </c>
      <c r="I715" s="5" t="s">
        <v>12947</v>
      </c>
      <c r="J715" s="12" t="str">
        <f t="shared" si="22"/>
        <v>(${Variables:E6_1_1_13_kcat} * E6_1_1_13 * C00002*C00133*G13167 )/(${Variables:E6_1_1_13_km} + (E6_1_1_13 * C00002*C00133*G13167 ))</v>
      </c>
      <c r="K715" s="36" t="str">
        <f t="shared" si="23"/>
        <v>r714: C00002+C00133+G13167  -&gt; C00020+C00013+G13180 | (${Variables:E6_1_1_13_kcat} * E6_1_1_13 * C00002*C00133*G13167 )/(${Variables:E6_1_1_13_km} + (E6_1_1_13 * C00002*C00133*G13167 ))</v>
      </c>
    </row>
    <row r="716" spans="1:11" ht="72.5" x14ac:dyDescent="0.35">
      <c r="A716" s="1" t="s">
        <v>3795</v>
      </c>
      <c r="B716" s="1" t="s">
        <v>3796</v>
      </c>
      <c r="C716" s="1" t="s">
        <v>10083</v>
      </c>
      <c r="D716" s="1">
        <v>715</v>
      </c>
      <c r="E716" s="1" t="str">
        <f>CONCATENATE("E",Reactions!C716)</f>
        <v>E6_1_1_13</v>
      </c>
      <c r="F716" s="5" t="s">
        <v>11618</v>
      </c>
      <c r="G716" s="5" t="s">
        <v>12315</v>
      </c>
      <c r="H716" s="5" t="s">
        <v>11619</v>
      </c>
      <c r="I716" s="5" t="s">
        <v>12948</v>
      </c>
      <c r="J716" s="12" t="str">
        <f t="shared" si="22"/>
        <v>(${Variables:E6_1_1_13_kcat} * E6_1_1_13 * C00002*C00133*G13170)/(${Variables:E6_1_1_13_km} + (E6_1_1_13 * C00002*C00133*G13170))</v>
      </c>
      <c r="K716" s="36" t="str">
        <f t="shared" si="23"/>
        <v>r715: C00002+C00133+G13170 -&gt; C00020+C00013+G13171 | (${Variables:E6_1_1_13_kcat} * E6_1_1_13 * C00002*C00133*G13170)/(${Variables:E6_1_1_13_km} + (E6_1_1_13 * C00002*C00133*G13170))</v>
      </c>
    </row>
    <row r="717" spans="1:11" ht="72.5" x14ac:dyDescent="0.35">
      <c r="A717" s="1" t="s">
        <v>3795</v>
      </c>
      <c r="B717" s="1" t="s">
        <v>3796</v>
      </c>
      <c r="C717" s="1" t="s">
        <v>10083</v>
      </c>
      <c r="D717" s="1">
        <v>716</v>
      </c>
      <c r="E717" s="1" t="str">
        <f>CONCATENATE("E",Reactions!C717)</f>
        <v>E6_1_1_13</v>
      </c>
      <c r="F717" s="5" t="s">
        <v>11620</v>
      </c>
      <c r="G717" s="5" t="s">
        <v>12316</v>
      </c>
      <c r="H717" s="5" t="s">
        <v>11621</v>
      </c>
      <c r="I717" s="5" t="s">
        <v>12949</v>
      </c>
      <c r="J717" s="12" t="str">
        <f t="shared" si="22"/>
        <v>(${Variables:E6_1_1_13_kcat} * E6_1_1_13 * C00002*C00133*G13174 )/(${Variables:E6_1_1_13_km} + (E6_1_1_13 * C00002*C00133*G13174 ))</v>
      </c>
      <c r="K717" s="36" t="str">
        <f t="shared" si="23"/>
        <v>r716: C00002+C00133+G13174  -&gt; C00020+C00013+G13175 | (${Variables:E6_1_1_13_kcat} * E6_1_1_13 * C00002*C00133*G13174 )/(${Variables:E6_1_1_13_km} + (E6_1_1_13 * C00002*C00133*G13174 ))</v>
      </c>
    </row>
    <row r="718" spans="1:11" ht="72.5" x14ac:dyDescent="0.35">
      <c r="A718" s="1" t="s">
        <v>3795</v>
      </c>
      <c r="B718" s="1" t="s">
        <v>3796</v>
      </c>
      <c r="C718" s="1" t="s">
        <v>10083</v>
      </c>
      <c r="D718" s="1">
        <v>717</v>
      </c>
      <c r="E718" s="1" t="str">
        <f>CONCATENATE("E",Reactions!C718)</f>
        <v>E6_1_1_13</v>
      </c>
      <c r="F718" s="5" t="s">
        <v>11622</v>
      </c>
      <c r="G718" s="5" t="s">
        <v>12317</v>
      </c>
      <c r="H718" s="5" t="s">
        <v>11623</v>
      </c>
      <c r="I718" s="5" t="s">
        <v>12950</v>
      </c>
      <c r="J718" s="12" t="str">
        <f t="shared" si="22"/>
        <v>(${Variables:E6_1_1_13_kcat} * E6_1_1_13 * C00002*C00133*G13176)/(${Variables:E6_1_1_13_km} + (E6_1_1_13 * C00002*C00133*G13176))</v>
      </c>
      <c r="K718" s="36" t="str">
        <f t="shared" si="23"/>
        <v>r717: C00002+C00133+G13176 -&gt; C00020+C00013+G13177 | (${Variables:E6_1_1_13_kcat} * E6_1_1_13 * C00002*C00133*G13176)/(${Variables:E6_1_1_13_km} + (E6_1_1_13 * C00002*C00133*G13176))</v>
      </c>
    </row>
    <row r="719" spans="1:11" ht="72.5" x14ac:dyDescent="0.35">
      <c r="A719" s="1" t="s">
        <v>3795</v>
      </c>
      <c r="B719" s="1" t="s">
        <v>3796</v>
      </c>
      <c r="C719" s="1" t="s">
        <v>10083</v>
      </c>
      <c r="D719" s="1">
        <v>718</v>
      </c>
      <c r="E719" s="1" t="str">
        <f>CONCATENATE("E",Reactions!C719)</f>
        <v>E6_1_1_13</v>
      </c>
      <c r="F719" s="5" t="s">
        <v>11624</v>
      </c>
      <c r="G719" s="5" t="s">
        <v>12318</v>
      </c>
      <c r="H719" s="5" t="s">
        <v>11625</v>
      </c>
      <c r="I719" s="5" t="s">
        <v>12951</v>
      </c>
      <c r="J719" s="12" t="str">
        <f t="shared" si="22"/>
        <v>(${Variables:E6_1_1_13_kcat} * E6_1_1_13 * C00002*C00133*G13178 )/(${Variables:E6_1_1_13_km} + (E6_1_1_13 * C00002*C00133*G13178 ))</v>
      </c>
      <c r="K719" s="36" t="str">
        <f t="shared" si="23"/>
        <v>r718: C00002+C00133+G13178  -&gt; C00020+C00013+G13179 | (${Variables:E6_1_1_13_kcat} * E6_1_1_13 * C00002*C00133*G13178 )/(${Variables:E6_1_1_13_km} + (E6_1_1_13 * C00002*C00133*G13178 ))</v>
      </c>
    </row>
    <row r="720" spans="1:11" ht="72.5" x14ac:dyDescent="0.35">
      <c r="A720" s="1" t="s">
        <v>3795</v>
      </c>
      <c r="B720" s="1" t="s">
        <v>3796</v>
      </c>
      <c r="C720" s="1" t="s">
        <v>10083</v>
      </c>
      <c r="D720" s="1">
        <v>719</v>
      </c>
      <c r="E720" s="1" t="str">
        <f>CONCATENATE("E",Reactions!C720)</f>
        <v>E6_1_1_13</v>
      </c>
      <c r="F720" s="5" t="s">
        <v>11626</v>
      </c>
      <c r="G720" s="5" t="s">
        <v>12319</v>
      </c>
      <c r="H720" s="5" t="s">
        <v>11627</v>
      </c>
      <c r="I720" s="5" t="s">
        <v>12952</v>
      </c>
      <c r="J720" s="12" t="str">
        <f t="shared" si="22"/>
        <v>(${Variables:E6_1_1_13_kcat} * E6_1_1_13 * C00002*C00133*G13192)/(${Variables:E6_1_1_13_km} + (E6_1_1_13 * C00002*C00133*G13192))</v>
      </c>
      <c r="K720" s="36" t="str">
        <f t="shared" si="23"/>
        <v>r719: C00002+C00133+G13192 -&gt; C00020+C00013+G13193 | (${Variables:E6_1_1_13_kcat} * E6_1_1_13 * C00002*C00133*G13192)/(${Variables:E6_1_1_13_km} + (E6_1_1_13 * C00002*C00133*G13192))</v>
      </c>
    </row>
    <row r="721" spans="1:11" ht="72.5" x14ac:dyDescent="0.35">
      <c r="A721" s="1" t="s">
        <v>1487</v>
      </c>
      <c r="B721" s="1" t="s">
        <v>1488</v>
      </c>
      <c r="C721" s="1" t="s">
        <v>10084</v>
      </c>
      <c r="D721" s="1">
        <v>720</v>
      </c>
      <c r="E721" s="1" t="str">
        <f>CONCATENATE("E",Reactions!C721)</f>
        <v>E6_1_1_14</v>
      </c>
      <c r="F721" s="5" t="s">
        <v>11628</v>
      </c>
      <c r="G721" s="5" t="s">
        <v>12320</v>
      </c>
      <c r="H721" s="5" t="s">
        <v>11629</v>
      </c>
      <c r="I721" s="5" t="s">
        <v>12953</v>
      </c>
      <c r="J721" s="12" t="str">
        <f t="shared" si="22"/>
        <v>(${Variables:E6_1_1_14_kcat} * E6_1_1_14 * C00002*C00037*C01642)/(${Variables:E6_1_1_14_km} + (E6_1_1_14 * C00002*C00037*C01642))</v>
      </c>
      <c r="K721" s="36" t="str">
        <f t="shared" si="23"/>
        <v>r720: C00002+C00037+C01642 -&gt; C00020+C00013+C02412 | (${Variables:E6_1_1_14_kcat} * E6_1_1_14 * C00002*C00037*C01642)/(${Variables:E6_1_1_14_km} + (E6_1_1_14 * C00002*C00037*C01642))</v>
      </c>
    </row>
    <row r="722" spans="1:11" ht="72.5" x14ac:dyDescent="0.35">
      <c r="A722" s="1" t="s">
        <v>630</v>
      </c>
      <c r="B722" s="1" t="s">
        <v>631</v>
      </c>
      <c r="C722" s="1" t="s">
        <v>10085</v>
      </c>
      <c r="D722" s="1">
        <v>721</v>
      </c>
      <c r="E722" s="1" t="str">
        <f>CONCATENATE("E",Reactions!C722)</f>
        <v>E6_1_1_15</v>
      </c>
      <c r="F722" s="5" t="s">
        <v>11630</v>
      </c>
      <c r="G722" s="5" t="s">
        <v>12321</v>
      </c>
      <c r="H722" s="5" t="s">
        <v>11631</v>
      </c>
      <c r="I722" s="5" t="s">
        <v>12954</v>
      </c>
      <c r="J722" s="12" t="str">
        <f t="shared" si="22"/>
        <v>(${Variables:E6_1_1_15_kcat} * E6_1_1_15 * C00002*C00148*C01649 )/(${Variables:E6_1_1_15_km} + (E6_1_1_15 * C00002*C00148*C01649 ))</v>
      </c>
      <c r="K722" s="36" t="str">
        <f t="shared" si="23"/>
        <v>r721: C00002+C00148+C01649  -&gt; C00020+C00013+C02702 | (${Variables:E6_1_1_15_kcat} * E6_1_1_15 * C00002*C00148*C01649 )/(${Variables:E6_1_1_15_km} + (E6_1_1_15 * C00002*C00148*C01649 ))</v>
      </c>
    </row>
    <row r="723" spans="1:11" ht="72.5" x14ac:dyDescent="0.35">
      <c r="A723" s="1" t="s">
        <v>344</v>
      </c>
      <c r="B723" s="1" t="s">
        <v>345</v>
      </c>
      <c r="C723" s="1" t="s">
        <v>10086</v>
      </c>
      <c r="D723" s="1">
        <v>722</v>
      </c>
      <c r="E723" s="1" t="str">
        <f>CONCATENATE("E",Reactions!C723)</f>
        <v>E6_1_1_16</v>
      </c>
      <c r="F723" s="5" t="s">
        <v>11632</v>
      </c>
      <c r="G723" s="5" t="s">
        <v>12322</v>
      </c>
      <c r="H723" s="5" t="s">
        <v>11633</v>
      </c>
      <c r="I723" s="5" t="s">
        <v>12955</v>
      </c>
      <c r="J723" s="12" t="str">
        <f t="shared" si="22"/>
        <v>(${Variables:E6_1_1_16_kcat} * E6_1_1_16 * C00002*C00097*C01639)/(${Variables:E6_1_1_16_km} + (E6_1_1_16 * C00002*C00097*C01639))</v>
      </c>
      <c r="K723" s="36" t="str">
        <f t="shared" si="23"/>
        <v>r722: C00002+C00097+C01639 -&gt; C00020+C00013+C03125 | (${Variables:E6_1_1_16_kcat} * E6_1_1_16 * C00002*C00097*C01639)/(${Variables:E6_1_1_16_km} + (E6_1_1_16 * C00002*C00097*C01639))</v>
      </c>
    </row>
    <row r="724" spans="1:11" ht="72.5" x14ac:dyDescent="0.35">
      <c r="A724" s="1" t="s">
        <v>5648</v>
      </c>
      <c r="B724" s="1" t="s">
        <v>5649</v>
      </c>
      <c r="C724" s="1" t="s">
        <v>10087</v>
      </c>
      <c r="D724" s="1">
        <v>723</v>
      </c>
      <c r="E724" s="1" t="str">
        <f>CONCATENATE("E",Reactions!C724)</f>
        <v>E6_1_1_17</v>
      </c>
      <c r="F724" s="5" t="s">
        <v>11634</v>
      </c>
      <c r="G724" s="5" t="s">
        <v>12323</v>
      </c>
      <c r="H724" s="5" t="s">
        <v>11635</v>
      </c>
      <c r="I724" s="5" t="s">
        <v>12956</v>
      </c>
      <c r="J724" s="12" t="str">
        <f t="shared" si="22"/>
        <v>(${Variables:E6_1_1_17_kcat} * E6_1_1_17 * C01641*C00025*C00002)/(${Variables:E6_1_1_17_km} + (E6_1_1_17 * C01641*C00025*C00002))</v>
      </c>
      <c r="K724" s="36" t="str">
        <f t="shared" si="23"/>
        <v>r723: C01641+C00025+C00002 -&gt; C02987+C00013+C00020 | (${Variables:E6_1_1_17_kcat} * E6_1_1_17 * C01641*C00025*C00002)/(${Variables:E6_1_1_17_km} + (E6_1_1_17 * C01641*C00025*C00002))</v>
      </c>
    </row>
    <row r="725" spans="1:11" ht="72.5" x14ac:dyDescent="0.35">
      <c r="A725" s="1" t="s">
        <v>207</v>
      </c>
      <c r="B725" s="1" t="s">
        <v>208</v>
      </c>
      <c r="C725" s="1" t="s">
        <v>10088</v>
      </c>
      <c r="D725" s="1">
        <v>724</v>
      </c>
      <c r="E725" s="1" t="str">
        <f>CONCATENATE("E",Reactions!C725)</f>
        <v>E6_1_1_19</v>
      </c>
      <c r="F725" s="5" t="s">
        <v>11636</v>
      </c>
      <c r="G725" s="5" t="s">
        <v>12324</v>
      </c>
      <c r="H725" s="5" t="s">
        <v>11637</v>
      </c>
      <c r="I725" s="5" t="s">
        <v>12957</v>
      </c>
      <c r="J725" s="12" t="str">
        <f t="shared" si="22"/>
        <v>(${Variables:E6_1_1_19_kcat} * E6_1_1_19 * C00002*C00062*C01636)/(${Variables:E6_1_1_19_km} + (E6_1_1_19 * C00002*C00062*C01636))</v>
      </c>
      <c r="K725" s="36" t="str">
        <f t="shared" si="23"/>
        <v>r724: C00002+C00062+C01636 -&gt; C00020+C00013+C02163 | (${Variables:E6_1_1_19_kcat} * E6_1_1_19 * C00002*C00062*C01636)/(${Variables:E6_1_1_19_km} + (E6_1_1_19 * C00002*C00062*C01636))</v>
      </c>
    </row>
    <row r="726" spans="1:11" ht="72.5" x14ac:dyDescent="0.35">
      <c r="A726" s="1" t="s">
        <v>6245</v>
      </c>
      <c r="B726" s="1" t="s">
        <v>6246</v>
      </c>
      <c r="C726" s="1" t="s">
        <v>10089</v>
      </c>
      <c r="D726" s="1">
        <v>725</v>
      </c>
      <c r="E726" s="1" t="str">
        <f>CONCATENATE("E",Reactions!C726)</f>
        <v>E6_1_1_2</v>
      </c>
      <c r="F726" s="5" t="s">
        <v>11638</v>
      </c>
      <c r="G726" s="5" t="s">
        <v>12325</v>
      </c>
      <c r="H726" s="5" t="s">
        <v>11639</v>
      </c>
      <c r="I726" s="5" t="s">
        <v>12958</v>
      </c>
      <c r="J726" s="12" t="str">
        <f t="shared" si="22"/>
        <v>(${Variables:E6_1_1_2_kcat} * E6_1_1_2 * C00002*C00078*C01652)/(${Variables:E6_1_1_2_km} + (E6_1_1_2 * C00002*C00078*C01652))</v>
      </c>
      <c r="K726" s="36" t="str">
        <f t="shared" si="23"/>
        <v>r725: C00002+C00078+C01652 -&gt; C00020+C00013+C03512 | (${Variables:E6_1_1_2_kcat} * E6_1_1_2 * C00002*C00078*C01652)/(${Variables:E6_1_1_2_km} + (E6_1_1_2 * C00002*C00078*C01652))</v>
      </c>
    </row>
    <row r="727" spans="1:11" ht="72.5" x14ac:dyDescent="0.35">
      <c r="A727" s="1" t="s">
        <v>3894</v>
      </c>
      <c r="B727" s="1" t="s">
        <v>3895</v>
      </c>
      <c r="C727" s="1" t="s">
        <v>10090</v>
      </c>
      <c r="D727" s="1">
        <v>726</v>
      </c>
      <c r="E727" s="1" t="str">
        <f>CONCATENATE("E",Reactions!C727)</f>
        <v>E6_1_1_20</v>
      </c>
      <c r="F727" s="5" t="s">
        <v>11640</v>
      </c>
      <c r="G727" s="5" t="s">
        <v>12326</v>
      </c>
      <c r="H727" s="5" t="s">
        <v>11641</v>
      </c>
      <c r="I727" s="5" t="s">
        <v>12959</v>
      </c>
      <c r="J727" s="12" t="str">
        <f t="shared" si="22"/>
        <v>(${Variables:E6_1_1_20_kcat} * E6_1_1_20 * C00002*C00079*C01648)/(${Variables:E6_1_1_20_km} + (E6_1_1_20 * C00002*C00079*C01648))</v>
      </c>
      <c r="K727" s="36" t="str">
        <f t="shared" si="23"/>
        <v>r726: C00002+C00079+C01648 -&gt; C00020+C00013+C03511 | (${Variables:E6_1_1_20_kcat} * E6_1_1_20 * C00002*C00079*C01648)/(${Variables:E6_1_1_20_km} + (E6_1_1_20 * C00002*C00079*C01648))</v>
      </c>
    </row>
    <row r="728" spans="1:11" ht="72.5" x14ac:dyDescent="0.35">
      <c r="A728" s="1" t="s">
        <v>6072</v>
      </c>
      <c r="B728" s="1" t="s">
        <v>6073</v>
      </c>
      <c r="C728" s="1" t="s">
        <v>10091</v>
      </c>
      <c r="D728" s="1">
        <v>727</v>
      </c>
      <c r="E728" s="1" t="str">
        <f>CONCATENATE("E",Reactions!C728)</f>
        <v>E6_1_1_21</v>
      </c>
      <c r="F728" s="5" t="s">
        <v>11642</v>
      </c>
      <c r="G728" s="5" t="s">
        <v>12327</v>
      </c>
      <c r="H728" s="5" t="s">
        <v>11643</v>
      </c>
      <c r="I728" s="5" t="s">
        <v>12960</v>
      </c>
      <c r="J728" s="12" t="str">
        <f t="shared" si="22"/>
        <v>(${Variables:E6_1_1_21_kcat} * E6_1_1_21 * C00002*C00135*C01643)/(${Variables:E6_1_1_21_km} + (E6_1_1_21 * C00002*C00135*C01643))</v>
      </c>
      <c r="K728" s="36" t="str">
        <f t="shared" si="23"/>
        <v>r727: C00002+C00135+C01643 -&gt; C00020+C00013+C02988 | (${Variables:E6_1_1_21_kcat} * E6_1_1_21 * C00002*C00135*C01643)/(${Variables:E6_1_1_21_km} + (E6_1_1_21 * C00002*C00135*C01643))</v>
      </c>
    </row>
    <row r="729" spans="1:11" ht="72.5" x14ac:dyDescent="0.35">
      <c r="A729" s="1" t="s">
        <v>3694</v>
      </c>
      <c r="B729" s="1" t="s">
        <v>3695</v>
      </c>
      <c r="C729" s="1" t="s">
        <v>10092</v>
      </c>
      <c r="D729" s="1">
        <v>728</v>
      </c>
      <c r="E729" s="1" t="str">
        <f>CONCATENATE("E",Reactions!C729)</f>
        <v>E6_1_1_22</v>
      </c>
      <c r="F729" s="5" t="s">
        <v>11644</v>
      </c>
      <c r="G729" s="5" t="s">
        <v>12328</v>
      </c>
      <c r="H729" s="5" t="s">
        <v>11645</v>
      </c>
      <c r="I729" s="5" t="s">
        <v>12961</v>
      </c>
      <c r="J729" s="12" t="str">
        <f t="shared" si="22"/>
        <v>(${Variables:E6_1_1_22_kcat} * E6_1_1_22 * C00002*C00152*C01637)/(${Variables:E6_1_1_22_km} + (E6_1_1_22 * C00002*C00152*C01637))</v>
      </c>
      <c r="K729" s="36" t="str">
        <f t="shared" si="23"/>
        <v>r728: C00002+C00152+C01637 -&gt; C00020+C00013+C03402 | (${Variables:E6_1_1_22_kcat} * E6_1_1_22 * C00002*C00152*C01637)/(${Variables:E6_1_1_22_km} + (E6_1_1_22 * C00002*C00152*C01637))</v>
      </c>
    </row>
    <row r="730" spans="1:11" ht="72.5" x14ac:dyDescent="0.35">
      <c r="A730" s="1" t="s">
        <v>1754</v>
      </c>
      <c r="B730" s="1" t="s">
        <v>1755</v>
      </c>
      <c r="C730" s="1" t="s">
        <v>10093</v>
      </c>
      <c r="D730" s="1">
        <v>729</v>
      </c>
      <c r="E730" s="1" t="str">
        <f>CONCATENATE("E",Reactions!C730)</f>
        <v>E6_1_1_3</v>
      </c>
      <c r="F730" s="5" t="s">
        <v>11646</v>
      </c>
      <c r="G730" s="5" t="s">
        <v>12329</v>
      </c>
      <c r="H730" s="5" t="s">
        <v>11647</v>
      </c>
      <c r="I730" s="5" t="s">
        <v>12962</v>
      </c>
      <c r="J730" s="12" t="str">
        <f t="shared" si="22"/>
        <v>(${Variables:E6_1_1_3_kcat} * E6_1_1_3 * C00002*C00188*C01651)/(${Variables:E6_1_1_3_km} + (E6_1_1_3 * C00002*C00188*C01651))</v>
      </c>
      <c r="K730" s="36" t="str">
        <f t="shared" si="23"/>
        <v>r729: C00002+C00188+C01651 -&gt; C00020+C00013+C02992 | (${Variables:E6_1_1_3_kcat} * E6_1_1_3 * C00002*C00188*C01651)/(${Variables:E6_1_1_3_km} + (E6_1_1_3 * C00002*C00188*C01651))</v>
      </c>
    </row>
    <row r="731" spans="1:11" ht="72.5" x14ac:dyDescent="0.35">
      <c r="A731" s="1" t="s">
        <v>680</v>
      </c>
      <c r="B731" s="1" t="s">
        <v>681</v>
      </c>
      <c r="C731" s="1" t="s">
        <v>10094</v>
      </c>
      <c r="D731" s="1">
        <v>730</v>
      </c>
      <c r="E731" s="1" t="str">
        <f>CONCATENATE("E",Reactions!C731)</f>
        <v>E6_1_1_4</v>
      </c>
      <c r="F731" s="5" t="s">
        <v>11648</v>
      </c>
      <c r="G731" s="5" t="s">
        <v>12330</v>
      </c>
      <c r="H731" s="5" t="s">
        <v>11649</v>
      </c>
      <c r="I731" s="5" t="s">
        <v>12963</v>
      </c>
      <c r="J731" s="12" t="str">
        <f t="shared" si="22"/>
        <v>(${Variables:E6_1_1_4_kcat} * E6_1_1_4 * C00002*C00123*C01645)/(${Variables:E6_1_1_4_km} + (E6_1_1_4 * C00002*C00123*C01645))</v>
      </c>
      <c r="K731" s="36" t="str">
        <f t="shared" si="23"/>
        <v>r730: C00002+C00123+C01645 -&gt; C00020+C00013+C02047 | (${Variables:E6_1_1_4_kcat} * E6_1_1_4 * C00002*C00123*C01645)/(${Variables:E6_1_1_4_km} + (E6_1_1_4 * C00002*C00123*C01645))</v>
      </c>
    </row>
    <row r="732" spans="1:11" ht="72.5" x14ac:dyDescent="0.35">
      <c r="A732" s="1" t="s">
        <v>2372</v>
      </c>
      <c r="B732" s="1" t="s">
        <v>2373</v>
      </c>
      <c r="C732" s="1" t="s">
        <v>10095</v>
      </c>
      <c r="D732" s="1">
        <v>731</v>
      </c>
      <c r="E732" s="1" t="str">
        <f>CONCATENATE("E",Reactions!C732)</f>
        <v>E6_1_1_5</v>
      </c>
      <c r="F732" s="5" t="s">
        <v>11650</v>
      </c>
      <c r="G732" s="5" t="s">
        <v>12331</v>
      </c>
      <c r="H732" s="5" t="s">
        <v>11651</v>
      </c>
      <c r="I732" s="5" t="s">
        <v>12964</v>
      </c>
      <c r="J732" s="12" t="str">
        <f t="shared" si="22"/>
        <v>(${Variables:E6_1_1_5_kcat} * E6_1_1_5 * C00002*C00407*C01644)/(${Variables:E6_1_1_5_km} + (E6_1_1_5 * C00002*C00407*C01644))</v>
      </c>
      <c r="K732" s="36" t="str">
        <f t="shared" si="23"/>
        <v>r731: C00002+C00407+C01644 -&gt; C00020+C00013+C03127 | (${Variables:E6_1_1_5_kcat} * E6_1_1_5 * C00002*C00407*C01644)/(${Variables:E6_1_1_5_km} + (E6_1_1_5 * C00002*C00407*C01644))</v>
      </c>
    </row>
    <row r="733" spans="1:11" ht="72.5" x14ac:dyDescent="0.35">
      <c r="A733" s="1" t="s">
        <v>2228</v>
      </c>
      <c r="B733" s="1" t="s">
        <v>2229</v>
      </c>
      <c r="C733" s="1" t="s">
        <v>10096</v>
      </c>
      <c r="D733" s="1">
        <v>732</v>
      </c>
      <c r="E733" s="1" t="str">
        <f>CONCATENATE("E",Reactions!C733)</f>
        <v>E6_1_1_6</v>
      </c>
      <c r="F733" s="5" t="s">
        <v>11652</v>
      </c>
      <c r="G733" s="5" t="s">
        <v>12332</v>
      </c>
      <c r="H733" s="5" t="s">
        <v>11653</v>
      </c>
      <c r="I733" s="5" t="s">
        <v>12965</v>
      </c>
      <c r="J733" s="12" t="str">
        <f t="shared" si="22"/>
        <v>(${Variables:E6_1_1_6_kcat} * E6_1_1_6 * C00002*C00047*C01646 )/(${Variables:E6_1_1_6_km} + (E6_1_1_6 * C00002*C00047*C01646 ))</v>
      </c>
      <c r="K733" s="36" t="str">
        <f t="shared" si="23"/>
        <v>r732: C00002+C00047+C01646  -&gt; C00020+C00013+C01931 | (${Variables:E6_1_1_6_kcat} * E6_1_1_6 * C00002*C00047*C01646 )/(${Variables:E6_1_1_6_km} + (E6_1_1_6 * C00002*C00047*C01646 ))</v>
      </c>
    </row>
    <row r="734" spans="1:11" ht="72.5" x14ac:dyDescent="0.35">
      <c r="A734" s="1" t="s">
        <v>1333</v>
      </c>
      <c r="B734" s="1" t="s">
        <v>1334</v>
      </c>
      <c r="C734" s="1" t="s">
        <v>10097</v>
      </c>
      <c r="D734" s="1">
        <v>733</v>
      </c>
      <c r="E734" s="1" t="str">
        <f>CONCATENATE("E",Reactions!C734)</f>
        <v>E6_1_1_7</v>
      </c>
      <c r="F734" s="5" t="s">
        <v>11654</v>
      </c>
      <c r="G734" s="5" t="s">
        <v>12333</v>
      </c>
      <c r="H734" s="5" t="s">
        <v>11655</v>
      </c>
      <c r="I734" s="5" t="s">
        <v>12966</v>
      </c>
      <c r="J734" s="12" t="str">
        <f t="shared" si="22"/>
        <v>(${Variables:E6_1_1_7_kcat} * E6_1_1_7 * C00002*C00041*C01635)/(${Variables:E6_1_1_7_km} + (E6_1_1_7 * C00002*C00041*C01635))</v>
      </c>
      <c r="K734" s="36" t="str">
        <f t="shared" si="23"/>
        <v>r733: C00002+C00041+C01635 -&gt; C00020+C00013+C00886 | (${Variables:E6_1_1_7_kcat} * E6_1_1_7 * C00002*C00041*C01635)/(${Variables:E6_1_1_7_km} + (E6_1_1_7 * C00002*C00041*C01635))</v>
      </c>
    </row>
    <row r="735" spans="1:11" ht="72.5" x14ac:dyDescent="0.35">
      <c r="A735" s="1" t="s">
        <v>1388</v>
      </c>
      <c r="B735" s="1" t="s">
        <v>1389</v>
      </c>
      <c r="C735" s="1" t="s">
        <v>10098</v>
      </c>
      <c r="D735" s="1">
        <v>734</v>
      </c>
      <c r="E735" s="1" t="str">
        <f>CONCATENATE("E",Reactions!C735)</f>
        <v>E6_1_1_9</v>
      </c>
      <c r="F735" s="5" t="s">
        <v>11656</v>
      </c>
      <c r="G735" s="5" t="s">
        <v>12334</v>
      </c>
      <c r="H735" s="5" t="s">
        <v>11657</v>
      </c>
      <c r="I735" s="5" t="s">
        <v>12967</v>
      </c>
      <c r="J735" s="12" t="str">
        <f t="shared" si="22"/>
        <v>(${Variables:E6_1_1_9_kcat} * E6_1_1_9 * C00002*C00183*C01653)/(${Variables:E6_1_1_9_km} + (E6_1_1_9 * C00002*C00183*C01653))</v>
      </c>
      <c r="K735" s="36" t="str">
        <f t="shared" si="23"/>
        <v>r734: C00002+C00183+C01653 -&gt; C00020+C00013+C02554 | (${Variables:E6_1_1_9_kcat} * E6_1_1_9 * C00002*C00183*C01653)/(${Variables:E6_1_1_9_km} + (E6_1_1_9 * C00002*C00183*C01653))</v>
      </c>
    </row>
    <row r="736" spans="1:11" ht="72.5" x14ac:dyDescent="0.35">
      <c r="A736" s="1" t="s">
        <v>1096</v>
      </c>
      <c r="B736" s="1" t="s">
        <v>1097</v>
      </c>
      <c r="C736" s="1" t="s">
        <v>10099</v>
      </c>
      <c r="D736" s="1">
        <v>735</v>
      </c>
      <c r="E736" s="1" t="str">
        <f>CONCATENATE("E",Reactions!C736)</f>
        <v>E6_3_1_1</v>
      </c>
      <c r="F736" s="5" t="s">
        <v>11658</v>
      </c>
      <c r="G736" s="5" t="s">
        <v>12335</v>
      </c>
      <c r="H736" s="5" t="s">
        <v>11659</v>
      </c>
      <c r="I736" s="5" t="s">
        <v>12968</v>
      </c>
      <c r="J736" s="12" t="str">
        <f t="shared" si="22"/>
        <v>(${Variables:E6_3_1_1_kcat} * E6_3_1_1 * C00002*C00049*C00014 )/(${Variables:E6_3_1_1_km} + (E6_3_1_1 * C00002*C00049*C00014 ))</v>
      </c>
      <c r="K736" s="36" t="str">
        <f t="shared" si="23"/>
        <v>r735: C00002+C00049+C00014  -&gt; C00020+C00013+C00152 | (${Variables:E6_3_1_1_kcat} * E6_3_1_1 * C00002*C00049*C00014 )/(${Variables:E6_3_1_1_km} + (E6_3_1_1 * C00002*C00049*C00014 ))</v>
      </c>
    </row>
    <row r="737" spans="1:11" ht="72.5" x14ac:dyDescent="0.35">
      <c r="A737" s="1" t="s">
        <v>5523</v>
      </c>
      <c r="B737" s="1" t="s">
        <v>5524</v>
      </c>
      <c r="C737" s="1" t="s">
        <v>10100</v>
      </c>
      <c r="D737" s="1">
        <v>736</v>
      </c>
      <c r="E737" s="1" t="str">
        <f>CONCATENATE("E",Reactions!C737)</f>
        <v>E6_3_1_2</v>
      </c>
      <c r="F737" s="5" t="s">
        <v>11660</v>
      </c>
      <c r="G737" s="5" t="s">
        <v>12336</v>
      </c>
      <c r="H737" s="5" t="s">
        <v>11661</v>
      </c>
      <c r="I737" s="5" t="s">
        <v>12969</v>
      </c>
      <c r="J737" s="12" t="str">
        <f t="shared" si="22"/>
        <v>(${Variables:E6_3_1_2_kcat} * E6_3_1_2 * C00002*C00025*C00014)/(${Variables:E6_3_1_2_km} + (E6_3_1_2 * C00002*C00025*C00014))</v>
      </c>
      <c r="K737" s="36" t="str">
        <f t="shared" si="23"/>
        <v>r736: C00002+C00025+C00014 -&gt; C00008+C00009+C00064 | (${Variables:E6_3_1_2_kcat} * E6_3_1_2 * C00002*C00025*C00014)/(${Variables:E6_3_1_2_km} + (E6_3_1_2 * C00002*C00025*C00014))</v>
      </c>
    </row>
    <row r="738" spans="1:11" ht="72.5" x14ac:dyDescent="0.35">
      <c r="A738" s="1" t="s">
        <v>724</v>
      </c>
      <c r="B738" s="1" t="s">
        <v>725</v>
      </c>
      <c r="C738" s="1" t="s">
        <v>10101</v>
      </c>
      <c r="D738" s="1">
        <v>737</v>
      </c>
      <c r="E738" s="1" t="str">
        <f>CONCATENATE("E",Reactions!C738)</f>
        <v>E6_3_1_5</v>
      </c>
      <c r="F738" s="5" t="s">
        <v>11662</v>
      </c>
      <c r="G738" s="5" t="s">
        <v>12337</v>
      </c>
      <c r="H738" s="5" t="s">
        <v>11663</v>
      </c>
      <c r="I738" s="5" t="s">
        <v>12970</v>
      </c>
      <c r="J738" s="12" t="str">
        <f t="shared" si="22"/>
        <v>(${Variables:E6_3_1_5_kcat} * E6_3_1_5 * C00002*C00857*C00014 )/(${Variables:E6_3_1_5_km} + (E6_3_1_5 * C00002*C00857*C00014 ))</v>
      </c>
      <c r="K738" s="36" t="str">
        <f t="shared" si="23"/>
        <v>r737: C00002+C00857+C00014  -&gt; C00020+C00013+C00003 | (${Variables:E6_3_1_5_kcat} * E6_3_1_5 * C00002*C00857*C00014 )/(${Variables:E6_3_1_5_km} + (E6_3_1_5 * C00002*C00857*C00014 ))</v>
      </c>
    </row>
    <row r="739" spans="1:11" ht="72.5" x14ac:dyDescent="0.35">
      <c r="A739" s="1" t="s">
        <v>4903</v>
      </c>
      <c r="B739" s="1" t="s">
        <v>4904</v>
      </c>
      <c r="C739" s="1" t="s">
        <v>10102</v>
      </c>
      <c r="D739" s="1">
        <v>738</v>
      </c>
      <c r="E739" s="1" t="str">
        <f>CONCATENATE("E",Reactions!C739)</f>
        <v>E6_3_2_10</v>
      </c>
      <c r="F739" s="5" t="s">
        <v>11664</v>
      </c>
      <c r="G739" s="5" t="s">
        <v>12338</v>
      </c>
      <c r="H739" s="5" t="s">
        <v>11665</v>
      </c>
      <c r="I739" s="5" t="s">
        <v>12971</v>
      </c>
      <c r="J739" s="12" t="str">
        <f t="shared" si="22"/>
        <v>(${Variables:E6_3_2_10_kcat} * E6_3_2_10 * C00002*C05892*C00993)/(${Variables:E6_3_2_10_km} + (E6_3_2_10 * C00002*C05892*C00993))</v>
      </c>
      <c r="K739" s="36" t="str">
        <f t="shared" si="23"/>
        <v>r738: C00002+C05892+C00993 -&gt; C00008+C00009+C04702 | (${Variables:E6_3_2_10_kcat} * E6_3_2_10 * C00002*C05892*C00993)/(${Variables:E6_3_2_10_km} + (E6_3_2_10 * C00002*C05892*C00993))</v>
      </c>
    </row>
    <row r="740" spans="1:11" ht="72.5" x14ac:dyDescent="0.35">
      <c r="A740" s="1" t="s">
        <v>4903</v>
      </c>
      <c r="B740" s="1" t="s">
        <v>4904</v>
      </c>
      <c r="C740" s="1" t="s">
        <v>10102</v>
      </c>
      <c r="D740" s="1">
        <v>739</v>
      </c>
      <c r="E740" s="1" t="str">
        <f>CONCATENATE("E",Reactions!C740)</f>
        <v>E6_3_2_10</v>
      </c>
      <c r="F740" s="5" t="s">
        <v>11666</v>
      </c>
      <c r="G740" s="5" t="s">
        <v>12339</v>
      </c>
      <c r="H740" s="5" t="s">
        <v>11667</v>
      </c>
      <c r="I740" s="5" t="s">
        <v>12972</v>
      </c>
      <c r="J740" s="12" t="str">
        <f t="shared" si="22"/>
        <v>(${Variables:E6_3_2_10_kcat} * E6_3_2_10 * C00002*C04877*C00993)/(${Variables:E6_3_2_10_km} + (E6_3_2_10 * C00002*C04877*C00993))</v>
      </c>
      <c r="K740" s="36" t="str">
        <f t="shared" si="23"/>
        <v>r739: C00002+C04877+C00993 -&gt; C00008+C00009+C04882 | (${Variables:E6_3_2_10_kcat} * E6_3_2_10 * C00002*C04877*C00993)/(${Variables:E6_3_2_10_km} + (E6_3_2_10 * C00002*C04877*C00993))</v>
      </c>
    </row>
    <row r="741" spans="1:11" ht="72.5" x14ac:dyDescent="0.35">
      <c r="A741" s="1" t="s">
        <v>2453</v>
      </c>
      <c r="B741" s="1" t="s">
        <v>2454</v>
      </c>
      <c r="C741" s="1" t="s">
        <v>10103</v>
      </c>
      <c r="D741" s="1">
        <v>740</v>
      </c>
      <c r="E741" s="1" t="str">
        <f>CONCATENATE("E",Reactions!C741)</f>
        <v>E6_3_2_13</v>
      </c>
      <c r="F741" s="5" t="s">
        <v>11668</v>
      </c>
      <c r="G741" s="5" t="s">
        <v>12340</v>
      </c>
      <c r="H741" s="5" t="s">
        <v>11669</v>
      </c>
      <c r="I741" s="5" t="s">
        <v>12973</v>
      </c>
      <c r="J741" s="12" t="str">
        <f t="shared" si="22"/>
        <v>(${Variables:E6_3_2_13_kcat} * E6_3_2_13 * C00002*C00692*C00680)/(${Variables:E6_3_2_13_km} + (E6_3_2_13 * C00002*C00692*C00680))</v>
      </c>
      <c r="K741" s="36" t="str">
        <f t="shared" si="23"/>
        <v>r740: C00002+C00692+C00680 -&gt; C00008+C00009+C04877 | (${Variables:E6_3_2_13_kcat} * E6_3_2_13 * C00002*C00692*C00680)/(${Variables:E6_3_2_13_km} + (E6_3_2_13 * C00002*C00692*C00680))</v>
      </c>
    </row>
    <row r="742" spans="1:11" ht="72.5" x14ac:dyDescent="0.35">
      <c r="A742" s="1" t="s">
        <v>1178</v>
      </c>
      <c r="B742" s="1" t="s">
        <v>1179</v>
      </c>
      <c r="C742" s="1" t="s">
        <v>10104</v>
      </c>
      <c r="D742" s="1">
        <v>741</v>
      </c>
      <c r="E742" s="1" t="str">
        <f>CONCATENATE("E",Reactions!C742)</f>
        <v>E6_3_2_17</v>
      </c>
      <c r="F742" s="1" t="s">
        <v>11670</v>
      </c>
      <c r="G742" s="1" t="s">
        <v>12341</v>
      </c>
      <c r="H742" s="1" t="s">
        <v>11671</v>
      </c>
      <c r="I742" s="1" t="s">
        <v>12974</v>
      </c>
      <c r="J742" s="12" t="str">
        <f t="shared" si="22"/>
        <v>(${Variables:E6_3_2_17_kcat} * E6_3_2_17 * C00002*C03541*C00025)/(${Variables:E6_3_2_17_km} + (E6_3_2_17 * C00002*C03541*C00025))</v>
      </c>
      <c r="K742" s="36" t="str">
        <f t="shared" si="23"/>
        <v>r741: C00002+C03541+C00025 -&gt; C00008+C00009+C03541 | (${Variables:E6_3_2_17_kcat} * E6_3_2_17 * C00002*C03541*C00025)/(${Variables:E6_3_2_17_km} + (E6_3_2_17 * C00002*C03541*C00025))</v>
      </c>
    </row>
    <row r="743" spans="1:11" ht="72.5" x14ac:dyDescent="0.35">
      <c r="A743" s="1" t="s">
        <v>1178</v>
      </c>
      <c r="B743" s="1" t="s">
        <v>1179</v>
      </c>
      <c r="C743" s="1" t="s">
        <v>10104</v>
      </c>
      <c r="D743" s="1">
        <v>742</v>
      </c>
      <c r="E743" s="1" t="str">
        <f>CONCATENATE("E",Reactions!C743)</f>
        <v>E6_3_2_17</v>
      </c>
      <c r="F743" s="1" t="s">
        <v>11672</v>
      </c>
      <c r="G743" s="1" t="s">
        <v>12342</v>
      </c>
      <c r="H743" s="1" t="s">
        <v>11673</v>
      </c>
      <c r="I743" s="1" t="s">
        <v>12975</v>
      </c>
      <c r="J743" s="12" t="str">
        <f t="shared" si="22"/>
        <v>(${Variables:E6_3_2_17_kcat} * E6_3_2_17 * C00002*C00101*C00025)/(${Variables:E6_3_2_17_km} + (E6_3_2_17 * C00002*C00101*C00025))</v>
      </c>
      <c r="K743" s="36" t="str">
        <f t="shared" si="23"/>
        <v>r742: C00002+C00101+C00025 -&gt; C00008+C00009+C09332 | (${Variables:E6_3_2_17_kcat} * E6_3_2_17 * C00002*C00101*C00025)/(${Variables:E6_3_2_17_km} + (E6_3_2_17 * C00002*C00101*C00025))</v>
      </c>
    </row>
    <row r="744" spans="1:11" ht="72.5" x14ac:dyDescent="0.35">
      <c r="A744" s="1" t="s">
        <v>1178</v>
      </c>
      <c r="B744" s="1" t="s">
        <v>1179</v>
      </c>
      <c r="C744" s="1" t="s">
        <v>10104</v>
      </c>
      <c r="D744" s="1">
        <v>743</v>
      </c>
      <c r="E744" s="1" t="str">
        <f>CONCATENATE("E",Reactions!C744)</f>
        <v>E6_3_2_17</v>
      </c>
      <c r="F744" s="1" t="s">
        <v>11674</v>
      </c>
      <c r="G744" s="1" t="s">
        <v>12343</v>
      </c>
      <c r="H744" s="1" t="s">
        <v>11675</v>
      </c>
      <c r="I744" s="1" t="s">
        <v>12976</v>
      </c>
      <c r="J744" s="12" t="str">
        <f t="shared" si="22"/>
        <v>(${Variables:E6_3_2_17_kcat} * E6_3_2_17 * C00002*C00234*C00025)/(${Variables:E6_3_2_17_km} + (E6_3_2_17 * C00002*C00234*C00025))</v>
      </c>
      <c r="K744" s="36" t="str">
        <f t="shared" si="23"/>
        <v>r743: C00002+C00234+C00025 -&gt; C00008+C00009+C05928 | (${Variables:E6_3_2_17_kcat} * E6_3_2_17 * C00002*C00234*C00025)/(${Variables:E6_3_2_17_km} + (E6_3_2_17 * C00002*C00234*C00025))</v>
      </c>
    </row>
    <row r="745" spans="1:11" ht="72.5" x14ac:dyDescent="0.35">
      <c r="A745" s="1" t="s">
        <v>1178</v>
      </c>
      <c r="B745" s="1" t="s">
        <v>1179</v>
      </c>
      <c r="C745" s="1" t="s">
        <v>10104</v>
      </c>
      <c r="D745" s="1">
        <v>744</v>
      </c>
      <c r="E745" s="1" t="str">
        <f>CONCATENATE("E",Reactions!C745)</f>
        <v>E6_3_2_17</v>
      </c>
      <c r="F745" s="1" t="s">
        <v>11676</v>
      </c>
      <c r="G745" s="1" t="s">
        <v>12344</v>
      </c>
      <c r="H745" s="1" t="s">
        <v>11677</v>
      </c>
      <c r="I745" s="1" t="s">
        <v>12977</v>
      </c>
      <c r="J745" s="12" t="str">
        <f t="shared" si="22"/>
        <v>(${Variables:E6_3_2_17_kcat} * E6_3_2_17 * C00002*C00921*C00025)/(${Variables:E6_3_2_17_km} + (E6_3_2_17 * C00002*C00921*C00025))</v>
      </c>
      <c r="K745" s="36" t="str">
        <f t="shared" si="23"/>
        <v>r744: C00002+C00921+C00025 -&gt; C00008+C00009+C00415 | (${Variables:E6_3_2_17_kcat} * E6_3_2_17 * C00002*C00921*C00025)/(${Variables:E6_3_2_17_km} + (E6_3_2_17 * C00002*C00921*C00025))</v>
      </c>
    </row>
    <row r="746" spans="1:11" ht="72.5" x14ac:dyDescent="0.35">
      <c r="A746" s="1" t="s">
        <v>1178</v>
      </c>
      <c r="B746" s="1" t="s">
        <v>1179</v>
      </c>
      <c r="C746" s="1" t="s">
        <v>10104</v>
      </c>
      <c r="D746" s="1">
        <v>745</v>
      </c>
      <c r="E746" s="1" t="str">
        <f>CONCATENATE("E",Reactions!C746)</f>
        <v>E6_3_2_17</v>
      </c>
      <c r="F746" s="1" t="s">
        <v>11678</v>
      </c>
      <c r="G746" s="1" t="s">
        <v>12345</v>
      </c>
      <c r="H746" s="1" t="s">
        <v>11679</v>
      </c>
      <c r="I746" s="1" t="s">
        <v>12978</v>
      </c>
      <c r="J746" s="12" t="str">
        <f t="shared" si="22"/>
        <v>(${Variables:E6_3_2_17_kcat} * E6_3_2_17 * C00002*C05928*C00025 )/(${Variables:E6_3_2_17_km} + (E6_3_2_17 * C00002*C05928*C00025 ))</v>
      </c>
      <c r="K746" s="36" t="str">
        <f t="shared" si="23"/>
        <v>r745: C00002+C05928+C00025  -&gt; C00008+C00009+C05929 | (${Variables:E6_3_2_17_kcat} * E6_3_2_17 * C00002*C05928*C00025 )/(${Variables:E6_3_2_17_km} + (E6_3_2_17 * C00002*C05928*C00025 ))</v>
      </c>
    </row>
    <row r="747" spans="1:11" ht="72.5" x14ac:dyDescent="0.35">
      <c r="A747" s="1" t="s">
        <v>4430</v>
      </c>
      <c r="B747" s="1" t="s">
        <v>4431</v>
      </c>
      <c r="C747" s="1" t="s">
        <v>10105</v>
      </c>
      <c r="D747" s="1">
        <v>746</v>
      </c>
      <c r="E747" s="1" t="str">
        <f>CONCATENATE("E",Reactions!C747)</f>
        <v>E6_3_2_3</v>
      </c>
      <c r="F747" s="1" t="s">
        <v>11680</v>
      </c>
      <c r="G747" s="1" t="s">
        <v>12346</v>
      </c>
      <c r="H747" s="1" t="s">
        <v>11681</v>
      </c>
      <c r="I747" s="1" t="s">
        <v>12979</v>
      </c>
      <c r="J747" s="12" t="str">
        <f t="shared" si="22"/>
        <v>(${Variables:E6_3_2_3_kcat} * E6_3_2_3 * C00002*C00669*C00037 )/(${Variables:E6_3_2_3_km} + (E6_3_2_3 * C00002*C00669*C00037 ))</v>
      </c>
      <c r="K747" s="36" t="str">
        <f t="shared" si="23"/>
        <v>r746: C00002+C00669+C00037  -&gt; C00008+C00009+C00051 | (${Variables:E6_3_2_3_kcat} * E6_3_2_3 * C00002*C00669*C00037 )/(${Variables:E6_3_2_3_km} + (E6_3_2_3 * C00002*C00669*C00037 ))</v>
      </c>
    </row>
    <row r="748" spans="1:11" ht="72.5" x14ac:dyDescent="0.35">
      <c r="A748" s="1" t="s">
        <v>4430</v>
      </c>
      <c r="B748" s="1" t="s">
        <v>4431</v>
      </c>
      <c r="C748" s="1" t="s">
        <v>10105</v>
      </c>
      <c r="D748" s="1">
        <v>747</v>
      </c>
      <c r="E748" s="1" t="str">
        <f>CONCATENATE("E",Reactions!C748)</f>
        <v>E6_3_2_3</v>
      </c>
      <c r="F748" s="1" t="s">
        <v>11682</v>
      </c>
      <c r="G748" s="1" t="s">
        <v>12347</v>
      </c>
      <c r="H748" s="1" t="s">
        <v>11683</v>
      </c>
      <c r="I748" s="1" t="s">
        <v>12980</v>
      </c>
      <c r="J748" s="12" t="str">
        <f t="shared" si="22"/>
        <v>(${Variables:E6_3_2_3_kcat} * E6_3_2_3 * C00002*C21015*C00037)/(${Variables:E6_3_2_3_km} + (E6_3_2_3 * C00002*C21015*C00037))</v>
      </c>
      <c r="K748" s="36" t="str">
        <f t="shared" si="23"/>
        <v>r747: C00002+C21015+C00037 -&gt; C00008+C00009+C21016 | (${Variables:E6_3_2_3_kcat} * E6_3_2_3 * C00002*C21015*C00037)/(${Variables:E6_3_2_3_km} + (E6_3_2_3 * C00002*C21015*C00037))</v>
      </c>
    </row>
    <row r="749" spans="1:11" ht="58" x14ac:dyDescent="0.35">
      <c r="A749" s="1" t="s">
        <v>4921</v>
      </c>
      <c r="B749" s="1" t="s">
        <v>4922</v>
      </c>
      <c r="C749" s="1" t="s">
        <v>10106</v>
      </c>
      <c r="D749" s="1">
        <v>748</v>
      </c>
      <c r="E749" s="1" t="str">
        <f>CONCATENATE("E",Reactions!C749)</f>
        <v>E6_3_2_4</v>
      </c>
      <c r="F749" s="1" t="s">
        <v>11684</v>
      </c>
      <c r="G749" s="1" t="s">
        <v>12348</v>
      </c>
      <c r="H749" s="1" t="s">
        <v>11685</v>
      </c>
      <c r="I749" s="1" t="s">
        <v>12981</v>
      </c>
      <c r="J749" s="12" t="str">
        <f t="shared" si="22"/>
        <v>(${Variables:E6_3_2_4_kcat} * E6_3_2_4 * C00002*C00133)/(${Variables:E6_3_2_4_km} + (E6_3_2_4 * C00002*C00133))</v>
      </c>
      <c r="K749" s="36" t="str">
        <f t="shared" si="23"/>
        <v>r748: C00002+C00133 -&gt; C00008+C00009+C00993 | (${Variables:E6_3_2_4_kcat} * E6_3_2_4 * C00002*C00133)/(${Variables:E6_3_2_4_km} + (E6_3_2_4 * C00002*C00133))</v>
      </c>
    </row>
    <row r="750" spans="1:11" ht="72.5" x14ac:dyDescent="0.35">
      <c r="A750" s="1" t="s">
        <v>3757</v>
      </c>
      <c r="B750" s="1" t="s">
        <v>3758</v>
      </c>
      <c r="C750" s="1" t="s">
        <v>10107</v>
      </c>
      <c r="D750" s="1">
        <v>749</v>
      </c>
      <c r="E750" s="1" t="str">
        <f>CONCATENATE("E",Reactions!C750)</f>
        <v>E6_3_2_5</v>
      </c>
      <c r="F750" s="5" t="s">
        <v>11686</v>
      </c>
      <c r="G750" s="5" t="s">
        <v>12349</v>
      </c>
      <c r="H750" s="5" t="s">
        <v>11687</v>
      </c>
      <c r="I750" s="5" t="s">
        <v>12982</v>
      </c>
      <c r="J750" s="12" t="str">
        <f t="shared" si="22"/>
        <v>(${Variables:E6_3_2_5_kcat} * E6_3_2_5 * C00063*C03492*C00097)/(${Variables:E6_3_2_5_km} + (E6_3_2_5 * C00063*C03492*C00097))</v>
      </c>
      <c r="K750" s="36" t="str">
        <f t="shared" si="23"/>
        <v>r749: C00063+C03492+C00097 -&gt; C00055+C00013+C04352 | (${Variables:E6_3_2_5_kcat} * E6_3_2_5 * C00063*C03492*C00097)/(${Variables:E6_3_2_5_km} + (E6_3_2_5 * C00063*C03492*C00097))</v>
      </c>
    </row>
    <row r="751" spans="1:11" ht="72.5" x14ac:dyDescent="0.35">
      <c r="A751" s="1" t="s">
        <v>146</v>
      </c>
      <c r="B751" s="1" t="s">
        <v>147</v>
      </c>
      <c r="C751" s="1" t="s">
        <v>10108</v>
      </c>
      <c r="D751" s="1">
        <v>750</v>
      </c>
      <c r="E751" s="1" t="str">
        <f>CONCATENATE("E",Reactions!C751)</f>
        <v>E6_3_2_6</v>
      </c>
      <c r="F751" s="5" t="s">
        <v>11688</v>
      </c>
      <c r="G751" s="5" t="s">
        <v>12350</v>
      </c>
      <c r="H751" s="5" t="s">
        <v>11689</v>
      </c>
      <c r="I751" s="5" t="s">
        <v>12983</v>
      </c>
      <c r="J751" s="12" t="str">
        <f t="shared" si="22"/>
        <v>(${Variables:E6_3_2_6_kcat} * E6_3_2_6 * C00002*C04751*C00049)/(${Variables:E6_3_2_6_km} + (E6_3_2_6 * C00002*C04751*C00049))</v>
      </c>
      <c r="K751" s="36" t="str">
        <f t="shared" si="23"/>
        <v>r750: C00002+C04751+C00049 -&gt; C00008+C00009+C04823 | (${Variables:E6_3_2_6_kcat} * E6_3_2_6 * C00002*C04751*C00049)/(${Variables:E6_3_2_6_km} + (E6_3_2_6 * C00002*C04751*C00049))</v>
      </c>
    </row>
    <row r="752" spans="1:11" ht="72.5" x14ac:dyDescent="0.35">
      <c r="A752" s="1" t="s">
        <v>6370</v>
      </c>
      <c r="B752" s="1" t="s">
        <v>1014</v>
      </c>
      <c r="C752" s="1" t="s">
        <v>10109</v>
      </c>
      <c r="D752" s="1">
        <v>751</v>
      </c>
      <c r="E752" s="1" t="str">
        <f>CONCATENATE("E",Reactions!C752)</f>
        <v>E6_3_2_7</v>
      </c>
      <c r="F752" s="5" t="s">
        <v>11690</v>
      </c>
      <c r="G752" s="5" t="s">
        <v>12351</v>
      </c>
      <c r="H752" s="5" t="s">
        <v>11691</v>
      </c>
      <c r="I752" s="5" t="s">
        <v>12984</v>
      </c>
      <c r="J752" s="12" t="str">
        <f t="shared" si="22"/>
        <v>(${Variables:E6_3_2_7_kcat} * E6_3_2_7 * C00002*C00692*C00047)/(${Variables:E6_3_2_7_km} + (E6_3_2_7 * C00002*C00692*C00047))</v>
      </c>
      <c r="K752" s="36" t="str">
        <f t="shared" si="23"/>
        <v>r751: C00002+C00692+C00047 -&gt; C00008+C00009+C05892 | (${Variables:E6_3_2_7_kcat} * E6_3_2_7 * C00002*C00692*C00047)/(${Variables:E6_3_2_7_km} + (E6_3_2_7 * C00002*C00692*C00047))</v>
      </c>
    </row>
    <row r="753" spans="1:11" ht="72.5" x14ac:dyDescent="0.35">
      <c r="A753" s="1" t="s">
        <v>762</v>
      </c>
      <c r="B753" s="1" t="s">
        <v>763</v>
      </c>
      <c r="C753" s="1" t="s">
        <v>10110</v>
      </c>
      <c r="D753" s="1">
        <v>752</v>
      </c>
      <c r="E753" s="1" t="str">
        <f>CONCATENATE("E",Reactions!C753)</f>
        <v>E6_3_2_8</v>
      </c>
      <c r="F753" s="5" t="s">
        <v>11692</v>
      </c>
      <c r="G753" s="5" t="s">
        <v>12352</v>
      </c>
      <c r="H753" s="5" t="s">
        <v>11693</v>
      </c>
      <c r="I753" s="5" t="s">
        <v>12985</v>
      </c>
      <c r="J753" s="12" t="str">
        <f t="shared" si="22"/>
        <v>(${Variables:E6_3_2_8_kcat} * E6_3_2_8 * C00002*C01050*C00041)/(${Variables:E6_3_2_8_km} + (E6_3_2_8 * C00002*C01050*C00041))</v>
      </c>
      <c r="K753" s="36" t="str">
        <f t="shared" si="23"/>
        <v>r752: C00002+C01050+C00041 -&gt; C00008+C00009+C01212 | (${Variables:E6_3_2_8_kcat} * E6_3_2_8 * C00002*C01050*C00041)/(${Variables:E6_3_2_8_km} + (E6_3_2_8 * C00002*C01050*C00041))</v>
      </c>
    </row>
    <row r="754" spans="1:11" ht="72.5" x14ac:dyDescent="0.35">
      <c r="A754" s="1" t="s">
        <v>2354</v>
      </c>
      <c r="B754" s="1" t="s">
        <v>2355</v>
      </c>
      <c r="C754" s="1" t="s">
        <v>10111</v>
      </c>
      <c r="D754" s="1">
        <v>753</v>
      </c>
      <c r="E754" s="1" t="str">
        <f>CONCATENATE("E",Reactions!C754)</f>
        <v>E6_3_2_9</v>
      </c>
      <c r="F754" s="5" t="s">
        <v>11694</v>
      </c>
      <c r="G754" s="5" t="s">
        <v>12353</v>
      </c>
      <c r="H754" s="5" t="s">
        <v>11695</v>
      </c>
      <c r="I754" s="5" t="s">
        <v>12986</v>
      </c>
      <c r="J754" s="12" t="str">
        <f t="shared" si="22"/>
        <v>(${Variables:E6_3_2_9_kcat} * E6_3_2_9 * C00002*C01212*C00217 )/(${Variables:E6_3_2_9_km} + (E6_3_2_9 * C00002*C01212*C00217 ))</v>
      </c>
      <c r="K754" s="36" t="str">
        <f t="shared" si="23"/>
        <v>r753: C00002+C01212+C00217  -&gt; C00008+C00009+C00692 | (${Variables:E6_3_2_9_kcat} * E6_3_2_9 * C00002*C01212*C00217 )/(${Variables:E6_3_2_9_km} + (E6_3_2_9 * C00002*C01212*C00217 ))</v>
      </c>
    </row>
    <row r="755" spans="1:11" ht="58" x14ac:dyDescent="0.35">
      <c r="A755" s="1" t="s">
        <v>158</v>
      </c>
      <c r="B755" s="1" t="s">
        <v>159</v>
      </c>
      <c r="C755" s="1" t="s">
        <v>10112</v>
      </c>
      <c r="D755" s="1">
        <v>754</v>
      </c>
      <c r="E755" s="1" t="str">
        <f>CONCATENATE("E",Reactions!C755)</f>
        <v>E6_3_3_1</v>
      </c>
      <c r="F755" s="5" t="s">
        <v>11696</v>
      </c>
      <c r="G755" s="5" t="s">
        <v>12354</v>
      </c>
      <c r="H755" s="5" t="s">
        <v>11697</v>
      </c>
      <c r="I755" s="5" t="s">
        <v>12987</v>
      </c>
      <c r="J755" s="12" t="str">
        <f t="shared" si="22"/>
        <v>(${Variables:E6_3_3_1_kcat} * E6_3_3_1 * C00002*C04640)/(${Variables:E6_3_3_1_km} + (E6_3_3_1 * C00002*C04640))</v>
      </c>
      <c r="K755" s="36" t="str">
        <f t="shared" si="23"/>
        <v>r754: C00002+C04640 -&gt; C00008+C00009+C03373 | (${Variables:E6_3_3_1_kcat} * E6_3_3_1 * C00002*C04640)/(${Variables:E6_3_3_1_km} + (E6_3_3_1 * C00002*C04640))</v>
      </c>
    </row>
    <row r="756" spans="1:11" ht="72.5" x14ac:dyDescent="0.35">
      <c r="A756" s="1" t="s">
        <v>5702</v>
      </c>
      <c r="B756" s="1" t="s">
        <v>5703</v>
      </c>
      <c r="C756" s="1" t="s">
        <v>10113</v>
      </c>
      <c r="D756" s="1">
        <v>755</v>
      </c>
      <c r="E756" s="1" t="str">
        <f>CONCATENATE("E",Reactions!C756)</f>
        <v>E6_3_3_2</v>
      </c>
      <c r="F756" s="5" t="s">
        <v>11698</v>
      </c>
      <c r="G756" s="5" t="s">
        <v>12355</v>
      </c>
      <c r="H756" s="5" t="s">
        <v>11699</v>
      </c>
      <c r="I756" s="5" t="s">
        <v>12988</v>
      </c>
      <c r="J756" s="12" t="str">
        <f t="shared" si="22"/>
        <v>(${Variables:E6_3_3_2_kcat} * E6_3_3_2 * C00002*C03479*C00080)/(${Variables:E6_3_3_2_km} + (E6_3_3_2 * C00002*C03479*C00080))</v>
      </c>
      <c r="K756" s="36" t="str">
        <f t="shared" si="23"/>
        <v>r755: C00002+C03479+C00080 -&gt; C00008+C00009+C00445 | (${Variables:E6_3_3_2_kcat} * E6_3_3_2 * C00002*C03479*C00080)/(${Variables:E6_3_3_2_km} + (E6_3_3_2 * C00002*C03479*C00080))</v>
      </c>
    </row>
    <row r="757" spans="1:11" ht="72.5" x14ac:dyDescent="0.35">
      <c r="A757" s="1" t="s">
        <v>187</v>
      </c>
      <c r="B757" s="1" t="s">
        <v>188</v>
      </c>
      <c r="C757" s="1" t="s">
        <v>10114</v>
      </c>
      <c r="D757" s="1">
        <v>756</v>
      </c>
      <c r="E757" s="1" t="str">
        <f>CONCATENATE("E",Reactions!C757)</f>
        <v>E6_3_4_13</v>
      </c>
      <c r="F757" s="5" t="s">
        <v>11700</v>
      </c>
      <c r="G757" s="5" t="s">
        <v>12356</v>
      </c>
      <c r="H757" s="5" t="s">
        <v>11701</v>
      </c>
      <c r="I757" s="5" t="s">
        <v>12989</v>
      </c>
      <c r="J757" s="12" t="str">
        <f t="shared" si="22"/>
        <v>(${Variables:E6_3_4_13_kcat} * E6_3_4_13 * C00002*C03090*C00037)/(${Variables:E6_3_4_13_km} + (E6_3_4_13 * C00002*C03090*C00037))</v>
      </c>
      <c r="K757" s="36" t="str">
        <f t="shared" si="23"/>
        <v>r756: C00002+C03090+C00037 -&gt; C00008+C00009+C03838 | (${Variables:E6_3_4_13_kcat} * E6_3_4_13 * C00002*C03090*C00037)/(${Variables:E6_3_4_13_km} + (E6_3_4_13 * C00002*C03090*C00037))</v>
      </c>
    </row>
    <row r="758" spans="1:11" ht="72.5" x14ac:dyDescent="0.35">
      <c r="A758" s="1" t="s">
        <v>2901</v>
      </c>
      <c r="B758" s="1" t="s">
        <v>2902</v>
      </c>
      <c r="C758" s="1" t="s">
        <v>10115</v>
      </c>
      <c r="D758" s="1">
        <v>757</v>
      </c>
      <c r="E758" s="1" t="str">
        <f>CONCATENATE("E",Reactions!C758)</f>
        <v>E6_3_4_15</v>
      </c>
      <c r="F758" s="5" t="s">
        <v>11702</v>
      </c>
      <c r="G758" s="5" t="s">
        <v>12357</v>
      </c>
      <c r="H758" s="5" t="s">
        <v>11703</v>
      </c>
      <c r="I758" s="5" t="s">
        <v>12990</v>
      </c>
      <c r="J758" s="12" t="str">
        <f t="shared" si="22"/>
        <v>(${Variables:E6_3_4_15_kcat} * E6_3_4_15 * C00002*C00120*C04735 )/(${Variables:E6_3_4_15_km} + (E6_3_4_15 * C00002*C00120*C04735 ))</v>
      </c>
      <c r="K758" s="36" t="str">
        <f t="shared" si="23"/>
        <v>r757: C00002+C00120+C04735  -&gt; C00020+C00013+C04681 | (${Variables:E6_3_4_15_kcat} * E6_3_4_15 * C00002*C00120*C04735 )/(${Variables:E6_3_4_15_km} + (E6_3_4_15 * C00002*C00120*C04735 ))</v>
      </c>
    </row>
    <row r="759" spans="1:11" ht="58" x14ac:dyDescent="0.35">
      <c r="A759" s="1" t="s">
        <v>2901</v>
      </c>
      <c r="B759" s="1" t="s">
        <v>2902</v>
      </c>
      <c r="C759" s="1" t="s">
        <v>10115</v>
      </c>
      <c r="D759" s="1">
        <v>758</v>
      </c>
      <c r="E759" s="1" t="str">
        <f>CONCATENATE("E",Reactions!C759)</f>
        <v>E6_3_4_15</v>
      </c>
      <c r="F759" s="5" t="s">
        <v>11704</v>
      </c>
      <c r="G759" s="5" t="s">
        <v>12358</v>
      </c>
      <c r="H759" s="5" t="s">
        <v>11705</v>
      </c>
      <c r="I759" s="5" t="s">
        <v>12991</v>
      </c>
      <c r="J759" s="12" t="str">
        <f t="shared" si="22"/>
        <v>(${Variables:E6_3_4_15_kcat} * E6_3_4_15 * C00002*C00120)/(${Variables:E6_3_4_15_km} + (E6_3_4_15 * C00002*C00120))</v>
      </c>
      <c r="K759" s="36" t="str">
        <f t="shared" si="23"/>
        <v>r758: C00002+C00120 -&gt; C00013+C05921 | (${Variables:E6_3_4_15_kcat} * E6_3_4_15 * C00002*C00120)/(${Variables:E6_3_4_15_km} + (E6_3_4_15 * C00002*C00120))</v>
      </c>
    </row>
    <row r="760" spans="1:11" ht="58" x14ac:dyDescent="0.35">
      <c r="A760" s="1" t="s">
        <v>2901</v>
      </c>
      <c r="B760" s="1" t="s">
        <v>2902</v>
      </c>
      <c r="C760" s="1" t="s">
        <v>10115</v>
      </c>
      <c r="D760" s="1">
        <v>759</v>
      </c>
      <c r="E760" s="1" t="str">
        <f>CONCATENATE("E",Reactions!C760)</f>
        <v>E6_3_4_15</v>
      </c>
      <c r="F760" s="5" t="s">
        <v>11706</v>
      </c>
      <c r="G760" s="5" t="s">
        <v>12359</v>
      </c>
      <c r="H760" s="5" t="s">
        <v>11707</v>
      </c>
      <c r="I760" s="5" t="s">
        <v>12992</v>
      </c>
      <c r="J760" s="12" t="str">
        <f t="shared" si="22"/>
        <v>(${Variables:E6_3_4_15_kcat} * E6_3_4_15 * C05921*C06249 )/(${Variables:E6_3_4_15_km} + (E6_3_4_15 * C05921*C06249 ))</v>
      </c>
      <c r="K760" s="36" t="str">
        <f t="shared" si="23"/>
        <v>r759: C05921+C06249  -&gt; C00020+C06250 | (${Variables:E6_3_4_15_kcat} * E6_3_4_15 * C05921*C06249 )/(${Variables:E6_3_4_15_km} + (E6_3_4_15 * C05921*C06249 ))</v>
      </c>
    </row>
    <row r="761" spans="1:11" ht="58" x14ac:dyDescent="0.35">
      <c r="A761" s="1" t="s">
        <v>480</v>
      </c>
      <c r="B761" s="1" t="s">
        <v>481</v>
      </c>
      <c r="C761" s="1" t="s">
        <v>10116</v>
      </c>
      <c r="D761" s="1">
        <v>760</v>
      </c>
      <c r="E761" s="1" t="str">
        <f>CONCATENATE("E",Reactions!C761)</f>
        <v>E6_3_4_2</v>
      </c>
      <c r="F761" s="5" t="s">
        <v>11708</v>
      </c>
      <c r="G761" s="5" t="s">
        <v>12360</v>
      </c>
      <c r="H761" s="5" t="s">
        <v>11709</v>
      </c>
      <c r="I761" s="5" t="s">
        <v>12993</v>
      </c>
      <c r="J761" s="12" t="str">
        <f t="shared" si="22"/>
        <v>(${Variables:E6_3_4_2_kcat} * E6_3_4_2 * C00064*C00001)/(${Variables:E6_3_4_2_km} + (E6_3_4_2 * C00064*C00001))</v>
      </c>
      <c r="K761" s="36" t="str">
        <f t="shared" si="23"/>
        <v>r760: C00064+C00001 -&gt; C00025+C00014 | (${Variables:E6_3_4_2_kcat} * E6_3_4_2 * C00064*C00001)/(${Variables:E6_3_4_2_km} + (E6_3_4_2 * C00064*C00001))</v>
      </c>
    </row>
    <row r="762" spans="1:11" ht="72.5" x14ac:dyDescent="0.35">
      <c r="A762" s="1" t="s">
        <v>480</v>
      </c>
      <c r="B762" s="1" t="s">
        <v>481</v>
      </c>
      <c r="C762" s="1" t="s">
        <v>10116</v>
      </c>
      <c r="D762" s="1">
        <v>761</v>
      </c>
      <c r="E762" s="1" t="str">
        <f>CONCATENATE("E",Reactions!C762)</f>
        <v>E6_3_4_2</v>
      </c>
      <c r="F762" s="5" t="s">
        <v>11710</v>
      </c>
      <c r="G762" s="5" t="s">
        <v>12361</v>
      </c>
      <c r="H762" s="5" t="s">
        <v>11711</v>
      </c>
      <c r="I762" s="5" t="s">
        <v>12994</v>
      </c>
      <c r="J762" s="12" t="str">
        <f t="shared" si="22"/>
        <v>(${Variables:E6_3_4_2_kcat} * E6_3_4_2 * C00002*C00075*C00014 )/(${Variables:E6_3_4_2_km} + (E6_3_4_2 * C00002*C00075*C00014 ))</v>
      </c>
      <c r="K762" s="36" t="str">
        <f t="shared" si="23"/>
        <v>r761: C00002+C00075+C00014  -&gt; C00008+C00009+C00063 | (${Variables:E6_3_4_2_kcat} * E6_3_4_2 * C00002*C00075*C00014 )/(${Variables:E6_3_4_2_km} + (E6_3_4_2 * C00002*C00075*C00014 ))</v>
      </c>
    </row>
    <row r="763" spans="1:11" ht="72.5" x14ac:dyDescent="0.35">
      <c r="A763" s="1" t="s">
        <v>480</v>
      </c>
      <c r="B763" s="1" t="s">
        <v>481</v>
      </c>
      <c r="C763" s="1" t="s">
        <v>10116</v>
      </c>
      <c r="D763" s="1">
        <v>762</v>
      </c>
      <c r="E763" s="1" t="str">
        <f>CONCATENATE("E",Reactions!C763)</f>
        <v>E6_3_4_2</v>
      </c>
      <c r="F763" s="5" t="s">
        <v>11712</v>
      </c>
      <c r="G763" s="5" t="s">
        <v>12362</v>
      </c>
      <c r="H763" s="5" t="s">
        <v>11713</v>
      </c>
      <c r="I763" s="5" t="s">
        <v>12995</v>
      </c>
      <c r="J763" s="12" t="str">
        <f t="shared" si="22"/>
        <v>(${Variables:E6_3_4_2_kcat} * E6_3_4_2 * C00002*C00075*C00064*C00001)/(${Variables:E6_3_4_2_km} + (E6_3_4_2 * C00002*C00075*C00064*C00001))</v>
      </c>
      <c r="K763" s="36" t="str">
        <f t="shared" si="23"/>
        <v>r762: C00002+C00075+C00064+C00001 -&gt; C00008+C00009+C00063+C00025 | (${Variables:E6_3_4_2_kcat} * E6_3_4_2 * C00002*C00075*C00064*C00001)/(${Variables:E6_3_4_2_km} + (E6_3_4_2 * C00002*C00075*C00064*C00001))</v>
      </c>
    </row>
    <row r="764" spans="1:11" ht="87" x14ac:dyDescent="0.35">
      <c r="A764" s="1" t="s">
        <v>720</v>
      </c>
      <c r="B764" s="1" t="s">
        <v>721</v>
      </c>
      <c r="C764" s="1" t="s">
        <v>10117</v>
      </c>
      <c r="D764" s="1">
        <v>763</v>
      </c>
      <c r="E764" s="1" t="str">
        <f>CONCATENATE("E",Reactions!C764)</f>
        <v>E6_3_4_21</v>
      </c>
      <c r="F764" s="5" t="s">
        <v>11714</v>
      </c>
      <c r="G764" s="5" t="s">
        <v>12363</v>
      </c>
      <c r="H764" s="5" t="s">
        <v>11715</v>
      </c>
      <c r="I764" s="5" t="s">
        <v>12996</v>
      </c>
      <c r="J764" s="12" t="str">
        <f t="shared" si="22"/>
        <v>(${Variables:E6_3_4_21_kcat} * E6_3_4_21 * C01185*C00013*C00008*C00009)/(${Variables:E6_3_4_21_km} + (E6_3_4_21 * C01185*C00013*C00008*C00009))</v>
      </c>
      <c r="K764" s="36" t="str">
        <f t="shared" si="23"/>
        <v>r763: C01185+C00013+C00008+C00009 -&gt; C00253+C00119+C00002+C00001+C00080 | (${Variables:E6_3_4_21_kcat} * E6_3_4_21 * C01185*C00013*C00008*C00009)/(${Variables:E6_3_4_21_km} + (E6_3_4_21 * C01185*C00013*C00008*C00009))</v>
      </c>
    </row>
    <row r="765" spans="1:11" ht="72.5" x14ac:dyDescent="0.35">
      <c r="A765" s="1" t="s">
        <v>3753</v>
      </c>
      <c r="B765" s="1" t="s">
        <v>3754</v>
      </c>
      <c r="C765" s="1" t="s">
        <v>10118</v>
      </c>
      <c r="D765" s="1">
        <v>764</v>
      </c>
      <c r="E765" s="1" t="str">
        <f>CONCATENATE("E",Reactions!C765)</f>
        <v>E6_3_4_3</v>
      </c>
      <c r="F765" s="5" t="s">
        <v>11716</v>
      </c>
      <c r="G765" s="5" t="s">
        <v>12364</v>
      </c>
      <c r="H765" s="5" t="s">
        <v>11717</v>
      </c>
      <c r="I765" s="5" t="s">
        <v>12997</v>
      </c>
      <c r="J765" s="12" t="str">
        <f t="shared" si="22"/>
        <v>(${Variables:E6_3_4_3_kcat} * E6_3_4_3 * C00101*C00058*C00002)/(${Variables:E6_3_4_3_km} + (E6_3_4_3 * C00101*C00058*C00002))</v>
      </c>
      <c r="K765" s="36" t="str">
        <f t="shared" si="23"/>
        <v>r764: C00101+C00058+C00002 -&gt; C00008+C00009+C00234 | (${Variables:E6_3_4_3_kcat} * E6_3_4_3 * C00101*C00058*C00002)/(${Variables:E6_3_4_3_km} + (E6_3_4_3 * C00101*C00058*C00002))</v>
      </c>
    </row>
    <row r="766" spans="1:11" ht="72.5" x14ac:dyDescent="0.35">
      <c r="A766" s="1" t="s">
        <v>6004</v>
      </c>
      <c r="B766" s="1" t="s">
        <v>6005</v>
      </c>
      <c r="C766" s="1" t="s">
        <v>10119</v>
      </c>
      <c r="D766" s="1">
        <v>765</v>
      </c>
      <c r="E766" s="1" t="str">
        <f>CONCATENATE("E",Reactions!C766)</f>
        <v>E6_3_4_4</v>
      </c>
      <c r="F766" s="5" t="s">
        <v>11718</v>
      </c>
      <c r="G766" s="5" t="s">
        <v>12365</v>
      </c>
      <c r="H766" s="5" t="s">
        <v>11719</v>
      </c>
      <c r="I766" s="5" t="s">
        <v>12998</v>
      </c>
      <c r="J766" s="12" t="str">
        <f t="shared" si="22"/>
        <v>(${Variables:E6_3_4_4_kcat} * E6_3_4_4 * C00044*C00130*C00049)/(${Variables:E6_3_4_4_km} + (E6_3_4_4 * C00044*C00130*C00049))</v>
      </c>
      <c r="K766" s="36" t="str">
        <f t="shared" si="23"/>
        <v>r765: C00044+C00130+C00049 -&gt; C00035+C00009+C03794 | (${Variables:E6_3_4_4_kcat} * E6_3_4_4 * C00044*C00130*C00049)/(${Variables:E6_3_4_4_km} + (E6_3_4_4 * C00044*C00130*C00049))</v>
      </c>
    </row>
    <row r="767" spans="1:11" ht="72.5" x14ac:dyDescent="0.35">
      <c r="A767" s="1" t="s">
        <v>5634</v>
      </c>
      <c r="B767" s="1" t="s">
        <v>5635</v>
      </c>
      <c r="C767" s="1" t="s">
        <v>10120</v>
      </c>
      <c r="D767" s="1">
        <v>766</v>
      </c>
      <c r="E767" s="1" t="str">
        <f>CONCATENATE("E",Reactions!C767)</f>
        <v>E6_3_4_5</v>
      </c>
      <c r="F767" s="5" t="s">
        <v>11720</v>
      </c>
      <c r="G767" s="5" t="s">
        <v>12366</v>
      </c>
      <c r="H767" s="5" t="s">
        <v>11721</v>
      </c>
      <c r="I767" s="5" t="s">
        <v>12999</v>
      </c>
      <c r="J767" s="12" t="str">
        <f t="shared" si="22"/>
        <v>(${Variables:E6_3_4_5_kcat} * E6_3_4_5 * C00002*C00327*C00049)/(${Variables:E6_3_4_5_km} + (E6_3_4_5 * C00002*C00327*C00049))</v>
      </c>
      <c r="K767" s="36" t="str">
        <f t="shared" si="23"/>
        <v>r766: C00002+C00327+C00049 -&gt; C00020+C00013+C03406 | (${Variables:E6_3_4_5_kcat} * E6_3_4_5 * C00002*C00327*C00049)/(${Variables:E6_3_4_5_km} + (E6_3_4_5 * C00002*C00327*C00049))</v>
      </c>
    </row>
    <row r="768" spans="1:11" ht="58" x14ac:dyDescent="0.35">
      <c r="A768" s="1" t="s">
        <v>3091</v>
      </c>
      <c r="B768" s="1" t="s">
        <v>3092</v>
      </c>
      <c r="C768" s="1" t="s">
        <v>10121</v>
      </c>
      <c r="D768" s="1">
        <v>767</v>
      </c>
      <c r="E768" s="1" t="str">
        <f>CONCATENATE("E",Reactions!C768)</f>
        <v>E6_3_5_2</v>
      </c>
      <c r="F768" s="1" t="s">
        <v>11708</v>
      </c>
      <c r="G768" s="1" t="s">
        <v>12360</v>
      </c>
      <c r="H768" s="1" t="s">
        <v>11709</v>
      </c>
      <c r="I768" s="1" t="s">
        <v>12993</v>
      </c>
      <c r="J768" s="12" t="str">
        <f t="shared" si="22"/>
        <v>(${Variables:E6_3_5_2_kcat} * E6_3_5_2 * C00064*C00001)/(${Variables:E6_3_5_2_km} + (E6_3_5_2 * C00064*C00001))</v>
      </c>
      <c r="K768" s="36" t="str">
        <f t="shared" si="23"/>
        <v>r767: C00064+C00001 -&gt; C00025+C00014 | (${Variables:E6_3_5_2_kcat} * E6_3_5_2 * C00064*C00001)/(${Variables:E6_3_5_2_km} + (E6_3_5_2 * C00064*C00001))</v>
      </c>
    </row>
    <row r="769" spans="1:11" ht="72.5" x14ac:dyDescent="0.35">
      <c r="A769" s="1" t="s">
        <v>3091</v>
      </c>
      <c r="B769" s="1" t="s">
        <v>3092</v>
      </c>
      <c r="C769" s="1" t="s">
        <v>10121</v>
      </c>
      <c r="D769" s="1">
        <v>768</v>
      </c>
      <c r="E769" s="1" t="str">
        <f>CONCATENATE("E",Reactions!C769)</f>
        <v>E6_3_5_2</v>
      </c>
      <c r="F769" s="1" t="s">
        <v>11722</v>
      </c>
      <c r="G769" s="1" t="s">
        <v>12367</v>
      </c>
      <c r="H769" s="1" t="s">
        <v>11723</v>
      </c>
      <c r="I769" s="1" t="s">
        <v>13000</v>
      </c>
      <c r="J769" s="12" t="str">
        <f t="shared" si="22"/>
        <v>(${Variables:E6_3_5_2_kcat} * E6_3_5_2 * C00002*C00655*C00014)/(${Variables:E6_3_5_2_km} + (E6_3_5_2 * C00002*C00655*C00014))</v>
      </c>
      <c r="K769" s="36" t="str">
        <f t="shared" si="23"/>
        <v>r768: C00002+C00655+C00014 -&gt; C00020+C00013+C00144 | (${Variables:E6_3_5_2_kcat} * E6_3_5_2 * C00002*C00655*C00014)/(${Variables:E6_3_5_2_km} + (E6_3_5_2 * C00002*C00655*C00014))</v>
      </c>
    </row>
    <row r="770" spans="1:11" ht="72.5" x14ac:dyDescent="0.35">
      <c r="A770" s="1" t="s">
        <v>3091</v>
      </c>
      <c r="B770" s="1" t="s">
        <v>3092</v>
      </c>
      <c r="C770" s="1" t="s">
        <v>10121</v>
      </c>
      <c r="D770" s="1">
        <v>769</v>
      </c>
      <c r="E770" s="1" t="str">
        <f>CONCATENATE("E",Reactions!C770)</f>
        <v>E6_3_5_2</v>
      </c>
      <c r="F770" s="1" t="s">
        <v>11724</v>
      </c>
      <c r="G770" s="1" t="s">
        <v>12368</v>
      </c>
      <c r="H770" s="1" t="s">
        <v>11725</v>
      </c>
      <c r="I770" s="1" t="s">
        <v>13001</v>
      </c>
      <c r="J770" s="12" t="str">
        <f t="shared" si="22"/>
        <v>(${Variables:E6_3_5_2_kcat} * E6_3_5_2 * C00002*C00655*C00064*C00001 )/(${Variables:E6_3_5_2_km} + (E6_3_5_2 * C00002*C00655*C00064*C00001 ))</v>
      </c>
      <c r="K770" s="36" t="str">
        <f t="shared" si="23"/>
        <v>r769: C00002+C00655+C00064+C00001  -&gt; C00020+C00013+C00144+C00025 | (${Variables:E6_3_5_2_kcat} * E6_3_5_2 * C00002*C00655*C00064*C00001 )/(${Variables:E6_3_5_2_km} + (E6_3_5_2 * C00002*C00655*C00064*C00001 ))</v>
      </c>
    </row>
    <row r="771" spans="1:11" ht="72.5" x14ac:dyDescent="0.35">
      <c r="A771" s="1" t="s">
        <v>3091</v>
      </c>
      <c r="B771" s="1" t="s">
        <v>3092</v>
      </c>
      <c r="C771" s="1" t="s">
        <v>10121</v>
      </c>
      <c r="D771" s="1">
        <v>770</v>
      </c>
      <c r="E771" s="1" t="str">
        <f>CONCATENATE("E",Reactions!C771)</f>
        <v>E6_3_5_2</v>
      </c>
      <c r="F771" s="1" t="s">
        <v>11726</v>
      </c>
      <c r="G771" s="1" t="s">
        <v>12369</v>
      </c>
      <c r="H771" s="1" t="s">
        <v>11727</v>
      </c>
      <c r="I771" s="1" t="s">
        <v>13002</v>
      </c>
      <c r="J771" s="12" t="str">
        <f t="shared" ref="J771:J779" si="24">CONCATENATE("(${Variables:",E771,"_kcat","} * ",E771," * ",G771,")","/(${Variables:",E771,"_km","} + (",E771," * ",G771,"))")</f>
        <v>(${Variables:E6_3_5_2_kcat} * E6_3_5_2 * C16618*C00002*C00064*C00001 )/(${Variables:E6_3_5_2_km} + (E6_3_5_2 * C16618*C00002*C00064*C00001 ))</v>
      </c>
      <c r="K771" s="36" t="str">
        <f t="shared" ref="K771:K779" si="25">CONCATENATE("r",D771,": ",F771," -&gt; ",H771," | ",J771)</f>
        <v>r770: C16618+C00002+C00064+C00001  -&gt; C16619+C00020+C00013+C00025 | (${Variables:E6_3_5_2_kcat} * E6_3_5_2 * C16618*C00002*C00064*C00001 )/(${Variables:E6_3_5_2_km} + (E6_3_5_2 * C16618*C00002*C00064*C00001 ))</v>
      </c>
    </row>
    <row r="772" spans="1:11" ht="72.5" x14ac:dyDescent="0.35">
      <c r="A772" s="1" t="s">
        <v>150</v>
      </c>
      <c r="B772" s="1" t="s">
        <v>151</v>
      </c>
      <c r="C772" s="1" t="s">
        <v>10122</v>
      </c>
      <c r="D772" s="1">
        <v>771</v>
      </c>
      <c r="E772" s="1" t="str">
        <f>CONCATENATE("E",Reactions!C772)</f>
        <v>E6_3_5_3</v>
      </c>
      <c r="F772" s="1" t="s">
        <v>11728</v>
      </c>
      <c r="G772" s="1" t="s">
        <v>12370</v>
      </c>
      <c r="H772" s="1" t="s">
        <v>11729</v>
      </c>
      <c r="I772" s="1" t="s">
        <v>13003</v>
      </c>
      <c r="J772" s="12" t="str">
        <f t="shared" si="24"/>
        <v>(${Variables:E6_3_5_3_kcat} * E6_3_5_3 * C00002*C04376*C00064*C00001)/(${Variables:E6_3_5_3_km} + (E6_3_5_3 * C00002*C04376*C00064*C00001))</v>
      </c>
      <c r="K772" s="36" t="str">
        <f t="shared" si="25"/>
        <v>r771: C00002+C04376+C00064+C00001 -&gt; C00008+C00009+C04640+C00025 | (${Variables:E6_3_5_3_kcat} * E6_3_5_3 * C00002*C04376*C00064*C00001)/(${Variables:E6_3_5_3_km} + (E6_3_5_3 * C00002*C04376*C00064*C00001))</v>
      </c>
    </row>
    <row r="773" spans="1:11" ht="58" x14ac:dyDescent="0.35">
      <c r="A773" s="1" t="s">
        <v>1543</v>
      </c>
      <c r="B773" s="1" t="s">
        <v>1544</v>
      </c>
      <c r="C773" s="1" t="s">
        <v>10123</v>
      </c>
      <c r="D773" s="1">
        <v>772</v>
      </c>
      <c r="E773" s="1" t="str">
        <f>CONCATENATE("E",Reactions!C773)</f>
        <v>E6_3_5_5</v>
      </c>
      <c r="F773" s="1" t="s">
        <v>11708</v>
      </c>
      <c r="G773" s="1" t="s">
        <v>12360</v>
      </c>
      <c r="H773" s="1" t="s">
        <v>11709</v>
      </c>
      <c r="I773" s="1" t="s">
        <v>12993</v>
      </c>
      <c r="J773" s="12" t="str">
        <f t="shared" si="24"/>
        <v>(${Variables:E6_3_5_5_kcat} * E6_3_5_5 * C00064*C00001)/(${Variables:E6_3_5_5_km} + (E6_3_5_5 * C00064*C00001))</v>
      </c>
      <c r="K773" s="36" t="str">
        <f t="shared" si="25"/>
        <v>r772: C00064+C00001 -&gt; C00025+C00014 | (${Variables:E6_3_5_5_kcat} * E6_3_5_5 * C00064*C00001)/(${Variables:E6_3_5_5_km} + (E6_3_5_5 * C00064*C00001))</v>
      </c>
    </row>
    <row r="774" spans="1:11" ht="72.5" x14ac:dyDescent="0.35">
      <c r="A774" s="1" t="s">
        <v>1543</v>
      </c>
      <c r="B774" s="1" t="s">
        <v>1544</v>
      </c>
      <c r="C774" s="1" t="s">
        <v>10123</v>
      </c>
      <c r="D774" s="1">
        <v>773</v>
      </c>
      <c r="E774" s="1" t="str">
        <f>CONCATENATE("E",Reactions!C774)</f>
        <v>E6_3_5_5</v>
      </c>
      <c r="F774" s="1" t="s">
        <v>11730</v>
      </c>
      <c r="G774" s="1" t="s">
        <v>12371</v>
      </c>
      <c r="H774" s="1" t="s">
        <v>11731</v>
      </c>
      <c r="I774" s="1" t="s">
        <v>13004</v>
      </c>
      <c r="J774" s="12" t="str">
        <f t="shared" si="24"/>
        <v>(${Variables:E6_3_5_5_kcat} * E6_3_5_5 * C00002*C00064*C00288*C00001)/(${Variables:E6_3_5_5_km} + (E6_3_5_5 * C00002*C00064*C00288*C00001))</v>
      </c>
      <c r="K774" s="36" t="str">
        <f t="shared" si="25"/>
        <v>r773: C00002+C00064+C00288+C00001 -&gt; C00008+C00009+C00025+C00169 | (${Variables:E6_3_5_5_kcat} * E6_3_5_5 * C00002*C00064*C00288*C00001)/(${Variables:E6_3_5_5_km} + (E6_3_5_5 * C00002*C00064*C00288*C00001))</v>
      </c>
    </row>
    <row r="775" spans="1:11" ht="58" x14ac:dyDescent="0.35">
      <c r="A775" s="1" t="s">
        <v>1543</v>
      </c>
      <c r="B775" s="1" t="s">
        <v>1544</v>
      </c>
      <c r="C775" s="1" t="s">
        <v>10123</v>
      </c>
      <c r="D775" s="1">
        <v>774</v>
      </c>
      <c r="E775" s="1" t="str">
        <f>CONCATENATE("E",Reactions!C775)</f>
        <v>E6_3_5_5</v>
      </c>
      <c r="F775" s="1" t="s">
        <v>11732</v>
      </c>
      <c r="G775" s="1" t="s">
        <v>12372</v>
      </c>
      <c r="H775" s="1" t="s">
        <v>11733</v>
      </c>
      <c r="I775" s="1" t="s">
        <v>13005</v>
      </c>
      <c r="J775" s="12" t="str">
        <f t="shared" si="24"/>
        <v>(${Variables:E6_3_5_5_kcat} * E6_3_5_5 * C00002*C01563)/(${Variables:E6_3_5_5_km} + (E6_3_5_5 * C00002*C01563))</v>
      </c>
      <c r="K775" s="36" t="str">
        <f t="shared" si="25"/>
        <v>r774: C00002+C01563 -&gt; C00008+C00169 | (${Variables:E6_3_5_5_kcat} * E6_3_5_5 * C00002*C01563)/(${Variables:E6_3_5_5_km} + (E6_3_5_5 * C00002*C01563))</v>
      </c>
    </row>
    <row r="776" spans="1:11" ht="58" x14ac:dyDescent="0.35">
      <c r="A776" s="1" t="s">
        <v>1543</v>
      </c>
      <c r="B776" s="1" t="s">
        <v>1544</v>
      </c>
      <c r="C776" s="1" t="s">
        <v>10123</v>
      </c>
      <c r="D776" s="1">
        <v>775</v>
      </c>
      <c r="E776" s="1" t="str">
        <f>CONCATENATE("E",Reactions!C776)</f>
        <v>E6_3_5_5</v>
      </c>
      <c r="F776" s="1" t="s">
        <v>11734</v>
      </c>
      <c r="G776" s="1" t="s">
        <v>12373</v>
      </c>
      <c r="H776" s="1" t="s">
        <v>11735</v>
      </c>
      <c r="I776" s="1" t="s">
        <v>13006</v>
      </c>
      <c r="J776" s="12" t="str">
        <f t="shared" si="24"/>
        <v>(${Variables:E6_3_5_5_kcat} * E6_3_5_5 * C00002*C00288 )/(${Variables:E6_3_5_5_km} + (E6_3_5_5 * C00002*C00288 ))</v>
      </c>
      <c r="K776" s="36" t="str">
        <f t="shared" si="25"/>
        <v>r775: C00002+C00288  -&gt; C00008+C20969 | (${Variables:E6_3_5_5_kcat} * E6_3_5_5 * C00002*C00288 )/(${Variables:E6_3_5_5_km} + (E6_3_5_5 * C00002*C00288 ))</v>
      </c>
    </row>
    <row r="777" spans="1:11" ht="58" x14ac:dyDescent="0.35">
      <c r="A777" s="1" t="s">
        <v>1543</v>
      </c>
      <c r="B777" s="1" t="s">
        <v>1544</v>
      </c>
      <c r="C777" s="1" t="s">
        <v>10123</v>
      </c>
      <c r="D777" s="1">
        <v>776</v>
      </c>
      <c r="E777" s="1" t="str">
        <f>CONCATENATE("E",Reactions!C777)</f>
        <v>E6_3_5_5</v>
      </c>
      <c r="F777" s="1" t="s">
        <v>11736</v>
      </c>
      <c r="G777" s="1" t="s">
        <v>12374</v>
      </c>
      <c r="H777" s="1" t="s">
        <v>11737</v>
      </c>
      <c r="I777" s="1" t="s">
        <v>13007</v>
      </c>
      <c r="J777" s="12" t="str">
        <f t="shared" si="24"/>
        <v>(${Variables:E6_3_5_5_kcat} * E6_3_5_5 * C00014*C20969)/(${Variables:E6_3_5_5_km} + (E6_3_5_5 * C00014*C20969))</v>
      </c>
      <c r="K777" s="36" t="str">
        <f t="shared" si="25"/>
        <v>r776: C00014+C20969 -&gt; C01563+C00009 | (${Variables:E6_3_5_5_kcat} * E6_3_5_5 * C00014*C20969)/(${Variables:E6_3_5_5_km} + (E6_3_5_5 * C00014*C20969))</v>
      </c>
    </row>
    <row r="778" spans="1:11" ht="72.5" x14ac:dyDescent="0.35">
      <c r="A778" s="1" t="s">
        <v>1543</v>
      </c>
      <c r="B778" s="1" t="s">
        <v>1544</v>
      </c>
      <c r="C778" s="1" t="s">
        <v>10123</v>
      </c>
      <c r="D778" s="1">
        <v>777</v>
      </c>
      <c r="E778" s="1" t="str">
        <f>CONCATENATE("E",Reactions!C778)</f>
        <v>E6_3_5_5</v>
      </c>
      <c r="F778" s="1" t="s">
        <v>11738</v>
      </c>
      <c r="G778" s="1" t="s">
        <v>12375</v>
      </c>
      <c r="H778" s="1" t="s">
        <v>11739</v>
      </c>
      <c r="I778" s="1" t="s">
        <v>13008</v>
      </c>
      <c r="J778" s="12" t="str">
        <f t="shared" si="24"/>
        <v>(${Variables:E6_3_5_5_kcat} * E6_3_5_5 * C00002*C00288*C00014)/(${Variables:E6_3_5_5_km} + (E6_3_5_5 * C00002*C00288*C00014))</v>
      </c>
      <c r="K778" s="36" t="str">
        <f t="shared" si="25"/>
        <v>r777: C00002+C00288+C00014 -&gt; C00008+C00009+C00169 | (${Variables:E6_3_5_5_kcat} * E6_3_5_5 * C00002*C00288*C00014)/(${Variables:E6_3_5_5_km} + (E6_3_5_5 * C00002*C00288*C00014))</v>
      </c>
    </row>
    <row r="779" spans="1:11" ht="72.5" x14ac:dyDescent="0.35">
      <c r="A779" s="1" t="s">
        <v>1136</v>
      </c>
      <c r="B779" s="1" t="s">
        <v>1137</v>
      </c>
      <c r="C779" s="1" t="s">
        <v>10124</v>
      </c>
      <c r="D779" s="1">
        <v>778</v>
      </c>
      <c r="E779" s="1" t="str">
        <f>CONCATENATE("E",Reactions!C779)</f>
        <v>E6_4_1_2</v>
      </c>
      <c r="F779" s="1" t="s">
        <v>11740</v>
      </c>
      <c r="G779" s="1" t="s">
        <v>12376</v>
      </c>
      <c r="H779" s="1" t="s">
        <v>11741</v>
      </c>
      <c r="I779" s="1" t="s">
        <v>13009</v>
      </c>
      <c r="J779" s="12" t="str">
        <f t="shared" si="24"/>
        <v>(${Variables:E6_4_1_2_kcat} * E6_4_1_2 * C00002*C00024*C00288 )/(${Variables:E6_4_1_2_km} + (E6_4_1_2 * C00002*C00024*C00288 ))</v>
      </c>
      <c r="K779" s="36" t="str">
        <f t="shared" si="25"/>
        <v>r778: C00002+C00024+C00288  -&gt; C00008+C00009+C00083 | (${Variables:E6_4_1_2_kcat} * E6_4_1_2 * C00002*C00024*C00288 )/(${Variables:E6_4_1_2_km} + (E6_4_1_2 * C00002*C00024*C00288 ))</v>
      </c>
    </row>
  </sheetData>
  <hyperlinks>
    <hyperlink ref="F49" r:id="rId1" display="https://www.genome.jp/entry/C05379" xr:uid="{BAE1A9B6-95DC-4DBC-BA24-39282788734E}"/>
    <hyperlink ref="F61" r:id="rId2" display="https://www.genome.jp/entry/C06010" xr:uid="{C41CD5FF-E960-4E1A-BF09-720827031DD4}"/>
    <hyperlink ref="F60" r:id="rId3" display="https://www.genome.jp/entry/C06006" xr:uid="{F915707E-F6BD-403E-A818-BAA61E0E20CD}"/>
    <hyperlink ref="F225" r:id="rId4" display="https://www.genome.jp/entry/C00718" xr:uid="{B9C8D4FA-DDC0-47A4-8E6C-B23C1E6F166C}"/>
    <hyperlink ref="F226" r:id="rId5" display="https://www.genome.jp/entry/G10495" xr:uid="{0C138223-8F48-40A9-AE1E-BB2F25AE6667}"/>
    <hyperlink ref="F435" r:id="rId6" display="https://www.genome.jp/entry/C00201" xr:uid="{38EC5BFC-3674-4F7A-922E-B2C4247E9FD6}"/>
    <hyperlink ref="F441" r:id="rId7" display="https://www.genome.jp/entry/C11039" xr:uid="{53420554-9A97-456B-B046-EFAA2977BD1D}"/>
    <hyperlink ref="F504" r:id="rId8" display="https://www.genome.jp/entry/C00369" xr:uid="{E1AF335A-F17E-4BB0-83DA-A14A09AFD87C}"/>
    <hyperlink ref="F566" r:id="rId9" display="https://www.genome.jp/entry/C05923" xr:uid="{3FADC585-44A9-4960-B5CA-A68686F26C54}"/>
    <hyperlink ref="F592" r:id="rId10" display="https://www.genome.jp/entry/C00680" xr:uid="{2FD209A6-B31E-4C95-833A-B97FFB21DBFA}"/>
    <hyperlink ref="F593" r:id="rId11" display="https://www.genome.jp/entry/C04751" xr:uid="{8EA4F44F-AE3A-4499-9176-08088DB05797}"/>
    <hyperlink ref="F594" r:id="rId12" display="https://www.genome.jp/entry/C01103" xr:uid="{DE15785F-946B-402C-9B8C-228ACC674AFC}"/>
    <hyperlink ref="F597" r:id="rId13" display="https://www.genome.jp/entry/C04352" xr:uid="{13CF9333-F82B-47C8-A8F3-EED3C0A6A4AE}"/>
    <hyperlink ref="F598" r:id="rId14" display="https://www.genome.jp/entry/C01302" xr:uid="{3C7F8A9A-BA82-4BD3-97DD-B5E4227732AC}"/>
    <hyperlink ref="F599" r:id="rId15" display="https://www.genome.jp/entry/C06010" xr:uid="{2096FD12-8213-4351-9BBD-0E5551534D1B}"/>
    <hyperlink ref="F600" r:id="rId16" display="https://www.genome.jp/entry/C00354" xr:uid="{53E44B5B-356B-4B86-A47C-BD518C2E0E5D}"/>
    <hyperlink ref="F601" r:id="rId17" display="https://www.genome.jp/entry/C05378" xr:uid="{54F551A3-9E46-4C93-998A-028416F29782}"/>
    <hyperlink ref="F602" r:id="rId18" display="https://www.genome.jp/entry/C00447" xr:uid="{19C3F435-E926-4CC1-AF7C-30FD25F7D5E5}"/>
    <hyperlink ref="F603" r:id="rId19" display="https://www.genome.jp/entry/C01094" xr:uid="{9026C321-41C1-4F7E-A550-A13CF5ACC218}"/>
    <hyperlink ref="F604" r:id="rId20" display="https://www.genome.jp/entry/C04874" xr:uid="{C8FCFF3D-B3EF-4A04-BE5C-F203FC86FA4B}"/>
    <hyperlink ref="F605" r:id="rId21" display="https://www.genome.jp/entry/C00673" xr:uid="{E3399AA6-9632-41A8-8746-977C7170AE17}"/>
    <hyperlink ref="F608" r:id="rId22" display="https://www.genome.jp/entry/C01353" xr:uid="{3318D739-408F-4F20-BE12-D7334CD19D88}"/>
    <hyperlink ref="F610" r:id="rId23" display="https://www.genome.jp/entry/C00944" xr:uid="{4C0F0645-BD7A-4A71-8490-77BFC0D58E19}"/>
    <hyperlink ref="F611" r:id="rId24" display="https://www.genome.jp/entry/C00631" xr:uid="{FF217EA5-9115-4404-A1CA-65A4B72176EE}"/>
    <hyperlink ref="F612" r:id="rId25" display="https://www.genome.jp/entry/C03356" xr:uid="{BE45DCEE-9BF3-4067-B48F-0574D7515679}"/>
    <hyperlink ref="F613" r:id="rId26" display="https://www.genome.jp/entry/C00640" xr:uid="{EA20CD79-6913-453D-849E-79B3E813192A}"/>
    <hyperlink ref="F614" r:id="rId27" display="https://www.genome.jp/entry/C01144" xr:uid="{B7E42FE1-ED3E-4695-A01B-7ADCD7A725D1}"/>
    <hyperlink ref="F615" r:id="rId28" display="https://www.genome.jp/entry/C05668" xr:uid="{0F5BCA04-D199-4CFE-A527-649F435E2FBE}"/>
    <hyperlink ref="F616" r:id="rId29" display="https://www.genome.jp/entry/C05262" xr:uid="{6DE9A036-EF97-4F13-814A-15F2558953AE}"/>
    <hyperlink ref="F617" r:id="rId30" display="https://www.genome.jp/entry/C04405" xr:uid="{DA381131-7FC6-444C-AEA6-13F62D2CDBC9}"/>
    <hyperlink ref="F619" r:id="rId31" display="https://www.genome.jp/entry/C05258" xr:uid="{42A366CC-3B88-48E1-9849-611DF36CE974}"/>
    <hyperlink ref="F620" r:id="rId32" display="https://www.genome.jp/entry/C05260" xr:uid="{01B69FFF-5D10-494E-8D3F-61615A415C1A}"/>
    <hyperlink ref="F621" r:id="rId33" display="https://www.genome.jp/entry/C05264" xr:uid="{159D0CEC-68AE-42BC-BD6B-FF2C72A3F226}"/>
    <hyperlink ref="F622" r:id="rId34" display="https://www.genome.jp/entry/C05266" xr:uid="{15BAD575-AC0D-4EFE-AB87-0AB289D750DE}"/>
    <hyperlink ref="F623" r:id="rId35" display="https://www.genome.jp/entry/C05268" xr:uid="{B4F94D88-E73E-43B3-A4DA-70D7BD2BE816}"/>
    <hyperlink ref="F624" r:id="rId36" display="https://www.genome.jp/entry/C16329" xr:uid="{5BCBEE9D-21AA-47E3-8642-641FB0C38ACF}"/>
    <hyperlink ref="F625" r:id="rId37" display="https://www.genome.jp/entry/C16333" xr:uid="{0129DB1B-0DE0-4223-9C36-F11B1AEC979C}"/>
    <hyperlink ref="F626" r:id="rId38" display="https://www.genome.jp/entry/C16337" xr:uid="{98AAB421-AD86-4B0C-A282-98B461FDC45F}"/>
    <hyperlink ref="F627" r:id="rId39" display="https://www.genome.jp/entry/C00640" xr:uid="{40F238F9-D177-4E98-9EA9-04CA66A185C3}"/>
    <hyperlink ref="F628" r:id="rId40" display="https://www.genome.jp/entry/C01086" xr:uid="{FC372E35-5BE7-4CF7-AF2E-C4AF84830D8E}"/>
    <hyperlink ref="F629" r:id="rId41" display="https://www.genome.jp/entry/C05998" xr:uid="{2F42C272-BAA7-44FA-8C32-7229BCD73002}"/>
    <hyperlink ref="F635" r:id="rId42" display="https://www.genome.jp/entry/C04666" xr:uid="{612DB230-B289-4DE5-BCBC-0F7020183F6C}"/>
    <hyperlink ref="F637" r:id="rId43" display="https://www.genome.jp/entry/C03506" xr:uid="{39BF96A9-A335-4054-8F7C-D97E1A7116D4}"/>
    <hyperlink ref="F639" r:id="rId44" display="https://www.genome.jp/entry/C00158" xr:uid="{2468C9EB-AD68-400F-95EE-D17959B7B1D3}"/>
    <hyperlink ref="F640" r:id="rId45" display="https://www.genome.jp/entry/C00158" xr:uid="{EF36C633-F29B-4DA9-A716-264307A6E8E2}"/>
    <hyperlink ref="F641" r:id="rId46" display="https://www.genome.jp/entry/C00311" xr:uid="{758137E7-B7B9-4FD1-A416-B0EC46223A33}"/>
    <hyperlink ref="F642" r:id="rId47" display="https://www.genome.jp/entry/C02504" xr:uid="{7D11A991-CE90-4610-8994-71BB7A7F13AB}"/>
    <hyperlink ref="F643" r:id="rId48" display="https://www.genome.jp/entry/C04411" xr:uid="{C62DE70F-6D28-4F64-B25D-993888BD2FF0}"/>
    <hyperlink ref="F644" r:id="rId49" display="https://www.genome.jp/entry/C04411" xr:uid="{3D1858D1-F373-4D84-9238-A4952F60054A}"/>
    <hyperlink ref="F645" r:id="rId50" display="https://www.genome.jp/entry/C00842" xr:uid="{77B3681E-6D5C-420F-9053-B7B3155AF939}"/>
    <hyperlink ref="F646" r:id="rId51" display="https://www.genome.jp/entry/C00254" xr:uid="{FD43D166-92E3-4B61-A13E-E1EF552E163A}"/>
    <hyperlink ref="F647" r:id="rId52" display="https://www.genome.jp/entry/C00826" xr:uid="{B5570B00-1DE9-4A90-BB9C-422FDD633C75}"/>
    <hyperlink ref="F648" r:id="rId53" display="https://www.genome.jp/entry/C04039" xr:uid="{3C4FF4F6-0B94-4818-84DB-AF6A5BA4A042}"/>
    <hyperlink ref="F649" r:id="rId54" display="https://www.genome.jp/entry/C04272" xr:uid="{B1B07C26-5ED2-47FA-BC7A-2496FF2C131F}"/>
    <hyperlink ref="F650" r:id="rId55" display="https://www.genome.jp/entry/C06007" xr:uid="{F27AFCAE-5123-40BD-B2C1-9F557D88D920}"/>
    <hyperlink ref="F653" r:id="rId56" display="https://www.genome.jp/entry/C04895" xr:uid="{F2A97BCB-7F06-49B9-8606-4EBC9F0B96C5}"/>
    <hyperlink ref="F654" r:id="rId57" display="https://www.genome.jp/entry/C04691" xr:uid="{169665CD-E817-4560-B92D-DDB0C7AA47B1}"/>
    <hyperlink ref="F655" r:id="rId58" display="https://www.genome.jp/entry/C01269" xr:uid="{713F118D-79ED-4B75-8295-15526B8BF3C1}"/>
    <hyperlink ref="F656" r:id="rId59" display="https://www.genome.jp/entry/C00065" xr:uid="{AF250154-6668-4CD9-A86F-C68FADDA03DA}"/>
    <hyperlink ref="F657" r:id="rId60" display="https://www.genome.jp/entry/C00065" xr:uid="{0BEB006C-5EA6-46B8-8C01-85B623095526}"/>
    <hyperlink ref="F659" r:id="rId61" display="https://www.genome.jp/entry/C02218" xr:uid="{D14FE895-5E02-4D06-A8C9-729B54C17D07}"/>
    <hyperlink ref="F660" r:id="rId62" display="https://www.genome.jp/entry/C05167" xr:uid="{55984F8B-E6E1-468F-BDF7-BC6F0ABD5FD9}"/>
    <hyperlink ref="F661" r:id="rId63" display="https://www.genome.jp/entry/C00188" xr:uid="{7ADEC880-C874-46F6-A3E3-084D918CB8C6}"/>
    <hyperlink ref="F663" r:id="rId64" display="https://www.genome.jp/entry/C17234" xr:uid="{8A4133FC-95EE-42FF-B467-609CD5907F3F}"/>
    <hyperlink ref="F664" r:id="rId65" display="https://www.genome.jp/entry/C00065" xr:uid="{475211EB-5CFC-434A-A5BE-510EAF3882F8}"/>
    <hyperlink ref="F665" r:id="rId66" display="https://www.genome.jp/entry/C05167" xr:uid="{3733166D-55DF-41B1-96FB-4BE862817383}"/>
    <hyperlink ref="F666" r:id="rId67" display="https://www.genome.jp/entry/C03406" xr:uid="{5CA8D846-2251-4807-9961-18ADF1969358}"/>
    <hyperlink ref="F667" r:id="rId68" display="https://www.genome.jp/entry/C03794" xr:uid="{DC5B4013-271A-4BD4-B5B2-0810C037FE25}"/>
    <hyperlink ref="F668" r:id="rId69" display="https://www.genome.jp/entry/C04823" xr:uid="{95A61630-876B-42CB-901E-5DD2C1D657D9}"/>
    <hyperlink ref="F669" r:id="rId70" display="https://www.genome.jp/entry/C22395" xr:uid="{2CC6CCA0-ABFD-45C1-8DE9-67645A5D29A2}"/>
    <hyperlink ref="F671" r:id="rId71" display="https://www.genome.jp/entry/C03539" xr:uid="{24A0DB81-78FC-496F-8784-D3ACCF9052E3}"/>
    <hyperlink ref="F672" r:id="rId72" display="https://www.genome.jp/entry/C03451" xr:uid="{57E56C97-1AE9-48E7-A708-256533233B81}"/>
    <hyperlink ref="F673" r:id="rId73" display="https://www.genome.jp/entry/C00041" xr:uid="{AEF3BC99-D51E-47C4-8AF2-1CB97787A52C}"/>
    <hyperlink ref="F674" r:id="rId74" display="https://www.genome.jp/entry/C00025" xr:uid="{6EAE0177-E852-40D8-95CF-C37265BFF3DD}"/>
    <hyperlink ref="F675" r:id="rId75" display="https://www.genome.jp/entry/C00199" xr:uid="{30C0D346-84B1-4904-A8BF-2C809F1C0D9A}"/>
    <hyperlink ref="F676" r:id="rId76" display="https://www.genome.jp/entry/C11907" xr:uid="{75D506E3-652C-4486-81C7-205501D83D6C}"/>
    <hyperlink ref="F677" r:id="rId77" display="https://www.genome.jp/entry/C00029" xr:uid="{13FDE757-1F34-4C92-AFE8-D070857B5F4D}"/>
    <hyperlink ref="F678" r:id="rId78" display="https://www.genome.jp/entry/C00043" xr:uid="{0DBF4CC7-8FB4-4C34-B270-F50FE3C0DA16}"/>
    <hyperlink ref="F679" r:id="rId79" display="https://www.genome.jp/entry/C00842" xr:uid="{3FF00B96-F0C0-4A2E-9730-65C126D8F9D1}"/>
    <hyperlink ref="F680" r:id="rId80" display="https://www.genome.jp/entry/C00267" xr:uid="{ED32E64F-5606-43E3-ADE2-2A079FDA90D9}"/>
    <hyperlink ref="F681" r:id="rId81" display="https://www.genome.jp/entry/C00124" xr:uid="{673BD129-388D-4480-8C00-42B0FE32D23F}"/>
    <hyperlink ref="F682" r:id="rId82" display="https://www.genome.jp/entry/C03798" xr:uid="{76F25FDA-CFCD-46EA-B7B4-433ED86629B4}"/>
    <hyperlink ref="F683" r:id="rId83" display="https://www.genome.jp/entry/C00118" xr:uid="{404F0157-5BEF-4E97-92EE-B2E86327D839}"/>
    <hyperlink ref="F684" r:id="rId84" display="https://www.genome.jp/entry/C04896" xr:uid="{D99E894B-93CB-47B6-BCB7-AB0B5EA7E4D2}"/>
    <hyperlink ref="F685" r:id="rId85" display="https://www.genome.jp/entry/C04302" xr:uid="{2FBC7524-D2DF-41BC-A40E-059C6ABB03D8}"/>
    <hyperlink ref="F686" r:id="rId86" display="https://www.genome.jp/entry/C00117" xr:uid="{EB182B6F-AF8D-4CF5-9320-455C4DAF84D3}"/>
    <hyperlink ref="F687" r:id="rId87" display="https://www.genome.jp/entry/C02962" xr:uid="{AA59DC7A-6C94-49DA-B321-180F5EF52724}"/>
    <hyperlink ref="F688" r:id="rId88" display="https://www.genome.jp/entry/C00275" xr:uid="{30B9C677-D9D0-4173-ADDF-F3548AFCBA15}"/>
    <hyperlink ref="F689" r:id="rId89" display="https://www.genome.jp/entry/C00275" xr:uid="{F3153507-BD1F-40C8-98C1-AEEAF3A8B511}"/>
    <hyperlink ref="F690" r:id="rId90" display="https://www.genome.jp/entry/C00668" xr:uid="{4BC12850-8964-4015-88AC-C54AAF121EC4}"/>
    <hyperlink ref="F691" r:id="rId91" display="https://www.genome.jp/entry/C00092" xr:uid="{2FE3B607-B313-41E9-9199-235850F6137F}"/>
    <hyperlink ref="F692" r:id="rId92" display="https://www.genome.jp/entry/C00668" xr:uid="{AAE74B4B-B086-4B59-A137-1C09DC3285F6}"/>
    <hyperlink ref="F693" r:id="rId93" display="https://www.genome.jp/entry/C01172" xr:uid="{DCB6826B-6C3A-4796-BF0D-B71892943D88}"/>
    <hyperlink ref="F694" r:id="rId94" display="https://www.genome.jp/entry/C00668" xr:uid="{4D88C222-6403-49F7-8FA5-0865B2DD2023}"/>
    <hyperlink ref="F695" r:id="rId95" display="https://www.genome.jp/entry/C00129" xr:uid="{E8D48AA4-5B1E-4B35-A062-449D12B0CA25}"/>
    <hyperlink ref="F696" r:id="rId96" display="https://www.genome.jp/entry/C06156" xr:uid="{88F80203-DDFE-4613-8341-4401B8F93BCC}"/>
    <hyperlink ref="F697" r:id="rId97" display="https://www.genome.jp/entry/C00103" xr:uid="{13BC2E72-E8DC-48AB-BE4E-B25731771975}"/>
    <hyperlink ref="F699" r:id="rId98" display="https://www.genome.jp/entry/C00620" xr:uid="{0AD18F18-B0FE-49C5-A6E7-60C27E5B2BC1}"/>
    <hyperlink ref="F700" r:id="rId99" display="https://www.genome.jp/entry/C01171" xr:uid="{642B0627-B404-4B03-BED7-0DC6B8D44D92}"/>
    <hyperlink ref="F701" r:id="rId100" display="https://www.genome.jp/entry/C00620" xr:uid="{DB13B446-2C90-4B90-9A5B-F0DFA548C3F1}"/>
    <hyperlink ref="F702" r:id="rId101" display="https://www.genome.jp/entry/C00672" xr:uid="{43ED3096-5544-42A3-834C-FF1AB7963AE0}"/>
    <hyperlink ref="F703" r:id="rId102" display="https://www.genome.jp/entry/C00868" xr:uid="{33AD1E81-22B1-4BE0-BFDC-68170911F50F}"/>
    <hyperlink ref="F704" r:id="rId103" display="https://www.genome.jp/entry/C00251" xr:uid="{0DC37052-AA02-4DA4-88EC-C4075306AE34}"/>
    <hyperlink ref="F705" r:id="rId104" display="https://www.genome.jp/entry/C00052" xr:uid="{B649CEE7-87C2-4191-82DB-51AC1458AD26}"/>
    <hyperlink ref="F706" r:id="rId105" display="https://www.genome.jp/entry/C00935" xr:uid="{8EA2A9E5-02FA-420C-B1E5-EEB8448544FA}"/>
    <hyperlink ref="H52" r:id="rId106" display="https://www.genome.jp/entry/C04236" xr:uid="{F99FAEE6-1A2E-412E-8E05-BC2991B6A87E}"/>
    <hyperlink ref="H60" r:id="rId107" display="https://www.genome.jp/entry/C14463" xr:uid="{7CC5C25B-F070-4D38-B83A-B6339F0A26EE}"/>
    <hyperlink ref="H61" r:id="rId108" display="https://www.genome.jp/entry/C04181" xr:uid="{1DBA5720-CFC1-43E6-9F44-9857ABBA2685}"/>
    <hyperlink ref="H140" r:id="rId109" display="https://www.genome.jp/entry/C00073" xr:uid="{4A971D29-6093-4E9F-B86A-9CA458ED9511}"/>
    <hyperlink ref="H165" r:id="rId110" display="https://www.genome.jp/entry/C00022" xr:uid="{A183DF86-2C30-47B6-9D50-604348F7EBFF}"/>
    <hyperlink ref="H225" r:id="rId111" display="https://www.genome.jp/entry/C00369" xr:uid="{A775488E-62C6-497C-81EE-7EED88669E62}"/>
    <hyperlink ref="H226" r:id="rId112" display="https://www.genome.jp/entry/G10545" xr:uid="{FF8948E7-CB07-4429-81F5-33796DB5E84F}"/>
    <hyperlink ref="H234" r:id="rId113" display="https://www.genome.jp/entry/C00208" xr:uid="{97807B0B-41C3-4C7B-B2A9-9BCFDA918AE1}"/>
    <hyperlink ref="H235" r:id="rId114" display="https://www.genome.jp/entry/G00275" xr:uid="{00C4AB24-9E9F-4D0C-8A1A-655F3A653FA6}"/>
    <hyperlink ref="H390" r:id="rId115" display="https://www.genome.jp/entry/C00008" xr:uid="{A8F9B7B3-E9BC-4B15-9666-292FB447F68B}"/>
    <hyperlink ref="H441" r:id="rId116" display="https://www.genome.jp/entry/C21031" xr:uid="{CCDE8C9A-98A3-44E8-A742-3CDADDE9FD6E}"/>
    <hyperlink ref="H456" r:id="rId117" display="https://www.genome.jp/entry/C00846" xr:uid="{A05B40B4-8B95-48A9-8681-7259D9BAA53C}"/>
    <hyperlink ref="H506" r:id="rId118" display="https://www.genome.jp/entry/C00208" xr:uid="{80371087-BF9C-4DC7-B1DA-5584852BFCCE}"/>
    <hyperlink ref="H559" r:id="rId119" display="https://www.genome.jp/entry/C01255" xr:uid="{3C018115-44AB-4218-8E35-D8D290644C71}"/>
    <hyperlink ref="H560" r:id="rId120" display="https://www.genome.jp/entry/C00438" xr:uid="{46BDFA90-BDB8-4DA3-8584-48FE54A3E483}"/>
    <hyperlink ref="H561" r:id="rId121" display="https://www.genome.jp/entry/C04734" xr:uid="{896A43E6-F1F0-4193-83AE-565C999BBE83}"/>
    <hyperlink ref="H563" r:id="rId122" display="https://www.genome.jp/entry/C05922" xr:uid="{4769B60C-D08E-4CBD-8BC3-59ED0B8AF888}"/>
    <hyperlink ref="H564" r:id="rId123" display="https://www.genome.jp/entry/C06148" xr:uid="{6F40D21B-4F00-4380-A5C5-A401E2D44020}"/>
    <hyperlink ref="H566" r:id="rId124" display="https://www.genome.jp/entry/C06148" xr:uid="{30A4D62D-6065-4887-8A70-E6565965EB9F}"/>
    <hyperlink ref="H567" r:id="rId125" display="https://www.genome.jp/entry/C04896" xr:uid="{76732D17-D575-45CA-B2FE-E7FDA122E7B2}"/>
    <hyperlink ref="H575" r:id="rId126" display="https://www.genome.jp/entry/C00009" xr:uid="{30ECD18C-E096-4ADD-B5E3-216CBD32DEE6}"/>
    <hyperlink ref="H618" r:id="rId127" display="https://www.genome.jp/entry/C06000" xr:uid="{4155BBD7-A951-4176-BC9D-DE955754A088}"/>
    <hyperlink ref="H620" r:id="rId128" display="https://www.genome.jp/entry/C05260" xr:uid="{87E6F82A-F38D-47B1-BE48-687B000DD4BE}"/>
    <hyperlink ref="H630" r:id="rId129" display="https://www.genome.jp/entry/C05116" xr:uid="{0FB8E6FB-E139-4D74-B1B1-A3871385B996}"/>
    <hyperlink ref="H631" r:id="rId130" display="https://www.genome.jp/entry/C11947" xr:uid="{8C72B0F1-B992-458B-8DB9-5AFA16064769}"/>
    <hyperlink ref="H632" r:id="rId131" display="https://www.genome.jp/entry/C11947" xr:uid="{D5A5A31E-5DFB-4FEE-9E85-640B269298DB}"/>
    <hyperlink ref="H633" r:id="rId132" display="https://www.genome.jp/entry/C14145" xr:uid="{D2B472EA-DDEC-41CB-A7E7-968A9A2880A3}"/>
    <hyperlink ref="H634" r:id="rId133" display="https://www.genome.jp/entry/C16469" xr:uid="{F09B1F89-7A21-4420-922D-8B757C8FB5A5}"/>
    <hyperlink ref="H639" r:id="rId134" display="https://www.genome.jp/entry/C00311" xr:uid="{24754ACB-DE1B-4C3E-A33C-A26F97F0BBEC}"/>
    <hyperlink ref="H644" r:id="rId135" display="https://www.genome.jp/entry/C02504" xr:uid="{D310264E-081B-4EE1-ABBF-5B110610BD88}"/>
    <hyperlink ref="H659" r:id="rId136" display="https://www.genome.jp/entry/C20904" xr:uid="{53965742-0E1D-433B-BC5A-703E71F51966}"/>
    <hyperlink ref="H663" r:id="rId137" display="https://www.genome.jp/entry/C20905" xr:uid="{0E1590DD-1706-48B2-A204-B5EBC7D926A7}"/>
    <hyperlink ref="H673" r:id="rId138" display="https://www.genome.jp/entry/C00133" xr:uid="{53983EF1-F509-4BA3-B13A-104D8EB4B498}"/>
    <hyperlink ref="H674" r:id="rId139" display="https://www.genome.jp/entry/C00217" xr:uid="{7724246E-E47B-41D1-83C0-7861DC37D307}"/>
    <hyperlink ref="H675" r:id="rId140" display="https://www.genome.jp/entry/C00231" xr:uid="{2603A1E8-7DDD-49FF-B01F-640A67A80E4E}"/>
    <hyperlink ref="H676" r:id="rId141" display="https://www.genome.jp/entry/C00688" xr:uid="{0D9C1BEB-F300-4A54-BD9E-F8A5AA530EC7}"/>
    <hyperlink ref="H677" r:id="rId142" display="https://www.genome.jp/entry/C00029" xr:uid="{1F3578DA-C8A8-4A93-AD66-F72D5666221A}"/>
    <hyperlink ref="H678" r:id="rId143" display="https://www.genome.jp/entry/C00203" xr:uid="{1D939119-53C4-47B3-AC6B-EA9F209B6913}"/>
    <hyperlink ref="H679" r:id="rId144" display="https://www.genome.jp/entry/C02097" xr:uid="{F5332C1C-E9FF-4A06-A3DC-A6C669D8562E}"/>
    <hyperlink ref="H680" r:id="rId145" display="https://www.genome.jp/entry/C00221" xr:uid="{FB4102F5-ED61-43F1-A627-6FF31AFA9122}"/>
    <hyperlink ref="H681" r:id="rId146" display="https://www.genome.jp/entry/C00984" xr:uid="{46234914-4B31-497E-80E1-BE60C9BE2EEC}"/>
    <hyperlink ref="H682" r:id="rId147" display="https://www.genome.jp/entry/C03633" xr:uid="{02392BCA-6852-43FD-B1A4-41A8CCC974F8}"/>
    <hyperlink ref="H683" r:id="rId148" display="https://www.genome.jp/entry/C00111" xr:uid="{D6D4AB23-7864-4F88-B5D1-D78188FA38C3}"/>
    <hyperlink ref="H684" r:id="rId149" display="https://www.genome.jp/entry/C04916" xr:uid="{D197BB85-3762-4CCC-98FA-A4F3FAD9D7EF}"/>
    <hyperlink ref="H685" r:id="rId150" display="https://www.genome.jp/entry/C01302" xr:uid="{CC80F93C-A609-41D5-A846-212154BB9EA4}"/>
    <hyperlink ref="H686" r:id="rId151" display="https://www.genome.jp/entry/C00199" xr:uid="{3E857845-B471-4DB4-8767-6A23D0B975E2}"/>
    <hyperlink ref="H687" r:id="rId152" display="https://www.genome.jp/entry/C18096" xr:uid="{8863B071-DF0B-4004-8A7E-84D404B41002}"/>
    <hyperlink ref="H688" r:id="rId153" display="https://www.genome.jp/entry/C00085" xr:uid="{5FAC08FB-7DF6-4854-BBEC-9DEF6964A241}"/>
    <hyperlink ref="H689" r:id="rId154" display="https://www.genome.jp/entry/C05345" xr:uid="{17535430-7C1C-4017-A15E-14690A192439}"/>
    <hyperlink ref="H690" r:id="rId155" display="https://www.genome.jp/entry/C05345" xr:uid="{F7FE6A63-586A-4EFC-AEAC-DB7541EDF813}"/>
    <hyperlink ref="H691" r:id="rId156" display="https://www.genome.jp/entry/C00085" xr:uid="{ADE24237-A0B0-41AE-BC27-90AE33E355DD}"/>
    <hyperlink ref="H692" r:id="rId157" display="https://www.genome.jp/entry/C01172" xr:uid="{86195B8C-19B8-4766-B932-6E9FA05136E0}"/>
    <hyperlink ref="H693" r:id="rId158" display="https://www.genome.jp/entry/C05345" xr:uid="{D8409ED3-67A8-4D3B-857E-091A378BDCF4}"/>
    <hyperlink ref="H694" r:id="rId159" display="https://www.genome.jp/entry/C00085" xr:uid="{0EDBCB19-8F15-48FE-9237-22AC72EA4491}"/>
    <hyperlink ref="H695" r:id="rId160" display="https://www.genome.jp/entry/C00235" xr:uid="{FB2AE7C3-C11D-40F2-9D5E-F649D8986FC6}"/>
    <hyperlink ref="H696" r:id="rId161" display="https://www.genome.jp/entry/C00352" xr:uid="{A33939F3-6DAC-4A28-8C70-51D887DE3630}"/>
    <hyperlink ref="H697" r:id="rId162" display="https://www.genome.jp/entry/C00092" xr:uid="{2098FCC2-4753-46E8-8335-6022D64FEAD2}"/>
    <hyperlink ref="H698" r:id="rId163" display="https://www.genome.jp/entry/C00668" xr:uid="{ACDB96CE-006F-4477-A17E-FFEC0AC5FC49}"/>
    <hyperlink ref="H699" r:id="rId164" display="https://www.genome.jp/entry/C00117" xr:uid="{752A3D69-4B50-46A7-933E-300F084A8FD0}"/>
    <hyperlink ref="H700" r:id="rId165" display="https://www.genome.jp/entry/C03735" xr:uid="{02754B59-EED2-427D-B35B-1D3B76B44442}"/>
    <hyperlink ref="H701" r:id="rId166" display="https://www.genome.jp/entry/C00117" xr:uid="{FCCE9D40-AC20-4E9D-BA31-A46F8111F463}"/>
    <hyperlink ref="H702" r:id="rId167" display="https://www.genome.jp/entry/C00673" xr:uid="{2FC738C3-BAC4-4305-AE8C-D844C0174F74}"/>
    <hyperlink ref="H703" r:id="rId168" display="https://www.genome.jp/entry/C02764" xr:uid="{76DB92C4-ED5F-43C5-A7C5-56EF43CDB829}"/>
    <hyperlink ref="H704" r:id="rId169" display="https://www.genome.jp/entry/C00254" xr:uid="{7CB37289-43FD-4CCD-9AA5-2173C440907D}"/>
    <hyperlink ref="H705" r:id="rId170" display="https://www.genome.jp/entry/C03733" xr:uid="{CEEEA154-24A4-439C-A31C-8441A5564129}"/>
    <hyperlink ref="H706" r:id="rId171" display="https://www.genome.jp/entry/C18094" xr:uid="{C05C7207-A4E9-4E31-A6FE-08E5B1CA365D}"/>
    <hyperlink ref="G49" r:id="rId172" display="https://www.genome.jp/entry/C05379" xr:uid="{3279C49E-1E79-480D-B5E2-8C65DB69BC9A}"/>
    <hyperlink ref="G61" r:id="rId173" display="https://www.genome.jp/entry/C06010" xr:uid="{0905E4F8-81AB-4486-B484-3E2368303A50}"/>
    <hyperlink ref="G60" r:id="rId174" display="https://www.genome.jp/entry/C06006" xr:uid="{A68EA6BA-B9EF-4279-86B1-045C7255EA2D}"/>
    <hyperlink ref="G225" r:id="rId175" display="https://www.genome.jp/entry/C00718" xr:uid="{D43E77EB-ECDE-4AFE-A104-7B8006F9925B}"/>
    <hyperlink ref="G226" r:id="rId176" display="https://www.genome.jp/entry/G10495" xr:uid="{03AA2103-0437-4370-A430-5D59690CA009}"/>
    <hyperlink ref="G435" r:id="rId177" display="https://www.genome.jp/entry/C00201" xr:uid="{AEE76A78-4367-4A2A-B693-1A0CEBC837DF}"/>
    <hyperlink ref="G441" r:id="rId178" display="https://www.genome.jp/entry/C11039" xr:uid="{C41A6EED-330E-4886-B028-ED0331F54C6A}"/>
    <hyperlink ref="G504" r:id="rId179" display="https://www.genome.jp/entry/C00369" xr:uid="{C4DF2738-ADD2-428A-9229-535E65D44D1F}"/>
    <hyperlink ref="G566" r:id="rId180" display="https://www.genome.jp/entry/C05923" xr:uid="{AA1E5AE9-D189-401D-A269-02ED14C018F9}"/>
    <hyperlink ref="G592" r:id="rId181" display="https://www.genome.jp/entry/C00680" xr:uid="{46983DD2-2643-4850-9930-24817757A015}"/>
    <hyperlink ref="G593" r:id="rId182" display="https://www.genome.jp/entry/C04751" xr:uid="{1C107CD5-0DE1-42EA-8DE9-1677E0FF17D4}"/>
    <hyperlink ref="G594" r:id="rId183" display="https://www.genome.jp/entry/C01103" xr:uid="{40D2F3F1-63F7-48AE-B6E1-79B7BC3C28DB}"/>
    <hyperlink ref="G597" r:id="rId184" display="https://www.genome.jp/entry/C04352" xr:uid="{ADDF214A-5B44-441E-8E13-DB6B7F1E07C1}"/>
    <hyperlink ref="G598" r:id="rId185" display="https://www.genome.jp/entry/C01302" xr:uid="{F7DED177-7816-4EC7-B9FF-FA7EC6D3FE12}"/>
    <hyperlink ref="G599" r:id="rId186" display="https://www.genome.jp/entry/C06010" xr:uid="{90DE4B59-613E-490E-951F-69DB424C895E}"/>
    <hyperlink ref="G600" r:id="rId187" display="https://www.genome.jp/entry/C00354" xr:uid="{95FF3FAF-6AEF-49BA-9CC8-BE5255469EB3}"/>
    <hyperlink ref="G601" r:id="rId188" display="https://www.genome.jp/entry/C05378" xr:uid="{9882892D-953A-4C9F-89F2-FAD6DC5D9D98}"/>
    <hyperlink ref="G602" r:id="rId189" display="https://www.genome.jp/entry/C00447" xr:uid="{B0D14E2E-EE87-4A4A-BF6C-8651833F403D}"/>
    <hyperlink ref="G603" r:id="rId190" display="https://www.genome.jp/entry/C01094" xr:uid="{5FE80B15-9626-4378-9981-CEF41A7F0D83}"/>
    <hyperlink ref="G604" r:id="rId191" display="https://www.genome.jp/entry/C04874" xr:uid="{E374FA8B-16F0-4BC7-AFDD-0F1DBD1F14DF}"/>
    <hyperlink ref="G605" r:id="rId192" display="https://www.genome.jp/entry/C00673" xr:uid="{9A9E87F1-7CC0-4A0E-B6BD-89804F7E0647}"/>
    <hyperlink ref="G608" r:id="rId193" display="https://www.genome.jp/entry/C01353" xr:uid="{3FC2B972-1C2D-48BB-A8AE-30C351E68088}"/>
    <hyperlink ref="G610" r:id="rId194" display="https://www.genome.jp/entry/C00944" xr:uid="{9F6AEB72-18F9-4A67-8DB0-72FD71E559E7}"/>
    <hyperlink ref="G611" r:id="rId195" display="https://www.genome.jp/entry/C00631" xr:uid="{2519FDE5-6DE9-44D4-9691-95D05733738D}"/>
    <hyperlink ref="G612" r:id="rId196" display="https://www.genome.jp/entry/C03356" xr:uid="{A602DAEB-1D04-42AB-A51C-91EA23DF5FA3}"/>
    <hyperlink ref="G613" r:id="rId197" display="https://www.genome.jp/entry/C00640" xr:uid="{013BA23A-C4AA-4F16-B0EB-9A28567F416F}"/>
    <hyperlink ref="G614" r:id="rId198" display="https://www.genome.jp/entry/C01144" xr:uid="{03F186B3-5404-4C42-BE59-BB1E54C851EA}"/>
    <hyperlink ref="G615" r:id="rId199" display="https://www.genome.jp/entry/C05668" xr:uid="{5E2BEF8B-D550-4AE5-A805-57A6F1557612}"/>
    <hyperlink ref="G616" r:id="rId200" display="https://www.genome.jp/entry/C05262" xr:uid="{EF71A24D-262F-4465-9256-C4C24B5D8D35}"/>
    <hyperlink ref="G617" r:id="rId201" display="https://www.genome.jp/entry/C04405" xr:uid="{4F27DA2E-C407-425A-B3D0-63D440DF343A}"/>
    <hyperlink ref="G619" r:id="rId202" display="https://www.genome.jp/entry/C05258" xr:uid="{90561829-11EC-4B47-8FBD-37DDADBD7711}"/>
    <hyperlink ref="G620" r:id="rId203" display="https://www.genome.jp/entry/C05260" xr:uid="{A9943569-58B2-4E63-9178-91F57FDC7D10}"/>
    <hyperlink ref="G621" r:id="rId204" display="https://www.genome.jp/entry/C05264" xr:uid="{6BB1C67C-5D94-4D5B-B141-A96F1A483DAF}"/>
    <hyperlink ref="G622" r:id="rId205" display="https://www.genome.jp/entry/C05266" xr:uid="{27744862-6F68-43AB-A085-ADEDEFE990C3}"/>
    <hyperlink ref="G623" r:id="rId206" display="https://www.genome.jp/entry/C05268" xr:uid="{DD0F04ED-1CDD-49D9-944C-E3D55E8DD2B5}"/>
    <hyperlink ref="G624" r:id="rId207" display="https://www.genome.jp/entry/C16329" xr:uid="{F9231570-DFC1-4F69-BD64-CCF76F39F35E}"/>
    <hyperlink ref="G625" r:id="rId208" display="https://www.genome.jp/entry/C16333" xr:uid="{ABDA6AE9-C839-48EB-8686-8278FF787DE8}"/>
    <hyperlink ref="G626" r:id="rId209" display="https://www.genome.jp/entry/C16337" xr:uid="{E32A09F5-69A1-468C-A433-248F3E32E48C}"/>
    <hyperlink ref="G627" r:id="rId210" display="https://www.genome.jp/entry/C00640" xr:uid="{EB733CFD-9928-4691-80B0-2F8832E58144}"/>
    <hyperlink ref="G628" r:id="rId211" display="https://www.genome.jp/entry/C01086" xr:uid="{789E2D22-B3EF-4C0A-97E7-1FB29BD55B52}"/>
    <hyperlink ref="G629" r:id="rId212" display="https://www.genome.jp/entry/C05998" xr:uid="{1C966820-7E42-456D-BEF4-418315406FBE}"/>
    <hyperlink ref="G635" r:id="rId213" display="https://www.genome.jp/entry/C04666" xr:uid="{5300B2AE-C53E-4B1C-BD61-E0AA7757758D}"/>
    <hyperlink ref="G637" r:id="rId214" display="https://www.genome.jp/entry/C03506" xr:uid="{AF23033A-E55C-40F9-9A05-7F4E9171DF11}"/>
    <hyperlink ref="G639" r:id="rId215" display="https://www.genome.jp/entry/C00158" xr:uid="{6B5DF4C8-5366-4C7A-A213-50FF1718143F}"/>
    <hyperlink ref="G640" r:id="rId216" display="https://www.genome.jp/entry/C00158" xr:uid="{D5A43235-FE2C-4FD0-88DE-DB2DD14A1B6E}"/>
    <hyperlink ref="G641" r:id="rId217" display="https://www.genome.jp/entry/C00311" xr:uid="{2E189E48-55F6-4355-89E0-1A012BFE38D2}"/>
    <hyperlink ref="G642" r:id="rId218" display="https://www.genome.jp/entry/C02504" xr:uid="{EE1D956B-2A55-4B95-8BAA-07AC3C13B372}"/>
    <hyperlink ref="G643" r:id="rId219" display="https://www.genome.jp/entry/C04411" xr:uid="{A278AC82-FE94-4FB4-8C69-CFAC032334B3}"/>
    <hyperlink ref="G644" r:id="rId220" display="https://www.genome.jp/entry/C04411" xr:uid="{195A0E61-952F-4D9B-AD58-EF9D5CAC9326}"/>
    <hyperlink ref="G645" r:id="rId221" display="https://www.genome.jp/entry/C00842" xr:uid="{90E570E6-89EB-4E4E-AB8C-2DC81EF6DB57}"/>
    <hyperlink ref="G646" r:id="rId222" display="https://www.genome.jp/entry/C00254" xr:uid="{38346D3F-9C25-43A2-8002-A2C33CB0EA82}"/>
    <hyperlink ref="G647" r:id="rId223" display="https://www.genome.jp/entry/C00826" xr:uid="{27F00792-475E-424E-9427-F4A81B5BF532}"/>
    <hyperlink ref="G648" r:id="rId224" display="https://www.genome.jp/entry/C04039" xr:uid="{C8FD7B9B-7EC2-4237-AD95-9A0A1130DCD9}"/>
    <hyperlink ref="G649" r:id="rId225" display="https://www.genome.jp/entry/C04272" xr:uid="{5081CD94-6281-476B-B169-B16D6EA5E38A}"/>
    <hyperlink ref="G650" r:id="rId226" display="https://www.genome.jp/entry/C06007" xr:uid="{518480CE-9669-405D-87A1-A5240A35412F}"/>
    <hyperlink ref="G653" r:id="rId227" display="https://www.genome.jp/entry/C04895" xr:uid="{E20B08EE-1BD5-4207-B830-E2828223F786}"/>
    <hyperlink ref="G654" r:id="rId228" display="https://www.genome.jp/entry/C04691" xr:uid="{F307D694-A570-4879-96F2-B8A8C5645443}"/>
    <hyperlink ref="G655" r:id="rId229" display="https://www.genome.jp/entry/C01269" xr:uid="{EA961AE4-C4FF-4CB3-9C3E-61E400FAFCC7}"/>
    <hyperlink ref="G656" r:id="rId230" display="https://www.genome.jp/entry/C00065" xr:uid="{022D79FD-5BE2-4754-8C90-E6AACBEA5E72}"/>
    <hyperlink ref="G657" r:id="rId231" display="https://www.genome.jp/entry/C00065" xr:uid="{149C93DC-D9FD-481A-9DCC-BB3108E02795}"/>
    <hyperlink ref="G659" r:id="rId232" display="https://www.genome.jp/entry/C02218" xr:uid="{21FF128E-293A-4DEC-884F-13E86BAEC46D}"/>
    <hyperlink ref="G660" r:id="rId233" display="https://www.genome.jp/entry/C05167" xr:uid="{AFBE8F43-85C8-420A-BFC7-3C4A2B9D5171}"/>
    <hyperlink ref="G661" r:id="rId234" display="https://www.genome.jp/entry/C00188" xr:uid="{05924E55-703F-44DC-8031-E71BA5639B40}"/>
    <hyperlink ref="G663" r:id="rId235" display="https://www.genome.jp/entry/C17234" xr:uid="{57A8285C-01A9-4CFD-A851-46E9CD8373CD}"/>
    <hyperlink ref="G664" r:id="rId236" display="https://www.genome.jp/entry/C00065" xr:uid="{6F416DDB-46DD-40E8-8FE6-F6D586FB3BAC}"/>
    <hyperlink ref="G665" r:id="rId237" display="https://www.genome.jp/entry/C05167" xr:uid="{7D98C257-A380-4EAC-8CF4-B9A9E0B5032D}"/>
    <hyperlink ref="G666" r:id="rId238" display="https://www.genome.jp/entry/C03406" xr:uid="{824AA7AB-A346-4C84-9185-B17D464336FC}"/>
    <hyperlink ref="G667" r:id="rId239" display="https://www.genome.jp/entry/C03794" xr:uid="{CEEFE458-0A10-4ED0-90A5-E026CC026D52}"/>
    <hyperlink ref="G668" r:id="rId240" display="https://www.genome.jp/entry/C04823" xr:uid="{F69FABA5-FBBD-4E46-B270-8A60E68165E1}"/>
    <hyperlink ref="G669" r:id="rId241" display="https://www.genome.jp/entry/C22395" xr:uid="{56DB064A-E6CC-4C50-A23E-A948BEAF1848}"/>
    <hyperlink ref="G671" r:id="rId242" display="https://www.genome.jp/entry/C03539" xr:uid="{82AD081B-FE4C-4613-B370-86CD49EB33B0}"/>
    <hyperlink ref="G672" r:id="rId243" display="https://www.genome.jp/entry/C03451" xr:uid="{E53C4F91-01EE-4EDD-A8E7-AB47902A765C}"/>
    <hyperlink ref="G673" r:id="rId244" display="https://www.genome.jp/entry/C00041" xr:uid="{4CCFF515-97A2-4E95-9B25-94B44FF4C272}"/>
    <hyperlink ref="G674" r:id="rId245" display="https://www.genome.jp/entry/C00025" xr:uid="{DF029780-D41E-4091-AACB-469039ADDB22}"/>
    <hyperlink ref="G675" r:id="rId246" display="https://www.genome.jp/entry/C00199" xr:uid="{941D9122-7D22-4BAD-A597-2F91669B5413}"/>
    <hyperlink ref="G676" r:id="rId247" display="https://www.genome.jp/entry/C11907" xr:uid="{9CB5E5AF-2B75-4350-92F4-DE5C9A867017}"/>
    <hyperlink ref="G677" r:id="rId248" display="https://www.genome.jp/entry/C00029" xr:uid="{B405B977-A0DE-4732-A561-9E00D99C57CB}"/>
    <hyperlink ref="G678" r:id="rId249" display="https://www.genome.jp/entry/C00043" xr:uid="{2703237E-FDE5-49B2-A71B-475E996845B3}"/>
    <hyperlink ref="G679" r:id="rId250" display="https://www.genome.jp/entry/C00842" xr:uid="{41A217BB-1045-4B3F-8199-518BCE9035C0}"/>
    <hyperlink ref="G680" r:id="rId251" display="https://www.genome.jp/entry/C00267" xr:uid="{C289FA80-3107-4C26-97B6-A5E86D4FAFF8}"/>
    <hyperlink ref="G681" r:id="rId252" display="https://www.genome.jp/entry/C00124" xr:uid="{18569568-6746-4919-A92E-8545030AB055}"/>
    <hyperlink ref="G682" r:id="rId253" display="https://www.genome.jp/entry/C03798" xr:uid="{E3A602C6-DFCE-4E91-9D7E-0D26F7B8E8F6}"/>
    <hyperlink ref="G683" r:id="rId254" display="https://www.genome.jp/entry/C00118" xr:uid="{A36B2212-269E-4AC4-9EB4-CBD232CD73E7}"/>
    <hyperlink ref="G684" r:id="rId255" display="https://www.genome.jp/entry/C04896" xr:uid="{689D8C1E-1C25-49EC-B0C2-A1479736D192}"/>
    <hyperlink ref="G685" r:id="rId256" display="https://www.genome.jp/entry/C04302" xr:uid="{CAF25F3B-AADA-43C5-BF33-A7238F6D9BEA}"/>
    <hyperlink ref="G686" r:id="rId257" display="https://www.genome.jp/entry/C00117" xr:uid="{CB10C550-A282-4360-A74D-0B223E917B1B}"/>
    <hyperlink ref="G687" r:id="rId258" display="https://www.genome.jp/entry/C02962" xr:uid="{5224057E-BE93-4A69-9309-1F91D61D2501}"/>
    <hyperlink ref="G688" r:id="rId259" display="https://www.genome.jp/entry/C00275" xr:uid="{AD47C2BF-8DEC-4E6C-9033-3B1A7E265814}"/>
    <hyperlink ref="G689" r:id="rId260" display="https://www.genome.jp/entry/C00275" xr:uid="{F8B7AB37-3C3F-480D-A9F9-100252D8B5F7}"/>
    <hyperlink ref="G690" r:id="rId261" display="https://www.genome.jp/entry/C00668" xr:uid="{4F832B0A-22F7-49E1-8621-89091EB348B7}"/>
    <hyperlink ref="G691" r:id="rId262" display="https://www.genome.jp/entry/C00092" xr:uid="{4F998767-3CAB-4D4B-972B-F5B7EEA77F1C}"/>
    <hyperlink ref="G692" r:id="rId263" display="https://www.genome.jp/entry/C00668" xr:uid="{D49BC8AE-34D9-4222-89D6-1FA2386FA6F4}"/>
    <hyperlink ref="G693" r:id="rId264" display="https://www.genome.jp/entry/C01172" xr:uid="{060A0345-CF3B-45D9-89C8-E0988943C4E7}"/>
    <hyperlink ref="G694" r:id="rId265" display="https://www.genome.jp/entry/C00668" xr:uid="{61A8305B-3C97-48AC-BFB5-60ED15EFAD6A}"/>
    <hyperlink ref="G695" r:id="rId266" display="https://www.genome.jp/entry/C00129" xr:uid="{97263752-4664-4B08-80B1-AB23B4B5FF03}"/>
    <hyperlink ref="G696" r:id="rId267" display="https://www.genome.jp/entry/C06156" xr:uid="{F144B9C3-5EE1-45DF-A6D7-FE3C6967DEB9}"/>
    <hyperlink ref="G697" r:id="rId268" display="https://www.genome.jp/entry/C00103" xr:uid="{5B77A28A-BABE-4992-B8F4-2093E186568D}"/>
    <hyperlink ref="G699" r:id="rId269" display="https://www.genome.jp/entry/C00620" xr:uid="{1F2199EA-6BBB-4BE6-9AB1-8E617FF07623}"/>
    <hyperlink ref="G700" r:id="rId270" display="https://www.genome.jp/entry/C01171" xr:uid="{0CE6BFD8-7757-4292-A6C2-1F8C43E68742}"/>
    <hyperlink ref="G701" r:id="rId271" display="https://www.genome.jp/entry/C00620" xr:uid="{D9D06027-2DF3-4CC6-99E3-513D760C8191}"/>
    <hyperlink ref="G702" r:id="rId272" display="https://www.genome.jp/entry/C00672" xr:uid="{C8E664A3-B3DF-4642-A31E-457925405E66}"/>
    <hyperlink ref="G703" r:id="rId273" display="https://www.genome.jp/entry/C00868" xr:uid="{EBC35174-0DC0-4AEA-A2A0-CE99D6132364}"/>
    <hyperlink ref="G704" r:id="rId274" display="https://www.genome.jp/entry/C00251" xr:uid="{8519EB52-D548-4C64-8657-3F030FCD2204}"/>
    <hyperlink ref="G705" r:id="rId275" display="https://www.genome.jp/entry/C00052" xr:uid="{30E7F723-2D47-4304-A543-25179F170083}"/>
    <hyperlink ref="G706" r:id="rId276" display="https://www.genome.jp/entry/C00935" xr:uid="{6AB99B07-40EF-4B79-AB46-87B27740B576}"/>
    <hyperlink ref="I52" r:id="rId277" display="https://www.genome.jp/entry/C04236" xr:uid="{1ADC4819-0464-44AF-8392-851525F37B84}"/>
    <hyperlink ref="I60" r:id="rId278" display="https://www.genome.jp/entry/C14463" xr:uid="{A1EE99BC-C70D-4060-84B1-47D9769D7158}"/>
    <hyperlink ref="I61" r:id="rId279" display="https://www.genome.jp/entry/C04181" xr:uid="{CBB4EC65-9597-4959-8636-E5FFDC57FB84}"/>
    <hyperlink ref="I140" r:id="rId280" display="https://www.genome.jp/entry/C00073" xr:uid="{B7719EFF-2F95-4D5B-B91F-094280272328}"/>
    <hyperlink ref="I165" r:id="rId281" display="https://www.genome.jp/entry/C00022" xr:uid="{7BF13AB1-19E7-4899-93C9-93A70FDE565B}"/>
    <hyperlink ref="I225" r:id="rId282" display="https://www.genome.jp/entry/C00369" xr:uid="{07F6FB3A-9F3C-4273-B727-734E9D65B993}"/>
    <hyperlink ref="I226" r:id="rId283" display="https://www.genome.jp/entry/G10545" xr:uid="{31B14C1B-92A7-46FD-9AD0-F945C34BA4B3}"/>
    <hyperlink ref="I234" r:id="rId284" display="https://www.genome.jp/entry/C00208" xr:uid="{DEAE4833-3A87-4639-80AA-EEA7793884A2}"/>
    <hyperlink ref="I235" r:id="rId285" display="https://www.genome.jp/entry/G00275" xr:uid="{6C896427-FACE-4DDF-A41B-8A5E934FA5B6}"/>
    <hyperlink ref="I390" r:id="rId286" display="https://www.genome.jp/entry/C00008" xr:uid="{1BC08251-72A7-4583-BCCC-5062D9914E38}"/>
    <hyperlink ref="I441" r:id="rId287" display="https://www.genome.jp/entry/C21031" xr:uid="{9D6B1A53-1A30-4185-87D0-8EB5A77642B3}"/>
    <hyperlink ref="I456" r:id="rId288" display="https://www.genome.jp/entry/C00846" xr:uid="{22BBD3AF-1713-49F6-92A9-93C964449BE8}"/>
    <hyperlink ref="I506" r:id="rId289" display="https://www.genome.jp/entry/C00208" xr:uid="{CDBA6BA9-5275-4E33-8595-DA79AE26B8E1}"/>
    <hyperlink ref="I559" r:id="rId290" display="https://www.genome.jp/entry/C01255" xr:uid="{4FF86BCE-8D0D-496C-BDC3-07861EB901C9}"/>
    <hyperlink ref="I560" r:id="rId291" display="https://www.genome.jp/entry/C00438" xr:uid="{FAFE2421-047C-4984-9118-C2D937D39CB0}"/>
    <hyperlink ref="I561" r:id="rId292" display="https://www.genome.jp/entry/C04734" xr:uid="{FF8FE4B0-ACA3-4C45-91C9-19A842F9BD34}"/>
    <hyperlink ref="I563" r:id="rId293" display="https://www.genome.jp/entry/C05922" xr:uid="{0052B805-66D5-44BF-B870-2285ABA2950D}"/>
    <hyperlink ref="I564" r:id="rId294" display="https://www.genome.jp/entry/C06148" xr:uid="{635CE605-CE00-40C8-841B-0B7C733F6388}"/>
    <hyperlink ref="I566" r:id="rId295" display="https://www.genome.jp/entry/C06148" xr:uid="{83D1E358-A9F7-4CE2-AD8B-AAB7371B2989}"/>
    <hyperlink ref="I567" r:id="rId296" display="https://www.genome.jp/entry/C04896" xr:uid="{90B28275-1F02-4DBD-8F14-5316EE706687}"/>
    <hyperlink ref="I575" r:id="rId297" display="https://www.genome.jp/entry/C00009" xr:uid="{D6B29DE3-0901-4AAF-971E-027F5949DCDA}"/>
    <hyperlink ref="I618" r:id="rId298" display="https://www.genome.jp/entry/C06000" xr:uid="{E900943F-B9D1-425C-AFAF-A43150031E89}"/>
    <hyperlink ref="I620" r:id="rId299" display="https://www.genome.jp/entry/C05260" xr:uid="{9021D354-473D-4345-A3A5-FA364CC331FD}"/>
    <hyperlink ref="I630" r:id="rId300" display="https://www.genome.jp/entry/C05116" xr:uid="{EA2AA7FA-3BB6-472C-BBF8-4B8D3244FB5D}"/>
    <hyperlink ref="I631" r:id="rId301" display="https://www.genome.jp/entry/C11947" xr:uid="{E78FDB60-68A4-4D84-95BA-EFFC5D7B5272}"/>
    <hyperlink ref="I632" r:id="rId302" display="https://www.genome.jp/entry/C11947" xr:uid="{D0A90E3C-55B2-44FA-B83E-6B1C6A09046F}"/>
    <hyperlink ref="I633" r:id="rId303" display="https://www.genome.jp/entry/C14145" xr:uid="{940367A8-4743-47D3-94EA-8F040562AA0B}"/>
    <hyperlink ref="I634" r:id="rId304" display="https://www.genome.jp/entry/C16469" xr:uid="{2CF1143C-3B58-4816-B30D-B4CFA803BFC7}"/>
    <hyperlink ref="I639" r:id="rId305" display="https://www.genome.jp/entry/C00311" xr:uid="{D0C2272C-B370-4BD7-88A4-0F74ED98E2E9}"/>
    <hyperlink ref="I644" r:id="rId306" display="https://www.genome.jp/entry/C02504" xr:uid="{916FBCCF-1DA4-4FAE-A1B4-79AA62C31722}"/>
    <hyperlink ref="I659" r:id="rId307" display="https://www.genome.jp/entry/C20904" xr:uid="{5037AE98-9790-4A03-93EA-3D2E2C23A1C9}"/>
    <hyperlink ref="I663" r:id="rId308" display="https://www.genome.jp/entry/C20905" xr:uid="{F0F606D4-4887-4C0D-B4FD-07BC880D6A89}"/>
    <hyperlink ref="I673" r:id="rId309" display="https://www.genome.jp/entry/C00133" xr:uid="{1E8F2DCA-886D-490F-8E6F-1603C02C39B1}"/>
    <hyperlink ref="I674" r:id="rId310" display="https://www.genome.jp/entry/C00217" xr:uid="{49C1A0A5-7490-44C3-8CA8-CD3728DA0A6A}"/>
    <hyperlink ref="I675" r:id="rId311" display="https://www.genome.jp/entry/C00231" xr:uid="{31EBBDCB-5933-45DE-8288-3945EA5C512E}"/>
    <hyperlink ref="I676" r:id="rId312" display="https://www.genome.jp/entry/C00688" xr:uid="{B3498498-8514-4AD5-9890-1B421D57B4FE}"/>
    <hyperlink ref="I677" r:id="rId313" display="https://www.genome.jp/entry/C00029" xr:uid="{61A6B50D-45B1-4221-B830-36163E5AD1C4}"/>
    <hyperlink ref="I678" r:id="rId314" display="https://www.genome.jp/entry/C00203" xr:uid="{B8001B41-85AC-48EB-8209-376A55E2E0F8}"/>
    <hyperlink ref="I679" r:id="rId315" display="https://www.genome.jp/entry/C02097" xr:uid="{961F10BD-BA24-4BB7-9189-03AD476D02F7}"/>
    <hyperlink ref="I680" r:id="rId316" display="https://www.genome.jp/entry/C00221" xr:uid="{70329AA1-D7D6-4505-B5CC-29485BE1614F}"/>
    <hyperlink ref="I681" r:id="rId317" display="https://www.genome.jp/entry/C00984" xr:uid="{38AB1818-134E-4631-BE42-9EC388CF1C5F}"/>
    <hyperlink ref="I682" r:id="rId318" display="https://www.genome.jp/entry/C03633" xr:uid="{9CC99DF2-AED3-43EC-8D62-55B8007D1711}"/>
    <hyperlink ref="I683" r:id="rId319" display="https://www.genome.jp/entry/C00111" xr:uid="{3CA67819-F827-4965-A9F0-9159CDE83316}"/>
    <hyperlink ref="I684" r:id="rId320" display="https://www.genome.jp/entry/C04916" xr:uid="{0C8F0D91-D142-4C59-A5FC-DE261612C559}"/>
    <hyperlink ref="I685" r:id="rId321" display="https://www.genome.jp/entry/C01302" xr:uid="{D64B49EF-7123-49B7-85BD-D25681216771}"/>
    <hyperlink ref="I686" r:id="rId322" display="https://www.genome.jp/entry/C00199" xr:uid="{06FBF361-8A5B-4B52-84F8-23A6FF9E4021}"/>
    <hyperlink ref="I687" r:id="rId323" display="https://www.genome.jp/entry/C18096" xr:uid="{97572499-4DCE-4912-A4FD-083291C5F5F0}"/>
    <hyperlink ref="I688" r:id="rId324" display="https://www.genome.jp/entry/C00085" xr:uid="{5A7AB43E-444F-49DF-924E-04B674410EDB}"/>
    <hyperlink ref="I689" r:id="rId325" display="https://www.genome.jp/entry/C05345" xr:uid="{BEB2CDB2-870E-429D-BF16-04B0D0E713FC}"/>
    <hyperlink ref="I690" r:id="rId326" display="https://www.genome.jp/entry/C05345" xr:uid="{EC6426C9-BF35-462D-AEAE-13508C6FF175}"/>
    <hyperlink ref="I691" r:id="rId327" display="https://www.genome.jp/entry/C00085" xr:uid="{F4FC37D2-63EA-47B1-A38F-F7F1778D0828}"/>
    <hyperlink ref="I692" r:id="rId328" display="https://www.genome.jp/entry/C01172" xr:uid="{4746F2C1-372C-4989-869F-4C6CCC5C6970}"/>
    <hyperlink ref="I693" r:id="rId329" display="https://www.genome.jp/entry/C05345" xr:uid="{BEACCA51-5F31-4817-862E-223AA44BA3E3}"/>
    <hyperlink ref="I694" r:id="rId330" display="https://www.genome.jp/entry/C00085" xr:uid="{AFEF7B79-A80C-4015-8928-EA61B71A0088}"/>
    <hyperlink ref="I695" r:id="rId331" display="https://www.genome.jp/entry/C00235" xr:uid="{399EBC3E-1F37-4FA9-889F-5856D55DFEDE}"/>
    <hyperlink ref="I696" r:id="rId332" display="https://www.genome.jp/entry/C00352" xr:uid="{8C95B664-506C-4ECA-B3AC-C132474EC86B}"/>
    <hyperlink ref="I697" r:id="rId333" display="https://www.genome.jp/entry/C00092" xr:uid="{08968FF6-0CFB-4D30-B757-27AA1063E56D}"/>
    <hyperlink ref="I698" r:id="rId334" display="https://www.genome.jp/entry/C00668" xr:uid="{088234D9-ED3B-40E1-B1F8-963994B160B5}"/>
    <hyperlink ref="I699" r:id="rId335" display="https://www.genome.jp/entry/C00117" xr:uid="{BD0ED16E-519E-4E47-9005-CCEA5AED78AA}"/>
    <hyperlink ref="I700" r:id="rId336" display="https://www.genome.jp/entry/C03735" xr:uid="{968D2C88-0291-4ECE-B351-15AB3EC4DCC5}"/>
    <hyperlink ref="I701" r:id="rId337" display="https://www.genome.jp/entry/C00117" xr:uid="{13ED9671-7F6B-42FC-8C2C-43055AC23306}"/>
    <hyperlink ref="I702" r:id="rId338" display="https://www.genome.jp/entry/C00673" xr:uid="{D793B69B-EAD5-4DBB-97E1-C0C0B76B3D33}"/>
    <hyperlink ref="I703" r:id="rId339" display="https://www.genome.jp/entry/C02764" xr:uid="{5F901603-8E3C-4F27-9564-375738AF8BCE}"/>
    <hyperlink ref="I704" r:id="rId340" display="https://www.genome.jp/entry/C00254" xr:uid="{9444CDAB-FC86-4E76-9BA0-83CD2D50E644}"/>
    <hyperlink ref="I705" r:id="rId341" display="https://www.genome.jp/entry/C03733" xr:uid="{BE7E215D-C3D0-4ABC-94F0-620DB5A51EB2}"/>
    <hyperlink ref="I706" r:id="rId342" display="https://www.genome.jp/entry/C18094" xr:uid="{63006B58-0CEB-4284-9A56-7CC04B31F4A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63F9EEEF72CE4489AB85C3C9E438D1" ma:contentTypeVersion="1" ma:contentTypeDescription="Create a new document." ma:contentTypeScope="" ma:versionID="8ca0a8ea8da7295f3529d95fe4563f81">
  <xsd:schema xmlns:xsd="http://www.w3.org/2001/XMLSchema" xmlns:xs="http://www.w3.org/2001/XMLSchema" xmlns:p="http://schemas.microsoft.com/office/2006/metadata/properties" xmlns:ns3="a278e07f-f8af-4c5e-99be-e17ec7730a55" targetNamespace="http://schemas.microsoft.com/office/2006/metadata/properties" ma:root="true" ma:fieldsID="85d5d5395988770fbf81a7e591f9a0af" ns3:_="">
    <xsd:import namespace="a278e07f-f8af-4c5e-99be-e17ec7730a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8e07f-f8af-4c5e-99be-e17ec7730a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5E36E-56B8-4FEF-8DB3-B2D589D4E7BB}">
  <ds:schemaRefs>
    <ds:schemaRef ds:uri="http://purl.org/dc/elements/1.1/"/>
    <ds:schemaRef ds:uri="a278e07f-f8af-4c5e-99be-e17ec7730a5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07FC104-CB58-4D89-8D6E-BB4E70A6D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8e07f-f8af-4c5e-99be-e17ec7730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D38B81-F300-4BBD-AFF6-525755178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vani.diya.nanthakumar</dc:creator>
  <cp:lastModifiedBy>M L</cp:lastModifiedBy>
  <dcterms:created xsi:type="dcterms:W3CDTF">2025-05-09T02:12:07Z</dcterms:created>
  <dcterms:modified xsi:type="dcterms:W3CDTF">2025-12-20T15:30:36Z</dcterms:modified>
</cp:coreProperties>
</file>